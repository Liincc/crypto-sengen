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D4C2A79-00A5-4C34-9509-DDB800A1B34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22" i="3"/>
  <c r="C133" i="3" s="1"/>
  <c r="D136" i="3" s="1"/>
  <c r="C116" i="5"/>
  <c r="C122" i="4"/>
  <c r="C133" i="4" s="1"/>
  <c r="D136" i="4" s="1"/>
  <c r="C116" i="4"/>
  <c r="R765" i="1"/>
  <c r="C136" i="5"/>
  <c r="C138" i="5" s="1"/>
  <c r="C116" i="3"/>
  <c r="C118" i="3"/>
  <c r="C136" i="3" l="1"/>
  <c r="C138" i="3" s="1"/>
  <c r="C136" i="4"/>
  <c r="C138" i="4" s="1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S519" i="1" l="1"/>
  <c r="T519" i="1" s="1"/>
  <c r="R518" i="1"/>
  <c r="R517" i="1" l="1"/>
  <c r="S518" i="1"/>
  <c r="T518" i="1" s="1"/>
  <c r="S517" i="1" l="1"/>
  <c r="T517" i="1" s="1"/>
  <c r="R516" i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S326" i="1" l="1"/>
  <c r="T326" i="1" s="1"/>
  <c r="R325" i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S214" i="1" l="1"/>
  <c r="T214" i="1" s="1"/>
  <c r="R213" i="1"/>
  <c r="S213" i="1" l="1"/>
  <c r="T213" i="1" s="1"/>
  <c r="R212" i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<sst xmlns="http://schemas.openxmlformats.org/spreadsheetml/2006/main" count="6026" uniqueCount="34">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</sst>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1.26</c:v>
                </c:pt>
                <c:pt idx="1">
                  <c:v>1.2849999999999999</c:v>
                </c:pt>
                <c:pt idx="2">
                  <c:v>1.252</c:v>
                </c:pt>
                <c:pt idx="3">
                  <c:v>1.264</c:v>
                </c:pt>
                <c:pt idx="4">
                  <c:v>1.321</c:v>
                </c:pt>
                <c:pt idx="5">
                  <c:v>1.2789999999999999</c:v>
                </c:pt>
                <c:pt idx="6">
                  <c:v>1.4319999999999999</c:v>
                </c:pt>
                <c:pt idx="7">
                  <c:v>1.52</c:v>
                </c:pt>
                <c:pt idx="8">
                  <c:v>1.5740000000000001</c:v>
                </c:pt>
                <c:pt idx="9">
                  <c:v>1.623</c:v>
                </c:pt>
                <c:pt idx="10">
                  <c:v>1.6659999999999999</c:v>
                </c:pt>
                <c:pt idx="11">
                  <c:v>1.74</c:v>
                </c:pt>
                <c:pt idx="12">
                  <c:v>1.764</c:v>
                </c:pt>
                <c:pt idx="13">
                  <c:v>1.7709999999999999</c:v>
                </c:pt>
                <c:pt idx="14">
                  <c:v>1.6279999999999999</c:v>
                </c:pt>
                <c:pt idx="15">
                  <c:v>1.6930000000000001</c:v>
                </c:pt>
                <c:pt idx="16">
                  <c:v>1.583</c:v>
                </c:pt>
                <c:pt idx="17">
                  <c:v>1.484</c:v>
                </c:pt>
                <c:pt idx="18">
                  <c:v>1.5529999999999999</c:v>
                </c:pt>
                <c:pt idx="19">
                  <c:v>1.512</c:v>
                </c:pt>
                <c:pt idx="20">
                  <c:v>1.5860000000000001</c:v>
                </c:pt>
                <c:pt idx="21">
                  <c:v>1.6930000000000001</c:v>
                </c:pt>
                <c:pt idx="22">
                  <c:v>1.657</c:v>
                </c:pt>
                <c:pt idx="23">
                  <c:v>1.857</c:v>
                </c:pt>
                <c:pt idx="24">
                  <c:v>1.944</c:v>
                </c:pt>
                <c:pt idx="25">
                  <c:v>2.1389999999999998</c:v>
                </c:pt>
                <c:pt idx="26">
                  <c:v>2.254</c:v>
                </c:pt>
                <c:pt idx="27">
                  <c:v>2.0259999999999998</c:v>
                </c:pt>
                <c:pt idx="28">
                  <c:v>1.9339999999999999</c:v>
                </c:pt>
                <c:pt idx="29">
                  <c:v>1.5509999999999999</c:v>
                </c:pt>
                <c:pt idx="30">
                  <c:v>1.512</c:v>
                </c:pt>
                <c:pt idx="31">
                  <c:v>1.6659999999999999</c:v>
                </c:pt>
                <c:pt idx="32">
                  <c:v>1.641</c:v>
                </c:pt>
                <c:pt idx="33">
                  <c:v>1.6459999999999999</c:v>
                </c:pt>
                <c:pt idx="34">
                  <c:v>1.623</c:v>
                </c:pt>
                <c:pt idx="35">
                  <c:v>1.6719999999999999</c:v>
                </c:pt>
                <c:pt idx="36">
                  <c:v>1.5449999999999999</c:v>
                </c:pt>
                <c:pt idx="37">
                  <c:v>1.5329999999999999</c:v>
                </c:pt>
                <c:pt idx="38">
                  <c:v>1.4850000000000001</c:v>
                </c:pt>
                <c:pt idx="39">
                  <c:v>1.512</c:v>
                </c:pt>
                <c:pt idx="40">
                  <c:v>1.468</c:v>
                </c:pt>
                <c:pt idx="41">
                  <c:v>1.4430000000000001</c:v>
                </c:pt>
                <c:pt idx="42">
                  <c:v>1.4710000000000001</c:v>
                </c:pt>
                <c:pt idx="43">
                  <c:v>1.498</c:v>
                </c:pt>
                <c:pt idx="44">
                  <c:v>1.468</c:v>
                </c:pt>
                <c:pt idx="45">
                  <c:v>1.397</c:v>
                </c:pt>
                <c:pt idx="46">
                  <c:v>1.5669999999999999</c:v>
                </c:pt>
                <c:pt idx="47">
                  <c:v>1.514</c:v>
                </c:pt>
                <c:pt idx="48">
                  <c:v>1.492</c:v>
                </c:pt>
                <c:pt idx="49">
                  <c:v>1.552</c:v>
                </c:pt>
                <c:pt idx="50">
                  <c:v>1.7090000000000001</c:v>
                </c:pt>
                <c:pt idx="51">
                  <c:v>1.637</c:v>
                </c:pt>
                <c:pt idx="52">
                  <c:v>1.635</c:v>
                </c:pt>
                <c:pt idx="53">
                  <c:v>1.585</c:v>
                </c:pt>
                <c:pt idx="54">
                  <c:v>1.7450000000000001</c:v>
                </c:pt>
                <c:pt idx="55">
                  <c:v>2.1549999999999998</c:v>
                </c:pt>
                <c:pt idx="56">
                  <c:v>2.2730000000000001</c:v>
                </c:pt>
                <c:pt idx="57">
                  <c:v>2.3410000000000002</c:v>
                </c:pt>
                <c:pt idx="58">
                  <c:v>2.2709999999999999</c:v>
                </c:pt>
                <c:pt idx="59">
                  <c:v>2.2789999999999999</c:v>
                </c:pt>
                <c:pt idx="60">
                  <c:v>2.2570000000000001</c:v>
                </c:pt>
                <c:pt idx="61">
                  <c:v>2.2490000000000001</c:v>
                </c:pt>
                <c:pt idx="62">
                  <c:v>2.306</c:v>
                </c:pt>
                <c:pt idx="63">
                  <c:v>2.4929999999999999</c:v>
                </c:pt>
                <c:pt idx="64">
                  <c:v>2.355</c:v>
                </c:pt>
                <c:pt idx="65">
                  <c:v>2.4550000000000001</c:v>
                </c:pt>
                <c:pt idx="66">
                  <c:v>2.468</c:v>
                </c:pt>
                <c:pt idx="67">
                  <c:v>2.6230000000000002</c:v>
                </c:pt>
                <c:pt idx="68">
                  <c:v>2.5430000000000001</c:v>
                </c:pt>
                <c:pt idx="69">
                  <c:v>2.48</c:v>
                </c:pt>
                <c:pt idx="70">
                  <c:v>2.298</c:v>
                </c:pt>
                <c:pt idx="71">
                  <c:v>2.548</c:v>
                </c:pt>
                <c:pt idx="72">
                  <c:v>2.6040000000000001</c:v>
                </c:pt>
                <c:pt idx="73">
                  <c:v>2.7690000000000001</c:v>
                </c:pt>
                <c:pt idx="74">
                  <c:v>2.5419999999999998</c:v>
                </c:pt>
                <c:pt idx="75">
                  <c:v>2.6070000000000002</c:v>
                </c:pt>
                <c:pt idx="76">
                  <c:v>2.39</c:v>
                </c:pt>
                <c:pt idx="77">
                  <c:v>2.4169999999999998</c:v>
                </c:pt>
                <c:pt idx="78">
                  <c:v>2.3860000000000001</c:v>
                </c:pt>
                <c:pt idx="79">
                  <c:v>2.5870000000000002</c:v>
                </c:pt>
                <c:pt idx="80">
                  <c:v>2.5249999999999999</c:v>
                </c:pt>
                <c:pt idx="81">
                  <c:v>2.4049999999999998</c:v>
                </c:pt>
                <c:pt idx="82">
                  <c:v>2.419</c:v>
                </c:pt>
                <c:pt idx="83">
                  <c:v>2.46</c:v>
                </c:pt>
                <c:pt idx="84">
                  <c:v>2.3769999999999998</c:v>
                </c:pt>
                <c:pt idx="85">
                  <c:v>2.4249999999999998</c:v>
                </c:pt>
                <c:pt idx="86">
                  <c:v>2.48</c:v>
                </c:pt>
                <c:pt idx="87">
                  <c:v>2.4209999999999998</c:v>
                </c:pt>
                <c:pt idx="88">
                  <c:v>2.444</c:v>
                </c:pt>
                <c:pt idx="89">
                  <c:v>2.23</c:v>
                </c:pt>
                <c:pt idx="90">
                  <c:v>2.2210000000000001</c:v>
                </c:pt>
                <c:pt idx="91">
                  <c:v>2.1259999999999999</c:v>
                </c:pt>
                <c:pt idx="92">
                  <c:v>2.0150000000000001</c:v>
                </c:pt>
                <c:pt idx="93">
                  <c:v>2.2610000000000001</c:v>
                </c:pt>
                <c:pt idx="94">
                  <c:v>2.2799999999999998</c:v>
                </c:pt>
                <c:pt idx="95">
                  <c:v>2.2349999999999999</c:v>
                </c:pt>
                <c:pt idx="96">
                  <c:v>2.2989999999999999</c:v>
                </c:pt>
                <c:pt idx="97">
                  <c:v>2.3069999999999999</c:v>
                </c:pt>
                <c:pt idx="98">
                  <c:v>2.2799999999999998</c:v>
                </c:pt>
                <c:pt idx="99">
                  <c:v>2.3919999999999999</c:v>
                </c:pt>
                <c:pt idx="100">
                  <c:v>2.2869999999999999</c:v>
                </c:pt>
                <c:pt idx="101">
                  <c:v>2.2890000000000001</c:v>
                </c:pt>
                <c:pt idx="102">
                  <c:v>2.3079999999999998</c:v>
                </c:pt>
                <c:pt idx="103">
                  <c:v>2.4220000000000002</c:v>
                </c:pt>
                <c:pt idx="104">
                  <c:v>2.36</c:v>
                </c:pt>
                <c:pt idx="105">
                  <c:v>2.452</c:v>
                </c:pt>
                <c:pt idx="106">
                  <c:v>2.423</c:v>
                </c:pt>
                <c:pt idx="107">
                  <c:v>2.3109999999999999</c:v>
                </c:pt>
                <c:pt idx="108">
                  <c:v>2.4409999999999998</c:v>
                </c:pt>
                <c:pt idx="109">
                  <c:v>2.52</c:v>
                </c:pt>
                <c:pt idx="110">
                  <c:v>2.5510000000000002</c:v>
                </c:pt>
                <c:pt idx="111">
                  <c:v>2.4790000000000001</c:v>
                </c:pt>
                <c:pt idx="112">
                  <c:v>2.4460000000000002</c:v>
                </c:pt>
                <c:pt idx="113">
                  <c:v>2.4809999999999999</c:v>
                </c:pt>
                <c:pt idx="114">
                  <c:v>2.5089999999999999</c:v>
                </c:pt>
                <c:pt idx="115">
                  <c:v>2.34</c:v>
                </c:pt>
                <c:pt idx="116">
                  <c:v>2.4420000000000002</c:v>
                </c:pt>
                <c:pt idx="117">
                  <c:v>2.3780000000000001</c:v>
                </c:pt>
                <c:pt idx="118">
                  <c:v>2.3719999999999999</c:v>
                </c:pt>
                <c:pt idx="119">
                  <c:v>2.1800000000000002</c:v>
                </c:pt>
                <c:pt idx="120">
                  <c:v>2.0619999999999998</c:v>
                </c:pt>
                <c:pt idx="121">
                  <c:v>1.9910000000000001</c:v>
                </c:pt>
                <c:pt idx="122">
                  <c:v>2.0670000000000002</c:v>
                </c:pt>
                <c:pt idx="123">
                  <c:v>2.093</c:v>
                </c:pt>
                <c:pt idx="124">
                  <c:v>2.1139999999999999</c:v>
                </c:pt>
                <c:pt idx="125">
                  <c:v>2.1760000000000002</c:v>
                </c:pt>
                <c:pt idx="126">
                  <c:v>2.3769999999999998</c:v>
                </c:pt>
                <c:pt idx="127">
                  <c:v>2.3050000000000002</c:v>
                </c:pt>
                <c:pt idx="128">
                  <c:v>2.0169999999999999</c:v>
                </c:pt>
                <c:pt idx="129">
                  <c:v>2.282</c:v>
                </c:pt>
                <c:pt idx="130">
                  <c:v>2.5019999999999998</c:v>
                </c:pt>
                <c:pt idx="131">
                  <c:v>2.6469999999999998</c:v>
                </c:pt>
                <c:pt idx="132">
                  <c:v>2.6320000000000001</c:v>
                </c:pt>
                <c:pt idx="133">
                  <c:v>2.7519999999999998</c:v>
                </c:pt>
                <c:pt idx="134">
                  <c:v>2.8919999999999999</c:v>
                </c:pt>
                <c:pt idx="135">
                  <c:v>2.6920000000000002</c:v>
                </c:pt>
                <c:pt idx="136">
                  <c:v>2.6080000000000001</c:v>
                </c:pt>
                <c:pt idx="137">
                  <c:v>2.8159999999999998</c:v>
                </c:pt>
                <c:pt idx="138">
                  <c:v>2.7669999999999999</c:v>
                </c:pt>
                <c:pt idx="139">
                  <c:v>2.7069999999999999</c:v>
                </c:pt>
                <c:pt idx="140">
                  <c:v>2.8740000000000001</c:v>
                </c:pt>
                <c:pt idx="141">
                  <c:v>2.774</c:v>
                </c:pt>
                <c:pt idx="142">
                  <c:v>2.706</c:v>
                </c:pt>
                <c:pt idx="143">
                  <c:v>3.8140000000000001</c:v>
                </c:pt>
                <c:pt idx="144">
                  <c:v>3.843</c:v>
                </c:pt>
                <c:pt idx="145">
                  <c:v>3.694</c:v>
                </c:pt>
                <c:pt idx="146">
                  <c:v>3.6789999999999998</c:v>
                </c:pt>
                <c:pt idx="147">
                  <c:v>3.6230000000000002</c:v>
                </c:pt>
                <c:pt idx="148">
                  <c:v>3.673</c:v>
                </c:pt>
                <c:pt idx="149">
                  <c:v>3.5169999999999999</c:v>
                </c:pt>
                <c:pt idx="150">
                  <c:v>3.5150000000000001</c:v>
                </c:pt>
                <c:pt idx="151">
                  <c:v>3.726</c:v>
                </c:pt>
                <c:pt idx="152">
                  <c:v>3.8519999999999999</c:v>
                </c:pt>
                <c:pt idx="153">
                  <c:v>4.0010000000000003</c:v>
                </c:pt>
                <c:pt idx="154">
                  <c:v>3.7269999999999999</c:v>
                </c:pt>
                <c:pt idx="155">
                  <c:v>3.98</c:v>
                </c:pt>
                <c:pt idx="156">
                  <c:v>3.8690000000000002</c:v>
                </c:pt>
                <c:pt idx="157">
                  <c:v>3.8010000000000002</c:v>
                </c:pt>
                <c:pt idx="158">
                  <c:v>3.6970000000000001</c:v>
                </c:pt>
                <c:pt idx="159">
                  <c:v>3.7549999999999999</c:v>
                </c:pt>
                <c:pt idx="160">
                  <c:v>3.7120000000000002</c:v>
                </c:pt>
                <c:pt idx="161">
                  <c:v>3.6040000000000001</c:v>
                </c:pt>
                <c:pt idx="162">
                  <c:v>3.1589999999999998</c:v>
                </c:pt>
                <c:pt idx="163">
                  <c:v>3.0179999999999998</c:v>
                </c:pt>
                <c:pt idx="164">
                  <c:v>3.2480000000000002</c:v>
                </c:pt>
                <c:pt idx="165">
                  <c:v>3.4630000000000001</c:v>
                </c:pt>
                <c:pt idx="166">
                  <c:v>3.468</c:v>
                </c:pt>
                <c:pt idx="167">
                  <c:v>3.5779999999999998</c:v>
                </c:pt>
                <c:pt idx="168">
                  <c:v>3.2850000000000001</c:v>
                </c:pt>
                <c:pt idx="169">
                  <c:v>3.222</c:v>
                </c:pt>
                <c:pt idx="170">
                  <c:v>3.0579999999999998</c:v>
                </c:pt>
                <c:pt idx="171">
                  <c:v>2.9710000000000001</c:v>
                </c:pt>
                <c:pt idx="172">
                  <c:v>2.472</c:v>
                </c:pt>
                <c:pt idx="173">
                  <c:v>2.6150000000000002</c:v>
                </c:pt>
                <c:pt idx="174">
                  <c:v>2.581</c:v>
                </c:pt>
                <c:pt idx="175">
                  <c:v>2.3410000000000002</c:v>
                </c:pt>
                <c:pt idx="176">
                  <c:v>2.286</c:v>
                </c:pt>
                <c:pt idx="177">
                  <c:v>2.17</c:v>
                </c:pt>
                <c:pt idx="178">
                  <c:v>2.2290000000000001</c:v>
                </c:pt>
                <c:pt idx="179">
                  <c:v>2.0990000000000002</c:v>
                </c:pt>
                <c:pt idx="180">
                  <c:v>2.1539999999999999</c:v>
                </c:pt>
                <c:pt idx="181">
                  <c:v>2.056</c:v>
                </c:pt>
                <c:pt idx="182">
                  <c:v>1.9950000000000001</c:v>
                </c:pt>
                <c:pt idx="183">
                  <c:v>1.8169999999999999</c:v>
                </c:pt>
                <c:pt idx="184">
                  <c:v>1.764</c:v>
                </c:pt>
                <c:pt idx="185">
                  <c:v>1.675</c:v>
                </c:pt>
                <c:pt idx="186">
                  <c:v>1.64</c:v>
                </c:pt>
                <c:pt idx="187">
                  <c:v>1.63</c:v>
                </c:pt>
                <c:pt idx="188">
                  <c:v>1.59</c:v>
                </c:pt>
                <c:pt idx="189">
                  <c:v>1.552</c:v>
                </c:pt>
                <c:pt idx="190">
                  <c:v>1.5289999999999999</c:v>
                </c:pt>
                <c:pt idx="191">
                  <c:v>1.43</c:v>
                </c:pt>
                <c:pt idx="192">
                  <c:v>1.554</c:v>
                </c:pt>
                <c:pt idx="193">
                  <c:v>1.7090000000000001</c:v>
                </c:pt>
                <c:pt idx="194">
                  <c:v>1.677</c:v>
                </c:pt>
                <c:pt idx="195">
                  <c:v>1.6559999999999999</c:v>
                </c:pt>
                <c:pt idx="196">
                  <c:v>1.7310000000000001</c:v>
                </c:pt>
                <c:pt idx="197">
                  <c:v>1.831</c:v>
                </c:pt>
                <c:pt idx="198">
                  <c:v>1.8320000000000001</c:v>
                </c:pt>
                <c:pt idx="199">
                  <c:v>1.9039999999999999</c:v>
                </c:pt>
                <c:pt idx="200">
                  <c:v>1.952</c:v>
                </c:pt>
                <c:pt idx="201">
                  <c:v>1.9139999999999999</c:v>
                </c:pt>
                <c:pt idx="202">
                  <c:v>1.9490000000000001</c:v>
                </c:pt>
                <c:pt idx="203">
                  <c:v>1.931</c:v>
                </c:pt>
                <c:pt idx="204">
                  <c:v>2.0979999999999999</c:v>
                </c:pt>
                <c:pt idx="205">
                  <c:v>2.0950000000000002</c:v>
                </c:pt>
                <c:pt idx="206">
                  <c:v>1.948</c:v>
                </c:pt>
                <c:pt idx="207">
                  <c:v>2.0219999999999998</c:v>
                </c:pt>
                <c:pt idx="208">
                  <c:v>1.9379999999999999</c:v>
                </c:pt>
                <c:pt idx="209">
                  <c:v>1.887</c:v>
                </c:pt>
                <c:pt idx="210">
                  <c:v>1.899</c:v>
                </c:pt>
                <c:pt idx="211">
                  <c:v>2.0249999999999999</c:v>
                </c:pt>
                <c:pt idx="212">
                  <c:v>2.0209999999999999</c:v>
                </c:pt>
                <c:pt idx="213">
                  <c:v>1.893</c:v>
                </c:pt>
                <c:pt idx="214">
                  <c:v>1.867</c:v>
                </c:pt>
                <c:pt idx="215">
                  <c:v>1.742</c:v>
                </c:pt>
                <c:pt idx="216">
                  <c:v>1.7030000000000001</c:v>
                </c:pt>
                <c:pt idx="217">
                  <c:v>1.913</c:v>
                </c:pt>
                <c:pt idx="218">
                  <c:v>1.873</c:v>
                </c:pt>
                <c:pt idx="219">
                  <c:v>1.6859999999999999</c:v>
                </c:pt>
                <c:pt idx="220">
                  <c:v>1.8280000000000001</c:v>
                </c:pt>
                <c:pt idx="221">
                  <c:v>2.1960000000000002</c:v>
                </c:pt>
                <c:pt idx="222">
                  <c:v>2.0649999999999999</c:v>
                </c:pt>
                <c:pt idx="223">
                  <c:v>2.0640000000000001</c:v>
                </c:pt>
                <c:pt idx="224">
                  <c:v>2.23</c:v>
                </c:pt>
                <c:pt idx="225">
                  <c:v>2.3250000000000002</c:v>
                </c:pt>
                <c:pt idx="226">
                  <c:v>2.1829999999999998</c:v>
                </c:pt>
                <c:pt idx="227">
                  <c:v>2.0779999999999998</c:v>
                </c:pt>
                <c:pt idx="228">
                  <c:v>1.913</c:v>
                </c:pt>
                <c:pt idx="229">
                  <c:v>1.6919999999999999</c:v>
                </c:pt>
                <c:pt idx="230">
                  <c:v>1.7490000000000001</c:v>
                </c:pt>
                <c:pt idx="231">
                  <c:v>1.869</c:v>
                </c:pt>
                <c:pt idx="232">
                  <c:v>2.0219999999999998</c:v>
                </c:pt>
                <c:pt idx="233">
                  <c:v>1.897</c:v>
                </c:pt>
                <c:pt idx="234">
                  <c:v>1.923</c:v>
                </c:pt>
                <c:pt idx="235">
                  <c:v>2.1389999999999998</c:v>
                </c:pt>
                <c:pt idx="236">
                  <c:v>2.0169999999999999</c:v>
                </c:pt>
                <c:pt idx="237">
                  <c:v>2.0830000000000002</c:v>
                </c:pt>
                <c:pt idx="238">
                  <c:v>2.3290000000000002</c:v>
                </c:pt>
                <c:pt idx="239">
                  <c:v>2.1779999999999999</c:v>
                </c:pt>
                <c:pt idx="240">
                  <c:v>2.0419999999999998</c:v>
                </c:pt>
                <c:pt idx="241">
                  <c:v>2.1150000000000002</c:v>
                </c:pt>
                <c:pt idx="242">
                  <c:v>1.9610000000000001</c:v>
                </c:pt>
                <c:pt idx="243">
                  <c:v>1.865</c:v>
                </c:pt>
                <c:pt idx="244">
                  <c:v>2.004</c:v>
                </c:pt>
                <c:pt idx="245">
                  <c:v>2.2690000000000001</c:v>
                </c:pt>
                <c:pt idx="246">
                  <c:v>2.4460000000000002</c:v>
                </c:pt>
                <c:pt idx="247">
                  <c:v>2.2210000000000001</c:v>
                </c:pt>
                <c:pt idx="248">
                  <c:v>2.141</c:v>
                </c:pt>
                <c:pt idx="249">
                  <c:v>1.6839999999999999</c:v>
                </c:pt>
                <c:pt idx="250">
                  <c:v>2.016</c:v>
                </c:pt>
                <c:pt idx="251">
                  <c:v>2.2280000000000002</c:v>
                </c:pt>
                <c:pt idx="252">
                  <c:v>2.589</c:v>
                </c:pt>
                <c:pt idx="253">
                  <c:v>1.968</c:v>
                </c:pt>
                <c:pt idx="254">
                  <c:v>3.8210000000000002</c:v>
                </c:pt>
                <c:pt idx="255">
                  <c:v>3.6989999999999998</c:v>
                </c:pt>
                <c:pt idx="256">
                  <c:v>3.8039999999999998</c:v>
                </c:pt>
                <c:pt idx="257">
                  <c:v>3.6880000000000002</c:v>
                </c:pt>
                <c:pt idx="258">
                  <c:v>4.069</c:v>
                </c:pt>
                <c:pt idx="259">
                  <c:v>3.9630000000000001</c:v>
                </c:pt>
                <c:pt idx="260">
                  <c:v>3.9620000000000002</c:v>
                </c:pt>
                <c:pt idx="261">
                  <c:v>4.7759999999999998</c:v>
                </c:pt>
                <c:pt idx="262">
                  <c:v>4.415</c:v>
                </c:pt>
                <c:pt idx="263">
                  <c:v>5.077</c:v>
                </c:pt>
                <c:pt idx="264">
                  <c:v>4.84</c:v>
                </c:pt>
                <c:pt idx="265">
                  <c:v>4.8159999999999998</c:v>
                </c:pt>
                <c:pt idx="266">
                  <c:v>4.8959999999999999</c:v>
                </c:pt>
                <c:pt idx="267">
                  <c:v>5.0460000000000003</c:v>
                </c:pt>
                <c:pt idx="268">
                  <c:v>4.7069999999999999</c:v>
                </c:pt>
                <c:pt idx="269">
                  <c:v>5.4690000000000003</c:v>
                </c:pt>
                <c:pt idx="270">
                  <c:v>5.4509999999999996</c:v>
                </c:pt>
                <c:pt idx="271">
                  <c:v>5.0750000000000002</c:v>
                </c:pt>
                <c:pt idx="272">
                  <c:v>5.2469999999999999</c:v>
                </c:pt>
                <c:pt idx="273">
                  <c:v>4.6189999999999998</c:v>
                </c:pt>
                <c:pt idx="274">
                  <c:v>4.1379999999999999</c:v>
                </c:pt>
                <c:pt idx="275">
                  <c:v>4.1180000000000003</c:v>
                </c:pt>
                <c:pt idx="276">
                  <c:v>3.6219999999999999</c:v>
                </c:pt>
                <c:pt idx="277">
                  <c:v>2.9350000000000001</c:v>
                </c:pt>
                <c:pt idx="278">
                  <c:v>3.0150000000000001</c:v>
                </c:pt>
                <c:pt idx="279">
                  <c:v>3.145</c:v>
                </c:pt>
                <c:pt idx="280">
                  <c:v>3.4220000000000002</c:v>
                </c:pt>
                <c:pt idx="281">
                  <c:v>3.73</c:v>
                </c:pt>
                <c:pt idx="282">
                  <c:v>3.8660000000000001</c:v>
                </c:pt>
                <c:pt idx="283">
                  <c:v>3.657</c:v>
                </c:pt>
                <c:pt idx="284">
                  <c:v>4.1150000000000002</c:v>
                </c:pt>
                <c:pt idx="285">
                  <c:v>4.6260000000000003</c:v>
                </c:pt>
                <c:pt idx="286">
                  <c:v>4.883</c:v>
                </c:pt>
                <c:pt idx="287">
                  <c:v>4.6929999999999996</c:v>
                </c:pt>
                <c:pt idx="288">
                  <c:v>4.5170000000000003</c:v>
                </c:pt>
                <c:pt idx="289">
                  <c:v>4.6189999999999998</c:v>
                </c:pt>
                <c:pt idx="290">
                  <c:v>4.7359999999999998</c:v>
                </c:pt>
                <c:pt idx="291">
                  <c:v>5.03</c:v>
                </c:pt>
                <c:pt idx="292">
                  <c:v>5.1790000000000003</c:v>
                </c:pt>
                <c:pt idx="293">
                  <c:v>4.7699999999999996</c:v>
                </c:pt>
                <c:pt idx="294">
                  <c:v>4.6689999999999996</c:v>
                </c:pt>
                <c:pt idx="295">
                  <c:v>4.0830000000000002</c:v>
                </c:pt>
                <c:pt idx="296">
                  <c:v>4.6369999999999996</c:v>
                </c:pt>
                <c:pt idx="297">
                  <c:v>4.72</c:v>
                </c:pt>
                <c:pt idx="298">
                  <c:v>4.4580000000000002</c:v>
                </c:pt>
                <c:pt idx="299">
                  <c:v>3.3759999999999999</c:v>
                </c:pt>
                <c:pt idx="300">
                  <c:v>3.734</c:v>
                </c:pt>
                <c:pt idx="301">
                  <c:v>3.6680000000000001</c:v>
                </c:pt>
                <c:pt idx="302">
                  <c:v>3.496</c:v>
                </c:pt>
                <c:pt idx="303">
                  <c:v>3.6429999999999998</c:v>
                </c:pt>
                <c:pt idx="304">
                  <c:v>3.2949999999999999</c:v>
                </c:pt>
                <c:pt idx="305">
                  <c:v>3.1040000000000001</c:v>
                </c:pt>
                <c:pt idx="306">
                  <c:v>3.1619999999999999</c:v>
                </c:pt>
                <c:pt idx="307">
                  <c:v>3.044</c:v>
                </c:pt>
                <c:pt idx="308">
                  <c:v>2.7709999999999999</c:v>
                </c:pt>
                <c:pt idx="309">
                  <c:v>2.8759999999999999</c:v>
                </c:pt>
                <c:pt idx="310">
                  <c:v>3.2610000000000001</c:v>
                </c:pt>
                <c:pt idx="311">
                  <c:v>3.383</c:v>
                </c:pt>
                <c:pt idx="312">
                  <c:v>3.8239999999999998</c:v>
                </c:pt>
                <c:pt idx="313">
                  <c:v>3.569</c:v>
                </c:pt>
                <c:pt idx="314">
                  <c:v>3.9729999999999999</c:v>
                </c:pt>
                <c:pt idx="315">
                  <c:v>3.36</c:v>
                </c:pt>
                <c:pt idx="316">
                  <c:v>3.218</c:v>
                </c:pt>
                <c:pt idx="317">
                  <c:v>3.1549999999999998</c:v>
                </c:pt>
                <c:pt idx="318">
                  <c:v>2.875</c:v>
                </c:pt>
                <c:pt idx="319">
                  <c:v>3.0329999999999999</c:v>
                </c:pt>
                <c:pt idx="320">
                  <c:v>3.0390000000000001</c:v>
                </c:pt>
                <c:pt idx="321">
                  <c:v>3.2759999999999998</c:v>
                </c:pt>
                <c:pt idx="322">
                  <c:v>3.419</c:v>
                </c:pt>
                <c:pt idx="323">
                  <c:v>3.14</c:v>
                </c:pt>
                <c:pt idx="324">
                  <c:v>2.9950000000000001</c:v>
                </c:pt>
                <c:pt idx="325">
                  <c:v>2.863</c:v>
                </c:pt>
                <c:pt idx="326">
                  <c:v>2.59</c:v>
                </c:pt>
                <c:pt idx="327">
                  <c:v>2.379</c:v>
                </c:pt>
                <c:pt idx="328">
                  <c:v>2.383</c:v>
                </c:pt>
                <c:pt idx="329">
                  <c:v>2.4350000000000001</c:v>
                </c:pt>
                <c:pt idx="330">
                  <c:v>2.6080000000000001</c:v>
                </c:pt>
                <c:pt idx="331">
                  <c:v>2.2309999999999999</c:v>
                </c:pt>
                <c:pt idx="332">
                  <c:v>2.246</c:v>
                </c:pt>
                <c:pt idx="333">
                  <c:v>1.9910000000000001</c:v>
                </c:pt>
                <c:pt idx="334">
                  <c:v>2.2240000000000002</c:v>
                </c:pt>
                <c:pt idx="335">
                  <c:v>2.2309999999999999</c:v>
                </c:pt>
                <c:pt idx="336">
                  <c:v>2.2749999999999999</c:v>
                </c:pt>
                <c:pt idx="337">
                  <c:v>2.302</c:v>
                </c:pt>
                <c:pt idx="338">
                  <c:v>2.29</c:v>
                </c:pt>
                <c:pt idx="339">
                  <c:v>2.8319999999999999</c:v>
                </c:pt>
                <c:pt idx="340">
                  <c:v>3.093</c:v>
                </c:pt>
                <c:pt idx="341">
                  <c:v>3.0219999999999998</c:v>
                </c:pt>
                <c:pt idx="342">
                  <c:v>3.4820000000000002</c:v>
                </c:pt>
                <c:pt idx="343">
                  <c:v>3.121</c:v>
                </c:pt>
                <c:pt idx="344">
                  <c:v>2.4769999999999999</c:v>
                </c:pt>
                <c:pt idx="345">
                  <c:v>2.226</c:v>
                </c:pt>
                <c:pt idx="346">
                  <c:v>2.198</c:v>
                </c:pt>
                <c:pt idx="347">
                  <c:v>2.3119999999999998</c:v>
                </c:pt>
                <c:pt idx="348">
                  <c:v>2.702</c:v>
                </c:pt>
                <c:pt idx="349">
                  <c:v>2.8210000000000002</c:v>
                </c:pt>
                <c:pt idx="350">
                  <c:v>2.62</c:v>
                </c:pt>
                <c:pt idx="351">
                  <c:v>2.3570000000000002</c:v>
                </c:pt>
                <c:pt idx="352">
                  <c:v>2.4279999999999999</c:v>
                </c:pt>
                <c:pt idx="353">
                  <c:v>2.214</c:v>
                </c:pt>
                <c:pt idx="354">
                  <c:v>1.99</c:v>
                </c:pt>
                <c:pt idx="355">
                  <c:v>1.7529999999999999</c:v>
                </c:pt>
                <c:pt idx="356">
                  <c:v>1.7689999999999999</c:v>
                </c:pt>
                <c:pt idx="357">
                  <c:v>1.726</c:v>
                </c:pt>
                <c:pt idx="358">
                  <c:v>1.53</c:v>
                </c:pt>
                <c:pt idx="359">
                  <c:v>1.32</c:v>
                </c:pt>
                <c:pt idx="360">
                  <c:v>1.2749999999999999</c:v>
                </c:pt>
                <c:pt idx="361">
                  <c:v>1.3560000000000001</c:v>
                </c:pt>
                <c:pt idx="362">
                  <c:v>1.25</c:v>
                </c:pt>
                <c:pt idx="363">
                  <c:v>1.2350000000000001</c:v>
                </c:pt>
                <c:pt idx="364">
                  <c:v>1.21</c:v>
                </c:pt>
                <c:pt idx="365">
                  <c:v>1.256</c:v>
                </c:pt>
                <c:pt idx="366">
                  <c:v>1.028</c:v>
                </c:pt>
                <c:pt idx="367">
                  <c:v>0.97699999999999998</c:v>
                </c:pt>
                <c:pt idx="368">
                  <c:v>0.99099999999999999</c:v>
                </c:pt>
                <c:pt idx="369">
                  <c:v>0.98</c:v>
                </c:pt>
                <c:pt idx="370">
                  <c:v>0.88900000000000001</c:v>
                </c:pt>
                <c:pt idx="371">
                  <c:v>0.84899999999999998</c:v>
                </c:pt>
                <c:pt idx="372">
                  <c:v>1.0189999999999999</c:v>
                </c:pt>
                <c:pt idx="373">
                  <c:v>1.0069999999999999</c:v>
                </c:pt>
                <c:pt idx="374">
                  <c:v>1.1499999999999999</c:v>
                </c:pt>
                <c:pt idx="375">
                  <c:v>1.0289999999999999</c:v>
                </c:pt>
                <c:pt idx="376">
                  <c:v>0.95299999999999996</c:v>
                </c:pt>
                <c:pt idx="377">
                  <c:v>0.90400000000000003</c:v>
                </c:pt>
                <c:pt idx="378">
                  <c:v>0.88100000000000001</c:v>
                </c:pt>
                <c:pt idx="379">
                  <c:v>0.88300000000000001</c:v>
                </c:pt>
                <c:pt idx="380">
                  <c:v>0.81100000000000005</c:v>
                </c:pt>
                <c:pt idx="381">
                  <c:v>0.84699999999999998</c:v>
                </c:pt>
                <c:pt idx="382">
                  <c:v>1.012</c:v>
                </c:pt>
                <c:pt idx="383">
                  <c:v>1.0409999999999999</c:v>
                </c:pt>
                <c:pt idx="384">
                  <c:v>0.98399999999999999</c:v>
                </c:pt>
                <c:pt idx="385">
                  <c:v>0.872</c:v>
                </c:pt>
                <c:pt idx="386">
                  <c:v>0.82599999999999996</c:v>
                </c:pt>
                <c:pt idx="387">
                  <c:v>0.75800000000000001</c:v>
                </c:pt>
                <c:pt idx="388">
                  <c:v>0.73099999999999998</c:v>
                </c:pt>
                <c:pt idx="389">
                  <c:v>0.77200000000000002</c:v>
                </c:pt>
                <c:pt idx="390">
                  <c:v>0.746</c:v>
                </c:pt>
                <c:pt idx="391">
                  <c:v>0.71199999999999997</c:v>
                </c:pt>
                <c:pt idx="392">
                  <c:v>0.74199999999999999</c:v>
                </c:pt>
                <c:pt idx="393">
                  <c:v>0.67400000000000004</c:v>
                </c:pt>
                <c:pt idx="394">
                  <c:v>0.63800000000000001</c:v>
                </c:pt>
                <c:pt idx="395">
                  <c:v>0.67</c:v>
                </c:pt>
                <c:pt idx="396">
                  <c:v>0.67200000000000004</c:v>
                </c:pt>
                <c:pt idx="397">
                  <c:v>0.69</c:v>
                </c:pt>
                <c:pt idx="398">
                  <c:v>0.71</c:v>
                </c:pt>
                <c:pt idx="399">
                  <c:v>0.72799999999999998</c:v>
                </c:pt>
                <c:pt idx="400">
                  <c:v>0.622</c:v>
                </c:pt>
                <c:pt idx="401">
                  <c:v>0.83799999999999997</c:v>
                </c:pt>
                <c:pt idx="402">
                  <c:v>0.85299999999999998</c:v>
                </c:pt>
                <c:pt idx="403">
                  <c:v>0.91200000000000003</c:v>
                </c:pt>
                <c:pt idx="404">
                  <c:v>0.93100000000000005</c:v>
                </c:pt>
                <c:pt idx="405">
                  <c:v>0.92800000000000005</c:v>
                </c:pt>
                <c:pt idx="406">
                  <c:v>0.92100000000000004</c:v>
                </c:pt>
                <c:pt idx="407">
                  <c:v>0.93600000000000005</c:v>
                </c:pt>
                <c:pt idx="408">
                  <c:v>0.93500000000000005</c:v>
                </c:pt>
                <c:pt idx="409">
                  <c:v>0.85799999999999998</c:v>
                </c:pt>
                <c:pt idx="410">
                  <c:v>0.85299999999999998</c:v>
                </c:pt>
                <c:pt idx="411">
                  <c:v>0.86399999999999999</c:v>
                </c:pt>
                <c:pt idx="412">
                  <c:v>0.80400000000000005</c:v>
                </c:pt>
                <c:pt idx="413">
                  <c:v>0.84099999999999997</c:v>
                </c:pt>
                <c:pt idx="414">
                  <c:v>0.85599999999999998</c:v>
                </c:pt>
                <c:pt idx="415">
                  <c:v>0.85299999999999998</c:v>
                </c:pt>
                <c:pt idx="416">
                  <c:v>0.91200000000000003</c:v>
                </c:pt>
                <c:pt idx="417">
                  <c:v>0.90800000000000003</c:v>
                </c:pt>
                <c:pt idx="418">
                  <c:v>0.92</c:v>
                </c:pt>
                <c:pt idx="419">
                  <c:v>0.871</c:v>
                </c:pt>
                <c:pt idx="420">
                  <c:v>0.96099999999999997</c:v>
                </c:pt>
                <c:pt idx="421">
                  <c:v>0.96699999999999997</c:v>
                </c:pt>
                <c:pt idx="422">
                  <c:v>0.94199999999999995</c:v>
                </c:pt>
                <c:pt idx="423">
                  <c:v>0.97899999999999998</c:v>
                </c:pt>
                <c:pt idx="424">
                  <c:v>0.94599999999999995</c:v>
                </c:pt>
                <c:pt idx="425">
                  <c:v>0.96099999999999997</c:v>
                </c:pt>
                <c:pt idx="426">
                  <c:v>0.96899999999999997</c:v>
                </c:pt>
                <c:pt idx="427">
                  <c:v>0.95299999999999996</c:v>
                </c:pt>
                <c:pt idx="428">
                  <c:v>1.1180000000000001</c:v>
                </c:pt>
                <c:pt idx="429">
                  <c:v>1.1739999999999999</c:v>
                </c:pt>
                <c:pt idx="430">
                  <c:v>1.139</c:v>
                </c:pt>
                <c:pt idx="431">
                  <c:v>1.034</c:v>
                </c:pt>
                <c:pt idx="432">
                  <c:v>1.1319999999999999</c:v>
                </c:pt>
                <c:pt idx="433">
                  <c:v>0.98</c:v>
                </c:pt>
                <c:pt idx="434">
                  <c:v>0.95299999999999996</c:v>
                </c:pt>
                <c:pt idx="435">
                  <c:v>0.97799999999999998</c:v>
                </c:pt>
                <c:pt idx="436">
                  <c:v>1.0489999999999999</c:v>
                </c:pt>
                <c:pt idx="437">
                  <c:v>1.032</c:v>
                </c:pt>
                <c:pt idx="438">
                  <c:v>0.91900000000000004</c:v>
                </c:pt>
                <c:pt idx="439">
                  <c:v>0.93500000000000005</c:v>
                </c:pt>
                <c:pt idx="440">
                  <c:v>0.94799999999999995</c:v>
                </c:pt>
                <c:pt idx="441">
                  <c:v>0.90200000000000002</c:v>
                </c:pt>
                <c:pt idx="442">
                  <c:v>0.95199999999999996</c:v>
                </c:pt>
                <c:pt idx="443">
                  <c:v>1.0149999999999999</c:v>
                </c:pt>
                <c:pt idx="444">
                  <c:v>0.95399999999999996</c:v>
                </c:pt>
                <c:pt idx="445">
                  <c:v>0.98399999999999999</c:v>
                </c:pt>
                <c:pt idx="446">
                  <c:v>1.0009999999999999</c:v>
                </c:pt>
                <c:pt idx="447">
                  <c:v>0.95199999999999996</c:v>
                </c:pt>
                <c:pt idx="448">
                  <c:v>0.81</c:v>
                </c:pt>
                <c:pt idx="449">
                  <c:v>0.76900000000000002</c:v>
                </c:pt>
                <c:pt idx="450">
                  <c:v>0.76900000000000002</c:v>
                </c:pt>
                <c:pt idx="451">
                  <c:v>0.80700000000000005</c:v>
                </c:pt>
                <c:pt idx="452">
                  <c:v>0.82899999999999996</c:v>
                </c:pt>
                <c:pt idx="453">
                  <c:v>0.82299999999999995</c:v>
                </c:pt>
                <c:pt idx="454">
                  <c:v>0.84199999999999997</c:v>
                </c:pt>
                <c:pt idx="455">
                  <c:v>0.872</c:v>
                </c:pt>
                <c:pt idx="456">
                  <c:v>0.86499999999999999</c:v>
                </c:pt>
                <c:pt idx="457">
                  <c:v>1.0009999999999999</c:v>
                </c:pt>
                <c:pt idx="458">
                  <c:v>1.012</c:v>
                </c:pt>
                <c:pt idx="459">
                  <c:v>1.085</c:v>
                </c:pt>
                <c:pt idx="460">
                  <c:v>1.1200000000000001</c:v>
                </c:pt>
                <c:pt idx="461">
                  <c:v>1.1279999999999999</c:v>
                </c:pt>
                <c:pt idx="462">
                  <c:v>1.1659999999999999</c:v>
                </c:pt>
                <c:pt idx="463">
                  <c:v>1.155</c:v>
                </c:pt>
                <c:pt idx="464">
                  <c:v>1.129</c:v>
                </c:pt>
                <c:pt idx="465">
                  <c:v>1.1919999999999999</c:v>
                </c:pt>
                <c:pt idx="466">
                  <c:v>1.2230000000000001</c:v>
                </c:pt>
                <c:pt idx="467">
                  <c:v>1.2070000000000001</c:v>
                </c:pt>
                <c:pt idx="468">
                  <c:v>1.1859999999999999</c:v>
                </c:pt>
                <c:pt idx="469">
                  <c:v>1.2110000000000001</c:v>
                </c:pt>
                <c:pt idx="470">
                  <c:v>1.206</c:v>
                </c:pt>
                <c:pt idx="471">
                  <c:v>1.2609999999999999</c:v>
                </c:pt>
                <c:pt idx="472">
                  <c:v>1.302</c:v>
                </c:pt>
                <c:pt idx="473">
                  <c:v>1.304</c:v>
                </c:pt>
                <c:pt idx="474">
                  <c:v>1.284</c:v>
                </c:pt>
                <c:pt idx="475">
                  <c:v>1.3580000000000001</c:v>
                </c:pt>
                <c:pt idx="476">
                  <c:v>1.3149999999999999</c:v>
                </c:pt>
                <c:pt idx="477">
                  <c:v>1.1859999999999999</c:v>
                </c:pt>
                <c:pt idx="478">
                  <c:v>1.1559999999999999</c:v>
                </c:pt>
                <c:pt idx="479">
                  <c:v>1.367</c:v>
                </c:pt>
                <c:pt idx="480">
                  <c:v>1.363</c:v>
                </c:pt>
                <c:pt idx="481">
                  <c:v>1.381</c:v>
                </c:pt>
                <c:pt idx="482">
                  <c:v>1.4059999999999999</c:v>
                </c:pt>
                <c:pt idx="483">
                  <c:v>1.5509999999999999</c:v>
                </c:pt>
                <c:pt idx="484">
                  <c:v>1.7430000000000001</c:v>
                </c:pt>
                <c:pt idx="485">
                  <c:v>1.5940000000000001</c:v>
                </c:pt>
                <c:pt idx="486">
                  <c:v>1.575</c:v>
                </c:pt>
                <c:pt idx="487">
                  <c:v>1.6890000000000001</c:v>
                </c:pt>
                <c:pt idx="488">
                  <c:v>1.3440000000000001</c:v>
                </c:pt>
                <c:pt idx="489">
                  <c:v>1.26</c:v>
                </c:pt>
                <c:pt idx="490">
                  <c:v>1.234</c:v>
                </c:pt>
                <c:pt idx="491">
                  <c:v>1.079</c:v>
                </c:pt>
                <c:pt idx="492">
                  <c:v>1.2689999999999999</c:v>
                </c:pt>
                <c:pt idx="493">
                  <c:v>1.268</c:v>
                </c:pt>
                <c:pt idx="494">
                  <c:v>1.53</c:v>
                </c:pt>
                <c:pt idx="495">
                  <c:v>1.58</c:v>
                </c:pt>
                <c:pt idx="496">
                  <c:v>1.5409999999999999</c:v>
                </c:pt>
                <c:pt idx="497">
                  <c:v>1.5069999999999999</c:v>
                </c:pt>
                <c:pt idx="498">
                  <c:v>1.5149999999999999</c:v>
                </c:pt>
                <c:pt idx="499">
                  <c:v>1.6220000000000001</c:v>
                </c:pt>
                <c:pt idx="500">
                  <c:v>1.863</c:v>
                </c:pt>
                <c:pt idx="501">
                  <c:v>1.726</c:v>
                </c:pt>
                <c:pt idx="502">
                  <c:v>1.829</c:v>
                </c:pt>
                <c:pt idx="503">
                  <c:v>1.7889999999999999</c:v>
                </c:pt>
                <c:pt idx="504">
                  <c:v>1.7789999999999999</c:v>
                </c:pt>
                <c:pt idx="505">
                  <c:v>1.788</c:v>
                </c:pt>
                <c:pt idx="506">
                  <c:v>1.655</c:v>
                </c:pt>
                <c:pt idx="507">
                  <c:v>1.752</c:v>
                </c:pt>
                <c:pt idx="508">
                  <c:v>1.7969999999999999</c:v>
                </c:pt>
                <c:pt idx="509">
                  <c:v>1.675</c:v>
                </c:pt>
                <c:pt idx="510">
                  <c:v>2.036</c:v>
                </c:pt>
                <c:pt idx="511">
                  <c:v>1.8140000000000001</c:v>
                </c:pt>
                <c:pt idx="512">
                  <c:v>2.3730000000000002</c:v>
                </c:pt>
                <c:pt idx="513">
                  <c:v>2.57</c:v>
                </c:pt>
                <c:pt idx="514">
                  <c:v>2.8479999999999999</c:v>
                </c:pt>
                <c:pt idx="515">
                  <c:v>2.9409999999999998</c:v>
                </c:pt>
                <c:pt idx="516">
                  <c:v>3.032</c:v>
                </c:pt>
                <c:pt idx="517">
                  <c:v>2.9119999999999999</c:v>
                </c:pt>
                <c:pt idx="518">
                  <c:v>2.7650000000000001</c:v>
                </c:pt>
                <c:pt idx="519">
                  <c:v>2.859</c:v>
                </c:pt>
                <c:pt idx="520">
                  <c:v>2.6360000000000001</c:v>
                </c:pt>
                <c:pt idx="521">
                  <c:v>2.9350000000000001</c:v>
                </c:pt>
                <c:pt idx="522">
                  <c:v>2.8530000000000002</c:v>
                </c:pt>
                <c:pt idx="523">
                  <c:v>2.7949999999999999</c:v>
                </c:pt>
                <c:pt idx="524">
                  <c:v>2.6230000000000002</c:v>
                </c:pt>
                <c:pt idx="525">
                  <c:v>3.198</c:v>
                </c:pt>
                <c:pt idx="526">
                  <c:v>3.09</c:v>
                </c:pt>
                <c:pt idx="527">
                  <c:v>3.6070000000000002</c:v>
                </c:pt>
                <c:pt idx="528">
                  <c:v>3.1030000000000002</c:v>
                </c:pt>
                <c:pt idx="529">
                  <c:v>3.4140000000000001</c:v>
                </c:pt>
                <c:pt idx="530">
                  <c:v>3.3319999999999999</c:v>
                </c:pt>
                <c:pt idx="531">
                  <c:v>3.7149999999999999</c:v>
                </c:pt>
                <c:pt idx="532">
                  <c:v>4.3220000000000001</c:v>
                </c:pt>
                <c:pt idx="533">
                  <c:v>3.831</c:v>
                </c:pt>
                <c:pt idx="534">
                  <c:v>3.1549999999999998</c:v>
                </c:pt>
                <c:pt idx="535">
                  <c:v>2.532</c:v>
                </c:pt>
                <c:pt idx="536">
                  <c:v>2.3460000000000001</c:v>
                </c:pt>
                <c:pt idx="537">
                  <c:v>2.1459999999999999</c:v>
                </c:pt>
                <c:pt idx="538">
                  <c:v>1.839</c:v>
                </c:pt>
                <c:pt idx="539">
                  <c:v>1.923</c:v>
                </c:pt>
                <c:pt idx="540">
                  <c:v>1.7829999999999999</c:v>
                </c:pt>
                <c:pt idx="541">
                  <c:v>1.849</c:v>
                </c:pt>
                <c:pt idx="542">
                  <c:v>1.931</c:v>
                </c:pt>
                <c:pt idx="543">
                  <c:v>1.7350000000000001</c:v>
                </c:pt>
                <c:pt idx="544">
                  <c:v>1.6319999999999999</c:v>
                </c:pt>
                <c:pt idx="545">
                  <c:v>1.7589999999999999</c:v>
                </c:pt>
                <c:pt idx="546">
                  <c:v>1.52</c:v>
                </c:pt>
                <c:pt idx="547">
                  <c:v>1.5669999999999999</c:v>
                </c:pt>
                <c:pt idx="548">
                  <c:v>1.613</c:v>
                </c:pt>
                <c:pt idx="549">
                  <c:v>1.512</c:v>
                </c:pt>
                <c:pt idx="550">
                  <c:v>1.9019999999999999</c:v>
                </c:pt>
                <c:pt idx="551">
                  <c:v>1.996</c:v>
                </c:pt>
                <c:pt idx="552">
                  <c:v>2.0329999999999999</c:v>
                </c:pt>
                <c:pt idx="553">
                  <c:v>1.6319999999999999</c:v>
                </c:pt>
                <c:pt idx="554">
                  <c:v>1.536</c:v>
                </c:pt>
                <c:pt idx="555">
                  <c:v>1.655</c:v>
                </c:pt>
                <c:pt idx="556">
                  <c:v>1.655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D-4BC2-A3D6-1B2F1F525F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5.5197530743639067</c:v>
                </c:pt>
                <c:pt idx="1">
                  <c:v>5.5285810084750171</c:v>
                </c:pt>
                <c:pt idx="2">
                  <c:v>5.591602671918805</c:v>
                </c:pt>
                <c:pt idx="3">
                  <c:v>5.5489288814117623</c:v>
                </c:pt>
                <c:pt idx="4">
                  <c:v>5.456282799986238</c:v>
                </c:pt>
                <c:pt idx="5">
                  <c:v>5.3971518124862383</c:v>
                </c:pt>
                <c:pt idx="6">
                  <c:v>5.5213763017569182</c:v>
                </c:pt>
                <c:pt idx="7">
                  <c:v>5.5901634144997763</c:v>
                </c:pt>
                <c:pt idx="8">
                  <c:v>5.6718367126232323</c:v>
                </c:pt>
                <c:pt idx="9">
                  <c:v>5.7266302212881541</c:v>
                </c:pt>
                <c:pt idx="10">
                  <c:v>5.7223687439403284</c:v>
                </c:pt>
                <c:pt idx="11">
                  <c:v>5.7520111664403286</c:v>
                </c:pt>
                <c:pt idx="12">
                  <c:v>5.7786258064403286</c:v>
                </c:pt>
                <c:pt idx="13">
                  <c:v>5.8835987741069946</c:v>
                </c:pt>
                <c:pt idx="14">
                  <c:v>5.7661050523606541</c:v>
                </c:pt>
                <c:pt idx="15">
                  <c:v>5.9051947150633577</c:v>
                </c:pt>
                <c:pt idx="16">
                  <c:v>5.8145839040633573</c:v>
                </c:pt>
                <c:pt idx="17">
                  <c:v>5.7103561966883571</c:v>
                </c:pt>
                <c:pt idx="18">
                  <c:v>5.7294461259629692</c:v>
                </c:pt>
                <c:pt idx="19">
                  <c:v>5.7057434804245073</c:v>
                </c:pt>
                <c:pt idx="20">
                  <c:v>5.7345036341675248</c:v>
                </c:pt>
                <c:pt idx="21">
                  <c:v>5.7915270313266154</c:v>
                </c:pt>
                <c:pt idx="22">
                  <c:v>5.6678238119562447</c:v>
                </c:pt>
                <c:pt idx="23">
                  <c:v>5.8184736783616495</c:v>
                </c:pt>
                <c:pt idx="24">
                  <c:v>5.9832587050434682</c:v>
                </c:pt>
                <c:pt idx="25">
                  <c:v>6.1478052084371688</c:v>
                </c:pt>
                <c:pt idx="26">
                  <c:v>6.389074207718294</c:v>
                </c:pt>
                <c:pt idx="27">
                  <c:v>6.10132464815924</c:v>
                </c:pt>
                <c:pt idx="28">
                  <c:v>5.9312513507147964</c:v>
                </c:pt>
                <c:pt idx="29">
                  <c:v>5.1387799665532574</c:v>
                </c:pt>
                <c:pt idx="30">
                  <c:v>5.0665517382199239</c:v>
                </c:pt>
                <c:pt idx="31">
                  <c:v>5.1564867252449247</c:v>
                </c:pt>
                <c:pt idx="32">
                  <c:v>5.1867178687303612</c:v>
                </c:pt>
                <c:pt idx="33">
                  <c:v>5.1572022311824162</c:v>
                </c:pt>
                <c:pt idx="34">
                  <c:v>5.1554966381521128</c:v>
                </c:pt>
                <c:pt idx="35">
                  <c:v>5.2018053068812797</c:v>
                </c:pt>
                <c:pt idx="36">
                  <c:v>5.1193860883048092</c:v>
                </c:pt>
                <c:pt idx="37">
                  <c:v>5.1492124284946827</c:v>
                </c:pt>
                <c:pt idx="38">
                  <c:v>5.093484818332521</c:v>
                </c:pt>
                <c:pt idx="39">
                  <c:v>5.1229019380825198</c:v>
                </c:pt>
                <c:pt idx="40">
                  <c:v>5.1277316966703061</c:v>
                </c:pt>
                <c:pt idx="41">
                  <c:v>5.1185949652703071</c:v>
                </c:pt>
                <c:pt idx="42">
                  <c:v>5.1178631303006101</c:v>
                </c:pt>
                <c:pt idx="43">
                  <c:v>5.1575643006489242</c:v>
                </c:pt>
                <c:pt idx="44">
                  <c:v>5.0792672237489249</c:v>
                </c:pt>
                <c:pt idx="45">
                  <c:v>5.0073379071275657</c:v>
                </c:pt>
                <c:pt idx="46">
                  <c:v>5.0878289471275657</c:v>
                </c:pt>
                <c:pt idx="47">
                  <c:v>5.0716431615486188</c:v>
                </c:pt>
                <c:pt idx="48">
                  <c:v>5.0677850813525405</c:v>
                </c:pt>
                <c:pt idx="49">
                  <c:v>5.145186540943091</c:v>
                </c:pt>
                <c:pt idx="50">
                  <c:v>5.2385449760447864</c:v>
                </c:pt>
                <c:pt idx="51">
                  <c:v>5.1504674377755553</c:v>
                </c:pt>
                <c:pt idx="52">
                  <c:v>5.1848896849294022</c:v>
                </c:pt>
                <c:pt idx="53">
                  <c:v>5.0081438213384937</c:v>
                </c:pt>
                <c:pt idx="54">
                  <c:v>5.0831073202664934</c:v>
                </c:pt>
                <c:pt idx="55">
                  <c:v>5.0531320280083643</c:v>
                </c:pt>
                <c:pt idx="56">
                  <c:v>5.1130796230168389</c:v>
                </c:pt>
                <c:pt idx="57">
                  <c:v>5.1353686024492706</c:v>
                </c:pt>
                <c:pt idx="58">
                  <c:v>5.1461100045804189</c:v>
                </c:pt>
                <c:pt idx="59">
                  <c:v>5.1429534414873954</c:v>
                </c:pt>
                <c:pt idx="60">
                  <c:v>5.1069528048558164</c:v>
                </c:pt>
                <c:pt idx="61">
                  <c:v>4.9995143857811888</c:v>
                </c:pt>
                <c:pt idx="62">
                  <c:v>5.0419418808121961</c:v>
                </c:pt>
                <c:pt idx="63">
                  <c:v>5.1702763943331549</c:v>
                </c:pt>
                <c:pt idx="64">
                  <c:v>5.1493848657347296</c:v>
                </c:pt>
                <c:pt idx="65">
                  <c:v>5.1829721742034796</c:v>
                </c:pt>
                <c:pt idx="66">
                  <c:v>5.1247506829754093</c:v>
                </c:pt>
                <c:pt idx="67">
                  <c:v>5.2385537614096727</c:v>
                </c:pt>
                <c:pt idx="68">
                  <c:v>5.1623647135635187</c:v>
                </c:pt>
                <c:pt idx="69">
                  <c:v>5.0910960514275949</c:v>
                </c:pt>
                <c:pt idx="70">
                  <c:v>4.9141957816193766</c:v>
                </c:pt>
                <c:pt idx="71">
                  <c:v>5.0915754996883411</c:v>
                </c:pt>
                <c:pt idx="72">
                  <c:v>5.0174542706735625</c:v>
                </c:pt>
                <c:pt idx="73">
                  <c:v>5.8323096289535616</c:v>
                </c:pt>
                <c:pt idx="74">
                  <c:v>5.7823095448433923</c:v>
                </c:pt>
                <c:pt idx="75">
                  <c:v>5.7914231906554736</c:v>
                </c:pt>
                <c:pt idx="76">
                  <c:v>5.5960230062845051</c:v>
                </c:pt>
                <c:pt idx="77">
                  <c:v>5.5714665856178378</c:v>
                </c:pt>
                <c:pt idx="78">
                  <c:v>5.5460105132899695</c:v>
                </c:pt>
                <c:pt idx="79">
                  <c:v>5.5852286133581019</c:v>
                </c:pt>
                <c:pt idx="80">
                  <c:v>5.5998923577711448</c:v>
                </c:pt>
                <c:pt idx="81">
                  <c:v>5.4245787243087786</c:v>
                </c:pt>
                <c:pt idx="82">
                  <c:v>5.4367169862398148</c:v>
                </c:pt>
                <c:pt idx="83">
                  <c:v>5.4610857187194064</c:v>
                </c:pt>
                <c:pt idx="84">
                  <c:v>5.4449306935512647</c:v>
                </c:pt>
                <c:pt idx="85">
                  <c:v>5.4449306935512647</c:v>
                </c:pt>
                <c:pt idx="86">
                  <c:v>5.3824229494336189</c:v>
                </c:pt>
                <c:pt idx="87">
                  <c:v>5.3582466932284909</c:v>
                </c:pt>
                <c:pt idx="88">
                  <c:v>5.3083319398589257</c:v>
                </c:pt>
                <c:pt idx="89">
                  <c:v>5.151116730605839</c:v>
                </c:pt>
                <c:pt idx="90">
                  <c:v>5.102609014389623</c:v>
                </c:pt>
                <c:pt idx="91">
                  <c:v>5.0315638902445841</c:v>
                </c:pt>
                <c:pt idx="92">
                  <c:v>5.0108653717896487</c:v>
                </c:pt>
                <c:pt idx="93">
                  <c:v>5.0613846557549316</c:v>
                </c:pt>
                <c:pt idx="94">
                  <c:v>5.1692221006715977</c:v>
                </c:pt>
                <c:pt idx="95">
                  <c:v>5.1193378437768615</c:v>
                </c:pt>
                <c:pt idx="96">
                  <c:v>5.1376762762586141</c:v>
                </c:pt>
                <c:pt idx="97">
                  <c:v>5.1191972662586149</c:v>
                </c:pt>
                <c:pt idx="98">
                  <c:v>5.1072648101716585</c:v>
                </c:pt>
                <c:pt idx="99">
                  <c:v>5.2637207003465232</c:v>
                </c:pt>
                <c:pt idx="100">
                  <c:v>5.1815656894510003</c:v>
                </c:pt>
                <c:pt idx="101">
                  <c:v>5.1815656894510012</c:v>
                </c:pt>
                <c:pt idx="102">
                  <c:v>5.1619441783885005</c:v>
                </c:pt>
                <c:pt idx="103">
                  <c:v>5.1947628494278026</c:v>
                </c:pt>
                <c:pt idx="104">
                  <c:v>5.1596495912638662</c:v>
                </c:pt>
                <c:pt idx="105">
                  <c:v>5.1787299297189575</c:v>
                </c:pt>
                <c:pt idx="106">
                  <c:v>5.236611644862748</c:v>
                </c:pt>
                <c:pt idx="107">
                  <c:v>5.1430369900009589</c:v>
                </c:pt>
                <c:pt idx="108">
                  <c:v>5.1658138068785968</c:v>
                </c:pt>
                <c:pt idx="109">
                  <c:v>5.1963235437226327</c:v>
                </c:pt>
                <c:pt idx="110">
                  <c:v>5.355541017845538</c:v>
                </c:pt>
                <c:pt idx="111">
                  <c:v>5.2975726855378449</c:v>
                </c:pt>
                <c:pt idx="112">
                  <c:v>5.3350924423173725</c:v>
                </c:pt>
                <c:pt idx="113">
                  <c:v>5.3606082652657596</c:v>
                </c:pt>
                <c:pt idx="114">
                  <c:v>5.3299574240633305</c:v>
                </c:pt>
                <c:pt idx="115">
                  <c:v>5.2754462435346676</c:v>
                </c:pt>
                <c:pt idx="116">
                  <c:v>5.2908333630575104</c:v>
                </c:pt>
                <c:pt idx="117">
                  <c:v>5.2432890314389065</c:v>
                </c:pt>
                <c:pt idx="118">
                  <c:v>5.2776127993963531</c:v>
                </c:pt>
                <c:pt idx="119">
                  <c:v>5.1366691430763529</c:v>
                </c:pt>
                <c:pt idx="120">
                  <c:v>5.0615353917776513</c:v>
                </c:pt>
                <c:pt idx="121">
                  <c:v>5.0515653640729532</c:v>
                </c:pt>
                <c:pt idx="122">
                  <c:v>5.149881902597544</c:v>
                </c:pt>
                <c:pt idx="123">
                  <c:v>5.2592687930419881</c:v>
                </c:pt>
                <c:pt idx="124">
                  <c:v>5.1899818044501513</c:v>
                </c:pt>
                <c:pt idx="125">
                  <c:v>5.2378435201447626</c:v>
                </c:pt>
                <c:pt idx="126">
                  <c:v>5.2823475810899314</c:v>
                </c:pt>
                <c:pt idx="127">
                  <c:v>5.1419594979803431</c:v>
                </c:pt>
                <c:pt idx="128">
                  <c:v>4.98628295721978</c:v>
                </c:pt>
                <c:pt idx="129">
                  <c:v>5.1295556716150736</c:v>
                </c:pt>
                <c:pt idx="130">
                  <c:v>5.2413855865819698</c:v>
                </c:pt>
                <c:pt idx="131">
                  <c:v>5.307019482695714</c:v>
                </c:pt>
                <c:pt idx="132">
                  <c:v>5.2981843691074788</c:v>
                </c:pt>
                <c:pt idx="133">
                  <c:v>5.3834587726560494</c:v>
                </c:pt>
                <c:pt idx="134">
                  <c:v>5.4480573867013184</c:v>
                </c:pt>
                <c:pt idx="135">
                  <c:v>5.2753319700299901</c:v>
                </c:pt>
                <c:pt idx="136">
                  <c:v>5.0925581786243939</c:v>
                </c:pt>
                <c:pt idx="137">
                  <c:v>5.1195167042895102</c:v>
                </c:pt>
                <c:pt idx="138">
                  <c:v>4.994064836601706</c:v>
                </c:pt>
                <c:pt idx="139">
                  <c:v>4.9539021558212184</c:v>
                </c:pt>
                <c:pt idx="140">
                  <c:v>5.129396762970412</c:v>
                </c:pt>
                <c:pt idx="141">
                  <c:v>4.9783274343000201</c:v>
                </c:pt>
                <c:pt idx="142">
                  <c:v>4.5338909312041311</c:v>
                </c:pt>
                <c:pt idx="143">
                  <c:v>5.3359573897108588</c:v>
                </c:pt>
                <c:pt idx="144">
                  <c:v>5.4034659928215394</c:v>
                </c:pt>
                <c:pt idx="145">
                  <c:v>5.3204931816563219</c:v>
                </c:pt>
                <c:pt idx="146">
                  <c:v>5.3660062896563225</c:v>
                </c:pt>
                <c:pt idx="147">
                  <c:v>5.3262971516254343</c:v>
                </c:pt>
                <c:pt idx="148">
                  <c:v>5.4467479266730532</c:v>
                </c:pt>
                <c:pt idx="149">
                  <c:v>5.3860637895339813</c:v>
                </c:pt>
                <c:pt idx="150">
                  <c:v>5.4391114120059729</c:v>
                </c:pt>
                <c:pt idx="151">
                  <c:v>5.5359181683533443</c:v>
                </c:pt>
                <c:pt idx="152">
                  <c:v>5.5816536566378625</c:v>
                </c:pt>
                <c:pt idx="153">
                  <c:v>5.6359870284268041</c:v>
                </c:pt>
                <c:pt idx="154">
                  <c:v>5.5120323595474936</c:v>
                </c:pt>
                <c:pt idx="155">
                  <c:v>5.5757443357067169</c:v>
                </c:pt>
                <c:pt idx="156">
                  <c:v>5.854100947214449</c:v>
                </c:pt>
                <c:pt idx="157">
                  <c:v>5.9606638864203596</c:v>
                </c:pt>
                <c:pt idx="158">
                  <c:v>5.9302479593511457</c:v>
                </c:pt>
                <c:pt idx="159">
                  <c:v>5.9351683538652074</c:v>
                </c:pt>
                <c:pt idx="160">
                  <c:v>5.8648108801047707</c:v>
                </c:pt>
                <c:pt idx="161">
                  <c:v>5.7749049117978783</c:v>
                </c:pt>
                <c:pt idx="162">
                  <c:v>5.5912665590884343</c:v>
                </c:pt>
                <c:pt idx="163">
                  <c:v>5.5031843429615961</c:v>
                </c:pt>
                <c:pt idx="164">
                  <c:v>5.654803495877152</c:v>
                </c:pt>
                <c:pt idx="165">
                  <c:v>5.7443978745123188</c:v>
                </c:pt>
                <c:pt idx="166">
                  <c:v>5.6418429617867965</c:v>
                </c:pt>
                <c:pt idx="167">
                  <c:v>5.6566503066425664</c:v>
                </c:pt>
                <c:pt idx="168">
                  <c:v>5.4976928322012855</c:v>
                </c:pt>
                <c:pt idx="169">
                  <c:v>5.3768459804975537</c:v>
                </c:pt>
                <c:pt idx="170">
                  <c:v>5.3854706290537866</c:v>
                </c:pt>
                <c:pt idx="171">
                  <c:v>5.2784436066276275</c:v>
                </c:pt>
                <c:pt idx="172">
                  <c:v>4.995244943774491</c:v>
                </c:pt>
                <c:pt idx="173">
                  <c:v>5.0941324973336837</c:v>
                </c:pt>
                <c:pt idx="174">
                  <c:v>5.0770893799879699</c:v>
                </c:pt>
                <c:pt idx="175">
                  <c:v>4.916760799458296</c:v>
                </c:pt>
                <c:pt idx="176">
                  <c:v>4.8329498017632266</c:v>
                </c:pt>
                <c:pt idx="177">
                  <c:v>4.7562662901445352</c:v>
                </c:pt>
                <c:pt idx="178">
                  <c:v>4.7542861772440288</c:v>
                </c:pt>
                <c:pt idx="179">
                  <c:v>4.9025200522174179</c:v>
                </c:pt>
                <c:pt idx="180">
                  <c:v>5.0352434031855253</c:v>
                </c:pt>
                <c:pt idx="181">
                  <c:v>4.9359460831687638</c:v>
                </c:pt>
                <c:pt idx="182">
                  <c:v>4.7495463802320295</c:v>
                </c:pt>
                <c:pt idx="183">
                  <c:v>4.5617978734313178</c:v>
                </c:pt>
                <c:pt idx="184">
                  <c:v>4.4706117267728507</c:v>
                </c:pt>
                <c:pt idx="185">
                  <c:v>4.2876974937728498</c:v>
                </c:pt>
                <c:pt idx="186">
                  <c:v>4.4863889992731689</c:v>
                </c:pt>
                <c:pt idx="187">
                  <c:v>4.385049837844222</c:v>
                </c:pt>
                <c:pt idx="188">
                  <c:v>4.3614744982423534</c:v>
                </c:pt>
                <c:pt idx="189">
                  <c:v>4.1862182305394677</c:v>
                </c:pt>
                <c:pt idx="190">
                  <c:v>4.0674595715912014</c:v>
                </c:pt>
                <c:pt idx="191">
                  <c:v>3.9438288343266148</c:v>
                </c:pt>
                <c:pt idx="192">
                  <c:v>4.114502400225315</c:v>
                </c:pt>
                <c:pt idx="193">
                  <c:v>4.2681061841191079</c:v>
                </c:pt>
                <c:pt idx="194">
                  <c:v>4.2615050707511664</c:v>
                </c:pt>
                <c:pt idx="195">
                  <c:v>4.2446952941197713</c:v>
                </c:pt>
                <c:pt idx="196">
                  <c:v>4.3365083795324377</c:v>
                </c:pt>
                <c:pt idx="197">
                  <c:v>4.4360731603349031</c:v>
                </c:pt>
                <c:pt idx="198">
                  <c:v>4.3498530281142527</c:v>
                </c:pt>
                <c:pt idx="199">
                  <c:v>4.3879256573749199</c:v>
                </c:pt>
                <c:pt idx="200">
                  <c:v>4.4119681458330611</c:v>
                </c:pt>
                <c:pt idx="201">
                  <c:v>4.35369980896672</c:v>
                </c:pt>
                <c:pt idx="202">
                  <c:v>4.3930823859347932</c:v>
                </c:pt>
                <c:pt idx="203">
                  <c:v>4.3405034382605328</c:v>
                </c:pt>
                <c:pt idx="204">
                  <c:v>4.4950596833154606</c:v>
                </c:pt>
                <c:pt idx="205">
                  <c:v>4.6132508064951931</c:v>
                </c:pt>
                <c:pt idx="206">
                  <c:v>4.444484259386952</c:v>
                </c:pt>
                <c:pt idx="207">
                  <c:v>4.4849126087606583</c:v>
                </c:pt>
                <c:pt idx="208">
                  <c:v>4.4276040712528673</c:v>
                </c:pt>
                <c:pt idx="209">
                  <c:v>4.3632186154965051</c:v>
                </c:pt>
                <c:pt idx="210">
                  <c:v>4.3069607430592702</c:v>
                </c:pt>
                <c:pt idx="211">
                  <c:v>4.4070579966157615</c:v>
                </c:pt>
                <c:pt idx="212">
                  <c:v>4.2680716668184884</c:v>
                </c:pt>
                <c:pt idx="213">
                  <c:v>4.1257950255184888</c:v>
                </c:pt>
                <c:pt idx="214">
                  <c:v>4.0625040381698163</c:v>
                </c:pt>
                <c:pt idx="215">
                  <c:v>3.8020030243800811</c:v>
                </c:pt>
                <c:pt idx="216">
                  <c:v>3.6831614471960812</c:v>
                </c:pt>
                <c:pt idx="217">
                  <c:v>4.015590233278437</c:v>
                </c:pt>
                <c:pt idx="218">
                  <c:v>3.8452885005831328</c:v>
                </c:pt>
                <c:pt idx="219">
                  <c:v>3.6252338208095112</c:v>
                </c:pt>
                <c:pt idx="220">
                  <c:v>3.67680396607226</c:v>
                </c:pt>
                <c:pt idx="221">
                  <c:v>4.3822803510331516</c:v>
                </c:pt>
                <c:pt idx="222">
                  <c:v>4.141121442392361</c:v>
                </c:pt>
                <c:pt idx="223">
                  <c:v>4.3735144120438738</c:v>
                </c:pt>
                <c:pt idx="224">
                  <c:v>4.4141581525851397</c:v>
                </c:pt>
                <c:pt idx="225">
                  <c:v>4.4883825709362508</c:v>
                </c:pt>
                <c:pt idx="226">
                  <c:v>4.2658597304120827</c:v>
                </c:pt>
                <c:pt idx="227">
                  <c:v>4.0451451790322679</c:v>
                </c:pt>
                <c:pt idx="228">
                  <c:v>3.6992919426380655</c:v>
                </c:pt>
                <c:pt idx="229">
                  <c:v>3.4638300320228477</c:v>
                </c:pt>
                <c:pt idx="230">
                  <c:v>3.406107935999338</c:v>
                </c:pt>
                <c:pt idx="231">
                  <c:v>3.5677702877625537</c:v>
                </c:pt>
                <c:pt idx="232">
                  <c:v>3.7569726747569776</c:v>
                </c:pt>
                <c:pt idx="233">
                  <c:v>3.4025549688958936</c:v>
                </c:pt>
                <c:pt idx="234">
                  <c:v>3.2080780589845341</c:v>
                </c:pt>
                <c:pt idx="235">
                  <c:v>3.5424819210996596</c:v>
                </c:pt>
                <c:pt idx="236">
                  <c:v>3.3546229145770892</c:v>
                </c:pt>
                <c:pt idx="237">
                  <c:v>3.4870235448261484</c:v>
                </c:pt>
                <c:pt idx="238">
                  <c:v>3.6342502486186219</c:v>
                </c:pt>
                <c:pt idx="239">
                  <c:v>3.4435763256975331</c:v>
                </c:pt>
                <c:pt idx="240">
                  <c:v>3.308898069962857</c:v>
                </c:pt>
                <c:pt idx="241">
                  <c:v>3.3929246593840601</c:v>
                </c:pt>
                <c:pt idx="242">
                  <c:v>3.0183970659861701</c:v>
                </c:pt>
                <c:pt idx="243">
                  <c:v>2.9963102411747955</c:v>
                </c:pt>
                <c:pt idx="244">
                  <c:v>3.1650326032941236</c:v>
                </c:pt>
                <c:pt idx="245">
                  <c:v>3.4796914478537193</c:v>
                </c:pt>
                <c:pt idx="246">
                  <c:v>3.5927096234909084</c:v>
                </c:pt>
                <c:pt idx="247">
                  <c:v>3.0158756503556363</c:v>
                </c:pt>
                <c:pt idx="248">
                  <c:v>2.445055546890269</c:v>
                </c:pt>
                <c:pt idx="249">
                  <c:v>1.8192187029468951</c:v>
                </c:pt>
                <c:pt idx="250">
                  <c:v>1.9264528466249988</c:v>
                </c:pt>
                <c:pt idx="251">
                  <c:v>2.3898454070439152</c:v>
                </c:pt>
                <c:pt idx="252">
                  <c:v>2.5401677639290221</c:v>
                </c:pt>
                <c:pt idx="253">
                  <c:v>1.7783143168760465</c:v>
                </c:pt>
                <c:pt idx="254">
                  <c:v>3.1277012787615028</c:v>
                </c:pt>
                <c:pt idx="255">
                  <c:v>3.1995510747430407</c:v>
                </c:pt>
                <c:pt idx="256">
                  <c:v>3.0177325836111772</c:v>
                </c:pt>
                <c:pt idx="257">
                  <c:v>3.0410406410135002</c:v>
                </c:pt>
                <c:pt idx="258">
                  <c:v>3.386772346893022</c:v>
                </c:pt>
                <c:pt idx="259">
                  <c:v>3.3791891484497607</c:v>
                </c:pt>
                <c:pt idx="260">
                  <c:v>3.3237223464670995</c:v>
                </c:pt>
                <c:pt idx="261">
                  <c:v>3.6985866165564096</c:v>
                </c:pt>
                <c:pt idx="262">
                  <c:v>3.32071616486544</c:v>
                </c:pt>
                <c:pt idx="263">
                  <c:v>3.5371729136854881</c:v>
                </c:pt>
                <c:pt idx="264">
                  <c:v>3.2742173318327605</c:v>
                </c:pt>
                <c:pt idx="265">
                  <c:v>3.431496389011333</c:v>
                </c:pt>
                <c:pt idx="266">
                  <c:v>3.4747913458573567</c:v>
                </c:pt>
                <c:pt idx="267">
                  <c:v>3.6803552873736241</c:v>
                </c:pt>
                <c:pt idx="268">
                  <c:v>3.3381367097183108</c:v>
                </c:pt>
                <c:pt idx="269">
                  <c:v>4.2349111631560108</c:v>
                </c:pt>
                <c:pt idx="270">
                  <c:v>4.4088512593515627</c:v>
                </c:pt>
                <c:pt idx="271">
                  <c:v>3.8905879264560581</c:v>
                </c:pt>
                <c:pt idx="272">
                  <c:v>4.3761709616225923</c:v>
                </c:pt>
                <c:pt idx="273">
                  <c:v>3.7334253802209258</c:v>
                </c:pt>
                <c:pt idx="274">
                  <c:v>3.2782788669444978</c:v>
                </c:pt>
                <c:pt idx="275">
                  <c:v>3.0737795106335732</c:v>
                </c:pt>
                <c:pt idx="276">
                  <c:v>2.5728703676903915</c:v>
                </c:pt>
                <c:pt idx="277">
                  <c:v>2.0199097018708358</c:v>
                </c:pt>
                <c:pt idx="278">
                  <c:v>2.1618320484658771</c:v>
                </c:pt>
                <c:pt idx="279">
                  <c:v>2.0068886684145855</c:v>
                </c:pt>
                <c:pt idx="280">
                  <c:v>1.8738361931850422</c:v>
                </c:pt>
                <c:pt idx="281">
                  <c:v>2.2251869496904719</c:v>
                </c:pt>
                <c:pt idx="282">
                  <c:v>2.5575136244552548</c:v>
                </c:pt>
                <c:pt idx="283">
                  <c:v>2.1391869944953572</c:v>
                </c:pt>
                <c:pt idx="284">
                  <c:v>2.5035467392950124</c:v>
                </c:pt>
                <c:pt idx="285">
                  <c:v>2.2205450036941712</c:v>
                </c:pt>
                <c:pt idx="286">
                  <c:v>2.5135162298587677</c:v>
                </c:pt>
                <c:pt idx="287">
                  <c:v>2.3529680196653517</c:v>
                </c:pt>
                <c:pt idx="288">
                  <c:v>2.252074163903822</c:v>
                </c:pt>
                <c:pt idx="289">
                  <c:v>2.4455048236505643</c:v>
                </c:pt>
                <c:pt idx="290">
                  <c:v>2.4877025515584696</c:v>
                </c:pt>
                <c:pt idx="291">
                  <c:v>2.6696454326363548</c:v>
                </c:pt>
                <c:pt idx="292">
                  <c:v>2.6759045837850333</c:v>
                </c:pt>
                <c:pt idx="293">
                  <c:v>2.5699471380738155</c:v>
                </c:pt>
                <c:pt idx="294">
                  <c:v>2.4588478514272651</c:v>
                </c:pt>
                <c:pt idx="295">
                  <c:v>2.2359783472931833</c:v>
                </c:pt>
                <c:pt idx="296">
                  <c:v>2.5414076965838941</c:v>
                </c:pt>
                <c:pt idx="297">
                  <c:v>2.5001418615673048</c:v>
                </c:pt>
                <c:pt idx="298">
                  <c:v>2.5274904808970855</c:v>
                </c:pt>
                <c:pt idx="299">
                  <c:v>1.8966318436439102</c:v>
                </c:pt>
                <c:pt idx="300">
                  <c:v>2.2111615673296598</c:v>
                </c:pt>
                <c:pt idx="301">
                  <c:v>2.0853094809048618</c:v>
                </c:pt>
                <c:pt idx="302">
                  <c:v>1.9916370350395673</c:v>
                </c:pt>
                <c:pt idx="303">
                  <c:v>1.9930719822100273</c:v>
                </c:pt>
                <c:pt idx="304">
                  <c:v>1.7512268544423135</c:v>
                </c:pt>
                <c:pt idx="305">
                  <c:v>1.5379647118536606</c:v>
                </c:pt>
                <c:pt idx="306">
                  <c:v>1.6661050682849106</c:v>
                </c:pt>
                <c:pt idx="307">
                  <c:v>1.3810697211871856</c:v>
                </c:pt>
                <c:pt idx="308">
                  <c:v>1.1734775729371851</c:v>
                </c:pt>
                <c:pt idx="309">
                  <c:v>1.1480215731685353</c:v>
                </c:pt>
                <c:pt idx="310">
                  <c:v>1.4348024112580229</c:v>
                </c:pt>
                <c:pt idx="311">
                  <c:v>1.5872341976168753</c:v>
                </c:pt>
                <c:pt idx="312">
                  <c:v>2.0021265794413261</c:v>
                </c:pt>
                <c:pt idx="313">
                  <c:v>1.7656790110201943</c:v>
                </c:pt>
                <c:pt idx="314">
                  <c:v>2.2469599162719991</c:v>
                </c:pt>
                <c:pt idx="315">
                  <c:v>1.6658721316198415</c:v>
                </c:pt>
                <c:pt idx="316">
                  <c:v>1.598619193486436</c:v>
                </c:pt>
                <c:pt idx="317">
                  <c:v>1.3779833937081223</c:v>
                </c:pt>
                <c:pt idx="318">
                  <c:v>1.067670342434075</c:v>
                </c:pt>
                <c:pt idx="319">
                  <c:v>1.3235863504920706</c:v>
                </c:pt>
                <c:pt idx="320">
                  <c:v>1.467308929343025</c:v>
                </c:pt>
                <c:pt idx="321">
                  <c:v>1.6608859561301901</c:v>
                </c:pt>
                <c:pt idx="322">
                  <c:v>1.8664799027844212</c:v>
                </c:pt>
                <c:pt idx="323">
                  <c:v>1.834128647903674</c:v>
                </c:pt>
                <c:pt idx="324">
                  <c:v>1.7286829733560236</c:v>
                </c:pt>
                <c:pt idx="325">
                  <c:v>1.6582070279328969</c:v>
                </c:pt>
                <c:pt idx="326">
                  <c:v>1.38308692823863</c:v>
                </c:pt>
                <c:pt idx="327">
                  <c:v>1.2836464754933277</c:v>
                </c:pt>
                <c:pt idx="328">
                  <c:v>1.1865980387223281</c:v>
                </c:pt>
                <c:pt idx="329">
                  <c:v>0.9876010161074924</c:v>
                </c:pt>
                <c:pt idx="330">
                  <c:v>1.2043321445807738</c:v>
                </c:pt>
                <c:pt idx="331">
                  <c:v>0.93469085582699063</c:v>
                </c:pt>
                <c:pt idx="332">
                  <c:v>0.97229917266605959</c:v>
                </c:pt>
                <c:pt idx="333">
                  <c:v>0.58563105657782466</c:v>
                </c:pt>
                <c:pt idx="334">
                  <c:v>0.70319341533239121</c:v>
                </c:pt>
                <c:pt idx="335">
                  <c:v>0.86904169028669642</c:v>
                </c:pt>
                <c:pt idx="336">
                  <c:v>0.8547713191149664</c:v>
                </c:pt>
                <c:pt idx="337">
                  <c:v>1.4750826717603995</c:v>
                </c:pt>
                <c:pt idx="338">
                  <c:v>1.5709784572252179</c:v>
                </c:pt>
                <c:pt idx="339">
                  <c:v>1.5393263768268814</c:v>
                </c:pt>
                <c:pt idx="340">
                  <c:v>1.268471011892399</c:v>
                </c:pt>
                <c:pt idx="341">
                  <c:v>1.4184816182382378</c:v>
                </c:pt>
                <c:pt idx="342">
                  <c:v>1.63917269596438</c:v>
                </c:pt>
                <c:pt idx="343">
                  <c:v>1.3477408099943795</c:v>
                </c:pt>
                <c:pt idx="344">
                  <c:v>0.57477117702689862</c:v>
                </c:pt>
                <c:pt idx="345">
                  <c:v>0.26765098432238915</c:v>
                </c:pt>
                <c:pt idx="346">
                  <c:v>0.34983051700245404</c:v>
                </c:pt>
                <c:pt idx="347">
                  <c:v>0.10161789080982289</c:v>
                </c:pt>
                <c:pt idx="348">
                  <c:v>0.47609445040900317</c:v>
                </c:pt>
                <c:pt idx="349">
                  <c:v>0.46832624157588243</c:v>
                </c:pt>
                <c:pt idx="350">
                  <c:v>0.41170784332572169</c:v>
                </c:pt>
                <c:pt idx="351">
                  <c:v>0.51364484280393308</c:v>
                </c:pt>
                <c:pt idx="352">
                  <c:v>0.6667844104669246</c:v>
                </c:pt>
                <c:pt idx="353">
                  <c:v>0.4637153894656223</c:v>
                </c:pt>
                <c:pt idx="354">
                  <c:v>0.43250043716931375</c:v>
                </c:pt>
                <c:pt idx="355">
                  <c:v>0.24587518875260114</c:v>
                </c:pt>
                <c:pt idx="356">
                  <c:v>-1.9169387831128016E-3</c:v>
                </c:pt>
                <c:pt idx="357">
                  <c:v>0.25713491597320803</c:v>
                </c:pt>
                <c:pt idx="358">
                  <c:v>-0.30530517838177357</c:v>
                </c:pt>
                <c:pt idx="359">
                  <c:v>-0.81519174030422248</c:v>
                </c:pt>
                <c:pt idx="360">
                  <c:v>-0.93951514835053829</c:v>
                </c:pt>
                <c:pt idx="361">
                  <c:v>-0.6878971721670859</c:v>
                </c:pt>
                <c:pt idx="362">
                  <c:v>-0.66297174888870014</c:v>
                </c:pt>
                <c:pt idx="363">
                  <c:v>-0.56545541177901792</c:v>
                </c:pt>
                <c:pt idx="364">
                  <c:v>-0.71227343370075724</c:v>
                </c:pt>
                <c:pt idx="365">
                  <c:v>8.9771526745672375E-2</c:v>
                </c:pt>
                <c:pt idx="366">
                  <c:v>-0.3883563136672889</c:v>
                </c:pt>
                <c:pt idx="367">
                  <c:v>-0.63557590030300315</c:v>
                </c:pt>
                <c:pt idx="368">
                  <c:v>-0.23883966907650964</c:v>
                </c:pt>
                <c:pt idx="369">
                  <c:v>-0.11956049479724162</c:v>
                </c:pt>
                <c:pt idx="370">
                  <c:v>-0.27844257804810602</c:v>
                </c:pt>
                <c:pt idx="371">
                  <c:v>-0.36408803944439189</c:v>
                </c:pt>
                <c:pt idx="372">
                  <c:v>-4.8925044830598792E-2</c:v>
                </c:pt>
                <c:pt idx="373">
                  <c:v>-0.36061043366146739</c:v>
                </c:pt>
                <c:pt idx="374">
                  <c:v>-4.9106497831250651E-2</c:v>
                </c:pt>
                <c:pt idx="375">
                  <c:v>-0.59066607212978661</c:v>
                </c:pt>
                <c:pt idx="376">
                  <c:v>-0.89888507443212362</c:v>
                </c:pt>
                <c:pt idx="377">
                  <c:v>-0.88497585604121409</c:v>
                </c:pt>
                <c:pt idx="378">
                  <c:v>-0.89017332378844838</c:v>
                </c:pt>
                <c:pt idx="379">
                  <c:v>-0.94832377629462483</c:v>
                </c:pt>
                <c:pt idx="380">
                  <c:v>-1.1552101609441736</c:v>
                </c:pt>
                <c:pt idx="381">
                  <c:v>-0.9752204380288908</c:v>
                </c:pt>
                <c:pt idx="382">
                  <c:v>-0.85323021465084792</c:v>
                </c:pt>
                <c:pt idx="383">
                  <c:v>-0.76095744972601809</c:v>
                </c:pt>
                <c:pt idx="384">
                  <c:v>-0.81091839347366479</c:v>
                </c:pt>
                <c:pt idx="385">
                  <c:v>-1.4690404118973615</c:v>
                </c:pt>
                <c:pt idx="386">
                  <c:v>-1.6026425941783673</c:v>
                </c:pt>
                <c:pt idx="387">
                  <c:v>-1.879526271495344</c:v>
                </c:pt>
                <c:pt idx="388">
                  <c:v>-2.0409816653867727</c:v>
                </c:pt>
                <c:pt idx="389">
                  <c:v>-1.7013014264907724</c:v>
                </c:pt>
                <c:pt idx="390">
                  <c:v>-1.6067690639191226</c:v>
                </c:pt>
                <c:pt idx="391">
                  <c:v>-1.7103616323128559</c:v>
                </c:pt>
                <c:pt idx="392">
                  <c:v>-1.6712009765386888</c:v>
                </c:pt>
                <c:pt idx="393">
                  <c:v>-1.8130771937216592</c:v>
                </c:pt>
                <c:pt idx="394">
                  <c:v>-1.8862223068627499</c:v>
                </c:pt>
                <c:pt idx="395">
                  <c:v>-1.8682094994700229</c:v>
                </c:pt>
                <c:pt idx="396">
                  <c:v>-1.7823458852285947</c:v>
                </c:pt>
                <c:pt idx="397">
                  <c:v>-1.7230892489362872</c:v>
                </c:pt>
                <c:pt idx="398">
                  <c:v>-1.706530916398534</c:v>
                </c:pt>
                <c:pt idx="399">
                  <c:v>-1.6811120443454015</c:v>
                </c:pt>
                <c:pt idx="400">
                  <c:v>-1.924866171448639</c:v>
                </c:pt>
                <c:pt idx="401">
                  <c:v>-1.686730510025986</c:v>
                </c:pt>
                <c:pt idx="402">
                  <c:v>-1.7068234008849328</c:v>
                </c:pt>
                <c:pt idx="403">
                  <c:v>-1.6597773789417902</c:v>
                </c:pt>
                <c:pt idx="404">
                  <c:v>-1.6286371153791237</c:v>
                </c:pt>
                <c:pt idx="405">
                  <c:v>-1.5785560157564924</c:v>
                </c:pt>
                <c:pt idx="406">
                  <c:v>-1.6313035595171905</c:v>
                </c:pt>
                <c:pt idx="407">
                  <c:v>-1.5102335856683018</c:v>
                </c:pt>
                <c:pt idx="408">
                  <c:v>-1.5886132041923324</c:v>
                </c:pt>
                <c:pt idx="409">
                  <c:v>-1.7146634672270173</c:v>
                </c:pt>
                <c:pt idx="410">
                  <c:v>-1.8011635863050661</c:v>
                </c:pt>
                <c:pt idx="411">
                  <c:v>-1.855987555195066</c:v>
                </c:pt>
                <c:pt idx="412">
                  <c:v>-1.9152201580164945</c:v>
                </c:pt>
                <c:pt idx="413">
                  <c:v>-1.8510906602250659</c:v>
                </c:pt>
                <c:pt idx="414">
                  <c:v>-1.8369681500784805</c:v>
                </c:pt>
                <c:pt idx="415">
                  <c:v>-1.9898739476127305</c:v>
                </c:pt>
                <c:pt idx="416">
                  <c:v>-1.9273661984292521</c:v>
                </c:pt>
                <c:pt idx="417">
                  <c:v>-1.9469112440232521</c:v>
                </c:pt>
                <c:pt idx="418">
                  <c:v>-1.9469112440232521</c:v>
                </c:pt>
                <c:pt idx="419">
                  <c:v>-2.0249170956683873</c:v>
                </c:pt>
                <c:pt idx="420">
                  <c:v>-1.894930640543758</c:v>
                </c:pt>
                <c:pt idx="421">
                  <c:v>-1.8873581749300081</c:v>
                </c:pt>
                <c:pt idx="422">
                  <c:v>-1.9788048373608529</c:v>
                </c:pt>
                <c:pt idx="423">
                  <c:v>-1.7438367614300418</c:v>
                </c:pt>
                <c:pt idx="424">
                  <c:v>-1.7113105746133752</c:v>
                </c:pt>
                <c:pt idx="425">
                  <c:v>-1.7084673903235876</c:v>
                </c:pt>
                <c:pt idx="426">
                  <c:v>-1.7160301927342774</c:v>
                </c:pt>
                <c:pt idx="427">
                  <c:v>-1.6960797108076917</c:v>
                </c:pt>
                <c:pt idx="428">
                  <c:v>-1.5584290013206916</c:v>
                </c:pt>
                <c:pt idx="429">
                  <c:v>-1.2859587284895706</c:v>
                </c:pt>
                <c:pt idx="430">
                  <c:v>-1.4353072361992758</c:v>
                </c:pt>
                <c:pt idx="431">
                  <c:v>-1.6959852656161101</c:v>
                </c:pt>
                <c:pt idx="432">
                  <c:v>-1.5317995137132014</c:v>
                </c:pt>
                <c:pt idx="433">
                  <c:v>-1.7946142134075729</c:v>
                </c:pt>
                <c:pt idx="434">
                  <c:v>-1.7486155366875729</c:v>
                </c:pt>
                <c:pt idx="435">
                  <c:v>-1.7486155366875726</c:v>
                </c:pt>
                <c:pt idx="436">
                  <c:v>-1.6606602196474345</c:v>
                </c:pt>
                <c:pt idx="437">
                  <c:v>-1.5491009219014886</c:v>
                </c:pt>
                <c:pt idx="438">
                  <c:v>-1.7950250345479428</c:v>
                </c:pt>
                <c:pt idx="439">
                  <c:v>-1.6859736897327049</c:v>
                </c:pt>
                <c:pt idx="440">
                  <c:v>-1.6981933711657824</c:v>
                </c:pt>
                <c:pt idx="441">
                  <c:v>-1.6962059443268931</c:v>
                </c:pt>
                <c:pt idx="442">
                  <c:v>-1.630787637219179</c:v>
                </c:pt>
                <c:pt idx="443">
                  <c:v>-1.4658138549004833</c:v>
                </c:pt>
                <c:pt idx="444">
                  <c:v>-1.5637412051709259</c:v>
                </c:pt>
                <c:pt idx="445">
                  <c:v>-1.5955155388063356</c:v>
                </c:pt>
                <c:pt idx="446">
                  <c:v>-1.5131200962383042</c:v>
                </c:pt>
                <c:pt idx="447">
                  <c:v>-1.3424307387702676</c:v>
                </c:pt>
                <c:pt idx="448">
                  <c:v>-1.5349753898902674</c:v>
                </c:pt>
                <c:pt idx="449">
                  <c:v>-1.5311512729414039</c:v>
                </c:pt>
                <c:pt idx="450">
                  <c:v>-1.5659968163814042</c:v>
                </c:pt>
                <c:pt idx="451">
                  <c:v>-1.5795480324500182</c:v>
                </c:pt>
                <c:pt idx="452">
                  <c:v>-1.3933132699329729</c:v>
                </c:pt>
                <c:pt idx="453">
                  <c:v>-1.418602119706216</c:v>
                </c:pt>
                <c:pt idx="454">
                  <c:v>-1.3232045313667873</c:v>
                </c:pt>
                <c:pt idx="455">
                  <c:v>-1.3213169206099176</c:v>
                </c:pt>
                <c:pt idx="456">
                  <c:v>-1.4819330342185033</c:v>
                </c:pt>
                <c:pt idx="457">
                  <c:v>-1.3484042821594908</c:v>
                </c:pt>
                <c:pt idx="458">
                  <c:v>-1.3810440212778101</c:v>
                </c:pt>
                <c:pt idx="459">
                  <c:v>-1.4208415541106829</c:v>
                </c:pt>
                <c:pt idx="460">
                  <c:v>-1.3734236165644036</c:v>
                </c:pt>
                <c:pt idx="461">
                  <c:v>-1.3651405021580401</c:v>
                </c:pt>
                <c:pt idx="462">
                  <c:v>-1.3307835063968037</c:v>
                </c:pt>
                <c:pt idx="463">
                  <c:v>-1.3289857877268036</c:v>
                </c:pt>
                <c:pt idx="464">
                  <c:v>-1.3683162768261272</c:v>
                </c:pt>
                <c:pt idx="465">
                  <c:v>-1.3346262438626186</c:v>
                </c:pt>
                <c:pt idx="466">
                  <c:v>-1.3097263714713139</c:v>
                </c:pt>
                <c:pt idx="467">
                  <c:v>-1.3282514014352031</c:v>
                </c:pt>
                <c:pt idx="468">
                  <c:v>-1.3457517151279306</c:v>
                </c:pt>
                <c:pt idx="469">
                  <c:v>-1.3234809493528144</c:v>
                </c:pt>
                <c:pt idx="470">
                  <c:v>-1.2589061111628945</c:v>
                </c:pt>
                <c:pt idx="471">
                  <c:v>-1.2201742888041065</c:v>
                </c:pt>
                <c:pt idx="472">
                  <c:v>-1.1914717292849062</c:v>
                </c:pt>
                <c:pt idx="473">
                  <c:v>-1.1983849569515728</c:v>
                </c:pt>
                <c:pt idx="474">
                  <c:v>-1.1994592188100879</c:v>
                </c:pt>
                <c:pt idx="475">
                  <c:v>-1.0956046327770064</c:v>
                </c:pt>
                <c:pt idx="476">
                  <c:v>-1.1715061419110067</c:v>
                </c:pt>
                <c:pt idx="477">
                  <c:v>-1.3277356493660064</c:v>
                </c:pt>
                <c:pt idx="478">
                  <c:v>-1.4743982089272654</c:v>
                </c:pt>
                <c:pt idx="479">
                  <c:v>-1.2471364175100752</c:v>
                </c:pt>
                <c:pt idx="480">
                  <c:v>-1.2238507861190608</c:v>
                </c:pt>
                <c:pt idx="481">
                  <c:v>-1.2491519976320609</c:v>
                </c:pt>
                <c:pt idx="482">
                  <c:v>-1.1760077454196698</c:v>
                </c:pt>
                <c:pt idx="483">
                  <c:v>-1.057746391818287</c:v>
                </c:pt>
                <c:pt idx="484">
                  <c:v>-0.93525668552554853</c:v>
                </c:pt>
                <c:pt idx="485">
                  <c:v>-1.0699586859242758</c:v>
                </c:pt>
                <c:pt idx="486">
                  <c:v>-1.0523485465278248</c:v>
                </c:pt>
                <c:pt idx="487">
                  <c:v>-0.69389033505391184</c:v>
                </c:pt>
                <c:pt idx="488">
                  <c:v>-0.98184316740354083</c:v>
                </c:pt>
                <c:pt idx="489">
                  <c:v>-1.0392609511659074</c:v>
                </c:pt>
                <c:pt idx="490">
                  <c:v>-1.100051235354369</c:v>
                </c:pt>
                <c:pt idx="491">
                  <c:v>-1.2718956763643687</c:v>
                </c:pt>
                <c:pt idx="492">
                  <c:v>-1.0948446731199963</c:v>
                </c:pt>
                <c:pt idx="493">
                  <c:v>-1.0801476991208123</c:v>
                </c:pt>
                <c:pt idx="494">
                  <c:v>-0.91944246012092523</c:v>
                </c:pt>
                <c:pt idx="495">
                  <c:v>-0.87937108584624168</c:v>
                </c:pt>
                <c:pt idx="496">
                  <c:v>-0.89595251682961263</c:v>
                </c:pt>
                <c:pt idx="497">
                  <c:v>-0.83266848716868735</c:v>
                </c:pt>
                <c:pt idx="498">
                  <c:v>-0.8201015182946445</c:v>
                </c:pt>
                <c:pt idx="499">
                  <c:v>-0.7681511851282159</c:v>
                </c:pt>
                <c:pt idx="500">
                  <c:v>-0.59054520962446588</c:v>
                </c:pt>
                <c:pt idx="501">
                  <c:v>-0.70481295834835023</c:v>
                </c:pt>
                <c:pt idx="502">
                  <c:v>-0.57263666286052395</c:v>
                </c:pt>
                <c:pt idx="503">
                  <c:v>-0.65440799741636246</c:v>
                </c:pt>
                <c:pt idx="504">
                  <c:v>-0.71828830309541003</c:v>
                </c:pt>
                <c:pt idx="505">
                  <c:v>-0.56322451778530536</c:v>
                </c:pt>
                <c:pt idx="506">
                  <c:v>-0.61593617074662321</c:v>
                </c:pt>
                <c:pt idx="507">
                  <c:v>-0.55656933789420038</c:v>
                </c:pt>
                <c:pt idx="508">
                  <c:v>-0.63112818392822756</c:v>
                </c:pt>
                <c:pt idx="509">
                  <c:v>-0.70859374287241195</c:v>
                </c:pt>
                <c:pt idx="510">
                  <c:v>-0.53246374045407863</c:v>
                </c:pt>
                <c:pt idx="511">
                  <c:v>-0.644621474959434</c:v>
                </c:pt>
                <c:pt idx="512">
                  <c:v>-0.37247234795610068</c:v>
                </c:pt>
                <c:pt idx="513">
                  <c:v>-0.37716044800605869</c:v>
                </c:pt>
                <c:pt idx="514">
                  <c:v>-0.15844485441001221</c:v>
                </c:pt>
                <c:pt idx="515">
                  <c:v>-1.6849300184218884E-2</c:v>
                </c:pt>
                <c:pt idx="516">
                  <c:v>8.5513033642671973E-2</c:v>
                </c:pt>
                <c:pt idx="517">
                  <c:v>0.12127197770374883</c:v>
                </c:pt>
                <c:pt idx="518">
                  <c:v>7.9616654096699629E-2</c:v>
                </c:pt>
                <c:pt idx="519">
                  <c:v>0.13689989550306308</c:v>
                </c:pt>
                <c:pt idx="520">
                  <c:v>2.7487233672403126E-2</c:v>
                </c:pt>
                <c:pt idx="521">
                  <c:v>9.4750665395184008E-2</c:v>
                </c:pt>
                <c:pt idx="522">
                  <c:v>7.5595223756393187E-2</c:v>
                </c:pt>
                <c:pt idx="523">
                  <c:v>-2.9163084103696758E-2</c:v>
                </c:pt>
                <c:pt idx="524">
                  <c:v>-0.29026636439291409</c:v>
                </c:pt>
                <c:pt idx="525">
                  <c:v>1.8180433047932668E-2</c:v>
                </c:pt>
                <c:pt idx="526">
                  <c:v>0.15384492819494752</c:v>
                </c:pt>
                <c:pt idx="527">
                  <c:v>0.3252346847249476</c:v>
                </c:pt>
                <c:pt idx="528">
                  <c:v>0.24993290042155064</c:v>
                </c:pt>
                <c:pt idx="529">
                  <c:v>0.37754967960067048</c:v>
                </c:pt>
                <c:pt idx="530">
                  <c:v>0.41715306698220272</c:v>
                </c:pt>
                <c:pt idx="531">
                  <c:v>0.60153236499304163</c:v>
                </c:pt>
                <c:pt idx="532">
                  <c:v>0.73698296646239303</c:v>
                </c:pt>
                <c:pt idx="533">
                  <c:v>0.7386067196138153</c:v>
                </c:pt>
                <c:pt idx="534">
                  <c:v>0.55022229685987822</c:v>
                </c:pt>
                <c:pt idx="535">
                  <c:v>0.25555977890372822</c:v>
                </c:pt>
                <c:pt idx="536">
                  <c:v>0.2116640803724176</c:v>
                </c:pt>
                <c:pt idx="537">
                  <c:v>0.15210167158659077</c:v>
                </c:pt>
                <c:pt idx="538">
                  <c:v>-4.318462111393824E-2</c:v>
                </c:pt>
                <c:pt idx="539">
                  <c:v>-2.0272073473885769E-2</c:v>
                </c:pt>
                <c:pt idx="540">
                  <c:v>-0.12911035759247214</c:v>
                </c:pt>
                <c:pt idx="541">
                  <c:v>-1.1781396465299092E-3</c:v>
                </c:pt>
                <c:pt idx="542">
                  <c:v>7.7744702138240251E-2</c:v>
                </c:pt>
                <c:pt idx="543">
                  <c:v>-5.6097904483342599E-2</c:v>
                </c:pt>
                <c:pt idx="544">
                  <c:v>-0.17331199638590677</c:v>
                </c:pt>
                <c:pt idx="545">
                  <c:v>-1.8586350760430505E-2</c:v>
                </c:pt>
                <c:pt idx="546">
                  <c:v>-8.8872092654114665E-2</c:v>
                </c:pt>
                <c:pt idx="547">
                  <c:v>-3.4001973033747711E-2</c:v>
                </c:pt>
                <c:pt idx="548">
                  <c:v>7.9909796360197669E-3</c:v>
                </c:pt>
                <c:pt idx="549">
                  <c:v>-1.7449427024257929E-2</c:v>
                </c:pt>
                <c:pt idx="550">
                  <c:v>4.5539948651273934E-2</c:v>
                </c:pt>
                <c:pt idx="551">
                  <c:v>6.5467511546098825E-2</c:v>
                </c:pt>
                <c:pt idx="552">
                  <c:v>0.12581101347109885</c:v>
                </c:pt>
                <c:pt idx="553">
                  <c:v>1.3666372609727015E-2</c:v>
                </c:pt>
                <c:pt idx="554">
                  <c:v>-9.6365523866682682E-3</c:v>
                </c:pt>
                <c:pt idx="555">
                  <c:v>2.8696234493730422E-2</c:v>
                </c:pt>
                <c:pt idx="556">
                  <c:v>-9.2944018012695515E-3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9D-4BC2-A3D6-1B2F1F525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755600"/>
        <c:axId val="577754768"/>
      </c:lineChart>
      <c:dateAx>
        <c:axId val="57775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54768"/>
        <c:crosses val="autoZero"/>
        <c:auto val="1"/>
        <c:lblOffset val="100"/>
        <c:baseTimeUnit val="days"/>
      </c:dateAx>
      <c:valAx>
        <c:axId val="5777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5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9990FA-8719-4016-947C-5F0037925072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D3DAF9-51B2-4555-B760-85E65CC9A70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5.87</v>
      </c>
      <c r="D2" s="4">
        <f>MIN(D3:D1912)</f>
        <v>0.55800000000000005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1.284</v>
      </c>
      <c r="C5">
        <v>1.3160000000000001</v>
      </c>
      <c r="D5">
        <v>1.2529999999999999</v>
      </c>
      <c r="E5">
        <v>1.26</v>
      </c>
      <c r="F5">
        <v>1135020.1000000001</v>
      </c>
      <c r="G5">
        <v>1.26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-0.77777777777777468</v>
      </c>
      <c r="Q5">
        <f t="shared" ref="Q5" si="1">F5*P5</f>
        <v>-882793.41111110768</v>
      </c>
      <c r="R5">
        <f t="shared" ref="R5" si="2">R6+Q5</f>
        <v>551975307.43639064</v>
      </c>
      <c r="S5">
        <f t="shared" ref="S5" si="3">R5/100000</f>
        <v>5519.7530743639063</v>
      </c>
      <c r="T5">
        <f t="shared" ref="T5" si="4">S5/1000</f>
        <v>5.5197530743639067</v>
      </c>
    </row>
    <row r="6" spans="1:20" x14ac:dyDescent="0.25">
      <c r="A6" s="5">
        <v>44587</v>
      </c>
      <c r="B6">
        <v>1.2509999999999999</v>
      </c>
      <c r="C6">
        <v>1.4</v>
      </c>
      <c r="D6">
        <v>1.2310000000000001</v>
      </c>
      <c r="E6">
        <v>1.2849999999999999</v>
      </c>
      <c r="F6">
        <v>17460100.199999999</v>
      </c>
      <c r="G6">
        <v>1.2849999999999999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-0.36094674556213152</v>
      </c>
      <c r="Q6">
        <f t="shared" ref="Q6" si="6">F6*P6</f>
        <v>-6302166.344378721</v>
      </c>
      <c r="R6">
        <f t="shared" ref="R6" si="7">R7+Q6</f>
        <v>552858100.84750175</v>
      </c>
      <c r="S6">
        <f t="shared" ref="S6" si="8">R6/100000</f>
        <v>5528.5810084750174</v>
      </c>
      <c r="T6">
        <f t="shared" ref="T6" si="9">S6/1000</f>
        <v>5.5285810084750171</v>
      </c>
    </row>
    <row r="7" spans="1:20" x14ac:dyDescent="0.25">
      <c r="A7" s="5">
        <v>44586</v>
      </c>
      <c r="B7">
        <v>1.262</v>
      </c>
      <c r="C7">
        <v>1.272</v>
      </c>
      <c r="D7">
        <v>1.2010000000000001</v>
      </c>
      <c r="E7">
        <v>1.252</v>
      </c>
      <c r="F7">
        <v>9773674.5999999996</v>
      </c>
      <c r="G7">
        <v>1.252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0.4366197183098583</v>
      </c>
      <c r="Q7">
        <f t="shared" ref="Q7" si="11">F7*P7</f>
        <v>4267379.0507042166</v>
      </c>
      <c r="R7">
        <f t="shared" ref="R7" si="12">R8+Q7</f>
        <v>559160267.19188046</v>
      </c>
      <c r="S7">
        <f t="shared" ref="S7" si="13">R7/100000</f>
        <v>5591.6026719188048</v>
      </c>
      <c r="T7">
        <f t="shared" ref="T7" si="14">S7/1000</f>
        <v>5.591602671918805</v>
      </c>
    </row>
    <row r="8" spans="1:20" x14ac:dyDescent="0.25">
      <c r="A8" s="5">
        <v>44585</v>
      </c>
      <c r="B8">
        <v>1.32</v>
      </c>
      <c r="C8">
        <v>1.323</v>
      </c>
      <c r="D8">
        <v>1.113</v>
      </c>
      <c r="E8">
        <v>1.264</v>
      </c>
      <c r="F8">
        <v>21147475.107999999</v>
      </c>
      <c r="G8">
        <v>1.264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0.43809523809523854</v>
      </c>
      <c r="Q8">
        <f t="shared" ref="Q8" si="16">F8*P8</f>
        <v>9264608.1425523907</v>
      </c>
      <c r="R8">
        <f t="shared" ref="R8" si="17">R9+Q8</f>
        <v>554892888.14117622</v>
      </c>
      <c r="S8">
        <f t="shared" ref="S8" si="18">R8/100000</f>
        <v>5548.9288814117626</v>
      </c>
      <c r="T8">
        <f t="shared" ref="T8" si="19">S8/1000</f>
        <v>5.5489288814117623</v>
      </c>
    </row>
    <row r="9" spans="1:20" x14ac:dyDescent="0.25">
      <c r="A9" s="5">
        <v>44584</v>
      </c>
      <c r="B9">
        <v>1.28</v>
      </c>
      <c r="C9">
        <v>1.3520000000000001</v>
      </c>
      <c r="D9">
        <v>1.24</v>
      </c>
      <c r="E9">
        <v>1.321</v>
      </c>
      <c r="F9">
        <v>13245341.199999999</v>
      </c>
      <c r="G9">
        <v>1.321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0.44642857142856945</v>
      </c>
      <c r="Q9">
        <f t="shared" ref="Q9" si="21">F9*P9</f>
        <v>5913098.7499999739</v>
      </c>
      <c r="R9">
        <f t="shared" ref="R9" si="22">R10+Q9</f>
        <v>545628279.99862385</v>
      </c>
      <c r="S9">
        <f t="shared" ref="S9" si="23">R9/100000</f>
        <v>5456.2827999862384</v>
      </c>
      <c r="T9">
        <f t="shared" ref="T9" si="24">S9/1000</f>
        <v>5.456282799986238</v>
      </c>
    </row>
    <row r="10" spans="1:20" x14ac:dyDescent="0.25">
      <c r="A10" s="5">
        <v>44583</v>
      </c>
      <c r="B10">
        <v>1.431</v>
      </c>
      <c r="C10">
        <v>1.5329999999999999</v>
      </c>
      <c r="D10">
        <v>1.18</v>
      </c>
      <c r="E10">
        <v>1.2789999999999999</v>
      </c>
      <c r="F10">
        <v>28291125.620999999</v>
      </c>
      <c r="G10">
        <v>1.2789999999999999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-0.43909348441926355</v>
      </c>
      <c r="Q10">
        <f t="shared" ref="Q10" si="26">F10*P10</f>
        <v>-12422448.927067991</v>
      </c>
      <c r="R10">
        <f t="shared" ref="R10" si="27">R11+Q10</f>
        <v>539715181.24862385</v>
      </c>
      <c r="S10">
        <f t="shared" ref="S10" si="28">R10/100000</f>
        <v>5397.1518124862387</v>
      </c>
      <c r="T10">
        <f t="shared" ref="T10" si="29">S10/1000</f>
        <v>5.3971518124862383</v>
      </c>
    </row>
    <row r="11" spans="1:20" x14ac:dyDescent="0.25">
      <c r="A11" s="5">
        <v>44582</v>
      </c>
      <c r="B11">
        <v>1.5189999999999999</v>
      </c>
      <c r="C11">
        <v>1.57</v>
      </c>
      <c r="D11">
        <v>1.36</v>
      </c>
      <c r="E11">
        <v>1.4319999999999999</v>
      </c>
      <c r="F11">
        <v>21886808.600000001</v>
      </c>
      <c r="G11">
        <v>1.4319999999999999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-0.31428571428571567</v>
      </c>
      <c r="Q11">
        <f t="shared" ref="Q11" si="31">F11*P11</f>
        <v>-6878711.2742857449</v>
      </c>
      <c r="R11">
        <f t="shared" ref="R11" si="32">R12+Q11</f>
        <v>552137630.17569184</v>
      </c>
      <c r="S11">
        <f t="shared" ref="S11" si="33">R11/100000</f>
        <v>5521.3763017569181</v>
      </c>
      <c r="T11">
        <f t="shared" ref="T11" si="34">S11/1000</f>
        <v>5.5213763017569182</v>
      </c>
    </row>
    <row r="12" spans="1:20" x14ac:dyDescent="0.25">
      <c r="A12" s="5">
        <v>44581</v>
      </c>
      <c r="B12">
        <v>1.5740000000000001</v>
      </c>
      <c r="C12">
        <v>1.669</v>
      </c>
      <c r="D12">
        <v>1.5069999999999999</v>
      </c>
      <c r="E12">
        <v>1.52</v>
      </c>
      <c r="F12">
        <v>9728731.0999999996</v>
      </c>
      <c r="G12">
        <v>1.52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-0.83950617283950479</v>
      </c>
      <c r="Q12">
        <f t="shared" ref="Q12" si="36">F12*P12</f>
        <v>-8167329.8123456649</v>
      </c>
      <c r="R12">
        <f t="shared" ref="R12" si="37">R13+Q12</f>
        <v>559016341.44997764</v>
      </c>
      <c r="S12">
        <f t="shared" ref="S12" si="38">R12/100000</f>
        <v>5590.1634144997761</v>
      </c>
      <c r="T12">
        <f t="shared" ref="T12" si="39">S12/1000</f>
        <v>5.5901634144997763</v>
      </c>
    </row>
    <row r="13" spans="1:20" x14ac:dyDescent="0.25">
      <c r="A13" s="5">
        <v>44580</v>
      </c>
      <c r="B13">
        <v>1.6220000000000001</v>
      </c>
      <c r="C13">
        <v>1.7090000000000001</v>
      </c>
      <c r="D13">
        <v>1.518</v>
      </c>
      <c r="E13">
        <v>1.5740000000000001</v>
      </c>
      <c r="F13">
        <v>13247544.5</v>
      </c>
      <c r="G13">
        <v>1.5740000000000001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-0.41361256544502584</v>
      </c>
      <c r="Q13">
        <f t="shared" ref="Q13" si="41">F13*P13</f>
        <v>-5479350.866492142</v>
      </c>
      <c r="R13">
        <f t="shared" ref="R13" si="42">R14+Q13</f>
        <v>567183671.26232326</v>
      </c>
      <c r="S13">
        <f t="shared" ref="S13" si="43">R13/100000</f>
        <v>5671.8367126232324</v>
      </c>
      <c r="T13">
        <f t="shared" ref="T13" si="44">S13/1000</f>
        <v>5.6718367126232323</v>
      </c>
    </row>
    <row r="14" spans="1:20" x14ac:dyDescent="0.25">
      <c r="A14" s="5">
        <v>44579</v>
      </c>
      <c r="B14">
        <v>1.6659999999999999</v>
      </c>
      <c r="C14">
        <v>1.677</v>
      </c>
      <c r="D14">
        <v>1.5620000000000001</v>
      </c>
      <c r="E14">
        <v>1.623</v>
      </c>
      <c r="F14">
        <v>7000998.5</v>
      </c>
      <c r="G14">
        <v>1.623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6.0869565217390398E-2</v>
      </c>
      <c r="Q14">
        <f t="shared" ref="Q14" si="46">F14*P14</f>
        <v>426147.73478260235</v>
      </c>
      <c r="R14">
        <f t="shared" ref="R14" si="47">R15+Q14</f>
        <v>572663022.12881541</v>
      </c>
      <c r="S14">
        <f t="shared" ref="S14" si="48">R14/100000</f>
        <v>5726.6302212881537</v>
      </c>
      <c r="T14">
        <f t="shared" ref="T14" si="49">S14/1000</f>
        <v>5.7266302212881541</v>
      </c>
    </row>
    <row r="15" spans="1:20" x14ac:dyDescent="0.25">
      <c r="A15" s="5">
        <v>44578</v>
      </c>
      <c r="B15">
        <v>1.738</v>
      </c>
      <c r="C15">
        <v>1.754</v>
      </c>
      <c r="D15">
        <v>1.6259999999999999</v>
      </c>
      <c r="E15">
        <v>1.6659999999999999</v>
      </c>
      <c r="F15">
        <v>7904646</v>
      </c>
      <c r="G15">
        <v>1.6659999999999999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-0.375</v>
      </c>
      <c r="Q15">
        <f t="shared" ref="Q15" si="51">F15*P15</f>
        <v>-2964242.25</v>
      </c>
      <c r="R15">
        <f t="shared" ref="R15" si="52">R16+Q15</f>
        <v>572236874.39403284</v>
      </c>
      <c r="S15">
        <f t="shared" ref="S15" si="53">R15/100000</f>
        <v>5722.3687439403284</v>
      </c>
      <c r="T15">
        <f t="shared" ref="T15" si="54">S15/1000</f>
        <v>5.7223687439403284</v>
      </c>
    </row>
    <row r="16" spans="1:20" x14ac:dyDescent="0.25">
      <c r="A16" s="5">
        <v>44577</v>
      </c>
      <c r="B16">
        <v>1.764</v>
      </c>
      <c r="C16">
        <v>1.794</v>
      </c>
      <c r="D16">
        <v>1.716</v>
      </c>
      <c r="E16">
        <v>1.74</v>
      </c>
      <c r="F16">
        <v>6919806.4000000004</v>
      </c>
      <c r="G16">
        <v>1.74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-0.38461538461538464</v>
      </c>
      <c r="Q16">
        <f t="shared" ref="Q16" si="56">F16*P16</f>
        <v>-2661464.0000000005</v>
      </c>
      <c r="R16">
        <f t="shared" ref="R16" si="57">R17+Q16</f>
        <v>575201116.64403284</v>
      </c>
      <c r="S16">
        <f t="shared" ref="S16" si="58">R16/100000</f>
        <v>5752.0111664403285</v>
      </c>
      <c r="T16">
        <f t="shared" ref="T16" si="59">S16/1000</f>
        <v>5.7520111664403286</v>
      </c>
    </row>
    <row r="17" spans="1:20" x14ac:dyDescent="0.25">
      <c r="A17" s="5">
        <v>44576</v>
      </c>
      <c r="B17">
        <v>1.77</v>
      </c>
      <c r="C17">
        <v>1.8480000000000001</v>
      </c>
      <c r="D17">
        <v>1.758</v>
      </c>
      <c r="E17">
        <v>1.764</v>
      </c>
      <c r="F17">
        <v>12112265.5</v>
      </c>
      <c r="G17">
        <v>1.764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-0.8666666666666667</v>
      </c>
      <c r="Q17">
        <f t="shared" ref="Q17" si="61">F17*P17</f>
        <v>-10497296.766666668</v>
      </c>
      <c r="R17">
        <f t="shared" ref="R17" si="62">R18+Q17</f>
        <v>577862580.64403284</v>
      </c>
      <c r="S17">
        <f t="shared" ref="S17" si="63">R17/100000</f>
        <v>5778.6258064403282</v>
      </c>
      <c r="T17">
        <f t="shared" ref="T17" si="64">S17/1000</f>
        <v>5.7786258064403286</v>
      </c>
    </row>
    <row r="18" spans="1:20" x14ac:dyDescent="0.25">
      <c r="A18" s="5">
        <v>44575</v>
      </c>
      <c r="B18">
        <v>1.627</v>
      </c>
      <c r="C18">
        <v>1.82</v>
      </c>
      <c r="D18">
        <v>1.615</v>
      </c>
      <c r="E18">
        <v>1.7709999999999999</v>
      </c>
      <c r="F18">
        <v>22510479.399999999</v>
      </c>
      <c r="G18">
        <v>1.7709999999999999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0.52195121951219381</v>
      </c>
      <c r="Q18">
        <f t="shared" ref="Q18" si="66">F18*P18</f>
        <v>11749372.174634116</v>
      </c>
      <c r="R18">
        <f t="shared" ref="R18" si="67">R19+Q18</f>
        <v>588359877.41069949</v>
      </c>
      <c r="S18">
        <f t="shared" ref="S18" si="68">R18/100000</f>
        <v>5883.5987741069948</v>
      </c>
      <c r="T18">
        <f t="shared" ref="T18" si="69">S18/1000</f>
        <v>5.8835987741069946</v>
      </c>
    </row>
    <row r="19" spans="1:20" x14ac:dyDescent="0.25">
      <c r="A19" s="5">
        <v>44574</v>
      </c>
      <c r="B19">
        <v>1.6930000000000001</v>
      </c>
      <c r="C19">
        <v>1.77</v>
      </c>
      <c r="D19">
        <v>1.6220000000000001</v>
      </c>
      <c r="E19">
        <v>1.6279999999999999</v>
      </c>
      <c r="F19">
        <v>15136228</v>
      </c>
      <c r="G19">
        <v>1.6279999999999999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-0.91891891891892175</v>
      </c>
      <c r="Q19">
        <f t="shared" ref="Q19" si="71">F19*P19</f>
        <v>-13908966.270270312</v>
      </c>
      <c r="R19">
        <f t="shared" ref="R19" si="72">R20+Q19</f>
        <v>576610505.23606539</v>
      </c>
      <c r="S19">
        <f t="shared" ref="S19" si="73">R19/100000</f>
        <v>5766.1050523606536</v>
      </c>
      <c r="T19">
        <f t="shared" ref="T19" si="74">S19/1000</f>
        <v>5.7661050523606541</v>
      </c>
    </row>
    <row r="20" spans="1:20" x14ac:dyDescent="0.25">
      <c r="A20" s="5">
        <v>44573</v>
      </c>
      <c r="B20">
        <v>1.583</v>
      </c>
      <c r="C20">
        <v>1.7290000000000001</v>
      </c>
      <c r="D20">
        <v>1.5680000000000001</v>
      </c>
      <c r="E20">
        <v>1.6930000000000001</v>
      </c>
      <c r="F20">
        <v>16391393.9</v>
      </c>
      <c r="G20">
        <v>1.6930000000000001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0.55279503105590033</v>
      </c>
      <c r="Q20">
        <f t="shared" ref="Q20" si="76">F20*P20</f>
        <v>9061081.0999999959</v>
      </c>
      <c r="R20">
        <f t="shared" ref="R20" si="77">R21+Q20</f>
        <v>590519471.50633574</v>
      </c>
      <c r="S20">
        <f t="shared" ref="S20" si="78">R20/100000</f>
        <v>5905.1947150633578</v>
      </c>
      <c r="T20">
        <f t="shared" ref="T20" si="79">S20/1000</f>
        <v>5.9051947150633577</v>
      </c>
    </row>
    <row r="21" spans="1:20" x14ac:dyDescent="0.25">
      <c r="A21" s="5">
        <v>44572</v>
      </c>
      <c r="B21">
        <v>1.4830000000000001</v>
      </c>
      <c r="C21">
        <v>1.605</v>
      </c>
      <c r="D21">
        <v>1.4450000000000001</v>
      </c>
      <c r="E21">
        <v>1.583</v>
      </c>
      <c r="F21">
        <v>14376235.5</v>
      </c>
      <c r="G21">
        <v>1.583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0.72499999999999964</v>
      </c>
      <c r="Q21">
        <f t="shared" ref="Q21" si="81">F21*P21</f>
        <v>10422770.737499995</v>
      </c>
      <c r="R21">
        <f t="shared" ref="R21" si="82">R22+Q21</f>
        <v>581458390.40633571</v>
      </c>
      <c r="S21">
        <f t="shared" ref="S21" si="83">R21/100000</f>
        <v>5814.5839040633573</v>
      </c>
      <c r="T21">
        <f t="shared" ref="T21" si="84">S21/1000</f>
        <v>5.8145839040633573</v>
      </c>
    </row>
    <row r="22" spans="1:20" x14ac:dyDescent="0.25">
      <c r="A22" s="5">
        <v>44571</v>
      </c>
      <c r="B22">
        <v>1.554</v>
      </c>
      <c r="C22">
        <v>1.593</v>
      </c>
      <c r="D22">
        <v>1.4</v>
      </c>
      <c r="E22">
        <v>1.484</v>
      </c>
      <c r="F22">
        <v>14737425.4</v>
      </c>
      <c r="G22">
        <v>1.484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-0.12953367875647617</v>
      </c>
      <c r="Q22">
        <f t="shared" ref="Q22" si="86">F22*P22</f>
        <v>-1908992.9274611324</v>
      </c>
      <c r="R22">
        <f t="shared" ref="R22" si="87">R23+Q22</f>
        <v>571035619.66883576</v>
      </c>
      <c r="S22">
        <f t="shared" ref="S22" si="88">R22/100000</f>
        <v>5710.3561966883572</v>
      </c>
      <c r="T22">
        <f t="shared" ref="T22" si="89">S22/1000</f>
        <v>5.7103561966883571</v>
      </c>
    </row>
    <row r="23" spans="1:20" x14ac:dyDescent="0.25">
      <c r="A23" s="5">
        <v>44570</v>
      </c>
      <c r="B23">
        <v>1.5109999999999999</v>
      </c>
      <c r="C23">
        <v>1.593</v>
      </c>
      <c r="D23">
        <v>1.4890000000000001</v>
      </c>
      <c r="E23">
        <v>1.5529999999999999</v>
      </c>
      <c r="F23">
        <v>10271146.4</v>
      </c>
      <c r="G23">
        <v>1.5529999999999999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0.23076923076922912</v>
      </c>
      <c r="Q23">
        <f t="shared" ref="Q23" si="91">F23*P23</f>
        <v>2370264.5538461371</v>
      </c>
      <c r="R23">
        <f t="shared" ref="R23" si="92">R24+Q23</f>
        <v>572944612.59629691</v>
      </c>
      <c r="S23">
        <f t="shared" ref="S23" si="93">R23/100000</f>
        <v>5729.4461259629688</v>
      </c>
      <c r="T23">
        <f t="shared" ref="T23" si="94">S23/1000</f>
        <v>5.7294461259629692</v>
      </c>
    </row>
    <row r="24" spans="1:20" x14ac:dyDescent="0.25">
      <c r="A24" s="5">
        <v>44569</v>
      </c>
      <c r="B24">
        <v>1.5860000000000001</v>
      </c>
      <c r="C24">
        <v>1.62</v>
      </c>
      <c r="D24">
        <v>1.4410000000000001</v>
      </c>
      <c r="E24">
        <v>1.512</v>
      </c>
      <c r="F24">
        <v>13913696</v>
      </c>
      <c r="G24">
        <v>1.512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-0.20670391061452589</v>
      </c>
      <c r="Q24">
        <f t="shared" ref="Q24" si="96">F24*P24</f>
        <v>-2876015.3743016864</v>
      </c>
      <c r="R24">
        <f t="shared" ref="R24" si="97">R25+Q24</f>
        <v>570574348.04245079</v>
      </c>
      <c r="S24">
        <f t="shared" ref="S24" si="98">R24/100000</f>
        <v>5705.7434804245077</v>
      </c>
      <c r="T24">
        <f t="shared" ref="T24" si="99">S24/1000</f>
        <v>5.7057434804245073</v>
      </c>
    </row>
    <row r="25" spans="1:20" x14ac:dyDescent="0.25">
      <c r="A25" s="5">
        <v>44568</v>
      </c>
      <c r="B25">
        <v>1.694</v>
      </c>
      <c r="C25">
        <v>1.6990000000000001</v>
      </c>
      <c r="D25">
        <v>1.5229999999999999</v>
      </c>
      <c r="E25">
        <v>1.5860000000000001</v>
      </c>
      <c r="F25">
        <v>20072235.800000001</v>
      </c>
      <c r="G25">
        <v>1.5860000000000001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-0.28409090909090784</v>
      </c>
      <c r="Q25">
        <f t="shared" ref="Q25" si="101">F25*P25</f>
        <v>-5702339.7159090657</v>
      </c>
      <c r="R25">
        <f t="shared" ref="R25" si="102">R26+Q25</f>
        <v>573450363.41675246</v>
      </c>
      <c r="S25">
        <f t="shared" ref="S25" si="103">R25/100000</f>
        <v>5734.503634167525</v>
      </c>
      <c r="T25">
        <f t="shared" ref="T25" si="104">S25/1000</f>
        <v>5.7345036341675248</v>
      </c>
    </row>
    <row r="26" spans="1:20" x14ac:dyDescent="0.25">
      <c r="A26" s="5">
        <v>44567</v>
      </c>
      <c r="B26">
        <v>1.6579999999999999</v>
      </c>
      <c r="C26">
        <v>1.718</v>
      </c>
      <c r="D26">
        <v>1.583</v>
      </c>
      <c r="E26">
        <v>1.6930000000000001</v>
      </c>
      <c r="F26">
        <v>19646981.899999999</v>
      </c>
      <c r="G26">
        <v>1.6930000000000001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0.62962962962963098</v>
      </c>
      <c r="Q26">
        <f t="shared" ref="Q26" si="106">F26*P26</f>
        <v>12370321.937037062</v>
      </c>
      <c r="R26">
        <f t="shared" ref="R26" si="107">R27+Q26</f>
        <v>579152703.13266158</v>
      </c>
      <c r="S26">
        <f t="shared" ref="S26" si="108">R26/100000</f>
        <v>5791.5270313266155</v>
      </c>
      <c r="T26">
        <f t="shared" ref="T26" si="109">S26/1000</f>
        <v>5.7915270313266154</v>
      </c>
    </row>
    <row r="27" spans="1:20" x14ac:dyDescent="0.25">
      <c r="A27" s="5">
        <v>44566</v>
      </c>
      <c r="B27">
        <v>1.8580000000000001</v>
      </c>
      <c r="C27">
        <v>1.976</v>
      </c>
      <c r="D27">
        <v>1.569</v>
      </c>
      <c r="E27">
        <v>1.657</v>
      </c>
      <c r="F27">
        <v>26543071.699999999</v>
      </c>
      <c r="G27">
        <v>1.657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-0.56756756756756721</v>
      </c>
      <c r="Q27">
        <f t="shared" ref="Q27" si="111">F27*P27</f>
        <v>-15064986.640540531</v>
      </c>
      <c r="R27">
        <f t="shared" ref="R27" si="112">R28+Q27</f>
        <v>566782381.19562447</v>
      </c>
      <c r="S27">
        <f t="shared" ref="S27" si="113">R27/100000</f>
        <v>5667.8238119562448</v>
      </c>
      <c r="T27">
        <f t="shared" ref="T27" si="114">S27/1000</f>
        <v>5.6678238119562447</v>
      </c>
    </row>
    <row r="28" spans="1:20" x14ac:dyDescent="0.25">
      <c r="A28" s="5">
        <v>44565</v>
      </c>
      <c r="B28">
        <v>1.944</v>
      </c>
      <c r="C28">
        <v>1.974</v>
      </c>
      <c r="D28">
        <v>1.8420000000000001</v>
      </c>
      <c r="E28">
        <v>1.857</v>
      </c>
      <c r="F28">
        <v>21325121.100000001</v>
      </c>
      <c r="G28">
        <v>1.857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-0.77272727272727404</v>
      </c>
      <c r="Q28">
        <f t="shared" ref="Q28" si="116">F28*P28</f>
        <v>-16478502.668181848</v>
      </c>
      <c r="R28">
        <f t="shared" ref="R28" si="117">R29+Q28</f>
        <v>581847367.83616495</v>
      </c>
      <c r="S28">
        <f t="shared" ref="S28" si="118">R28/100000</f>
        <v>5818.4736783616499</v>
      </c>
      <c r="T28">
        <f t="shared" ref="T28" si="119">S28/1000</f>
        <v>5.8184736783616495</v>
      </c>
    </row>
    <row r="29" spans="1:20" x14ac:dyDescent="0.25">
      <c r="A29" s="5">
        <v>44564</v>
      </c>
      <c r="B29">
        <v>2.1379999999999999</v>
      </c>
      <c r="C29">
        <v>2.1419999999999999</v>
      </c>
      <c r="D29">
        <v>1.8879999999999999</v>
      </c>
      <c r="E29">
        <v>1.944</v>
      </c>
      <c r="F29">
        <v>29432966.100000001</v>
      </c>
      <c r="G29">
        <v>1.944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-0.55905511811023578</v>
      </c>
      <c r="Q29">
        <f t="shared" ref="Q29" si="121">F29*P29</f>
        <v>-16454650.339370066</v>
      </c>
      <c r="R29">
        <f t="shared" ref="R29" si="122">R30+Q29</f>
        <v>598325870.50434685</v>
      </c>
      <c r="S29">
        <f t="shared" ref="S29" si="123">R29/100000</f>
        <v>5983.2587050434686</v>
      </c>
      <c r="T29">
        <f t="shared" ref="T29" si="124">S29/1000</f>
        <v>5.9832587050434682</v>
      </c>
    </row>
    <row r="30" spans="1:20" x14ac:dyDescent="0.25">
      <c r="A30" s="5">
        <v>44563</v>
      </c>
      <c r="B30">
        <v>2.254</v>
      </c>
      <c r="C30">
        <v>2.359</v>
      </c>
      <c r="D30">
        <v>2.11</v>
      </c>
      <c r="E30">
        <v>2.1389999999999998</v>
      </c>
      <c r="F30">
        <v>31453393.100000001</v>
      </c>
      <c r="G30">
        <v>2.1389999999999998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-0.76706827309237025</v>
      </c>
      <c r="Q30">
        <f t="shared" ref="Q30" si="126">F30*P30</f>
        <v>-24126899.928112473</v>
      </c>
      <c r="R30">
        <f t="shared" ref="R30" si="127">R31+Q30</f>
        <v>614780520.84371686</v>
      </c>
      <c r="S30">
        <f t="shared" ref="S30" si="128">R30/100000</f>
        <v>6147.8052084371684</v>
      </c>
      <c r="T30">
        <f t="shared" ref="T30" si="129">S30/1000</f>
        <v>6.1478052084371688</v>
      </c>
    </row>
    <row r="31" spans="1:20" x14ac:dyDescent="0.25">
      <c r="A31" s="5">
        <v>44562</v>
      </c>
      <c r="B31">
        <v>2.0270000000000001</v>
      </c>
      <c r="C31">
        <v>2.2690000000000001</v>
      </c>
      <c r="D31">
        <v>2.0150000000000001</v>
      </c>
      <c r="E31">
        <v>2.254</v>
      </c>
      <c r="F31">
        <v>32628744.699999999</v>
      </c>
      <c r="G31">
        <v>2.254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0.88188976377952655</v>
      </c>
      <c r="Q31">
        <f t="shared" ref="Q31" si="131">F31*P31</f>
        <v>28774955.955905478</v>
      </c>
      <c r="R31">
        <f t="shared" ref="R31" si="132">R32+Q31</f>
        <v>638907420.77182937</v>
      </c>
      <c r="S31">
        <f t="shared" ref="S31" si="133">R31/100000</f>
        <v>6389.074207718294</v>
      </c>
      <c r="T31">
        <f t="shared" ref="T31" si="134">S31/1000</f>
        <v>6.389074207718294</v>
      </c>
    </row>
    <row r="32" spans="1:20" x14ac:dyDescent="0.25">
      <c r="A32" s="5">
        <v>44561</v>
      </c>
      <c r="B32">
        <v>1.9350000000000001</v>
      </c>
      <c r="C32">
        <v>2.1389999999999998</v>
      </c>
      <c r="D32">
        <v>1.8420000000000001</v>
      </c>
      <c r="E32">
        <v>2.0259999999999998</v>
      </c>
      <c r="F32">
        <v>71143337.099999994</v>
      </c>
      <c r="G32">
        <v>2.0259999999999998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0.23905723905723839</v>
      </c>
      <c r="Q32">
        <f t="shared" ref="Q32" si="136">F32*P32</f>
        <v>17007329.744444396</v>
      </c>
      <c r="R32">
        <f t="shared" ref="R32" si="137">R33+Q32</f>
        <v>610132464.81592393</v>
      </c>
      <c r="S32">
        <f t="shared" ref="S32" si="138">R32/100000</f>
        <v>6101.3246481592396</v>
      </c>
      <c r="T32">
        <f t="shared" ref="T32" si="139">S32/1000</f>
        <v>6.10132464815924</v>
      </c>
    </row>
    <row r="33" spans="1:20" x14ac:dyDescent="0.25">
      <c r="A33" s="5">
        <v>44560</v>
      </c>
      <c r="B33">
        <v>1.5509999999999999</v>
      </c>
      <c r="C33">
        <v>2.02</v>
      </c>
      <c r="D33">
        <v>1.5</v>
      </c>
      <c r="E33">
        <v>1.9339999999999999</v>
      </c>
      <c r="F33">
        <v>118415264.3</v>
      </c>
      <c r="G33">
        <v>1.9339999999999999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0.66923076923076896</v>
      </c>
      <c r="Q33">
        <f t="shared" ref="Q33" si="141">F33*P33</f>
        <v>79247138.416153818</v>
      </c>
      <c r="R33">
        <f t="shared" ref="R33" si="142">R34+Q33</f>
        <v>593125135.07147956</v>
      </c>
      <c r="S33">
        <f t="shared" ref="S33" si="143">R33/100000</f>
        <v>5931.251350714796</v>
      </c>
      <c r="T33">
        <f t="shared" ref="T33" si="144">S33/1000</f>
        <v>5.9312513507147964</v>
      </c>
    </row>
    <row r="34" spans="1:20" x14ac:dyDescent="0.25">
      <c r="A34" s="5">
        <v>44559</v>
      </c>
      <c r="B34">
        <v>1.512</v>
      </c>
      <c r="C34">
        <v>1.57</v>
      </c>
      <c r="D34">
        <v>1.462</v>
      </c>
      <c r="E34">
        <v>1.5509999999999999</v>
      </c>
      <c r="F34">
        <v>11143783.800000001</v>
      </c>
      <c r="G34">
        <v>1.5509999999999999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0.64814814814814614</v>
      </c>
      <c r="Q34">
        <f t="shared" ref="Q34" si="146">F34*P34</f>
        <v>7222822.8333333116</v>
      </c>
      <c r="R34">
        <f t="shared" ref="R34" si="147">R35+Q34</f>
        <v>513877996.65532577</v>
      </c>
      <c r="S34">
        <f t="shared" ref="S34" si="148">R34/100000</f>
        <v>5138.7799665532575</v>
      </c>
      <c r="T34">
        <f t="shared" ref="T34" si="149">S34/1000</f>
        <v>5.1387799665532574</v>
      </c>
    </row>
    <row r="35" spans="1:20" x14ac:dyDescent="0.25">
      <c r="A35" s="5">
        <v>44558</v>
      </c>
      <c r="B35">
        <v>1.665</v>
      </c>
      <c r="C35">
        <v>1.6659999999999999</v>
      </c>
      <c r="D35">
        <v>1.506</v>
      </c>
      <c r="E35">
        <v>1.512</v>
      </c>
      <c r="F35">
        <v>9722701.3000000007</v>
      </c>
      <c r="G35">
        <v>1.512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-0.92499999999999993</v>
      </c>
      <c r="Q35">
        <f t="shared" ref="Q35" si="151">F35*P35</f>
        <v>-8993498.7025000006</v>
      </c>
      <c r="R35">
        <f t="shared" ref="R35" si="152">R36+Q35</f>
        <v>506655173.82199246</v>
      </c>
      <c r="S35">
        <f t="shared" ref="S35" si="153">R35/100000</f>
        <v>5066.5517382199241</v>
      </c>
      <c r="T35">
        <f t="shared" ref="T35" si="154">S35/1000</f>
        <v>5.0665517382199239</v>
      </c>
    </row>
    <row r="36" spans="1:20" x14ac:dyDescent="0.25">
      <c r="A36" s="5">
        <v>44557</v>
      </c>
      <c r="B36">
        <v>1.641</v>
      </c>
      <c r="C36">
        <v>1.736</v>
      </c>
      <c r="D36">
        <v>1.633</v>
      </c>
      <c r="E36">
        <v>1.6659999999999999</v>
      </c>
      <c r="F36">
        <v>8415696.6999999993</v>
      </c>
      <c r="G36">
        <v>1.6659999999999999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-0.35922330097087524</v>
      </c>
      <c r="Q36">
        <f t="shared" ref="Q36" si="156">F36*P36</f>
        <v>-3023114.3485437012</v>
      </c>
      <c r="R36">
        <f t="shared" ref="R36" si="157">R37+Q36</f>
        <v>515648672.52449244</v>
      </c>
      <c r="S36">
        <f t="shared" ref="S36" si="158">R36/100000</f>
        <v>5156.4867252449249</v>
      </c>
      <c r="T36">
        <f t="shared" ref="T36" si="159">S36/1000</f>
        <v>5.1564867252449247</v>
      </c>
    </row>
    <row r="37" spans="1:20" x14ac:dyDescent="0.25">
      <c r="A37" s="5">
        <v>44556</v>
      </c>
      <c r="B37">
        <v>1.6459999999999999</v>
      </c>
      <c r="C37">
        <v>1.6579999999999999</v>
      </c>
      <c r="D37">
        <v>1.585</v>
      </c>
      <c r="E37">
        <v>1.641</v>
      </c>
      <c r="F37">
        <v>5524721.9000000004</v>
      </c>
      <c r="G37">
        <v>1.641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0.53424657534246811</v>
      </c>
      <c r="Q37">
        <f t="shared" ref="Q37" si="161">F37*P37</f>
        <v>2951563.7547945338</v>
      </c>
      <c r="R37">
        <f t="shared" ref="R37" si="162">R38+Q37</f>
        <v>518671786.87303615</v>
      </c>
      <c r="S37">
        <f t="shared" ref="S37" si="163">R37/100000</f>
        <v>5186.7178687303613</v>
      </c>
      <c r="T37">
        <f t="shared" ref="T37" si="164">S37/1000</f>
        <v>5.1867178687303612</v>
      </c>
    </row>
    <row r="38" spans="1:20" x14ac:dyDescent="0.25">
      <c r="A38" s="5">
        <v>44555</v>
      </c>
      <c r="B38">
        <v>1.6220000000000001</v>
      </c>
      <c r="C38">
        <v>1.6779999999999999</v>
      </c>
      <c r="D38">
        <v>1.6120000000000001</v>
      </c>
      <c r="E38">
        <v>1.6459999999999999</v>
      </c>
      <c r="F38">
        <v>5628457</v>
      </c>
      <c r="G38">
        <v>1.6459999999999999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3.0303030303027039E-2</v>
      </c>
      <c r="Q38">
        <f t="shared" ref="Q38" si="166">F38*P38</f>
        <v>170559.30303028465</v>
      </c>
      <c r="R38">
        <f t="shared" ref="R38" si="167">R39+Q38</f>
        <v>515720223.11824161</v>
      </c>
      <c r="S38">
        <f t="shared" ref="S38" si="168">R38/100000</f>
        <v>5157.2022311824157</v>
      </c>
      <c r="T38">
        <f t="shared" ref="T38" si="169">S38/1000</f>
        <v>5.1572022311824162</v>
      </c>
    </row>
    <row r="39" spans="1:20" x14ac:dyDescent="0.25">
      <c r="A39" s="5">
        <v>44554</v>
      </c>
      <c r="B39">
        <v>1.6719999999999999</v>
      </c>
      <c r="C39">
        <v>1.7</v>
      </c>
      <c r="D39">
        <v>1.6040000000000001</v>
      </c>
      <c r="E39">
        <v>1.623</v>
      </c>
      <c r="F39">
        <v>7664883.0999999996</v>
      </c>
      <c r="G39">
        <v>1.623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-0.60416666666666807</v>
      </c>
      <c r="Q39">
        <f t="shared" ref="Q39" si="171">F39*P39</f>
        <v>-4630866.872916677</v>
      </c>
      <c r="R39">
        <f t="shared" ref="R39" si="172">R40+Q39</f>
        <v>515549663.8152113</v>
      </c>
      <c r="S39">
        <f t="shared" ref="S39" si="173">R39/100000</f>
        <v>5155.4966381521126</v>
      </c>
      <c r="T39">
        <f t="shared" ref="T39" si="174">S39/1000</f>
        <v>5.1554966381521128</v>
      </c>
    </row>
    <row r="40" spans="1:20" x14ac:dyDescent="0.25">
      <c r="A40" s="5">
        <v>44553</v>
      </c>
      <c r="B40">
        <v>1.5449999999999999</v>
      </c>
      <c r="C40">
        <v>1.694</v>
      </c>
      <c r="D40">
        <v>1.524</v>
      </c>
      <c r="E40">
        <v>1.6719999999999999</v>
      </c>
      <c r="F40">
        <v>11120053.300000001</v>
      </c>
      <c r="G40">
        <v>1.6719999999999999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0.74117647058823499</v>
      </c>
      <c r="Q40">
        <f t="shared" ref="Q40" si="176">F40*P40</f>
        <v>8241921.8576470558</v>
      </c>
      <c r="R40">
        <f t="shared" ref="R40" si="177">R41+Q40</f>
        <v>520180530.68812799</v>
      </c>
      <c r="S40">
        <f t="shared" ref="S40" si="178">R40/100000</f>
        <v>5201.8053068812796</v>
      </c>
      <c r="T40">
        <f t="shared" ref="T40" si="179">S40/1000</f>
        <v>5.2018053068812797</v>
      </c>
    </row>
    <row r="41" spans="1:20" x14ac:dyDescent="0.25">
      <c r="A41" s="5">
        <v>44552</v>
      </c>
      <c r="B41">
        <v>1.534</v>
      </c>
      <c r="C41">
        <v>1.597</v>
      </c>
      <c r="D41">
        <v>1.518</v>
      </c>
      <c r="E41">
        <v>1.5449999999999999</v>
      </c>
      <c r="F41">
        <v>9425123.5</v>
      </c>
      <c r="G41">
        <v>1.5449999999999999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-0.3164556962025335</v>
      </c>
      <c r="Q41">
        <f t="shared" ref="Q41" si="181">F41*P41</f>
        <v>-2982634.018987359</v>
      </c>
      <c r="R41">
        <f t="shared" ref="R41" si="182">R42+Q41</f>
        <v>511938608.83048093</v>
      </c>
      <c r="S41">
        <f t="shared" ref="S41" si="183">R41/100000</f>
        <v>5119.3860883048092</v>
      </c>
      <c r="T41">
        <f t="shared" ref="T41" si="184">S41/1000</f>
        <v>5.1193860883048092</v>
      </c>
    </row>
    <row r="42" spans="1:20" x14ac:dyDescent="0.25">
      <c r="A42" s="5">
        <v>44551</v>
      </c>
      <c r="B42">
        <v>1.4870000000000001</v>
      </c>
      <c r="C42">
        <v>1.5369999999999999</v>
      </c>
      <c r="D42">
        <v>1.4630000000000001</v>
      </c>
      <c r="E42">
        <v>1.5329999999999999</v>
      </c>
      <c r="F42">
        <v>6248247.2000000002</v>
      </c>
      <c r="G42">
        <v>1.5329999999999999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0.89189189189189155</v>
      </c>
      <c r="Q42">
        <f t="shared" ref="Q42" si="186">F42*P42</f>
        <v>5572761.0162162138</v>
      </c>
      <c r="R42">
        <f t="shared" ref="R42" si="187">R43+Q42</f>
        <v>514921242.84946829</v>
      </c>
      <c r="S42">
        <f t="shared" ref="S42" si="188">R42/100000</f>
        <v>5149.2124284946831</v>
      </c>
      <c r="T42">
        <f t="shared" ref="T42" si="189">S42/1000</f>
        <v>5.1492124284946827</v>
      </c>
    </row>
    <row r="43" spans="1:20" x14ac:dyDescent="0.25">
      <c r="A43" s="5">
        <v>44550</v>
      </c>
      <c r="B43">
        <v>1.512</v>
      </c>
      <c r="C43">
        <v>1.585</v>
      </c>
      <c r="D43">
        <v>1.425</v>
      </c>
      <c r="E43">
        <v>1.4850000000000001</v>
      </c>
      <c r="F43">
        <v>11766847.9</v>
      </c>
      <c r="G43">
        <v>1.4850000000000001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-0.24999999999999895</v>
      </c>
      <c r="Q43">
        <f t="shared" ref="Q43" si="191">F43*P43</f>
        <v>-2941711.9749999875</v>
      </c>
      <c r="R43">
        <f t="shared" ref="R43" si="192">R44+Q43</f>
        <v>509348481.83325207</v>
      </c>
      <c r="S43">
        <f t="shared" ref="S43" si="193">R43/100000</f>
        <v>5093.4848183325212</v>
      </c>
      <c r="T43">
        <f t="shared" ref="T43" si="194">S43/1000</f>
        <v>5.093484818332521</v>
      </c>
    </row>
    <row r="44" spans="1:20" x14ac:dyDescent="0.25">
      <c r="A44" s="5">
        <v>44549</v>
      </c>
      <c r="B44">
        <v>1.468</v>
      </c>
      <c r="C44">
        <v>1.58</v>
      </c>
      <c r="D44">
        <v>1.4490000000000001</v>
      </c>
      <c r="E44">
        <v>1.512</v>
      </c>
      <c r="F44">
        <v>12653967.5</v>
      </c>
      <c r="G44">
        <v>1.512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-3.8167938931298592E-2</v>
      </c>
      <c r="Q44">
        <f t="shared" ref="Q44" si="196">F44*P44</f>
        <v>-482975.85877863714</v>
      </c>
      <c r="R44">
        <f t="shared" ref="R44" si="197">R45+Q44</f>
        <v>512290193.80825204</v>
      </c>
      <c r="S44">
        <f t="shared" ref="S44" si="198">R44/100000</f>
        <v>5122.9019380825202</v>
      </c>
      <c r="T44">
        <f t="shared" ref="T44" si="199">S44/1000</f>
        <v>5.1229019380825198</v>
      </c>
    </row>
    <row r="45" spans="1:20" x14ac:dyDescent="0.25">
      <c r="A45" s="5">
        <v>44548</v>
      </c>
      <c r="B45">
        <v>1.4430000000000001</v>
      </c>
      <c r="C45">
        <v>1.504</v>
      </c>
      <c r="D45">
        <v>1.4139999999999999</v>
      </c>
      <c r="E45">
        <v>1.468</v>
      </c>
      <c r="F45">
        <v>4568365.7</v>
      </c>
      <c r="G45">
        <v>1.468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</v>
      </c>
      <c r="Q45">
        <f t="shared" ref="Q45" si="201">F45*P45</f>
        <v>913673.14000000013</v>
      </c>
      <c r="R45">
        <f t="shared" ref="R45" si="202">R46+Q45</f>
        <v>512773169.66703069</v>
      </c>
      <c r="S45">
        <f t="shared" ref="S45" si="203">R45/100000</f>
        <v>5127.7316966703065</v>
      </c>
      <c r="T45">
        <f t="shared" ref="T45" si="204">S45/1000</f>
        <v>5.1277316966703061</v>
      </c>
    </row>
    <row r="46" spans="1:20" x14ac:dyDescent="0.25">
      <c r="A46" s="5">
        <v>44547</v>
      </c>
      <c r="B46">
        <v>1.4710000000000001</v>
      </c>
      <c r="C46">
        <v>1.492</v>
      </c>
      <c r="D46">
        <v>1.393</v>
      </c>
      <c r="E46">
        <v>1.4430000000000001</v>
      </c>
      <c r="F46">
        <v>7245166.2000000002</v>
      </c>
      <c r="G46">
        <v>1.4430000000000001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1.0101010101011233E-2</v>
      </c>
      <c r="Q46">
        <f t="shared" ref="Q46" si="206">F46*P46</f>
        <v>73183.496969705171</v>
      </c>
      <c r="R46">
        <f t="shared" ref="R46" si="207">R47+Q46</f>
        <v>511859496.52703071</v>
      </c>
      <c r="S46">
        <f t="shared" ref="S46" si="208">R46/100000</f>
        <v>5118.5949652703075</v>
      </c>
      <c r="T46">
        <f t="shared" ref="T46" si="209">S46/1000</f>
        <v>5.1185949652703071</v>
      </c>
    </row>
    <row r="47" spans="1:20" x14ac:dyDescent="0.25">
      <c r="A47" s="5">
        <v>44546</v>
      </c>
      <c r="B47">
        <v>1.5</v>
      </c>
      <c r="C47">
        <v>1.54</v>
      </c>
      <c r="D47">
        <v>1.4510000000000001</v>
      </c>
      <c r="E47">
        <v>1.4710000000000001</v>
      </c>
      <c r="F47">
        <v>7211028.9000000004</v>
      </c>
      <c r="G47">
        <v>1.4710000000000001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-0.55056179775280845</v>
      </c>
      <c r="Q47">
        <f t="shared" ref="Q47" si="211">F47*P47</f>
        <v>-3970117.0348314568</v>
      </c>
      <c r="R47">
        <f t="shared" ref="R47" si="212">R48+Q47</f>
        <v>511786313.03006101</v>
      </c>
      <c r="S47">
        <f t="shared" ref="S47" si="213">R47/100000</f>
        <v>5117.8631303006105</v>
      </c>
      <c r="T47">
        <f t="shared" ref="T47" si="214">S47/1000</f>
        <v>5.1178631303006101</v>
      </c>
    </row>
    <row r="48" spans="1:20" x14ac:dyDescent="0.25">
      <c r="A48" s="5">
        <v>44545</v>
      </c>
      <c r="B48">
        <v>1.468</v>
      </c>
      <c r="C48">
        <v>1.5189999999999999</v>
      </c>
      <c r="D48">
        <v>1.359</v>
      </c>
      <c r="E48">
        <v>1.498</v>
      </c>
      <c r="F48">
        <v>10616552.800000001</v>
      </c>
      <c r="G48">
        <v>1.498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0.73750000000000104</v>
      </c>
      <c r="Q48">
        <f t="shared" ref="Q48" si="216">F48*P48</f>
        <v>7829707.6900000116</v>
      </c>
      <c r="R48">
        <f t="shared" ref="R48" si="217">R49+Q48</f>
        <v>515756430.06489247</v>
      </c>
      <c r="S48">
        <f t="shared" ref="S48" si="218">R48/100000</f>
        <v>5157.5643006489245</v>
      </c>
      <c r="T48">
        <f t="shared" ref="T48" si="219">S48/1000</f>
        <v>5.1575643006489242</v>
      </c>
    </row>
    <row r="49" spans="1:20" x14ac:dyDescent="0.25">
      <c r="A49" s="5">
        <v>44544</v>
      </c>
      <c r="B49">
        <v>1.3979999999999999</v>
      </c>
      <c r="C49">
        <v>1.4850000000000001</v>
      </c>
      <c r="D49">
        <v>1.3819999999999999</v>
      </c>
      <c r="E49">
        <v>1.468</v>
      </c>
      <c r="F49">
        <v>10737274.800000001</v>
      </c>
      <c r="G49">
        <v>1.468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0.66990291262135737</v>
      </c>
      <c r="Q49">
        <f t="shared" ref="Q49" si="221">F49*P49</f>
        <v>7192931.6621359028</v>
      </c>
      <c r="R49">
        <f t="shared" ref="R49" si="222">R50+Q49</f>
        <v>507926722.37489247</v>
      </c>
      <c r="S49">
        <f t="shared" ref="S49" si="223">R49/100000</f>
        <v>5079.2672237489251</v>
      </c>
      <c r="T49">
        <f t="shared" ref="T49" si="224">S49/1000</f>
        <v>5.0792672237489249</v>
      </c>
    </row>
    <row r="50" spans="1:20" x14ac:dyDescent="0.25">
      <c r="A50" s="5">
        <v>44543</v>
      </c>
      <c r="B50">
        <v>1.5669999999999999</v>
      </c>
      <c r="C50">
        <v>1.5760000000000001</v>
      </c>
      <c r="D50">
        <v>1.3779999999999999</v>
      </c>
      <c r="E50">
        <v>1.397</v>
      </c>
      <c r="F50">
        <v>9960766.1999999993</v>
      </c>
      <c r="G50">
        <v>1.397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-0.80808080808080696</v>
      </c>
      <c r="Q50">
        <f t="shared" ref="Q50" si="226">F50*P50</f>
        <v>-8049103.9999999879</v>
      </c>
      <c r="R50">
        <f t="shared" ref="R50" si="227">R51+Q50</f>
        <v>500733790.71275657</v>
      </c>
      <c r="S50">
        <f t="shared" ref="S50" si="228">R50/100000</f>
        <v>5007.3379071275658</v>
      </c>
      <c r="T50">
        <f t="shared" ref="T50" si="229">S50/1000</f>
        <v>5.0073379071275657</v>
      </c>
    </row>
    <row r="51" spans="1:20" x14ac:dyDescent="0.25">
      <c r="A51" s="5">
        <v>44542</v>
      </c>
      <c r="B51">
        <v>1.5629999999999999</v>
      </c>
      <c r="C51">
        <v>1.5940000000000001</v>
      </c>
      <c r="D51">
        <v>1.518</v>
      </c>
      <c r="E51">
        <v>1.5669999999999999</v>
      </c>
      <c r="F51">
        <v>5591453.2000000002</v>
      </c>
      <c r="G51">
        <v>1.5669999999999999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0.28947368421052339</v>
      </c>
      <c r="Q51">
        <f t="shared" ref="Q51" si="231">F51*P51</f>
        <v>1618578.5578947205</v>
      </c>
      <c r="R51">
        <f t="shared" ref="R51" si="232">R52+Q51</f>
        <v>508782894.71275657</v>
      </c>
      <c r="S51">
        <f t="shared" ref="S51" si="233">R51/100000</f>
        <v>5087.8289471275657</v>
      </c>
      <c r="T51">
        <f t="shared" ref="T51" si="234">S51/1000</f>
        <v>5.0878289471275657</v>
      </c>
    </row>
    <row r="52" spans="1:20" x14ac:dyDescent="0.25">
      <c r="A52" s="5">
        <v>44541</v>
      </c>
      <c r="B52">
        <v>1.49</v>
      </c>
      <c r="C52">
        <v>1.522</v>
      </c>
      <c r="D52">
        <v>1.4710000000000001</v>
      </c>
      <c r="E52">
        <v>1.514</v>
      </c>
      <c r="F52">
        <v>562177.4</v>
      </c>
      <c r="G52">
        <v>1.514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0.68627450980392091</v>
      </c>
      <c r="Q52">
        <f t="shared" ref="Q52" si="236">F52*P52</f>
        <v>385808.01960784278</v>
      </c>
      <c r="R52">
        <f t="shared" ref="R52" si="237">R53+Q52</f>
        <v>507164316.15486187</v>
      </c>
      <c r="S52">
        <f t="shared" ref="S52" si="238">R52/100000</f>
        <v>5071.643161548619</v>
      </c>
      <c r="T52">
        <f t="shared" ref="T52" si="239">S52/1000</f>
        <v>5.0716431615486188</v>
      </c>
    </row>
    <row r="53" spans="1:20" x14ac:dyDescent="0.25">
      <c r="A53" s="5">
        <v>44540</v>
      </c>
      <c r="B53">
        <v>1.5509999999999999</v>
      </c>
      <c r="C53">
        <v>1.61</v>
      </c>
      <c r="D53">
        <v>1.4830000000000001</v>
      </c>
      <c r="E53">
        <v>1.492</v>
      </c>
      <c r="F53">
        <v>9018335.1999999993</v>
      </c>
      <c r="G53">
        <v>1.492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-0.85826771653543465</v>
      </c>
      <c r="Q53">
        <f t="shared" ref="Q53" si="241">F53*P53</f>
        <v>-7740145.9590551313</v>
      </c>
      <c r="R53">
        <f t="shared" ref="R53" si="242">R54+Q53</f>
        <v>506778508.13525403</v>
      </c>
      <c r="S53">
        <f t="shared" ref="S53" si="243">R53/100000</f>
        <v>5067.7850813525401</v>
      </c>
      <c r="T53">
        <f t="shared" ref="T53" si="244">S53/1000</f>
        <v>5.0677850813525405</v>
      </c>
    </row>
    <row r="54" spans="1:20" x14ac:dyDescent="0.25">
      <c r="A54" s="5">
        <v>44539</v>
      </c>
      <c r="B54">
        <v>1.7110000000000001</v>
      </c>
      <c r="C54">
        <v>1.722</v>
      </c>
      <c r="D54">
        <v>1.5449999999999999</v>
      </c>
      <c r="E54">
        <v>1.552</v>
      </c>
      <c r="F54">
        <v>10137695.1</v>
      </c>
      <c r="G54">
        <v>1.552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-0.92090395480225862</v>
      </c>
      <c r="Q54">
        <f t="shared" ref="Q54" si="246">F54*P54</f>
        <v>-9335843.5101694781</v>
      </c>
      <c r="R54">
        <f t="shared" ref="R54" si="247">R55+Q54</f>
        <v>514518654.09430915</v>
      </c>
      <c r="S54">
        <f t="shared" ref="S54" si="248">R54/100000</f>
        <v>5145.1865409430911</v>
      </c>
      <c r="T54">
        <f t="shared" ref="T54" si="249">S54/1000</f>
        <v>5.145186540943091</v>
      </c>
    </row>
    <row r="55" spans="1:20" x14ac:dyDescent="0.25">
      <c r="A55" s="5">
        <v>44538</v>
      </c>
      <c r="B55">
        <v>1.637</v>
      </c>
      <c r="C55">
        <v>1.742</v>
      </c>
      <c r="D55">
        <v>1.5860000000000001</v>
      </c>
      <c r="E55">
        <v>1.7090000000000001</v>
      </c>
      <c r="F55">
        <v>15266773.300000001</v>
      </c>
      <c r="G55">
        <v>1.7090000000000001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0.57692307692307776</v>
      </c>
      <c r="Q55">
        <f t="shared" ref="Q55" si="251">F55*P55</f>
        <v>8807753.826923091</v>
      </c>
      <c r="R55">
        <f t="shared" ref="R55" si="252">R56+Q55</f>
        <v>523854497.60447866</v>
      </c>
      <c r="S55">
        <f t="shared" ref="S55" si="253">R55/100000</f>
        <v>5238.5449760447864</v>
      </c>
      <c r="T55">
        <f t="shared" ref="T55" si="254">S55/1000</f>
        <v>5.2385449760447864</v>
      </c>
    </row>
    <row r="56" spans="1:20" x14ac:dyDescent="0.25">
      <c r="A56" s="5">
        <v>44537</v>
      </c>
      <c r="B56">
        <v>1.635</v>
      </c>
      <c r="C56">
        <v>1.6930000000000001</v>
      </c>
      <c r="D56">
        <v>1.6020000000000001</v>
      </c>
      <c r="E56">
        <v>1.637</v>
      </c>
      <c r="F56">
        <v>14916307.1</v>
      </c>
      <c r="G56">
        <v>1.637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-0.23076923076923228</v>
      </c>
      <c r="Q56">
        <f t="shared" ref="Q56" si="256">F56*P56</f>
        <v>-3442224.7153846379</v>
      </c>
      <c r="R56">
        <f t="shared" ref="R56" si="257">R57+Q56</f>
        <v>515046743.77755558</v>
      </c>
      <c r="S56">
        <f t="shared" ref="S56" si="258">R56/100000</f>
        <v>5150.4674377755555</v>
      </c>
      <c r="T56">
        <f t="shared" ref="T56" si="259">S56/1000</f>
        <v>5.1504674377755553</v>
      </c>
    </row>
    <row r="57" spans="1:20" x14ac:dyDescent="0.25">
      <c r="A57" s="5">
        <v>44536</v>
      </c>
      <c r="B57">
        <v>1.5860000000000001</v>
      </c>
      <c r="C57">
        <v>1.6439999999999999</v>
      </c>
      <c r="D57">
        <v>1.4239999999999999</v>
      </c>
      <c r="E57">
        <v>1.635</v>
      </c>
      <c r="F57">
        <v>19249549.5</v>
      </c>
      <c r="G57">
        <v>1.635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0.9181818181818191</v>
      </c>
      <c r="Q57">
        <f t="shared" ref="Q57" si="261">F57*P57</f>
        <v>17674586.359090928</v>
      </c>
      <c r="R57">
        <f t="shared" ref="R57" si="262">R58+Q57</f>
        <v>518488968.49294025</v>
      </c>
      <c r="S57">
        <f t="shared" ref="S57" si="263">R57/100000</f>
        <v>5184.8896849294024</v>
      </c>
      <c r="T57">
        <f t="shared" ref="T57" si="264">S57/1000</f>
        <v>5.1848896849294022</v>
      </c>
    </row>
    <row r="58" spans="1:20" x14ac:dyDescent="0.25">
      <c r="A58" s="5">
        <v>44535</v>
      </c>
      <c r="B58">
        <v>1.744</v>
      </c>
      <c r="C58">
        <v>1.7609999999999999</v>
      </c>
      <c r="D58">
        <v>1.5109999999999999</v>
      </c>
      <c r="E58">
        <v>1.585</v>
      </c>
      <c r="F58">
        <v>18373406.600000001</v>
      </c>
      <c r="G58">
        <v>1.585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-0.40799999999999947</v>
      </c>
      <c r="Q58">
        <f t="shared" ref="Q58" si="266">F58*P58</f>
        <v>-7496349.8927999912</v>
      </c>
      <c r="R58">
        <f t="shared" ref="R58" si="267">R59+Q58</f>
        <v>500814382.13384932</v>
      </c>
      <c r="S58">
        <f t="shared" ref="S58" si="268">R58/100000</f>
        <v>5008.1438213384936</v>
      </c>
      <c r="T58">
        <f t="shared" ref="T58" si="269">S58/1000</f>
        <v>5.0081438213384937</v>
      </c>
    </row>
    <row r="59" spans="1:20" x14ac:dyDescent="0.25">
      <c r="A59" s="5">
        <v>44534</v>
      </c>
      <c r="B59">
        <v>2.1549999999999998</v>
      </c>
      <c r="C59">
        <v>2.1629999999999998</v>
      </c>
      <c r="D59">
        <v>1.276</v>
      </c>
      <c r="E59">
        <v>1.7450000000000001</v>
      </c>
      <c r="F59">
        <v>52133498.495999999</v>
      </c>
      <c r="G59">
        <v>1.7450000000000001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5.7497181510710697E-2</v>
      </c>
      <c r="Q59">
        <f t="shared" ref="Q59" si="271">F59*P59</f>
        <v>2997529.2258128752</v>
      </c>
      <c r="R59">
        <f t="shared" ref="R59" si="272">R60+Q59</f>
        <v>508310732.0266493</v>
      </c>
      <c r="S59">
        <f t="shared" ref="S59" si="273">R59/100000</f>
        <v>5083.1073202664929</v>
      </c>
      <c r="T59">
        <f t="shared" ref="T59" si="274">S59/1000</f>
        <v>5.0831073202664934</v>
      </c>
    </row>
    <row r="60" spans="1:20" x14ac:dyDescent="0.25">
      <c r="A60" s="5">
        <v>44533</v>
      </c>
      <c r="B60">
        <v>2.2730000000000001</v>
      </c>
      <c r="C60">
        <v>2.3359999999999999</v>
      </c>
      <c r="D60">
        <v>2.1</v>
      </c>
      <c r="E60">
        <v>2.1549999999999998</v>
      </c>
      <c r="F60">
        <v>11228279.699999999</v>
      </c>
      <c r="G60">
        <v>2.1549999999999998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-0.53389830508474767</v>
      </c>
      <c r="Q60">
        <f t="shared" ref="Q60" si="276">F60*P60</f>
        <v>-5994759.5008474784</v>
      </c>
      <c r="R60">
        <f t="shared" ref="R60" si="277">R61+Q60</f>
        <v>505313202.80083644</v>
      </c>
      <c r="S60">
        <f t="shared" ref="S60" si="278">R60/100000</f>
        <v>5053.1320280083646</v>
      </c>
      <c r="T60">
        <f t="shared" ref="T60" si="279">S60/1000</f>
        <v>5.0531320280083643</v>
      </c>
    </row>
    <row r="61" spans="1:20" x14ac:dyDescent="0.25">
      <c r="A61" s="5">
        <v>44532</v>
      </c>
      <c r="B61">
        <v>2.3410000000000002</v>
      </c>
      <c r="C61">
        <v>2.3420000000000001</v>
      </c>
      <c r="D61">
        <v>2.2309999999999999</v>
      </c>
      <c r="E61">
        <v>2.2730000000000001</v>
      </c>
      <c r="F61">
        <v>9163247.0999999996</v>
      </c>
      <c r="G61">
        <v>2.2730000000000001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-0.24324324324324001</v>
      </c>
      <c r="Q61">
        <f t="shared" ref="Q61" si="281">F61*P61</f>
        <v>-2228897.9432432135</v>
      </c>
      <c r="R61">
        <f t="shared" ref="R61" si="282">R62+Q61</f>
        <v>511307962.3016839</v>
      </c>
      <c r="S61">
        <f t="shared" ref="S61" si="283">R61/100000</f>
        <v>5113.0796230168389</v>
      </c>
      <c r="T61">
        <f t="shared" ref="T61" si="284">S61/1000</f>
        <v>5.1130796230168389</v>
      </c>
    </row>
    <row r="62" spans="1:20" x14ac:dyDescent="0.25">
      <c r="A62" s="5">
        <v>44531</v>
      </c>
      <c r="B62">
        <v>2.2730000000000001</v>
      </c>
      <c r="C62">
        <v>2.44</v>
      </c>
      <c r="D62">
        <v>2.2570000000000001</v>
      </c>
      <c r="E62">
        <v>2.3410000000000002</v>
      </c>
      <c r="F62">
        <v>13104510.6</v>
      </c>
      <c r="G62">
        <v>2.3410000000000002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-8.1967213114752427E-2</v>
      </c>
      <c r="Q62">
        <f t="shared" ref="Q62" si="286">F62*P62</f>
        <v>-1074140.2131147322</v>
      </c>
      <c r="R62">
        <f t="shared" ref="R62" si="287">R63+Q62</f>
        <v>513536860.24492711</v>
      </c>
      <c r="S62">
        <f t="shared" ref="S62" si="288">R62/100000</f>
        <v>5135.3686024492708</v>
      </c>
      <c r="T62">
        <f t="shared" ref="T62" si="289">S62/1000</f>
        <v>5.1353686024492706</v>
      </c>
    </row>
    <row r="63" spans="1:20" x14ac:dyDescent="0.25">
      <c r="A63" s="5">
        <v>44530</v>
      </c>
      <c r="B63">
        <v>2.2799999999999998</v>
      </c>
      <c r="C63">
        <v>2.355</v>
      </c>
      <c r="D63">
        <v>2.1829999999999998</v>
      </c>
      <c r="E63">
        <v>2.2709999999999999</v>
      </c>
      <c r="F63">
        <v>13573221.300000001</v>
      </c>
      <c r="G63">
        <v>2.2709999999999999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2.3255813953488372E-2</v>
      </c>
      <c r="Q63">
        <f t="shared" ref="Q63" si="291">F63*P63</f>
        <v>315656.30930232559</v>
      </c>
      <c r="R63">
        <f t="shared" ref="R63" si="292">R64+Q63</f>
        <v>514611000.45804185</v>
      </c>
      <c r="S63">
        <f t="shared" ref="S63" si="293">R63/100000</f>
        <v>5146.1100045804187</v>
      </c>
      <c r="T63">
        <f t="shared" ref="T63" si="294">S63/1000</f>
        <v>5.1461100045804189</v>
      </c>
    </row>
    <row r="64" spans="1:20" x14ac:dyDescent="0.25">
      <c r="A64" s="5">
        <v>44529</v>
      </c>
      <c r="B64">
        <v>2.2559999999999998</v>
      </c>
      <c r="C64">
        <v>2.2989999999999999</v>
      </c>
      <c r="D64">
        <v>2.2229999999999999</v>
      </c>
      <c r="E64">
        <v>2.2789999999999999</v>
      </c>
      <c r="F64">
        <v>7600134.4000000004</v>
      </c>
      <c r="G64">
        <v>2.2789999999999999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0.47368421052631576</v>
      </c>
      <c r="Q64">
        <f t="shared" ref="Q64" si="296">F64*P64</f>
        <v>3600063.6631578947</v>
      </c>
      <c r="R64">
        <f t="shared" ref="R64" si="297">R65+Q64</f>
        <v>514295344.14873952</v>
      </c>
      <c r="S64">
        <f t="shared" ref="S64" si="298">R64/100000</f>
        <v>5142.9534414873951</v>
      </c>
      <c r="T64">
        <f t="shared" ref="T64" si="299">S64/1000</f>
        <v>5.1429534414873954</v>
      </c>
    </row>
    <row r="65" spans="1:20" x14ac:dyDescent="0.25">
      <c r="A65" s="5">
        <v>44528</v>
      </c>
      <c r="B65">
        <v>2.2469999999999999</v>
      </c>
      <c r="C65">
        <v>2.2629999999999999</v>
      </c>
      <c r="D65">
        <v>2.0619999999999998</v>
      </c>
      <c r="E65">
        <v>2.2570000000000001</v>
      </c>
      <c r="F65">
        <v>11425990.6</v>
      </c>
      <c r="G65">
        <v>2.2570000000000001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0.94029850746268873</v>
      </c>
      <c r="Q65">
        <f t="shared" ref="Q65" si="301">F65*P65</f>
        <v>10743841.907462711</v>
      </c>
      <c r="R65">
        <f t="shared" ref="R65" si="302">R66+Q65</f>
        <v>510695280.48558164</v>
      </c>
      <c r="S65">
        <f t="shared" ref="S65" si="303">R65/100000</f>
        <v>5106.9528048558168</v>
      </c>
      <c r="T65">
        <f t="shared" ref="T65" si="304">S65/1000</f>
        <v>5.1069528048558164</v>
      </c>
    </row>
    <row r="66" spans="1:20" x14ac:dyDescent="0.25">
      <c r="A66" s="5">
        <v>44527</v>
      </c>
      <c r="B66">
        <v>2.306</v>
      </c>
      <c r="C66">
        <v>2.3439999999999999</v>
      </c>
      <c r="D66">
        <v>2.2149999999999999</v>
      </c>
      <c r="E66">
        <v>2.2490000000000001</v>
      </c>
      <c r="F66">
        <v>8972371.9000000004</v>
      </c>
      <c r="G66">
        <v>2.2490000000000001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-0.47286821705425969</v>
      </c>
      <c r="Q66">
        <f t="shared" ref="Q66" si="306">F66*P66</f>
        <v>-4242749.5031007407</v>
      </c>
      <c r="R66">
        <f t="shared" ref="R66" si="307">R67+Q66</f>
        <v>499951438.57811892</v>
      </c>
      <c r="S66">
        <f t="shared" ref="S66" si="308">R66/100000</f>
        <v>4999.514385781189</v>
      </c>
      <c r="T66">
        <f t="shared" ref="T66" si="309">S66/1000</f>
        <v>4.9995143857811888</v>
      </c>
    </row>
    <row r="67" spans="1:20" x14ac:dyDescent="0.25">
      <c r="A67" s="5">
        <v>44526</v>
      </c>
      <c r="B67">
        <v>2.4940000000000002</v>
      </c>
      <c r="C67">
        <v>2.556</v>
      </c>
      <c r="D67">
        <v>2.222</v>
      </c>
      <c r="E67">
        <v>2.306</v>
      </c>
      <c r="F67">
        <v>25821522.600000001</v>
      </c>
      <c r="G67">
        <v>2.306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-0.49700598802395174</v>
      </c>
      <c r="Q67">
        <f t="shared" ref="Q67" si="311">F67*P67</f>
        <v>-12833451.3520958</v>
      </c>
      <c r="R67">
        <f t="shared" ref="R67" si="312">R68+Q67</f>
        <v>504194188.08121967</v>
      </c>
      <c r="S67">
        <f t="shared" ref="S67" si="313">R67/100000</f>
        <v>5041.9418808121964</v>
      </c>
      <c r="T67">
        <f t="shared" ref="T67" si="314">S67/1000</f>
        <v>5.0419418808121961</v>
      </c>
    </row>
    <row r="68" spans="1:20" x14ac:dyDescent="0.25">
      <c r="A68" s="5">
        <v>44525</v>
      </c>
      <c r="B68">
        <v>2.387</v>
      </c>
      <c r="C68">
        <v>2.6080000000000001</v>
      </c>
      <c r="D68">
        <v>2.3540000000000001</v>
      </c>
      <c r="E68">
        <v>2.4929999999999999</v>
      </c>
      <c r="F68">
        <v>22110201.100000001</v>
      </c>
      <c r="G68">
        <v>2.4929999999999999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9.4488188976376286E-2</v>
      </c>
      <c r="Q68">
        <f t="shared" ref="Q68" si="316">F68*P68</f>
        <v>2089152.859842483</v>
      </c>
      <c r="R68">
        <f t="shared" ref="R68" si="317">R69+Q68</f>
        <v>517027639.43331546</v>
      </c>
      <c r="S68">
        <f t="shared" ref="S68" si="318">R68/100000</f>
        <v>5170.2763943331547</v>
      </c>
      <c r="T68">
        <f t="shared" ref="T68" si="319">S68/1000</f>
        <v>5.1702763943331549</v>
      </c>
    </row>
    <row r="69" spans="1:20" x14ac:dyDescent="0.25">
      <c r="A69" s="5">
        <v>44524</v>
      </c>
      <c r="B69">
        <v>2.4540000000000002</v>
      </c>
      <c r="C69">
        <v>2.456</v>
      </c>
      <c r="D69">
        <v>2.3279999999999998</v>
      </c>
      <c r="E69">
        <v>2.355</v>
      </c>
      <c r="F69">
        <v>5809696.5999999996</v>
      </c>
      <c r="G69">
        <v>2.355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-0.57812499999999822</v>
      </c>
      <c r="Q69">
        <f t="shared" ref="Q69" si="321">F69*P69</f>
        <v>-3358730.8468749896</v>
      </c>
      <c r="R69">
        <f t="shared" ref="R69" si="322">R70+Q69</f>
        <v>514938486.57347298</v>
      </c>
      <c r="S69">
        <f t="shared" ref="S69" si="323">R69/100000</f>
        <v>5149.3848657347298</v>
      </c>
      <c r="T69">
        <f t="shared" ref="T69" si="324">S69/1000</f>
        <v>5.1493848657347296</v>
      </c>
    </row>
    <row r="70" spans="1:20" x14ac:dyDescent="0.25">
      <c r="A70" s="5">
        <v>44523</v>
      </c>
      <c r="B70">
        <v>2.4660000000000002</v>
      </c>
      <c r="C70">
        <v>2.4870000000000001</v>
      </c>
      <c r="D70">
        <v>2.3730000000000002</v>
      </c>
      <c r="E70">
        <v>2.4550000000000001</v>
      </c>
      <c r="F70">
        <v>13274500</v>
      </c>
      <c r="G70">
        <v>2.4550000000000001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0.4385964912280691</v>
      </c>
      <c r="Q70">
        <f t="shared" ref="Q70" si="326">F70*P70</f>
        <v>5822149.1228070036</v>
      </c>
      <c r="R70">
        <f t="shared" ref="R70" si="327">R71+Q70</f>
        <v>518297217.42034799</v>
      </c>
      <c r="S70">
        <f t="shared" ref="S70" si="328">R70/100000</f>
        <v>5182.9721742034799</v>
      </c>
      <c r="T70">
        <f t="shared" ref="T70" si="329">S70/1000</f>
        <v>5.1829721742034796</v>
      </c>
    </row>
    <row r="71" spans="1:20" x14ac:dyDescent="0.25">
      <c r="A71" s="5">
        <v>44522</v>
      </c>
      <c r="B71">
        <v>2.6269999999999998</v>
      </c>
      <c r="C71">
        <v>2.6669999999999998</v>
      </c>
      <c r="D71">
        <v>2.4159999999999999</v>
      </c>
      <c r="E71">
        <v>2.468</v>
      </c>
      <c r="F71">
        <v>19431682.100000001</v>
      </c>
      <c r="G71">
        <v>2.468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-0.58565737051792777</v>
      </c>
      <c r="Q71">
        <f t="shared" ref="Q71" si="331">F71*P71</f>
        <v>-11380307.843426285</v>
      </c>
      <c r="R71">
        <f t="shared" ref="R71" si="332">R72+Q71</f>
        <v>512475068.29754096</v>
      </c>
      <c r="S71">
        <f t="shared" ref="S71" si="333">R71/100000</f>
        <v>5124.7506829754093</v>
      </c>
      <c r="T71">
        <f t="shared" ref="T71" si="334">S71/1000</f>
        <v>5.1247506829754093</v>
      </c>
    </row>
    <row r="72" spans="1:20" x14ac:dyDescent="0.25">
      <c r="A72" s="5">
        <v>44521</v>
      </c>
      <c r="B72">
        <v>2.5409999999999999</v>
      </c>
      <c r="C72">
        <v>2.6949999999999998</v>
      </c>
      <c r="D72">
        <v>2.4740000000000002</v>
      </c>
      <c r="E72">
        <v>2.6230000000000002</v>
      </c>
      <c r="F72">
        <v>21867246.199999999</v>
      </c>
      <c r="G72">
        <v>2.6230000000000002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0.34841628959276255</v>
      </c>
      <c r="Q72">
        <f t="shared" ref="Q72" si="336">F72*P72</f>
        <v>7618904.7846154366</v>
      </c>
      <c r="R72">
        <f t="shared" ref="R72" si="337">R73+Q72</f>
        <v>523855376.14096725</v>
      </c>
      <c r="S72">
        <f t="shared" ref="S72" si="338">R72/100000</f>
        <v>5238.5537614096729</v>
      </c>
      <c r="T72">
        <f t="shared" ref="T72" si="339">S72/1000</f>
        <v>5.2385537614096727</v>
      </c>
    </row>
    <row r="73" spans="1:20" x14ac:dyDescent="0.25">
      <c r="A73" s="5">
        <v>44520</v>
      </c>
      <c r="B73">
        <v>2.48</v>
      </c>
      <c r="C73">
        <v>2.6059999999999999</v>
      </c>
      <c r="D73">
        <v>2.4</v>
      </c>
      <c r="E73">
        <v>2.5430000000000001</v>
      </c>
      <c r="F73">
        <v>18351680.5</v>
      </c>
      <c r="G73">
        <v>2.5430000000000001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0.38834951456310934</v>
      </c>
      <c r="Q73">
        <f t="shared" ref="Q73" si="341">F73*P73</f>
        <v>7126866.2135922797</v>
      </c>
      <c r="R73">
        <f t="shared" ref="R73" si="342">R74+Q73</f>
        <v>516236471.35635179</v>
      </c>
      <c r="S73">
        <f t="shared" ref="S73" si="343">R73/100000</f>
        <v>5162.3647135635183</v>
      </c>
      <c r="T73">
        <f t="shared" ref="T73" si="344">S73/1000</f>
        <v>5.1623647135635187</v>
      </c>
    </row>
    <row r="74" spans="1:20" x14ac:dyDescent="0.25">
      <c r="A74" s="5">
        <v>44519</v>
      </c>
      <c r="B74">
        <v>2.2970000000000002</v>
      </c>
      <c r="C74">
        <v>2.4830000000000001</v>
      </c>
      <c r="D74">
        <v>2.2639999999999998</v>
      </c>
      <c r="E74">
        <v>2.48</v>
      </c>
      <c r="F74">
        <v>18188337.600000001</v>
      </c>
      <c r="G74">
        <v>2.48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0.9726027397260264</v>
      </c>
      <c r="Q74">
        <f t="shared" ref="Q74" si="346">F74*P74</f>
        <v>17690026.9808219</v>
      </c>
      <c r="R74">
        <f t="shared" ref="R74" si="347">R75+Q74</f>
        <v>509109605.1427595</v>
      </c>
      <c r="S74">
        <f t="shared" ref="S74" si="348">R74/100000</f>
        <v>5091.0960514275948</v>
      </c>
      <c r="T74">
        <f t="shared" ref="T74" si="349">S74/1000</f>
        <v>5.0910960514275949</v>
      </c>
    </row>
    <row r="75" spans="1:20" x14ac:dyDescent="0.25">
      <c r="A75" s="5">
        <v>44518</v>
      </c>
      <c r="B75">
        <v>2.5470000000000002</v>
      </c>
      <c r="C75">
        <v>2.573</v>
      </c>
      <c r="D75">
        <v>2.254</v>
      </c>
      <c r="E75">
        <v>2.298</v>
      </c>
      <c r="F75">
        <v>24495294.399999999</v>
      </c>
      <c r="G75">
        <v>2.298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-0.72413793103448243</v>
      </c>
      <c r="Q75">
        <f t="shared" ref="Q75" si="351">F75*P75</f>
        <v>-17737971.806896541</v>
      </c>
      <c r="R75">
        <f t="shared" ref="R75" si="352">R76+Q75</f>
        <v>491419578.16193759</v>
      </c>
      <c r="S75">
        <f t="shared" ref="S75" si="353">R75/100000</f>
        <v>4914.1957816193762</v>
      </c>
      <c r="T75">
        <f t="shared" ref="T75" si="354">S75/1000</f>
        <v>4.9141957816193766</v>
      </c>
    </row>
    <row r="76" spans="1:20" x14ac:dyDescent="0.25">
      <c r="A76" s="5">
        <v>44517</v>
      </c>
      <c r="B76">
        <v>2.6019999999999999</v>
      </c>
      <c r="C76">
        <v>2.6219999999999999</v>
      </c>
      <c r="D76">
        <v>2.419</v>
      </c>
      <c r="E76">
        <v>2.548</v>
      </c>
      <c r="F76">
        <v>27357471.800000001</v>
      </c>
      <c r="G76">
        <v>2.548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0.27093596059113401</v>
      </c>
      <c r="Q76">
        <f t="shared" ref="Q76" si="356">F76*P76</f>
        <v>7412122.9014778603</v>
      </c>
      <c r="R76">
        <f t="shared" ref="R76" si="357">R77+Q76</f>
        <v>509157549.96883416</v>
      </c>
      <c r="S76">
        <f t="shared" ref="S76" si="358">R76/100000</f>
        <v>5091.5754996883416</v>
      </c>
      <c r="T76">
        <f t="shared" ref="T76" si="359">S76/1000</f>
        <v>5.0915754996883411</v>
      </c>
    </row>
    <row r="77" spans="1:20" x14ac:dyDescent="0.25">
      <c r="A77" s="5">
        <v>44516</v>
      </c>
      <c r="B77">
        <v>2.77</v>
      </c>
      <c r="C77">
        <v>3</v>
      </c>
      <c r="D77">
        <v>2.5499999999999998</v>
      </c>
      <c r="E77">
        <v>2.6040000000000001</v>
      </c>
      <c r="F77">
        <v>107217810.3</v>
      </c>
      <c r="G77">
        <v>2.6040000000000001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-0.7599999999999989</v>
      </c>
      <c r="Q77">
        <f t="shared" ref="Q77" si="361">F77*P77</f>
        <v>-81485535.827999875</v>
      </c>
      <c r="R77">
        <f t="shared" ref="R77" si="362">R78+Q77</f>
        <v>501745427.06735629</v>
      </c>
      <c r="S77">
        <f t="shared" ref="S77" si="363">R77/100000</f>
        <v>5017.4542706735629</v>
      </c>
      <c r="T77">
        <f t="shared" ref="T77" si="364">S77/1000</f>
        <v>5.0174542706735625</v>
      </c>
    </row>
    <row r="78" spans="1:20" x14ac:dyDescent="0.25">
      <c r="A78" s="5">
        <v>44515</v>
      </c>
      <c r="B78">
        <v>2.5419999999999998</v>
      </c>
      <c r="C78">
        <v>2.98</v>
      </c>
      <c r="D78">
        <v>2.508</v>
      </c>
      <c r="E78">
        <v>2.7690000000000001</v>
      </c>
      <c r="F78">
        <v>47200079.399999999</v>
      </c>
      <c r="G78">
        <v>2.7690000000000001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0.10593220338983107</v>
      </c>
      <c r="Q78">
        <f t="shared" ref="Q78" si="366">F78*P78</f>
        <v>5000008.4110169755</v>
      </c>
      <c r="R78">
        <f t="shared" ref="R78" si="367">R79+Q78</f>
        <v>583230962.89535618</v>
      </c>
      <c r="S78">
        <f t="shared" ref="S78" si="368">R78/100000</f>
        <v>5832.3096289535615</v>
      </c>
      <c r="T78">
        <f t="shared" ref="T78" si="369">S78/1000</f>
        <v>5.8323096289535616</v>
      </c>
    </row>
    <row r="79" spans="1:20" x14ac:dyDescent="0.25">
      <c r="A79" s="5">
        <v>44514</v>
      </c>
      <c r="B79">
        <v>2.6070000000000002</v>
      </c>
      <c r="C79">
        <v>2.6230000000000002</v>
      </c>
      <c r="D79">
        <v>2.4740000000000002</v>
      </c>
      <c r="E79">
        <v>2.5419999999999998</v>
      </c>
      <c r="F79">
        <v>10445640.199999999</v>
      </c>
      <c r="G79">
        <v>2.5419999999999998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-8.7248322147656293E-2</v>
      </c>
      <c r="Q79">
        <f t="shared" ref="Q79" si="371">F79*P79</f>
        <v>-911364.58120810881</v>
      </c>
      <c r="R79">
        <f t="shared" ref="R79" si="372">R80+Q79</f>
        <v>578230954.48433924</v>
      </c>
      <c r="S79">
        <f t="shared" ref="S79" si="373">R79/100000</f>
        <v>5782.3095448433924</v>
      </c>
      <c r="T79">
        <f t="shared" ref="T79" si="374">S79/1000</f>
        <v>5.7823095448433923</v>
      </c>
    </row>
    <row r="80" spans="1:20" x14ac:dyDescent="0.25">
      <c r="A80" s="5">
        <v>44513</v>
      </c>
      <c r="B80">
        <v>2.39</v>
      </c>
      <c r="C80">
        <v>2.6219999999999999</v>
      </c>
      <c r="D80">
        <v>2.3740000000000001</v>
      </c>
      <c r="E80">
        <v>2.6070000000000002</v>
      </c>
      <c r="F80">
        <v>22229011.800000001</v>
      </c>
      <c r="G80">
        <v>2.6070000000000002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0.87903225806451857</v>
      </c>
      <c r="Q80">
        <f t="shared" ref="Q80" si="376">F80*P80</f>
        <v>19540018.43709683</v>
      </c>
      <c r="R80">
        <f t="shared" ref="R80" si="377">R81+Q80</f>
        <v>579142319.06554735</v>
      </c>
      <c r="S80">
        <f t="shared" ref="S80" si="378">R80/100000</f>
        <v>5791.4231906554733</v>
      </c>
      <c r="T80">
        <f t="shared" ref="T80" si="379">S80/1000</f>
        <v>5.7914231906554736</v>
      </c>
    </row>
    <row r="81" spans="1:20" x14ac:dyDescent="0.25">
      <c r="A81" s="5">
        <v>44512</v>
      </c>
      <c r="B81">
        <v>2.4159999999999999</v>
      </c>
      <c r="C81">
        <v>2.4390000000000001</v>
      </c>
      <c r="D81">
        <v>2.3130000000000002</v>
      </c>
      <c r="E81">
        <v>2.39</v>
      </c>
      <c r="F81">
        <v>11050389.300000001</v>
      </c>
      <c r="G81">
        <v>2.39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0.22222222222222263</v>
      </c>
      <c r="Q81">
        <f t="shared" ref="Q81" si="381">F81*P81</f>
        <v>2455642.0666666711</v>
      </c>
      <c r="R81">
        <f t="shared" ref="R81" si="382">R82+Q81</f>
        <v>559602300.62845051</v>
      </c>
      <c r="S81">
        <f t="shared" ref="S81" si="383">R81/100000</f>
        <v>5596.0230062845048</v>
      </c>
      <c r="T81">
        <f t="shared" ref="T81" si="384">S81/1000</f>
        <v>5.5960230062845051</v>
      </c>
    </row>
    <row r="82" spans="1:20" x14ac:dyDescent="0.25">
      <c r="A82" s="5">
        <v>44511</v>
      </c>
      <c r="B82">
        <v>2.3849999999999998</v>
      </c>
      <c r="C82">
        <v>2.4660000000000002</v>
      </c>
      <c r="D82">
        <v>2.3439999999999999</v>
      </c>
      <c r="E82">
        <v>2.4169999999999998</v>
      </c>
      <c r="F82">
        <v>12940170.1</v>
      </c>
      <c r="G82">
        <v>2.4169999999999998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0.19672131147540584</v>
      </c>
      <c r="Q82">
        <f t="shared" ref="Q82" si="386">F82*P82</f>
        <v>2545607.2327868333</v>
      </c>
      <c r="R82">
        <f t="shared" ref="R82" si="387">R83+Q82</f>
        <v>557146658.56178379</v>
      </c>
      <c r="S82">
        <f t="shared" ref="S82" si="388">R82/100000</f>
        <v>5571.4665856178381</v>
      </c>
      <c r="T82">
        <f t="shared" ref="T82" si="389">S82/1000</f>
        <v>5.5714665856178378</v>
      </c>
    </row>
    <row r="83" spans="1:20" x14ac:dyDescent="0.25">
      <c r="A83" s="5">
        <v>44510</v>
      </c>
      <c r="B83">
        <v>2.5870000000000002</v>
      </c>
      <c r="C83">
        <v>2.649</v>
      </c>
      <c r="D83">
        <v>2.194</v>
      </c>
      <c r="E83">
        <v>2.3860000000000001</v>
      </c>
      <c r="F83">
        <v>25132726.100000001</v>
      </c>
      <c r="G83">
        <v>2.3860000000000001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-0.15604395604395543</v>
      </c>
      <c r="Q83">
        <f t="shared" ref="Q83" si="391">F83*P83</f>
        <v>-3921810.0068131718</v>
      </c>
      <c r="R83">
        <f t="shared" ref="R83" si="392">R84+Q83</f>
        <v>554601051.32899702</v>
      </c>
      <c r="S83">
        <f t="shared" ref="S83" si="393">R83/100000</f>
        <v>5546.0105132899698</v>
      </c>
      <c r="T83">
        <f t="shared" ref="T83" si="394">S83/1000</f>
        <v>5.5460105132899695</v>
      </c>
    </row>
    <row r="84" spans="1:20" x14ac:dyDescent="0.25">
      <c r="A84" s="5">
        <v>44509</v>
      </c>
      <c r="B84">
        <v>2.5249999999999999</v>
      </c>
      <c r="C84">
        <v>2.6850000000000001</v>
      </c>
      <c r="D84">
        <v>2.5009999999999999</v>
      </c>
      <c r="E84">
        <v>2.5870000000000002</v>
      </c>
      <c r="F84">
        <v>22484408.100000001</v>
      </c>
      <c r="G84">
        <v>2.5870000000000002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-6.521739130434541E-2</v>
      </c>
      <c r="Q84">
        <f t="shared" ref="Q84" si="396">F84*P84</f>
        <v>-1466374.4413042937</v>
      </c>
      <c r="R84">
        <f t="shared" ref="R84" si="397">R85+Q84</f>
        <v>558522861.33581018</v>
      </c>
      <c r="S84">
        <f t="shared" ref="S84" si="398">R84/100000</f>
        <v>5585.2286133581019</v>
      </c>
      <c r="T84">
        <f t="shared" ref="T84" si="399">S84/1000</f>
        <v>5.5852286133581019</v>
      </c>
    </row>
    <row r="85" spans="1:20" x14ac:dyDescent="0.25">
      <c r="A85" s="5">
        <v>44508</v>
      </c>
      <c r="B85">
        <v>2.4049999999999998</v>
      </c>
      <c r="C85">
        <v>2.536</v>
      </c>
      <c r="D85">
        <v>2.35</v>
      </c>
      <c r="E85">
        <v>2.5249999999999999</v>
      </c>
      <c r="F85">
        <v>19883131.600000001</v>
      </c>
      <c r="G85">
        <v>2.5249999999999999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0.88172043010752554</v>
      </c>
      <c r="Q85">
        <f t="shared" ref="Q85" si="401">F85*P85</f>
        <v>17531363.346236534</v>
      </c>
      <c r="R85">
        <f t="shared" ref="R85" si="402">R86+Q85</f>
        <v>559989235.77711451</v>
      </c>
      <c r="S85">
        <f t="shared" ref="S85" si="403">R85/100000</f>
        <v>5599.8923577711448</v>
      </c>
      <c r="T85">
        <f t="shared" ref="T85" si="404">S85/1000</f>
        <v>5.5998923577711448</v>
      </c>
    </row>
    <row r="86" spans="1:20" x14ac:dyDescent="0.25">
      <c r="A86" s="5">
        <v>44507</v>
      </c>
      <c r="B86">
        <v>2.419</v>
      </c>
      <c r="C86">
        <v>2.4380000000000002</v>
      </c>
      <c r="D86">
        <v>2.38</v>
      </c>
      <c r="E86">
        <v>2.4049999999999998</v>
      </c>
      <c r="F86">
        <v>8800239.9000000004</v>
      </c>
      <c r="G86">
        <v>2.4049999999999998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-0.13793103448276575</v>
      </c>
      <c r="Q86">
        <f t="shared" ref="Q86" si="406">F86*P86</f>
        <v>-1213826.1931035111</v>
      </c>
      <c r="R86">
        <f t="shared" ref="R86" si="407">R87+Q86</f>
        <v>542457872.43087792</v>
      </c>
      <c r="S86">
        <f t="shared" ref="S86" si="408">R86/100000</f>
        <v>5424.5787243087789</v>
      </c>
      <c r="T86">
        <f t="shared" ref="T86" si="409">S86/1000</f>
        <v>5.4245787243087786</v>
      </c>
    </row>
    <row r="87" spans="1:20" x14ac:dyDescent="0.25">
      <c r="A87" s="5">
        <v>44506</v>
      </c>
      <c r="B87">
        <v>2.46</v>
      </c>
      <c r="C87">
        <v>2.536</v>
      </c>
      <c r="D87">
        <v>2.34</v>
      </c>
      <c r="E87">
        <v>2.419</v>
      </c>
      <c r="F87">
        <v>12569135.699999999</v>
      </c>
      <c r="G87">
        <v>2.419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-0.19387755102040702</v>
      </c>
      <c r="Q87">
        <f t="shared" ref="Q87" si="411">F87*P87</f>
        <v>-2436873.2479591691</v>
      </c>
      <c r="R87">
        <f t="shared" ref="R87" si="412">R88+Q87</f>
        <v>543671698.62398148</v>
      </c>
      <c r="S87">
        <f t="shared" ref="S87" si="413">R87/100000</f>
        <v>5436.716986239815</v>
      </c>
      <c r="T87">
        <f t="shared" ref="T87" si="414">S87/1000</f>
        <v>5.4367169862398148</v>
      </c>
    </row>
    <row r="88" spans="1:20" x14ac:dyDescent="0.25">
      <c r="A88" s="5">
        <v>44505</v>
      </c>
      <c r="B88">
        <v>2.3769999999999998</v>
      </c>
      <c r="C88">
        <v>2.5640000000000001</v>
      </c>
      <c r="D88">
        <v>2.3380000000000001</v>
      </c>
      <c r="E88">
        <v>2.46</v>
      </c>
      <c r="F88">
        <v>20283531.600000001</v>
      </c>
      <c r="G88">
        <v>2.46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7.9646017699114141E-2</v>
      </c>
      <c r="Q88">
        <f t="shared" ref="Q88" si="416">F88*P88</f>
        <v>1615502.5168141411</v>
      </c>
      <c r="R88">
        <f t="shared" ref="R88" si="417">R89+Q88</f>
        <v>546108571.87194061</v>
      </c>
      <c r="S88">
        <f t="shared" ref="S88" si="418">R88/100000</f>
        <v>5461.085718719406</v>
      </c>
      <c r="T88">
        <f t="shared" ref="T88" si="419">S88/1000</f>
        <v>5.4610857187194064</v>
      </c>
    </row>
    <row r="89" spans="1:20" x14ac:dyDescent="0.25">
      <c r="A89" s="5">
        <v>44504</v>
      </c>
      <c r="B89">
        <v>2.4239999999999999</v>
      </c>
      <c r="C89">
        <v>2.427</v>
      </c>
      <c r="D89">
        <v>2.327</v>
      </c>
      <c r="E89">
        <v>2.3769999999999998</v>
      </c>
      <c r="F89">
        <v>11159926.300000001</v>
      </c>
      <c r="G89">
        <v>2.3769999999999998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-4.4408920985006222E-15</v>
      </c>
      <c r="Q89">
        <f t="shared" ref="Q89" si="421">F89*P89</f>
        <v>-4.9560028525519289E-8</v>
      </c>
      <c r="R89">
        <f t="shared" ref="R89" si="422">R90+Q89</f>
        <v>544493069.3551265</v>
      </c>
      <c r="S89">
        <f t="shared" ref="S89" si="423">R89/100000</f>
        <v>5444.930693551265</v>
      </c>
      <c r="T89">
        <f t="shared" ref="T89" si="424">S89/1000</f>
        <v>5.4449306935512647</v>
      </c>
    </row>
    <row r="90" spans="1:20" x14ac:dyDescent="0.25">
      <c r="A90" s="5">
        <v>44503</v>
      </c>
      <c r="B90">
        <v>2.48</v>
      </c>
      <c r="C90">
        <v>2.48</v>
      </c>
      <c r="D90">
        <v>2.31</v>
      </c>
      <c r="E90">
        <v>2.4249999999999998</v>
      </c>
      <c r="F90">
        <v>17710527.5</v>
      </c>
      <c r="G90">
        <v>2.4249999999999998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0.35294117647058609</v>
      </c>
      <c r="Q90">
        <f t="shared" ref="Q90" si="426">F90*P90</f>
        <v>6250774.4117646683</v>
      </c>
      <c r="R90">
        <f t="shared" ref="R90" si="427">R91+Q90</f>
        <v>544493069.3551265</v>
      </c>
      <c r="S90">
        <f t="shared" ref="S90" si="428">R90/100000</f>
        <v>5444.930693551265</v>
      </c>
      <c r="T90">
        <f t="shared" ref="T90" si="429">S90/1000</f>
        <v>5.4449306935512647</v>
      </c>
    </row>
    <row r="91" spans="1:20" x14ac:dyDescent="0.25">
      <c r="A91" s="5">
        <v>44502</v>
      </c>
      <c r="B91">
        <v>2.4209999999999998</v>
      </c>
      <c r="C91">
        <v>2.5299999999999998</v>
      </c>
      <c r="D91">
        <v>2.4129999999999998</v>
      </c>
      <c r="E91">
        <v>2.48</v>
      </c>
      <c r="F91">
        <v>16638952.800000001</v>
      </c>
      <c r="G91">
        <v>2.48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0.14529914529914828</v>
      </c>
      <c r="Q91">
        <f t="shared" ref="Q91" si="431">F91*P91</f>
        <v>2417625.6205128701</v>
      </c>
      <c r="R91">
        <f t="shared" ref="R91" si="432">R92+Q91</f>
        <v>538242294.94336188</v>
      </c>
      <c r="S91">
        <f t="shared" ref="S91" si="433">R91/100000</f>
        <v>5382.4229494336187</v>
      </c>
      <c r="T91">
        <f t="shared" ref="T91" si="434">S91/1000</f>
        <v>5.3824229494336189</v>
      </c>
    </row>
    <row r="92" spans="1:20" x14ac:dyDescent="0.25">
      <c r="A92" s="5">
        <v>44501</v>
      </c>
      <c r="B92">
        <v>2.444</v>
      </c>
      <c r="C92">
        <v>2.4870000000000001</v>
      </c>
      <c r="D92">
        <v>2.3029999999999999</v>
      </c>
      <c r="E92">
        <v>2.4209999999999998</v>
      </c>
      <c r="F92">
        <v>17662143.5</v>
      </c>
      <c r="G92">
        <v>2.4209999999999998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0.2826086956521715</v>
      </c>
      <c r="Q92">
        <f t="shared" ref="Q92" si="436">F92*P92</f>
        <v>4991475.3369564796</v>
      </c>
      <c r="R92">
        <f t="shared" ref="R92" si="437">R93+Q92</f>
        <v>535824669.32284904</v>
      </c>
      <c r="S92">
        <f t="shared" ref="S92" si="438">R92/100000</f>
        <v>5358.2466932284906</v>
      </c>
      <c r="T92">
        <f t="shared" ref="T92" si="439">S92/1000</f>
        <v>5.3582466932284909</v>
      </c>
    </row>
    <row r="93" spans="1:20" x14ac:dyDescent="0.25">
      <c r="A93" s="5">
        <v>44500</v>
      </c>
      <c r="B93">
        <v>2.23</v>
      </c>
      <c r="C93">
        <v>2.5390000000000001</v>
      </c>
      <c r="D93">
        <v>2.2149999999999999</v>
      </c>
      <c r="E93">
        <v>2.444</v>
      </c>
      <c r="F93">
        <v>38013229.700000003</v>
      </c>
      <c r="G93">
        <v>2.444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0.41358024691357959</v>
      </c>
      <c r="Q93">
        <f t="shared" ref="Q93" si="441">F93*P93</f>
        <v>15721520.925308619</v>
      </c>
      <c r="R93">
        <f t="shared" ref="R93" si="442">R94+Q93</f>
        <v>530833193.98589253</v>
      </c>
      <c r="S93">
        <f t="shared" ref="S93" si="443">R93/100000</f>
        <v>5308.3319398589256</v>
      </c>
      <c r="T93">
        <f t="shared" ref="T93" si="444">S93/1000</f>
        <v>5.3083319398589257</v>
      </c>
    </row>
    <row r="94" spans="1:20" x14ac:dyDescent="0.25">
      <c r="A94" s="5">
        <v>44499</v>
      </c>
      <c r="B94">
        <v>2.2210000000000001</v>
      </c>
      <c r="C94">
        <v>2.2789999999999999</v>
      </c>
      <c r="D94">
        <v>2.1309999999999998</v>
      </c>
      <c r="E94">
        <v>2.23</v>
      </c>
      <c r="F94">
        <v>14358284</v>
      </c>
      <c r="G94">
        <v>2.23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0.33783783783783933</v>
      </c>
      <c r="Q94">
        <f t="shared" ref="Q94" si="446">F94*P94</f>
        <v>4850771.6216216432</v>
      </c>
      <c r="R94">
        <f t="shared" ref="R94" si="447">R95+Q94</f>
        <v>515111673.06058389</v>
      </c>
      <c r="S94">
        <f t="shared" ref="S94" si="448">R94/100000</f>
        <v>5151.1167306058387</v>
      </c>
      <c r="T94">
        <f t="shared" ref="T94" si="449">S94/1000</f>
        <v>5.151116730605839</v>
      </c>
    </row>
    <row r="95" spans="1:20" x14ac:dyDescent="0.25">
      <c r="A95" s="5">
        <v>44498</v>
      </c>
      <c r="B95">
        <v>2.1259999999999999</v>
      </c>
      <c r="C95">
        <v>2.2450000000000001</v>
      </c>
      <c r="D95">
        <v>2.1139999999999999</v>
      </c>
      <c r="E95">
        <v>2.2210000000000001</v>
      </c>
      <c r="F95">
        <v>11213146.1</v>
      </c>
      <c r="G95">
        <v>2.2210000000000001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0.63358778625954226</v>
      </c>
      <c r="Q95">
        <f t="shared" ref="Q95" si="451">F95*P95</f>
        <v>7104512.4145038193</v>
      </c>
      <c r="R95">
        <f t="shared" ref="R95" si="452">R96+Q95</f>
        <v>510260901.43896222</v>
      </c>
      <c r="S95">
        <f t="shared" ref="S95" si="453">R95/100000</f>
        <v>5102.6090143896226</v>
      </c>
      <c r="T95">
        <f t="shared" ref="T95" si="454">S95/1000</f>
        <v>5.102609014389623</v>
      </c>
    </row>
    <row r="96" spans="1:20" x14ac:dyDescent="0.25">
      <c r="A96" s="5">
        <v>44497</v>
      </c>
      <c r="B96">
        <v>2.0150000000000001</v>
      </c>
      <c r="C96">
        <v>2.23</v>
      </c>
      <c r="D96">
        <v>1.9970000000000001</v>
      </c>
      <c r="E96">
        <v>2.1259999999999999</v>
      </c>
      <c r="F96">
        <v>19291019.199999999</v>
      </c>
      <c r="G96">
        <v>2.1259999999999999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0.10729613733905452</v>
      </c>
      <c r="Q96">
        <f t="shared" ref="Q96" si="456">F96*P96</f>
        <v>2069851.8454935376</v>
      </c>
      <c r="R96">
        <f t="shared" ref="R96" si="457">R97+Q96</f>
        <v>503156389.02445841</v>
      </c>
      <c r="S96">
        <f t="shared" ref="S96" si="458">R96/100000</f>
        <v>5031.5638902445844</v>
      </c>
      <c r="T96">
        <f t="shared" ref="T96" si="459">S96/1000</f>
        <v>5.0315638902445841</v>
      </c>
    </row>
    <row r="97" spans="1:20" x14ac:dyDescent="0.25">
      <c r="A97" s="5">
        <v>44496</v>
      </c>
      <c r="B97">
        <v>2.262</v>
      </c>
      <c r="C97">
        <v>2.3199999999999998</v>
      </c>
      <c r="D97">
        <v>1.79</v>
      </c>
      <c r="E97">
        <v>2.0150000000000001</v>
      </c>
      <c r="F97">
        <v>33469025.627</v>
      </c>
      <c r="G97">
        <v>2.0150000000000001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-0.15094339622641445</v>
      </c>
      <c r="Q97">
        <f t="shared" ref="Q97" si="461">F97*P97</f>
        <v>-5051928.3965282803</v>
      </c>
      <c r="R97">
        <f t="shared" ref="R97" si="462">R98+Q97</f>
        <v>501086537.17896485</v>
      </c>
      <c r="S97">
        <f t="shared" ref="S97" si="463">R97/100000</f>
        <v>5010.8653717896486</v>
      </c>
      <c r="T97">
        <f t="shared" ref="T97" si="464">S97/1000</f>
        <v>5.0108653717896487</v>
      </c>
    </row>
    <row r="98" spans="1:20" x14ac:dyDescent="0.25">
      <c r="A98" s="5">
        <v>44495</v>
      </c>
      <c r="B98">
        <v>2.2799999999999998</v>
      </c>
      <c r="C98">
        <v>2.3740000000000001</v>
      </c>
      <c r="D98">
        <v>2.23</v>
      </c>
      <c r="E98">
        <v>2.2610000000000001</v>
      </c>
      <c r="F98">
        <v>18937307.399999999</v>
      </c>
      <c r="G98">
        <v>2.2610000000000001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-0.56944444444444287</v>
      </c>
      <c r="Q98">
        <f t="shared" ref="Q98" si="466">F98*P98</f>
        <v>-10783744.491666635</v>
      </c>
      <c r="R98">
        <f t="shared" ref="R98" si="467">R99+Q98</f>
        <v>506138465.57549316</v>
      </c>
      <c r="S98">
        <f t="shared" ref="S98" si="468">R98/100000</f>
        <v>5061.3846557549314</v>
      </c>
      <c r="T98">
        <f t="shared" ref="T98" si="469">S98/1000</f>
        <v>5.0613846557549316</v>
      </c>
    </row>
    <row r="99" spans="1:20" x14ac:dyDescent="0.25">
      <c r="A99" s="5">
        <v>44494</v>
      </c>
      <c r="B99">
        <v>2.2349999999999999</v>
      </c>
      <c r="C99">
        <v>2.2999999999999998</v>
      </c>
      <c r="D99">
        <v>2.2240000000000002</v>
      </c>
      <c r="E99">
        <v>2.2799999999999998</v>
      </c>
      <c r="F99">
        <v>10531120.9</v>
      </c>
      <c r="G99">
        <v>2.2799999999999998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0.47368421052631271</v>
      </c>
      <c r="Q99">
        <f t="shared" ref="Q99" si="471">F99*P99</f>
        <v>4988425.6894736523</v>
      </c>
      <c r="R99">
        <f t="shared" ref="R99" si="472">R100+Q99</f>
        <v>516922210.06715977</v>
      </c>
      <c r="S99">
        <f t="shared" ref="S99" si="473">R99/100000</f>
        <v>5169.2221006715981</v>
      </c>
      <c r="T99">
        <f t="shared" ref="T99" si="474">S99/1000</f>
        <v>5.1692221006715977</v>
      </c>
    </row>
    <row r="100" spans="1:20" x14ac:dyDescent="0.25">
      <c r="A100" s="5">
        <v>44493</v>
      </c>
      <c r="B100">
        <v>2.298</v>
      </c>
      <c r="C100">
        <v>2.3130000000000002</v>
      </c>
      <c r="D100">
        <v>2.1760000000000002</v>
      </c>
      <c r="E100">
        <v>2.2349999999999999</v>
      </c>
      <c r="F100">
        <v>13222975</v>
      </c>
      <c r="G100">
        <v>2.2349999999999999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-0.13868613138686547</v>
      </c>
      <c r="Q100">
        <f t="shared" ref="Q100" si="476">F100*P100</f>
        <v>-1833843.2481752376</v>
      </c>
      <c r="R100">
        <f t="shared" ref="R100" si="477">R101+Q100</f>
        <v>511933784.37768614</v>
      </c>
      <c r="S100">
        <f t="shared" ref="S100" si="478">R100/100000</f>
        <v>5119.3378437768615</v>
      </c>
      <c r="T100">
        <f t="shared" ref="T100" si="479">S100/1000</f>
        <v>5.1193378437768615</v>
      </c>
    </row>
    <row r="101" spans="1:20" x14ac:dyDescent="0.25">
      <c r="A101" s="5">
        <v>44492</v>
      </c>
      <c r="B101">
        <v>2.3079999999999998</v>
      </c>
      <c r="C101">
        <v>2.3220000000000001</v>
      </c>
      <c r="D101">
        <v>2.2650000000000001</v>
      </c>
      <c r="E101">
        <v>2.2989999999999999</v>
      </c>
      <c r="F101">
        <v>9575487</v>
      </c>
      <c r="G101">
        <v>2.2989999999999999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0.1929824561403454</v>
      </c>
      <c r="Q101">
        <f t="shared" ref="Q101" si="481">F101*P101</f>
        <v>1847900.9999999476</v>
      </c>
      <c r="R101">
        <f t="shared" ref="R101" si="482">R102+Q101</f>
        <v>513767627.62586141</v>
      </c>
      <c r="S101">
        <f t="shared" ref="S101" si="483">R101/100000</f>
        <v>5137.6762762586141</v>
      </c>
      <c r="T101">
        <f t="shared" ref="T101" si="484">S101/1000</f>
        <v>5.1376762762586141</v>
      </c>
    </row>
    <row r="102" spans="1:20" x14ac:dyDescent="0.25">
      <c r="A102" s="5">
        <v>44491</v>
      </c>
      <c r="B102">
        <v>2.2799999999999998</v>
      </c>
      <c r="C102">
        <v>2.3490000000000002</v>
      </c>
      <c r="D102">
        <v>2.2570000000000001</v>
      </c>
      <c r="E102">
        <v>2.3069999999999999</v>
      </c>
      <c r="F102">
        <v>13722324.5</v>
      </c>
      <c r="G102">
        <v>2.3069999999999999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8.6956521739125603E-2</v>
      </c>
      <c r="Q102">
        <f t="shared" ref="Q102" si="486">F102*P102</f>
        <v>1193245.608695586</v>
      </c>
      <c r="R102">
        <f t="shared" ref="R102" si="487">R103+Q102</f>
        <v>511919726.62586147</v>
      </c>
      <c r="S102">
        <f t="shared" ref="S102" si="488">R102/100000</f>
        <v>5119.1972662586149</v>
      </c>
      <c r="T102">
        <f t="shared" ref="T102" si="489">S102/1000</f>
        <v>5.1191972662586149</v>
      </c>
    </row>
    <row r="103" spans="1:20" x14ac:dyDescent="0.25">
      <c r="A103" s="5">
        <v>44490</v>
      </c>
      <c r="B103">
        <v>2.391</v>
      </c>
      <c r="C103">
        <v>2.4380000000000002</v>
      </c>
      <c r="D103">
        <v>2.2549999999999999</v>
      </c>
      <c r="E103">
        <v>2.2799999999999998</v>
      </c>
      <c r="F103">
        <v>21527389.399999999</v>
      </c>
      <c r="G103">
        <v>2.2799999999999998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-0.72677595628415437</v>
      </c>
      <c r="Q103">
        <f t="shared" ref="Q103" si="491">F103*P103</f>
        <v>-15645589.017486367</v>
      </c>
      <c r="R103">
        <f t="shared" ref="R103" si="492">R104+Q103</f>
        <v>510726481.0171659</v>
      </c>
      <c r="S103">
        <f t="shared" ref="S103" si="493">R103/100000</f>
        <v>5107.2648101716586</v>
      </c>
      <c r="T103">
        <f t="shared" ref="T103" si="494">S103/1000</f>
        <v>5.1072648101716585</v>
      </c>
    </row>
    <row r="104" spans="1:20" x14ac:dyDescent="0.25">
      <c r="A104" s="5">
        <v>44489</v>
      </c>
      <c r="B104">
        <v>2.2869999999999999</v>
      </c>
      <c r="C104">
        <v>2.4460000000000002</v>
      </c>
      <c r="D104">
        <v>2.2450000000000001</v>
      </c>
      <c r="E104">
        <v>2.3919999999999999</v>
      </c>
      <c r="F104">
        <v>17756083</v>
      </c>
      <c r="G104">
        <v>2.3919999999999999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0.46268656716417661</v>
      </c>
      <c r="Q104">
        <f t="shared" ref="Q104" si="496">F104*P104</f>
        <v>8215501.0895521948</v>
      </c>
      <c r="R104">
        <f t="shared" ref="R104" si="497">R105+Q104</f>
        <v>526372070.03465229</v>
      </c>
      <c r="S104">
        <f t="shared" ref="S104" si="498">R104/100000</f>
        <v>5263.7207003465228</v>
      </c>
      <c r="T104">
        <f t="shared" ref="T104" si="499">S104/1000</f>
        <v>5.2637207003465232</v>
      </c>
    </row>
    <row r="105" spans="1:20" x14ac:dyDescent="0.25">
      <c r="A105" s="5">
        <v>44488</v>
      </c>
      <c r="B105">
        <v>2.2879999999999998</v>
      </c>
      <c r="C105">
        <v>2.3210000000000002</v>
      </c>
      <c r="D105">
        <v>2.2530000000000001</v>
      </c>
      <c r="E105">
        <v>2.2869999999999999</v>
      </c>
      <c r="F105">
        <v>10994190.5</v>
      </c>
      <c r="G105">
        <v>2.2869999999999999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-6.5307236742656209E-15</v>
      </c>
      <c r="Q105">
        <f t="shared" ref="Q105" si="501">F105*P105</f>
        <v>-7.180002017773618E-8</v>
      </c>
      <c r="R105">
        <f t="shared" ref="R105" si="502">R106+Q105</f>
        <v>518156568.94510007</v>
      </c>
      <c r="S105">
        <f t="shared" ref="S105" si="503">R105/100000</f>
        <v>5181.5656894510003</v>
      </c>
      <c r="T105">
        <f t="shared" ref="T105" si="504">S105/1000</f>
        <v>5.1815656894510003</v>
      </c>
    </row>
    <row r="106" spans="1:20" x14ac:dyDescent="0.25">
      <c r="A106" s="5">
        <v>44487</v>
      </c>
      <c r="B106">
        <v>2.3090000000000002</v>
      </c>
      <c r="C106">
        <v>2.3279999999999998</v>
      </c>
      <c r="D106">
        <v>2.2320000000000002</v>
      </c>
      <c r="E106">
        <v>2.2890000000000001</v>
      </c>
      <c r="F106">
        <v>10464805.9</v>
      </c>
      <c r="G106">
        <v>2.2890000000000001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0.18750000000000319</v>
      </c>
      <c r="Q106">
        <f t="shared" ref="Q106" si="506">F106*P106</f>
        <v>1962151.1062500335</v>
      </c>
      <c r="R106">
        <f t="shared" ref="R106" si="507">R107+Q106</f>
        <v>518156568.94510013</v>
      </c>
      <c r="S106">
        <f t="shared" ref="S106" si="508">R106/100000</f>
        <v>5181.5656894510012</v>
      </c>
      <c r="T106">
        <f t="shared" ref="T106" si="509">S106/1000</f>
        <v>5.1815656894510012</v>
      </c>
    </row>
    <row r="107" spans="1:20" x14ac:dyDescent="0.25">
      <c r="A107" s="5">
        <v>44486</v>
      </c>
      <c r="B107">
        <v>2.4220000000000002</v>
      </c>
      <c r="C107">
        <v>2.448</v>
      </c>
      <c r="D107">
        <v>2.2189999999999999</v>
      </c>
      <c r="E107">
        <v>2.3079999999999998</v>
      </c>
      <c r="F107">
        <v>14736226.800000001</v>
      </c>
      <c r="G107">
        <v>2.3079999999999998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-0.22270742358078663</v>
      </c>
      <c r="Q107">
        <f t="shared" ref="Q107" si="511">F107*P107</f>
        <v>-3281867.1039301399</v>
      </c>
      <c r="R107">
        <f t="shared" ref="R107" si="512">R108+Q107</f>
        <v>516194417.83885008</v>
      </c>
      <c r="S107">
        <f t="shared" ref="S107" si="513">R107/100000</f>
        <v>5161.9441783885004</v>
      </c>
      <c r="T107">
        <f t="shared" ref="T107" si="514">S107/1000</f>
        <v>5.1619441783885005</v>
      </c>
    </row>
    <row r="108" spans="1:20" x14ac:dyDescent="0.25">
      <c r="A108" s="5">
        <v>44485</v>
      </c>
      <c r="B108">
        <v>2.3610000000000002</v>
      </c>
      <c r="C108">
        <v>2.4689999999999999</v>
      </c>
      <c r="D108">
        <v>2.347</v>
      </c>
      <c r="E108">
        <v>2.4220000000000002</v>
      </c>
      <c r="F108">
        <v>15299348.199999999</v>
      </c>
      <c r="G108">
        <v>2.4220000000000002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0.22950819672131553</v>
      </c>
      <c r="Q108">
        <f t="shared" ref="Q108" si="516">F108*P108</f>
        <v>3511325.8163935044</v>
      </c>
      <c r="R108">
        <f t="shared" ref="R108" si="517">R109+Q108</f>
        <v>519476284.9427802</v>
      </c>
      <c r="S108">
        <f t="shared" ref="S108" si="518">R108/100000</f>
        <v>5194.7628494278024</v>
      </c>
      <c r="T108">
        <f t="shared" ref="T108" si="519">S108/1000</f>
        <v>5.1947628494278026</v>
      </c>
    </row>
    <row r="109" spans="1:20" x14ac:dyDescent="0.25">
      <c r="A109" s="5">
        <v>44484</v>
      </c>
      <c r="B109">
        <v>2.4510000000000001</v>
      </c>
      <c r="C109">
        <v>2.452</v>
      </c>
      <c r="D109">
        <v>2.2850000000000001</v>
      </c>
      <c r="E109">
        <v>2.36</v>
      </c>
      <c r="F109">
        <v>18743626.600000001</v>
      </c>
      <c r="G109">
        <v>2.36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-0.10179640718563095</v>
      </c>
      <c r="Q109">
        <f t="shared" ref="Q109" si="521">F109*P109</f>
        <v>-1908033.8455090234</v>
      </c>
      <c r="R109">
        <f t="shared" ref="R109" si="522">R110+Q109</f>
        <v>515964959.1263867</v>
      </c>
      <c r="S109">
        <f t="shared" ref="S109" si="523">R109/100000</f>
        <v>5159.6495912638666</v>
      </c>
      <c r="T109">
        <f t="shared" ref="T109" si="524">S109/1000</f>
        <v>5.1596495912638662</v>
      </c>
    </row>
    <row r="110" spans="1:20" x14ac:dyDescent="0.25">
      <c r="A110" s="5">
        <v>44483</v>
      </c>
      <c r="B110">
        <v>2.4220000000000002</v>
      </c>
      <c r="C110">
        <v>2.5499999999999998</v>
      </c>
      <c r="D110">
        <v>2.3969999999999998</v>
      </c>
      <c r="E110">
        <v>2.452</v>
      </c>
      <c r="F110">
        <v>20595121.899999999</v>
      </c>
      <c r="G110">
        <v>2.452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-0.28104575163398493</v>
      </c>
      <c r="Q110">
        <f t="shared" ref="Q110" si="526">F110*P110</f>
        <v>-5788171.5143790431</v>
      </c>
      <c r="R110">
        <f t="shared" ref="R110" si="527">R111+Q110</f>
        <v>517872992.97189575</v>
      </c>
      <c r="S110">
        <f t="shared" ref="S110" si="528">R110/100000</f>
        <v>5178.7299297189575</v>
      </c>
      <c r="T110">
        <f t="shared" ref="T110" si="529">S110/1000</f>
        <v>5.1787299297189575</v>
      </c>
    </row>
    <row r="111" spans="1:20" x14ac:dyDescent="0.25">
      <c r="A111" s="5">
        <v>44482</v>
      </c>
      <c r="B111">
        <v>2.31</v>
      </c>
      <c r="C111">
        <v>2.5030000000000001</v>
      </c>
      <c r="D111">
        <v>2.2570000000000001</v>
      </c>
      <c r="E111">
        <v>2.423</v>
      </c>
      <c r="F111">
        <v>26766703.600000001</v>
      </c>
      <c r="G111">
        <v>2.423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0.34959349593495875</v>
      </c>
      <c r="Q111">
        <f t="shared" ref="Q111" si="531">F111*P111</f>
        <v>9357465.486178847</v>
      </c>
      <c r="R111">
        <f t="shared" ref="R111" si="532">R112+Q111</f>
        <v>523661164.48627478</v>
      </c>
      <c r="S111">
        <f t="shared" ref="S111" si="533">R111/100000</f>
        <v>5236.6116448627481</v>
      </c>
      <c r="T111">
        <f t="shared" ref="T111" si="534">S111/1000</f>
        <v>5.236611644862748</v>
      </c>
    </row>
    <row r="112" spans="1:20" x14ac:dyDescent="0.25">
      <c r="A112" s="5">
        <v>44481</v>
      </c>
      <c r="B112">
        <v>2.4409999999999998</v>
      </c>
      <c r="C112">
        <v>2.4420000000000002</v>
      </c>
      <c r="D112">
        <v>2.2050000000000001</v>
      </c>
      <c r="E112">
        <v>2.3109999999999999</v>
      </c>
      <c r="F112">
        <v>21592422.399999999</v>
      </c>
      <c r="G112">
        <v>2.3109999999999999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-0.10548523206751201</v>
      </c>
      <c r="Q112">
        <f t="shared" ref="Q112" si="536">F112*P112</f>
        <v>-2277681.6877637445</v>
      </c>
      <c r="R112">
        <f t="shared" ref="R112" si="537">R113+Q112</f>
        <v>514303699.0000959</v>
      </c>
      <c r="S112">
        <f t="shared" ref="S112" si="538">R112/100000</f>
        <v>5143.0369900009591</v>
      </c>
      <c r="T112">
        <f t="shared" ref="T112" si="539">S112/1000</f>
        <v>5.1430369900009589</v>
      </c>
    </row>
    <row r="113" spans="1:20" x14ac:dyDescent="0.25">
      <c r="A113" s="5">
        <v>44480</v>
      </c>
      <c r="B113">
        <v>2.52</v>
      </c>
      <c r="C113">
        <v>2.5779999999999998</v>
      </c>
      <c r="D113">
        <v>2.36</v>
      </c>
      <c r="E113">
        <v>2.4409999999999998</v>
      </c>
      <c r="F113">
        <v>11877004.699999999</v>
      </c>
      <c r="G113">
        <v>2.4409999999999998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-0.25688073394495436</v>
      </c>
      <c r="Q113">
        <f t="shared" ref="Q113" si="541">F113*P113</f>
        <v>-3050973.6844036723</v>
      </c>
      <c r="R113">
        <f t="shared" ref="R113" si="542">R114+Q113</f>
        <v>516581380.68785965</v>
      </c>
      <c r="S113">
        <f t="shared" ref="S113" si="543">R113/100000</f>
        <v>5165.8138068785966</v>
      </c>
      <c r="T113">
        <f t="shared" ref="T113" si="544">S113/1000</f>
        <v>5.1658138068785968</v>
      </c>
    </row>
    <row r="114" spans="1:20" x14ac:dyDescent="0.25">
      <c r="A114" s="5">
        <v>44479</v>
      </c>
      <c r="B114">
        <v>2.5510000000000002</v>
      </c>
      <c r="C114">
        <v>2.68</v>
      </c>
      <c r="D114">
        <v>2.5009999999999999</v>
      </c>
      <c r="E114">
        <v>2.52</v>
      </c>
      <c r="F114">
        <v>20212714.800000001</v>
      </c>
      <c r="G114">
        <v>2.52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-0.7877094972067028</v>
      </c>
      <c r="Q114">
        <f t="shared" ref="Q114" si="546">F114*P114</f>
        <v>-15921747.412290482</v>
      </c>
      <c r="R114">
        <f t="shared" ref="R114" si="547">R115+Q114</f>
        <v>519632354.37226331</v>
      </c>
      <c r="S114">
        <f t="shared" ref="S114" si="548">R114/100000</f>
        <v>5196.3235437226331</v>
      </c>
      <c r="T114">
        <f t="shared" ref="T114" si="549">S114/1000</f>
        <v>5.1963235437226327</v>
      </c>
    </row>
    <row r="115" spans="1:20" x14ac:dyDescent="0.25">
      <c r="A115" s="5">
        <v>44478</v>
      </c>
      <c r="B115">
        <v>2.48</v>
      </c>
      <c r="C115">
        <v>2.597</v>
      </c>
      <c r="D115">
        <v>2.4409999999999998</v>
      </c>
      <c r="E115">
        <v>2.5510000000000002</v>
      </c>
      <c r="F115">
        <v>14129781</v>
      </c>
      <c r="G115">
        <v>2.5510000000000002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0.41025641025641313</v>
      </c>
      <c r="Q115">
        <f t="shared" ref="Q115" si="551">F115*P115</f>
        <v>5796833.230769271</v>
      </c>
      <c r="R115">
        <f t="shared" ref="R115" si="552">R116+Q115</f>
        <v>535554101.78455377</v>
      </c>
      <c r="S115">
        <f t="shared" ref="S115" si="553">R115/100000</f>
        <v>5355.5410178455377</v>
      </c>
      <c r="T115">
        <f t="shared" ref="T115" si="554">S115/1000</f>
        <v>5.355541017845538</v>
      </c>
    </row>
    <row r="116" spans="1:20" x14ac:dyDescent="0.25">
      <c r="A116" s="5">
        <v>44477</v>
      </c>
      <c r="B116">
        <v>2.4460000000000002</v>
      </c>
      <c r="C116">
        <v>2.5569999999999999</v>
      </c>
      <c r="D116">
        <v>2.4300000000000002</v>
      </c>
      <c r="E116">
        <v>2.4790000000000001</v>
      </c>
      <c r="F116">
        <v>16431065.9</v>
      </c>
      <c r="G116">
        <v>2.4790000000000001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-0.22834645669291312</v>
      </c>
      <c r="Q116">
        <f t="shared" ref="Q116" si="556">F116*P116</f>
        <v>-3751975.6779527515</v>
      </c>
      <c r="R116">
        <f t="shared" ref="R116" si="557">R117+Q116</f>
        <v>529757268.55378449</v>
      </c>
      <c r="S116">
        <f t="shared" ref="S116" si="558">R116/100000</f>
        <v>5297.5726855378452</v>
      </c>
      <c r="T116">
        <f t="shared" ref="T116" si="559">S116/1000</f>
        <v>5.2975726855378449</v>
      </c>
    </row>
    <row r="117" spans="1:20" x14ac:dyDescent="0.25">
      <c r="A117" s="5">
        <v>44476</v>
      </c>
      <c r="B117">
        <v>2.4830000000000001</v>
      </c>
      <c r="C117">
        <v>2.5350000000000001</v>
      </c>
      <c r="D117">
        <v>2.38</v>
      </c>
      <c r="E117">
        <v>2.4460000000000002</v>
      </c>
      <c r="F117">
        <v>17195445.899999999</v>
      </c>
      <c r="G117">
        <v>2.4460000000000002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-0.14838709677419129</v>
      </c>
      <c r="Q117">
        <f t="shared" ref="Q117" si="561">F117*P117</f>
        <v>-2551582.2948386706</v>
      </c>
      <c r="R117">
        <f t="shared" ref="R117" si="562">R118+Q117</f>
        <v>533509244.23173726</v>
      </c>
      <c r="S117">
        <f t="shared" ref="S117" si="563">R117/100000</f>
        <v>5335.0924423173728</v>
      </c>
      <c r="T117">
        <f t="shared" ref="T117" si="564">S117/1000</f>
        <v>5.3350924423173725</v>
      </c>
    </row>
    <row r="118" spans="1:20" x14ac:dyDescent="0.25">
      <c r="A118" s="5">
        <v>44475</v>
      </c>
      <c r="B118">
        <v>2.5099999999999998</v>
      </c>
      <c r="C118">
        <v>2.59</v>
      </c>
      <c r="D118">
        <v>2.343</v>
      </c>
      <c r="E118">
        <v>2.4809999999999999</v>
      </c>
      <c r="F118">
        <v>26106061.300000001</v>
      </c>
      <c r="G118">
        <v>2.4809999999999999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0.1174089068825908</v>
      </c>
      <c r="Q118">
        <f t="shared" ref="Q118" si="566">F118*P118</f>
        <v>3065084.1202429072</v>
      </c>
      <c r="R118">
        <f t="shared" ref="R118" si="567">R119+Q118</f>
        <v>536060826.52657592</v>
      </c>
      <c r="S118">
        <f t="shared" ref="S118" si="568">R118/100000</f>
        <v>5360.6082652657597</v>
      </c>
      <c r="T118">
        <f t="shared" ref="T118" si="569">S118/1000</f>
        <v>5.3606082652657596</v>
      </c>
    </row>
    <row r="119" spans="1:20" x14ac:dyDescent="0.25">
      <c r="A119" s="5">
        <v>44474</v>
      </c>
      <c r="B119">
        <v>2.3460000000000001</v>
      </c>
      <c r="C119">
        <v>2.6349999999999998</v>
      </c>
      <c r="D119">
        <v>2.3210000000000002</v>
      </c>
      <c r="E119">
        <v>2.5089999999999999</v>
      </c>
      <c r="F119">
        <v>27607275.300000001</v>
      </c>
      <c r="G119">
        <v>2.5089999999999999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0.19745222929936276</v>
      </c>
      <c r="Q119">
        <f t="shared" ref="Q119" si="571">F119*P119</f>
        <v>5451118.0528662344</v>
      </c>
      <c r="R119">
        <f t="shared" ref="R119" si="572">R120+Q119</f>
        <v>532995742.40633303</v>
      </c>
      <c r="S119">
        <f t="shared" ref="S119" si="573">R119/100000</f>
        <v>5329.9574240633301</v>
      </c>
      <c r="T119">
        <f t="shared" ref="T119" si="574">S119/1000</f>
        <v>5.3299574240633305</v>
      </c>
    </row>
    <row r="120" spans="1:20" x14ac:dyDescent="0.25">
      <c r="A120" s="5">
        <v>44473</v>
      </c>
      <c r="B120">
        <v>2.448</v>
      </c>
      <c r="C120">
        <v>2.448</v>
      </c>
      <c r="D120">
        <v>2.2509999999999999</v>
      </c>
      <c r="E120">
        <v>2.34</v>
      </c>
      <c r="F120">
        <v>15954013.4</v>
      </c>
      <c r="G120">
        <v>2.34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-9.6446700507614835E-2</v>
      </c>
      <c r="Q120">
        <f t="shared" ref="Q120" si="576">F120*P120</f>
        <v>-1538711.9522842739</v>
      </c>
      <c r="R120">
        <f t="shared" ref="R120" si="577">R121+Q120</f>
        <v>527544624.35346681</v>
      </c>
      <c r="S120">
        <f t="shared" ref="S120" si="578">R120/100000</f>
        <v>5275.4462435346677</v>
      </c>
      <c r="T120">
        <f t="shared" ref="T120" si="579">S120/1000</f>
        <v>5.2754462435346676</v>
      </c>
    </row>
    <row r="121" spans="1:20" x14ac:dyDescent="0.25">
      <c r="A121" s="5">
        <v>44472</v>
      </c>
      <c r="B121">
        <v>2.3780000000000001</v>
      </c>
      <c r="C121">
        <v>2.5129999999999999</v>
      </c>
      <c r="D121">
        <v>2.298</v>
      </c>
      <c r="E121">
        <v>2.4420000000000002</v>
      </c>
      <c r="F121">
        <v>14002782.6</v>
      </c>
      <c r="G121">
        <v>2.4420000000000002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0.33953488372093232</v>
      </c>
      <c r="Q121">
        <f t="shared" ref="Q121" si="581">F121*P121</f>
        <v>4754433.1618604939</v>
      </c>
      <c r="R121">
        <f t="shared" ref="R121" si="582">R122+Q121</f>
        <v>529083336.30575109</v>
      </c>
      <c r="S121">
        <f t="shared" ref="S121" si="583">R121/100000</f>
        <v>5290.8333630575107</v>
      </c>
      <c r="T121">
        <f t="shared" ref="T121" si="584">S121/1000</f>
        <v>5.2908333630575104</v>
      </c>
    </row>
    <row r="122" spans="1:20" x14ac:dyDescent="0.25">
      <c r="A122" s="5">
        <v>44471</v>
      </c>
      <c r="B122">
        <v>2.371</v>
      </c>
      <c r="C122">
        <v>2.4670000000000001</v>
      </c>
      <c r="D122">
        <v>2.3260000000000001</v>
      </c>
      <c r="E122">
        <v>2.3780000000000001</v>
      </c>
      <c r="F122">
        <v>13080138.6</v>
      </c>
      <c r="G122">
        <v>2.3780000000000001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-0.26241134751772993</v>
      </c>
      <c r="Q122">
        <f t="shared" ref="Q122" si="586">F122*P122</f>
        <v>-3432376.7957446733</v>
      </c>
      <c r="R122">
        <f t="shared" ref="R122" si="587">R123+Q122</f>
        <v>524328903.14389062</v>
      </c>
      <c r="S122">
        <f t="shared" ref="S122" si="588">R122/100000</f>
        <v>5243.289031438906</v>
      </c>
      <c r="T122">
        <f t="shared" ref="T122" si="589">S122/1000</f>
        <v>5.2432890314389065</v>
      </c>
    </row>
    <row r="123" spans="1:20" x14ac:dyDescent="0.25">
      <c r="A123" s="5">
        <v>44470</v>
      </c>
      <c r="B123">
        <v>2.1800000000000002</v>
      </c>
      <c r="C123">
        <v>2.3780000000000001</v>
      </c>
      <c r="D123">
        <v>2.153</v>
      </c>
      <c r="E123">
        <v>2.3719999999999999</v>
      </c>
      <c r="F123">
        <v>14888414.4</v>
      </c>
      <c r="G123">
        <v>2.3719999999999999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0.94666666666666466</v>
      </c>
      <c r="Q123">
        <f t="shared" ref="Q123" si="591">F123*P123</f>
        <v>14094365.631999971</v>
      </c>
      <c r="R123">
        <f t="shared" ref="R123" si="592">R124+Q123</f>
        <v>527761279.93963528</v>
      </c>
      <c r="S123">
        <f t="shared" ref="S123" si="593">R123/100000</f>
        <v>5277.6127993963528</v>
      </c>
      <c r="T123">
        <f t="shared" ref="T123" si="594">S123/1000</f>
        <v>5.2776127993963531</v>
      </c>
    </row>
    <row r="124" spans="1:20" x14ac:dyDescent="0.25">
      <c r="A124" s="5">
        <v>44469</v>
      </c>
      <c r="B124">
        <v>2.0630000000000002</v>
      </c>
      <c r="C124">
        <v>2.2069999999999999</v>
      </c>
      <c r="D124">
        <v>2.0529999999999999</v>
      </c>
      <c r="E124">
        <v>2.1800000000000002</v>
      </c>
      <c r="F124">
        <v>11570597.699999999</v>
      </c>
      <c r="G124">
        <v>2.1800000000000002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0.64935064935065312</v>
      </c>
      <c r="Q124">
        <f t="shared" ref="Q124" si="596">F124*P124</f>
        <v>7513375.1298701726</v>
      </c>
      <c r="R124">
        <f t="shared" ref="R124" si="597">R125+Q124</f>
        <v>513666914.30763531</v>
      </c>
      <c r="S124">
        <f t="shared" ref="S124" si="598">R124/100000</f>
        <v>5136.6691430763531</v>
      </c>
      <c r="T124">
        <f t="shared" ref="T124" si="599">S124/1000</f>
        <v>5.1366691430763529</v>
      </c>
    </row>
    <row r="125" spans="1:20" x14ac:dyDescent="0.25">
      <c r="A125" s="5">
        <v>44468</v>
      </c>
      <c r="B125">
        <v>1.99</v>
      </c>
      <c r="C125">
        <v>2.13</v>
      </c>
      <c r="D125">
        <v>1.9810000000000001</v>
      </c>
      <c r="E125">
        <v>2.0619999999999998</v>
      </c>
      <c r="F125">
        <v>11427185.6</v>
      </c>
      <c r="G125">
        <v>2.0619999999999998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8.7248322147648966E-2</v>
      </c>
      <c r="Q125">
        <f t="shared" ref="Q125" si="601">F125*P125</f>
        <v>997002.77046977531</v>
      </c>
      <c r="R125">
        <f t="shared" ref="R125" si="602">R126+Q125</f>
        <v>506153539.17776513</v>
      </c>
      <c r="S125">
        <f t="shared" ref="S125" si="603">R125/100000</f>
        <v>5061.5353917776511</v>
      </c>
      <c r="T125">
        <f t="shared" ref="T125" si="604">S125/1000</f>
        <v>5.0615353917776513</v>
      </c>
    </row>
    <row r="126" spans="1:20" x14ac:dyDescent="0.25">
      <c r="A126" s="5">
        <v>44467</v>
      </c>
      <c r="B126">
        <v>2.0649999999999999</v>
      </c>
      <c r="C126">
        <v>2.1059999999999999</v>
      </c>
      <c r="D126">
        <v>1.984</v>
      </c>
      <c r="E126">
        <v>1.9910000000000001</v>
      </c>
      <c r="F126">
        <v>11106127.5</v>
      </c>
      <c r="G126">
        <v>1.9910000000000001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-0.88524590163934225</v>
      </c>
      <c r="Q126">
        <f t="shared" ref="Q126" si="606">F126*P126</f>
        <v>-9831653.8524589948</v>
      </c>
      <c r="R126">
        <f t="shared" ref="R126" si="607">R127+Q126</f>
        <v>505156536.40729535</v>
      </c>
      <c r="S126">
        <f t="shared" ref="S126" si="608">R126/100000</f>
        <v>5051.5653640729533</v>
      </c>
      <c r="T126">
        <f t="shared" ref="T126" si="609">S126/1000</f>
        <v>5.0515653640729532</v>
      </c>
    </row>
    <row r="127" spans="1:20" x14ac:dyDescent="0.25">
      <c r="A127" s="5">
        <v>44466</v>
      </c>
      <c r="B127">
        <v>2.0920000000000001</v>
      </c>
      <c r="C127">
        <v>2.2309999999999999</v>
      </c>
      <c r="D127">
        <v>2.0510000000000002</v>
      </c>
      <c r="E127">
        <v>2.0670000000000002</v>
      </c>
      <c r="F127">
        <v>13303811</v>
      </c>
      <c r="G127">
        <v>2.0670000000000002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-0.82222222222222174</v>
      </c>
      <c r="Q127">
        <f t="shared" ref="Q127" si="611">F127*P127</f>
        <v>-10938689.044444438</v>
      </c>
      <c r="R127">
        <f t="shared" ref="R127" si="612">R128+Q127</f>
        <v>514988190.25975436</v>
      </c>
      <c r="S127">
        <f t="shared" ref="S127" si="613">R127/100000</f>
        <v>5149.8819025975436</v>
      </c>
      <c r="T127">
        <f t="shared" ref="T127" si="614">S127/1000</f>
        <v>5.149881902597544</v>
      </c>
    </row>
    <row r="128" spans="1:20" x14ac:dyDescent="0.25">
      <c r="A128" s="5">
        <v>44465</v>
      </c>
      <c r="B128">
        <v>2.1139999999999999</v>
      </c>
      <c r="C128">
        <v>2.15</v>
      </c>
      <c r="D128">
        <v>1.954</v>
      </c>
      <c r="E128">
        <v>2.093</v>
      </c>
      <c r="F128">
        <v>16561280.199999999</v>
      </c>
      <c r="G128">
        <v>2.093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0.41836734693877597</v>
      </c>
      <c r="Q128">
        <f t="shared" ref="Q128" si="616">F128*P128</f>
        <v>6928698.8591836812</v>
      </c>
      <c r="R128">
        <f t="shared" ref="R128" si="617">R129+Q128</f>
        <v>525926879.3041988</v>
      </c>
      <c r="S128">
        <f t="shared" ref="S128" si="618">R128/100000</f>
        <v>5259.2687930419879</v>
      </c>
      <c r="T128">
        <f t="shared" ref="T128" si="619">S128/1000</f>
        <v>5.2592687930419881</v>
      </c>
    </row>
    <row r="129" spans="1:20" x14ac:dyDescent="0.25">
      <c r="A129" s="5">
        <v>44464</v>
      </c>
      <c r="B129">
        <v>2.1760000000000002</v>
      </c>
      <c r="C129">
        <v>2.2240000000000002</v>
      </c>
      <c r="D129">
        <v>2.0569999999999999</v>
      </c>
      <c r="E129">
        <v>2.1139999999999999</v>
      </c>
      <c r="F129">
        <v>15080955.699999999</v>
      </c>
      <c r="G129">
        <v>2.1139999999999999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-0.31736526946107962</v>
      </c>
      <c r="Q129">
        <f t="shared" ref="Q129" si="621">F129*P129</f>
        <v>-4786171.5694611045</v>
      </c>
      <c r="R129">
        <f t="shared" ref="R129" si="622">R130+Q129</f>
        <v>518998180.44501513</v>
      </c>
      <c r="S129">
        <f t="shared" ref="S129" si="623">R129/100000</f>
        <v>5189.9818044501517</v>
      </c>
      <c r="T129">
        <f t="shared" ref="T129" si="624">S129/1000</f>
        <v>5.1899818044501513</v>
      </c>
    </row>
    <row r="130" spans="1:20" x14ac:dyDescent="0.25">
      <c r="A130" s="5">
        <v>44463</v>
      </c>
      <c r="B130">
        <v>2.3759999999999999</v>
      </c>
      <c r="C130">
        <v>2.403</v>
      </c>
      <c r="D130">
        <v>2.02</v>
      </c>
      <c r="E130">
        <v>2.1760000000000002</v>
      </c>
      <c r="F130">
        <v>24007120.199999999</v>
      </c>
      <c r="G130">
        <v>2.1760000000000002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-0.18537859007832827</v>
      </c>
      <c r="Q130">
        <f t="shared" ref="Q130" si="626">F130*P130</f>
        <v>-4450406.0945169544</v>
      </c>
      <c r="R130">
        <f t="shared" ref="R130" si="627">R131+Q130</f>
        <v>523784352.01447624</v>
      </c>
      <c r="S130">
        <f t="shared" ref="S130" si="628">R130/100000</f>
        <v>5237.8435201447628</v>
      </c>
      <c r="T130">
        <f t="shared" ref="T130" si="629">S130/1000</f>
        <v>5.2378435201447626</v>
      </c>
    </row>
    <row r="131" spans="1:20" x14ac:dyDescent="0.25">
      <c r="A131" s="5">
        <v>44462</v>
      </c>
      <c r="B131">
        <v>2.3039999999999998</v>
      </c>
      <c r="C131">
        <v>2.379</v>
      </c>
      <c r="D131">
        <v>2.2330000000000001</v>
      </c>
      <c r="E131">
        <v>2.3769999999999998</v>
      </c>
      <c r="F131">
        <v>14434267.699999999</v>
      </c>
      <c r="G131">
        <v>2.3769999999999998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0.97260273972602429</v>
      </c>
      <c r="Q131">
        <f t="shared" ref="Q131" si="631">F131*P131</f>
        <v>14038808.310958859</v>
      </c>
      <c r="R131">
        <f t="shared" ref="R131" si="632">R132+Q131</f>
        <v>528234758.10899317</v>
      </c>
      <c r="S131">
        <f t="shared" ref="S131" si="633">R131/100000</f>
        <v>5282.3475810899317</v>
      </c>
      <c r="T131">
        <f t="shared" ref="T131" si="634">S131/1000</f>
        <v>5.2823475810899314</v>
      </c>
    </row>
    <row r="132" spans="1:20" x14ac:dyDescent="0.25">
      <c r="A132" s="5">
        <v>44461</v>
      </c>
      <c r="B132">
        <v>2.0169999999999999</v>
      </c>
      <c r="C132">
        <v>2.335</v>
      </c>
      <c r="D132">
        <v>1.98</v>
      </c>
      <c r="E132">
        <v>2.3050000000000002</v>
      </c>
      <c r="F132">
        <v>18733956.600000001</v>
      </c>
      <c r="G132">
        <v>2.3050000000000002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0.83098591549295886</v>
      </c>
      <c r="Q132">
        <f t="shared" ref="Q132" si="636">F132*P132</f>
        <v>15567654.076056359</v>
      </c>
      <c r="R132">
        <f t="shared" ref="R132" si="637">R133+Q132</f>
        <v>514195949.79803431</v>
      </c>
      <c r="S132">
        <f t="shared" ref="S132" si="638">R132/100000</f>
        <v>5141.9594979803433</v>
      </c>
      <c r="T132">
        <f t="shared" ref="T132" si="639">S132/1000</f>
        <v>5.1419594979803431</v>
      </c>
    </row>
    <row r="133" spans="1:20" x14ac:dyDescent="0.25">
      <c r="A133" s="5">
        <v>44460</v>
      </c>
      <c r="B133">
        <v>2.173</v>
      </c>
      <c r="C133">
        <v>2.2559999999999998</v>
      </c>
      <c r="D133">
        <v>1.95</v>
      </c>
      <c r="E133">
        <v>2.0169999999999999</v>
      </c>
      <c r="F133">
        <v>25489215.467999998</v>
      </c>
      <c r="G133">
        <v>2.0169999999999999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-0.56209150326797397</v>
      </c>
      <c r="Q133">
        <f t="shared" ref="Q133" si="641">F133*P133</f>
        <v>-14327271.439529413</v>
      </c>
      <c r="R133">
        <f t="shared" ref="R133" si="642">R134+Q133</f>
        <v>498628295.72197795</v>
      </c>
      <c r="S133">
        <f t="shared" ref="S133" si="643">R133/100000</f>
        <v>4986.2829572197797</v>
      </c>
      <c r="T133">
        <f t="shared" ref="T133" si="644">S133/1000</f>
        <v>4.98628295721978</v>
      </c>
    </row>
    <row r="134" spans="1:20" x14ac:dyDescent="0.25">
      <c r="A134" s="5">
        <v>44459</v>
      </c>
      <c r="B134">
        <v>2.5019999999999998</v>
      </c>
      <c r="C134">
        <v>2.5049999999999999</v>
      </c>
      <c r="D134">
        <v>2.2280000000000002</v>
      </c>
      <c r="E134">
        <v>2.282</v>
      </c>
      <c r="F134">
        <v>18329518.607000001</v>
      </c>
      <c r="G134">
        <v>2.282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-0.61010830324909826</v>
      </c>
      <c r="Q134">
        <f t="shared" ref="Q134" si="646">F134*P134</f>
        <v>-11182991.496689545</v>
      </c>
      <c r="R134">
        <f t="shared" ref="R134" si="647">R135+Q134</f>
        <v>512955567.16150737</v>
      </c>
      <c r="S134">
        <f t="shared" ref="S134" si="648">R134/100000</f>
        <v>5129.5556716150741</v>
      </c>
      <c r="T134">
        <f t="shared" ref="T134" si="649">S134/1000</f>
        <v>5.1295556716150736</v>
      </c>
    </row>
    <row r="135" spans="1:20" x14ac:dyDescent="0.25">
      <c r="A135" s="5">
        <v>44458</v>
      </c>
      <c r="B135">
        <v>2.6469999999999998</v>
      </c>
      <c r="C135">
        <v>2.6560000000000001</v>
      </c>
      <c r="D135">
        <v>2.4449999999999998</v>
      </c>
      <c r="E135">
        <v>2.5019999999999998</v>
      </c>
      <c r="F135">
        <v>14277064</v>
      </c>
      <c r="G135">
        <v>2.5019999999999998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-0.4597156398104279</v>
      </c>
      <c r="Q135">
        <f t="shared" ref="Q135" si="651">F135*P135</f>
        <v>-6563389.6113744266</v>
      </c>
      <c r="R135">
        <f t="shared" ref="R135" si="652">R136+Q135</f>
        <v>524138558.65819693</v>
      </c>
      <c r="S135">
        <f t="shared" ref="S135" si="653">R135/100000</f>
        <v>5241.3855865819696</v>
      </c>
      <c r="T135">
        <f t="shared" ref="T135" si="654">S135/1000</f>
        <v>5.2413855865819698</v>
      </c>
    </row>
    <row r="136" spans="1:20" x14ac:dyDescent="0.25">
      <c r="A136" s="5">
        <v>44457</v>
      </c>
      <c r="B136">
        <v>2.6339999999999999</v>
      </c>
      <c r="C136">
        <v>2.7029999999999998</v>
      </c>
      <c r="D136">
        <v>2.5840000000000001</v>
      </c>
      <c r="E136">
        <v>2.6469999999999998</v>
      </c>
      <c r="F136">
        <v>15019693.1</v>
      </c>
      <c r="G136">
        <v>2.6469999999999998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5.8823529411762068E-2</v>
      </c>
      <c r="Q136">
        <f t="shared" ref="Q136" si="656">F136*P136</f>
        <v>883511.35882348975</v>
      </c>
      <c r="R136">
        <f t="shared" ref="R136" si="657">R137+Q136</f>
        <v>530701948.26957136</v>
      </c>
      <c r="S136">
        <f t="shared" ref="S136" si="658">R136/100000</f>
        <v>5307.019482695714</v>
      </c>
      <c r="T136">
        <f t="shared" ref="T136" si="659">S136/1000</f>
        <v>5.307019482695714</v>
      </c>
    </row>
    <row r="137" spans="1:20" x14ac:dyDescent="0.25">
      <c r="A137" s="5">
        <v>44456</v>
      </c>
      <c r="B137">
        <v>2.7530000000000001</v>
      </c>
      <c r="C137">
        <v>2.7639999999999998</v>
      </c>
      <c r="D137">
        <v>2.589</v>
      </c>
      <c r="E137">
        <v>2.6320000000000001</v>
      </c>
      <c r="F137">
        <v>16767438.9</v>
      </c>
      <c r="G137">
        <v>2.6320000000000001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-0.50857142857142634</v>
      </c>
      <c r="Q137">
        <f t="shared" ref="Q137" si="661">F137*P137</f>
        <v>-8527440.3548571058</v>
      </c>
      <c r="R137">
        <f t="shared" ref="R137" si="662">R138+Q137</f>
        <v>529818436.91074789</v>
      </c>
      <c r="S137">
        <f t="shared" ref="S137" si="663">R137/100000</f>
        <v>5298.1843691074791</v>
      </c>
      <c r="T137">
        <f t="shared" ref="T137" si="664">S137/1000</f>
        <v>5.2981843691074788</v>
      </c>
    </row>
    <row r="138" spans="1:20" x14ac:dyDescent="0.25">
      <c r="A138" s="5">
        <v>44455</v>
      </c>
      <c r="B138">
        <v>2.8919999999999999</v>
      </c>
      <c r="C138">
        <v>2.8969999999999998</v>
      </c>
      <c r="D138">
        <v>2.6539999999999999</v>
      </c>
      <c r="E138">
        <v>2.7519999999999998</v>
      </c>
      <c r="F138">
        <v>33398857.899999999</v>
      </c>
      <c r="G138">
        <v>2.7519999999999998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-0.19341563786008303</v>
      </c>
      <c r="Q138">
        <f t="shared" ref="Q138" si="666">F138*P138</f>
        <v>-6459861.4045267729</v>
      </c>
      <c r="R138">
        <f t="shared" ref="R138" si="667">R139+Q138</f>
        <v>538345877.26560497</v>
      </c>
      <c r="S138">
        <f t="shared" ref="S138" si="668">R138/100000</f>
        <v>5383.4587726560494</v>
      </c>
      <c r="T138">
        <f t="shared" ref="T138" si="669">S138/1000</f>
        <v>5.3834587726560494</v>
      </c>
    </row>
    <row r="139" spans="1:20" x14ac:dyDescent="0.25">
      <c r="A139" s="5">
        <v>44454</v>
      </c>
      <c r="B139">
        <v>2.6920000000000002</v>
      </c>
      <c r="C139">
        <v>2.9369999999999998</v>
      </c>
      <c r="D139">
        <v>2.6509999999999998</v>
      </c>
      <c r="E139">
        <v>2.8919999999999999</v>
      </c>
      <c r="F139">
        <v>25203810.800000001</v>
      </c>
      <c r="G139">
        <v>2.8919999999999999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0.68531468531468587</v>
      </c>
      <c r="Q139">
        <f t="shared" ref="Q139" si="671">F139*P139</f>
        <v>17272541.667132881</v>
      </c>
      <c r="R139">
        <f t="shared" ref="R139" si="672">R140+Q139</f>
        <v>544805738.6701318</v>
      </c>
      <c r="S139">
        <f t="shared" ref="S139" si="673">R139/100000</f>
        <v>5448.0573867013181</v>
      </c>
      <c r="T139">
        <f t="shared" ref="T139" si="674">S139/1000</f>
        <v>5.4480573867013184</v>
      </c>
    </row>
    <row r="140" spans="1:20" x14ac:dyDescent="0.25">
      <c r="A140" s="5">
        <v>44453</v>
      </c>
      <c r="B140">
        <v>2.6070000000000002</v>
      </c>
      <c r="C140">
        <v>2.6949999999999998</v>
      </c>
      <c r="D140">
        <v>2.552</v>
      </c>
      <c r="E140">
        <v>2.6920000000000002</v>
      </c>
      <c r="F140">
        <v>19077848.300000001</v>
      </c>
      <c r="G140">
        <v>2.6920000000000002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0.95804195804196257</v>
      </c>
      <c r="Q140">
        <f t="shared" ref="Q140" si="676">F140*P140</f>
        <v>18277379.140559528</v>
      </c>
      <c r="R140">
        <f t="shared" ref="R140" si="677">R141+Q140</f>
        <v>527533197.00299895</v>
      </c>
      <c r="S140">
        <f t="shared" ref="S140" si="678">R140/100000</f>
        <v>5275.3319700299899</v>
      </c>
      <c r="T140">
        <f t="shared" ref="T140" si="679">S140/1000</f>
        <v>5.2753319700299901</v>
      </c>
    </row>
    <row r="141" spans="1:20" x14ac:dyDescent="0.25">
      <c r="A141" s="5">
        <v>44452</v>
      </c>
      <c r="B141">
        <v>2.8170000000000002</v>
      </c>
      <c r="C141">
        <v>2.8450000000000002</v>
      </c>
      <c r="D141">
        <v>2.415</v>
      </c>
      <c r="E141">
        <v>2.6080000000000001</v>
      </c>
      <c r="F141">
        <v>26345831.899999999</v>
      </c>
      <c r="G141">
        <v>2.6080000000000001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-0.10232558139534889</v>
      </c>
      <c r="Q141">
        <f t="shared" ref="Q141" si="681">F141*P141</f>
        <v>-2695852.5665116291</v>
      </c>
      <c r="R141">
        <f t="shared" ref="R141" si="682">R142+Q141</f>
        <v>509255817.86243939</v>
      </c>
      <c r="S141">
        <f t="shared" ref="S141" si="683">R141/100000</f>
        <v>5092.5581786243938</v>
      </c>
      <c r="T141">
        <f t="shared" ref="T141" si="684">S141/1000</f>
        <v>5.0925581786243939</v>
      </c>
    </row>
    <row r="142" spans="1:20" x14ac:dyDescent="0.25">
      <c r="A142" s="5">
        <v>44451</v>
      </c>
      <c r="B142">
        <v>2.7690000000000001</v>
      </c>
      <c r="C142">
        <v>2.85</v>
      </c>
      <c r="D142">
        <v>2.645</v>
      </c>
      <c r="E142">
        <v>2.8159999999999998</v>
      </c>
      <c r="F142">
        <v>18771994.800000001</v>
      </c>
      <c r="G142">
        <v>2.8159999999999998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0.66829268292682698</v>
      </c>
      <c r="Q142">
        <f t="shared" ref="Q142" si="686">F142*P142</f>
        <v>12545186.768780446</v>
      </c>
      <c r="R142">
        <f t="shared" ref="R142" si="687">R143+Q142</f>
        <v>511951670.42895103</v>
      </c>
      <c r="S142">
        <f t="shared" ref="S142" si="688">R142/100000</f>
        <v>5119.51670428951</v>
      </c>
      <c r="T142">
        <f t="shared" ref="T142" si="689">S142/1000</f>
        <v>5.1195167042895102</v>
      </c>
    </row>
    <row r="143" spans="1:20" x14ac:dyDescent="0.25">
      <c r="A143" s="5">
        <v>44450</v>
      </c>
      <c r="B143">
        <v>2.7069999999999999</v>
      </c>
      <c r="C143">
        <v>2.8319999999999999</v>
      </c>
      <c r="D143">
        <v>2.6680000000000001</v>
      </c>
      <c r="E143">
        <v>2.7669999999999999</v>
      </c>
      <c r="F143">
        <v>19372587.199999999</v>
      </c>
      <c r="G143">
        <v>2.7669999999999999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0.20731707317073092</v>
      </c>
      <c r="Q143">
        <f t="shared" ref="Q143" si="691">F143*P143</f>
        <v>4016268.0780487652</v>
      </c>
      <c r="R143">
        <f t="shared" ref="R143" si="692">R144+Q143</f>
        <v>499406483.66017056</v>
      </c>
      <c r="S143">
        <f t="shared" ref="S143" si="693">R143/100000</f>
        <v>4994.0648366017058</v>
      </c>
      <c r="T143">
        <f t="shared" ref="T143" si="694">S143/1000</f>
        <v>4.994064836601706</v>
      </c>
    </row>
    <row r="144" spans="1:20" x14ac:dyDescent="0.25">
      <c r="A144" s="5">
        <v>44449</v>
      </c>
      <c r="B144">
        <v>2.8740000000000001</v>
      </c>
      <c r="C144">
        <v>3.0720000000000001</v>
      </c>
      <c r="D144">
        <v>2.5760000000000001</v>
      </c>
      <c r="E144">
        <v>2.7069999999999999</v>
      </c>
      <c r="F144">
        <v>37198856.899999999</v>
      </c>
      <c r="G144">
        <v>2.7069999999999999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-0.47177419354838795</v>
      </c>
      <c r="Q144">
        <f t="shared" ref="Q144" si="696">F144*P144</f>
        <v>-17549460.714919385</v>
      </c>
      <c r="R144">
        <f t="shared" ref="R144" si="697">R145+Q144</f>
        <v>495390215.58212179</v>
      </c>
      <c r="S144">
        <f t="shared" ref="S144" si="698">R144/100000</f>
        <v>4953.902155821218</v>
      </c>
      <c r="T144">
        <f t="shared" ref="T144" si="699">S144/1000</f>
        <v>4.9539021558212184</v>
      </c>
    </row>
    <row r="145" spans="1:20" x14ac:dyDescent="0.25">
      <c r="A145" s="5">
        <v>44448</v>
      </c>
      <c r="B145">
        <v>2.7730000000000001</v>
      </c>
      <c r="C145">
        <v>2.9950000000000001</v>
      </c>
      <c r="D145">
        <v>2.637</v>
      </c>
      <c r="E145">
        <v>2.8740000000000001</v>
      </c>
      <c r="F145">
        <v>46623120.399999999</v>
      </c>
      <c r="G145">
        <v>2.8740000000000001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0.3240223463687153</v>
      </c>
      <c r="Q145">
        <f t="shared" ref="Q145" si="701">F145*P145</f>
        <v>15106932.867039116</v>
      </c>
      <c r="R145">
        <f t="shared" ref="R145" si="702">R146+Q145</f>
        <v>512939676.29704118</v>
      </c>
      <c r="S145">
        <f t="shared" ref="S145" si="703">R145/100000</f>
        <v>5129.3967629704121</v>
      </c>
      <c r="T145">
        <f t="shared" ref="T145" si="704">S145/1000</f>
        <v>5.129396762970412</v>
      </c>
    </row>
    <row r="146" spans="1:20" x14ac:dyDescent="0.25">
      <c r="A146" s="5">
        <v>44447</v>
      </c>
      <c r="B146">
        <v>2.7069999999999999</v>
      </c>
      <c r="C146">
        <v>2.8690000000000002</v>
      </c>
      <c r="D146">
        <v>2.4359999999999999</v>
      </c>
      <c r="E146">
        <v>2.774</v>
      </c>
      <c r="F146">
        <v>79193829.563999996</v>
      </c>
      <c r="G146">
        <v>2.774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0.56120092378752828</v>
      </c>
      <c r="Q146">
        <f t="shared" ref="Q146" si="706">F146*P146</f>
        <v>44443650.309588864</v>
      </c>
      <c r="R146">
        <f t="shared" ref="R146" si="707">R147+Q146</f>
        <v>497832743.43000203</v>
      </c>
      <c r="S146">
        <f t="shared" ref="S146" si="708">R146/100000</f>
        <v>4978.3274343000203</v>
      </c>
      <c r="T146">
        <f t="shared" ref="T146" si="709">S146/1000</f>
        <v>4.9783274343000201</v>
      </c>
    </row>
    <row r="147" spans="1:20" x14ac:dyDescent="0.25">
      <c r="A147" s="5">
        <v>44446</v>
      </c>
      <c r="B147">
        <v>3.8119999999999998</v>
      </c>
      <c r="C147">
        <v>3.9</v>
      </c>
      <c r="D147">
        <v>2.3479999999999999</v>
      </c>
      <c r="E147">
        <v>2.706</v>
      </c>
      <c r="F147">
        <v>148900376.02900001</v>
      </c>
      <c r="G147">
        <v>2.706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-0.53865979381443285</v>
      </c>
      <c r="Q147">
        <f t="shared" ref="Q147" si="711">F147*P147</f>
        <v>-80206645.850672662</v>
      </c>
      <c r="R147">
        <f t="shared" ref="R147" si="712">R148+Q147</f>
        <v>453389093.12041318</v>
      </c>
      <c r="S147">
        <f t="shared" ref="S147" si="713">R147/100000</f>
        <v>4533.8909312041314</v>
      </c>
      <c r="T147">
        <f t="shared" ref="T147" si="714">S147/1000</f>
        <v>4.5338909312041311</v>
      </c>
    </row>
    <row r="148" spans="1:20" x14ac:dyDescent="0.25">
      <c r="A148" s="5">
        <v>44445</v>
      </c>
      <c r="B148">
        <v>3.8439999999999999</v>
      </c>
      <c r="C148">
        <v>4.0890000000000004</v>
      </c>
      <c r="D148">
        <v>3.6779999999999999</v>
      </c>
      <c r="E148">
        <v>3.8140000000000001</v>
      </c>
      <c r="F148">
        <v>19961176.890999999</v>
      </c>
      <c r="G148">
        <v>3.8140000000000001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-0.33819951338199533</v>
      </c>
      <c r="Q148">
        <f t="shared" ref="Q148" si="716">F148*P148</f>
        <v>-6750860.3110681297</v>
      </c>
      <c r="R148">
        <f t="shared" ref="R148" si="717">R149+Q148</f>
        <v>533595738.97108585</v>
      </c>
      <c r="S148">
        <f t="shared" ref="S148" si="718">R148/100000</f>
        <v>5335.9573897108585</v>
      </c>
      <c r="T148">
        <f t="shared" ref="T148" si="719">S148/1000</f>
        <v>5.3359573897108588</v>
      </c>
    </row>
    <row r="149" spans="1:20" x14ac:dyDescent="0.25">
      <c r="A149" s="5">
        <v>44444</v>
      </c>
      <c r="B149">
        <v>3.6960000000000002</v>
      </c>
      <c r="C149">
        <v>3.8959999999999999</v>
      </c>
      <c r="D149">
        <v>3.6659999999999999</v>
      </c>
      <c r="E149">
        <v>3.843</v>
      </c>
      <c r="F149">
        <v>15390118.199999999</v>
      </c>
      <c r="G149">
        <v>3.843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0.53913043478260925</v>
      </c>
      <c r="Q149">
        <f t="shared" ref="Q149" si="721">F149*P149</f>
        <v>8297281.1165217469</v>
      </c>
      <c r="R149">
        <f t="shared" ref="R149" si="722">R150+Q149</f>
        <v>540346599.28215396</v>
      </c>
      <c r="S149">
        <f t="shared" ref="S149" si="723">R149/100000</f>
        <v>5403.4659928215397</v>
      </c>
      <c r="T149">
        <f t="shared" ref="T149" si="724">S149/1000</f>
        <v>5.4034659928215394</v>
      </c>
    </row>
    <row r="150" spans="1:20" x14ac:dyDescent="0.25">
      <c r="A150" s="5">
        <v>44443</v>
      </c>
      <c r="B150">
        <v>3.6789999999999998</v>
      </c>
      <c r="C150">
        <v>3.86</v>
      </c>
      <c r="D150">
        <v>3.6110000000000002</v>
      </c>
      <c r="E150">
        <v>3.694</v>
      </c>
      <c r="F150">
        <v>13653932.4</v>
      </c>
      <c r="G150">
        <v>3.694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-0.33333333333333454</v>
      </c>
      <c r="Q150">
        <f t="shared" ref="Q150" si="726">F150*P150</f>
        <v>-4551310.8000000166</v>
      </c>
      <c r="R150">
        <f t="shared" ref="R150" si="727">R151+Q150</f>
        <v>532049318.16563225</v>
      </c>
      <c r="S150">
        <f t="shared" ref="S150" si="728">R150/100000</f>
        <v>5320.4931816563221</v>
      </c>
      <c r="T150">
        <f t="shared" ref="T150" si="729">S150/1000</f>
        <v>5.3204931816563219</v>
      </c>
    </row>
    <row r="151" spans="1:20" x14ac:dyDescent="0.25">
      <c r="A151" s="5">
        <v>44442</v>
      </c>
      <c r="B151">
        <v>3.625</v>
      </c>
      <c r="C151">
        <v>3.78</v>
      </c>
      <c r="D151">
        <v>3.5209999999999999</v>
      </c>
      <c r="E151">
        <v>3.6789999999999998</v>
      </c>
      <c r="F151">
        <v>18043275</v>
      </c>
      <c r="G151">
        <v>3.6789999999999998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0.22007722007721994</v>
      </c>
      <c r="Q151">
        <f t="shared" ref="Q151" si="731">F151*P151</f>
        <v>3970913.8030888005</v>
      </c>
      <c r="R151">
        <f t="shared" ref="R151" si="732">R152+Q151</f>
        <v>536600628.96563226</v>
      </c>
      <c r="S151">
        <f t="shared" ref="S151" si="733">R151/100000</f>
        <v>5366.0062896563222</v>
      </c>
      <c r="T151">
        <f t="shared" ref="T151" si="734">S151/1000</f>
        <v>5.3660062896563225</v>
      </c>
    </row>
    <row r="152" spans="1:20" x14ac:dyDescent="0.25">
      <c r="A152" s="5">
        <v>44441</v>
      </c>
      <c r="B152">
        <v>3.6739999999999999</v>
      </c>
      <c r="C152">
        <v>3.8029999999999999</v>
      </c>
      <c r="D152">
        <v>3.6139999999999999</v>
      </c>
      <c r="E152">
        <v>3.6230000000000002</v>
      </c>
      <c r="F152">
        <v>13312980.4</v>
      </c>
      <c r="G152">
        <v>3.6230000000000002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-0.90476190476190121</v>
      </c>
      <c r="Q152">
        <f t="shared" ref="Q152" si="736">F152*P152</f>
        <v>-12045077.504761858</v>
      </c>
      <c r="R152">
        <f t="shared" ref="R152" si="737">R153+Q152</f>
        <v>532629715.16254348</v>
      </c>
      <c r="S152">
        <f t="shared" ref="S152" si="738">R152/100000</f>
        <v>5326.2971516254347</v>
      </c>
      <c r="T152">
        <f t="shared" ref="T152" si="739">S152/1000</f>
        <v>5.3262971516254343</v>
      </c>
    </row>
    <row r="153" spans="1:20" x14ac:dyDescent="0.25">
      <c r="A153" s="5">
        <v>44440</v>
      </c>
      <c r="B153">
        <v>3.5150000000000001</v>
      </c>
      <c r="C153">
        <v>3.75</v>
      </c>
      <c r="D153">
        <v>3.448</v>
      </c>
      <c r="E153">
        <v>3.673</v>
      </c>
      <c r="F153">
        <v>12382844.199999999</v>
      </c>
      <c r="G153">
        <v>3.673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0.49006622516556325</v>
      </c>
      <c r="Q153">
        <f t="shared" ref="Q153" si="741">F153*P153</f>
        <v>6068413.7139072884</v>
      </c>
      <c r="R153">
        <f t="shared" ref="R153" si="742">R154+Q153</f>
        <v>544674792.66730535</v>
      </c>
      <c r="S153">
        <f t="shared" ref="S153" si="743">R153/100000</f>
        <v>5446.7479266730534</v>
      </c>
      <c r="T153">
        <f t="shared" ref="T153" si="744">S153/1000</f>
        <v>5.4467479266730532</v>
      </c>
    </row>
    <row r="154" spans="1:20" x14ac:dyDescent="0.25">
      <c r="A154" s="5">
        <v>44439</v>
      </c>
      <c r="B154">
        <v>3.5150000000000001</v>
      </c>
      <c r="C154">
        <v>3.68</v>
      </c>
      <c r="D154">
        <v>3.4390000000000001</v>
      </c>
      <c r="E154">
        <v>3.5169999999999999</v>
      </c>
      <c r="F154">
        <v>15040561.195</v>
      </c>
      <c r="G154">
        <v>3.5169999999999999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-0.35269709543568617</v>
      </c>
      <c r="Q154">
        <f t="shared" ref="Q154" si="746">F154*P154</f>
        <v>-5304762.2471991936</v>
      </c>
      <c r="R154">
        <f t="shared" ref="R154" si="747">R155+Q154</f>
        <v>538606378.95339811</v>
      </c>
      <c r="S154">
        <f t="shared" ref="S154" si="748">R154/100000</f>
        <v>5386.0637895339814</v>
      </c>
      <c r="T154">
        <f t="shared" ref="T154" si="749">S154/1000</f>
        <v>5.3860637895339813</v>
      </c>
    </row>
    <row r="155" spans="1:20" x14ac:dyDescent="0.25">
      <c r="A155" s="5">
        <v>44438</v>
      </c>
      <c r="B155">
        <v>3.7280000000000002</v>
      </c>
      <c r="C155">
        <v>3.758</v>
      </c>
      <c r="D155">
        <v>3.4649999999999999</v>
      </c>
      <c r="E155">
        <v>3.5150000000000001</v>
      </c>
      <c r="F155">
        <v>14696569.745999999</v>
      </c>
      <c r="G155">
        <v>3.5150000000000001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-0.65870307167235331</v>
      </c>
      <c r="Q155">
        <f t="shared" ref="Q155" si="751">F155*P155</f>
        <v>-9680675.6347371768</v>
      </c>
      <c r="R155">
        <f t="shared" ref="R155" si="752">R156+Q155</f>
        <v>543911141.20059729</v>
      </c>
      <c r="S155">
        <f t="shared" ref="S155" si="753">R155/100000</f>
        <v>5439.1114120059729</v>
      </c>
      <c r="T155">
        <f t="shared" ref="T155" si="754">S155/1000</f>
        <v>5.4391114120059729</v>
      </c>
    </row>
    <row r="156" spans="1:20" x14ac:dyDescent="0.25">
      <c r="A156" s="5">
        <v>44437</v>
      </c>
      <c r="B156">
        <v>3.8519999999999999</v>
      </c>
      <c r="C156">
        <v>3.8929999999999998</v>
      </c>
      <c r="D156">
        <v>3.6539999999999999</v>
      </c>
      <c r="E156">
        <v>3.726</v>
      </c>
      <c r="F156">
        <v>11506086</v>
      </c>
      <c r="G156">
        <v>3.726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-0.39748953974895312</v>
      </c>
      <c r="Q156">
        <f t="shared" ref="Q156" si="756">F156*P156</f>
        <v>-4573548.8284518728</v>
      </c>
      <c r="R156">
        <f t="shared" ref="R156" si="757">R157+Q156</f>
        <v>553591816.83533442</v>
      </c>
      <c r="S156">
        <f t="shared" ref="S156" si="758">R156/100000</f>
        <v>5535.9181683533443</v>
      </c>
      <c r="T156">
        <f t="shared" ref="T156" si="759">S156/1000</f>
        <v>5.5359181683533443</v>
      </c>
    </row>
    <row r="157" spans="1:20" x14ac:dyDescent="0.25">
      <c r="A157" s="5">
        <v>44436</v>
      </c>
      <c r="B157">
        <v>4.0039999999999996</v>
      </c>
      <c r="C157">
        <v>4.069</v>
      </c>
      <c r="D157">
        <v>3.8140000000000001</v>
      </c>
      <c r="E157">
        <v>3.8519999999999999</v>
      </c>
      <c r="F157">
        <v>7740228.9419999998</v>
      </c>
      <c r="G157">
        <v>3.8519999999999999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-0.70196078431372688</v>
      </c>
      <c r="Q157">
        <f t="shared" ref="Q157" si="761">F157*P157</f>
        <v>-5433337.1788941287</v>
      </c>
      <c r="R157">
        <f t="shared" ref="R157" si="762">R158+Q157</f>
        <v>558165365.66378629</v>
      </c>
      <c r="S157">
        <f t="shared" ref="S157" si="763">R157/100000</f>
        <v>5581.6536566378627</v>
      </c>
      <c r="T157">
        <f t="shared" ref="T157" si="764">S157/1000</f>
        <v>5.5816536566378625</v>
      </c>
    </row>
    <row r="158" spans="1:20" x14ac:dyDescent="0.25">
      <c r="A158" s="5">
        <v>44435</v>
      </c>
      <c r="B158">
        <v>3.7269999999999999</v>
      </c>
      <c r="C158">
        <v>4.0289999999999999</v>
      </c>
      <c r="D158">
        <v>3.6230000000000002</v>
      </c>
      <c r="E158">
        <v>4.0010000000000003</v>
      </c>
      <c r="F158">
        <v>14378741.59</v>
      </c>
      <c r="G158">
        <v>4.0010000000000003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0.86206896551724332</v>
      </c>
      <c r="Q158">
        <f t="shared" ref="Q158" si="766">F158*P158</f>
        <v>12395466.887931062</v>
      </c>
      <c r="R158">
        <f t="shared" ref="R158" si="767">R159+Q158</f>
        <v>563598702.84268045</v>
      </c>
      <c r="S158">
        <f t="shared" ref="S158" si="768">R158/100000</f>
        <v>5635.9870284268045</v>
      </c>
      <c r="T158">
        <f t="shared" ref="T158" si="769">S158/1000</f>
        <v>5.6359870284268041</v>
      </c>
    </row>
    <row r="159" spans="1:20" x14ac:dyDescent="0.25">
      <c r="A159" s="5">
        <v>44434</v>
      </c>
      <c r="B159">
        <v>3.98</v>
      </c>
      <c r="C159">
        <v>4.0229999999999997</v>
      </c>
      <c r="D159">
        <v>3.6110000000000002</v>
      </c>
      <c r="E159">
        <v>3.7269999999999999</v>
      </c>
      <c r="F159">
        <v>14582963.432</v>
      </c>
      <c r="G159">
        <v>3.7269999999999999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-0.43689320388349606</v>
      </c>
      <c r="Q159">
        <f t="shared" ref="Q159" si="771">F159*P159</f>
        <v>-6371197.6159223439</v>
      </c>
      <c r="R159">
        <f t="shared" ref="R159" si="772">R160+Q159</f>
        <v>551203235.95474935</v>
      </c>
      <c r="S159">
        <f t="shared" ref="S159" si="773">R159/100000</f>
        <v>5512.0323595474938</v>
      </c>
      <c r="T159">
        <f t="shared" ref="T159" si="774">S159/1000</f>
        <v>5.5120323595474936</v>
      </c>
    </row>
    <row r="160" spans="1:20" x14ac:dyDescent="0.25">
      <c r="A160" s="5">
        <v>44433</v>
      </c>
      <c r="B160">
        <v>3.8690000000000002</v>
      </c>
      <c r="C160">
        <v>4.58</v>
      </c>
      <c r="D160">
        <v>3.8660000000000001</v>
      </c>
      <c r="E160">
        <v>3.98</v>
      </c>
      <c r="F160">
        <v>40894366.381999999</v>
      </c>
      <c r="G160">
        <v>3.98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-0.68067226890756338</v>
      </c>
      <c r="Q160">
        <f t="shared" ref="Q160" si="776">F160*P160</f>
        <v>-27835661.150773123</v>
      </c>
      <c r="R160">
        <f t="shared" ref="R160" si="777">R161+Q160</f>
        <v>557574433.57067168</v>
      </c>
      <c r="S160">
        <f t="shared" ref="S160" si="778">R160/100000</f>
        <v>5575.7443357067168</v>
      </c>
      <c r="T160">
        <f t="shared" ref="T160" si="779">S160/1000</f>
        <v>5.5757443357067169</v>
      </c>
    </row>
    <row r="161" spans="1:20" x14ac:dyDescent="0.25">
      <c r="A161" s="5">
        <v>44432</v>
      </c>
      <c r="B161">
        <v>3.8</v>
      </c>
      <c r="C161">
        <v>4.2</v>
      </c>
      <c r="D161">
        <v>3.7010000000000001</v>
      </c>
      <c r="E161">
        <v>3.8690000000000002</v>
      </c>
      <c r="F161">
        <v>32622642.125</v>
      </c>
      <c r="G161">
        <v>3.8690000000000002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-0.326653306613226</v>
      </c>
      <c r="Q161">
        <f t="shared" ref="Q161" si="781">F161*P161</f>
        <v>-10656293.920591168</v>
      </c>
      <c r="R161">
        <f t="shared" ref="R161" si="782">R162+Q161</f>
        <v>585410094.72144485</v>
      </c>
      <c r="S161">
        <f t="shared" ref="S161" si="783">R161/100000</f>
        <v>5854.1009472144488</v>
      </c>
      <c r="T161">
        <f t="shared" ref="T161" si="784">S161/1000</f>
        <v>5.854100947214449</v>
      </c>
    </row>
    <row r="162" spans="1:20" x14ac:dyDescent="0.25">
      <c r="A162" s="5">
        <v>44431</v>
      </c>
      <c r="B162">
        <v>3.6909999999999998</v>
      </c>
      <c r="C162">
        <v>3.931</v>
      </c>
      <c r="D162">
        <v>3.6</v>
      </c>
      <c r="E162">
        <v>3.8010000000000002</v>
      </c>
      <c r="F162">
        <v>14179819.521</v>
      </c>
      <c r="G162">
        <v>3.8010000000000002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0.21450151057401867</v>
      </c>
      <c r="Q162">
        <f t="shared" ref="Q162" si="786">F162*P162</f>
        <v>3041592.7069214578</v>
      </c>
      <c r="R162">
        <f t="shared" ref="R162" si="787">R163+Q162</f>
        <v>596066388.64203596</v>
      </c>
      <c r="S162">
        <f t="shared" ref="S162" si="788">R162/100000</f>
        <v>5960.6638864203596</v>
      </c>
      <c r="T162">
        <f t="shared" ref="T162" si="789">S162/1000</f>
        <v>5.9606638864203596</v>
      </c>
    </row>
    <row r="163" spans="1:20" x14ac:dyDescent="0.25">
      <c r="A163" s="5">
        <v>44430</v>
      </c>
      <c r="B163">
        <v>3.7549999999999999</v>
      </c>
      <c r="C163">
        <v>3.8079999999999998</v>
      </c>
      <c r="D163">
        <v>3.6160000000000001</v>
      </c>
      <c r="E163">
        <v>3.6970000000000001</v>
      </c>
      <c r="F163">
        <v>3149052.4890000001</v>
      </c>
      <c r="G163">
        <v>3.6970000000000001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-0.1562499999999992</v>
      </c>
      <c r="Q163">
        <f t="shared" ref="Q163" si="791">F163*P163</f>
        <v>-492039.45140624745</v>
      </c>
      <c r="R163">
        <f t="shared" ref="R163" si="792">R164+Q163</f>
        <v>593024795.9351145</v>
      </c>
      <c r="S163">
        <f t="shared" ref="S163" si="793">R163/100000</f>
        <v>5930.2479593511453</v>
      </c>
      <c r="T163">
        <f t="shared" ref="T163" si="794">S163/1000</f>
        <v>5.9302479593511457</v>
      </c>
    </row>
    <row r="164" spans="1:20" x14ac:dyDescent="0.25">
      <c r="A164" s="5">
        <v>44429</v>
      </c>
      <c r="B164">
        <v>3.714</v>
      </c>
      <c r="C164">
        <v>3.8180000000000001</v>
      </c>
      <c r="D164">
        <v>3.5430000000000001</v>
      </c>
      <c r="E164">
        <v>3.7549999999999999</v>
      </c>
      <c r="F164">
        <v>12985439.788000001</v>
      </c>
      <c r="G164">
        <v>3.7549999999999999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0.54181818181818042</v>
      </c>
      <c r="Q164">
        <f t="shared" ref="Q164" si="796">F164*P164</f>
        <v>7035747.3760436187</v>
      </c>
      <c r="R164">
        <f t="shared" ref="R164" si="797">R165+Q164</f>
        <v>593516835.38652074</v>
      </c>
      <c r="S164">
        <f t="shared" ref="S164" si="798">R164/100000</f>
        <v>5935.1683538652078</v>
      </c>
      <c r="T164">
        <f t="shared" ref="T164" si="799">S164/1000</f>
        <v>5.9351683538652074</v>
      </c>
    </row>
    <row r="165" spans="1:20" x14ac:dyDescent="0.25">
      <c r="A165" s="5">
        <v>44428</v>
      </c>
      <c r="B165">
        <v>3.605</v>
      </c>
      <c r="C165">
        <v>3.7770000000000001</v>
      </c>
      <c r="D165">
        <v>3.4809999999999999</v>
      </c>
      <c r="E165">
        <v>3.7120000000000002</v>
      </c>
      <c r="F165">
        <v>16031425.674000001</v>
      </c>
      <c r="G165">
        <v>3.7120000000000002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0.56081081081081152</v>
      </c>
      <c r="Q165">
        <f t="shared" ref="Q165" si="801">F165*P165</f>
        <v>8990596.8306892011</v>
      </c>
      <c r="R165">
        <f t="shared" ref="R165" si="802">R166+Q165</f>
        <v>586481088.01047707</v>
      </c>
      <c r="S165">
        <f t="shared" ref="S165" si="803">R165/100000</f>
        <v>5864.8108801047711</v>
      </c>
      <c r="T165">
        <f t="shared" ref="T165" si="804">S165/1000</f>
        <v>5.8648108801047707</v>
      </c>
    </row>
    <row r="166" spans="1:20" x14ac:dyDescent="0.25">
      <c r="A166" s="5">
        <v>44427</v>
      </c>
      <c r="B166">
        <v>3.1589999999999998</v>
      </c>
      <c r="C166">
        <v>3.6190000000000002</v>
      </c>
      <c r="D166">
        <v>3.06</v>
      </c>
      <c r="E166">
        <v>3.6040000000000001</v>
      </c>
      <c r="F166">
        <v>19405262.602000002</v>
      </c>
      <c r="G166">
        <v>3.6040000000000001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0.94633273703041099</v>
      </c>
      <c r="Q166">
        <f t="shared" ref="Q166" si="806">F166*P166</f>
        <v>18363835.270944536</v>
      </c>
      <c r="R166">
        <f t="shared" ref="R166" si="807">R167+Q166</f>
        <v>577490491.17978787</v>
      </c>
      <c r="S166">
        <f t="shared" ref="S166" si="808">R166/100000</f>
        <v>5774.9049117978784</v>
      </c>
      <c r="T166">
        <f t="shared" ref="T166" si="809">S166/1000</f>
        <v>5.7749049117978783</v>
      </c>
    </row>
    <row r="167" spans="1:20" x14ac:dyDescent="0.25">
      <c r="A167" s="5">
        <v>44426</v>
      </c>
      <c r="B167">
        <v>3.0179999999999998</v>
      </c>
      <c r="C167">
        <v>3.28</v>
      </c>
      <c r="D167">
        <v>2.8119999999999998</v>
      </c>
      <c r="E167">
        <v>3.1589999999999998</v>
      </c>
      <c r="F167">
        <v>18240034.136</v>
      </c>
      <c r="G167">
        <v>3.1589999999999998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0.48290598290598291</v>
      </c>
      <c r="Q167">
        <f t="shared" ref="Q167" si="811">F167*P167</f>
        <v>8808221.61268376</v>
      </c>
      <c r="R167">
        <f t="shared" ref="R167" si="812">R168+Q167</f>
        <v>559126655.9088434</v>
      </c>
      <c r="S167">
        <f t="shared" ref="S167" si="813">R167/100000</f>
        <v>5591.2665590884344</v>
      </c>
      <c r="T167">
        <f t="shared" ref="T167" si="814">S167/1000</f>
        <v>5.5912665590884343</v>
      </c>
    </row>
    <row r="168" spans="1:20" x14ac:dyDescent="0.25">
      <c r="A168" s="5">
        <v>44425</v>
      </c>
      <c r="B168">
        <v>3.25</v>
      </c>
      <c r="C168">
        <v>3.37</v>
      </c>
      <c r="D168">
        <v>2.9830000000000001</v>
      </c>
      <c r="E168">
        <v>3.0179999999999998</v>
      </c>
      <c r="F168">
        <v>18509972.296</v>
      </c>
      <c r="G168">
        <v>3.0179999999999998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-0.81912144702842538</v>
      </c>
      <c r="Q168">
        <f t="shared" ref="Q168" si="816">F168*P168</f>
        <v>-15161915.291555585</v>
      </c>
      <c r="R168">
        <f t="shared" ref="R168" si="817">R169+Q168</f>
        <v>550318434.29615963</v>
      </c>
      <c r="S168">
        <f t="shared" ref="S168" si="818">R168/100000</f>
        <v>5503.1843429615965</v>
      </c>
      <c r="T168">
        <f t="shared" ref="T168" si="819">S168/1000</f>
        <v>5.5031843429615961</v>
      </c>
    </row>
    <row r="169" spans="1:20" x14ac:dyDescent="0.25">
      <c r="A169" s="5">
        <v>44424</v>
      </c>
      <c r="B169">
        <v>3.4620000000000002</v>
      </c>
      <c r="C169">
        <v>3.577</v>
      </c>
      <c r="D169">
        <v>3.1549999999999998</v>
      </c>
      <c r="E169">
        <v>3.2480000000000002</v>
      </c>
      <c r="F169">
        <v>16020689.739</v>
      </c>
      <c r="G169">
        <v>3.2480000000000002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-0.55924170616113567</v>
      </c>
      <c r="Q169">
        <f t="shared" ref="Q169" si="821">F169*P169</f>
        <v>-8959437.8635165598</v>
      </c>
      <c r="R169">
        <f t="shared" ref="R169" si="822">R170+Q169</f>
        <v>565480349.58771527</v>
      </c>
      <c r="S169">
        <f t="shared" ref="S169" si="823">R169/100000</f>
        <v>5654.8034958771523</v>
      </c>
      <c r="T169">
        <f t="shared" ref="T169" si="824">S169/1000</f>
        <v>5.654803495877152</v>
      </c>
    </row>
    <row r="170" spans="1:20" x14ac:dyDescent="0.25">
      <c r="A170" s="5">
        <v>44423</v>
      </c>
      <c r="B170">
        <v>3.468</v>
      </c>
      <c r="C170">
        <v>3.4790000000000001</v>
      </c>
      <c r="D170">
        <v>3.3159999999999998</v>
      </c>
      <c r="E170">
        <v>3.4630000000000001</v>
      </c>
      <c r="F170">
        <v>12760649.446</v>
      </c>
      <c r="G170">
        <v>3.4630000000000001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0.80368098159509216</v>
      </c>
      <c r="Q170">
        <f t="shared" ref="Q170" si="826">F170*P170</f>
        <v>10255491.272552149</v>
      </c>
      <c r="R170">
        <f t="shared" ref="R170" si="827">R171+Q170</f>
        <v>574439787.45123184</v>
      </c>
      <c r="S170">
        <f t="shared" ref="S170" si="828">R170/100000</f>
        <v>5744.3978745123186</v>
      </c>
      <c r="T170">
        <f t="shared" ref="T170" si="829">S170/1000</f>
        <v>5.7443978745123188</v>
      </c>
    </row>
    <row r="171" spans="1:20" x14ac:dyDescent="0.25">
      <c r="A171" s="5">
        <v>44422</v>
      </c>
      <c r="B171">
        <v>3.5779999999999998</v>
      </c>
      <c r="C171">
        <v>3.5830000000000002</v>
      </c>
      <c r="D171">
        <v>3.375</v>
      </c>
      <c r="E171">
        <v>3.468</v>
      </c>
      <c r="F171">
        <v>13999671.5</v>
      </c>
      <c r="G171">
        <v>3.468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-0.10576923076923184</v>
      </c>
      <c r="Q171">
        <f t="shared" ref="Q171" si="831">F171*P171</f>
        <v>-1480734.4855769379</v>
      </c>
      <c r="R171">
        <f t="shared" ref="R171" si="832">R172+Q171</f>
        <v>564184296.1786797</v>
      </c>
      <c r="S171">
        <f t="shared" ref="S171" si="833">R171/100000</f>
        <v>5641.8429617867969</v>
      </c>
      <c r="T171">
        <f t="shared" ref="T171" si="834">S171/1000</f>
        <v>5.6418429617867965</v>
      </c>
    </row>
    <row r="172" spans="1:20" x14ac:dyDescent="0.25">
      <c r="A172" s="5">
        <v>44421</v>
      </c>
      <c r="B172">
        <v>3.2829999999999999</v>
      </c>
      <c r="C172">
        <v>3.59</v>
      </c>
      <c r="D172">
        <v>3.2389999999999999</v>
      </c>
      <c r="E172">
        <v>3.5779999999999998</v>
      </c>
      <c r="F172">
        <v>17062407.807</v>
      </c>
      <c r="G172">
        <v>3.5779999999999998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0.93162393162393153</v>
      </c>
      <c r="Q172">
        <f t="shared" ref="Q172" si="836">F172*P172</f>
        <v>15895747.444128204</v>
      </c>
      <c r="R172">
        <f t="shared" ref="R172" si="837">R173+Q172</f>
        <v>565665030.66425669</v>
      </c>
      <c r="S172">
        <f t="shared" ref="S172" si="838">R172/100000</f>
        <v>5656.6503066425666</v>
      </c>
      <c r="T172">
        <f t="shared" ref="T172" si="839">S172/1000</f>
        <v>5.6566503066425664</v>
      </c>
    </row>
    <row r="173" spans="1:20" x14ac:dyDescent="0.25">
      <c r="A173" s="5">
        <v>44420</v>
      </c>
      <c r="B173">
        <v>3.222</v>
      </c>
      <c r="C173">
        <v>3.355</v>
      </c>
      <c r="D173">
        <v>3.004</v>
      </c>
      <c r="E173">
        <v>3.2850000000000001</v>
      </c>
      <c r="F173">
        <v>20102959.691</v>
      </c>
      <c r="G173">
        <v>3.2850000000000001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0.60113960113960208</v>
      </c>
      <c r="Q173">
        <f t="shared" ref="Q173" si="841">F173*P173</f>
        <v>12084685.170373239</v>
      </c>
      <c r="R173">
        <f t="shared" ref="R173" si="842">R174+Q173</f>
        <v>549769283.22012854</v>
      </c>
      <c r="S173">
        <f t="shared" ref="S173" si="843">R173/100000</f>
        <v>5497.6928322012855</v>
      </c>
      <c r="T173">
        <f t="shared" ref="T173" si="844">S173/1000</f>
        <v>5.4976928322012855</v>
      </c>
    </row>
    <row r="174" spans="1:20" x14ac:dyDescent="0.25">
      <c r="A174" s="5">
        <v>44419</v>
      </c>
      <c r="B174">
        <v>3.0590000000000002</v>
      </c>
      <c r="C174">
        <v>3.4220000000000002</v>
      </c>
      <c r="D174">
        <v>3.0369999999999999</v>
      </c>
      <c r="E174">
        <v>3.222</v>
      </c>
      <c r="F174">
        <v>22136597.960999999</v>
      </c>
      <c r="G174">
        <v>3.222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-3.8961038961039259E-2</v>
      </c>
      <c r="Q174">
        <f t="shared" ref="Q174" si="846">F174*P174</f>
        <v>-862464.85562338319</v>
      </c>
      <c r="R174">
        <f t="shared" ref="R174" si="847">R175+Q174</f>
        <v>537684598.04975533</v>
      </c>
      <c r="S174">
        <f t="shared" ref="S174" si="848">R174/100000</f>
        <v>5376.8459804975537</v>
      </c>
      <c r="T174">
        <f t="shared" ref="T174" si="849">S174/1000</f>
        <v>5.3768459804975537</v>
      </c>
    </row>
    <row r="175" spans="1:20" x14ac:dyDescent="0.25">
      <c r="A175" s="5">
        <v>44418</v>
      </c>
      <c r="B175">
        <v>2.9689999999999999</v>
      </c>
      <c r="C175">
        <v>3.1309999999999998</v>
      </c>
      <c r="D175">
        <v>2.8679999999999999</v>
      </c>
      <c r="E175">
        <v>3.0579999999999998</v>
      </c>
      <c r="F175">
        <v>24058211.024</v>
      </c>
      <c r="G175">
        <v>3.0579999999999998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0.44486692015209139</v>
      </c>
      <c r="Q175">
        <f t="shared" ref="Q175" si="851">F175*P175</f>
        <v>10702702.242615974</v>
      </c>
      <c r="R175">
        <f t="shared" ref="R175" si="852">R176+Q175</f>
        <v>538547062.9053787</v>
      </c>
      <c r="S175">
        <f t="shared" ref="S175" si="853">R175/100000</f>
        <v>5385.470629053787</v>
      </c>
      <c r="T175">
        <f t="shared" ref="T175" si="854">S175/1000</f>
        <v>5.3854706290537866</v>
      </c>
    </row>
    <row r="176" spans="1:20" x14ac:dyDescent="0.25">
      <c r="A176" s="5">
        <v>44417</v>
      </c>
      <c r="B176">
        <v>2.4710000000000001</v>
      </c>
      <c r="C176">
        <v>3.07</v>
      </c>
      <c r="D176">
        <v>2.4260000000000002</v>
      </c>
      <c r="E176">
        <v>2.9710000000000001</v>
      </c>
      <c r="F176">
        <v>40892362.976999998</v>
      </c>
      <c r="G176">
        <v>2.9710000000000001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0.69254658385093226</v>
      </c>
      <c r="Q176">
        <f t="shared" ref="Q176" si="856">F176*P176</f>
        <v>28319866.285313688</v>
      </c>
      <c r="R176">
        <f t="shared" ref="R176" si="857">R177+Q176</f>
        <v>527844360.66276276</v>
      </c>
      <c r="S176">
        <f t="shared" ref="S176" si="858">R176/100000</f>
        <v>5278.4436066276276</v>
      </c>
      <c r="T176">
        <f t="shared" ref="T176" si="859">S176/1000</f>
        <v>5.2784436066276275</v>
      </c>
    </row>
    <row r="177" spans="1:20" x14ac:dyDescent="0.25">
      <c r="A177" s="5">
        <v>44416</v>
      </c>
      <c r="B177">
        <v>2.617</v>
      </c>
      <c r="C177">
        <v>2.6619999999999999</v>
      </c>
      <c r="D177">
        <v>2.4140000000000001</v>
      </c>
      <c r="E177">
        <v>2.472</v>
      </c>
      <c r="F177">
        <v>18578873.699000001</v>
      </c>
      <c r="G177">
        <v>2.472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-0.53225806451613</v>
      </c>
      <c r="Q177">
        <f t="shared" ref="Q177" si="861">F177*P177</f>
        <v>-9888755.3559193742</v>
      </c>
      <c r="R177">
        <f t="shared" ref="R177" si="862">R178+Q177</f>
        <v>499524494.3774491</v>
      </c>
      <c r="S177">
        <f t="shared" ref="S177" si="863">R177/100000</f>
        <v>4995.2449437744908</v>
      </c>
      <c r="T177">
        <f t="shared" ref="T177" si="864">S177/1000</f>
        <v>4.995244943774491</v>
      </c>
    </row>
    <row r="178" spans="1:20" x14ac:dyDescent="0.25">
      <c r="A178" s="5">
        <v>44415</v>
      </c>
      <c r="B178">
        <v>2.5819999999999999</v>
      </c>
      <c r="C178">
        <v>2.6930000000000001</v>
      </c>
      <c r="D178">
        <v>2.5249999999999999</v>
      </c>
      <c r="E178">
        <v>2.6150000000000002</v>
      </c>
      <c r="F178">
        <v>23860364.284000002</v>
      </c>
      <c r="G178">
        <v>2.6150000000000002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7.1428571428574075E-2</v>
      </c>
      <c r="Q178">
        <f t="shared" ref="Q178" si="866">F178*P178</f>
        <v>1704311.7345714918</v>
      </c>
      <c r="R178">
        <f t="shared" ref="R178" si="867">R179+Q178</f>
        <v>509413249.73336846</v>
      </c>
      <c r="S178">
        <f t="shared" ref="S178" si="868">R178/100000</f>
        <v>5094.1324973336841</v>
      </c>
      <c r="T178">
        <f t="shared" ref="T178" si="869">S178/1000</f>
        <v>5.0941324973336837</v>
      </c>
    </row>
    <row r="179" spans="1:20" x14ac:dyDescent="0.25">
      <c r="A179" s="5">
        <v>44414</v>
      </c>
      <c r="B179">
        <v>2.3410000000000002</v>
      </c>
      <c r="C179">
        <v>2.637</v>
      </c>
      <c r="D179">
        <v>2.2999999999999998</v>
      </c>
      <c r="E179">
        <v>2.581</v>
      </c>
      <c r="F179">
        <v>24013658.506000001</v>
      </c>
      <c r="G179">
        <v>2.581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0.66765578635014822</v>
      </c>
      <c r="Q179">
        <f t="shared" ref="Q179" si="871">F179*P179</f>
        <v>16032858.052967357</v>
      </c>
      <c r="R179">
        <f t="shared" ref="R179" si="872">R180+Q179</f>
        <v>507708937.99879694</v>
      </c>
      <c r="S179">
        <f t="shared" ref="S179" si="873">R179/100000</f>
        <v>5077.0893799879696</v>
      </c>
      <c r="T179">
        <f t="shared" ref="T179" si="874">S179/1000</f>
        <v>5.0770893799879699</v>
      </c>
    </row>
    <row r="180" spans="1:20" x14ac:dyDescent="0.25">
      <c r="A180" s="5">
        <v>44413</v>
      </c>
      <c r="B180">
        <v>2.286</v>
      </c>
      <c r="C180">
        <v>2.38</v>
      </c>
      <c r="D180">
        <v>2.234</v>
      </c>
      <c r="E180">
        <v>2.3410000000000002</v>
      </c>
      <c r="F180">
        <v>17994714.210999999</v>
      </c>
      <c r="G180">
        <v>2.3410000000000002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0.465753424657538</v>
      </c>
      <c r="Q180">
        <f t="shared" ref="Q180" si="876">F180*P180</f>
        <v>8381099.7695069164</v>
      </c>
      <c r="R180">
        <f t="shared" ref="R180" si="877">R181+Q180</f>
        <v>491676079.94582957</v>
      </c>
      <c r="S180">
        <f t="shared" ref="S180" si="878">R180/100000</f>
        <v>4916.7607994582959</v>
      </c>
      <c r="T180">
        <f t="shared" ref="T180" si="879">S180/1000</f>
        <v>4.916760799458296</v>
      </c>
    </row>
    <row r="181" spans="1:20" x14ac:dyDescent="0.25">
      <c r="A181" s="5">
        <v>44412</v>
      </c>
      <c r="B181">
        <v>2.17</v>
      </c>
      <c r="C181">
        <v>2.3250000000000002</v>
      </c>
      <c r="D181">
        <v>2.1339999999999999</v>
      </c>
      <c r="E181">
        <v>2.286</v>
      </c>
      <c r="F181">
        <v>12961549.309</v>
      </c>
      <c r="G181">
        <v>2.286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0.59162303664921378</v>
      </c>
      <c r="Q181">
        <f t="shared" ref="Q181" si="881">F181*P181</f>
        <v>7668351.1618690984</v>
      </c>
      <c r="R181">
        <f t="shared" ref="R181" si="882">R182+Q181</f>
        <v>483294980.17632264</v>
      </c>
      <c r="S181">
        <f t="shared" ref="S181" si="883">R181/100000</f>
        <v>4832.9498017632268</v>
      </c>
      <c r="T181">
        <f t="shared" ref="T181" si="884">S181/1000</f>
        <v>4.8329498017632266</v>
      </c>
    </row>
    <row r="182" spans="1:20" x14ac:dyDescent="0.25">
      <c r="A182" s="5">
        <v>44411</v>
      </c>
      <c r="B182">
        <v>2.2290000000000001</v>
      </c>
      <c r="C182">
        <v>2.2480000000000002</v>
      </c>
      <c r="D182">
        <v>2.09</v>
      </c>
      <c r="E182">
        <v>2.17</v>
      </c>
      <c r="F182">
        <v>15642891.914000001</v>
      </c>
      <c r="G182">
        <v>2.17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1.2658227848099843E-2</v>
      </c>
      <c r="Q182">
        <f t="shared" ref="Q182" si="886">F182*P182</f>
        <v>198011.29005061067</v>
      </c>
      <c r="R182">
        <f t="shared" ref="R182" si="887">R183+Q182</f>
        <v>475626629.01445353</v>
      </c>
      <c r="S182">
        <f t="shared" ref="S182" si="888">R182/100000</f>
        <v>4756.2662901445356</v>
      </c>
      <c r="T182">
        <f t="shared" ref="T182" si="889">S182/1000</f>
        <v>4.7562662901445352</v>
      </c>
    </row>
    <row r="183" spans="1:20" x14ac:dyDescent="0.25">
      <c r="A183" s="5">
        <v>44410</v>
      </c>
      <c r="B183">
        <v>2.1</v>
      </c>
      <c r="C183">
        <v>2.5190000000000001</v>
      </c>
      <c r="D183">
        <v>2.1</v>
      </c>
      <c r="E183">
        <v>2.2290000000000001</v>
      </c>
      <c r="F183">
        <v>38577635.784999996</v>
      </c>
      <c r="G183">
        <v>2.2290000000000001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-0.38424821002386639</v>
      </c>
      <c r="Q183">
        <f t="shared" ref="Q183" si="891">F183*P183</f>
        <v>-14823387.497338902</v>
      </c>
      <c r="R183">
        <f t="shared" ref="R183" si="892">R184+Q183</f>
        <v>475428617.7244029</v>
      </c>
      <c r="S183">
        <f t="shared" ref="S183" si="893">R183/100000</f>
        <v>4754.2861772440292</v>
      </c>
      <c r="T183">
        <f t="shared" ref="T183" si="894">S183/1000</f>
        <v>4.7542861772440288</v>
      </c>
    </row>
    <row r="184" spans="1:20" x14ac:dyDescent="0.25">
      <c r="A184" s="5">
        <v>44409</v>
      </c>
      <c r="B184">
        <v>2.1539999999999999</v>
      </c>
      <c r="C184">
        <v>2.2869999999999999</v>
      </c>
      <c r="D184">
        <v>2.0649999999999999</v>
      </c>
      <c r="E184">
        <v>2.0990000000000002</v>
      </c>
      <c r="F184">
        <v>19132846.697999999</v>
      </c>
      <c r="G184">
        <v>2.0990000000000002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-0.69369369369369138</v>
      </c>
      <c r="Q184">
        <f t="shared" ref="Q184" si="896">F184*P184</f>
        <v>-13272335.096810766</v>
      </c>
      <c r="R184">
        <f t="shared" ref="R184" si="897">R185+Q184</f>
        <v>490252005.2217418</v>
      </c>
      <c r="S184">
        <f t="shared" ref="S184" si="898">R184/100000</f>
        <v>4902.5200522174182</v>
      </c>
      <c r="T184">
        <f t="shared" ref="T184" si="899">S184/1000</f>
        <v>4.9025200522174179</v>
      </c>
    </row>
    <row r="185" spans="1:20" x14ac:dyDescent="0.25">
      <c r="A185" s="5">
        <v>44408</v>
      </c>
      <c r="B185">
        <v>2.056</v>
      </c>
      <c r="C185">
        <v>2.2069999999999999</v>
      </c>
      <c r="D185">
        <v>1.9970000000000001</v>
      </c>
      <c r="E185">
        <v>2.1539999999999999</v>
      </c>
      <c r="F185">
        <v>20050420.388</v>
      </c>
      <c r="G185">
        <v>2.1539999999999999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0.49523809523809526</v>
      </c>
      <c r="Q185">
        <f t="shared" ref="Q185" si="901">F185*P185</f>
        <v>9929732.0016761906</v>
      </c>
      <c r="R185">
        <f t="shared" ref="R185" si="902">R186+Q185</f>
        <v>503524340.31855255</v>
      </c>
      <c r="S185">
        <f t="shared" ref="S185" si="903">R185/100000</f>
        <v>5035.2434031855255</v>
      </c>
      <c r="T185">
        <f t="shared" ref="T185" si="904">S185/1000</f>
        <v>5.0352434031855253</v>
      </c>
    </row>
    <row r="186" spans="1:20" x14ac:dyDescent="0.25">
      <c r="A186" s="5">
        <v>44407</v>
      </c>
      <c r="B186">
        <v>1.9950000000000001</v>
      </c>
      <c r="C186">
        <v>2.0640000000000001</v>
      </c>
      <c r="D186">
        <v>1.8680000000000001</v>
      </c>
      <c r="E186">
        <v>2.056</v>
      </c>
      <c r="F186">
        <v>20296856.541999999</v>
      </c>
      <c r="G186">
        <v>2.056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0.91836734693877542</v>
      </c>
      <c r="Q186">
        <f t="shared" ref="Q186" si="906">F186*P186</f>
        <v>18639970.293673467</v>
      </c>
      <c r="R186">
        <f t="shared" ref="R186" si="907">R187+Q186</f>
        <v>493594608.31687635</v>
      </c>
      <c r="S186">
        <f t="shared" ref="S186" si="908">R186/100000</f>
        <v>4935.9460831687638</v>
      </c>
      <c r="T186">
        <f t="shared" ref="T186" si="909">S186/1000</f>
        <v>4.9359460831687638</v>
      </c>
    </row>
    <row r="187" spans="1:20" x14ac:dyDescent="0.25">
      <c r="A187" s="5">
        <v>44406</v>
      </c>
      <c r="B187">
        <v>1.8169999999999999</v>
      </c>
      <c r="C187">
        <v>2.0449999999999999</v>
      </c>
      <c r="D187">
        <v>1.778</v>
      </c>
      <c r="E187">
        <v>1.9950000000000001</v>
      </c>
      <c r="F187">
        <v>30017276.237</v>
      </c>
      <c r="G187">
        <v>1.9950000000000001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0.62546816479400869</v>
      </c>
      <c r="Q187">
        <f t="shared" ref="Q187" si="911">F187*P187</f>
        <v>18774850.680071197</v>
      </c>
      <c r="R187">
        <f t="shared" ref="R187" si="912">R188+Q187</f>
        <v>474954638.0232029</v>
      </c>
      <c r="S187">
        <f t="shared" ref="S187" si="913">R187/100000</f>
        <v>4749.5463802320292</v>
      </c>
      <c r="T187">
        <f t="shared" ref="T187" si="914">S187/1000</f>
        <v>4.7495463802320295</v>
      </c>
    </row>
    <row r="188" spans="1:20" x14ac:dyDescent="0.25">
      <c r="A188" s="5">
        <v>44405</v>
      </c>
      <c r="B188">
        <v>1.764</v>
      </c>
      <c r="C188">
        <v>1.861</v>
      </c>
      <c r="D188">
        <v>1.724</v>
      </c>
      <c r="E188">
        <v>1.8169999999999999</v>
      </c>
      <c r="F188">
        <v>25494902.228999998</v>
      </c>
      <c r="G188">
        <v>1.8169999999999999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0.35766423357664179</v>
      </c>
      <c r="Q188">
        <f t="shared" ref="Q188" si="916">F188*P188</f>
        <v>9118614.6658467017</v>
      </c>
      <c r="R188">
        <f t="shared" ref="R188" si="917">R189+Q188</f>
        <v>456179787.34313172</v>
      </c>
      <c r="S188">
        <f t="shared" ref="S188" si="918">R188/100000</f>
        <v>4561.7978734313174</v>
      </c>
      <c r="T188">
        <f t="shared" ref="T188" si="919">S188/1000</f>
        <v>4.5617978734313178</v>
      </c>
    </row>
    <row r="189" spans="1:20" x14ac:dyDescent="0.25">
      <c r="A189" s="5">
        <v>44404</v>
      </c>
      <c r="B189">
        <v>1.675</v>
      </c>
      <c r="C189">
        <v>1.778</v>
      </c>
      <c r="D189">
        <v>1.63</v>
      </c>
      <c r="E189">
        <v>1.764</v>
      </c>
      <c r="F189">
        <v>22559422.07</v>
      </c>
      <c r="G189">
        <v>1.764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0.81081081081081086</v>
      </c>
      <c r="Q189">
        <f t="shared" ref="Q189" si="921">F189*P189</f>
        <v>18291423.300000001</v>
      </c>
      <c r="R189">
        <f t="shared" ref="R189" si="922">R190+Q189</f>
        <v>447061172.67728502</v>
      </c>
      <c r="S189">
        <f t="shared" ref="S189" si="923">R189/100000</f>
        <v>4470.6117267728505</v>
      </c>
      <c r="T189">
        <f t="shared" ref="T189" si="924">S189/1000</f>
        <v>4.4706117267728507</v>
      </c>
    </row>
    <row r="190" spans="1:20" x14ac:dyDescent="0.25">
      <c r="A190" s="5">
        <v>44403</v>
      </c>
      <c r="B190">
        <v>1.641</v>
      </c>
      <c r="C190">
        <v>1.845</v>
      </c>
      <c r="D190">
        <v>1.6259999999999999</v>
      </c>
      <c r="E190">
        <v>1.675</v>
      </c>
      <c r="F190">
        <v>35961520.417000003</v>
      </c>
      <c r="G190">
        <v>1.675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-0.55251141552511296</v>
      </c>
      <c r="Q190">
        <f t="shared" ref="Q190" si="926">F190*P190</f>
        <v>-19869150.550031923</v>
      </c>
      <c r="R190">
        <f t="shared" ref="R190" si="927">R191+Q190</f>
        <v>428769749.377285</v>
      </c>
      <c r="S190">
        <f t="shared" ref="S190" si="928">R190/100000</f>
        <v>4287.6974937728501</v>
      </c>
      <c r="T190">
        <f t="shared" ref="T190" si="929">S190/1000</f>
        <v>4.2876974937728498</v>
      </c>
    </row>
    <row r="191" spans="1:20" x14ac:dyDescent="0.25">
      <c r="A191" s="5">
        <v>44402</v>
      </c>
      <c r="B191">
        <v>1.63</v>
      </c>
      <c r="C191">
        <v>1.65</v>
      </c>
      <c r="D191">
        <v>1.5549999999999999</v>
      </c>
      <c r="E191">
        <v>1.64</v>
      </c>
      <c r="F191">
        <v>12836293.780999999</v>
      </c>
      <c r="G191">
        <v>1.64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0.78947368421052611</v>
      </c>
      <c r="Q191">
        <f t="shared" ref="Q191" si="931">F191*P191</f>
        <v>10133916.142894734</v>
      </c>
      <c r="R191">
        <f t="shared" ref="R191" si="932">R192+Q191</f>
        <v>448638899.9273169</v>
      </c>
      <c r="S191">
        <f t="shared" ref="S191" si="933">R191/100000</f>
        <v>4486.3889992731692</v>
      </c>
      <c r="T191">
        <f t="shared" ref="T191:T197" si="934">S191/1000</f>
        <v>4.4863889992731689</v>
      </c>
    </row>
    <row r="192" spans="1:20" x14ac:dyDescent="0.25">
      <c r="A192" s="5">
        <v>44401</v>
      </c>
      <c r="B192">
        <v>1.59</v>
      </c>
      <c r="C192">
        <v>1.677</v>
      </c>
      <c r="D192">
        <v>1.57</v>
      </c>
      <c r="E192">
        <v>1.63</v>
      </c>
      <c r="F192">
        <v>19404317.98</v>
      </c>
      <c r="G192">
        <v>1.63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0.12149532710280075</v>
      </c>
      <c r="Q192">
        <f t="shared" ref="Q192" si="936">F192*P192</f>
        <v>2357533.9601868582</v>
      </c>
      <c r="R192">
        <f t="shared" ref="R192" si="937">R193+Q192</f>
        <v>438504983.78442216</v>
      </c>
      <c r="S192">
        <f t="shared" ref="S192" si="938">R192/100000</f>
        <v>4385.0498378442217</v>
      </c>
      <c r="T192">
        <f t="shared" si="934"/>
        <v>4.385049837844222</v>
      </c>
    </row>
    <row r="193" spans="1:20" x14ac:dyDescent="0.25">
      <c r="A193" s="5">
        <v>44400</v>
      </c>
      <c r="B193">
        <v>1.552</v>
      </c>
      <c r="C193">
        <v>1.597</v>
      </c>
      <c r="D193">
        <v>1.4930000000000001</v>
      </c>
      <c r="E193">
        <v>1.59</v>
      </c>
      <c r="F193">
        <v>20251835.379000001</v>
      </c>
      <c r="G193">
        <v>1.59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0.8653846153846172</v>
      </c>
      <c r="Q193">
        <f t="shared" ref="Q193" si="940">F193*P193</f>
        <v>17525626.770288497</v>
      </c>
      <c r="R193">
        <f t="shared" ref="R193" si="941">R194+Q193</f>
        <v>436147449.82423532</v>
      </c>
      <c r="S193">
        <f t="shared" ref="S193" si="942">R193/100000</f>
        <v>4361.4744982423535</v>
      </c>
      <c r="T193">
        <f t="shared" si="934"/>
        <v>4.3614744982423534</v>
      </c>
    </row>
    <row r="194" spans="1:20" x14ac:dyDescent="0.25">
      <c r="A194" s="5">
        <v>44399</v>
      </c>
      <c r="B194">
        <v>1.5289999999999999</v>
      </c>
      <c r="C194">
        <v>1.5680000000000001</v>
      </c>
      <c r="D194">
        <v>1.4930000000000001</v>
      </c>
      <c r="E194">
        <v>1.552</v>
      </c>
      <c r="F194">
        <v>20713719.583999999</v>
      </c>
      <c r="G194">
        <v>1.552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0.5733333333333327</v>
      </c>
      <c r="Q194">
        <f t="shared" ref="Q194" si="944">F194*P194</f>
        <v>11875865.894826652</v>
      </c>
      <c r="R194">
        <f t="shared" ref="R194" si="945">R195+Q194</f>
        <v>418621823.05394679</v>
      </c>
      <c r="S194">
        <f t="shared" ref="S194" si="946">R194/100000</f>
        <v>4186.2182305394681</v>
      </c>
      <c r="T194">
        <f t="shared" si="934"/>
        <v>4.1862182305394677</v>
      </c>
    </row>
    <row r="195" spans="1:20" x14ac:dyDescent="0.25">
      <c r="A195" s="5">
        <v>44398</v>
      </c>
      <c r="B195">
        <v>1.43</v>
      </c>
      <c r="C195">
        <v>1.5860000000000001</v>
      </c>
      <c r="D195">
        <v>1.3680000000000001</v>
      </c>
      <c r="E195">
        <v>1.5289999999999999</v>
      </c>
      <c r="F195">
        <v>25914904.541999999</v>
      </c>
      <c r="G195">
        <v>1.5289999999999999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0.47706422018348471</v>
      </c>
      <c r="Q195">
        <f t="shared" ref="Q195" si="948">F195*P195</f>
        <v>12363073.726458676</v>
      </c>
      <c r="R195">
        <f t="shared" ref="R195" si="949">R196+Q195</f>
        <v>406745957.15912014</v>
      </c>
      <c r="S195">
        <f t="shared" ref="S195" si="950">R195/100000</f>
        <v>4067.4595715912014</v>
      </c>
      <c r="T195">
        <f t="shared" si="934"/>
        <v>4.0674595715912014</v>
      </c>
    </row>
    <row r="196" spans="1:20" x14ac:dyDescent="0.25">
      <c r="A196" s="5">
        <v>44397</v>
      </c>
      <c r="B196">
        <v>1.554</v>
      </c>
      <c r="C196">
        <v>1.575</v>
      </c>
      <c r="D196">
        <v>1.3979999999999999</v>
      </c>
      <c r="E196">
        <v>1.43</v>
      </c>
      <c r="F196">
        <v>26733824.039000001</v>
      </c>
      <c r="G196">
        <v>1.43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-0.63841807909604498</v>
      </c>
      <c r="Q196">
        <f t="shared" ref="Q196" si="952">F196*P196</f>
        <v>-17067356.589870051</v>
      </c>
      <c r="R196">
        <f t="shared" ref="R196" si="953">R197+Q196</f>
        <v>394382883.43266147</v>
      </c>
      <c r="S196">
        <f t="shared" ref="S196" si="954">R196/100000</f>
        <v>3943.8288343266149</v>
      </c>
      <c r="T196">
        <f t="shared" si="934"/>
        <v>3.9438288343266148</v>
      </c>
    </row>
    <row r="197" spans="1:20" x14ac:dyDescent="0.25">
      <c r="A197" s="5">
        <v>44396</v>
      </c>
      <c r="B197">
        <v>1.7090000000000001</v>
      </c>
      <c r="C197">
        <v>1.7170000000000001</v>
      </c>
      <c r="D197">
        <v>1.5429999999999999</v>
      </c>
      <c r="E197">
        <v>1.554</v>
      </c>
      <c r="F197">
        <v>17583591.050999999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-0.87356321839080331</v>
      </c>
      <c r="Q197">
        <f t="shared" ref="Q197" si="956">F197*P197</f>
        <v>-15360378.389379287</v>
      </c>
      <c r="R197">
        <f t="shared" ref="R197" si="957">R198+Q197</f>
        <v>411450240.02253151</v>
      </c>
      <c r="S197">
        <f t="shared" ref="S197" si="958">R197/100000</f>
        <v>4114.5024002253149</v>
      </c>
      <c r="T197">
        <f t="shared" si="934"/>
        <v>4.114502400225315</v>
      </c>
    </row>
    <row r="198" spans="1:20" x14ac:dyDescent="0.25">
      <c r="A198" s="5">
        <v>44395</v>
      </c>
      <c r="B198">
        <v>1.677</v>
      </c>
      <c r="C198">
        <v>1.74</v>
      </c>
      <c r="D198">
        <v>1.6719999999999999</v>
      </c>
      <c r="E198">
        <v>1.7090000000000001</v>
      </c>
      <c r="F198">
        <v>7481261.8169999998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8.8235294117650326E-2</v>
      </c>
      <c r="Q198">
        <f t="shared" ref="Q198:Q261" si="960">F198*P198</f>
        <v>660111.33679414203</v>
      </c>
      <c r="R198">
        <f t="shared" ref="R198:R261" si="961">R199+Q198</f>
        <v>426810618.41191077</v>
      </c>
      <c r="S198">
        <f t="shared" ref="S198:S261" si="962">R198/100000</f>
        <v>4268.1061841191076</v>
      </c>
      <c r="T198">
        <f t="shared" ref="T198:T261" si="963">S198/1000</f>
        <v>4.2681061841191079</v>
      </c>
    </row>
    <row r="199" spans="1:20" x14ac:dyDescent="0.25">
      <c r="A199" s="5">
        <v>44394</v>
      </c>
      <c r="B199">
        <v>1.6559999999999999</v>
      </c>
      <c r="C199">
        <v>1.7130000000000001</v>
      </c>
      <c r="D199">
        <v>1.627</v>
      </c>
      <c r="E199">
        <v>1.677</v>
      </c>
      <c r="F199">
        <v>10326005.645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0.16279069767441862</v>
      </c>
      <c r="Q199">
        <f t="shared" si="960"/>
        <v>1680977.6631395349</v>
      </c>
      <c r="R199">
        <f t="shared" si="961"/>
        <v>426150507.07511663</v>
      </c>
      <c r="S199">
        <f t="shared" si="962"/>
        <v>4261.5050707511664</v>
      </c>
      <c r="T199">
        <f t="shared" si="963"/>
        <v>4.2615050707511664</v>
      </c>
    </row>
    <row r="200" spans="1:20" x14ac:dyDescent="0.25">
      <c r="A200" s="5">
        <v>44393</v>
      </c>
      <c r="B200">
        <v>1.732</v>
      </c>
      <c r="C200">
        <v>1.77</v>
      </c>
      <c r="D200">
        <v>1.635</v>
      </c>
      <c r="E200">
        <v>1.6559999999999999</v>
      </c>
      <c r="F200">
        <v>13327705.947000001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-0.68888888888889033</v>
      </c>
      <c r="Q200">
        <f t="shared" si="960"/>
        <v>-9181308.5412666854</v>
      </c>
      <c r="R200">
        <f t="shared" si="961"/>
        <v>424469529.41197711</v>
      </c>
      <c r="S200">
        <f t="shared" si="962"/>
        <v>4244.6952941197715</v>
      </c>
      <c r="T200">
        <f t="shared" si="963"/>
        <v>4.2446952941197713</v>
      </c>
    </row>
    <row r="201" spans="1:20" x14ac:dyDescent="0.25">
      <c r="A201" s="5">
        <v>44392</v>
      </c>
      <c r="B201">
        <v>1.829</v>
      </c>
      <c r="C201">
        <v>1.85</v>
      </c>
      <c r="D201">
        <v>1.704</v>
      </c>
      <c r="E201">
        <v>1.7310000000000001</v>
      </c>
      <c r="F201">
        <v>15800497.823000001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-0.63013698630136838</v>
      </c>
      <c r="Q201">
        <f t="shared" si="960"/>
        <v>-9956478.0802465528</v>
      </c>
      <c r="R201">
        <f t="shared" si="961"/>
        <v>433650837.95324379</v>
      </c>
      <c r="S201">
        <f t="shared" si="962"/>
        <v>4336.5083795324381</v>
      </c>
      <c r="T201">
        <f t="shared" si="963"/>
        <v>4.3365083795324377</v>
      </c>
    </row>
    <row r="202" spans="1:20" x14ac:dyDescent="0.25">
      <c r="A202" s="5">
        <v>44391</v>
      </c>
      <c r="B202">
        <v>1.833</v>
      </c>
      <c r="C202">
        <v>1.8480000000000001</v>
      </c>
      <c r="D202">
        <v>1.7250000000000001</v>
      </c>
      <c r="E202">
        <v>1.831</v>
      </c>
      <c r="F202">
        <v>11915816.026000001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0.72357723577235566</v>
      </c>
      <c r="Q202">
        <f t="shared" si="960"/>
        <v>8622013.2220650166</v>
      </c>
      <c r="R202">
        <f t="shared" si="961"/>
        <v>443607316.03349036</v>
      </c>
      <c r="S202">
        <f t="shared" si="962"/>
        <v>4436.0731603349032</v>
      </c>
      <c r="T202">
        <f t="shared" si="963"/>
        <v>4.4360731603349031</v>
      </c>
    </row>
    <row r="203" spans="1:20" x14ac:dyDescent="0.25">
      <c r="A203" s="5">
        <v>44390</v>
      </c>
      <c r="B203">
        <v>1.9039999999999999</v>
      </c>
      <c r="C203">
        <v>1.911</v>
      </c>
      <c r="D203">
        <v>1.7909999999999999</v>
      </c>
      <c r="E203">
        <v>1.8320000000000001</v>
      </c>
      <c r="F203">
        <v>12022935.556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-0.31666666666666482</v>
      </c>
      <c r="Q203">
        <f t="shared" si="960"/>
        <v>-3807262.9260666445</v>
      </c>
      <c r="R203">
        <f t="shared" si="961"/>
        <v>434985302.81142533</v>
      </c>
      <c r="S203">
        <f t="shared" si="962"/>
        <v>4349.853028114253</v>
      </c>
      <c r="T203">
        <f t="shared" si="963"/>
        <v>4.3498530281142527</v>
      </c>
    </row>
    <row r="204" spans="1:20" x14ac:dyDescent="0.25">
      <c r="A204" s="5">
        <v>44389</v>
      </c>
      <c r="B204">
        <v>1.952</v>
      </c>
      <c r="C204">
        <v>1.974</v>
      </c>
      <c r="D204">
        <v>1.861</v>
      </c>
      <c r="E204">
        <v>1.9039999999999999</v>
      </c>
      <c r="F204">
        <v>10062226.651000001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-0.23893805309734634</v>
      </c>
      <c r="Q204">
        <f t="shared" si="960"/>
        <v>-2404248.8458141717</v>
      </c>
      <c r="R204">
        <f t="shared" si="961"/>
        <v>438792565.73749197</v>
      </c>
      <c r="S204">
        <f t="shared" si="962"/>
        <v>4387.9256573749199</v>
      </c>
      <c r="T204">
        <f t="shared" si="963"/>
        <v>4.3879256573749199</v>
      </c>
    </row>
    <row r="205" spans="1:20" x14ac:dyDescent="0.25">
      <c r="A205" s="5">
        <v>44388</v>
      </c>
      <c r="B205">
        <v>1.9139999999999999</v>
      </c>
      <c r="C205">
        <v>1.9610000000000001</v>
      </c>
      <c r="D205">
        <v>1.879</v>
      </c>
      <c r="E205">
        <v>1.952</v>
      </c>
      <c r="F205">
        <v>7465630.6610000003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0.78048780487804603</v>
      </c>
      <c r="Q205">
        <f t="shared" si="960"/>
        <v>5826833.6866341261</v>
      </c>
      <c r="R205">
        <f t="shared" si="961"/>
        <v>441196814.58330613</v>
      </c>
      <c r="S205">
        <f t="shared" si="962"/>
        <v>4411.9681458330615</v>
      </c>
      <c r="T205">
        <f t="shared" si="963"/>
        <v>4.4119681458330611</v>
      </c>
    </row>
    <row r="206" spans="1:20" x14ac:dyDescent="0.25">
      <c r="A206" s="5">
        <v>44387</v>
      </c>
      <c r="B206">
        <v>1.948</v>
      </c>
      <c r="C206">
        <v>1.9870000000000001</v>
      </c>
      <c r="D206">
        <v>1.8779999999999999</v>
      </c>
      <c r="E206">
        <v>1.9139999999999999</v>
      </c>
      <c r="F206">
        <v>11601894.296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-0.33944954128440435</v>
      </c>
      <c r="Q206">
        <f t="shared" si="960"/>
        <v>-3938257.6968073472</v>
      </c>
      <c r="R206">
        <f t="shared" si="961"/>
        <v>435369980.89667201</v>
      </c>
      <c r="S206">
        <f t="shared" si="962"/>
        <v>4353.6998089667204</v>
      </c>
      <c r="T206">
        <f t="shared" si="963"/>
        <v>4.35369980896672</v>
      </c>
    </row>
    <row r="207" spans="1:20" x14ac:dyDescent="0.25">
      <c r="A207" s="5">
        <v>44386</v>
      </c>
      <c r="B207">
        <v>1.9330000000000001</v>
      </c>
      <c r="C207">
        <v>2.0059999999999998</v>
      </c>
      <c r="D207">
        <v>1.837</v>
      </c>
      <c r="E207">
        <v>1.9490000000000001</v>
      </c>
      <c r="F207">
        <v>16156076.649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0.32544378698225113</v>
      </c>
      <c r="Q207">
        <f t="shared" si="960"/>
        <v>5257894.7674260773</v>
      </c>
      <c r="R207">
        <f t="shared" si="961"/>
        <v>439308238.59347934</v>
      </c>
      <c r="S207">
        <f t="shared" si="962"/>
        <v>4393.0823859347929</v>
      </c>
      <c r="T207">
        <f t="shared" si="963"/>
        <v>4.3930823859347932</v>
      </c>
    </row>
    <row r="208" spans="1:20" x14ac:dyDescent="0.25">
      <c r="A208" s="5">
        <v>44385</v>
      </c>
      <c r="B208">
        <v>2.0979999999999999</v>
      </c>
      <c r="C208">
        <v>2.1080000000000001</v>
      </c>
      <c r="D208">
        <v>1.901</v>
      </c>
      <c r="E208">
        <v>1.931</v>
      </c>
      <c r="F208">
        <v>21764042.671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-0.71014492753623171</v>
      </c>
      <c r="Q208">
        <f t="shared" si="960"/>
        <v>-15455624.505492751</v>
      </c>
      <c r="R208">
        <f t="shared" si="961"/>
        <v>434050343.82605326</v>
      </c>
      <c r="S208">
        <f t="shared" si="962"/>
        <v>4340.5034382605327</v>
      </c>
      <c r="T208">
        <f t="shared" si="963"/>
        <v>4.3405034382605328</v>
      </c>
    </row>
    <row r="209" spans="1:20" x14ac:dyDescent="0.25">
      <c r="A209" s="5">
        <v>44384</v>
      </c>
      <c r="B209">
        <v>2.0950000000000002</v>
      </c>
      <c r="C209">
        <v>2.21</v>
      </c>
      <c r="D209">
        <v>2.06</v>
      </c>
      <c r="E209">
        <v>2.0979999999999999</v>
      </c>
      <c r="F209">
        <v>23957660.103999998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-0.49333333333333557</v>
      </c>
      <c r="Q209">
        <f t="shared" si="960"/>
        <v>-11819112.317973386</v>
      </c>
      <c r="R209">
        <f t="shared" si="961"/>
        <v>449505968.33154601</v>
      </c>
      <c r="S209">
        <f t="shared" si="962"/>
        <v>4495.0596833154605</v>
      </c>
      <c r="T209">
        <f t="shared" si="963"/>
        <v>4.4950596833154606</v>
      </c>
    </row>
    <row r="210" spans="1:20" x14ac:dyDescent="0.25">
      <c r="A210" s="5">
        <v>44383</v>
      </c>
      <c r="B210">
        <v>1.948</v>
      </c>
      <c r="C210">
        <v>2.129</v>
      </c>
      <c r="D210">
        <v>1.9470000000000001</v>
      </c>
      <c r="E210">
        <v>2.0950000000000002</v>
      </c>
      <c r="F210">
        <v>26943431.204999998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0.62637362637362837</v>
      </c>
      <c r="Q210">
        <f t="shared" si="960"/>
        <v>16876654.710824229</v>
      </c>
      <c r="R210">
        <f t="shared" si="961"/>
        <v>461325080.64951938</v>
      </c>
      <c r="S210">
        <f t="shared" si="962"/>
        <v>4613.2508064951935</v>
      </c>
      <c r="T210">
        <f t="shared" si="963"/>
        <v>4.6132508064951931</v>
      </c>
    </row>
    <row r="211" spans="1:20" x14ac:dyDescent="0.25">
      <c r="A211" s="5">
        <v>44382</v>
      </c>
      <c r="B211">
        <v>2.0209999999999999</v>
      </c>
      <c r="C211">
        <v>2.0350000000000001</v>
      </c>
      <c r="D211">
        <v>1.8919999999999999</v>
      </c>
      <c r="E211">
        <v>1.948</v>
      </c>
      <c r="F211">
        <v>18649206.324000001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-0.21678321678321738</v>
      </c>
      <c r="Q211">
        <f t="shared" si="960"/>
        <v>-4042834.9373706407</v>
      </c>
      <c r="R211">
        <f t="shared" si="961"/>
        <v>444448425.93869513</v>
      </c>
      <c r="S211">
        <f t="shared" si="962"/>
        <v>4444.4842593869516</v>
      </c>
      <c r="T211">
        <f t="shared" si="963"/>
        <v>4.444484259386952</v>
      </c>
    </row>
    <row r="212" spans="1:20" x14ac:dyDescent="0.25">
      <c r="A212" s="5">
        <v>44381</v>
      </c>
      <c r="B212">
        <v>1.9379999999999999</v>
      </c>
      <c r="C212">
        <v>2.0750000000000002</v>
      </c>
      <c r="D212">
        <v>1.903</v>
      </c>
      <c r="E212">
        <v>2.0219999999999998</v>
      </c>
      <c r="F212">
        <v>14934952.198999999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0.38372093023255427</v>
      </c>
      <c r="Q212">
        <f t="shared" si="960"/>
        <v>5730853.7507790113</v>
      </c>
      <c r="R212">
        <f t="shared" si="961"/>
        <v>448491260.87606579</v>
      </c>
      <c r="S212">
        <f t="shared" si="962"/>
        <v>4484.9126087606583</v>
      </c>
      <c r="T212">
        <f t="shared" si="963"/>
        <v>4.4849126087606583</v>
      </c>
    </row>
    <row r="213" spans="1:20" x14ac:dyDescent="0.25">
      <c r="A213" s="5">
        <v>44380</v>
      </c>
      <c r="B213">
        <v>1.887</v>
      </c>
      <c r="C213">
        <v>1.9630000000000001</v>
      </c>
      <c r="D213">
        <v>1.853</v>
      </c>
      <c r="E213">
        <v>1.9379999999999999</v>
      </c>
      <c r="F213">
        <v>11804000.221999999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0.54545454545454342</v>
      </c>
      <c r="Q213">
        <f t="shared" si="960"/>
        <v>6438545.5756363394</v>
      </c>
      <c r="R213">
        <f t="shared" si="961"/>
        <v>442760407.12528676</v>
      </c>
      <c r="S213">
        <f t="shared" si="962"/>
        <v>4427.6040712528675</v>
      </c>
      <c r="T213">
        <f t="shared" si="963"/>
        <v>4.4276040712528673</v>
      </c>
    </row>
    <row r="214" spans="1:20" x14ac:dyDescent="0.25">
      <c r="A214" s="5">
        <v>44379</v>
      </c>
      <c r="B214">
        <v>1.901</v>
      </c>
      <c r="C214">
        <v>1.9350000000000001</v>
      </c>
      <c r="D214">
        <v>1.794</v>
      </c>
      <c r="E214">
        <v>1.887</v>
      </c>
      <c r="F214">
        <v>17627466.697000001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0.31914893617021223</v>
      </c>
      <c r="Q214">
        <f t="shared" si="960"/>
        <v>5625787.2437233953</v>
      </c>
      <c r="R214">
        <f t="shared" si="961"/>
        <v>436321861.54965043</v>
      </c>
      <c r="S214">
        <f t="shared" si="962"/>
        <v>4363.2186154965048</v>
      </c>
      <c r="T214">
        <f t="shared" si="963"/>
        <v>4.3632186154965051</v>
      </c>
    </row>
    <row r="215" spans="1:20" x14ac:dyDescent="0.25">
      <c r="A215" s="5">
        <v>44378</v>
      </c>
      <c r="B215">
        <v>2.0259999999999998</v>
      </c>
      <c r="C215">
        <v>2.028</v>
      </c>
      <c r="D215">
        <v>1.857</v>
      </c>
      <c r="E215">
        <v>1.899</v>
      </c>
      <c r="F215">
        <v>19674287.767999999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-0.5087719298245611</v>
      </c>
      <c r="Q215">
        <f t="shared" si="960"/>
        <v>-10009725.355649116</v>
      </c>
      <c r="R215">
        <f t="shared" si="961"/>
        <v>430696074.30592704</v>
      </c>
      <c r="S215">
        <f t="shared" si="962"/>
        <v>4306.9607430592705</v>
      </c>
      <c r="T215">
        <f t="shared" si="963"/>
        <v>4.3069607430592702</v>
      </c>
    </row>
    <row r="216" spans="1:20" x14ac:dyDescent="0.25">
      <c r="A216" s="5">
        <v>44377</v>
      </c>
      <c r="B216">
        <v>2.0219999999999998</v>
      </c>
      <c r="C216">
        <v>2.085</v>
      </c>
      <c r="D216">
        <v>1.8540000000000001</v>
      </c>
      <c r="E216">
        <v>2.0249999999999999</v>
      </c>
      <c r="F216">
        <v>28924182.147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0.48051948051947979</v>
      </c>
      <c r="Q216">
        <f t="shared" si="960"/>
        <v>13898632.979727251</v>
      </c>
      <c r="R216">
        <f t="shared" si="961"/>
        <v>440705799.66157615</v>
      </c>
      <c r="S216">
        <f t="shared" si="962"/>
        <v>4407.0579966157611</v>
      </c>
      <c r="T216">
        <f t="shared" si="963"/>
        <v>4.4070579966157615</v>
      </c>
    </row>
    <row r="217" spans="1:20" x14ac:dyDescent="0.25">
      <c r="A217" s="5">
        <v>44376</v>
      </c>
      <c r="B217">
        <v>1.895</v>
      </c>
      <c r="C217">
        <v>2.0649999999999999</v>
      </c>
      <c r="D217">
        <v>1.887</v>
      </c>
      <c r="E217">
        <v>2.0209999999999999</v>
      </c>
      <c r="F217">
        <v>28139157.945999999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0.50561797752808924</v>
      </c>
      <c r="Q217">
        <f t="shared" si="960"/>
        <v>14227664.12999998</v>
      </c>
      <c r="R217">
        <f t="shared" si="961"/>
        <v>426807166.68184888</v>
      </c>
      <c r="S217">
        <f t="shared" si="962"/>
        <v>4268.0716668184887</v>
      </c>
      <c r="T217">
        <f t="shared" si="963"/>
        <v>4.2680716668184884</v>
      </c>
    </row>
    <row r="218" spans="1:20" x14ac:dyDescent="0.25">
      <c r="A218" s="5">
        <v>44375</v>
      </c>
      <c r="B218">
        <v>1.867</v>
      </c>
      <c r="C218">
        <v>1.9319999999999999</v>
      </c>
      <c r="D218">
        <v>1.819</v>
      </c>
      <c r="E218">
        <v>1.893</v>
      </c>
      <c r="F218">
        <v>20433947.344000001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0.3097345132743376</v>
      </c>
      <c r="Q218">
        <f t="shared" si="960"/>
        <v>6329098.7348672841</v>
      </c>
      <c r="R218">
        <f t="shared" si="961"/>
        <v>412579502.55184889</v>
      </c>
      <c r="S218">
        <f t="shared" si="962"/>
        <v>4125.7950255184887</v>
      </c>
      <c r="T218">
        <f t="shared" si="963"/>
        <v>4.1257950255184888</v>
      </c>
    </row>
    <row r="219" spans="1:20" x14ac:dyDescent="0.25">
      <c r="A219" s="5">
        <v>44374</v>
      </c>
      <c r="B219">
        <v>1.7430000000000001</v>
      </c>
      <c r="C219">
        <v>1.869</v>
      </c>
      <c r="D219">
        <v>1.718</v>
      </c>
      <c r="E219">
        <v>1.867</v>
      </c>
      <c r="F219">
        <v>26758947.675000001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0.97350993377483441</v>
      </c>
      <c r="Q219">
        <f t="shared" si="960"/>
        <v>26050101.37897351</v>
      </c>
      <c r="R219">
        <f t="shared" si="961"/>
        <v>406250403.81698161</v>
      </c>
      <c r="S219">
        <f t="shared" si="962"/>
        <v>4062.5040381698163</v>
      </c>
      <c r="T219">
        <f t="shared" si="963"/>
        <v>4.0625040381698163</v>
      </c>
    </row>
    <row r="220" spans="1:20" x14ac:dyDescent="0.25">
      <c r="A220" s="5">
        <v>44373</v>
      </c>
      <c r="B220">
        <v>1.7030000000000001</v>
      </c>
      <c r="C220">
        <v>1.786</v>
      </c>
      <c r="D220">
        <v>1.6359999999999999</v>
      </c>
      <c r="E220">
        <v>1.742</v>
      </c>
      <c r="F220">
        <v>28751994.48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0.41333333333333333</v>
      </c>
      <c r="Q220">
        <f t="shared" si="960"/>
        <v>11884157.7184</v>
      </c>
      <c r="R220">
        <f t="shared" si="961"/>
        <v>380200302.43800813</v>
      </c>
      <c r="S220">
        <f t="shared" si="962"/>
        <v>3802.0030243800811</v>
      </c>
      <c r="T220">
        <f t="shared" si="963"/>
        <v>3.8020030243800811</v>
      </c>
    </row>
    <row r="221" spans="1:20" x14ac:dyDescent="0.25">
      <c r="A221" s="5">
        <v>44372</v>
      </c>
      <c r="B221">
        <v>1.9139999999999999</v>
      </c>
      <c r="C221">
        <v>1.944</v>
      </c>
      <c r="D221">
        <v>1.6850000000000001</v>
      </c>
      <c r="E221">
        <v>1.7030000000000001</v>
      </c>
      <c r="F221">
        <v>38609441.971000001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-0.86100386100386084</v>
      </c>
      <c r="Q221">
        <f t="shared" si="960"/>
        <v>-33242878.608235516</v>
      </c>
      <c r="R221">
        <f t="shared" si="961"/>
        <v>368316144.71960813</v>
      </c>
      <c r="S221">
        <f t="shared" si="962"/>
        <v>3683.1614471960811</v>
      </c>
      <c r="T221">
        <f t="shared" si="963"/>
        <v>3.6831614471960812</v>
      </c>
    </row>
    <row r="222" spans="1:20" x14ac:dyDescent="0.25">
      <c r="A222" s="5">
        <v>44371</v>
      </c>
      <c r="B222">
        <v>1.873</v>
      </c>
      <c r="C222">
        <v>1.956</v>
      </c>
      <c r="D222">
        <v>1.7749999999999999</v>
      </c>
      <c r="E222">
        <v>1.913</v>
      </c>
      <c r="F222">
        <v>32446961.703000002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0.52486187845303955</v>
      </c>
      <c r="Q222">
        <f t="shared" si="960"/>
        <v>17030173.269530416</v>
      </c>
      <c r="R222">
        <f t="shared" si="961"/>
        <v>401559023.32784367</v>
      </c>
      <c r="S222">
        <f t="shared" si="962"/>
        <v>4015.5902332784367</v>
      </c>
      <c r="T222">
        <f t="shared" si="963"/>
        <v>4.015590233278437</v>
      </c>
    </row>
    <row r="223" spans="1:20" x14ac:dyDescent="0.25">
      <c r="A223" s="5">
        <v>44370</v>
      </c>
      <c r="B223">
        <v>1.6850000000000001</v>
      </c>
      <c r="C223">
        <v>1.982</v>
      </c>
      <c r="D223">
        <v>1.6120000000000001</v>
      </c>
      <c r="E223">
        <v>1.873</v>
      </c>
      <c r="F223">
        <v>53565941.787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0.41081081081081072</v>
      </c>
      <c r="Q223">
        <f t="shared" si="960"/>
        <v>22005467.977362156</v>
      </c>
      <c r="R223">
        <f t="shared" si="961"/>
        <v>384528850.05831325</v>
      </c>
      <c r="S223">
        <f t="shared" si="962"/>
        <v>3845.2885005831326</v>
      </c>
      <c r="T223">
        <f t="shared" si="963"/>
        <v>3.8452885005831328</v>
      </c>
    </row>
    <row r="224" spans="1:20" x14ac:dyDescent="0.25">
      <c r="A224" s="5">
        <v>44369</v>
      </c>
      <c r="B224">
        <v>1.8280000000000001</v>
      </c>
      <c r="C224">
        <v>1.952</v>
      </c>
      <c r="D224">
        <v>1.45</v>
      </c>
      <c r="E224">
        <v>1.6859999999999999</v>
      </c>
      <c r="F224">
        <v>86294043.072999999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-5.9760956175298856E-2</v>
      </c>
      <c r="Q224">
        <f t="shared" si="960"/>
        <v>-5157014.5262749046</v>
      </c>
      <c r="R224">
        <f t="shared" si="961"/>
        <v>362523382.08095109</v>
      </c>
      <c r="S224">
        <f t="shared" si="962"/>
        <v>3625.2338208095111</v>
      </c>
      <c r="T224">
        <f t="shared" si="963"/>
        <v>3.6252338208095112</v>
      </c>
    </row>
    <row r="225" spans="1:20" x14ac:dyDescent="0.25">
      <c r="A225" s="5">
        <v>44368</v>
      </c>
      <c r="B225">
        <v>2.1970000000000001</v>
      </c>
      <c r="C225">
        <v>2.2240000000000002</v>
      </c>
      <c r="D225">
        <v>1.82</v>
      </c>
      <c r="E225">
        <v>1.8280000000000001</v>
      </c>
      <c r="F225">
        <v>73456819.465000004</v>
      </c>
      <c r="G225">
        <v>0</v>
      </c>
      <c r="L225" t="s">
        <v>7</v>
      </c>
      <c r="M225" t="s">
        <v>7</v>
      </c>
      <c r="N225" t="s">
        <v>8</v>
      </c>
      <c r="P225">
        <f t="shared" si="959"/>
        <v>-0.96039603960396036</v>
      </c>
      <c r="Q225">
        <f t="shared" si="960"/>
        <v>-70547638.496089116</v>
      </c>
      <c r="R225">
        <f t="shared" si="961"/>
        <v>367680396.60722601</v>
      </c>
      <c r="S225">
        <f t="shared" si="962"/>
        <v>3676.8039660722602</v>
      </c>
      <c r="T225">
        <f t="shared" si="963"/>
        <v>3.67680396607226</v>
      </c>
    </row>
    <row r="226" spans="1:20" x14ac:dyDescent="0.25">
      <c r="A226" s="5">
        <v>44367</v>
      </c>
      <c r="B226">
        <v>2.0649999999999999</v>
      </c>
      <c r="C226">
        <v>2.258</v>
      </c>
      <c r="D226">
        <v>1.954</v>
      </c>
      <c r="E226">
        <v>2.1960000000000002</v>
      </c>
      <c r="F226">
        <v>40729060.126000002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0.59210526315789591</v>
      </c>
      <c r="Q226">
        <f t="shared" si="960"/>
        <v>24115890.864078995</v>
      </c>
      <c r="R226">
        <f t="shared" si="961"/>
        <v>438228035.10331511</v>
      </c>
      <c r="S226">
        <f t="shared" si="962"/>
        <v>4382.2803510331514</v>
      </c>
      <c r="T226">
        <f t="shared" si="963"/>
        <v>4.3822803510331516</v>
      </c>
    </row>
    <row r="227" spans="1:20" x14ac:dyDescent="0.25">
      <c r="A227" s="5">
        <v>44366</v>
      </c>
      <c r="B227">
        <v>2.0640000000000001</v>
      </c>
      <c r="C227">
        <v>2.2850000000000001</v>
      </c>
      <c r="D227">
        <v>2.0139999999999998</v>
      </c>
      <c r="E227">
        <v>2.0649999999999999</v>
      </c>
      <c r="F227">
        <v>37265381.523999996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-0.62361623616236095</v>
      </c>
      <c r="Q227">
        <f t="shared" si="960"/>
        <v>-23239296.965151265</v>
      </c>
      <c r="R227">
        <f t="shared" si="961"/>
        <v>414112144.23923612</v>
      </c>
      <c r="S227">
        <f t="shared" si="962"/>
        <v>4141.1214423923611</v>
      </c>
      <c r="T227">
        <f t="shared" si="963"/>
        <v>4.141121442392361</v>
      </c>
    </row>
    <row r="228" spans="1:20" x14ac:dyDescent="0.25">
      <c r="A228" s="5">
        <v>44365</v>
      </c>
      <c r="B228">
        <v>2.23</v>
      </c>
      <c r="C228">
        <v>2.2309999999999999</v>
      </c>
      <c r="D228">
        <v>1.931</v>
      </c>
      <c r="E228">
        <v>2.0640000000000001</v>
      </c>
      <c r="F228">
        <v>35862124.006999999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-0.11333333333333276</v>
      </c>
      <c r="Q228">
        <f t="shared" si="960"/>
        <v>-4064374.0541266459</v>
      </c>
      <c r="R228">
        <f t="shared" si="961"/>
        <v>437351441.20438737</v>
      </c>
      <c r="S228">
        <f t="shared" si="962"/>
        <v>4373.5144120438736</v>
      </c>
      <c r="T228">
        <f t="shared" si="963"/>
        <v>4.3735144120438738</v>
      </c>
    </row>
    <row r="229" spans="1:20" x14ac:dyDescent="0.25">
      <c r="A229" s="5">
        <v>44364</v>
      </c>
      <c r="B229">
        <v>2.3239999999999998</v>
      </c>
      <c r="C229">
        <v>2.3730000000000002</v>
      </c>
      <c r="D229">
        <v>2.1389999999999998</v>
      </c>
      <c r="E229">
        <v>2.23</v>
      </c>
      <c r="F229">
        <v>33400988.258000001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-0.22222222222222202</v>
      </c>
      <c r="Q229">
        <f t="shared" si="960"/>
        <v>-7422441.8351111049</v>
      </c>
      <c r="R229">
        <f t="shared" si="961"/>
        <v>441415815.25851399</v>
      </c>
      <c r="S229">
        <f t="shared" si="962"/>
        <v>4414.1581525851398</v>
      </c>
      <c r="T229">
        <f t="shared" si="963"/>
        <v>4.4141581525851397</v>
      </c>
    </row>
    <row r="230" spans="1:20" x14ac:dyDescent="0.25">
      <c r="A230" s="5">
        <v>44363</v>
      </c>
      <c r="B230">
        <v>2.1819999999999999</v>
      </c>
      <c r="C230">
        <v>2.4279999999999999</v>
      </c>
      <c r="D230">
        <v>2.1160000000000001</v>
      </c>
      <c r="E230">
        <v>2.3250000000000002</v>
      </c>
      <c r="F230">
        <v>65497288.909000002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0.33974358974359092</v>
      </c>
      <c r="Q230">
        <f t="shared" si="960"/>
        <v>22252284.052416746</v>
      </c>
      <c r="R230">
        <f t="shared" si="961"/>
        <v>448838257.09362507</v>
      </c>
      <c r="S230">
        <f t="shared" si="962"/>
        <v>4488.3825709362509</v>
      </c>
      <c r="T230">
        <f t="shared" si="963"/>
        <v>4.4883825709362508</v>
      </c>
    </row>
    <row r="231" spans="1:20" x14ac:dyDescent="0.25">
      <c r="A231" s="5">
        <v>44362</v>
      </c>
      <c r="B231">
        <v>2.0790000000000002</v>
      </c>
      <c r="C231">
        <v>2.2320000000000002</v>
      </c>
      <c r="D231">
        <v>2.0139999999999998</v>
      </c>
      <c r="E231">
        <v>2.1829999999999998</v>
      </c>
      <c r="F231">
        <v>40096476.833999999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0.55045871559632764</v>
      </c>
      <c r="Q231">
        <f t="shared" si="960"/>
        <v>22071455.137981545</v>
      </c>
      <c r="R231">
        <f t="shared" si="961"/>
        <v>426585973.04120833</v>
      </c>
      <c r="S231">
        <f t="shared" si="962"/>
        <v>4265.8597304120831</v>
      </c>
      <c r="T231">
        <f t="shared" si="963"/>
        <v>4.2658597304120827</v>
      </c>
    </row>
    <row r="232" spans="1:20" x14ac:dyDescent="0.25">
      <c r="A232" s="5">
        <v>44361</v>
      </c>
      <c r="B232">
        <v>1.9139999999999999</v>
      </c>
      <c r="C232">
        <v>2.081</v>
      </c>
      <c r="D232">
        <v>1.8740000000000001</v>
      </c>
      <c r="E232">
        <v>2.0779999999999998</v>
      </c>
      <c r="F232">
        <v>35617721.359999999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0.97101449275362206</v>
      </c>
      <c r="Q232">
        <f t="shared" si="960"/>
        <v>34585323.639420249</v>
      </c>
      <c r="R232">
        <f t="shared" si="961"/>
        <v>404514517.90322679</v>
      </c>
      <c r="S232">
        <f t="shared" si="962"/>
        <v>4045.1451790322681</v>
      </c>
      <c r="T232">
        <f t="shared" si="963"/>
        <v>4.0451451790322679</v>
      </c>
    </row>
    <row r="233" spans="1:20" x14ac:dyDescent="0.25">
      <c r="A233" s="5">
        <v>44360</v>
      </c>
      <c r="B233">
        <v>1.6919999999999999</v>
      </c>
      <c r="C233">
        <v>1.946</v>
      </c>
      <c r="D233">
        <v>1.67</v>
      </c>
      <c r="E233">
        <v>1.913</v>
      </c>
      <c r="F233">
        <v>30946422.537999999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0.76086956521739191</v>
      </c>
      <c r="Q233">
        <f t="shared" si="960"/>
        <v>23546191.061521757</v>
      </c>
      <c r="R233">
        <f t="shared" si="961"/>
        <v>369929194.26380652</v>
      </c>
      <c r="S233">
        <f t="shared" si="962"/>
        <v>3699.2919426380654</v>
      </c>
      <c r="T233">
        <f t="shared" si="963"/>
        <v>3.6992919426380655</v>
      </c>
    </row>
    <row r="234" spans="1:20" x14ac:dyDescent="0.25">
      <c r="A234" s="5">
        <v>44359</v>
      </c>
      <c r="B234">
        <v>1.75</v>
      </c>
      <c r="C234">
        <v>1.754</v>
      </c>
      <c r="D234">
        <v>1.603</v>
      </c>
      <c r="E234">
        <v>1.6919999999999999</v>
      </c>
      <c r="F234">
        <v>32281616.664999999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0.17880794701986694</v>
      </c>
      <c r="Q234">
        <f t="shared" si="960"/>
        <v>5772209.6023509735</v>
      </c>
      <c r="R234">
        <f t="shared" si="961"/>
        <v>346383003.20228475</v>
      </c>
      <c r="S234">
        <f t="shared" si="962"/>
        <v>3463.8300320228477</v>
      </c>
      <c r="T234">
        <f t="shared" si="963"/>
        <v>3.4638300320228477</v>
      </c>
    </row>
    <row r="235" spans="1:20" x14ac:dyDescent="0.25">
      <c r="A235" s="5">
        <v>44358</v>
      </c>
      <c r="B235">
        <v>1.869</v>
      </c>
      <c r="C235">
        <v>1.91</v>
      </c>
      <c r="D235">
        <v>1.7110000000000001</v>
      </c>
      <c r="E235">
        <v>1.7490000000000001</v>
      </c>
      <c r="F235">
        <v>26155128.456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-0.61809045226130588</v>
      </c>
      <c r="Q235">
        <f t="shared" si="960"/>
        <v>-16166235.17632159</v>
      </c>
      <c r="R235">
        <f t="shared" si="961"/>
        <v>340610793.5999338</v>
      </c>
      <c r="S235">
        <f t="shared" si="962"/>
        <v>3406.1079359993382</v>
      </c>
      <c r="T235">
        <f t="shared" si="963"/>
        <v>3.406107935999338</v>
      </c>
    </row>
    <row r="236" spans="1:20" x14ac:dyDescent="0.25">
      <c r="A236" s="5">
        <v>44357</v>
      </c>
      <c r="B236">
        <v>2.0219999999999998</v>
      </c>
      <c r="C236">
        <v>2.036</v>
      </c>
      <c r="D236">
        <v>1.819</v>
      </c>
      <c r="E236">
        <v>1.869</v>
      </c>
      <c r="F236">
        <v>35091382.887000002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-0.53917050691244217</v>
      </c>
      <c r="Q236">
        <f t="shared" si="960"/>
        <v>-18920238.69944239</v>
      </c>
      <c r="R236">
        <f t="shared" si="961"/>
        <v>356777028.77625537</v>
      </c>
      <c r="S236">
        <f t="shared" si="962"/>
        <v>3567.7702877625538</v>
      </c>
      <c r="T236">
        <f t="shared" si="963"/>
        <v>3.5677702877625537</v>
      </c>
    </row>
    <row r="237" spans="1:20" x14ac:dyDescent="0.25">
      <c r="A237" s="5">
        <v>44356</v>
      </c>
      <c r="B237">
        <v>1.8979999999999999</v>
      </c>
      <c r="C237">
        <v>2.0470000000000002</v>
      </c>
      <c r="D237">
        <v>1.7889999999999999</v>
      </c>
      <c r="E237">
        <v>2.0219999999999998</v>
      </c>
      <c r="F237">
        <v>43961426.976999998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0.80620155038759433</v>
      </c>
      <c r="Q237">
        <f t="shared" si="960"/>
        <v>35441770.586108416</v>
      </c>
      <c r="R237">
        <f t="shared" si="961"/>
        <v>375697267.47569776</v>
      </c>
      <c r="S237">
        <f t="shared" si="962"/>
        <v>3756.9726747569775</v>
      </c>
      <c r="T237">
        <f t="shared" si="963"/>
        <v>3.7569726747569776</v>
      </c>
    </row>
    <row r="238" spans="1:20" x14ac:dyDescent="0.25">
      <c r="A238" s="5">
        <v>44355</v>
      </c>
      <c r="B238">
        <v>1.9219999999999999</v>
      </c>
      <c r="C238">
        <v>1.9710000000000001</v>
      </c>
      <c r="D238">
        <v>1.7210000000000001</v>
      </c>
      <c r="E238">
        <v>1.897</v>
      </c>
      <c r="F238">
        <v>47665909.292000003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0.40799999999999947</v>
      </c>
      <c r="Q238">
        <f t="shared" si="960"/>
        <v>19447690.991135977</v>
      </c>
      <c r="R238">
        <f t="shared" si="961"/>
        <v>340255496.88958937</v>
      </c>
      <c r="S238">
        <f t="shared" si="962"/>
        <v>3402.5549688958936</v>
      </c>
      <c r="T238">
        <f t="shared" si="963"/>
        <v>3.4025549688958936</v>
      </c>
    </row>
    <row r="239" spans="1:20" x14ac:dyDescent="0.25">
      <c r="A239" s="5">
        <v>44354</v>
      </c>
      <c r="B239">
        <v>2.1389999999999998</v>
      </c>
      <c r="C239">
        <v>2.2490000000000001</v>
      </c>
      <c r="D239">
        <v>1.8919999999999999</v>
      </c>
      <c r="E239">
        <v>1.923</v>
      </c>
      <c r="F239">
        <v>40468535.178000003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-0.82633053221288444</v>
      </c>
      <c r="Q239">
        <f t="shared" si="960"/>
        <v>-33440386.211512581</v>
      </c>
      <c r="R239">
        <f t="shared" si="961"/>
        <v>320807805.89845341</v>
      </c>
      <c r="S239">
        <f t="shared" si="962"/>
        <v>3208.078058984534</v>
      </c>
      <c r="T239">
        <f t="shared" si="963"/>
        <v>3.2080780589845341</v>
      </c>
    </row>
    <row r="240" spans="1:20" x14ac:dyDescent="0.25">
      <c r="A240" s="5">
        <v>44353</v>
      </c>
      <c r="B240">
        <v>2.0169999999999999</v>
      </c>
      <c r="C240">
        <v>2.169</v>
      </c>
      <c r="D240">
        <v>1.994</v>
      </c>
      <c r="E240">
        <v>2.1389999999999998</v>
      </c>
      <c r="F240">
        <v>28587240.123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0.65714285714285436</v>
      </c>
      <c r="Q240">
        <f t="shared" si="960"/>
        <v>18785900.652257062</v>
      </c>
      <c r="R240">
        <f t="shared" si="961"/>
        <v>354248192.10996598</v>
      </c>
      <c r="S240">
        <f t="shared" si="962"/>
        <v>3542.4819210996598</v>
      </c>
      <c r="T240">
        <f t="shared" si="963"/>
        <v>3.5424819210996596</v>
      </c>
    </row>
    <row r="241" spans="1:20" x14ac:dyDescent="0.25">
      <c r="A241" s="5">
        <v>44352</v>
      </c>
      <c r="B241">
        <v>2.0830000000000002</v>
      </c>
      <c r="C241">
        <v>2.2109999999999999</v>
      </c>
      <c r="D241">
        <v>1.9239999999999999</v>
      </c>
      <c r="E241">
        <v>2.0169999999999999</v>
      </c>
      <c r="F241">
        <v>37622753.347999997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-0.3519163763066202</v>
      </c>
      <c r="Q241">
        <f t="shared" si="960"/>
        <v>-13240063.024905922</v>
      </c>
      <c r="R241">
        <f t="shared" si="961"/>
        <v>335462291.4577089</v>
      </c>
      <c r="S241">
        <f t="shared" si="962"/>
        <v>3354.622914577089</v>
      </c>
      <c r="T241">
        <f t="shared" si="963"/>
        <v>3.3546229145770892</v>
      </c>
    </row>
    <row r="242" spans="1:20" x14ac:dyDescent="0.25">
      <c r="A242" s="5">
        <v>44351</v>
      </c>
      <c r="B242">
        <v>2.3290000000000002</v>
      </c>
      <c r="C242">
        <v>2.3340000000000001</v>
      </c>
      <c r="D242">
        <v>1.946</v>
      </c>
      <c r="E242">
        <v>2.0830000000000002</v>
      </c>
      <c r="F242">
        <v>50108737.781999998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-0.29381443298968973</v>
      </c>
      <c r="Q242">
        <f t="shared" si="960"/>
        <v>-14722670.379247373</v>
      </c>
      <c r="R242">
        <f t="shared" si="961"/>
        <v>348702354.48261482</v>
      </c>
      <c r="S242">
        <f t="shared" si="962"/>
        <v>3487.0235448261483</v>
      </c>
      <c r="T242">
        <f t="shared" si="963"/>
        <v>3.4870235448261484</v>
      </c>
    </row>
    <row r="243" spans="1:20" x14ac:dyDescent="0.25">
      <c r="A243" s="5">
        <v>44350</v>
      </c>
      <c r="B243">
        <v>2.1789999999999998</v>
      </c>
      <c r="C243">
        <v>2.3969999999999998</v>
      </c>
      <c r="D243">
        <v>2.1120000000000001</v>
      </c>
      <c r="E243">
        <v>2.3290000000000002</v>
      </c>
      <c r="F243">
        <v>36471186.598999999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0.52280701754386183</v>
      </c>
      <c r="Q243">
        <f t="shared" si="960"/>
        <v>19067392.292108852</v>
      </c>
      <c r="R243">
        <f t="shared" si="961"/>
        <v>363425024.86186218</v>
      </c>
      <c r="S243">
        <f t="shared" si="962"/>
        <v>3634.2502486186218</v>
      </c>
      <c r="T243">
        <f t="shared" si="963"/>
        <v>3.6342502486186219</v>
      </c>
    </row>
    <row r="244" spans="1:20" x14ac:dyDescent="0.25">
      <c r="A244" s="5">
        <v>44349</v>
      </c>
      <c r="B244">
        <v>2.0409999999999999</v>
      </c>
      <c r="C244">
        <v>2.266</v>
      </c>
      <c r="D244">
        <v>2.0030000000000001</v>
      </c>
      <c r="E244">
        <v>2.1779999999999999</v>
      </c>
      <c r="F244">
        <v>40713081.906000003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0.33079847908745164</v>
      </c>
      <c r="Q244">
        <f t="shared" si="960"/>
        <v>13467825.573467648</v>
      </c>
      <c r="R244">
        <f t="shared" si="961"/>
        <v>344357632.56975335</v>
      </c>
      <c r="S244">
        <f t="shared" si="962"/>
        <v>3443.5763256975333</v>
      </c>
      <c r="T244">
        <f t="shared" si="963"/>
        <v>3.4435763256975331</v>
      </c>
    </row>
    <row r="245" spans="1:20" x14ac:dyDescent="0.25">
      <c r="A245" s="5">
        <v>44348</v>
      </c>
      <c r="B245">
        <v>2.1160000000000001</v>
      </c>
      <c r="C245">
        <v>2.1539999999999999</v>
      </c>
      <c r="D245">
        <v>1.9710000000000001</v>
      </c>
      <c r="E245">
        <v>2.0419999999999998</v>
      </c>
      <c r="F245">
        <v>37504550.887999997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-0.22404371584699675</v>
      </c>
      <c r="Q245">
        <f t="shared" si="960"/>
        <v>-8402658.9421203006</v>
      </c>
      <c r="R245">
        <f t="shared" si="961"/>
        <v>330889806.99628568</v>
      </c>
      <c r="S245">
        <f t="shared" si="962"/>
        <v>3308.8980699628569</v>
      </c>
      <c r="T245">
        <f t="shared" si="963"/>
        <v>3.308898069962857</v>
      </c>
    </row>
    <row r="246" spans="1:20" x14ac:dyDescent="0.25">
      <c r="A246" s="5">
        <v>44347</v>
      </c>
      <c r="B246">
        <v>1.962</v>
      </c>
      <c r="C246">
        <v>2.14</v>
      </c>
      <c r="D246">
        <v>1.851</v>
      </c>
      <c r="E246">
        <v>2.1150000000000002</v>
      </c>
      <c r="F246">
        <v>45288064.641000003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0.82698961937716331</v>
      </c>
      <c r="Q246">
        <f t="shared" si="960"/>
        <v>37452759.339788958</v>
      </c>
      <c r="R246">
        <f t="shared" si="961"/>
        <v>339292465.93840599</v>
      </c>
      <c r="S246">
        <f t="shared" si="962"/>
        <v>3392.9246593840599</v>
      </c>
      <c r="T246">
        <f t="shared" si="963"/>
        <v>3.3929246593840601</v>
      </c>
    </row>
    <row r="247" spans="1:20" x14ac:dyDescent="0.25">
      <c r="A247" s="5">
        <v>44346</v>
      </c>
      <c r="B247">
        <v>1.867</v>
      </c>
      <c r="C247">
        <v>2.1619999999999999</v>
      </c>
      <c r="D247">
        <v>1.74</v>
      </c>
      <c r="E247">
        <v>1.9610000000000001</v>
      </c>
      <c r="F247">
        <v>46603200.351999998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4.7393364928910525E-2</v>
      </c>
      <c r="Q247">
        <f t="shared" si="960"/>
        <v>2208682.4811374675</v>
      </c>
      <c r="R247">
        <f t="shared" si="961"/>
        <v>301839706.59861702</v>
      </c>
      <c r="S247">
        <f t="shared" si="962"/>
        <v>3018.3970659861702</v>
      </c>
      <c r="T247">
        <f t="shared" si="963"/>
        <v>3.0183970659861701</v>
      </c>
    </row>
    <row r="248" spans="1:20" x14ac:dyDescent="0.25">
      <c r="A248" s="5">
        <v>44345</v>
      </c>
      <c r="B248">
        <v>2.0049999999999999</v>
      </c>
      <c r="C248">
        <v>2.1110000000000002</v>
      </c>
      <c r="D248">
        <v>1.754</v>
      </c>
      <c r="E248">
        <v>1.865</v>
      </c>
      <c r="F248">
        <v>44617691.316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-0.37815126050420211</v>
      </c>
      <c r="Q248">
        <f t="shared" si="960"/>
        <v>-16872236.211932793</v>
      </c>
      <c r="R248">
        <f t="shared" si="961"/>
        <v>299631024.11747956</v>
      </c>
      <c r="S248">
        <f t="shared" si="962"/>
        <v>2996.3102411747955</v>
      </c>
      <c r="T248">
        <f t="shared" si="963"/>
        <v>2.9963102411747955</v>
      </c>
    </row>
    <row r="249" spans="1:20" x14ac:dyDescent="0.25">
      <c r="A249" s="5">
        <v>44344</v>
      </c>
      <c r="B249">
        <v>2.2719999999999998</v>
      </c>
      <c r="C249">
        <v>2.3079999999999998</v>
      </c>
      <c r="D249">
        <v>1.9119999999999999</v>
      </c>
      <c r="E249">
        <v>2.004</v>
      </c>
      <c r="F249">
        <v>58775897.380000003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-0.5353535353535348</v>
      </c>
      <c r="Q249">
        <f t="shared" si="960"/>
        <v>-31465884.455959566</v>
      </c>
      <c r="R249">
        <f t="shared" si="961"/>
        <v>316503260.32941234</v>
      </c>
      <c r="S249">
        <f t="shared" si="962"/>
        <v>3165.0326032941234</v>
      </c>
      <c r="T249">
        <f t="shared" si="963"/>
        <v>3.1650326032941236</v>
      </c>
    </row>
    <row r="250" spans="1:20" x14ac:dyDescent="0.25">
      <c r="A250" s="5">
        <v>44343</v>
      </c>
      <c r="B250">
        <v>2.4460000000000002</v>
      </c>
      <c r="C250">
        <v>2.4940000000000002</v>
      </c>
      <c r="D250">
        <v>2.1309999999999998</v>
      </c>
      <c r="E250">
        <v>2.2690000000000001</v>
      </c>
      <c r="F250">
        <v>47155859.490000002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-0.23966942148760231</v>
      </c>
      <c r="Q250">
        <f t="shared" si="960"/>
        <v>-11301817.563718962</v>
      </c>
      <c r="R250">
        <f t="shared" si="961"/>
        <v>347969144.7853719</v>
      </c>
      <c r="S250">
        <f t="shared" si="962"/>
        <v>3479.6914478537192</v>
      </c>
      <c r="T250">
        <f t="shared" si="963"/>
        <v>3.4796914478537193</v>
      </c>
    </row>
    <row r="251" spans="1:20" x14ac:dyDescent="0.25">
      <c r="A251" s="5">
        <v>44342</v>
      </c>
      <c r="B251">
        <v>2.2200000000000002</v>
      </c>
      <c r="C251">
        <v>2.46</v>
      </c>
      <c r="D251">
        <v>2.202</v>
      </c>
      <c r="E251">
        <v>2.4460000000000002</v>
      </c>
      <c r="F251">
        <v>64705723.943000004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0.89147286821705585</v>
      </c>
      <c r="Q251">
        <f t="shared" si="960"/>
        <v>57683397.313527234</v>
      </c>
      <c r="R251">
        <f t="shared" si="961"/>
        <v>359270962.34909087</v>
      </c>
      <c r="S251">
        <f t="shared" si="962"/>
        <v>3592.7096234909086</v>
      </c>
      <c r="T251">
        <f t="shared" si="963"/>
        <v>3.5927096234909084</v>
      </c>
    </row>
    <row r="252" spans="1:20" x14ac:dyDescent="0.25">
      <c r="A252" s="5">
        <v>44341</v>
      </c>
      <c r="B252">
        <v>2.1419999999999999</v>
      </c>
      <c r="C252">
        <v>2.2269999999999999</v>
      </c>
      <c r="D252">
        <v>1.8859999999999999</v>
      </c>
      <c r="E252">
        <v>2.2210000000000001</v>
      </c>
      <c r="F252">
        <v>59164028.961000003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0.96480938416422413</v>
      </c>
      <c r="Q252">
        <f t="shared" si="960"/>
        <v>57082010.346536733</v>
      </c>
      <c r="R252">
        <f t="shared" si="961"/>
        <v>301587565.03556365</v>
      </c>
      <c r="S252">
        <f t="shared" si="962"/>
        <v>3015.8756503556365</v>
      </c>
      <c r="T252">
        <f t="shared" si="963"/>
        <v>3.0158756503556363</v>
      </c>
    </row>
    <row r="253" spans="1:20" x14ac:dyDescent="0.25">
      <c r="A253" s="5">
        <v>44340</v>
      </c>
      <c r="B253">
        <v>1.6839999999999999</v>
      </c>
      <c r="C253">
        <v>2.2109999999999999</v>
      </c>
      <c r="D253">
        <v>1.63</v>
      </c>
      <c r="E253">
        <v>2.141</v>
      </c>
      <c r="F253">
        <v>82451520.709999993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0.75903614457831381</v>
      </c>
      <c r="Q253">
        <f t="shared" si="960"/>
        <v>62583684.394337393</v>
      </c>
      <c r="R253">
        <f t="shared" si="961"/>
        <v>244505554.68902689</v>
      </c>
      <c r="S253">
        <f t="shared" si="962"/>
        <v>2445.0555468902689</v>
      </c>
      <c r="T253">
        <f t="shared" si="963"/>
        <v>2.445055546890269</v>
      </c>
    </row>
    <row r="254" spans="1:20" x14ac:dyDescent="0.25">
      <c r="A254" s="5">
        <v>44339</v>
      </c>
      <c r="B254">
        <v>2.016</v>
      </c>
      <c r="C254">
        <v>2.1150000000000002</v>
      </c>
      <c r="D254">
        <v>1.34</v>
      </c>
      <c r="E254">
        <v>1.6839999999999999</v>
      </c>
      <c r="F254">
        <v>95524668.218999997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-0.11225806451612955</v>
      </c>
      <c r="Q254">
        <f t="shared" si="960"/>
        <v>-10723414.367810372</v>
      </c>
      <c r="R254">
        <f t="shared" si="961"/>
        <v>181921870.29468951</v>
      </c>
      <c r="S254">
        <f t="shared" si="962"/>
        <v>1819.2187029468951</v>
      </c>
      <c r="T254">
        <f t="shared" si="963"/>
        <v>1.8192187029468951</v>
      </c>
    </row>
    <row r="255" spans="1:20" x14ac:dyDescent="0.25">
      <c r="A255" s="5">
        <v>44338</v>
      </c>
      <c r="B255">
        <v>2.23</v>
      </c>
      <c r="C255">
        <v>2.355</v>
      </c>
      <c r="D255">
        <v>1.9490000000000001</v>
      </c>
      <c r="E255">
        <v>2.016</v>
      </c>
      <c r="F255">
        <v>69168154.238999993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-0.66995073891625634</v>
      </c>
      <c r="Q255">
        <f t="shared" si="960"/>
        <v>-46339256.041891634</v>
      </c>
      <c r="R255">
        <f t="shared" si="961"/>
        <v>192645284.66249987</v>
      </c>
      <c r="S255">
        <f t="shared" si="962"/>
        <v>1926.4528466249988</v>
      </c>
      <c r="T255">
        <f t="shared" si="963"/>
        <v>1.9264528466249988</v>
      </c>
    </row>
    <row r="256" spans="1:20" x14ac:dyDescent="0.25">
      <c r="A256" s="5">
        <v>44337</v>
      </c>
      <c r="B256">
        <v>2.5880000000000001</v>
      </c>
      <c r="C256">
        <v>2.74</v>
      </c>
      <c r="D256">
        <v>1.853</v>
      </c>
      <c r="E256">
        <v>2.2280000000000002</v>
      </c>
      <c r="F256">
        <v>97325496.756999999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-0.15445321307779003</v>
      </c>
      <c r="Q256">
        <f t="shared" si="960"/>
        <v>-15032235.688510684</v>
      </c>
      <c r="R256">
        <f t="shared" si="961"/>
        <v>238984540.70439151</v>
      </c>
      <c r="S256">
        <f t="shared" si="962"/>
        <v>2389.8454070439152</v>
      </c>
      <c r="T256">
        <f t="shared" si="963"/>
        <v>2.3898454070439152</v>
      </c>
    </row>
    <row r="257" spans="1:20" x14ac:dyDescent="0.25">
      <c r="A257" s="5">
        <v>44336</v>
      </c>
      <c r="B257">
        <v>1.968</v>
      </c>
      <c r="C257">
        <v>2.7789999999999999</v>
      </c>
      <c r="D257">
        <v>1.754</v>
      </c>
      <c r="E257">
        <v>2.589</v>
      </c>
      <c r="F257">
        <v>121069733.83400001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0.62926829268292694</v>
      </c>
      <c r="Q257">
        <f t="shared" si="960"/>
        <v>76185344.705297574</v>
      </c>
      <c r="R257">
        <f t="shared" si="961"/>
        <v>254016776.3929022</v>
      </c>
      <c r="S257">
        <f t="shared" si="962"/>
        <v>2540.1677639290219</v>
      </c>
      <c r="T257">
        <f t="shared" si="963"/>
        <v>2.5401677639290221</v>
      </c>
    </row>
    <row r="258" spans="1:20" x14ac:dyDescent="0.25">
      <c r="A258" s="5">
        <v>44335</v>
      </c>
      <c r="B258">
        <v>3.8220000000000001</v>
      </c>
      <c r="C258">
        <v>3.8879999999999999</v>
      </c>
      <c r="D258">
        <v>1.7270000000000001</v>
      </c>
      <c r="E258">
        <v>1.968</v>
      </c>
      <c r="F258">
        <v>173676308.79300001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-0.77695511337343837</v>
      </c>
      <c r="Q258">
        <f t="shared" si="960"/>
        <v>-134938696.18854561</v>
      </c>
      <c r="R258">
        <f t="shared" si="961"/>
        <v>177831431.68760464</v>
      </c>
      <c r="S258">
        <f t="shared" si="962"/>
        <v>1778.3143168760464</v>
      </c>
      <c r="T258">
        <f t="shared" si="963"/>
        <v>1.7783143168760465</v>
      </c>
    </row>
    <row r="259" spans="1:20" x14ac:dyDescent="0.25">
      <c r="A259" s="5">
        <v>44334</v>
      </c>
      <c r="B259">
        <v>3.7</v>
      </c>
      <c r="C259">
        <v>4.08</v>
      </c>
      <c r="D259">
        <v>3.625</v>
      </c>
      <c r="E259">
        <v>3.8210000000000002</v>
      </c>
      <c r="F259">
        <v>51891519.32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-0.13846153846153783</v>
      </c>
      <c r="Q259">
        <f t="shared" si="960"/>
        <v>-7184979.5981538137</v>
      </c>
      <c r="R259">
        <f t="shared" si="961"/>
        <v>312770127.87615025</v>
      </c>
      <c r="S259">
        <f t="shared" si="962"/>
        <v>3127.7012787615026</v>
      </c>
      <c r="T259">
        <f t="shared" si="963"/>
        <v>3.1277012787615028</v>
      </c>
    </row>
    <row r="260" spans="1:20" x14ac:dyDescent="0.25">
      <c r="A260" s="5">
        <v>44333</v>
      </c>
      <c r="B260">
        <v>3.8069999999999999</v>
      </c>
      <c r="C260">
        <v>3.94</v>
      </c>
      <c r="D260">
        <v>3.2639999999999998</v>
      </c>
      <c r="E260">
        <v>3.6989999999999998</v>
      </c>
      <c r="F260">
        <v>63355309.281000003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0.28698224852070991</v>
      </c>
      <c r="Q260">
        <f t="shared" si="960"/>
        <v>18181849.113186382</v>
      </c>
      <c r="R260">
        <f t="shared" si="961"/>
        <v>319955107.47430408</v>
      </c>
      <c r="S260">
        <f t="shared" si="962"/>
        <v>3199.5510747430408</v>
      </c>
      <c r="T260">
        <f t="shared" si="963"/>
        <v>3.1995510747430407</v>
      </c>
    </row>
    <row r="261" spans="1:20" x14ac:dyDescent="0.25">
      <c r="A261" s="5">
        <v>44332</v>
      </c>
      <c r="B261">
        <v>3.69</v>
      </c>
      <c r="C261">
        <v>4.13</v>
      </c>
      <c r="D261">
        <v>3.51</v>
      </c>
      <c r="E261">
        <v>3.8039999999999998</v>
      </c>
      <c r="F261">
        <v>45159361.217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-5.1612903225806486E-2</v>
      </c>
      <c r="Q261">
        <f t="shared" si="960"/>
        <v>-2330805.7402322595</v>
      </c>
      <c r="R261">
        <f t="shared" si="961"/>
        <v>301773258.36111772</v>
      </c>
      <c r="S261">
        <f t="shared" si="962"/>
        <v>3017.7325836111772</v>
      </c>
      <c r="T261">
        <f t="shared" si="963"/>
        <v>3.0177325836111772</v>
      </c>
    </row>
    <row r="262" spans="1:20" x14ac:dyDescent="0.25">
      <c r="A262" s="5">
        <v>44331</v>
      </c>
      <c r="B262">
        <v>4.0679999999999996</v>
      </c>
      <c r="C262">
        <v>4.1550000000000002</v>
      </c>
      <c r="D262">
        <v>3.653</v>
      </c>
      <c r="E262">
        <v>3.6880000000000002</v>
      </c>
      <c r="F262">
        <v>40175304.711000003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-0.86055776892430225</v>
      </c>
      <c r="Q262">
        <f t="shared" ref="Q262:Q325" si="965">F262*P262</f>
        <v>-34573170.587952174</v>
      </c>
      <c r="R262">
        <f t="shared" ref="R262:R325" si="966">R263+Q262</f>
        <v>304104064.10135001</v>
      </c>
      <c r="S262">
        <f t="shared" ref="S262:S325" si="967">R262/100000</f>
        <v>3041.0406410135001</v>
      </c>
      <c r="T262">
        <f t="shared" ref="T262:T325" si="968">S262/1000</f>
        <v>3.0410406410135002</v>
      </c>
    </row>
    <row r="263" spans="1:20" x14ac:dyDescent="0.25">
      <c r="A263" s="5">
        <v>44330</v>
      </c>
      <c r="B263">
        <v>3.9569999999999999</v>
      </c>
      <c r="C263">
        <v>4.2279999999999998</v>
      </c>
      <c r="D263">
        <v>3.903</v>
      </c>
      <c r="E263">
        <v>4.069</v>
      </c>
      <c r="F263">
        <v>35207707.057999998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2.1538461538461916E-2</v>
      </c>
      <c r="Q263">
        <f t="shared" si="965"/>
        <v>758319.84432616713</v>
      </c>
      <c r="R263">
        <f t="shared" si="966"/>
        <v>338677234.68930221</v>
      </c>
      <c r="S263">
        <f t="shared" si="967"/>
        <v>3386.7723468930221</v>
      </c>
      <c r="T263">
        <f t="shared" si="968"/>
        <v>3.386772346893022</v>
      </c>
    </row>
    <row r="264" spans="1:20" x14ac:dyDescent="0.25">
      <c r="A264" s="5">
        <v>44329</v>
      </c>
      <c r="B264">
        <v>3.9369999999999998</v>
      </c>
      <c r="C264">
        <v>4.2910000000000004</v>
      </c>
      <c r="D264">
        <v>3.577</v>
      </c>
      <c r="E264">
        <v>3.9630000000000001</v>
      </c>
      <c r="F264">
        <v>68281545.888999999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8.1232492997198591E-2</v>
      </c>
      <c r="Q264">
        <f t="shared" si="965"/>
        <v>5546680.1982660862</v>
      </c>
      <c r="R264">
        <f t="shared" si="966"/>
        <v>337918914.84497607</v>
      </c>
      <c r="S264">
        <f t="shared" si="967"/>
        <v>3379.1891484497605</v>
      </c>
      <c r="T264">
        <f t="shared" si="968"/>
        <v>3.3791891484497607</v>
      </c>
    </row>
    <row r="265" spans="1:20" x14ac:dyDescent="0.25">
      <c r="A265" s="5">
        <v>44328</v>
      </c>
      <c r="B265">
        <v>4.774</v>
      </c>
      <c r="C265">
        <v>4.9980000000000002</v>
      </c>
      <c r="D265">
        <v>3.78</v>
      </c>
      <c r="E265">
        <v>3.9620000000000002</v>
      </c>
      <c r="F265">
        <v>53464248.357000001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-0.7011494252873558</v>
      </c>
      <c r="Q265">
        <f t="shared" si="965"/>
        <v>-37486427.008931004</v>
      </c>
      <c r="R265">
        <f t="shared" si="966"/>
        <v>332372234.64670998</v>
      </c>
      <c r="S265">
        <f t="shared" si="967"/>
        <v>3323.7223464670997</v>
      </c>
      <c r="T265">
        <f t="shared" si="968"/>
        <v>3.3237223464670995</v>
      </c>
    </row>
    <row r="266" spans="1:20" x14ac:dyDescent="0.25">
      <c r="A266" s="5">
        <v>44327</v>
      </c>
      <c r="B266">
        <v>4.4130000000000003</v>
      </c>
      <c r="C266">
        <v>4.8</v>
      </c>
      <c r="D266">
        <v>4.3049999999999997</v>
      </c>
      <c r="E266">
        <v>4.7759999999999998</v>
      </c>
      <c r="F266">
        <v>41844714.449000001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0.90303030303030296</v>
      </c>
      <c r="Q266">
        <f t="shared" si="965"/>
        <v>37787045.169096969</v>
      </c>
      <c r="R266">
        <f t="shared" si="966"/>
        <v>369858661.65564096</v>
      </c>
      <c r="S266">
        <f t="shared" si="967"/>
        <v>3698.5866165564098</v>
      </c>
      <c r="T266">
        <f t="shared" si="968"/>
        <v>3.6985866165564096</v>
      </c>
    </row>
    <row r="267" spans="1:20" x14ac:dyDescent="0.25">
      <c r="A267" s="5">
        <v>44326</v>
      </c>
      <c r="B267">
        <v>5.077</v>
      </c>
      <c r="C267">
        <v>5.258</v>
      </c>
      <c r="D267">
        <v>4.01</v>
      </c>
      <c r="E267">
        <v>4.415</v>
      </c>
      <c r="F267">
        <v>61675347.608999997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-0.35096153846153816</v>
      </c>
      <c r="Q267">
        <f t="shared" si="965"/>
        <v>-21645674.882004786</v>
      </c>
      <c r="R267">
        <f t="shared" si="966"/>
        <v>332071616.48654401</v>
      </c>
      <c r="S267">
        <f t="shared" si="967"/>
        <v>3320.7161648654401</v>
      </c>
      <c r="T267">
        <f t="shared" si="968"/>
        <v>3.32071616486544</v>
      </c>
    </row>
    <row r="268" spans="1:20" x14ac:dyDescent="0.25">
      <c r="A268" s="5">
        <v>44325</v>
      </c>
      <c r="B268">
        <v>4.8410000000000002</v>
      </c>
      <c r="C268">
        <v>5.1829999999999998</v>
      </c>
      <c r="D268">
        <v>4.5999999999999996</v>
      </c>
      <c r="E268">
        <v>5.077</v>
      </c>
      <c r="F268">
        <v>41321591.434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0.63636363636363691</v>
      </c>
      <c r="Q268">
        <f t="shared" si="965"/>
        <v>26295558.18527275</v>
      </c>
      <c r="R268">
        <f t="shared" si="966"/>
        <v>353717291.36854881</v>
      </c>
      <c r="S268">
        <f t="shared" si="967"/>
        <v>3537.1729136854883</v>
      </c>
      <c r="T268">
        <f t="shared" si="968"/>
        <v>3.5371729136854881</v>
      </c>
    </row>
    <row r="269" spans="1:20" x14ac:dyDescent="0.25">
      <c r="A269" s="5">
        <v>44324</v>
      </c>
      <c r="B269">
        <v>4.8159999999999998</v>
      </c>
      <c r="C269">
        <v>5.0949999999999998</v>
      </c>
      <c r="D269">
        <v>4.7380000000000004</v>
      </c>
      <c r="E269">
        <v>4.84</v>
      </c>
      <c r="F269">
        <v>36698446.674999997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-0.42857142857143071</v>
      </c>
      <c r="Q269">
        <f t="shared" si="965"/>
        <v>-15727905.717857219</v>
      </c>
      <c r="R269">
        <f t="shared" si="966"/>
        <v>327421733.18327606</v>
      </c>
      <c r="S269">
        <f t="shared" si="967"/>
        <v>3274.2173318327605</v>
      </c>
      <c r="T269">
        <f t="shared" si="968"/>
        <v>3.2742173318327605</v>
      </c>
    </row>
    <row r="270" spans="1:20" x14ac:dyDescent="0.25">
      <c r="A270" s="5">
        <v>44323</v>
      </c>
      <c r="B270">
        <v>4.8949999999999996</v>
      </c>
      <c r="C270">
        <v>5.0990000000000002</v>
      </c>
      <c r="D270">
        <v>4.5810000000000004</v>
      </c>
      <c r="E270">
        <v>4.8159999999999998</v>
      </c>
      <c r="F270">
        <v>46722474.262999997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-9.2664092664094491E-2</v>
      </c>
      <c r="Q270">
        <f t="shared" si="965"/>
        <v>-4329495.6846024012</v>
      </c>
      <c r="R270">
        <f t="shared" si="966"/>
        <v>343149638.9011333</v>
      </c>
      <c r="S270">
        <f t="shared" si="967"/>
        <v>3431.4963890113331</v>
      </c>
      <c r="T270">
        <f t="shared" si="968"/>
        <v>3.431496389011333</v>
      </c>
    </row>
    <row r="271" spans="1:20" x14ac:dyDescent="0.25">
      <c r="A271" s="5">
        <v>44322</v>
      </c>
      <c r="B271">
        <v>5.0469999999999997</v>
      </c>
      <c r="C271">
        <v>5.3</v>
      </c>
      <c r="D271">
        <v>4.7</v>
      </c>
      <c r="E271">
        <v>4.8959999999999999</v>
      </c>
      <c r="F271">
        <v>59297290.821999997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-0.34666666666666718</v>
      </c>
      <c r="Q271">
        <f t="shared" si="965"/>
        <v>-20556394.151626695</v>
      </c>
      <c r="R271">
        <f t="shared" si="966"/>
        <v>347479134.58573568</v>
      </c>
      <c r="S271">
        <f t="shared" si="967"/>
        <v>3474.7913458573566</v>
      </c>
      <c r="T271">
        <f t="shared" si="968"/>
        <v>3.4747913458573567</v>
      </c>
    </row>
    <row r="272" spans="1:20" x14ac:dyDescent="0.25">
      <c r="A272" s="5">
        <v>44321</v>
      </c>
      <c r="B272">
        <v>4.7089999999999996</v>
      </c>
      <c r="C272">
        <v>5.2</v>
      </c>
      <c r="D272">
        <v>4.5599999999999996</v>
      </c>
      <c r="E272">
        <v>5.0460000000000003</v>
      </c>
      <c r="F272">
        <v>65969846.295000002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0.51875000000000071</v>
      </c>
      <c r="Q272">
        <f t="shared" si="965"/>
        <v>34221857.765531301</v>
      </c>
      <c r="R272">
        <f t="shared" si="966"/>
        <v>368035528.73736238</v>
      </c>
      <c r="S272">
        <f t="shared" si="967"/>
        <v>3680.3552873736239</v>
      </c>
      <c r="T272">
        <f t="shared" si="968"/>
        <v>3.6803552873736241</v>
      </c>
    </row>
    <row r="273" spans="1:20" x14ac:dyDescent="0.25">
      <c r="A273" s="5">
        <v>44320</v>
      </c>
      <c r="B273">
        <v>5.468</v>
      </c>
      <c r="C273">
        <v>5.5549999999999997</v>
      </c>
      <c r="D273">
        <v>4.6900000000000004</v>
      </c>
      <c r="E273">
        <v>4.7069999999999999</v>
      </c>
      <c r="F273">
        <v>93346558.630999997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-0.96069364161849835</v>
      </c>
      <c r="Q273">
        <f t="shared" si="965"/>
        <v>-89677445.343770057</v>
      </c>
      <c r="R273">
        <f t="shared" si="966"/>
        <v>333813670.97183108</v>
      </c>
      <c r="S273">
        <f t="shared" si="967"/>
        <v>3338.1367097183106</v>
      </c>
      <c r="T273">
        <f t="shared" si="968"/>
        <v>3.3381367097183108</v>
      </c>
    </row>
    <row r="274" spans="1:20" x14ac:dyDescent="0.25">
      <c r="A274" s="5">
        <v>44319</v>
      </c>
      <c r="B274">
        <v>5.45</v>
      </c>
      <c r="C274">
        <v>5.87</v>
      </c>
      <c r="D274">
        <v>5.218</v>
      </c>
      <c r="E274">
        <v>5.4690000000000003</v>
      </c>
      <c r="F274">
        <v>75605961.812999994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-0.23006134969325068</v>
      </c>
      <c r="Q274">
        <f t="shared" si="965"/>
        <v>-17394009.619555149</v>
      </c>
      <c r="R274">
        <f t="shared" si="966"/>
        <v>423491116.31560111</v>
      </c>
      <c r="S274">
        <f t="shared" si="967"/>
        <v>4234.9111631560108</v>
      </c>
      <c r="T274">
        <f t="shared" si="968"/>
        <v>4.2349111631560108</v>
      </c>
    </row>
    <row r="275" spans="1:20" x14ac:dyDescent="0.25">
      <c r="A275" s="5">
        <v>44318</v>
      </c>
      <c r="B275">
        <v>5.0750000000000002</v>
      </c>
      <c r="C275">
        <v>5.55</v>
      </c>
      <c r="D275">
        <v>4.6289999999999996</v>
      </c>
      <c r="E275">
        <v>5.4509999999999996</v>
      </c>
      <c r="F275">
        <v>66019437.012000002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0.78501628664495082</v>
      </c>
      <c r="Q275">
        <f t="shared" si="965"/>
        <v>51826333.289550468</v>
      </c>
      <c r="R275">
        <f t="shared" si="966"/>
        <v>440885125.93515629</v>
      </c>
      <c r="S275">
        <f t="shared" si="967"/>
        <v>4408.8512593515625</v>
      </c>
      <c r="T275">
        <f t="shared" si="968"/>
        <v>4.4088512593515627</v>
      </c>
    </row>
    <row r="276" spans="1:20" x14ac:dyDescent="0.25">
      <c r="A276" s="5">
        <v>44317</v>
      </c>
      <c r="B276">
        <v>5.2469999999999999</v>
      </c>
      <c r="C276">
        <v>5.62</v>
      </c>
      <c r="D276">
        <v>4.9589999999999996</v>
      </c>
      <c r="E276">
        <v>5.0750000000000002</v>
      </c>
      <c r="F276">
        <v>74818271.851999998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-0.6490166414523435</v>
      </c>
      <c r="Q276">
        <f t="shared" si="965"/>
        <v>-48558303.516653448</v>
      </c>
      <c r="R276">
        <f t="shared" si="966"/>
        <v>389058792.6456058</v>
      </c>
      <c r="S276">
        <f t="shared" si="967"/>
        <v>3890.5879264560581</v>
      </c>
      <c r="T276">
        <f t="shared" si="968"/>
        <v>3.8905879264560581</v>
      </c>
    </row>
    <row r="277" spans="1:20" x14ac:dyDescent="0.25">
      <c r="A277" s="5">
        <v>44316</v>
      </c>
      <c r="B277">
        <v>4.6189999999999998</v>
      </c>
      <c r="C277">
        <v>5.3</v>
      </c>
      <c r="D277">
        <v>4.4359999999999999</v>
      </c>
      <c r="E277">
        <v>5.2469999999999999</v>
      </c>
      <c r="F277">
        <v>73262820.887999997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0.87731481481481499</v>
      </c>
      <c r="Q277">
        <f t="shared" si="965"/>
        <v>64274558.140166678</v>
      </c>
      <c r="R277">
        <f t="shared" si="966"/>
        <v>437617096.16225928</v>
      </c>
      <c r="S277">
        <f t="shared" si="967"/>
        <v>4376.1709616225926</v>
      </c>
      <c r="T277">
        <f t="shared" si="968"/>
        <v>4.3761709616225923</v>
      </c>
    </row>
    <row r="278" spans="1:20" x14ac:dyDescent="0.25">
      <c r="A278" s="5">
        <v>44315</v>
      </c>
      <c r="B278">
        <v>4.1379999999999999</v>
      </c>
      <c r="C278">
        <v>4.8840000000000003</v>
      </c>
      <c r="D278">
        <v>3.9710000000000001</v>
      </c>
      <c r="E278">
        <v>4.6189999999999998</v>
      </c>
      <c r="F278">
        <v>108498372.486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0.41949616648411719</v>
      </c>
      <c r="Q278">
        <f t="shared" si="965"/>
        <v>45514651.327642813</v>
      </c>
      <c r="R278">
        <f t="shared" si="966"/>
        <v>373342538.02209258</v>
      </c>
      <c r="S278">
        <f t="shared" si="967"/>
        <v>3733.4253802209259</v>
      </c>
      <c r="T278">
        <f t="shared" si="968"/>
        <v>3.7334253802209258</v>
      </c>
    </row>
    <row r="279" spans="1:20" x14ac:dyDescent="0.25">
      <c r="A279" s="5">
        <v>44314</v>
      </c>
      <c r="B279">
        <v>4.1159999999999997</v>
      </c>
      <c r="C279">
        <v>4.4059999999999997</v>
      </c>
      <c r="D279">
        <v>3.681</v>
      </c>
      <c r="E279">
        <v>4.1379999999999999</v>
      </c>
      <c r="F279">
        <v>78445520.277999997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0.26068965517241399</v>
      </c>
      <c r="Q279">
        <f t="shared" si="965"/>
        <v>20449935.631092429</v>
      </c>
      <c r="R279">
        <f t="shared" si="966"/>
        <v>327827886.69444978</v>
      </c>
      <c r="S279">
        <f t="shared" si="967"/>
        <v>3278.2788669444976</v>
      </c>
      <c r="T279">
        <f t="shared" si="968"/>
        <v>3.2782788669444978</v>
      </c>
    </row>
    <row r="280" spans="1:20" x14ac:dyDescent="0.25">
      <c r="A280" s="5">
        <v>44313</v>
      </c>
      <c r="B280">
        <v>3.6219999999999999</v>
      </c>
      <c r="C280">
        <v>4.16</v>
      </c>
      <c r="D280">
        <v>3.544</v>
      </c>
      <c r="E280">
        <v>4.1180000000000003</v>
      </c>
      <c r="F280">
        <v>58000006.024999999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0.86363636363636431</v>
      </c>
      <c r="Q280">
        <f t="shared" si="965"/>
        <v>50090914.294318222</v>
      </c>
      <c r="R280">
        <f t="shared" si="966"/>
        <v>307377951.06335735</v>
      </c>
      <c r="S280">
        <f t="shared" si="967"/>
        <v>3073.7795106335734</v>
      </c>
      <c r="T280">
        <f t="shared" si="968"/>
        <v>3.0737795106335732</v>
      </c>
    </row>
    <row r="281" spans="1:20" x14ac:dyDescent="0.25">
      <c r="A281" s="5">
        <v>44312</v>
      </c>
      <c r="B281">
        <v>2.9369999999999998</v>
      </c>
      <c r="C281">
        <v>3.7549999999999999</v>
      </c>
      <c r="D281">
        <v>2.9</v>
      </c>
      <c r="E281">
        <v>3.6219999999999999</v>
      </c>
      <c r="F281">
        <v>80268483.747999996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0.68888888888888888</v>
      </c>
      <c r="Q281">
        <f t="shared" si="965"/>
        <v>55296066.581955552</v>
      </c>
      <c r="R281">
        <f t="shared" si="966"/>
        <v>257287036.76903915</v>
      </c>
      <c r="S281">
        <f t="shared" si="967"/>
        <v>2572.8703676903915</v>
      </c>
      <c r="T281">
        <f t="shared" si="968"/>
        <v>2.5728703676903915</v>
      </c>
    </row>
    <row r="282" spans="1:20" x14ac:dyDescent="0.25">
      <c r="A282" s="5">
        <v>44311</v>
      </c>
      <c r="B282">
        <v>3.016</v>
      </c>
      <c r="C282">
        <v>3.3090000000000002</v>
      </c>
      <c r="D282">
        <v>2.7</v>
      </c>
      <c r="E282">
        <v>2.9350000000000001</v>
      </c>
      <c r="F282">
        <v>62180366.241999999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-0.22824302134647001</v>
      </c>
      <c r="Q282">
        <f t="shared" si="965"/>
        <v>-14192234.659504129</v>
      </c>
      <c r="R282">
        <f t="shared" si="966"/>
        <v>201990970.1870836</v>
      </c>
      <c r="S282">
        <f t="shared" si="967"/>
        <v>2019.909701870836</v>
      </c>
      <c r="T282">
        <f t="shared" si="968"/>
        <v>2.0199097018708358</v>
      </c>
    </row>
    <row r="283" spans="1:20" x14ac:dyDescent="0.25">
      <c r="A283" s="5">
        <v>44310</v>
      </c>
      <c r="B283">
        <v>3.1440000000000001</v>
      </c>
      <c r="C283">
        <v>3.1680000000000001</v>
      </c>
      <c r="D283">
        <v>2.75</v>
      </c>
      <c r="E283">
        <v>3.0150000000000001</v>
      </c>
      <c r="F283">
        <v>57827082.912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0.26794258373205754</v>
      </c>
      <c r="Q283">
        <f t="shared" si="965"/>
        <v>15494338.005129194</v>
      </c>
      <c r="R283">
        <f t="shared" si="966"/>
        <v>216183204.84658772</v>
      </c>
      <c r="S283">
        <f t="shared" si="967"/>
        <v>2161.8320484658771</v>
      </c>
      <c r="T283">
        <f t="shared" si="968"/>
        <v>2.1618320484658771</v>
      </c>
    </row>
    <row r="284" spans="1:20" x14ac:dyDescent="0.25">
      <c r="A284" s="5">
        <v>44309</v>
      </c>
      <c r="B284">
        <v>3.4220000000000002</v>
      </c>
      <c r="C284">
        <v>3.5249999999999999</v>
      </c>
      <c r="D284">
        <v>2.65</v>
      </c>
      <c r="E284">
        <v>3.145</v>
      </c>
      <c r="F284">
        <v>101235578.979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0.13142857142857167</v>
      </c>
      <c r="Q284">
        <f t="shared" si="965"/>
        <v>13305247.522954311</v>
      </c>
      <c r="R284">
        <f t="shared" si="966"/>
        <v>200688866.84145853</v>
      </c>
      <c r="S284">
        <f t="shared" si="967"/>
        <v>2006.8886684145853</v>
      </c>
      <c r="T284">
        <f t="shared" si="968"/>
        <v>2.0068886684145855</v>
      </c>
    </row>
    <row r="285" spans="1:20" x14ac:dyDescent="0.25">
      <c r="A285" s="5">
        <v>44308</v>
      </c>
      <c r="B285">
        <v>3.73</v>
      </c>
      <c r="C285">
        <v>4.1230000000000002</v>
      </c>
      <c r="D285">
        <v>3.1579999999999999</v>
      </c>
      <c r="E285">
        <v>3.4220000000000002</v>
      </c>
      <c r="F285">
        <v>77586608.702000007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-0.45284974093264219</v>
      </c>
      <c r="Q285">
        <f t="shared" si="965"/>
        <v>-35135075.650542982</v>
      </c>
      <c r="R285">
        <f t="shared" si="966"/>
        <v>187383619.31850421</v>
      </c>
      <c r="S285">
        <f t="shared" si="967"/>
        <v>1873.8361931850422</v>
      </c>
      <c r="T285">
        <f t="shared" si="968"/>
        <v>1.8738361931850422</v>
      </c>
    </row>
    <row r="286" spans="1:20" x14ac:dyDescent="0.25">
      <c r="A286" s="5">
        <v>44307</v>
      </c>
      <c r="B286">
        <v>3.8610000000000002</v>
      </c>
      <c r="C286">
        <v>4.18</v>
      </c>
      <c r="D286">
        <v>3.605</v>
      </c>
      <c r="E286">
        <v>3.73</v>
      </c>
      <c r="F286">
        <v>58796257.843000002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-0.56521739130434767</v>
      </c>
      <c r="Q286">
        <f t="shared" si="965"/>
        <v>-33232667.476478253</v>
      </c>
      <c r="R286">
        <f t="shared" si="966"/>
        <v>222518694.96904719</v>
      </c>
      <c r="S286">
        <f t="shared" si="967"/>
        <v>2225.1869496904719</v>
      </c>
      <c r="T286">
        <f t="shared" si="968"/>
        <v>2.2251869496904719</v>
      </c>
    </row>
    <row r="287" spans="1:20" x14ac:dyDescent="0.25">
      <c r="A287" s="5">
        <v>44306</v>
      </c>
      <c r="B287">
        <v>3.657</v>
      </c>
      <c r="C287">
        <v>3.99</v>
      </c>
      <c r="D287">
        <v>3.2120000000000002</v>
      </c>
      <c r="E287">
        <v>3.8660000000000001</v>
      </c>
      <c r="F287">
        <v>61407192.096000001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0.68123393316195346</v>
      </c>
      <c r="Q287">
        <f t="shared" si="965"/>
        <v>41832662.995989703</v>
      </c>
      <c r="R287">
        <f t="shared" si="966"/>
        <v>255751362.44552544</v>
      </c>
      <c r="S287">
        <f t="shared" si="967"/>
        <v>2557.5136244552546</v>
      </c>
      <c r="T287">
        <f t="shared" si="968"/>
        <v>2.5575136244552548</v>
      </c>
    </row>
    <row r="288" spans="1:20" x14ac:dyDescent="0.25">
      <c r="A288" s="5">
        <v>44305</v>
      </c>
      <c r="B288">
        <v>4.1120000000000001</v>
      </c>
      <c r="C288">
        <v>4.3360000000000003</v>
      </c>
      <c r="D288">
        <v>3.524</v>
      </c>
      <c r="E288">
        <v>3.657</v>
      </c>
      <c r="F288">
        <v>54186833.842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-0.6724137931034484</v>
      </c>
      <c r="Q288">
        <f t="shared" si="965"/>
        <v>-36435974.479965523</v>
      </c>
      <c r="R288">
        <f t="shared" si="966"/>
        <v>213918699.44953573</v>
      </c>
      <c r="S288">
        <f t="shared" si="967"/>
        <v>2139.1869944953573</v>
      </c>
      <c r="T288">
        <f t="shared" si="968"/>
        <v>2.1391869944953572</v>
      </c>
    </row>
    <row r="289" spans="1:20" x14ac:dyDescent="0.25">
      <c r="A289" s="5">
        <v>44304</v>
      </c>
      <c r="B289">
        <v>4.6269999999999998</v>
      </c>
      <c r="C289">
        <v>4.6760000000000002</v>
      </c>
      <c r="D289">
        <v>3.012</v>
      </c>
      <c r="E289">
        <v>4.1150000000000002</v>
      </c>
      <c r="F289">
        <v>86884665.689999998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0.32572115384615397</v>
      </c>
      <c r="Q289">
        <f t="shared" si="965"/>
        <v>28300173.560084146</v>
      </c>
      <c r="R289">
        <f t="shared" si="966"/>
        <v>250354673.92950124</v>
      </c>
      <c r="S289">
        <f t="shared" si="967"/>
        <v>2503.5467392950122</v>
      </c>
      <c r="T289">
        <f t="shared" si="968"/>
        <v>2.5035467392950124</v>
      </c>
    </row>
    <row r="290" spans="1:20" x14ac:dyDescent="0.25">
      <c r="A290" s="5">
        <v>44303</v>
      </c>
      <c r="B290">
        <v>4.8849999999999998</v>
      </c>
      <c r="C290">
        <v>5.14</v>
      </c>
      <c r="D290">
        <v>4.57</v>
      </c>
      <c r="E290">
        <v>4.6260000000000003</v>
      </c>
      <c r="F290">
        <v>36461484.479000002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-0.80350877192982417</v>
      </c>
      <c r="Q290">
        <f t="shared" si="965"/>
        <v>-29297122.616459638</v>
      </c>
      <c r="R290">
        <f t="shared" si="966"/>
        <v>222054500.3694171</v>
      </c>
      <c r="S290">
        <f t="shared" si="967"/>
        <v>2220.5450036941711</v>
      </c>
      <c r="T290">
        <f t="shared" si="968"/>
        <v>2.2205450036941712</v>
      </c>
    </row>
    <row r="291" spans="1:20" x14ac:dyDescent="0.25">
      <c r="A291" s="5">
        <v>44302</v>
      </c>
      <c r="B291">
        <v>4.694</v>
      </c>
      <c r="C291">
        <v>5.1159999999999997</v>
      </c>
      <c r="D291">
        <v>4.4690000000000003</v>
      </c>
      <c r="E291">
        <v>4.883</v>
      </c>
      <c r="F291">
        <v>57389332.593999997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0.27975270479134501</v>
      </c>
      <c r="Q291">
        <f t="shared" si="965"/>
        <v>16054821.019341595</v>
      </c>
      <c r="R291">
        <f t="shared" si="966"/>
        <v>251351622.98587674</v>
      </c>
      <c r="S291">
        <f t="shared" si="967"/>
        <v>2513.5162298587675</v>
      </c>
      <c r="T291">
        <f t="shared" si="968"/>
        <v>2.5135162298587677</v>
      </c>
    </row>
    <row r="292" spans="1:20" x14ac:dyDescent="0.25">
      <c r="A292" s="5">
        <v>44301</v>
      </c>
      <c r="B292">
        <v>4.5170000000000003</v>
      </c>
      <c r="C292">
        <v>4.8979999999999997</v>
      </c>
      <c r="D292">
        <v>4.3620000000000001</v>
      </c>
      <c r="E292">
        <v>4.6929999999999996</v>
      </c>
      <c r="F292">
        <v>42919925.943000004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0.23507462686567079</v>
      </c>
      <c r="Q292">
        <f t="shared" si="965"/>
        <v>10089385.576152949</v>
      </c>
      <c r="R292">
        <f t="shared" si="966"/>
        <v>235296801.96653515</v>
      </c>
      <c r="S292">
        <f t="shared" si="967"/>
        <v>2352.9680196653517</v>
      </c>
      <c r="T292">
        <f t="shared" si="968"/>
        <v>2.3529680196653517</v>
      </c>
    </row>
    <row r="293" spans="1:20" x14ac:dyDescent="0.25">
      <c r="A293" s="5">
        <v>44300</v>
      </c>
      <c r="B293">
        <v>4.62</v>
      </c>
      <c r="C293">
        <v>4.9770000000000003</v>
      </c>
      <c r="D293">
        <v>4.32</v>
      </c>
      <c r="E293">
        <v>4.5170000000000003</v>
      </c>
      <c r="F293">
        <v>48320891.046999998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-0.40030441400304395</v>
      </c>
      <c r="Q293">
        <f t="shared" si="965"/>
        <v>-19343065.974674266</v>
      </c>
      <c r="R293">
        <f t="shared" si="966"/>
        <v>225207416.3903822</v>
      </c>
      <c r="S293">
        <f t="shared" si="967"/>
        <v>2252.074163903822</v>
      </c>
      <c r="T293">
        <f t="shared" si="968"/>
        <v>2.252074163903822</v>
      </c>
    </row>
    <row r="294" spans="1:20" x14ac:dyDescent="0.25">
      <c r="A294" s="5">
        <v>44299</v>
      </c>
      <c r="B294">
        <v>4.7370000000000001</v>
      </c>
      <c r="C294">
        <v>4.8630000000000004</v>
      </c>
      <c r="D294">
        <v>4.4240000000000004</v>
      </c>
      <c r="E294">
        <v>4.6189999999999998</v>
      </c>
      <c r="F294">
        <v>37805719.493000001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-0.11161731207289581</v>
      </c>
      <c r="Q294">
        <f t="shared" si="965"/>
        <v>-4219772.7907905411</v>
      </c>
      <c r="R294">
        <f t="shared" si="966"/>
        <v>244550482.36505646</v>
      </c>
      <c r="S294">
        <f t="shared" si="967"/>
        <v>2445.5048236505645</v>
      </c>
      <c r="T294">
        <f t="shared" si="968"/>
        <v>2.4455048236505643</v>
      </c>
    </row>
    <row r="295" spans="1:20" x14ac:dyDescent="0.25">
      <c r="A295" s="5">
        <v>44298</v>
      </c>
      <c r="B295">
        <v>5.032</v>
      </c>
      <c r="C295">
        <v>5.2009999999999996</v>
      </c>
      <c r="D295">
        <v>4.577</v>
      </c>
      <c r="E295">
        <v>4.7359999999999998</v>
      </c>
      <c r="F295">
        <v>37102077.710000001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-0.49038461538461575</v>
      </c>
      <c r="Q295">
        <f t="shared" si="965"/>
        <v>-18194288.107788477</v>
      </c>
      <c r="R295">
        <f t="shared" si="966"/>
        <v>248770255.15584698</v>
      </c>
      <c r="S295">
        <f t="shared" si="967"/>
        <v>2487.7025515584696</v>
      </c>
      <c r="T295">
        <f t="shared" si="968"/>
        <v>2.4877025515584696</v>
      </c>
    </row>
    <row r="296" spans="1:20" x14ac:dyDescent="0.25">
      <c r="A296" s="5">
        <v>44297</v>
      </c>
      <c r="B296">
        <v>5.181</v>
      </c>
      <c r="C296">
        <v>5.3</v>
      </c>
      <c r="D296">
        <v>4.7699999999999996</v>
      </c>
      <c r="E296">
        <v>5.03</v>
      </c>
      <c r="F296">
        <v>33173501.088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-1.8867924528299801E-2</v>
      </c>
      <c r="Q296">
        <f t="shared" si="965"/>
        <v>-625915.11486785533</v>
      </c>
      <c r="R296">
        <f t="shared" si="966"/>
        <v>266964543.26363546</v>
      </c>
      <c r="S296">
        <f t="shared" si="967"/>
        <v>2669.6454326363546</v>
      </c>
      <c r="T296">
        <f t="shared" si="968"/>
        <v>2.6696454326363548</v>
      </c>
    </row>
    <row r="297" spans="1:20" x14ac:dyDescent="0.25">
      <c r="A297" s="5">
        <v>44296</v>
      </c>
      <c r="B297">
        <v>4.7709999999999999</v>
      </c>
      <c r="C297">
        <v>5.5069999999999997</v>
      </c>
      <c r="D297">
        <v>4.718</v>
      </c>
      <c r="E297">
        <v>5.1790000000000003</v>
      </c>
      <c r="F297">
        <v>62857462.155000001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0.16856780735107851</v>
      </c>
      <c r="Q297">
        <f t="shared" si="965"/>
        <v>10595744.571121749</v>
      </c>
      <c r="R297">
        <f t="shared" si="966"/>
        <v>267590458.37850332</v>
      </c>
      <c r="S297">
        <f t="shared" si="967"/>
        <v>2675.9045837850331</v>
      </c>
      <c r="T297">
        <f t="shared" si="968"/>
        <v>2.6759045837850333</v>
      </c>
    </row>
    <row r="298" spans="1:20" x14ac:dyDescent="0.25">
      <c r="A298" s="5">
        <v>44295</v>
      </c>
      <c r="B298">
        <v>4.6669999999999998</v>
      </c>
      <c r="C298">
        <v>4.93</v>
      </c>
      <c r="D298">
        <v>4.4690000000000003</v>
      </c>
      <c r="E298">
        <v>4.7699999999999996</v>
      </c>
      <c r="F298">
        <v>36323951.166000001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0.30585683297179894</v>
      </c>
      <c r="Q298">
        <f t="shared" si="965"/>
        <v>11109928.664655045</v>
      </c>
      <c r="R298">
        <f t="shared" si="966"/>
        <v>256994713.80738157</v>
      </c>
      <c r="S298">
        <f t="shared" si="967"/>
        <v>2569.9471380738155</v>
      </c>
      <c r="T298">
        <f t="shared" si="968"/>
        <v>2.5699471380738155</v>
      </c>
    </row>
    <row r="299" spans="1:20" x14ac:dyDescent="0.25">
      <c r="A299" s="5">
        <v>44294</v>
      </c>
      <c r="B299">
        <v>4.0839999999999996</v>
      </c>
      <c r="C299">
        <v>4.9029999999999996</v>
      </c>
      <c r="D299">
        <v>4.0209999999999999</v>
      </c>
      <c r="E299">
        <v>4.6689999999999996</v>
      </c>
      <c r="F299">
        <v>47480894.358999997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0.46938775510204067</v>
      </c>
      <c r="Q299">
        <f t="shared" si="965"/>
        <v>22286950.413408156</v>
      </c>
      <c r="R299">
        <f t="shared" si="966"/>
        <v>245884785.14272651</v>
      </c>
      <c r="S299">
        <f t="shared" si="967"/>
        <v>2458.8478514272651</v>
      </c>
      <c r="T299">
        <f t="shared" si="968"/>
        <v>2.4588478514272651</v>
      </c>
    </row>
    <row r="300" spans="1:20" x14ac:dyDescent="0.25">
      <c r="A300" s="5">
        <v>44293</v>
      </c>
      <c r="B300">
        <v>4.6360000000000001</v>
      </c>
      <c r="C300">
        <v>4.8499999999999996</v>
      </c>
      <c r="D300">
        <v>3.8370000000000002</v>
      </c>
      <c r="E300">
        <v>4.0830000000000002</v>
      </c>
      <c r="F300">
        <v>59385783.269000001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-0.5143139190523196</v>
      </c>
      <c r="Q300">
        <f t="shared" si="965"/>
        <v>-30542934.929071061</v>
      </c>
      <c r="R300">
        <f t="shared" si="966"/>
        <v>223597834.72931835</v>
      </c>
      <c r="S300">
        <f t="shared" si="967"/>
        <v>2235.9783472931836</v>
      </c>
      <c r="T300">
        <f t="shared" si="968"/>
        <v>2.2359783472931833</v>
      </c>
    </row>
    <row r="301" spans="1:20" x14ac:dyDescent="0.25">
      <c r="A301" s="5">
        <v>44292</v>
      </c>
      <c r="B301">
        <v>4.7210000000000001</v>
      </c>
      <c r="C301">
        <v>5.0060000000000002</v>
      </c>
      <c r="D301">
        <v>4.2140000000000004</v>
      </c>
      <c r="E301">
        <v>4.6369999999999996</v>
      </c>
      <c r="F301">
        <v>60523224.691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6.8181818181816289E-2</v>
      </c>
      <c r="Q301">
        <f t="shared" si="965"/>
        <v>4126583.5016589765</v>
      </c>
      <c r="R301">
        <f t="shared" si="966"/>
        <v>254140769.65838942</v>
      </c>
      <c r="S301">
        <f t="shared" si="967"/>
        <v>2541.407696583894</v>
      </c>
      <c r="T301">
        <f t="shared" si="968"/>
        <v>2.5414076965838941</v>
      </c>
    </row>
    <row r="302" spans="1:20" x14ac:dyDescent="0.25">
      <c r="A302" s="5">
        <v>44291</v>
      </c>
      <c r="B302">
        <v>4.4589999999999996</v>
      </c>
      <c r="C302">
        <v>5.38</v>
      </c>
      <c r="D302">
        <v>4.101</v>
      </c>
      <c r="E302">
        <v>4.72</v>
      </c>
      <c r="F302">
        <v>85314351.518999994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-3.2056293979671913E-2</v>
      </c>
      <c r="Q302">
        <f t="shared" si="965"/>
        <v>-2734861.9329781327</v>
      </c>
      <c r="R302">
        <f t="shared" si="966"/>
        <v>250014186.15673044</v>
      </c>
      <c r="S302">
        <f t="shared" si="967"/>
        <v>2500.1418615673047</v>
      </c>
      <c r="T302">
        <f t="shared" si="968"/>
        <v>2.5001418615673048</v>
      </c>
    </row>
    <row r="303" spans="1:20" x14ac:dyDescent="0.25">
      <c r="A303" s="5">
        <v>44290</v>
      </c>
      <c r="B303">
        <v>3.3759999999999999</v>
      </c>
      <c r="C303">
        <v>4.47</v>
      </c>
      <c r="D303">
        <v>3.2919999999999998</v>
      </c>
      <c r="E303">
        <v>4.4580000000000002</v>
      </c>
      <c r="F303">
        <v>64397874.755999997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0.97962648556876131</v>
      </c>
      <c r="Q303">
        <f t="shared" si="965"/>
        <v>63085863.72531753</v>
      </c>
      <c r="R303">
        <f t="shared" si="966"/>
        <v>252749048.08970857</v>
      </c>
      <c r="S303">
        <f t="shared" si="967"/>
        <v>2527.4904808970855</v>
      </c>
      <c r="T303">
        <f t="shared" si="968"/>
        <v>2.5274904808970855</v>
      </c>
    </row>
    <row r="304" spans="1:20" x14ac:dyDescent="0.25">
      <c r="A304" s="5">
        <v>44289</v>
      </c>
      <c r="B304">
        <v>3.7330000000000001</v>
      </c>
      <c r="C304">
        <v>3.895</v>
      </c>
      <c r="D304">
        <v>3.3679999999999999</v>
      </c>
      <c r="E304">
        <v>3.3759999999999999</v>
      </c>
      <c r="F304">
        <v>32437801.249000002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-0.96963946869070206</v>
      </c>
      <c r="Q304">
        <f t="shared" si="965"/>
        <v>-31452972.368574955</v>
      </c>
      <c r="R304">
        <f t="shared" si="966"/>
        <v>189663184.36439103</v>
      </c>
      <c r="S304">
        <f t="shared" si="967"/>
        <v>1896.6318436439103</v>
      </c>
      <c r="T304">
        <f t="shared" si="968"/>
        <v>1.8966318436439102</v>
      </c>
    </row>
    <row r="305" spans="1:20" x14ac:dyDescent="0.25">
      <c r="A305" s="5">
        <v>44288</v>
      </c>
      <c r="B305">
        <v>3.6680000000000001</v>
      </c>
      <c r="C305">
        <v>3.79</v>
      </c>
      <c r="D305">
        <v>3.5670000000000002</v>
      </c>
      <c r="E305">
        <v>3.734</v>
      </c>
      <c r="F305">
        <v>25283797.543000001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0.49775784753363156</v>
      </c>
      <c r="Q305">
        <f t="shared" si="965"/>
        <v>12585208.642479803</v>
      </c>
      <c r="R305">
        <f t="shared" si="966"/>
        <v>221116156.73296598</v>
      </c>
      <c r="S305">
        <f t="shared" si="967"/>
        <v>2211.1615673296596</v>
      </c>
      <c r="T305">
        <f t="shared" si="968"/>
        <v>2.2111615673296598</v>
      </c>
    </row>
    <row r="306" spans="1:20" x14ac:dyDescent="0.25">
      <c r="A306" s="5">
        <v>44287</v>
      </c>
      <c r="B306">
        <v>3.496</v>
      </c>
      <c r="C306">
        <v>3.8180000000000001</v>
      </c>
      <c r="D306">
        <v>3.41</v>
      </c>
      <c r="E306">
        <v>3.6680000000000001</v>
      </c>
      <c r="F306">
        <v>35387368.438000001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0.26470588235294146</v>
      </c>
      <c r="Q306">
        <f t="shared" si="965"/>
        <v>9367244.5865294226</v>
      </c>
      <c r="R306">
        <f t="shared" si="966"/>
        <v>208530948.09048617</v>
      </c>
      <c r="S306">
        <f t="shared" si="967"/>
        <v>2085.3094809048616</v>
      </c>
      <c r="T306">
        <f t="shared" si="968"/>
        <v>2.0853094809048618</v>
      </c>
    </row>
    <row r="307" spans="1:20" x14ac:dyDescent="0.25">
      <c r="A307" s="5">
        <v>44286</v>
      </c>
      <c r="B307">
        <v>3.6419999999999999</v>
      </c>
      <c r="C307">
        <v>3.758</v>
      </c>
      <c r="D307">
        <v>3.2360000000000002</v>
      </c>
      <c r="E307">
        <v>3.496</v>
      </c>
      <c r="F307">
        <v>37452121.148999996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-3.8314176245215032E-3</v>
      </c>
      <c r="Q307">
        <f t="shared" si="965"/>
        <v>-143494.71704599311</v>
      </c>
      <c r="R307">
        <f t="shared" si="966"/>
        <v>199163703.50395674</v>
      </c>
      <c r="S307">
        <f t="shared" si="967"/>
        <v>1991.6370350395673</v>
      </c>
      <c r="T307">
        <f t="shared" si="968"/>
        <v>1.9916370350395673</v>
      </c>
    </row>
    <row r="308" spans="1:20" x14ac:dyDescent="0.25">
      <c r="A308" s="5">
        <v>44285</v>
      </c>
      <c r="B308">
        <v>3.2959999999999998</v>
      </c>
      <c r="C308">
        <v>3.7629999999999999</v>
      </c>
      <c r="D308">
        <v>3.238</v>
      </c>
      <c r="E308">
        <v>3.6429999999999998</v>
      </c>
      <c r="F308">
        <v>44550418.273000002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0.54285714285714237</v>
      </c>
      <c r="Q308">
        <f t="shared" si="965"/>
        <v>24184512.776771408</v>
      </c>
      <c r="R308">
        <f t="shared" si="966"/>
        <v>199307198.22100273</v>
      </c>
      <c r="S308">
        <f t="shared" si="967"/>
        <v>1993.0719822100273</v>
      </c>
      <c r="T308">
        <f t="shared" si="968"/>
        <v>1.9930719822100273</v>
      </c>
    </row>
    <row r="309" spans="1:20" x14ac:dyDescent="0.25">
      <c r="A309" s="5">
        <v>44284</v>
      </c>
      <c r="B309">
        <v>3.1030000000000002</v>
      </c>
      <c r="C309">
        <v>3.32</v>
      </c>
      <c r="D309">
        <v>3.0379999999999998</v>
      </c>
      <c r="E309">
        <v>3.2949999999999999</v>
      </c>
      <c r="F309">
        <v>25922381.125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0.82269503546099354</v>
      </c>
      <c r="Q309">
        <f t="shared" si="965"/>
        <v>21326214.258865263</v>
      </c>
      <c r="R309">
        <f t="shared" si="966"/>
        <v>175122685.44423133</v>
      </c>
      <c r="S309">
        <f t="shared" si="967"/>
        <v>1751.2268544423134</v>
      </c>
      <c r="T309">
        <f t="shared" si="968"/>
        <v>1.7512268544423135</v>
      </c>
    </row>
    <row r="310" spans="1:20" x14ac:dyDescent="0.25">
      <c r="A310" s="5">
        <v>44283</v>
      </c>
      <c r="B310">
        <v>3.1619999999999999</v>
      </c>
      <c r="C310">
        <v>3.335</v>
      </c>
      <c r="D310">
        <v>2.9990000000000001</v>
      </c>
      <c r="E310">
        <v>3.1040000000000001</v>
      </c>
      <c r="F310">
        <v>34170761.715000004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-0.37499999999999983</v>
      </c>
      <c r="Q310">
        <f t="shared" si="965"/>
        <v>-12814035.643124996</v>
      </c>
      <c r="R310">
        <f t="shared" si="966"/>
        <v>153796471.18536606</v>
      </c>
      <c r="S310">
        <f t="shared" si="967"/>
        <v>1537.9647118536607</v>
      </c>
      <c r="T310">
        <f t="shared" si="968"/>
        <v>1.5379647118536606</v>
      </c>
    </row>
    <row r="311" spans="1:20" x14ac:dyDescent="0.25">
      <c r="A311" s="5">
        <v>44282</v>
      </c>
      <c r="B311">
        <v>3.044</v>
      </c>
      <c r="C311">
        <v>3.18</v>
      </c>
      <c r="D311">
        <v>2.903</v>
      </c>
      <c r="E311">
        <v>3.1619999999999999</v>
      </c>
      <c r="F311">
        <v>32761324.127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0.87003610108303087</v>
      </c>
      <c r="Q311">
        <f t="shared" si="965"/>
        <v>28503534.709772509</v>
      </c>
      <c r="R311">
        <f t="shared" si="966"/>
        <v>166610506.82849106</v>
      </c>
      <c r="S311">
        <f t="shared" si="967"/>
        <v>1666.1050682849107</v>
      </c>
      <c r="T311">
        <f t="shared" si="968"/>
        <v>1.6661050682849106</v>
      </c>
    </row>
    <row r="312" spans="1:20" x14ac:dyDescent="0.25">
      <c r="A312" s="5">
        <v>44281</v>
      </c>
      <c r="B312">
        <v>2.7669999999999999</v>
      </c>
      <c r="C312">
        <v>3.1179999999999999</v>
      </c>
      <c r="D312">
        <v>2.7639999999999998</v>
      </c>
      <c r="E312">
        <v>3.044</v>
      </c>
      <c r="F312">
        <v>35673602.174999997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0.58192090395480323</v>
      </c>
      <c r="Q312">
        <f t="shared" si="965"/>
        <v>20759214.825000033</v>
      </c>
      <c r="R312">
        <f t="shared" si="966"/>
        <v>138106972.11871856</v>
      </c>
      <c r="S312">
        <f t="shared" si="967"/>
        <v>1381.0697211871857</v>
      </c>
      <c r="T312">
        <f t="shared" si="968"/>
        <v>1.3810697211871856</v>
      </c>
    </row>
    <row r="313" spans="1:20" x14ac:dyDescent="0.25">
      <c r="A313" s="5">
        <v>44280</v>
      </c>
      <c r="B313">
        <v>2.8769999999999998</v>
      </c>
      <c r="C313">
        <v>2.927</v>
      </c>
      <c r="D313">
        <v>2.601</v>
      </c>
      <c r="E313">
        <v>2.7709999999999999</v>
      </c>
      <c r="F313">
        <v>59276113.747000001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4.2944785276072969E-2</v>
      </c>
      <c r="Q313">
        <f t="shared" si="965"/>
        <v>2545599.9768649922</v>
      </c>
      <c r="R313">
        <f t="shared" si="966"/>
        <v>117347757.29371852</v>
      </c>
      <c r="S313">
        <f t="shared" si="967"/>
        <v>1173.4775729371852</v>
      </c>
      <c r="T313">
        <f t="shared" si="968"/>
        <v>1.1734775729371851</v>
      </c>
    </row>
    <row r="314" spans="1:20" x14ac:dyDescent="0.25">
      <c r="A314" s="5">
        <v>44279</v>
      </c>
      <c r="B314">
        <v>3.2589999999999999</v>
      </c>
      <c r="C314">
        <v>3.5049999999999999</v>
      </c>
      <c r="D314">
        <v>2.6659999999999999</v>
      </c>
      <c r="E314">
        <v>2.8759999999999999</v>
      </c>
      <c r="F314">
        <v>57424611.732000001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-0.49940405244338504</v>
      </c>
      <c r="Q314">
        <f t="shared" si="965"/>
        <v>-28678083.808948752</v>
      </c>
      <c r="R314">
        <f t="shared" si="966"/>
        <v>114802157.31685352</v>
      </c>
      <c r="S314">
        <f t="shared" si="967"/>
        <v>1148.0215731685353</v>
      </c>
      <c r="T314">
        <f t="shared" si="968"/>
        <v>1.1480215731685353</v>
      </c>
    </row>
    <row r="315" spans="1:20" x14ac:dyDescent="0.25">
      <c r="A315" s="5">
        <v>44278</v>
      </c>
      <c r="B315">
        <v>3.3809999999999998</v>
      </c>
      <c r="C315">
        <v>3.5070000000000001</v>
      </c>
      <c r="D315">
        <v>3.141</v>
      </c>
      <c r="E315">
        <v>3.2610000000000001</v>
      </c>
      <c r="F315">
        <v>44277804.608999997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-0.34426229508196682</v>
      </c>
      <c r="Q315">
        <f t="shared" si="965"/>
        <v>-15243178.635885227</v>
      </c>
      <c r="R315">
        <f t="shared" si="966"/>
        <v>143480241.12580228</v>
      </c>
      <c r="S315">
        <f t="shared" si="967"/>
        <v>1434.8024112580229</v>
      </c>
      <c r="T315">
        <f t="shared" si="968"/>
        <v>1.4348024112580229</v>
      </c>
    </row>
    <row r="316" spans="1:20" x14ac:dyDescent="0.25">
      <c r="A316" s="5">
        <v>44277</v>
      </c>
      <c r="B316">
        <v>3.8180000000000001</v>
      </c>
      <c r="C316">
        <v>3.9940000000000002</v>
      </c>
      <c r="D316">
        <v>3.3559999999999999</v>
      </c>
      <c r="E316">
        <v>3.383</v>
      </c>
      <c r="F316">
        <v>45325571.850000001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-0.91536050156739779</v>
      </c>
      <c r="Q316">
        <f t="shared" si="965"/>
        <v>-41489238.182445124</v>
      </c>
      <c r="R316">
        <f t="shared" si="966"/>
        <v>158723419.76168752</v>
      </c>
      <c r="S316">
        <f t="shared" si="967"/>
        <v>1587.2341976168752</v>
      </c>
      <c r="T316">
        <f t="shared" si="968"/>
        <v>1.5872341976168753</v>
      </c>
    </row>
    <row r="317" spans="1:20" x14ac:dyDescent="0.25">
      <c r="A317" s="5">
        <v>44276</v>
      </c>
      <c r="B317">
        <v>3.57</v>
      </c>
      <c r="C317">
        <v>3.9569999999999999</v>
      </c>
      <c r="D317">
        <v>3.427</v>
      </c>
      <c r="E317">
        <v>3.8239999999999998</v>
      </c>
      <c r="F317">
        <v>47468640.630000003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0.49811320754716959</v>
      </c>
      <c r="Q317">
        <f t="shared" si="965"/>
        <v>23644756.842113197</v>
      </c>
      <c r="R317">
        <f t="shared" si="966"/>
        <v>200212657.94413263</v>
      </c>
      <c r="S317">
        <f t="shared" si="967"/>
        <v>2002.1265794413262</v>
      </c>
      <c r="T317">
        <f t="shared" si="968"/>
        <v>2.0021265794413261</v>
      </c>
    </row>
    <row r="318" spans="1:20" x14ac:dyDescent="0.25">
      <c r="A318" s="5">
        <v>44275</v>
      </c>
      <c r="B318">
        <v>3.9729999999999999</v>
      </c>
      <c r="C318">
        <v>4.1399999999999997</v>
      </c>
      <c r="D318">
        <v>3.5470000000000002</v>
      </c>
      <c r="E318">
        <v>3.569</v>
      </c>
      <c r="F318">
        <v>51985350.968000002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-0.92580101180438512</v>
      </c>
      <c r="Q318">
        <f t="shared" si="965"/>
        <v>-48128090.525180474</v>
      </c>
      <c r="R318">
        <f t="shared" si="966"/>
        <v>176567901.10201943</v>
      </c>
      <c r="S318">
        <f t="shared" si="967"/>
        <v>1765.6790110201944</v>
      </c>
      <c r="T318">
        <f t="shared" si="968"/>
        <v>1.7656790110201943</v>
      </c>
    </row>
    <row r="319" spans="1:20" x14ac:dyDescent="0.25">
      <c r="A319" s="5">
        <v>44274</v>
      </c>
      <c r="B319">
        <v>3.3620000000000001</v>
      </c>
      <c r="C319">
        <v>3.98</v>
      </c>
      <c r="D319">
        <v>3.22</v>
      </c>
      <c r="E319">
        <v>3.9729999999999999</v>
      </c>
      <c r="F319">
        <v>59199291.733999997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0.98157894736842077</v>
      </c>
      <c r="Q319">
        <f t="shared" si="965"/>
        <v>58108778.465215772</v>
      </c>
      <c r="R319">
        <f t="shared" si="966"/>
        <v>224695991.62719992</v>
      </c>
      <c r="S319">
        <f t="shared" si="967"/>
        <v>2246.9599162719992</v>
      </c>
      <c r="T319">
        <f t="shared" si="968"/>
        <v>2.2469599162719991</v>
      </c>
    </row>
    <row r="320" spans="1:20" x14ac:dyDescent="0.25">
      <c r="A320" s="5">
        <v>44273</v>
      </c>
      <c r="B320">
        <v>3.218</v>
      </c>
      <c r="C320">
        <v>3.5169999999999999</v>
      </c>
      <c r="D320">
        <v>3.1469999999999998</v>
      </c>
      <c r="E320">
        <v>3.36</v>
      </c>
      <c r="F320">
        <v>44434976.980999999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0.15135135135135144</v>
      </c>
      <c r="Q320">
        <f t="shared" si="965"/>
        <v>6725293.8133405447</v>
      </c>
      <c r="R320">
        <f t="shared" si="966"/>
        <v>166587213.16198415</v>
      </c>
      <c r="S320">
        <f t="shared" si="967"/>
        <v>1665.8721316198414</v>
      </c>
      <c r="T320">
        <f t="shared" si="968"/>
        <v>1.6658721316198415</v>
      </c>
    </row>
    <row r="321" spans="1:20" x14ac:dyDescent="0.25">
      <c r="A321" s="5">
        <v>44272</v>
      </c>
      <c r="B321">
        <v>3.1560000000000001</v>
      </c>
      <c r="C321">
        <v>3.2879999999999998</v>
      </c>
      <c r="D321">
        <v>2.956</v>
      </c>
      <c r="E321">
        <v>3.218</v>
      </c>
      <c r="F321">
        <v>38151607.045000002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0.57831325301204894</v>
      </c>
      <c r="Q321">
        <f t="shared" si="965"/>
        <v>22063579.977831356</v>
      </c>
      <c r="R321">
        <f t="shared" si="966"/>
        <v>159861919.3486436</v>
      </c>
      <c r="S321">
        <f t="shared" si="967"/>
        <v>1598.619193486436</v>
      </c>
      <c r="T321">
        <f t="shared" si="968"/>
        <v>1.598619193486436</v>
      </c>
    </row>
    <row r="322" spans="1:20" x14ac:dyDescent="0.25">
      <c r="A322" s="5">
        <v>44271</v>
      </c>
      <c r="B322">
        <v>2.875</v>
      </c>
      <c r="C322">
        <v>3.2879999999999998</v>
      </c>
      <c r="D322">
        <v>2.7</v>
      </c>
      <c r="E322">
        <v>3.1549999999999998</v>
      </c>
      <c r="F322">
        <v>56665861.537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0.54761904761904734</v>
      </c>
      <c r="Q322">
        <f t="shared" si="965"/>
        <v>31031305.127404746</v>
      </c>
      <c r="R322">
        <f t="shared" si="966"/>
        <v>137798339.37081224</v>
      </c>
      <c r="S322">
        <f t="shared" si="967"/>
        <v>1377.9833937081223</v>
      </c>
      <c r="T322">
        <f t="shared" si="968"/>
        <v>1.3779833937081223</v>
      </c>
    </row>
    <row r="323" spans="1:20" x14ac:dyDescent="0.25">
      <c r="A323" s="5">
        <v>44270</v>
      </c>
      <c r="B323">
        <v>3.0350000000000001</v>
      </c>
      <c r="C323">
        <v>3.2240000000000002</v>
      </c>
      <c r="D323">
        <v>2.7549999999999999</v>
      </c>
      <c r="E323">
        <v>2.875</v>
      </c>
      <c r="F323">
        <v>52412492.479999997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-0.48827292110874188</v>
      </c>
      <c r="Q323">
        <f t="shared" si="965"/>
        <v>-25591600.805799566</v>
      </c>
      <c r="R323">
        <f t="shared" si="966"/>
        <v>106767034.24340749</v>
      </c>
      <c r="S323">
        <f t="shared" si="967"/>
        <v>1067.6703424340749</v>
      </c>
      <c r="T323">
        <f t="shared" si="968"/>
        <v>1.067670342434075</v>
      </c>
    </row>
    <row r="324" spans="1:20" x14ac:dyDescent="0.25">
      <c r="A324" s="5">
        <v>44269</v>
      </c>
      <c r="B324">
        <v>3.0409999999999999</v>
      </c>
      <c r="C324">
        <v>3.35</v>
      </c>
      <c r="D324">
        <v>2.8260000000000001</v>
      </c>
      <c r="E324">
        <v>3.0329999999999999</v>
      </c>
      <c r="F324">
        <v>68464210.289000005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-0.209923664122138</v>
      </c>
      <c r="Q324">
        <f t="shared" si="965"/>
        <v>-14372257.885095462</v>
      </c>
      <c r="R324">
        <f t="shared" si="966"/>
        <v>132358635.04920705</v>
      </c>
      <c r="S324">
        <f t="shared" si="967"/>
        <v>1323.5863504920706</v>
      </c>
      <c r="T324">
        <f t="shared" si="968"/>
        <v>1.3235863504920706</v>
      </c>
    </row>
    <row r="325" spans="1:20" x14ac:dyDescent="0.25">
      <c r="A325" s="5">
        <v>44268</v>
      </c>
      <c r="B325">
        <v>3.2810000000000001</v>
      </c>
      <c r="C325">
        <v>3.2839999999999998</v>
      </c>
      <c r="D325">
        <v>2.9169999999999998</v>
      </c>
      <c r="E325">
        <v>3.0390000000000001</v>
      </c>
      <c r="F325">
        <v>57758348.642999999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-0.33514986376021616</v>
      </c>
      <c r="Q325">
        <f t="shared" si="965"/>
        <v>-19357702.678716514</v>
      </c>
      <c r="R325">
        <f t="shared" si="966"/>
        <v>146730892.93430251</v>
      </c>
      <c r="S325">
        <f t="shared" si="967"/>
        <v>1467.3089293430251</v>
      </c>
      <c r="T325">
        <f t="shared" si="968"/>
        <v>1.467308929343025</v>
      </c>
    </row>
    <row r="326" spans="1:20" x14ac:dyDescent="0.25">
      <c r="A326" s="5">
        <v>44267</v>
      </c>
      <c r="B326">
        <v>3.4180000000000001</v>
      </c>
      <c r="C326">
        <v>3.68</v>
      </c>
      <c r="D326">
        <v>3.0630000000000002</v>
      </c>
      <c r="E326">
        <v>3.2759999999999998</v>
      </c>
      <c r="F326">
        <v>66414379.626000002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-0.30956239870340474</v>
      </c>
      <c r="Q326">
        <f t="shared" ref="Q326:Q389" si="970">F326*P326</f>
        <v>-20559394.665423092</v>
      </c>
      <c r="R326">
        <f t="shared" ref="R326:R389" si="971">R327+Q326</f>
        <v>166088595.61301902</v>
      </c>
      <c r="S326">
        <f t="shared" ref="S326:S389" si="972">R326/100000</f>
        <v>1660.8859561301902</v>
      </c>
      <c r="T326">
        <f t="shared" ref="T326:T389" si="973">S326/1000</f>
        <v>1.6608859561301901</v>
      </c>
    </row>
    <row r="327" spans="1:20" x14ac:dyDescent="0.25">
      <c r="A327" s="5">
        <v>44266</v>
      </c>
      <c r="B327">
        <v>3.1389999999999998</v>
      </c>
      <c r="C327">
        <v>3.78</v>
      </c>
      <c r="D327">
        <v>3.03</v>
      </c>
      <c r="E327">
        <v>3.419</v>
      </c>
      <c r="F327">
        <v>86655147.002000004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3.7333333333333961E-2</v>
      </c>
      <c r="Q327">
        <f t="shared" si="970"/>
        <v>3235125.4880747213</v>
      </c>
      <c r="R327">
        <f t="shared" si="971"/>
        <v>186647990.27844211</v>
      </c>
      <c r="S327">
        <f t="shared" si="972"/>
        <v>1866.4799027844213</v>
      </c>
      <c r="T327">
        <f t="shared" si="973"/>
        <v>1.8664799027844212</v>
      </c>
    </row>
    <row r="328" spans="1:20" x14ac:dyDescent="0.25">
      <c r="A328" s="5">
        <v>44265</v>
      </c>
      <c r="B328">
        <v>2.9969999999999999</v>
      </c>
      <c r="C328">
        <v>3.4169999999999998</v>
      </c>
      <c r="D328">
        <v>2.766</v>
      </c>
      <c r="E328">
        <v>3.14</v>
      </c>
      <c r="F328">
        <v>70768179.516000003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0.14900153609831099</v>
      </c>
      <c r="Q328">
        <f t="shared" si="970"/>
        <v>10544567.454765027</v>
      </c>
      <c r="R328">
        <f t="shared" si="971"/>
        <v>183412864.79036739</v>
      </c>
      <c r="S328">
        <f t="shared" si="972"/>
        <v>1834.1286479036739</v>
      </c>
      <c r="T328">
        <f t="shared" si="973"/>
        <v>1.834128647903674</v>
      </c>
    </row>
    <row r="329" spans="1:20" x14ac:dyDescent="0.25">
      <c r="A329" s="5">
        <v>44264</v>
      </c>
      <c r="B329">
        <v>2.8639999999999999</v>
      </c>
      <c r="C329">
        <v>3.14</v>
      </c>
      <c r="D329">
        <v>2.8010000000000002</v>
      </c>
      <c r="E329">
        <v>2.9950000000000001</v>
      </c>
      <c r="F329">
        <v>48757847.956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0.14454277286135675</v>
      </c>
      <c r="Q329">
        <f t="shared" si="970"/>
        <v>7047594.5423126752</v>
      </c>
      <c r="R329">
        <f t="shared" si="971"/>
        <v>172868297.33560237</v>
      </c>
      <c r="S329">
        <f t="shared" si="972"/>
        <v>1728.6829733560237</v>
      </c>
      <c r="T329">
        <f t="shared" si="973"/>
        <v>1.7286829733560236</v>
      </c>
    </row>
    <row r="330" spans="1:20" x14ac:dyDescent="0.25">
      <c r="A330" s="5">
        <v>44263</v>
      </c>
      <c r="B330">
        <v>2.5920000000000001</v>
      </c>
      <c r="C330">
        <v>2.9860000000000002</v>
      </c>
      <c r="D330">
        <v>2.5150000000000001</v>
      </c>
      <c r="E330">
        <v>2.863</v>
      </c>
      <c r="F330">
        <v>57591807.535999998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0.47770700636942592</v>
      </c>
      <c r="Q330">
        <f t="shared" si="970"/>
        <v>27512009.969426703</v>
      </c>
      <c r="R330">
        <f t="shared" si="971"/>
        <v>165820702.79328969</v>
      </c>
      <c r="S330">
        <f t="shared" si="972"/>
        <v>1658.2070279328968</v>
      </c>
      <c r="T330">
        <f t="shared" si="973"/>
        <v>1.6582070279328969</v>
      </c>
    </row>
    <row r="331" spans="1:20" x14ac:dyDescent="0.25">
      <c r="A331" s="5">
        <v>44262</v>
      </c>
      <c r="B331">
        <v>2.3780000000000001</v>
      </c>
      <c r="C331">
        <v>2.722</v>
      </c>
      <c r="D331">
        <v>2.375</v>
      </c>
      <c r="E331">
        <v>2.59</v>
      </c>
      <c r="F331">
        <v>41573297.714000002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0.23919308357348631</v>
      </c>
      <c r="Q331">
        <f t="shared" si="970"/>
        <v>9944045.2745302301</v>
      </c>
      <c r="R331">
        <f t="shared" si="971"/>
        <v>138308692.823863</v>
      </c>
      <c r="S331">
        <f t="shared" si="972"/>
        <v>1383.08692823863</v>
      </c>
      <c r="T331">
        <f t="shared" si="973"/>
        <v>1.38308692823863</v>
      </c>
    </row>
    <row r="332" spans="1:20" x14ac:dyDescent="0.25">
      <c r="A332" s="5">
        <v>44261</v>
      </c>
      <c r="B332">
        <v>2.383</v>
      </c>
      <c r="C332">
        <v>2.4300000000000002</v>
      </c>
      <c r="D332">
        <v>2.25</v>
      </c>
      <c r="E332">
        <v>2.379</v>
      </c>
      <c r="F332">
        <v>22395793.101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0.43333333333333213</v>
      </c>
      <c r="Q332">
        <f t="shared" si="970"/>
        <v>9704843.677099973</v>
      </c>
      <c r="R332">
        <f t="shared" si="971"/>
        <v>128364647.54933277</v>
      </c>
      <c r="S332">
        <f t="shared" si="972"/>
        <v>1283.6464754933277</v>
      </c>
      <c r="T332">
        <f t="shared" si="973"/>
        <v>1.2836464754933277</v>
      </c>
    </row>
    <row r="333" spans="1:20" x14ac:dyDescent="0.25">
      <c r="A333" s="5">
        <v>44260</v>
      </c>
      <c r="B333">
        <v>2.4319999999999999</v>
      </c>
      <c r="C333">
        <v>2.4350000000000001</v>
      </c>
      <c r="D333">
        <v>2.222</v>
      </c>
      <c r="E333">
        <v>2.383</v>
      </c>
      <c r="F333">
        <v>38886574.144000001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0.51173708920187766</v>
      </c>
      <c r="Q333">
        <f t="shared" si="970"/>
        <v>19899702.261483558</v>
      </c>
      <c r="R333">
        <f t="shared" si="971"/>
        <v>118659803.87223279</v>
      </c>
      <c r="S333">
        <f t="shared" si="972"/>
        <v>1186.5980387223281</v>
      </c>
      <c r="T333">
        <f t="shared" si="973"/>
        <v>1.1865980387223281</v>
      </c>
    </row>
    <row r="334" spans="1:20" x14ac:dyDescent="0.25">
      <c r="A334" s="5">
        <v>44259</v>
      </c>
      <c r="B334">
        <v>2.609</v>
      </c>
      <c r="C334">
        <v>2.738</v>
      </c>
      <c r="D334">
        <v>2.2869999999999999</v>
      </c>
      <c r="E334">
        <v>2.4350000000000001</v>
      </c>
      <c r="F334">
        <v>63061767.059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-0.34368070953436758</v>
      </c>
      <c r="Q334">
        <f t="shared" si="970"/>
        <v>-21673112.84732813</v>
      </c>
      <c r="R334">
        <f t="shared" si="971"/>
        <v>98760101.610749245</v>
      </c>
      <c r="S334">
        <f t="shared" si="972"/>
        <v>987.60101610749246</v>
      </c>
      <c r="T334">
        <f t="shared" si="973"/>
        <v>0.9876010161074924</v>
      </c>
    </row>
    <row r="335" spans="1:20" x14ac:dyDescent="0.25">
      <c r="A335" s="5">
        <v>44258</v>
      </c>
      <c r="B335">
        <v>2.2320000000000002</v>
      </c>
      <c r="C335">
        <v>2.77</v>
      </c>
      <c r="D335">
        <v>2.1989999999999998</v>
      </c>
      <c r="E335">
        <v>2.6080000000000001</v>
      </c>
      <c r="F335">
        <v>62334079.303000003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0.43257443082311781</v>
      </c>
      <c r="Q335">
        <f t="shared" si="970"/>
        <v>26964128.875378314</v>
      </c>
      <c r="R335">
        <f t="shared" si="971"/>
        <v>120433214.45807737</v>
      </c>
      <c r="S335">
        <f t="shared" si="972"/>
        <v>1204.3321445807737</v>
      </c>
      <c r="T335">
        <f t="shared" si="973"/>
        <v>1.2043321445807738</v>
      </c>
    </row>
    <row r="336" spans="1:20" x14ac:dyDescent="0.25">
      <c r="A336" s="5">
        <v>44257</v>
      </c>
      <c r="B336">
        <v>2.2450000000000001</v>
      </c>
      <c r="C336">
        <v>2.3820000000000001</v>
      </c>
      <c r="D336">
        <v>2.1030000000000002</v>
      </c>
      <c r="E336">
        <v>2.2309999999999999</v>
      </c>
      <c r="F336">
        <v>45620523.469999999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-8.2437275985665165E-2</v>
      </c>
      <c r="Q336">
        <f t="shared" si="970"/>
        <v>-3760831.6839069049</v>
      </c>
      <c r="R336">
        <f t="shared" si="971"/>
        <v>93469085.58269906</v>
      </c>
      <c r="S336">
        <f t="shared" si="972"/>
        <v>934.69085582699063</v>
      </c>
      <c r="T336">
        <f t="shared" si="973"/>
        <v>0.93469085582699063</v>
      </c>
    </row>
    <row r="337" spans="1:20" x14ac:dyDescent="0.25">
      <c r="A337" s="5">
        <v>44256</v>
      </c>
      <c r="B337">
        <v>1.9910000000000001</v>
      </c>
      <c r="C337">
        <v>2.2650000000000001</v>
      </c>
      <c r="D337">
        <v>1.9590000000000001</v>
      </c>
      <c r="E337">
        <v>2.246</v>
      </c>
      <c r="F337">
        <v>44149419.225000001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0.87581699346405151</v>
      </c>
      <c r="Q337">
        <f t="shared" si="970"/>
        <v>38666811.608823493</v>
      </c>
      <c r="R337">
        <f t="shared" si="971"/>
        <v>97229917.266605958</v>
      </c>
      <c r="S337">
        <f t="shared" si="972"/>
        <v>972.29917266605958</v>
      </c>
      <c r="T337">
        <f t="shared" si="973"/>
        <v>0.97229917266605959</v>
      </c>
    </row>
    <row r="338" spans="1:20" x14ac:dyDescent="0.25">
      <c r="A338" s="5">
        <v>44255</v>
      </c>
      <c r="B338">
        <v>2.2240000000000002</v>
      </c>
      <c r="C338">
        <v>2.2469999999999999</v>
      </c>
      <c r="D338">
        <v>1.82</v>
      </c>
      <c r="E338">
        <v>1.9910000000000001</v>
      </c>
      <c r="F338">
        <v>59057796.692000002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-0.19906323185011657</v>
      </c>
      <c r="Q338">
        <f t="shared" si="970"/>
        <v>-11756235.875456644</v>
      </c>
      <c r="R338">
        <f t="shared" si="971"/>
        <v>58563105.657782465</v>
      </c>
      <c r="S338">
        <f t="shared" si="972"/>
        <v>585.63105657782467</v>
      </c>
      <c r="T338">
        <f t="shared" si="973"/>
        <v>0.58563105657782466</v>
      </c>
    </row>
    <row r="339" spans="1:20" x14ac:dyDescent="0.25">
      <c r="A339" s="5">
        <v>44254</v>
      </c>
      <c r="B339">
        <v>2.2290000000000001</v>
      </c>
      <c r="C339">
        <v>2.371</v>
      </c>
      <c r="D339">
        <v>2.1619999999999999</v>
      </c>
      <c r="E339">
        <v>2.2240000000000002</v>
      </c>
      <c r="F339">
        <v>40779164.077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-0.40669856459329901</v>
      </c>
      <c r="Q339">
        <f t="shared" si="970"/>
        <v>-16584827.495430524</v>
      </c>
      <c r="R339">
        <f t="shared" si="971"/>
        <v>70319341.533239111</v>
      </c>
      <c r="S339">
        <f t="shared" si="972"/>
        <v>703.19341533239117</v>
      </c>
      <c r="T339">
        <f t="shared" si="973"/>
        <v>0.70319341533239121</v>
      </c>
    </row>
    <row r="340" spans="1:20" x14ac:dyDescent="0.25">
      <c r="A340" s="5">
        <v>44253</v>
      </c>
      <c r="B340">
        <v>2.2749999999999999</v>
      </c>
      <c r="C340">
        <v>2.4350000000000001</v>
      </c>
      <c r="D340">
        <v>2.0190000000000001</v>
      </c>
      <c r="E340">
        <v>2.2309999999999999</v>
      </c>
      <c r="F340">
        <v>74205930.092999995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1.9230769230768184E-2</v>
      </c>
      <c r="Q340">
        <f t="shared" si="970"/>
        <v>1427037.1171729991</v>
      </c>
      <c r="R340">
        <f t="shared" si="971"/>
        <v>86904169.02866964</v>
      </c>
      <c r="S340">
        <f t="shared" si="972"/>
        <v>869.04169028669639</v>
      </c>
      <c r="T340">
        <f t="shared" si="973"/>
        <v>0.86904169028669642</v>
      </c>
    </row>
    <row r="341" spans="1:20" x14ac:dyDescent="0.25">
      <c r="A341" s="5">
        <v>44252</v>
      </c>
      <c r="B341">
        <v>2.3029999999999999</v>
      </c>
      <c r="C341">
        <v>2.742</v>
      </c>
      <c r="D341">
        <v>2.234</v>
      </c>
      <c r="E341">
        <v>2.2749999999999999</v>
      </c>
      <c r="F341">
        <v>73971400.738000005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-0.83858267716535462</v>
      </c>
      <c r="Q341">
        <f t="shared" si="970"/>
        <v>-62031135.264543332</v>
      </c>
      <c r="R341">
        <f t="shared" si="971"/>
        <v>85477131.911496639</v>
      </c>
      <c r="S341">
        <f t="shared" si="972"/>
        <v>854.77131911496645</v>
      </c>
      <c r="T341">
        <f t="shared" si="973"/>
        <v>0.8547713191149664</v>
      </c>
    </row>
    <row r="342" spans="1:20" x14ac:dyDescent="0.25">
      <c r="A342" s="5">
        <v>44251</v>
      </c>
      <c r="B342">
        <v>2.2850000000000001</v>
      </c>
      <c r="C342">
        <v>2.548</v>
      </c>
      <c r="D342">
        <v>2.1080000000000001</v>
      </c>
      <c r="E342">
        <v>2.302</v>
      </c>
      <c r="F342">
        <v>81142587.701000005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-0.1181818181818183</v>
      </c>
      <c r="Q342">
        <f t="shared" si="970"/>
        <v>-9589578.5464818291</v>
      </c>
      <c r="R342">
        <f t="shared" si="971"/>
        <v>147508267.17603996</v>
      </c>
      <c r="S342">
        <f t="shared" si="972"/>
        <v>1475.0826717603995</v>
      </c>
      <c r="T342">
        <f t="shared" si="973"/>
        <v>1.4750826717603995</v>
      </c>
    </row>
    <row r="343" spans="1:20" x14ac:dyDescent="0.25">
      <c r="A343" s="5">
        <v>44250</v>
      </c>
      <c r="B343">
        <v>2.83</v>
      </c>
      <c r="C343">
        <v>2.8460000000000001</v>
      </c>
      <c r="D343">
        <v>1.704</v>
      </c>
      <c r="E343">
        <v>2.29</v>
      </c>
      <c r="F343">
        <v>120488919.383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2.6269702276707552E-2</v>
      </c>
      <c r="Q343">
        <f t="shared" si="970"/>
        <v>3165208.0398336276</v>
      </c>
      <c r="R343">
        <f t="shared" si="971"/>
        <v>157097845.72252178</v>
      </c>
      <c r="S343">
        <f t="shared" si="972"/>
        <v>1570.9784572252179</v>
      </c>
      <c r="T343">
        <f t="shared" si="973"/>
        <v>1.5709784572252179</v>
      </c>
    </row>
    <row r="344" spans="1:20" x14ac:dyDescent="0.25">
      <c r="A344" s="5">
        <v>44249</v>
      </c>
      <c r="B344">
        <v>3.0939999999999999</v>
      </c>
      <c r="C344">
        <v>3.1120000000000001</v>
      </c>
      <c r="D344">
        <v>2.2999999999999998</v>
      </c>
      <c r="E344">
        <v>2.8319999999999999</v>
      </c>
      <c r="F344">
        <v>87275617.590000004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0.31034482758620652</v>
      </c>
      <c r="Q344">
        <f t="shared" si="970"/>
        <v>27085536.493448243</v>
      </c>
      <c r="R344">
        <f t="shared" si="971"/>
        <v>153932637.68268815</v>
      </c>
      <c r="S344">
        <f t="shared" si="972"/>
        <v>1539.3263768268814</v>
      </c>
      <c r="T344">
        <f t="shared" si="973"/>
        <v>1.5393263768268814</v>
      </c>
    </row>
    <row r="345" spans="1:20" x14ac:dyDescent="0.25">
      <c r="A345" s="5">
        <v>44248</v>
      </c>
      <c r="B345">
        <v>3.0169999999999999</v>
      </c>
      <c r="C345">
        <v>3.39</v>
      </c>
      <c r="D345">
        <v>2.907</v>
      </c>
      <c r="E345">
        <v>3.093</v>
      </c>
      <c r="F345">
        <v>65274885.464000002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-0.22981366459627367</v>
      </c>
      <c r="Q345">
        <f t="shared" si="970"/>
        <v>-15001060.634583876</v>
      </c>
      <c r="R345">
        <f t="shared" si="971"/>
        <v>126847101.1892399</v>
      </c>
      <c r="S345">
        <f t="shared" si="972"/>
        <v>1268.471011892399</v>
      </c>
      <c r="T345">
        <f t="shared" si="973"/>
        <v>1.268471011892399</v>
      </c>
    </row>
    <row r="346" spans="1:20" x14ac:dyDescent="0.25">
      <c r="A346" s="5">
        <v>44247</v>
      </c>
      <c r="B346">
        <v>3.4849999999999999</v>
      </c>
      <c r="C346">
        <v>3.754</v>
      </c>
      <c r="D346">
        <v>2.6110000000000002</v>
      </c>
      <c r="E346">
        <v>3.0219999999999998</v>
      </c>
      <c r="F346">
        <v>78582523.937999994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-0.28083989501312395</v>
      </c>
      <c r="Q346">
        <f t="shared" si="970"/>
        <v>-22069107.772614218</v>
      </c>
      <c r="R346">
        <f t="shared" si="971"/>
        <v>141848161.82382378</v>
      </c>
      <c r="S346">
        <f t="shared" si="972"/>
        <v>1418.4816182382378</v>
      </c>
      <c r="T346">
        <f t="shared" si="973"/>
        <v>1.4184816182382378</v>
      </c>
    </row>
    <row r="347" spans="1:20" x14ac:dyDescent="0.25">
      <c r="A347" s="5">
        <v>44246</v>
      </c>
      <c r="B347">
        <v>3.121</v>
      </c>
      <c r="C347">
        <v>3.79</v>
      </c>
      <c r="D347">
        <v>2.91</v>
      </c>
      <c r="E347">
        <v>3.4820000000000002</v>
      </c>
      <c r="F347">
        <v>97143961.989999995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0.30000000000000032</v>
      </c>
      <c r="Q347">
        <f t="shared" si="970"/>
        <v>29143188.597000029</v>
      </c>
      <c r="R347">
        <f t="shared" si="971"/>
        <v>163917269.59643799</v>
      </c>
      <c r="S347">
        <f t="shared" si="972"/>
        <v>1639.17269596438</v>
      </c>
      <c r="T347">
        <f t="shared" si="973"/>
        <v>1.63917269596438</v>
      </c>
    </row>
    <row r="348" spans="1:20" x14ac:dyDescent="0.25">
      <c r="A348" s="5">
        <v>44245</v>
      </c>
      <c r="B348">
        <v>2.4769999999999999</v>
      </c>
      <c r="C348">
        <v>3.18</v>
      </c>
      <c r="D348">
        <v>2.3780000000000001</v>
      </c>
      <c r="E348">
        <v>3.121</v>
      </c>
      <c r="F348">
        <v>90631819.538000003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0.85286783042393977</v>
      </c>
      <c r="Q348">
        <f t="shared" si="970"/>
        <v>77296963.296748102</v>
      </c>
      <c r="R348">
        <f t="shared" si="971"/>
        <v>134774080.99943796</v>
      </c>
      <c r="S348">
        <f t="shared" si="972"/>
        <v>1347.7408099943796</v>
      </c>
      <c r="T348">
        <f t="shared" si="973"/>
        <v>1.3477408099943795</v>
      </c>
    </row>
    <row r="349" spans="1:20" x14ac:dyDescent="0.25">
      <c r="A349" s="5">
        <v>44244</v>
      </c>
      <c r="B349">
        <v>2.226</v>
      </c>
      <c r="C349">
        <v>2.6</v>
      </c>
      <c r="D349">
        <v>1.988</v>
      </c>
      <c r="E349">
        <v>2.4769999999999999</v>
      </c>
      <c r="F349">
        <v>51354524.026000001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0.59803921568627383</v>
      </c>
      <c r="Q349">
        <f t="shared" si="970"/>
        <v>30712019.270450946</v>
      </c>
      <c r="R349">
        <f t="shared" si="971"/>
        <v>57477117.702689856</v>
      </c>
      <c r="S349">
        <f t="shared" si="972"/>
        <v>574.77117702689861</v>
      </c>
      <c r="T349">
        <f t="shared" si="973"/>
        <v>0.57477117702689862</v>
      </c>
    </row>
    <row r="350" spans="1:20" x14ac:dyDescent="0.25">
      <c r="A350" s="5">
        <v>44243</v>
      </c>
      <c r="B350">
        <v>2.198</v>
      </c>
      <c r="C350">
        <v>2.41</v>
      </c>
      <c r="D350">
        <v>2.1</v>
      </c>
      <c r="E350">
        <v>2.226</v>
      </c>
      <c r="F350">
        <v>43923543.329000004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-0.18709677419354923</v>
      </c>
      <c r="Q350">
        <f t="shared" si="970"/>
        <v>-8217953.2680064887</v>
      </c>
      <c r="R350">
        <f t="shared" si="971"/>
        <v>26765098.432238914</v>
      </c>
      <c r="S350">
        <f t="shared" si="972"/>
        <v>267.65098432238915</v>
      </c>
      <c r="T350">
        <f t="shared" si="973"/>
        <v>0.26765098432238915</v>
      </c>
    </row>
    <row r="351" spans="1:20" x14ac:dyDescent="0.25">
      <c r="A351" s="5">
        <v>44242</v>
      </c>
      <c r="B351">
        <v>2.3170000000000002</v>
      </c>
      <c r="C351">
        <v>2.4180000000000001</v>
      </c>
      <c r="D351">
        <v>1.81</v>
      </c>
      <c r="E351">
        <v>2.198</v>
      </c>
      <c r="F351">
        <v>89829331.384000003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0.27631578947368368</v>
      </c>
      <c r="Q351">
        <f t="shared" si="970"/>
        <v>24821262.619263113</v>
      </c>
      <c r="R351">
        <f t="shared" si="971"/>
        <v>34983051.700245403</v>
      </c>
      <c r="S351">
        <f t="shared" si="972"/>
        <v>349.83051700245403</v>
      </c>
      <c r="T351">
        <f t="shared" si="973"/>
        <v>0.34983051700245404</v>
      </c>
    </row>
    <row r="352" spans="1:20" x14ac:dyDescent="0.25">
      <c r="A352" s="5">
        <v>44241</v>
      </c>
      <c r="B352">
        <v>2.7029999999999998</v>
      </c>
      <c r="C352">
        <v>2.7280000000000002</v>
      </c>
      <c r="D352">
        <v>2.1669999999999998</v>
      </c>
      <c r="E352">
        <v>2.3119999999999998</v>
      </c>
      <c r="F352">
        <v>77520793.334000006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-0.48306595365418925</v>
      </c>
      <c r="Q352">
        <f t="shared" si="970"/>
        <v>-37447655.95991803</v>
      </c>
      <c r="R352">
        <f t="shared" si="971"/>
        <v>10161789.08098229</v>
      </c>
      <c r="S352">
        <f t="shared" si="972"/>
        <v>101.6178908098229</v>
      </c>
      <c r="T352">
        <f t="shared" si="973"/>
        <v>0.10161789080982289</v>
      </c>
    </row>
    <row r="353" spans="1:20" x14ac:dyDescent="0.25">
      <c r="A353" s="5">
        <v>44240</v>
      </c>
      <c r="B353">
        <v>2.8210000000000002</v>
      </c>
      <c r="C353">
        <v>2.9249999999999998</v>
      </c>
      <c r="D353">
        <v>2.4700000000000002</v>
      </c>
      <c r="E353">
        <v>2.702</v>
      </c>
      <c r="F353">
        <v>39272611.322999999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1.9780219780219571E-2</v>
      </c>
      <c r="Q353">
        <f t="shared" si="970"/>
        <v>776820.88331207971</v>
      </c>
      <c r="R353">
        <f t="shared" si="971"/>
        <v>47609445.04090032</v>
      </c>
      <c r="S353">
        <f t="shared" si="972"/>
        <v>476.09445040900317</v>
      </c>
      <c r="T353">
        <f t="shared" si="973"/>
        <v>0.47609445040900317</v>
      </c>
    </row>
    <row r="354" spans="1:20" x14ac:dyDescent="0.25">
      <c r="A354" s="5">
        <v>44239</v>
      </c>
      <c r="B354">
        <v>2.6179999999999999</v>
      </c>
      <c r="C354">
        <v>2.9849999999999999</v>
      </c>
      <c r="D354">
        <v>2.61</v>
      </c>
      <c r="E354">
        <v>2.8210000000000002</v>
      </c>
      <c r="F354">
        <v>45174253.923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0.12533333333333493</v>
      </c>
      <c r="Q354">
        <f t="shared" si="970"/>
        <v>5661839.825016072</v>
      </c>
      <c r="R354">
        <f t="shared" si="971"/>
        <v>46832624.157588243</v>
      </c>
      <c r="S354">
        <f t="shared" si="972"/>
        <v>468.32624157588242</v>
      </c>
      <c r="T354">
        <f t="shared" si="973"/>
        <v>0.46832624157588243</v>
      </c>
    </row>
    <row r="355" spans="1:20" x14ac:dyDescent="0.25">
      <c r="A355" s="5">
        <v>44238</v>
      </c>
      <c r="B355">
        <v>2.3570000000000002</v>
      </c>
      <c r="C355">
        <v>2.96</v>
      </c>
      <c r="D355">
        <v>2.3559999999999999</v>
      </c>
      <c r="E355">
        <v>2.62</v>
      </c>
      <c r="F355">
        <v>81013089.059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-0.12582781456953579</v>
      </c>
      <c r="Q355">
        <f t="shared" si="970"/>
        <v>-10193699.94782114</v>
      </c>
      <c r="R355">
        <f t="shared" si="971"/>
        <v>41170784.33257217</v>
      </c>
      <c r="S355">
        <f t="shared" si="972"/>
        <v>411.70784332572168</v>
      </c>
      <c r="T355">
        <f t="shared" si="973"/>
        <v>0.41170784332572169</v>
      </c>
    </row>
    <row r="356" spans="1:20" x14ac:dyDescent="0.25">
      <c r="A356" s="5">
        <v>44237</v>
      </c>
      <c r="B356">
        <v>2.427</v>
      </c>
      <c r="C356">
        <v>2.7330000000000001</v>
      </c>
      <c r="D356">
        <v>2.0979999999999999</v>
      </c>
      <c r="E356">
        <v>2.3570000000000002</v>
      </c>
      <c r="F356">
        <v>83114209.799999997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-0.18425196850393624</v>
      </c>
      <c r="Q356">
        <f t="shared" si="970"/>
        <v>-15313956.766299149</v>
      </c>
      <c r="R356">
        <f t="shared" si="971"/>
        <v>51364484.28039331</v>
      </c>
      <c r="S356">
        <f t="shared" si="972"/>
        <v>513.6448428039331</v>
      </c>
      <c r="T356">
        <f t="shared" si="973"/>
        <v>0.51364484280393308</v>
      </c>
    </row>
    <row r="357" spans="1:20" x14ac:dyDescent="0.25">
      <c r="A357" s="5">
        <v>44236</v>
      </c>
      <c r="B357">
        <v>2.2149999999999999</v>
      </c>
      <c r="C357">
        <v>2.57</v>
      </c>
      <c r="D357">
        <v>2.14</v>
      </c>
      <c r="E357">
        <v>2.4279999999999999</v>
      </c>
      <c r="F357">
        <v>59807999.336000003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0.33953488372093027</v>
      </c>
      <c r="Q357">
        <f t="shared" si="970"/>
        <v>20306902.100130234</v>
      </c>
      <c r="R357">
        <f t="shared" si="971"/>
        <v>66678441.046692461</v>
      </c>
      <c r="S357">
        <f t="shared" si="972"/>
        <v>666.78441046692456</v>
      </c>
      <c r="T357">
        <f t="shared" si="973"/>
        <v>0.6667844104669246</v>
      </c>
    </row>
    <row r="358" spans="1:20" x14ac:dyDescent="0.25">
      <c r="A358" s="5">
        <v>44235</v>
      </c>
      <c r="B358">
        <v>1.99</v>
      </c>
      <c r="C358">
        <v>2.4390000000000001</v>
      </c>
      <c r="D358">
        <v>1.9730000000000001</v>
      </c>
      <c r="E358">
        <v>2.214</v>
      </c>
      <c r="F358">
        <v>90913548.562999994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3.433476394849741E-2</v>
      </c>
      <c r="Q358">
        <f t="shared" si="970"/>
        <v>3121495.2296308605</v>
      </c>
      <c r="R358">
        <f t="shared" si="971"/>
        <v>46371538.946562231</v>
      </c>
      <c r="S358">
        <f t="shared" si="972"/>
        <v>463.71538946562231</v>
      </c>
      <c r="T358">
        <f t="shared" si="973"/>
        <v>0.4637153894656223</v>
      </c>
    </row>
    <row r="359" spans="1:20" x14ac:dyDescent="0.25">
      <c r="A359" s="5">
        <v>44234</v>
      </c>
      <c r="B359">
        <v>1.752</v>
      </c>
      <c r="C359">
        <v>2.1709999999999998</v>
      </c>
      <c r="D359">
        <v>1.7330000000000001</v>
      </c>
      <c r="E359">
        <v>1.99</v>
      </c>
      <c r="F359">
        <v>107555077.377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0.17351598173516009</v>
      </c>
      <c r="Q359">
        <f t="shared" si="970"/>
        <v>18662524.841671262</v>
      </c>
      <c r="R359">
        <f t="shared" si="971"/>
        <v>43250043.716931373</v>
      </c>
      <c r="S359">
        <f t="shared" si="972"/>
        <v>432.50043716931373</v>
      </c>
      <c r="T359">
        <f t="shared" si="973"/>
        <v>0.43250043716931375</v>
      </c>
    </row>
    <row r="360" spans="1:20" x14ac:dyDescent="0.25">
      <c r="A360" s="5">
        <v>44233</v>
      </c>
      <c r="B360">
        <v>1.768</v>
      </c>
      <c r="C360">
        <v>1.829</v>
      </c>
      <c r="D360">
        <v>1.577</v>
      </c>
      <c r="E360">
        <v>1.7529999999999999</v>
      </c>
      <c r="F360">
        <v>62443616.138999999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0.3968253968253963</v>
      </c>
      <c r="Q360">
        <f t="shared" si="970"/>
        <v>24779212.753571395</v>
      </c>
      <c r="R360">
        <f t="shared" si="971"/>
        <v>24587518.875260115</v>
      </c>
      <c r="S360">
        <f t="shared" si="972"/>
        <v>245.87518875260113</v>
      </c>
      <c r="T360">
        <f t="shared" si="973"/>
        <v>0.24587518875260114</v>
      </c>
    </row>
    <row r="361" spans="1:20" x14ac:dyDescent="0.25">
      <c r="A361" s="5">
        <v>44232</v>
      </c>
      <c r="B361">
        <v>1.726</v>
      </c>
      <c r="C361">
        <v>1.9410000000000001</v>
      </c>
      <c r="D361">
        <v>1.6910000000000001</v>
      </c>
      <c r="E361">
        <v>1.7689999999999999</v>
      </c>
      <c r="F361">
        <v>68896769.881999999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-0.37600000000000122</v>
      </c>
      <c r="Q361">
        <f t="shared" si="970"/>
        <v>-25905185.475632083</v>
      </c>
      <c r="R361">
        <f t="shared" si="971"/>
        <v>-191693.87831128016</v>
      </c>
      <c r="S361">
        <f t="shared" si="972"/>
        <v>-1.9169387831128015</v>
      </c>
      <c r="T361">
        <f t="shared" si="973"/>
        <v>-1.9169387831128016E-3</v>
      </c>
    </row>
    <row r="362" spans="1:20" x14ac:dyDescent="0.25">
      <c r="A362" s="5">
        <v>44231</v>
      </c>
      <c r="B362">
        <v>1.53</v>
      </c>
      <c r="C362">
        <v>1.865</v>
      </c>
      <c r="D362">
        <v>1.323</v>
      </c>
      <c r="E362">
        <v>1.726</v>
      </c>
      <c r="F362">
        <v>115470655.735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0.4870848708487085</v>
      </c>
      <c r="Q362">
        <f t="shared" si="970"/>
        <v>56244009.435498156</v>
      </c>
      <c r="R362">
        <f t="shared" si="971"/>
        <v>25713491.597320803</v>
      </c>
      <c r="S362">
        <f t="shared" si="972"/>
        <v>257.13491597320802</v>
      </c>
      <c r="T362">
        <f t="shared" si="973"/>
        <v>0.25713491597320803</v>
      </c>
    </row>
    <row r="363" spans="1:20" x14ac:dyDescent="0.25">
      <c r="A363" s="5">
        <v>44230</v>
      </c>
      <c r="B363">
        <v>1.321</v>
      </c>
      <c r="C363">
        <v>1.56</v>
      </c>
      <c r="D363">
        <v>1.3149999999999999</v>
      </c>
      <c r="E363">
        <v>1.53</v>
      </c>
      <c r="F363">
        <v>67525517.659999996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0.75510204081632637</v>
      </c>
      <c r="Q363">
        <f t="shared" si="970"/>
        <v>50988656.192244887</v>
      </c>
      <c r="R363">
        <f t="shared" si="971"/>
        <v>-30530517.838177353</v>
      </c>
      <c r="S363">
        <f t="shared" si="972"/>
        <v>-305.30517838177354</v>
      </c>
      <c r="T363">
        <f t="shared" si="973"/>
        <v>-0.30530517838177357</v>
      </c>
    </row>
    <row r="364" spans="1:20" x14ac:dyDescent="0.25">
      <c r="A364" s="5">
        <v>44229</v>
      </c>
      <c r="B364">
        <v>1.2749999999999999</v>
      </c>
      <c r="C364">
        <v>1.393</v>
      </c>
      <c r="D364">
        <v>1.2030000000000001</v>
      </c>
      <c r="E364">
        <v>1.32</v>
      </c>
      <c r="F364">
        <v>53685108.020000003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0.23157894736842133</v>
      </c>
      <c r="Q364">
        <f t="shared" si="970"/>
        <v>12432340.804631595</v>
      </c>
      <c r="R364">
        <f t="shared" si="971"/>
        <v>-81519174.03042224</v>
      </c>
      <c r="S364">
        <f t="shared" si="972"/>
        <v>-815.19174030422244</v>
      </c>
      <c r="T364">
        <f t="shared" si="973"/>
        <v>-0.81519174030422248</v>
      </c>
    </row>
    <row r="365" spans="1:20" x14ac:dyDescent="0.25">
      <c r="A365" s="5">
        <v>44228</v>
      </c>
      <c r="B365">
        <v>1.3560000000000001</v>
      </c>
      <c r="C365">
        <v>1.417</v>
      </c>
      <c r="D365">
        <v>1.22</v>
      </c>
      <c r="E365">
        <v>1.2749999999999999</v>
      </c>
      <c r="F365">
        <v>56975564.722000003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-0.44162436548223433</v>
      </c>
      <c r="Q365">
        <f t="shared" si="970"/>
        <v>-25161797.618345227</v>
      </c>
      <c r="R365">
        <f t="shared" si="971"/>
        <v>-93951514.835053831</v>
      </c>
      <c r="S365">
        <f t="shared" si="972"/>
        <v>-939.51514835053831</v>
      </c>
      <c r="T365">
        <f t="shared" si="973"/>
        <v>-0.93951514835053829</v>
      </c>
    </row>
    <row r="366" spans="1:20" x14ac:dyDescent="0.25">
      <c r="A366" s="5">
        <v>44227</v>
      </c>
      <c r="B366">
        <v>1.2509999999999999</v>
      </c>
      <c r="C366">
        <v>1.468</v>
      </c>
      <c r="D366">
        <v>1.2509999999999999</v>
      </c>
      <c r="E366">
        <v>1.3560000000000001</v>
      </c>
      <c r="F366">
        <v>77268812.163000003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-3.2258064516127512E-2</v>
      </c>
      <c r="Q366">
        <f t="shared" si="970"/>
        <v>-2492542.3278385922</v>
      </c>
      <c r="R366">
        <f t="shared" si="971"/>
        <v>-68789717.216708601</v>
      </c>
      <c r="S366">
        <f t="shared" si="972"/>
        <v>-687.89717216708596</v>
      </c>
      <c r="T366">
        <f t="shared" si="973"/>
        <v>-0.6878971721670859</v>
      </c>
    </row>
    <row r="367" spans="1:20" x14ac:dyDescent="0.25">
      <c r="A367" s="5">
        <v>44226</v>
      </c>
      <c r="B367">
        <v>1.236</v>
      </c>
      <c r="C367">
        <v>1.359</v>
      </c>
      <c r="D367">
        <v>1.17</v>
      </c>
      <c r="E367">
        <v>1.25</v>
      </c>
      <c r="F367">
        <v>63553750.737000003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-0.15343915343915293</v>
      </c>
      <c r="Q367">
        <f t="shared" si="970"/>
        <v>-9751633.7109682225</v>
      </c>
      <c r="R367">
        <f t="shared" si="971"/>
        <v>-66297174.888870016</v>
      </c>
      <c r="S367">
        <f t="shared" si="972"/>
        <v>-662.97174888870018</v>
      </c>
      <c r="T367">
        <f t="shared" si="973"/>
        <v>-0.66297174888870014</v>
      </c>
    </row>
    <row r="368" spans="1:20" x14ac:dyDescent="0.25">
      <c r="A368" s="5">
        <v>44225</v>
      </c>
      <c r="B368">
        <v>1.21</v>
      </c>
      <c r="C368">
        <v>1.33</v>
      </c>
      <c r="D368">
        <v>1.1000000000000001</v>
      </c>
      <c r="E368">
        <v>1.2350000000000001</v>
      </c>
      <c r="F368">
        <v>84420362.605000004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0.17391304347826103</v>
      </c>
      <c r="Q368">
        <f t="shared" si="970"/>
        <v>14681802.192173928</v>
      </c>
      <c r="R368">
        <f t="shared" si="971"/>
        <v>-56545541.17790179</v>
      </c>
      <c r="S368">
        <f t="shared" si="972"/>
        <v>-565.45541177901794</v>
      </c>
      <c r="T368">
        <f t="shared" si="973"/>
        <v>-0.56545541177901792</v>
      </c>
    </row>
    <row r="369" spans="1:20" x14ac:dyDescent="0.25">
      <c r="A369" s="5">
        <v>44224</v>
      </c>
      <c r="B369">
        <v>1.2569999999999999</v>
      </c>
      <c r="C369">
        <v>1.369</v>
      </c>
      <c r="D369">
        <v>1.2010000000000001</v>
      </c>
      <c r="E369">
        <v>1.21</v>
      </c>
      <c r="F369">
        <v>89829035.569999993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-0.89285714285714401</v>
      </c>
      <c r="Q369">
        <f t="shared" si="970"/>
        <v>-80204496.044642955</v>
      </c>
      <c r="R369">
        <f t="shared" si="971"/>
        <v>-71227343.370075718</v>
      </c>
      <c r="S369">
        <f t="shared" si="972"/>
        <v>-712.27343370075721</v>
      </c>
      <c r="T369">
        <f t="shared" si="973"/>
        <v>-0.71227343370075724</v>
      </c>
    </row>
    <row r="370" spans="1:20" x14ac:dyDescent="0.25">
      <c r="A370" s="5">
        <v>44223</v>
      </c>
      <c r="B370">
        <v>1.028</v>
      </c>
      <c r="C370">
        <v>1.383</v>
      </c>
      <c r="D370">
        <v>1.0249999999999999</v>
      </c>
      <c r="E370">
        <v>1.256</v>
      </c>
      <c r="F370">
        <v>164586314.296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0.29050279329608958</v>
      </c>
      <c r="Q370">
        <f t="shared" si="970"/>
        <v>47812784.041296124</v>
      </c>
      <c r="R370">
        <f t="shared" si="971"/>
        <v>8977152.6745672375</v>
      </c>
      <c r="S370">
        <f t="shared" si="972"/>
        <v>89.771526745672375</v>
      </c>
      <c r="T370">
        <f t="shared" si="973"/>
        <v>8.9771526745672375E-2</v>
      </c>
    </row>
    <row r="371" spans="1:20" x14ac:dyDescent="0.25">
      <c r="A371" s="5">
        <v>44222</v>
      </c>
      <c r="B371">
        <v>0.97799999999999998</v>
      </c>
      <c r="C371">
        <v>1.054</v>
      </c>
      <c r="D371">
        <v>0.94199999999999995</v>
      </c>
      <c r="E371">
        <v>1.028</v>
      </c>
      <c r="F371">
        <v>46147656.171999998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0.5357142857142857</v>
      </c>
      <c r="Q371">
        <f t="shared" si="970"/>
        <v>24721958.663571429</v>
      </c>
      <c r="R371">
        <f t="shared" si="971"/>
        <v>-38835631.366728887</v>
      </c>
      <c r="S371">
        <f t="shared" si="972"/>
        <v>-388.35631366728887</v>
      </c>
      <c r="T371">
        <f t="shared" si="973"/>
        <v>-0.3883563136672889</v>
      </c>
    </row>
    <row r="372" spans="1:20" x14ac:dyDescent="0.25">
      <c r="A372" s="5">
        <v>44221</v>
      </c>
      <c r="B372">
        <v>0.99099999999999999</v>
      </c>
      <c r="C372">
        <v>1.1080000000000001</v>
      </c>
      <c r="D372">
        <v>0.95399999999999996</v>
      </c>
      <c r="E372">
        <v>0.97699999999999998</v>
      </c>
      <c r="F372">
        <v>56571647.785999998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-0.70129870129870131</v>
      </c>
      <c r="Q372">
        <f t="shared" si="970"/>
        <v>-39673623.122649349</v>
      </c>
      <c r="R372">
        <f t="shared" si="971"/>
        <v>-63557590.030300312</v>
      </c>
      <c r="S372">
        <f t="shared" si="972"/>
        <v>-635.5759003030031</v>
      </c>
      <c r="T372">
        <f t="shared" si="973"/>
        <v>-0.63557590030300315</v>
      </c>
    </row>
    <row r="373" spans="1:20" x14ac:dyDescent="0.25">
      <c r="A373" s="5">
        <v>44220</v>
      </c>
      <c r="B373">
        <v>0.98</v>
      </c>
      <c r="C373">
        <v>1.0469999999999999</v>
      </c>
      <c r="D373">
        <v>0.96499999999999997</v>
      </c>
      <c r="E373">
        <v>0.99099999999999999</v>
      </c>
      <c r="F373">
        <v>32602974.302999999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-0.36585365853658453</v>
      </c>
      <c r="Q373">
        <f t="shared" si="970"/>
        <v>-11927917.427926801</v>
      </c>
      <c r="R373">
        <f t="shared" si="971"/>
        <v>-23883966.907650962</v>
      </c>
      <c r="S373">
        <f t="shared" si="972"/>
        <v>-238.83966907650964</v>
      </c>
      <c r="T373">
        <f t="shared" si="973"/>
        <v>-0.23883966907650964</v>
      </c>
    </row>
    <row r="374" spans="1:20" x14ac:dyDescent="0.25">
      <c r="A374" s="5">
        <v>44219</v>
      </c>
      <c r="B374">
        <v>0.88900000000000001</v>
      </c>
      <c r="C374">
        <v>1.0349999999999999</v>
      </c>
      <c r="D374">
        <v>0.873</v>
      </c>
      <c r="E374">
        <v>0.98</v>
      </c>
      <c r="F374">
        <v>49497879.781999998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0.32098765432098808</v>
      </c>
      <c r="Q374">
        <f t="shared" si="970"/>
        <v>15888208.325086441</v>
      </c>
      <c r="R374">
        <f t="shared" si="971"/>
        <v>-11956049.479724161</v>
      </c>
      <c r="S374">
        <f t="shared" si="972"/>
        <v>-119.56049479724162</v>
      </c>
      <c r="T374">
        <f t="shared" si="973"/>
        <v>-0.11956049479724162</v>
      </c>
    </row>
    <row r="375" spans="1:20" x14ac:dyDescent="0.25">
      <c r="A375" s="5">
        <v>44218</v>
      </c>
      <c r="B375">
        <v>0.84799999999999998</v>
      </c>
      <c r="C375">
        <v>0.94199999999999995</v>
      </c>
      <c r="D375">
        <v>0.80200000000000005</v>
      </c>
      <c r="E375">
        <v>0.88900000000000001</v>
      </c>
      <c r="F375">
        <v>35265778.222000003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0.24285714285714324</v>
      </c>
      <c r="Q375">
        <f t="shared" si="970"/>
        <v>8564546.1396285854</v>
      </c>
      <c r="R375">
        <f t="shared" si="971"/>
        <v>-27844257.804810602</v>
      </c>
      <c r="S375">
        <f t="shared" si="972"/>
        <v>-278.44257804810604</v>
      </c>
      <c r="T375">
        <f t="shared" si="973"/>
        <v>-0.27844257804810602</v>
      </c>
    </row>
    <row r="376" spans="1:20" x14ac:dyDescent="0.25">
      <c r="A376" s="5">
        <v>44217</v>
      </c>
      <c r="B376">
        <v>1.018</v>
      </c>
      <c r="C376">
        <v>1.024</v>
      </c>
      <c r="D376">
        <v>0.82099999999999995</v>
      </c>
      <c r="E376">
        <v>0.84899999999999998</v>
      </c>
      <c r="F376">
        <v>43522508.780000001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-0.72413793103448265</v>
      </c>
      <c r="Q376">
        <f t="shared" si="970"/>
        <v>-31516299.461379308</v>
      </c>
      <c r="R376">
        <f t="shared" si="971"/>
        <v>-36408803.944439188</v>
      </c>
      <c r="S376">
        <f t="shared" si="972"/>
        <v>-364.08803944439188</v>
      </c>
      <c r="T376">
        <f t="shared" si="973"/>
        <v>-0.36408803944439189</v>
      </c>
    </row>
    <row r="377" spans="1:20" x14ac:dyDescent="0.25">
      <c r="A377" s="5">
        <v>44216</v>
      </c>
      <c r="B377">
        <v>1.0069999999999999</v>
      </c>
      <c r="C377">
        <v>1.038</v>
      </c>
      <c r="D377">
        <v>0.92300000000000004</v>
      </c>
      <c r="E377">
        <v>1.0189999999999999</v>
      </c>
      <c r="F377">
        <v>46550415.215000004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0.66956521739130215</v>
      </c>
      <c r="Q377">
        <f t="shared" si="970"/>
        <v>31168538.883086856</v>
      </c>
      <c r="R377">
        <f t="shared" si="971"/>
        <v>-4892504.4830598794</v>
      </c>
      <c r="S377">
        <f t="shared" si="972"/>
        <v>-48.925044830598793</v>
      </c>
      <c r="T377">
        <f t="shared" si="973"/>
        <v>-4.8925044830598792E-2</v>
      </c>
    </row>
    <row r="378" spans="1:20" x14ac:dyDescent="0.25">
      <c r="A378" s="5">
        <v>44215</v>
      </c>
      <c r="B378">
        <v>1.149</v>
      </c>
      <c r="C378">
        <v>1.159</v>
      </c>
      <c r="D378">
        <v>0.97399999999999998</v>
      </c>
      <c r="E378">
        <v>1.0069999999999999</v>
      </c>
      <c r="F378">
        <v>48427082.461000003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-0.64324324324324422</v>
      </c>
      <c r="Q378">
        <f t="shared" si="970"/>
        <v>-31150393.583021671</v>
      </c>
      <c r="R378">
        <f t="shared" si="971"/>
        <v>-36061043.366146736</v>
      </c>
      <c r="S378">
        <f t="shared" si="972"/>
        <v>-360.61043366146737</v>
      </c>
      <c r="T378">
        <f t="shared" si="973"/>
        <v>-0.36061043366146739</v>
      </c>
    </row>
    <row r="379" spans="1:20" x14ac:dyDescent="0.25">
      <c r="A379" s="5">
        <v>44214</v>
      </c>
      <c r="B379">
        <v>1.0289999999999999</v>
      </c>
      <c r="C379">
        <v>1.155</v>
      </c>
      <c r="D379">
        <v>0.95</v>
      </c>
      <c r="E379">
        <v>1.1499999999999999</v>
      </c>
      <c r="F379">
        <v>56933186.016000003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0.9512195121951208</v>
      </c>
      <c r="Q379">
        <f t="shared" si="970"/>
        <v>54155957.429853596</v>
      </c>
      <c r="R379">
        <f t="shared" si="971"/>
        <v>-4910649.7831250653</v>
      </c>
      <c r="S379">
        <f t="shared" si="972"/>
        <v>-49.10649783125065</v>
      </c>
      <c r="T379">
        <f t="shared" si="973"/>
        <v>-4.9106497831250651E-2</v>
      </c>
    </row>
    <row r="380" spans="1:20" x14ac:dyDescent="0.25">
      <c r="A380" s="5">
        <v>44213</v>
      </c>
      <c r="B380">
        <v>0.95399999999999996</v>
      </c>
      <c r="C380">
        <v>1.048</v>
      </c>
      <c r="D380">
        <v>0.89400000000000002</v>
      </c>
      <c r="E380">
        <v>1.0289999999999999</v>
      </c>
      <c r="F380">
        <v>40918729.615999997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0.75324675324675161</v>
      </c>
      <c r="Q380">
        <f t="shared" si="970"/>
        <v>30821900.230233695</v>
      </c>
      <c r="R380">
        <f t="shared" si="971"/>
        <v>-59066607.212978661</v>
      </c>
      <c r="S380">
        <f t="shared" si="972"/>
        <v>-590.66607212978658</v>
      </c>
      <c r="T380">
        <f t="shared" si="973"/>
        <v>-0.59066607212978661</v>
      </c>
    </row>
    <row r="381" spans="1:20" x14ac:dyDescent="0.25">
      <c r="A381" s="5">
        <v>44212</v>
      </c>
      <c r="B381">
        <v>0.90400000000000003</v>
      </c>
      <c r="C381">
        <v>1.01</v>
      </c>
      <c r="D381">
        <v>0.9</v>
      </c>
      <c r="E381">
        <v>0.95299999999999996</v>
      </c>
      <c r="F381">
        <v>38250350.575000003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-3.636363636363741E-2</v>
      </c>
      <c r="Q381">
        <f t="shared" si="970"/>
        <v>-1390921.8390909492</v>
      </c>
      <c r="R381">
        <f t="shared" si="971"/>
        <v>-89888507.44321236</v>
      </c>
      <c r="S381">
        <f t="shared" si="972"/>
        <v>-898.88507443212359</v>
      </c>
      <c r="T381">
        <f t="shared" si="973"/>
        <v>-0.89888507443212362</v>
      </c>
    </row>
    <row r="382" spans="1:20" x14ac:dyDescent="0.25">
      <c r="A382" s="5">
        <v>44211</v>
      </c>
      <c r="B382">
        <v>0.88</v>
      </c>
      <c r="C382">
        <v>0.997</v>
      </c>
      <c r="D382">
        <v>0.80900000000000005</v>
      </c>
      <c r="E382">
        <v>0.90400000000000003</v>
      </c>
      <c r="F382">
        <v>48856196.824000001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1.0638297872340437E-2</v>
      </c>
      <c r="Q382">
        <f t="shared" si="970"/>
        <v>519746.77472340484</v>
      </c>
      <c r="R382">
        <f t="shared" si="971"/>
        <v>-88497585.604121417</v>
      </c>
      <c r="S382">
        <f t="shared" si="972"/>
        <v>-884.97585604121412</v>
      </c>
      <c r="T382">
        <f t="shared" si="973"/>
        <v>-0.88497585604121409</v>
      </c>
    </row>
    <row r="383" spans="1:20" x14ac:dyDescent="0.25">
      <c r="A383" s="5">
        <v>44210</v>
      </c>
      <c r="B383">
        <v>0.88500000000000001</v>
      </c>
      <c r="C383">
        <v>0.90800000000000003</v>
      </c>
      <c r="D383">
        <v>0.84</v>
      </c>
      <c r="E383">
        <v>0.88100000000000001</v>
      </c>
      <c r="F383">
        <v>28244505.502999999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0.20588235294117646</v>
      </c>
      <c r="Q383">
        <f t="shared" si="970"/>
        <v>5815045.2506176466</v>
      </c>
      <c r="R383">
        <f t="shared" si="971"/>
        <v>-89017332.378844827</v>
      </c>
      <c r="S383">
        <f t="shared" si="972"/>
        <v>-890.17332378844833</v>
      </c>
      <c r="T383">
        <f t="shared" si="973"/>
        <v>-0.89017332378844838</v>
      </c>
    </row>
    <row r="384" spans="1:20" x14ac:dyDescent="0.25">
      <c r="A384" s="5">
        <v>44209</v>
      </c>
      <c r="B384">
        <v>0.81</v>
      </c>
      <c r="C384">
        <v>0.91</v>
      </c>
      <c r="D384">
        <v>0.77700000000000002</v>
      </c>
      <c r="E384">
        <v>0.88300000000000001</v>
      </c>
      <c r="F384">
        <v>34830239.441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0.59398496240601473</v>
      </c>
      <c r="Q384">
        <f t="shared" si="970"/>
        <v>20688638.464954875</v>
      </c>
      <c r="R384">
        <f t="shared" si="971"/>
        <v>-94832377.629462481</v>
      </c>
      <c r="S384">
        <f t="shared" si="972"/>
        <v>-948.32377629462485</v>
      </c>
      <c r="T384">
        <f t="shared" si="973"/>
        <v>-0.94832377629462483</v>
      </c>
    </row>
    <row r="385" spans="1:20" x14ac:dyDescent="0.25">
      <c r="A385" s="5">
        <v>44208</v>
      </c>
      <c r="B385">
        <v>0.84599999999999997</v>
      </c>
      <c r="C385">
        <v>0.89700000000000002</v>
      </c>
      <c r="D385">
        <v>0.79100000000000004</v>
      </c>
      <c r="E385">
        <v>0.81100000000000005</v>
      </c>
      <c r="F385">
        <v>28907440.346999999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-0.6226415094339619</v>
      </c>
      <c r="Q385">
        <f t="shared" si="970"/>
        <v>-17998972.291528292</v>
      </c>
      <c r="R385">
        <f t="shared" si="971"/>
        <v>-115521016.09441736</v>
      </c>
      <c r="S385">
        <f t="shared" si="972"/>
        <v>-1155.2101609441736</v>
      </c>
      <c r="T385">
        <f t="shared" si="973"/>
        <v>-1.1552101609441736</v>
      </c>
    </row>
    <row r="386" spans="1:20" x14ac:dyDescent="0.25">
      <c r="A386" s="5">
        <v>44207</v>
      </c>
      <c r="B386">
        <v>1.012</v>
      </c>
      <c r="C386">
        <v>1.018</v>
      </c>
      <c r="D386">
        <v>0.73699999999999999</v>
      </c>
      <c r="E386">
        <v>0.84699999999999998</v>
      </c>
      <c r="F386">
        <v>56195496.343000002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-0.21708185053380799</v>
      </c>
      <c r="Q386">
        <f t="shared" si="970"/>
        <v>-12199022.33780428</v>
      </c>
      <c r="R386">
        <f t="shared" si="971"/>
        <v>-97522043.802889079</v>
      </c>
      <c r="S386">
        <f t="shared" si="972"/>
        <v>-975.22043802889084</v>
      </c>
      <c r="T386">
        <f t="shared" si="973"/>
        <v>-0.9752204380288908</v>
      </c>
    </row>
    <row r="387" spans="1:20" x14ac:dyDescent="0.25">
      <c r="A387" s="5">
        <v>44206</v>
      </c>
      <c r="B387">
        <v>1.042</v>
      </c>
      <c r="C387">
        <v>1.1819999999999999</v>
      </c>
      <c r="D387">
        <v>0.88800000000000001</v>
      </c>
      <c r="E387">
        <v>1.012</v>
      </c>
      <c r="F387">
        <v>58974332.365000002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-0.15646258503401342</v>
      </c>
      <c r="Q387">
        <f t="shared" si="970"/>
        <v>-9227276.4924829826</v>
      </c>
      <c r="R387">
        <f t="shared" si="971"/>
        <v>-85323021.465084791</v>
      </c>
      <c r="S387">
        <f t="shared" si="972"/>
        <v>-853.23021465084787</v>
      </c>
      <c r="T387">
        <f t="shared" si="973"/>
        <v>-0.85323021465084792</v>
      </c>
    </row>
    <row r="388" spans="1:20" x14ac:dyDescent="0.25">
      <c r="A388" s="5">
        <v>44205</v>
      </c>
      <c r="B388">
        <v>0.97899999999999998</v>
      </c>
      <c r="C388">
        <v>1.119</v>
      </c>
      <c r="D388">
        <v>0.94899999999999995</v>
      </c>
      <c r="E388">
        <v>1.0409999999999999</v>
      </c>
      <c r="F388">
        <v>60666860.265000001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8.235294117646999E-2</v>
      </c>
      <c r="Q388">
        <f t="shared" si="970"/>
        <v>4996094.3747646697</v>
      </c>
      <c r="R388">
        <f t="shared" si="971"/>
        <v>-76095744.972601816</v>
      </c>
      <c r="S388">
        <f t="shared" si="972"/>
        <v>-760.95744972601813</v>
      </c>
      <c r="T388">
        <f t="shared" si="973"/>
        <v>-0.76095744972601809</v>
      </c>
    </row>
    <row r="389" spans="1:20" x14ac:dyDescent="0.25">
      <c r="A389" s="5">
        <v>44204</v>
      </c>
      <c r="B389">
        <v>0.871</v>
      </c>
      <c r="C389">
        <v>0.98699999999999999</v>
      </c>
      <c r="D389">
        <v>0.77600000000000002</v>
      </c>
      <c r="E389">
        <v>0.98399999999999999</v>
      </c>
      <c r="F389">
        <v>67738412.628000006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0.97156398104265396</v>
      </c>
      <c r="Q389">
        <f t="shared" si="970"/>
        <v>65812201.842369668</v>
      </c>
      <c r="R389">
        <f t="shared" si="971"/>
        <v>-81091839.347366482</v>
      </c>
      <c r="S389">
        <f t="shared" si="972"/>
        <v>-810.91839347366476</v>
      </c>
      <c r="T389">
        <f t="shared" si="973"/>
        <v>-0.81091839347366479</v>
      </c>
    </row>
    <row r="390" spans="1:20" x14ac:dyDescent="0.25">
      <c r="A390" s="5">
        <v>44203</v>
      </c>
      <c r="B390">
        <v>0.82499999999999996</v>
      </c>
      <c r="C390">
        <v>0.94099999999999995</v>
      </c>
      <c r="D390">
        <v>0.76200000000000001</v>
      </c>
      <c r="E390">
        <v>0.872</v>
      </c>
      <c r="F390">
        <v>58328757.630000003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0.22905027932960922</v>
      </c>
      <c r="Q390">
        <f t="shared" ref="Q390:Q453" si="975">F390*P390</f>
        <v>13360218.228100576</v>
      </c>
      <c r="R390">
        <f t="shared" ref="R390:R453" si="976">R391+Q390</f>
        <v>-146904041.18973616</v>
      </c>
      <c r="S390">
        <f t="shared" ref="S390:S453" si="977">R390/100000</f>
        <v>-1469.0404118973615</v>
      </c>
      <c r="T390">
        <f t="shared" ref="T390:T453" si="978">S390/1000</f>
        <v>-1.4690404118973615</v>
      </c>
    </row>
    <row r="391" spans="1:20" x14ac:dyDescent="0.25">
      <c r="A391" s="5">
        <v>44202</v>
      </c>
      <c r="B391">
        <v>0.75800000000000001</v>
      </c>
      <c r="C391">
        <v>0.84699999999999998</v>
      </c>
      <c r="D391">
        <v>0.71799999999999997</v>
      </c>
      <c r="E391">
        <v>0.82599999999999996</v>
      </c>
      <c r="F391">
        <v>41055165.946999997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0.67441860465116255</v>
      </c>
      <c r="Q391">
        <f t="shared" si="975"/>
        <v>27688367.731697664</v>
      </c>
      <c r="R391">
        <f t="shared" si="976"/>
        <v>-160264259.41783673</v>
      </c>
      <c r="S391">
        <f t="shared" si="977"/>
        <v>-1602.6425941783673</v>
      </c>
      <c r="T391">
        <f t="shared" si="978"/>
        <v>-1.6026425941783673</v>
      </c>
    </row>
    <row r="392" spans="1:20" x14ac:dyDescent="0.25">
      <c r="A392" s="5">
        <v>44201</v>
      </c>
      <c r="B392">
        <v>0.73199999999999998</v>
      </c>
      <c r="C392">
        <v>0.77600000000000002</v>
      </c>
      <c r="D392">
        <v>0.69199999999999995</v>
      </c>
      <c r="E392">
        <v>0.75800000000000001</v>
      </c>
      <c r="F392">
        <v>28254693.931000002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0.5714285714285714</v>
      </c>
      <c r="Q392">
        <f t="shared" si="975"/>
        <v>16145539.389142858</v>
      </c>
      <c r="R392">
        <f t="shared" si="976"/>
        <v>-187952627.1495344</v>
      </c>
      <c r="S392">
        <f t="shared" si="977"/>
        <v>-1879.526271495344</v>
      </c>
      <c r="T392">
        <f t="shared" si="978"/>
        <v>-1.879526271495344</v>
      </c>
    </row>
    <row r="393" spans="1:20" x14ac:dyDescent="0.25">
      <c r="A393" s="5">
        <v>44200</v>
      </c>
      <c r="B393">
        <v>0.77300000000000002</v>
      </c>
      <c r="C393">
        <v>0.91500000000000004</v>
      </c>
      <c r="D393">
        <v>0.67500000000000004</v>
      </c>
      <c r="E393">
        <v>0.73099999999999998</v>
      </c>
      <c r="F393">
        <v>63690044.792999998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-0.53333333333333388</v>
      </c>
      <c r="Q393">
        <f t="shared" si="975"/>
        <v>-33968023.889600031</v>
      </c>
      <c r="R393">
        <f t="shared" si="976"/>
        <v>-204098166.53867728</v>
      </c>
      <c r="S393">
        <f t="shared" si="977"/>
        <v>-2040.9816653867726</v>
      </c>
      <c r="T393">
        <f t="shared" si="978"/>
        <v>-2.0409816653867727</v>
      </c>
    </row>
    <row r="394" spans="1:20" x14ac:dyDescent="0.25">
      <c r="A394" s="5">
        <v>44199</v>
      </c>
      <c r="B394">
        <v>0.747</v>
      </c>
      <c r="C394">
        <v>0.83199999999999996</v>
      </c>
      <c r="D394">
        <v>0.72899999999999998</v>
      </c>
      <c r="E394">
        <v>0.77200000000000002</v>
      </c>
      <c r="F394">
        <v>57275490.263999999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-0.16504854368931948</v>
      </c>
      <c r="Q394">
        <f t="shared" si="975"/>
        <v>-9453236.2571649961</v>
      </c>
      <c r="R394">
        <f t="shared" si="976"/>
        <v>-170130142.64907724</v>
      </c>
      <c r="S394">
        <f t="shared" si="977"/>
        <v>-1701.3014264907724</v>
      </c>
      <c r="T394">
        <f t="shared" si="978"/>
        <v>-1.7013014264907724</v>
      </c>
    </row>
    <row r="395" spans="1:20" x14ac:dyDescent="0.25">
      <c r="A395" s="5">
        <v>44198</v>
      </c>
      <c r="B395">
        <v>0.71199999999999997</v>
      </c>
      <c r="C395">
        <v>0.76</v>
      </c>
      <c r="D395">
        <v>0.68500000000000005</v>
      </c>
      <c r="E395">
        <v>0.746</v>
      </c>
      <c r="F395">
        <v>16530728.999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0.62666666666666615</v>
      </c>
      <c r="Q395">
        <f t="shared" si="975"/>
        <v>10359256.839373324</v>
      </c>
      <c r="R395">
        <f t="shared" si="976"/>
        <v>-160676906.39191225</v>
      </c>
      <c r="S395">
        <f t="shared" si="977"/>
        <v>-1606.7690639191226</v>
      </c>
      <c r="T395">
        <f t="shared" si="978"/>
        <v>-1.6067690639191226</v>
      </c>
    </row>
    <row r="396" spans="1:20" x14ac:dyDescent="0.25">
      <c r="A396" s="5">
        <v>44197</v>
      </c>
      <c r="B396">
        <v>0.74099999999999999</v>
      </c>
      <c r="C396">
        <v>0.77100000000000002</v>
      </c>
      <c r="D396">
        <v>0.67500000000000004</v>
      </c>
      <c r="E396">
        <v>0.71199999999999997</v>
      </c>
      <c r="F396">
        <v>17088286.155999999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-0.2291666666666681</v>
      </c>
      <c r="Q396">
        <f t="shared" si="975"/>
        <v>-3916065.577416691</v>
      </c>
      <c r="R396">
        <f t="shared" si="976"/>
        <v>-171036163.23128557</v>
      </c>
      <c r="S396">
        <f t="shared" si="977"/>
        <v>-1710.3616323128558</v>
      </c>
      <c r="T396">
        <f t="shared" si="978"/>
        <v>-1.7103616323128559</v>
      </c>
    </row>
    <row r="397" spans="1:20" x14ac:dyDescent="0.25">
      <c r="A397" s="5">
        <v>44196</v>
      </c>
      <c r="B397">
        <v>0.67500000000000004</v>
      </c>
      <c r="C397">
        <v>0.74399999999999999</v>
      </c>
      <c r="D397">
        <v>0.64300000000000002</v>
      </c>
      <c r="E397">
        <v>0.74199999999999999</v>
      </c>
      <c r="F397">
        <v>14772678.284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0.96039603960396036</v>
      </c>
      <c r="Q397">
        <f t="shared" si="975"/>
        <v>14187621.718297029</v>
      </c>
      <c r="R397">
        <f t="shared" si="976"/>
        <v>-167120097.65386888</v>
      </c>
      <c r="S397">
        <f t="shared" si="977"/>
        <v>-1671.2009765386888</v>
      </c>
      <c r="T397">
        <f t="shared" si="978"/>
        <v>-1.6712009765386888</v>
      </c>
    </row>
    <row r="398" spans="1:20" x14ac:dyDescent="0.25">
      <c r="A398" s="5">
        <v>44195</v>
      </c>
      <c r="B398">
        <v>0.63900000000000001</v>
      </c>
      <c r="C398">
        <v>0.68700000000000006</v>
      </c>
      <c r="D398">
        <v>0.63200000000000001</v>
      </c>
      <c r="E398">
        <v>0.67400000000000004</v>
      </c>
      <c r="F398">
        <v>13872349.044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0.52727272727272723</v>
      </c>
      <c r="Q398">
        <f t="shared" si="975"/>
        <v>7314511.3141090898</v>
      </c>
      <c r="R398">
        <f t="shared" si="976"/>
        <v>-181307719.37216592</v>
      </c>
      <c r="S398">
        <f t="shared" si="977"/>
        <v>-1813.0771937216591</v>
      </c>
      <c r="T398">
        <f t="shared" si="978"/>
        <v>-1.8130771937216592</v>
      </c>
    </row>
    <row r="399" spans="1:20" x14ac:dyDescent="0.25">
      <c r="A399" s="5">
        <v>44194</v>
      </c>
      <c r="B399">
        <v>0.67100000000000004</v>
      </c>
      <c r="C399">
        <v>0.68</v>
      </c>
      <c r="D399">
        <v>0.60299999999999998</v>
      </c>
      <c r="E399">
        <v>0.63800000000000001</v>
      </c>
      <c r="F399">
        <v>19814088.131999999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-9.0909090909090912E-2</v>
      </c>
      <c r="Q399">
        <f t="shared" si="975"/>
        <v>-1801280.7392727272</v>
      </c>
      <c r="R399">
        <f t="shared" si="976"/>
        <v>-188622230.68627501</v>
      </c>
      <c r="S399">
        <f t="shared" si="977"/>
        <v>-1886.22230686275</v>
      </c>
      <c r="T399">
        <f t="shared" si="978"/>
        <v>-1.8862223068627499</v>
      </c>
    </row>
    <row r="400" spans="1:20" x14ac:dyDescent="0.25">
      <c r="A400" s="5">
        <v>44193</v>
      </c>
      <c r="B400">
        <v>0.67200000000000004</v>
      </c>
      <c r="C400">
        <v>0.71799999999999997</v>
      </c>
      <c r="D400">
        <v>0.65500000000000003</v>
      </c>
      <c r="E400">
        <v>0.67</v>
      </c>
      <c r="F400">
        <v>16392144.537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-0.52380952380952295</v>
      </c>
      <c r="Q400">
        <f t="shared" si="975"/>
        <v>-8586361.4241428431</v>
      </c>
      <c r="R400">
        <f t="shared" si="976"/>
        <v>-186820949.94700229</v>
      </c>
      <c r="S400">
        <f t="shared" si="977"/>
        <v>-1868.2094994700228</v>
      </c>
      <c r="T400">
        <f t="shared" si="978"/>
        <v>-1.8682094994700229</v>
      </c>
    </row>
    <row r="401" spans="1:20" x14ac:dyDescent="0.25">
      <c r="A401" s="5">
        <v>44192</v>
      </c>
      <c r="B401">
        <v>0.68899999999999995</v>
      </c>
      <c r="C401">
        <v>0.72099999999999997</v>
      </c>
      <c r="D401">
        <v>0.64300000000000002</v>
      </c>
      <c r="E401">
        <v>0.67200000000000004</v>
      </c>
      <c r="F401">
        <v>23110088.153999999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-0.25641025641025533</v>
      </c>
      <c r="Q401">
        <f t="shared" si="975"/>
        <v>-5925663.6292307442</v>
      </c>
      <c r="R401">
        <f t="shared" si="976"/>
        <v>-178234588.52285945</v>
      </c>
      <c r="S401">
        <f t="shared" si="977"/>
        <v>-1782.3458852285946</v>
      </c>
      <c r="T401">
        <f t="shared" si="978"/>
        <v>-1.7823458852285947</v>
      </c>
    </row>
    <row r="402" spans="1:20" x14ac:dyDescent="0.25">
      <c r="A402" s="5">
        <v>44191</v>
      </c>
      <c r="B402">
        <v>0.71</v>
      </c>
      <c r="C402">
        <v>0.74</v>
      </c>
      <c r="D402">
        <v>0.65100000000000002</v>
      </c>
      <c r="E402">
        <v>0.69</v>
      </c>
      <c r="F402">
        <v>13397196.325999999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-0.12359550561797893</v>
      </c>
      <c r="Q402">
        <f t="shared" si="975"/>
        <v>-1655833.2537752995</v>
      </c>
      <c r="R402">
        <f t="shared" si="976"/>
        <v>-172308924.89362872</v>
      </c>
      <c r="S402">
        <f t="shared" si="977"/>
        <v>-1723.0892489362873</v>
      </c>
      <c r="T402">
        <f t="shared" si="978"/>
        <v>-1.7230892489362872</v>
      </c>
    </row>
    <row r="403" spans="1:20" x14ac:dyDescent="0.25">
      <c r="A403" s="5">
        <v>44190</v>
      </c>
      <c r="B403">
        <v>0.72699999999999998</v>
      </c>
      <c r="C403">
        <v>0.75800000000000001</v>
      </c>
      <c r="D403">
        <v>0.67500000000000004</v>
      </c>
      <c r="E403">
        <v>0.71</v>
      </c>
      <c r="F403">
        <v>16228972.157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-0.15662650602409794</v>
      </c>
      <c r="Q403">
        <f t="shared" si="975"/>
        <v>-2541887.2053132784</v>
      </c>
      <c r="R403">
        <f t="shared" si="976"/>
        <v>-170653091.63985342</v>
      </c>
      <c r="S403">
        <f t="shared" si="977"/>
        <v>-1706.5309163985341</v>
      </c>
      <c r="T403">
        <f t="shared" si="978"/>
        <v>-1.706530916398534</v>
      </c>
    </row>
    <row r="404" spans="1:20" x14ac:dyDescent="0.25">
      <c r="A404" s="5">
        <v>44189</v>
      </c>
      <c r="B404">
        <v>0.623</v>
      </c>
      <c r="C404">
        <v>0.73</v>
      </c>
      <c r="D404">
        <v>0.59099999999999997</v>
      </c>
      <c r="E404">
        <v>0.72799999999999998</v>
      </c>
      <c r="F404">
        <v>25097647.160999998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0.97122302158273377</v>
      </c>
      <c r="Q404">
        <f t="shared" si="975"/>
        <v>24375412.71032374</v>
      </c>
      <c r="R404">
        <f t="shared" si="976"/>
        <v>-168111204.43454015</v>
      </c>
      <c r="S404">
        <f t="shared" si="977"/>
        <v>-1681.1120443454015</v>
      </c>
      <c r="T404">
        <f t="shared" si="978"/>
        <v>-1.6811120443454015</v>
      </c>
    </row>
    <row r="405" spans="1:20" x14ac:dyDescent="0.25">
      <c r="A405" s="5">
        <v>44188</v>
      </c>
      <c r="B405">
        <v>0.83899999999999997</v>
      </c>
      <c r="C405">
        <v>0.85199999999999998</v>
      </c>
      <c r="D405">
        <v>0.55800000000000005</v>
      </c>
      <c r="E405">
        <v>0.622</v>
      </c>
      <c r="F405">
        <v>42175834.011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-0.56462585034013635</v>
      </c>
      <c r="Q405">
        <f t="shared" si="975"/>
        <v>-23813566.14226532</v>
      </c>
      <c r="R405">
        <f t="shared" si="976"/>
        <v>-192486617.1448639</v>
      </c>
      <c r="S405">
        <f t="shared" si="977"/>
        <v>-1924.8661714486391</v>
      </c>
      <c r="T405">
        <f t="shared" si="978"/>
        <v>-1.924866171448639</v>
      </c>
    </row>
    <row r="406" spans="1:20" x14ac:dyDescent="0.25">
      <c r="A406" s="5">
        <v>44187</v>
      </c>
      <c r="B406">
        <v>0.85399999999999998</v>
      </c>
      <c r="C406">
        <v>0.86199999999999999</v>
      </c>
      <c r="D406">
        <v>0.80500000000000005</v>
      </c>
      <c r="E406">
        <v>0.83799999999999997</v>
      </c>
      <c r="F406">
        <v>12725497.544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0.15789473684210362</v>
      </c>
      <c r="Q406">
        <f t="shared" si="975"/>
        <v>2009289.0858947157</v>
      </c>
      <c r="R406">
        <f t="shared" si="976"/>
        <v>-168673051.00259858</v>
      </c>
      <c r="S406">
        <f t="shared" si="977"/>
        <v>-1686.730510025986</v>
      </c>
      <c r="T406">
        <f t="shared" si="978"/>
        <v>-1.686730510025986</v>
      </c>
    </row>
    <row r="407" spans="1:20" x14ac:dyDescent="0.25">
      <c r="A407" s="5">
        <v>44186</v>
      </c>
      <c r="B407">
        <v>0.91100000000000003</v>
      </c>
      <c r="C407">
        <v>0.92500000000000004</v>
      </c>
      <c r="D407">
        <v>0.82</v>
      </c>
      <c r="E407">
        <v>0.85299999999999998</v>
      </c>
      <c r="F407">
        <v>12666236.676999999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-0.37142857142857144</v>
      </c>
      <c r="Q407">
        <f t="shared" si="975"/>
        <v>-4704602.1943142852</v>
      </c>
      <c r="R407">
        <f t="shared" si="976"/>
        <v>-170682340.08849329</v>
      </c>
      <c r="S407">
        <f t="shared" si="977"/>
        <v>-1706.8234008849329</v>
      </c>
      <c r="T407">
        <f t="shared" si="978"/>
        <v>-1.7068234008849328</v>
      </c>
    </row>
    <row r="408" spans="1:20" x14ac:dyDescent="0.25">
      <c r="A408" s="5">
        <v>44185</v>
      </c>
      <c r="B408">
        <v>0.93</v>
      </c>
      <c r="C408">
        <v>0.95</v>
      </c>
      <c r="D408">
        <v>0.89</v>
      </c>
      <c r="E408">
        <v>0.91200000000000003</v>
      </c>
      <c r="F408">
        <v>11677598.835999999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-0.26666666666666533</v>
      </c>
      <c r="Q408">
        <f t="shared" si="975"/>
        <v>-3114026.3562666508</v>
      </c>
      <c r="R408">
        <f t="shared" si="976"/>
        <v>-165977737.89417902</v>
      </c>
      <c r="S408">
        <f t="shared" si="977"/>
        <v>-1659.7773789417902</v>
      </c>
      <c r="T408">
        <f t="shared" si="978"/>
        <v>-1.6597773789417902</v>
      </c>
    </row>
    <row r="409" spans="1:20" x14ac:dyDescent="0.25">
      <c r="A409" s="5">
        <v>44184</v>
      </c>
      <c r="B409">
        <v>0.92900000000000005</v>
      </c>
      <c r="C409">
        <v>0.95899999999999996</v>
      </c>
      <c r="D409">
        <v>0.92100000000000004</v>
      </c>
      <c r="E409">
        <v>0.93100000000000005</v>
      </c>
      <c r="F409">
        <v>10572676.586999999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-0.47368421052631426</v>
      </c>
      <c r="Q409">
        <f t="shared" si="975"/>
        <v>-5008109.9622631418</v>
      </c>
      <c r="R409">
        <f t="shared" si="976"/>
        <v>-162863711.53791237</v>
      </c>
      <c r="S409">
        <f t="shared" si="977"/>
        <v>-1628.6371153791238</v>
      </c>
      <c r="T409">
        <f t="shared" si="978"/>
        <v>-1.6286371153791237</v>
      </c>
    </row>
    <row r="410" spans="1:20" x14ac:dyDescent="0.25">
      <c r="A410" s="5">
        <v>44183</v>
      </c>
      <c r="B410">
        <v>0.92100000000000004</v>
      </c>
      <c r="C410">
        <v>0.94</v>
      </c>
      <c r="D410">
        <v>0.89700000000000002</v>
      </c>
      <c r="E410">
        <v>0.92800000000000005</v>
      </c>
      <c r="F410">
        <v>11937602.009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0.4418604651162828</v>
      </c>
      <c r="Q410">
        <f t="shared" si="975"/>
        <v>5274754.3760698121</v>
      </c>
      <c r="R410">
        <f t="shared" si="976"/>
        <v>-157855601.57564923</v>
      </c>
      <c r="S410">
        <f t="shared" si="977"/>
        <v>-1578.5560157564923</v>
      </c>
      <c r="T410">
        <f t="shared" si="978"/>
        <v>-1.5785560157564924</v>
      </c>
    </row>
    <row r="411" spans="1:20" x14ac:dyDescent="0.25">
      <c r="A411" s="5">
        <v>44182</v>
      </c>
      <c r="B411">
        <v>0.93500000000000005</v>
      </c>
      <c r="C411">
        <v>0.98599999999999999</v>
      </c>
      <c r="D411">
        <v>0.89600000000000002</v>
      </c>
      <c r="E411">
        <v>0.92100000000000004</v>
      </c>
      <c r="F411">
        <v>27240744.116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-0.44444444444444375</v>
      </c>
      <c r="Q411">
        <f t="shared" si="975"/>
        <v>-12106997.384888871</v>
      </c>
      <c r="R411">
        <f t="shared" si="976"/>
        <v>-163130355.95171905</v>
      </c>
      <c r="S411">
        <f t="shared" si="977"/>
        <v>-1631.3035595171905</v>
      </c>
      <c r="T411">
        <f t="shared" si="978"/>
        <v>-1.6313035595171905</v>
      </c>
    </row>
    <row r="412" spans="1:20" x14ac:dyDescent="0.25">
      <c r="A412" s="5">
        <v>44181</v>
      </c>
      <c r="B412">
        <v>0.93500000000000005</v>
      </c>
      <c r="C412">
        <v>0.95799999999999996</v>
      </c>
      <c r="D412">
        <v>0.89100000000000001</v>
      </c>
      <c r="E412">
        <v>0.93600000000000005</v>
      </c>
      <c r="F412">
        <v>22832323.657000002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0.34328358208955445</v>
      </c>
      <c r="Q412">
        <f t="shared" si="975"/>
        <v>7837961.8524030363</v>
      </c>
      <c r="R412">
        <f t="shared" si="976"/>
        <v>-151023358.56683019</v>
      </c>
      <c r="S412">
        <f t="shared" si="977"/>
        <v>-1510.2335856683019</v>
      </c>
      <c r="T412">
        <f t="shared" si="978"/>
        <v>-1.5102335856683018</v>
      </c>
    </row>
    <row r="413" spans="1:20" x14ac:dyDescent="0.25">
      <c r="A413" s="5">
        <v>44180</v>
      </c>
      <c r="B413">
        <v>0.85799999999999998</v>
      </c>
      <c r="C413">
        <v>0.95399999999999996</v>
      </c>
      <c r="D413">
        <v>0.84299999999999997</v>
      </c>
      <c r="E413">
        <v>0.93500000000000005</v>
      </c>
      <c r="F413">
        <v>19166546.844999999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0.65765765765765927</v>
      </c>
      <c r="Q413">
        <f t="shared" si="975"/>
        <v>12605026.303468499</v>
      </c>
      <c r="R413">
        <f t="shared" si="976"/>
        <v>-158861320.41923323</v>
      </c>
      <c r="S413">
        <f t="shared" si="977"/>
        <v>-1588.6132041923324</v>
      </c>
      <c r="T413">
        <f t="shared" si="978"/>
        <v>-1.5886132041923324</v>
      </c>
    </row>
    <row r="414" spans="1:20" x14ac:dyDescent="0.25">
      <c r="A414" s="5">
        <v>44179</v>
      </c>
      <c r="B414">
        <v>0.85199999999999998</v>
      </c>
      <c r="C414">
        <v>0.86099999999999999</v>
      </c>
      <c r="D414">
        <v>0.82</v>
      </c>
      <c r="E414">
        <v>0.85799999999999998</v>
      </c>
      <c r="F414">
        <v>10132871.092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0.85365853658536583</v>
      </c>
      <c r="Q414">
        <f t="shared" si="975"/>
        <v>8650011.9078048784</v>
      </c>
      <c r="R414">
        <f t="shared" si="976"/>
        <v>-171466346.72270173</v>
      </c>
      <c r="S414">
        <f t="shared" si="977"/>
        <v>-1714.6634672270172</v>
      </c>
      <c r="T414">
        <f t="shared" si="978"/>
        <v>-1.7146634672270173</v>
      </c>
    </row>
    <row r="415" spans="1:20" x14ac:dyDescent="0.25">
      <c r="A415" s="5">
        <v>44178</v>
      </c>
      <c r="B415">
        <v>0.86399999999999999</v>
      </c>
      <c r="C415">
        <v>0.87</v>
      </c>
      <c r="D415">
        <v>0.81899999999999995</v>
      </c>
      <c r="E415">
        <v>0.85299999999999998</v>
      </c>
      <c r="F415">
        <v>16447190.666999999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0.33333333333333331</v>
      </c>
      <c r="Q415">
        <f t="shared" si="975"/>
        <v>5482396.8889999995</v>
      </c>
      <c r="R415">
        <f t="shared" si="976"/>
        <v>-180116358.6305066</v>
      </c>
      <c r="S415">
        <f t="shared" si="977"/>
        <v>-1801.163586305066</v>
      </c>
      <c r="T415">
        <f t="shared" si="978"/>
        <v>-1.8011635863050661</v>
      </c>
    </row>
    <row r="416" spans="1:20" x14ac:dyDescent="0.25">
      <c r="A416" s="5">
        <v>44177</v>
      </c>
      <c r="B416">
        <v>0.80500000000000005</v>
      </c>
      <c r="C416">
        <v>0.874</v>
      </c>
      <c r="D416">
        <v>0.80400000000000005</v>
      </c>
      <c r="E416">
        <v>0.86399999999999999</v>
      </c>
      <c r="F416">
        <v>8292564.3949999996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0.71428571428571386</v>
      </c>
      <c r="Q416">
        <f t="shared" si="975"/>
        <v>5923260.2821428534</v>
      </c>
      <c r="R416">
        <f t="shared" si="976"/>
        <v>-185598755.5195066</v>
      </c>
      <c r="S416">
        <f t="shared" si="977"/>
        <v>-1855.9875551950661</v>
      </c>
      <c r="T416">
        <f t="shared" si="978"/>
        <v>-1.855987555195066</v>
      </c>
    </row>
    <row r="417" spans="1:20" x14ac:dyDescent="0.25">
      <c r="A417" s="5">
        <v>44176</v>
      </c>
      <c r="B417">
        <v>0.84199999999999997</v>
      </c>
      <c r="C417">
        <v>0.84399999999999997</v>
      </c>
      <c r="D417">
        <v>0.79500000000000004</v>
      </c>
      <c r="E417">
        <v>0.80400000000000005</v>
      </c>
      <c r="F417">
        <v>10136598.038000001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-0.63265306122448894</v>
      </c>
      <c r="Q417">
        <f t="shared" si="975"/>
        <v>-6412949.7791428491</v>
      </c>
      <c r="R417">
        <f t="shared" si="976"/>
        <v>-191522015.80164945</v>
      </c>
      <c r="S417">
        <f t="shared" si="977"/>
        <v>-1915.2201580164945</v>
      </c>
      <c r="T417">
        <f t="shared" si="978"/>
        <v>-1.9152201580164945</v>
      </c>
    </row>
    <row r="418" spans="1:20" x14ac:dyDescent="0.25">
      <c r="A418" s="5">
        <v>44175</v>
      </c>
      <c r="B418">
        <v>0.85599999999999998</v>
      </c>
      <c r="C418">
        <v>0.86499999999999999</v>
      </c>
      <c r="D418">
        <v>0.82399999999999995</v>
      </c>
      <c r="E418">
        <v>0.84099999999999997</v>
      </c>
      <c r="F418">
        <v>8271755.943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-0.17073170731707318</v>
      </c>
      <c r="Q418">
        <f t="shared" si="975"/>
        <v>-1412251.0146585368</v>
      </c>
      <c r="R418">
        <f t="shared" si="976"/>
        <v>-185109066.02250659</v>
      </c>
      <c r="S418">
        <f t="shared" si="977"/>
        <v>-1851.0906602250659</v>
      </c>
      <c r="T418">
        <f t="shared" si="978"/>
        <v>-1.8510906602250659</v>
      </c>
    </row>
    <row r="419" spans="1:20" x14ac:dyDescent="0.25">
      <c r="A419" s="5">
        <v>44174</v>
      </c>
      <c r="B419">
        <v>0.85299999999999998</v>
      </c>
      <c r="C419">
        <v>0.86499999999999999</v>
      </c>
      <c r="D419">
        <v>0.78500000000000003</v>
      </c>
      <c r="E419">
        <v>0.85599999999999998</v>
      </c>
      <c r="F419">
        <v>19729780.327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0.77499999999999969</v>
      </c>
      <c r="Q419">
        <f t="shared" si="975"/>
        <v>15290579.753424993</v>
      </c>
      <c r="R419">
        <f t="shared" si="976"/>
        <v>-183696815.00784805</v>
      </c>
      <c r="S419">
        <f t="shared" si="977"/>
        <v>-1836.9681500784804</v>
      </c>
      <c r="T419">
        <f t="shared" si="978"/>
        <v>-1.8369681500784805</v>
      </c>
    </row>
    <row r="420" spans="1:20" x14ac:dyDescent="0.25">
      <c r="A420" s="5">
        <v>44173</v>
      </c>
      <c r="B420">
        <v>0.91300000000000003</v>
      </c>
      <c r="C420">
        <v>0.92100000000000004</v>
      </c>
      <c r="D420">
        <v>0.82899999999999996</v>
      </c>
      <c r="E420">
        <v>0.85299999999999998</v>
      </c>
      <c r="F420">
        <v>13069802.102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-0.47826086956521741</v>
      </c>
      <c r="Q420">
        <f t="shared" si="975"/>
        <v>-6250774.9183478262</v>
      </c>
      <c r="R420">
        <f t="shared" si="976"/>
        <v>-198987394.76127306</v>
      </c>
      <c r="S420">
        <f t="shared" si="977"/>
        <v>-1989.8739476127305</v>
      </c>
      <c r="T420">
        <f t="shared" si="978"/>
        <v>-1.9898739476127305</v>
      </c>
    </row>
    <row r="421" spans="1:20" x14ac:dyDescent="0.25">
      <c r="A421" s="5">
        <v>44172</v>
      </c>
      <c r="B421">
        <v>0.90800000000000003</v>
      </c>
      <c r="C421">
        <v>0.92800000000000005</v>
      </c>
      <c r="D421">
        <v>0.88800000000000001</v>
      </c>
      <c r="E421">
        <v>0.91200000000000003</v>
      </c>
      <c r="F421">
        <v>9772522.7970000003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</v>
      </c>
      <c r="Q421">
        <f t="shared" si="975"/>
        <v>1954504.5594000001</v>
      </c>
      <c r="R421">
        <f t="shared" si="976"/>
        <v>-192736619.84292522</v>
      </c>
      <c r="S421">
        <f t="shared" si="977"/>
        <v>-1927.3661984292521</v>
      </c>
      <c r="T421">
        <f t="shared" si="978"/>
        <v>-1.9273661984292521</v>
      </c>
    </row>
    <row r="422" spans="1:20" x14ac:dyDescent="0.25">
      <c r="A422" s="5">
        <v>44171</v>
      </c>
      <c r="B422">
        <v>0.92</v>
      </c>
      <c r="C422">
        <v>0.93300000000000005</v>
      </c>
      <c r="D422">
        <v>0.88300000000000001</v>
      </c>
      <c r="E422">
        <v>0.90800000000000003</v>
      </c>
      <c r="F422">
        <v>8443625.3929999992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</v>
      </c>
      <c r="Q422">
        <f t="shared" si="975"/>
        <v>0</v>
      </c>
      <c r="R422">
        <f t="shared" si="976"/>
        <v>-194691124.40232521</v>
      </c>
      <c r="S422">
        <f t="shared" si="977"/>
        <v>-1946.911244023252</v>
      </c>
      <c r="T422">
        <f t="shared" si="978"/>
        <v>-1.9469112440232521</v>
      </c>
    </row>
    <row r="423" spans="1:20" x14ac:dyDescent="0.25">
      <c r="A423" s="5">
        <v>44170</v>
      </c>
      <c r="B423">
        <v>0.871</v>
      </c>
      <c r="C423">
        <v>0.92400000000000004</v>
      </c>
      <c r="D423">
        <v>0.85</v>
      </c>
      <c r="E423">
        <v>0.92</v>
      </c>
      <c r="F423">
        <v>8746110.6390000004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0.89189189189189189</v>
      </c>
      <c r="Q423">
        <f t="shared" si="975"/>
        <v>7800585.1645135134</v>
      </c>
      <c r="R423">
        <f t="shared" si="976"/>
        <v>-194691124.40232521</v>
      </c>
      <c r="S423">
        <f t="shared" si="977"/>
        <v>-1946.911244023252</v>
      </c>
      <c r="T423">
        <f t="shared" si="978"/>
        <v>-1.9469112440232521</v>
      </c>
    </row>
    <row r="424" spans="1:20" x14ac:dyDescent="0.25">
      <c r="A424" s="5">
        <v>44169</v>
      </c>
      <c r="B424">
        <v>0.96199999999999997</v>
      </c>
      <c r="C424">
        <v>0.96799999999999997</v>
      </c>
      <c r="D424">
        <v>0.86</v>
      </c>
      <c r="E424">
        <v>0.871</v>
      </c>
      <c r="F424">
        <v>16323880.411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-0.79629629629629606</v>
      </c>
      <c r="Q424">
        <f t="shared" si="975"/>
        <v>-12998645.512462959</v>
      </c>
      <c r="R424">
        <f t="shared" si="976"/>
        <v>-202491709.56683874</v>
      </c>
      <c r="S424">
        <f t="shared" si="977"/>
        <v>-2024.9170956683874</v>
      </c>
      <c r="T424">
        <f t="shared" si="978"/>
        <v>-2.0249170956683873</v>
      </c>
    </row>
    <row r="425" spans="1:20" x14ac:dyDescent="0.25">
      <c r="A425" s="5">
        <v>44168</v>
      </c>
      <c r="B425">
        <v>0.96599999999999997</v>
      </c>
      <c r="C425">
        <v>0.97799999999999998</v>
      </c>
      <c r="D425">
        <v>0.94599999999999995</v>
      </c>
      <c r="E425">
        <v>0.96099999999999997</v>
      </c>
      <c r="F425">
        <v>12115944.982000001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-6.25E-2</v>
      </c>
      <c r="Q425">
        <f t="shared" si="975"/>
        <v>-757246.56137500005</v>
      </c>
      <c r="R425">
        <f t="shared" si="976"/>
        <v>-189493064.0543758</v>
      </c>
      <c r="S425">
        <f t="shared" si="977"/>
        <v>-1894.930640543758</v>
      </c>
      <c r="T425">
        <f t="shared" si="978"/>
        <v>-1.894930640543758</v>
      </c>
    </row>
    <row r="426" spans="1:20" x14ac:dyDescent="0.25">
      <c r="A426" s="5">
        <v>44167</v>
      </c>
      <c r="B426">
        <v>0.94199999999999995</v>
      </c>
      <c r="C426">
        <v>0.98699999999999999</v>
      </c>
      <c r="D426">
        <v>0.91600000000000004</v>
      </c>
      <c r="E426">
        <v>0.96699999999999997</v>
      </c>
      <c r="F426">
        <v>20944235.589000002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0.4366197183098583</v>
      </c>
      <c r="Q426">
        <f t="shared" si="975"/>
        <v>9144666.2430844903</v>
      </c>
      <c r="R426">
        <f t="shared" si="976"/>
        <v>-188735817.49300081</v>
      </c>
      <c r="S426">
        <f t="shared" si="977"/>
        <v>-1887.3581749300081</v>
      </c>
      <c r="T426">
        <f t="shared" si="978"/>
        <v>-1.8873581749300081</v>
      </c>
    </row>
    <row r="427" spans="1:20" x14ac:dyDescent="0.25">
      <c r="A427" s="5">
        <v>44166</v>
      </c>
      <c r="B427">
        <v>0.98</v>
      </c>
      <c r="C427">
        <v>1.0369999999999999</v>
      </c>
      <c r="D427">
        <v>0.92600000000000005</v>
      </c>
      <c r="E427">
        <v>0.94199999999999995</v>
      </c>
      <c r="F427">
        <v>33014501.807999998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-0.7117117117117131</v>
      </c>
      <c r="Q427">
        <f t="shared" si="975"/>
        <v>-23496807.593081124</v>
      </c>
      <c r="R427">
        <f t="shared" si="976"/>
        <v>-197880483.7360853</v>
      </c>
      <c r="S427">
        <f t="shared" si="977"/>
        <v>-1978.8048373608528</v>
      </c>
      <c r="T427">
        <f t="shared" si="978"/>
        <v>-1.9788048373608529</v>
      </c>
    </row>
    <row r="428" spans="1:20" x14ac:dyDescent="0.25">
      <c r="A428" s="5">
        <v>44165</v>
      </c>
      <c r="B428">
        <v>0.94699999999999995</v>
      </c>
      <c r="C428">
        <v>1.0489999999999999</v>
      </c>
      <c r="D428">
        <v>0.91400000000000003</v>
      </c>
      <c r="E428">
        <v>0.97899999999999998</v>
      </c>
      <c r="F428">
        <v>87820704.405000001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-3.7037037037037097E-2</v>
      </c>
      <c r="Q428">
        <f t="shared" si="975"/>
        <v>-3252618.6816666722</v>
      </c>
      <c r="R428">
        <f t="shared" si="976"/>
        <v>-174383676.14300418</v>
      </c>
      <c r="S428">
        <f t="shared" si="977"/>
        <v>-1743.8367614300419</v>
      </c>
      <c r="T428">
        <f t="shared" si="978"/>
        <v>-1.7438367614300418</v>
      </c>
    </row>
    <row r="429" spans="1:20" x14ac:dyDescent="0.25">
      <c r="A429" s="5">
        <v>44164</v>
      </c>
      <c r="B429">
        <v>0.96199999999999997</v>
      </c>
      <c r="C429">
        <v>0.97</v>
      </c>
      <c r="D429">
        <v>0.92300000000000004</v>
      </c>
      <c r="E429">
        <v>0.94599999999999995</v>
      </c>
      <c r="F429">
        <v>13362966.162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-2.1276595744683262E-2</v>
      </c>
      <c r="Q429">
        <f t="shared" si="975"/>
        <v>-284318.4289787556</v>
      </c>
      <c r="R429">
        <f t="shared" si="976"/>
        <v>-171131057.46133751</v>
      </c>
      <c r="S429">
        <f t="shared" si="977"/>
        <v>-1711.3105746133751</v>
      </c>
      <c r="T429">
        <f t="shared" si="978"/>
        <v>-1.7113105746133752</v>
      </c>
    </row>
    <row r="430" spans="1:20" x14ac:dyDescent="0.25">
      <c r="A430" s="5">
        <v>44163</v>
      </c>
      <c r="B430">
        <v>0.96899999999999997</v>
      </c>
      <c r="C430">
        <v>1.0029999999999999</v>
      </c>
      <c r="D430">
        <v>0.91600000000000004</v>
      </c>
      <c r="E430">
        <v>0.96099999999999997</v>
      </c>
      <c r="F430">
        <v>21932126.991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3.4482758620689745E-2</v>
      </c>
      <c r="Q430">
        <f t="shared" si="975"/>
        <v>756280.2410689675</v>
      </c>
      <c r="R430">
        <f t="shared" si="976"/>
        <v>-170846739.03235877</v>
      </c>
      <c r="S430">
        <f t="shared" si="977"/>
        <v>-1708.4673903235876</v>
      </c>
      <c r="T430">
        <f t="shared" si="978"/>
        <v>-1.7084673903235876</v>
      </c>
    </row>
    <row r="431" spans="1:20" x14ac:dyDescent="0.25">
      <c r="A431" s="5">
        <v>44162</v>
      </c>
      <c r="B431">
        <v>0.95299999999999996</v>
      </c>
      <c r="C431">
        <v>1.0349999999999999</v>
      </c>
      <c r="D431">
        <v>0.91200000000000003</v>
      </c>
      <c r="E431">
        <v>0.96899999999999997</v>
      </c>
      <c r="F431">
        <v>27265658.633000001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-7.3170731707317208E-2</v>
      </c>
      <c r="Q431">
        <f t="shared" si="975"/>
        <v>-1995048.1926585403</v>
      </c>
      <c r="R431">
        <f t="shared" si="976"/>
        <v>-171603019.27342772</v>
      </c>
      <c r="S431">
        <f t="shared" si="977"/>
        <v>-1716.0301927342773</v>
      </c>
      <c r="T431">
        <f t="shared" si="978"/>
        <v>-1.7160301927342774</v>
      </c>
    </row>
    <row r="432" spans="1:20" x14ac:dyDescent="0.25">
      <c r="A432" s="5">
        <v>44161</v>
      </c>
      <c r="B432">
        <v>1.1180000000000001</v>
      </c>
      <c r="C432">
        <v>1.1599999999999999</v>
      </c>
      <c r="D432">
        <v>0.8</v>
      </c>
      <c r="E432">
        <v>0.95299999999999996</v>
      </c>
      <c r="F432">
        <v>91767139.658000007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-0.15000000000000019</v>
      </c>
      <c r="Q432">
        <f t="shared" si="975"/>
        <v>-13765070.948700018</v>
      </c>
      <c r="R432">
        <f t="shared" si="976"/>
        <v>-169607971.08076918</v>
      </c>
      <c r="S432">
        <f t="shared" si="977"/>
        <v>-1696.0797108076918</v>
      </c>
      <c r="T432">
        <f t="shared" si="978"/>
        <v>-1.6960797108076917</v>
      </c>
    </row>
    <row r="433" spans="1:20" x14ac:dyDescent="0.25">
      <c r="A433" s="5">
        <v>44160</v>
      </c>
      <c r="B433">
        <v>1.173</v>
      </c>
      <c r="C433">
        <v>1.284</v>
      </c>
      <c r="D433">
        <v>1.07</v>
      </c>
      <c r="E433">
        <v>1.1180000000000001</v>
      </c>
      <c r="F433">
        <v>49414100.327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-0.55140186915887801</v>
      </c>
      <c r="Q433">
        <f t="shared" si="975"/>
        <v>-27247027.283112124</v>
      </c>
      <c r="R433">
        <f t="shared" si="976"/>
        <v>-155842900.13206917</v>
      </c>
      <c r="S433">
        <f t="shared" si="977"/>
        <v>-1558.4290013206917</v>
      </c>
      <c r="T433">
        <f t="shared" si="978"/>
        <v>-1.5584290013206916</v>
      </c>
    </row>
    <row r="434" spans="1:20" x14ac:dyDescent="0.25">
      <c r="A434" s="5">
        <v>44159</v>
      </c>
      <c r="B434">
        <v>1.139</v>
      </c>
      <c r="C434">
        <v>1.2490000000000001</v>
      </c>
      <c r="D434">
        <v>1.0449999999999999</v>
      </c>
      <c r="E434">
        <v>1.1739999999999999</v>
      </c>
      <c r="F434">
        <v>56420547.357000001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0.26470588235294007</v>
      </c>
      <c r="Q434">
        <f t="shared" si="975"/>
        <v>14934850.770970525</v>
      </c>
      <c r="R434">
        <f t="shared" si="976"/>
        <v>-128595872.84895706</v>
      </c>
      <c r="S434">
        <f t="shared" si="977"/>
        <v>-1285.9587284895706</v>
      </c>
      <c r="T434">
        <f t="shared" si="978"/>
        <v>-1.2859587284895706</v>
      </c>
    </row>
    <row r="435" spans="1:20" x14ac:dyDescent="0.25">
      <c r="A435" s="5">
        <v>44158</v>
      </c>
      <c r="B435">
        <v>1.032</v>
      </c>
      <c r="C435">
        <v>1.157</v>
      </c>
      <c r="D435">
        <v>1.018</v>
      </c>
      <c r="E435">
        <v>1.139</v>
      </c>
      <c r="F435">
        <v>35178879.697999999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0.74100719424460415</v>
      </c>
      <c r="Q435">
        <f t="shared" si="975"/>
        <v>26067802.941683445</v>
      </c>
      <c r="R435">
        <f t="shared" si="976"/>
        <v>-143530723.61992759</v>
      </c>
      <c r="S435">
        <f t="shared" si="977"/>
        <v>-1435.3072361992758</v>
      </c>
      <c r="T435">
        <f t="shared" si="978"/>
        <v>-1.4353072361992758</v>
      </c>
    </row>
    <row r="436" spans="1:20" x14ac:dyDescent="0.25">
      <c r="A436" s="5">
        <v>44157</v>
      </c>
      <c r="B436">
        <v>1.133</v>
      </c>
      <c r="C436">
        <v>1.157</v>
      </c>
      <c r="D436">
        <v>0.99199999999999999</v>
      </c>
      <c r="E436">
        <v>1.034</v>
      </c>
      <c r="F436">
        <v>33445245.758000001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-0.49090909090909057</v>
      </c>
      <c r="Q436">
        <f t="shared" si="975"/>
        <v>-16418575.190290898</v>
      </c>
      <c r="R436">
        <f t="shared" si="976"/>
        <v>-169598526.56161103</v>
      </c>
      <c r="S436">
        <f t="shared" si="977"/>
        <v>-1695.9852656161102</v>
      </c>
      <c r="T436">
        <f t="shared" si="978"/>
        <v>-1.6959852656161101</v>
      </c>
    </row>
    <row r="437" spans="1:20" x14ac:dyDescent="0.25">
      <c r="A437" s="5">
        <v>44156</v>
      </c>
      <c r="B437">
        <v>0.97899999999999998</v>
      </c>
      <c r="C437">
        <v>1.1599999999999999</v>
      </c>
      <c r="D437">
        <v>0.97699999999999998</v>
      </c>
      <c r="E437">
        <v>1.1319999999999999</v>
      </c>
      <c r="F437">
        <v>37870149.641000003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0.69398907103825103</v>
      </c>
      <c r="Q437">
        <f t="shared" si="975"/>
        <v>26281469.969437148</v>
      </c>
      <c r="R437">
        <f t="shared" si="976"/>
        <v>-153179951.37132013</v>
      </c>
      <c r="S437">
        <f t="shared" si="977"/>
        <v>-1531.7995137132013</v>
      </c>
      <c r="T437">
        <f t="shared" si="978"/>
        <v>-1.5317995137132014</v>
      </c>
    </row>
    <row r="438" spans="1:20" x14ac:dyDescent="0.25">
      <c r="A438" s="5">
        <v>44155</v>
      </c>
      <c r="B438">
        <v>0.95399999999999996</v>
      </c>
      <c r="C438">
        <v>1.028</v>
      </c>
      <c r="D438">
        <v>0.95</v>
      </c>
      <c r="E438">
        <v>0.98</v>
      </c>
      <c r="F438">
        <v>19932759.912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-0.23076923076923078</v>
      </c>
      <c r="Q438">
        <f t="shared" si="975"/>
        <v>-4599867.6720000003</v>
      </c>
      <c r="R438">
        <f t="shared" si="976"/>
        <v>-179461421.34075728</v>
      </c>
      <c r="S438">
        <f t="shared" si="977"/>
        <v>-1794.6142134075728</v>
      </c>
      <c r="T438">
        <f t="shared" si="978"/>
        <v>-1.7946142134075729</v>
      </c>
    </row>
    <row r="439" spans="1:20" x14ac:dyDescent="0.25">
      <c r="A439" s="5">
        <v>44154</v>
      </c>
      <c r="B439">
        <v>0.97799999999999998</v>
      </c>
      <c r="C439">
        <v>0.98499999999999999</v>
      </c>
      <c r="D439">
        <v>0.92100000000000004</v>
      </c>
      <c r="E439">
        <v>0.95299999999999996</v>
      </c>
      <c r="F439">
        <v>17646646.283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-1.7347234759768085E-15</v>
      </c>
      <c r="Q439">
        <f t="shared" si="975"/>
        <v>-3.0612051579378989E-8</v>
      </c>
      <c r="R439">
        <f t="shared" si="976"/>
        <v>-174861553.66875729</v>
      </c>
      <c r="S439">
        <f t="shared" si="977"/>
        <v>-1748.6155366875728</v>
      </c>
      <c r="T439">
        <f t="shared" si="978"/>
        <v>-1.7486155366875729</v>
      </c>
    </row>
    <row r="440" spans="1:20" x14ac:dyDescent="0.25">
      <c r="A440" s="5">
        <v>44153</v>
      </c>
      <c r="B440">
        <v>1.0489999999999999</v>
      </c>
      <c r="C440">
        <v>1.075</v>
      </c>
      <c r="D440">
        <v>0.93</v>
      </c>
      <c r="E440">
        <v>0.97799999999999998</v>
      </c>
      <c r="F440">
        <v>26027593.818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-0.33793103448275913</v>
      </c>
      <c r="Q440">
        <f t="shared" si="975"/>
        <v>-8795531.7040138058</v>
      </c>
      <c r="R440">
        <f t="shared" si="976"/>
        <v>-174861553.66875726</v>
      </c>
      <c r="S440">
        <f t="shared" si="977"/>
        <v>-1748.6155366875726</v>
      </c>
      <c r="T440">
        <f t="shared" si="978"/>
        <v>-1.7486155366875726</v>
      </c>
    </row>
    <row r="441" spans="1:20" x14ac:dyDescent="0.25">
      <c r="A441" s="5">
        <v>44152</v>
      </c>
      <c r="B441">
        <v>1.032</v>
      </c>
      <c r="C441">
        <v>1.151</v>
      </c>
      <c r="D441">
        <v>1.0029999999999999</v>
      </c>
      <c r="E441">
        <v>1.0489999999999999</v>
      </c>
      <c r="F441">
        <v>29483528.690000001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-0.3783783783783784</v>
      </c>
      <c r="Q441">
        <f t="shared" si="975"/>
        <v>-11155929.774594596</v>
      </c>
      <c r="R441">
        <f t="shared" si="976"/>
        <v>-166066021.96474347</v>
      </c>
      <c r="S441">
        <f t="shared" si="977"/>
        <v>-1660.6602196474346</v>
      </c>
      <c r="T441">
        <f t="shared" si="978"/>
        <v>-1.6606602196474345</v>
      </c>
    </row>
    <row r="442" spans="1:20" x14ac:dyDescent="0.25">
      <c r="A442" s="5">
        <v>44151</v>
      </c>
      <c r="B442">
        <v>0.91900000000000004</v>
      </c>
      <c r="C442">
        <v>1.0449999999999999</v>
      </c>
      <c r="D442">
        <v>0.90400000000000003</v>
      </c>
      <c r="E442">
        <v>1.032</v>
      </c>
      <c r="F442">
        <v>30152434.681000002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0.81560283687943391</v>
      </c>
      <c r="Q442">
        <f t="shared" si="975"/>
        <v>24592411.264645431</v>
      </c>
      <c r="R442">
        <f t="shared" si="976"/>
        <v>-154910092.19014886</v>
      </c>
      <c r="S442">
        <f t="shared" si="977"/>
        <v>-1549.1009219014886</v>
      </c>
      <c r="T442">
        <f t="shared" si="978"/>
        <v>-1.5491009219014886</v>
      </c>
    </row>
    <row r="443" spans="1:20" x14ac:dyDescent="0.25">
      <c r="A443" s="5">
        <v>44150</v>
      </c>
      <c r="B443">
        <v>0.93600000000000005</v>
      </c>
      <c r="C443">
        <v>0.995</v>
      </c>
      <c r="D443">
        <v>0.89</v>
      </c>
      <c r="E443">
        <v>0.91900000000000004</v>
      </c>
      <c r="F443">
        <v>24362534.48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-0.44761904761904703</v>
      </c>
      <c r="Q443">
        <f t="shared" si="975"/>
        <v>-10905134.481523795</v>
      </c>
      <c r="R443">
        <f t="shared" si="976"/>
        <v>-179502503.45479429</v>
      </c>
      <c r="S443">
        <f t="shared" si="977"/>
        <v>-1795.0250345479428</v>
      </c>
      <c r="T443">
        <f t="shared" si="978"/>
        <v>-1.7950250345479428</v>
      </c>
    </row>
    <row r="444" spans="1:20" x14ac:dyDescent="0.25">
      <c r="A444" s="5">
        <v>44149</v>
      </c>
      <c r="B444">
        <v>0.94799999999999995</v>
      </c>
      <c r="C444">
        <v>0.97699999999999998</v>
      </c>
      <c r="D444">
        <v>0.88600000000000001</v>
      </c>
      <c r="E444">
        <v>0.93500000000000005</v>
      </c>
      <c r="F444">
        <v>15885585.863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7.6923076923078232E-2</v>
      </c>
      <c r="Q444">
        <f t="shared" si="975"/>
        <v>1221968.1433077131</v>
      </c>
      <c r="R444">
        <f t="shared" si="976"/>
        <v>-168597368.97327051</v>
      </c>
      <c r="S444">
        <f t="shared" si="977"/>
        <v>-1685.973689732705</v>
      </c>
      <c r="T444">
        <f t="shared" si="978"/>
        <v>-1.6859736897327049</v>
      </c>
    </row>
    <row r="445" spans="1:20" x14ac:dyDescent="0.25">
      <c r="A445" s="5">
        <v>44148</v>
      </c>
      <c r="B445">
        <v>0.90200000000000002</v>
      </c>
      <c r="C445">
        <v>0.998</v>
      </c>
      <c r="D445">
        <v>0.89900000000000002</v>
      </c>
      <c r="E445">
        <v>0.94799999999999995</v>
      </c>
      <c r="F445">
        <v>19675525.704999998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-1.0101010101011233E-2</v>
      </c>
      <c r="Q445">
        <f t="shared" si="975"/>
        <v>-198742.68388891115</v>
      </c>
      <c r="R445">
        <f t="shared" si="976"/>
        <v>-169819337.11657822</v>
      </c>
      <c r="S445">
        <f t="shared" si="977"/>
        <v>-1698.1933711657823</v>
      </c>
      <c r="T445">
        <f t="shared" si="978"/>
        <v>-1.6981933711657824</v>
      </c>
    </row>
    <row r="446" spans="1:20" x14ac:dyDescent="0.25">
      <c r="A446" s="5">
        <v>44147</v>
      </c>
      <c r="B446">
        <v>0.95199999999999996</v>
      </c>
      <c r="C446">
        <v>0.95599999999999996</v>
      </c>
      <c r="D446">
        <v>0.88600000000000001</v>
      </c>
      <c r="E446">
        <v>0.90200000000000002</v>
      </c>
      <c r="F446">
        <v>12050740.783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-0.54285714285714215</v>
      </c>
      <c r="Q446">
        <f t="shared" si="975"/>
        <v>-6541830.71077142</v>
      </c>
      <c r="R446">
        <f t="shared" si="976"/>
        <v>-169620594.43268931</v>
      </c>
      <c r="S446">
        <f t="shared" si="977"/>
        <v>-1696.2059443268931</v>
      </c>
      <c r="T446">
        <f t="shared" si="978"/>
        <v>-1.6962059443268931</v>
      </c>
    </row>
    <row r="447" spans="1:20" x14ac:dyDescent="0.25">
      <c r="A447" s="5">
        <v>44146</v>
      </c>
      <c r="B447">
        <v>1.0149999999999999</v>
      </c>
      <c r="C447">
        <v>1.0389999999999999</v>
      </c>
      <c r="D447">
        <v>0.94699999999999995</v>
      </c>
      <c r="E447">
        <v>0.95199999999999996</v>
      </c>
      <c r="F447">
        <v>18509253.625999998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-0.89130434782608681</v>
      </c>
      <c r="Q447">
        <f t="shared" si="975"/>
        <v>-16497378.231869562</v>
      </c>
      <c r="R447">
        <f t="shared" si="976"/>
        <v>-163078763.7219179</v>
      </c>
      <c r="S447">
        <f t="shared" si="977"/>
        <v>-1630.787637219179</v>
      </c>
      <c r="T447">
        <f t="shared" si="978"/>
        <v>-1.630787637219179</v>
      </c>
    </row>
    <row r="448" spans="1:20" x14ac:dyDescent="0.25">
      <c r="A448" s="5">
        <v>44145</v>
      </c>
      <c r="B448">
        <v>0.95399999999999996</v>
      </c>
      <c r="C448">
        <v>1.0449999999999999</v>
      </c>
      <c r="D448">
        <v>0.93200000000000005</v>
      </c>
      <c r="E448">
        <v>1.0149999999999999</v>
      </c>
      <c r="F448">
        <v>20878850.151999999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0.46902654867256532</v>
      </c>
      <c r="Q448">
        <f t="shared" si="975"/>
        <v>9792735.0270442255</v>
      </c>
      <c r="R448">
        <f t="shared" si="976"/>
        <v>-146581385.49004835</v>
      </c>
      <c r="S448">
        <f t="shared" si="977"/>
        <v>-1465.8138549004834</v>
      </c>
      <c r="T448">
        <f t="shared" si="978"/>
        <v>-1.4658138549004833</v>
      </c>
    </row>
    <row r="449" spans="1:20" x14ac:dyDescent="0.25">
      <c r="A449" s="5">
        <v>44144</v>
      </c>
      <c r="B449">
        <v>0.98299999999999998</v>
      </c>
      <c r="C449">
        <v>1.0069999999999999</v>
      </c>
      <c r="D449">
        <v>0.88500000000000001</v>
      </c>
      <c r="E449">
        <v>0.95399999999999996</v>
      </c>
      <c r="F449">
        <v>24227929.397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0.13114754098360679</v>
      </c>
      <c r="Q449">
        <f t="shared" si="975"/>
        <v>3177433.3635409893</v>
      </c>
      <c r="R449">
        <f t="shared" si="976"/>
        <v>-156374120.51709259</v>
      </c>
      <c r="S449">
        <f t="shared" si="977"/>
        <v>-1563.7412051709259</v>
      </c>
      <c r="T449">
        <f t="shared" si="978"/>
        <v>-1.5637412051709259</v>
      </c>
    </row>
    <row r="450" spans="1:20" x14ac:dyDescent="0.25">
      <c r="A450" s="5">
        <v>44143</v>
      </c>
      <c r="B450">
        <v>1.0009999999999999</v>
      </c>
      <c r="C450">
        <v>1.0669999999999999</v>
      </c>
      <c r="D450">
        <v>0.94</v>
      </c>
      <c r="E450">
        <v>0.98399999999999999</v>
      </c>
      <c r="F450">
        <v>26831336.425999999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-0.30708661417322775</v>
      </c>
      <c r="Q450">
        <f t="shared" si="975"/>
        <v>-8239544.2568031335</v>
      </c>
      <c r="R450">
        <f t="shared" si="976"/>
        <v>-159551553.88063356</v>
      </c>
      <c r="S450">
        <f t="shared" si="977"/>
        <v>-1595.5155388063356</v>
      </c>
      <c r="T450">
        <f t="shared" si="978"/>
        <v>-1.5955155388063356</v>
      </c>
    </row>
    <row r="451" spans="1:20" x14ac:dyDescent="0.25">
      <c r="A451" s="5">
        <v>44142</v>
      </c>
      <c r="B451">
        <v>0.95199999999999996</v>
      </c>
      <c r="C451">
        <v>1.1819999999999999</v>
      </c>
      <c r="D451">
        <v>0.90700000000000003</v>
      </c>
      <c r="E451">
        <v>1.0009999999999999</v>
      </c>
      <c r="F451">
        <v>53953532.533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-0.31636363636363712</v>
      </c>
      <c r="Q451">
        <f t="shared" si="975"/>
        <v>-17068935.746803679</v>
      </c>
      <c r="R451">
        <f t="shared" si="976"/>
        <v>-151312009.62383044</v>
      </c>
      <c r="S451">
        <f t="shared" si="977"/>
        <v>-1513.1200962383043</v>
      </c>
      <c r="T451">
        <f t="shared" si="978"/>
        <v>-1.5131200962383042</v>
      </c>
    </row>
    <row r="452" spans="1:20" x14ac:dyDescent="0.25">
      <c r="A452" s="5">
        <v>44141</v>
      </c>
      <c r="B452">
        <v>0.81200000000000006</v>
      </c>
      <c r="C452">
        <v>0.95199999999999996</v>
      </c>
      <c r="D452">
        <v>0.80800000000000005</v>
      </c>
      <c r="E452">
        <v>0.95199999999999996</v>
      </c>
      <c r="F452">
        <v>19254465.112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1</v>
      </c>
      <c r="Q452">
        <f t="shared" si="975"/>
        <v>19254465.112</v>
      </c>
      <c r="R452">
        <f t="shared" si="976"/>
        <v>-134243073.87702677</v>
      </c>
      <c r="S452">
        <f t="shared" si="977"/>
        <v>-1342.4307387702677</v>
      </c>
      <c r="T452">
        <f t="shared" si="978"/>
        <v>-1.3424307387702676</v>
      </c>
    </row>
    <row r="453" spans="1:20" x14ac:dyDescent="0.25">
      <c r="A453" s="5">
        <v>44140</v>
      </c>
      <c r="B453">
        <v>0.77</v>
      </c>
      <c r="C453">
        <v>0.85499999999999998</v>
      </c>
      <c r="D453">
        <v>0.76700000000000002</v>
      </c>
      <c r="E453">
        <v>0.81</v>
      </c>
      <c r="F453">
        <v>16826114.574999999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-2.2727272727271493E-2</v>
      </c>
      <c r="Q453">
        <f t="shared" si="975"/>
        <v>-382411.69488634286</v>
      </c>
      <c r="R453">
        <f t="shared" si="976"/>
        <v>-153497538.98902676</v>
      </c>
      <c r="S453">
        <f t="shared" si="977"/>
        <v>-1534.9753898902675</v>
      </c>
      <c r="T453">
        <f t="shared" si="978"/>
        <v>-1.5349753898902674</v>
      </c>
    </row>
    <row r="454" spans="1:20" x14ac:dyDescent="0.25">
      <c r="A454" s="5">
        <v>44139</v>
      </c>
      <c r="B454">
        <v>0.76900000000000002</v>
      </c>
      <c r="C454">
        <v>0.79</v>
      </c>
      <c r="D454">
        <v>0.72399999999999998</v>
      </c>
      <c r="E454">
        <v>0.76900000000000002</v>
      </c>
      <c r="F454">
        <v>9582524.4460000005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0.36363636363636365</v>
      </c>
      <c r="Q454">
        <f t="shared" ref="Q454:Q517" si="980">F454*P454</f>
        <v>3484554.344</v>
      </c>
      <c r="R454">
        <f t="shared" ref="R454:R517" si="981">R455+Q454</f>
        <v>-153115127.2941404</v>
      </c>
      <c r="S454">
        <f t="shared" ref="S454:S517" si="982">R454/100000</f>
        <v>-1531.1512729414039</v>
      </c>
      <c r="T454">
        <f t="shared" ref="T454:T517" si="983">S454/1000</f>
        <v>-1.5311512729414039</v>
      </c>
    </row>
    <row r="455" spans="1:20" x14ac:dyDescent="0.25">
      <c r="A455" s="5">
        <v>44138</v>
      </c>
      <c r="B455">
        <v>0.80700000000000005</v>
      </c>
      <c r="C455">
        <v>0.81599999999999995</v>
      </c>
      <c r="D455">
        <v>0.71499999999999997</v>
      </c>
      <c r="E455">
        <v>0.76900000000000002</v>
      </c>
      <c r="F455">
        <v>19552468.899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6.9306930693070479E-2</v>
      </c>
      <c r="Q455">
        <f t="shared" si="980"/>
        <v>1355121.606861409</v>
      </c>
      <c r="R455">
        <f t="shared" si="981"/>
        <v>-156599681.63814041</v>
      </c>
      <c r="S455">
        <f t="shared" si="982"/>
        <v>-1565.9968163814042</v>
      </c>
      <c r="T455">
        <f t="shared" si="983"/>
        <v>-1.5659968163814042</v>
      </c>
    </row>
    <row r="456" spans="1:20" x14ac:dyDescent="0.25">
      <c r="A456" s="5">
        <v>44137</v>
      </c>
      <c r="B456">
        <v>0.83</v>
      </c>
      <c r="C456">
        <v>0.88600000000000001</v>
      </c>
      <c r="D456">
        <v>0.79800000000000004</v>
      </c>
      <c r="E456">
        <v>0.80700000000000005</v>
      </c>
      <c r="F456">
        <v>23412370.145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-0.79545454545454519</v>
      </c>
      <c r="Q456">
        <f t="shared" si="980"/>
        <v>-18623476.25170454</v>
      </c>
      <c r="R456">
        <f t="shared" si="981"/>
        <v>-157954803.24500182</v>
      </c>
      <c r="S456">
        <f t="shared" si="982"/>
        <v>-1579.5480324500181</v>
      </c>
      <c r="T456">
        <f t="shared" si="983"/>
        <v>-1.5795480324500182</v>
      </c>
    </row>
    <row r="457" spans="1:20" x14ac:dyDescent="0.25">
      <c r="A457" s="5">
        <v>44136</v>
      </c>
      <c r="B457">
        <v>0.82299999999999995</v>
      </c>
      <c r="C457">
        <v>0.84299999999999997</v>
      </c>
      <c r="D457">
        <v>0.80600000000000005</v>
      </c>
      <c r="E457">
        <v>0.82899999999999996</v>
      </c>
      <c r="F457">
        <v>10396527.129000001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0.24324324324324098</v>
      </c>
      <c r="Q457">
        <f t="shared" si="980"/>
        <v>2528884.9773243009</v>
      </c>
      <c r="R457">
        <f t="shared" si="981"/>
        <v>-139331326.99329728</v>
      </c>
      <c r="S457">
        <f t="shared" si="982"/>
        <v>-1393.3132699329728</v>
      </c>
      <c r="T457">
        <f t="shared" si="983"/>
        <v>-1.3933132699329729</v>
      </c>
    </row>
    <row r="458" spans="1:20" x14ac:dyDescent="0.25">
      <c r="A458" s="5">
        <v>44135</v>
      </c>
      <c r="B458">
        <v>0.84099999999999997</v>
      </c>
      <c r="C458">
        <v>0.88500000000000001</v>
      </c>
      <c r="D458">
        <v>0.81499999999999995</v>
      </c>
      <c r="E458">
        <v>0.82299999999999995</v>
      </c>
      <c r="F458">
        <v>12366354.044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-0.77142857142857146</v>
      </c>
      <c r="Q458">
        <f t="shared" si="980"/>
        <v>-9539758.8339428566</v>
      </c>
      <c r="R458">
        <f t="shared" si="981"/>
        <v>-141860211.97062159</v>
      </c>
      <c r="S458">
        <f t="shared" si="982"/>
        <v>-1418.6021197062159</v>
      </c>
      <c r="T458">
        <f t="shared" si="983"/>
        <v>-1.418602119706216</v>
      </c>
    </row>
    <row r="459" spans="1:20" x14ac:dyDescent="0.25">
      <c r="A459" s="5">
        <v>44134</v>
      </c>
      <c r="B459">
        <v>0.871</v>
      </c>
      <c r="C459">
        <v>0.9</v>
      </c>
      <c r="D459">
        <v>0.78500000000000003</v>
      </c>
      <c r="E459">
        <v>0.84199999999999997</v>
      </c>
      <c r="F459">
        <v>21707523.704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-8.6956521739140168E-3</v>
      </c>
      <c r="Q459">
        <f t="shared" si="980"/>
        <v>-188761.07568697765</v>
      </c>
      <c r="R459">
        <f t="shared" si="981"/>
        <v>-132320453.13667873</v>
      </c>
      <c r="S459">
        <f t="shared" si="982"/>
        <v>-1323.2045313667873</v>
      </c>
      <c r="T459">
        <f t="shared" si="983"/>
        <v>-1.3232045313667873</v>
      </c>
    </row>
    <row r="460" spans="1:20" x14ac:dyDescent="0.25">
      <c r="A460" s="5">
        <v>44133</v>
      </c>
      <c r="B460">
        <v>0.86599999999999999</v>
      </c>
      <c r="C460">
        <v>0.89500000000000002</v>
      </c>
      <c r="D460">
        <v>0.79600000000000004</v>
      </c>
      <c r="E460">
        <v>0.872</v>
      </c>
      <c r="F460">
        <v>30001877.824999999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0.5353535353535348</v>
      </c>
      <c r="Q460">
        <f t="shared" si="980"/>
        <v>16061611.360858569</v>
      </c>
      <c r="R460">
        <f t="shared" si="981"/>
        <v>-132131692.06099175</v>
      </c>
      <c r="S460">
        <f t="shared" si="982"/>
        <v>-1321.3169206099176</v>
      </c>
      <c r="T460">
        <f t="shared" si="983"/>
        <v>-1.3213169206099176</v>
      </c>
    </row>
    <row r="461" spans="1:20" x14ac:dyDescent="0.25">
      <c r="A461" s="5">
        <v>44132</v>
      </c>
      <c r="B461">
        <v>1.0009999999999999</v>
      </c>
      <c r="C461">
        <v>1.004</v>
      </c>
      <c r="D461">
        <v>0.84199999999999997</v>
      </c>
      <c r="E461">
        <v>0.86499999999999999</v>
      </c>
      <c r="F461">
        <v>18647980.890999999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-0.71604938271604923</v>
      </c>
      <c r="Q461">
        <f t="shared" si="980"/>
        <v>-13352875.205901232</v>
      </c>
      <c r="R461">
        <f t="shared" si="981"/>
        <v>-148193303.42185032</v>
      </c>
      <c r="S461">
        <f t="shared" si="982"/>
        <v>-1481.9330342185033</v>
      </c>
      <c r="T461">
        <f t="shared" si="983"/>
        <v>-1.4819330342185033</v>
      </c>
    </row>
    <row r="462" spans="1:20" x14ac:dyDescent="0.25">
      <c r="A462" s="5">
        <v>44131</v>
      </c>
      <c r="B462">
        <v>1.0109999999999999</v>
      </c>
      <c r="C462">
        <v>1.0489999999999999</v>
      </c>
      <c r="D462">
        <v>0.93</v>
      </c>
      <c r="E462">
        <v>1.0009999999999999</v>
      </c>
      <c r="F462">
        <v>16887517.195999999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0.19327731092436826</v>
      </c>
      <c r="Q462">
        <f t="shared" si="980"/>
        <v>3263973.9118319075</v>
      </c>
      <c r="R462">
        <f t="shared" si="981"/>
        <v>-134840428.21594909</v>
      </c>
      <c r="S462">
        <f t="shared" si="982"/>
        <v>-1348.4042821594908</v>
      </c>
      <c r="T462">
        <f t="shared" si="983"/>
        <v>-1.3484042821594908</v>
      </c>
    </row>
    <row r="463" spans="1:20" x14ac:dyDescent="0.25">
      <c r="A463" s="5">
        <v>44130</v>
      </c>
      <c r="B463">
        <v>1.0860000000000001</v>
      </c>
      <c r="C463">
        <v>1.0900000000000001</v>
      </c>
      <c r="D463">
        <v>0.90900000000000003</v>
      </c>
      <c r="E463">
        <v>1.012</v>
      </c>
      <c r="F463">
        <v>28813413.771000002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0.13812154696132545</v>
      </c>
      <c r="Q463">
        <f t="shared" si="980"/>
        <v>3979753.2832872779</v>
      </c>
      <c r="R463">
        <f t="shared" si="981"/>
        <v>-138104402.127781</v>
      </c>
      <c r="S463">
        <f t="shared" si="982"/>
        <v>-1381.0440212778101</v>
      </c>
      <c r="T463">
        <f t="shared" si="983"/>
        <v>-1.3810440212778101</v>
      </c>
    </row>
    <row r="464" spans="1:20" x14ac:dyDescent="0.25">
      <c r="A464" s="5">
        <v>44129</v>
      </c>
      <c r="B464">
        <v>1.1200000000000001</v>
      </c>
      <c r="C464">
        <v>1.123</v>
      </c>
      <c r="D464">
        <v>1.08</v>
      </c>
      <c r="E464">
        <v>1.085</v>
      </c>
      <c r="F464">
        <v>6178700.9529999997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-0.76744186046512086</v>
      </c>
      <c r="Q464">
        <f t="shared" si="980"/>
        <v>-4741793.7546279347</v>
      </c>
      <c r="R464">
        <f t="shared" si="981"/>
        <v>-142084155.41106829</v>
      </c>
      <c r="S464">
        <f t="shared" si="982"/>
        <v>-1420.8415541106829</v>
      </c>
      <c r="T464">
        <f t="shared" si="983"/>
        <v>-1.4208415541106829</v>
      </c>
    </row>
    <row r="465" spans="1:20" x14ac:dyDescent="0.25">
      <c r="A465" s="5">
        <v>44128</v>
      </c>
      <c r="B465">
        <v>1.1279999999999999</v>
      </c>
      <c r="C465">
        <v>1.145</v>
      </c>
      <c r="D465">
        <v>1.101</v>
      </c>
      <c r="E465">
        <v>1.1200000000000001</v>
      </c>
      <c r="F465">
        <v>6074283.898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-0.13636363636363133</v>
      </c>
      <c r="Q465">
        <f t="shared" si="980"/>
        <v>-828311.44063633308</v>
      </c>
      <c r="R465">
        <f t="shared" si="981"/>
        <v>-137342361.65644035</v>
      </c>
      <c r="S465">
        <f t="shared" si="982"/>
        <v>-1373.4236165644036</v>
      </c>
      <c r="T465">
        <f t="shared" si="983"/>
        <v>-1.3734236165644036</v>
      </c>
    </row>
    <row r="466" spans="1:20" x14ac:dyDescent="0.25">
      <c r="A466" s="5">
        <v>44127</v>
      </c>
      <c r="B466">
        <v>1.165</v>
      </c>
      <c r="C466">
        <v>1.1850000000000001</v>
      </c>
      <c r="D466">
        <v>1.0960000000000001</v>
      </c>
      <c r="E466">
        <v>1.1279999999999999</v>
      </c>
      <c r="F466">
        <v>12231090.491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-0.28089887640449845</v>
      </c>
      <c r="Q466">
        <f t="shared" si="980"/>
        <v>-3435699.5761236455</v>
      </c>
      <c r="R466">
        <f t="shared" si="981"/>
        <v>-136514050.21580401</v>
      </c>
      <c r="S466">
        <f t="shared" si="982"/>
        <v>-1365.1405021580401</v>
      </c>
      <c r="T466">
        <f t="shared" si="983"/>
        <v>-1.3651405021580401</v>
      </c>
    </row>
    <row r="467" spans="1:20" x14ac:dyDescent="0.25">
      <c r="A467" s="5">
        <v>44126</v>
      </c>
      <c r="B467">
        <v>1.1539999999999999</v>
      </c>
      <c r="C467">
        <v>1.2</v>
      </c>
      <c r="D467">
        <v>1.133</v>
      </c>
      <c r="E467">
        <v>1.1659999999999999</v>
      </c>
      <c r="F467">
        <v>12044715.089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-1.4925373134330041E-2</v>
      </c>
      <c r="Q467">
        <f t="shared" si="980"/>
        <v>-179771.86700002025</v>
      </c>
      <c r="R467">
        <f t="shared" si="981"/>
        <v>-133078350.63968037</v>
      </c>
      <c r="S467">
        <f t="shared" si="982"/>
        <v>-1330.7835063968037</v>
      </c>
      <c r="T467">
        <f t="shared" si="983"/>
        <v>-1.3307835063968037</v>
      </c>
    </row>
    <row r="468" spans="1:20" x14ac:dyDescent="0.25">
      <c r="A468" s="5">
        <v>44125</v>
      </c>
      <c r="B468">
        <v>1.129</v>
      </c>
      <c r="C468">
        <v>1.21</v>
      </c>
      <c r="D468">
        <v>1.077</v>
      </c>
      <c r="E468">
        <v>1.155</v>
      </c>
      <c r="F468">
        <v>22743282.827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0.17293233082706866</v>
      </c>
      <c r="Q468">
        <f t="shared" si="980"/>
        <v>3933048.9099323531</v>
      </c>
      <c r="R468">
        <f t="shared" si="981"/>
        <v>-132898578.77268036</v>
      </c>
      <c r="S468">
        <f t="shared" si="982"/>
        <v>-1328.9857877268037</v>
      </c>
      <c r="T468">
        <f t="shared" si="983"/>
        <v>-1.3289857877268036</v>
      </c>
    </row>
    <row r="469" spans="1:20" x14ac:dyDescent="0.25">
      <c r="A469" s="5">
        <v>44124</v>
      </c>
      <c r="B469">
        <v>1.194</v>
      </c>
      <c r="C469">
        <v>1.1990000000000001</v>
      </c>
      <c r="D469">
        <v>1.085</v>
      </c>
      <c r="E469">
        <v>1.129</v>
      </c>
      <c r="F469">
        <v>14771783.684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-0.22807017543859648</v>
      </c>
      <c r="Q469">
        <f t="shared" si="980"/>
        <v>-3369003.2963508773</v>
      </c>
      <c r="R469">
        <f t="shared" si="981"/>
        <v>-136831627.68261272</v>
      </c>
      <c r="S469">
        <f t="shared" si="982"/>
        <v>-1368.3162768261273</v>
      </c>
      <c r="T469">
        <f t="shared" si="983"/>
        <v>-1.3683162768261272</v>
      </c>
    </row>
    <row r="470" spans="1:20" x14ac:dyDescent="0.25">
      <c r="A470" s="5">
        <v>44123</v>
      </c>
      <c r="B470">
        <v>1.2230000000000001</v>
      </c>
      <c r="C470">
        <v>1.2250000000000001</v>
      </c>
      <c r="D470">
        <v>1.179</v>
      </c>
      <c r="E470">
        <v>1.1919999999999999</v>
      </c>
      <c r="F470">
        <v>5726970.6500000004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-0.43478260869565699</v>
      </c>
      <c r="Q470">
        <f t="shared" si="980"/>
        <v>-2489987.2391304625</v>
      </c>
      <c r="R470">
        <f t="shared" si="981"/>
        <v>-133462624.38626185</v>
      </c>
      <c r="S470">
        <f t="shared" si="982"/>
        <v>-1334.6262438626186</v>
      </c>
      <c r="T470">
        <f t="shared" si="983"/>
        <v>-1.3346262438626186</v>
      </c>
    </row>
    <row r="471" spans="1:20" x14ac:dyDescent="0.25">
      <c r="A471" s="5">
        <v>44122</v>
      </c>
      <c r="B471">
        <v>1.2050000000000001</v>
      </c>
      <c r="C471">
        <v>1.236</v>
      </c>
      <c r="D471">
        <v>1.2</v>
      </c>
      <c r="E471">
        <v>1.2230000000000001</v>
      </c>
      <c r="F471">
        <v>6669010.7869999995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0.27777777777778395</v>
      </c>
      <c r="Q471">
        <f t="shared" si="980"/>
        <v>1852502.9963889299</v>
      </c>
      <c r="R471">
        <f t="shared" si="981"/>
        <v>-130972637.14713138</v>
      </c>
      <c r="S471">
        <f t="shared" si="982"/>
        <v>-1309.7263714713138</v>
      </c>
      <c r="T471">
        <f t="shared" si="983"/>
        <v>-1.3097263714713139</v>
      </c>
    </row>
    <row r="472" spans="1:20" x14ac:dyDescent="0.25">
      <c r="A472" s="5">
        <v>44121</v>
      </c>
      <c r="B472">
        <v>1.1879999999999999</v>
      </c>
      <c r="C472">
        <v>1.234</v>
      </c>
      <c r="D472">
        <v>1.1679999999999999</v>
      </c>
      <c r="E472">
        <v>1.2070000000000001</v>
      </c>
      <c r="F472">
        <v>9625172.5309999995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0.18181818181818518</v>
      </c>
      <c r="Q472">
        <f t="shared" si="980"/>
        <v>1750031.3692727596</v>
      </c>
      <c r="R472">
        <f t="shared" si="981"/>
        <v>-132825140.14352031</v>
      </c>
      <c r="S472">
        <f t="shared" si="982"/>
        <v>-1328.2514014352032</v>
      </c>
      <c r="T472">
        <f t="shared" si="983"/>
        <v>-1.3282514014352031</v>
      </c>
    </row>
    <row r="473" spans="1:20" x14ac:dyDescent="0.25">
      <c r="A473" s="5">
        <v>44120</v>
      </c>
      <c r="B473">
        <v>1.2110000000000001</v>
      </c>
      <c r="C473">
        <v>1.24</v>
      </c>
      <c r="D473">
        <v>1.1539999999999999</v>
      </c>
      <c r="E473">
        <v>1.1859999999999999</v>
      </c>
      <c r="F473">
        <v>8705844.8029999994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-0.2558139534883721</v>
      </c>
      <c r="Q473">
        <f t="shared" si="980"/>
        <v>-2227076.5775116277</v>
      </c>
      <c r="R473">
        <f t="shared" si="981"/>
        <v>-134575171.51279306</v>
      </c>
      <c r="S473">
        <f t="shared" si="982"/>
        <v>-1345.7517151279305</v>
      </c>
      <c r="T473">
        <f t="shared" si="983"/>
        <v>-1.3457517151279306</v>
      </c>
    </row>
    <row r="474" spans="1:20" x14ac:dyDescent="0.25">
      <c r="A474" s="5">
        <v>44119</v>
      </c>
      <c r="B474">
        <v>1.2050000000000001</v>
      </c>
      <c r="C474">
        <v>1.3029999999999999</v>
      </c>
      <c r="D474">
        <v>1.1779999999999999</v>
      </c>
      <c r="E474">
        <v>1.2110000000000001</v>
      </c>
      <c r="F474">
        <v>13681109.786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-0.47199999999999775</v>
      </c>
      <c r="Q474">
        <f t="shared" si="980"/>
        <v>-6457483.8189919693</v>
      </c>
      <c r="R474">
        <f t="shared" si="981"/>
        <v>-132348094.93528144</v>
      </c>
      <c r="S474">
        <f t="shared" si="982"/>
        <v>-1323.4809493528144</v>
      </c>
      <c r="T474">
        <f t="shared" si="983"/>
        <v>-1.3234809493528144</v>
      </c>
    </row>
    <row r="475" spans="1:20" x14ac:dyDescent="0.25">
      <c r="A475" s="5">
        <v>44118</v>
      </c>
      <c r="B475">
        <v>1.262</v>
      </c>
      <c r="C475">
        <v>1.274</v>
      </c>
      <c r="D475">
        <v>1.175</v>
      </c>
      <c r="E475">
        <v>1.206</v>
      </c>
      <c r="F475">
        <v>10363379.495999999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-0.37373737373737526</v>
      </c>
      <c r="Q475">
        <f t="shared" si="980"/>
        <v>-3873182.2358788033</v>
      </c>
      <c r="R475">
        <f t="shared" si="981"/>
        <v>-125890611.11628947</v>
      </c>
      <c r="S475">
        <f t="shared" si="982"/>
        <v>-1258.9061111628946</v>
      </c>
      <c r="T475">
        <f t="shared" si="983"/>
        <v>-1.2589061111628945</v>
      </c>
    </row>
    <row r="476" spans="1:20" x14ac:dyDescent="0.25">
      <c r="A476" s="5">
        <v>44117</v>
      </c>
      <c r="B476">
        <v>1.304</v>
      </c>
      <c r="C476">
        <v>1.31</v>
      </c>
      <c r="D476">
        <v>1.2350000000000001</v>
      </c>
      <c r="E476">
        <v>1.2609999999999999</v>
      </c>
      <c r="F476">
        <v>9359530.2780000009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-0.30666666666667158</v>
      </c>
      <c r="Q476">
        <f t="shared" si="980"/>
        <v>-2870255.9519200465</v>
      </c>
      <c r="R476">
        <f t="shared" si="981"/>
        <v>-122017428.88041066</v>
      </c>
      <c r="S476">
        <f t="shared" si="982"/>
        <v>-1220.1742888041065</v>
      </c>
      <c r="T476">
        <f t="shared" si="983"/>
        <v>-1.2201742888041065</v>
      </c>
    </row>
    <row r="477" spans="1:20" x14ac:dyDescent="0.25">
      <c r="A477" s="5">
        <v>44116</v>
      </c>
      <c r="B477">
        <v>1.306</v>
      </c>
      <c r="C477">
        <v>1.3540000000000001</v>
      </c>
      <c r="D477">
        <v>1.246</v>
      </c>
      <c r="E477">
        <v>1.302</v>
      </c>
      <c r="F477">
        <v>18665714.699999999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3.7037037037037035E-2</v>
      </c>
      <c r="Q477">
        <f t="shared" si="980"/>
        <v>691322.7666666666</v>
      </c>
      <c r="R477">
        <f t="shared" si="981"/>
        <v>-119147172.92849061</v>
      </c>
      <c r="S477">
        <f t="shared" si="982"/>
        <v>-1191.4717292849061</v>
      </c>
      <c r="T477">
        <f t="shared" si="983"/>
        <v>-1.1914717292849062</v>
      </c>
    </row>
    <row r="478" spans="1:20" x14ac:dyDescent="0.25">
      <c r="A478" s="5">
        <v>44115</v>
      </c>
      <c r="B478">
        <v>1.284</v>
      </c>
      <c r="C478">
        <v>1.3540000000000001</v>
      </c>
      <c r="D478">
        <v>1.2529999999999999</v>
      </c>
      <c r="E478">
        <v>1.304</v>
      </c>
      <c r="F478">
        <v>10850044.771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9.9009900990109888E-3</v>
      </c>
      <c r="Q478">
        <f t="shared" si="980"/>
        <v>107426.18585149695</v>
      </c>
      <c r="R478">
        <f t="shared" si="981"/>
        <v>-119838495.69515727</v>
      </c>
      <c r="S478">
        <f t="shared" si="982"/>
        <v>-1198.3849569515728</v>
      </c>
      <c r="T478">
        <f t="shared" si="983"/>
        <v>-1.1983849569515728</v>
      </c>
    </row>
    <row r="479" spans="1:20" x14ac:dyDescent="0.25">
      <c r="A479" s="5">
        <v>44114</v>
      </c>
      <c r="B479">
        <v>1.357</v>
      </c>
      <c r="C479">
        <v>1.4139999999999999</v>
      </c>
      <c r="D479">
        <v>1.2549999999999999</v>
      </c>
      <c r="E479">
        <v>1.284</v>
      </c>
      <c r="F479">
        <v>16349385.325999999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-0.63522012578616183</v>
      </c>
      <c r="Q479">
        <f t="shared" si="980"/>
        <v>-10385458.603308149</v>
      </c>
      <c r="R479">
        <f t="shared" si="981"/>
        <v>-119945921.88100877</v>
      </c>
      <c r="S479">
        <f t="shared" si="982"/>
        <v>-1199.4592188100878</v>
      </c>
      <c r="T479">
        <f t="shared" si="983"/>
        <v>-1.1994592188100879</v>
      </c>
    </row>
    <row r="480" spans="1:20" x14ac:dyDescent="0.25">
      <c r="A480" s="5">
        <v>44113</v>
      </c>
      <c r="B480">
        <v>1.3129999999999999</v>
      </c>
      <c r="C480">
        <v>1.385</v>
      </c>
      <c r="D480">
        <v>1.2649999999999999</v>
      </c>
      <c r="E480">
        <v>1.3580000000000001</v>
      </c>
      <c r="F480">
        <v>13800274.388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0.55000000000000182</v>
      </c>
      <c r="Q480">
        <f t="shared" si="980"/>
        <v>7590150.9134000251</v>
      </c>
      <c r="R480">
        <f t="shared" si="981"/>
        <v>-109560463.27770063</v>
      </c>
      <c r="S480">
        <f t="shared" si="982"/>
        <v>-1095.6046327770064</v>
      </c>
      <c r="T480">
        <f t="shared" si="983"/>
        <v>-1.0956046327770064</v>
      </c>
    </row>
    <row r="481" spans="1:20" x14ac:dyDescent="0.25">
      <c r="A481" s="5">
        <v>44112</v>
      </c>
      <c r="B481">
        <v>1.1870000000000001</v>
      </c>
      <c r="C481">
        <v>1.34</v>
      </c>
      <c r="D481">
        <v>1.1160000000000001</v>
      </c>
      <c r="E481">
        <v>1.3149999999999999</v>
      </c>
      <c r="F481">
        <v>20112304.408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0.77678571428571308</v>
      </c>
      <c r="Q481">
        <f t="shared" si="980"/>
        <v>15622950.745499976</v>
      </c>
      <c r="R481">
        <f t="shared" si="981"/>
        <v>-117150614.19110066</v>
      </c>
      <c r="S481">
        <f t="shared" si="982"/>
        <v>-1171.5061419110066</v>
      </c>
      <c r="T481">
        <f t="shared" si="983"/>
        <v>-1.1715061419110067</v>
      </c>
    </row>
    <row r="482" spans="1:20" x14ac:dyDescent="0.25">
      <c r="A482" s="5">
        <v>44111</v>
      </c>
      <c r="B482">
        <v>1.155</v>
      </c>
      <c r="C482">
        <v>1.2</v>
      </c>
      <c r="D482">
        <v>1.0649999999999999</v>
      </c>
      <c r="E482">
        <v>1.1859999999999999</v>
      </c>
      <c r="F482">
        <v>18504154.710999999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0.7925925925925924</v>
      </c>
      <c r="Q482">
        <f t="shared" si="980"/>
        <v>14666255.956125923</v>
      </c>
      <c r="R482">
        <f t="shared" si="981"/>
        <v>-132773564.93660063</v>
      </c>
      <c r="S482">
        <f t="shared" si="982"/>
        <v>-1327.7356493660063</v>
      </c>
      <c r="T482">
        <f t="shared" si="983"/>
        <v>-1.3277356493660064</v>
      </c>
    </row>
    <row r="483" spans="1:20" x14ac:dyDescent="0.25">
      <c r="A483" s="5">
        <v>44110</v>
      </c>
      <c r="B483">
        <v>1.369</v>
      </c>
      <c r="C483">
        <v>1.37</v>
      </c>
      <c r="D483">
        <v>1.1279999999999999</v>
      </c>
      <c r="E483">
        <v>1.1559999999999999</v>
      </c>
      <c r="F483">
        <v>29568469.636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-0.76859504132231404</v>
      </c>
      <c r="Q483">
        <f t="shared" si="980"/>
        <v>-22726179.14171901</v>
      </c>
      <c r="R483">
        <f t="shared" si="981"/>
        <v>-147439820.89272654</v>
      </c>
      <c r="S483">
        <f t="shared" si="982"/>
        <v>-1474.3982089272654</v>
      </c>
      <c r="T483">
        <f t="shared" si="983"/>
        <v>-1.4743982089272654</v>
      </c>
    </row>
    <row r="484" spans="1:20" x14ac:dyDescent="0.25">
      <c r="A484" s="5">
        <v>44109</v>
      </c>
      <c r="B484">
        <v>1.3620000000000001</v>
      </c>
      <c r="C484">
        <v>1.45</v>
      </c>
      <c r="D484">
        <v>1.3120000000000001</v>
      </c>
      <c r="E484">
        <v>1.367</v>
      </c>
      <c r="F484">
        <v>11476489.756999999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-0.202898550724638</v>
      </c>
      <c r="Q484">
        <f t="shared" si="980"/>
        <v>-2328563.1391014527</v>
      </c>
      <c r="R484">
        <f t="shared" si="981"/>
        <v>-124713641.75100753</v>
      </c>
      <c r="S484">
        <f t="shared" si="982"/>
        <v>-1247.1364175100753</v>
      </c>
      <c r="T484">
        <f t="shared" si="983"/>
        <v>-1.2471364175100752</v>
      </c>
    </row>
    <row r="485" spans="1:20" x14ac:dyDescent="0.25">
      <c r="A485" s="5">
        <v>44108</v>
      </c>
      <c r="B485">
        <v>1.38</v>
      </c>
      <c r="C485">
        <v>1.3979999999999999</v>
      </c>
      <c r="D485">
        <v>1.298</v>
      </c>
      <c r="E485">
        <v>1.363</v>
      </c>
      <c r="F485">
        <v>8433737.1710000001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0.30000000000000066</v>
      </c>
      <c r="Q485">
        <f t="shared" si="980"/>
        <v>2530121.1513000056</v>
      </c>
      <c r="R485">
        <f t="shared" si="981"/>
        <v>-122385078.61190608</v>
      </c>
      <c r="S485">
        <f t="shared" si="982"/>
        <v>-1223.8507861190608</v>
      </c>
      <c r="T485">
        <f t="shared" si="983"/>
        <v>-1.2238507861190608</v>
      </c>
    </row>
    <row r="486" spans="1:20" x14ac:dyDescent="0.25">
      <c r="A486" s="5">
        <v>44107</v>
      </c>
      <c r="B486">
        <v>1.405</v>
      </c>
      <c r="C486">
        <v>1.468</v>
      </c>
      <c r="D486">
        <v>1.3759999999999999</v>
      </c>
      <c r="E486">
        <v>1.381</v>
      </c>
      <c r="F486">
        <v>8206428.2970000003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-0.89130434782608459</v>
      </c>
      <c r="Q486">
        <f t="shared" si="980"/>
        <v>-7314425.2212391114</v>
      </c>
      <c r="R486">
        <f t="shared" si="981"/>
        <v>-124915199.76320608</v>
      </c>
      <c r="S486">
        <f t="shared" si="982"/>
        <v>-1249.1519976320608</v>
      </c>
      <c r="T486">
        <f t="shared" si="983"/>
        <v>-1.2491519976320609</v>
      </c>
    </row>
    <row r="487" spans="1:20" x14ac:dyDescent="0.25">
      <c r="A487" s="5">
        <v>44106</v>
      </c>
      <c r="B487">
        <v>1.5489999999999999</v>
      </c>
      <c r="C487">
        <v>1.5660000000000001</v>
      </c>
      <c r="D487">
        <v>1.349</v>
      </c>
      <c r="E487">
        <v>1.4059999999999999</v>
      </c>
      <c r="F487">
        <v>24915256.050000001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-0.47465437788018511</v>
      </c>
      <c r="Q487">
        <f t="shared" si="980"/>
        <v>-11826135.360138269</v>
      </c>
      <c r="R487">
        <f t="shared" si="981"/>
        <v>-117600774.54196697</v>
      </c>
      <c r="S487">
        <f t="shared" si="982"/>
        <v>-1176.0077454196698</v>
      </c>
      <c r="T487">
        <f t="shared" si="983"/>
        <v>-1.1760077454196698</v>
      </c>
    </row>
    <row r="488" spans="1:20" x14ac:dyDescent="0.25">
      <c r="A488" s="5">
        <v>44105</v>
      </c>
      <c r="B488">
        <v>1.7450000000000001</v>
      </c>
      <c r="C488">
        <v>1.788</v>
      </c>
      <c r="D488">
        <v>1.4630000000000001</v>
      </c>
      <c r="E488">
        <v>1.5509999999999999</v>
      </c>
      <c r="F488">
        <v>26717553.386</v>
      </c>
      <c r="G488">
        <v>0</v>
      </c>
      <c r="L488" t="s">
        <v>8</v>
      </c>
      <c r="M488" t="s">
        <v>7</v>
      </c>
      <c r="N488" t="s">
        <v>8</v>
      </c>
      <c r="P488">
        <f t="shared" si="979"/>
        <v>-0.45846153846153925</v>
      </c>
      <c r="Q488">
        <f t="shared" si="980"/>
        <v>-12248970.629273867</v>
      </c>
      <c r="R488">
        <f t="shared" si="981"/>
        <v>-105774639.18182871</v>
      </c>
      <c r="S488">
        <f t="shared" si="982"/>
        <v>-1057.7463918182871</v>
      </c>
      <c r="T488">
        <f t="shared" si="983"/>
        <v>-1.057746391818287</v>
      </c>
    </row>
    <row r="489" spans="1:20" x14ac:dyDescent="0.25">
      <c r="A489" s="5">
        <v>44104</v>
      </c>
      <c r="B489">
        <v>1.595</v>
      </c>
      <c r="C489">
        <v>1.77</v>
      </c>
      <c r="D489">
        <v>1.55</v>
      </c>
      <c r="E489">
        <v>1.7430000000000001</v>
      </c>
      <c r="F489">
        <v>17852072.342</v>
      </c>
      <c r="G489">
        <v>0</v>
      </c>
      <c r="L489" t="s">
        <v>8</v>
      </c>
      <c r="M489" t="s">
        <v>7</v>
      </c>
      <c r="N489" t="s">
        <v>8</v>
      </c>
      <c r="P489">
        <f t="shared" si="979"/>
        <v>0.7545454545454553</v>
      </c>
      <c r="Q489">
        <f t="shared" si="980"/>
        <v>13470200.039872741</v>
      </c>
      <c r="R489">
        <f t="shared" si="981"/>
        <v>-93525668.552554846</v>
      </c>
      <c r="S489">
        <f t="shared" si="982"/>
        <v>-935.25668552554851</v>
      </c>
      <c r="T489">
        <f t="shared" si="983"/>
        <v>-0.93525668552554853</v>
      </c>
    </row>
    <row r="490" spans="1:20" x14ac:dyDescent="0.25">
      <c r="A490" s="5">
        <v>44103</v>
      </c>
      <c r="B490">
        <v>1.5740000000000001</v>
      </c>
      <c r="C490">
        <v>1.6779999999999999</v>
      </c>
      <c r="D490">
        <v>1.5229999999999999</v>
      </c>
      <c r="E490">
        <v>1.5940000000000001</v>
      </c>
      <c r="F490">
        <v>20996704.664999999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-8.3870967741933394E-2</v>
      </c>
      <c r="Q490">
        <f t="shared" si="980"/>
        <v>-1761013.9396451174</v>
      </c>
      <c r="R490">
        <f t="shared" si="981"/>
        <v>-106995868.59242758</v>
      </c>
      <c r="S490">
        <f t="shared" si="982"/>
        <v>-1069.9586859242759</v>
      </c>
      <c r="T490">
        <f t="shared" si="983"/>
        <v>-1.0699586859242758</v>
      </c>
    </row>
    <row r="491" spans="1:20" x14ac:dyDescent="0.25">
      <c r="A491" s="5">
        <v>44102</v>
      </c>
      <c r="B491">
        <v>1.69</v>
      </c>
      <c r="C491">
        <v>1.86</v>
      </c>
      <c r="D491">
        <v>1.5149999999999999</v>
      </c>
      <c r="E491">
        <v>1.575</v>
      </c>
      <c r="F491">
        <v>54963592.425999999</v>
      </c>
      <c r="G491">
        <v>0</v>
      </c>
      <c r="L491" t="s">
        <v>8</v>
      </c>
      <c r="M491" t="s">
        <v>7</v>
      </c>
      <c r="N491" t="s">
        <v>8</v>
      </c>
      <c r="P491">
        <f t="shared" si="979"/>
        <v>-0.65217391304347816</v>
      </c>
      <c r="Q491">
        <f t="shared" si="980"/>
        <v>-35845821.147391297</v>
      </c>
      <c r="R491">
        <f t="shared" si="981"/>
        <v>-105234854.65278247</v>
      </c>
      <c r="S491">
        <f t="shared" si="982"/>
        <v>-1052.3485465278247</v>
      </c>
      <c r="T491">
        <f t="shared" si="983"/>
        <v>-1.0523485465278248</v>
      </c>
    </row>
    <row r="492" spans="1:20" x14ac:dyDescent="0.25">
      <c r="A492" s="5">
        <v>44101</v>
      </c>
      <c r="B492">
        <v>1.343</v>
      </c>
      <c r="C492">
        <v>1.8</v>
      </c>
      <c r="D492">
        <v>1.2609999999999999</v>
      </c>
      <c r="E492">
        <v>1.6890000000000001</v>
      </c>
      <c r="F492">
        <v>48961065.185000002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0.58812615955473113</v>
      </c>
      <c r="Q492">
        <f t="shared" si="980"/>
        <v>28795283.234962903</v>
      </c>
      <c r="R492">
        <f t="shared" si="981"/>
        <v>-69389033.505391181</v>
      </c>
      <c r="S492">
        <f t="shared" si="982"/>
        <v>-693.89033505391183</v>
      </c>
      <c r="T492">
        <f t="shared" si="983"/>
        <v>-0.69389033505391184</v>
      </c>
    </row>
    <row r="493" spans="1:20" x14ac:dyDescent="0.25">
      <c r="A493" s="5">
        <v>44100</v>
      </c>
      <c r="B493">
        <v>1.2629999999999999</v>
      </c>
      <c r="C493">
        <v>1.383</v>
      </c>
      <c r="D493">
        <v>1.252</v>
      </c>
      <c r="E493">
        <v>1.3440000000000001</v>
      </c>
      <c r="F493">
        <v>14191942.778999999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0.4045801526717569</v>
      </c>
      <c r="Q493">
        <f t="shared" si="980"/>
        <v>5741778.3762366576</v>
      </c>
      <c r="R493">
        <f t="shared" si="981"/>
        <v>-98184316.740354091</v>
      </c>
      <c r="S493">
        <f t="shared" si="982"/>
        <v>-981.84316740354086</v>
      </c>
      <c r="T493">
        <f t="shared" si="983"/>
        <v>-0.98184316740354083</v>
      </c>
    </row>
    <row r="494" spans="1:20" x14ac:dyDescent="0.25">
      <c r="A494" s="5">
        <v>44099</v>
      </c>
      <c r="B494">
        <v>1.232</v>
      </c>
      <c r="C494">
        <v>1.32</v>
      </c>
      <c r="D494">
        <v>1.125</v>
      </c>
      <c r="E494">
        <v>1.26</v>
      </c>
      <c r="F494">
        <v>15805473.889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0.38461538461538425</v>
      </c>
      <c r="Q494">
        <f t="shared" si="980"/>
        <v>6079028.4188461481</v>
      </c>
      <c r="R494">
        <f t="shared" si="981"/>
        <v>-103926095.11659075</v>
      </c>
      <c r="S494">
        <f t="shared" si="982"/>
        <v>-1039.2609511659075</v>
      </c>
      <c r="T494">
        <f t="shared" si="983"/>
        <v>-1.0392609511659074</v>
      </c>
    </row>
    <row r="495" spans="1:20" x14ac:dyDescent="0.25">
      <c r="A495" s="5">
        <v>44098</v>
      </c>
      <c r="B495">
        <v>1.08</v>
      </c>
      <c r="C495">
        <v>1.2450000000000001</v>
      </c>
      <c r="D495">
        <v>1.036</v>
      </c>
      <c r="E495">
        <v>1.234</v>
      </c>
      <c r="F495">
        <v>19206143.407000002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0.89473684210526205</v>
      </c>
      <c r="Q495">
        <f t="shared" si="980"/>
        <v>17184444.100999981</v>
      </c>
      <c r="R495">
        <f t="shared" si="981"/>
        <v>-110005123.5354369</v>
      </c>
      <c r="S495">
        <f t="shared" si="982"/>
        <v>-1100.0512353543691</v>
      </c>
      <c r="T495">
        <f t="shared" si="983"/>
        <v>-1.100051235354369</v>
      </c>
    </row>
    <row r="496" spans="1:20" x14ac:dyDescent="0.25">
      <c r="A496" s="5">
        <v>44097</v>
      </c>
      <c r="B496">
        <v>1.2689999999999999</v>
      </c>
      <c r="C496">
        <v>1.2889999999999999</v>
      </c>
      <c r="D496">
        <v>1.042</v>
      </c>
      <c r="E496">
        <v>1.079</v>
      </c>
      <c r="F496">
        <v>25278380.232000001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-0.70040485829959565</v>
      </c>
      <c r="Q496">
        <f t="shared" si="980"/>
        <v>-17705100.324437261</v>
      </c>
      <c r="R496">
        <f t="shared" si="981"/>
        <v>-127189567.63643688</v>
      </c>
      <c r="S496">
        <f t="shared" si="982"/>
        <v>-1271.8956763643687</v>
      </c>
      <c r="T496">
        <f t="shared" si="983"/>
        <v>-1.2718956763643687</v>
      </c>
    </row>
    <row r="497" spans="1:20" x14ac:dyDescent="0.25">
      <c r="A497" s="5">
        <v>44096</v>
      </c>
      <c r="B497">
        <v>1.2689999999999999</v>
      </c>
      <c r="C497">
        <v>1.347</v>
      </c>
      <c r="D497">
        <v>1.2</v>
      </c>
      <c r="E497">
        <v>1.2689999999999999</v>
      </c>
      <c r="F497">
        <v>24005057.532000002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-6.1224489795919171E-2</v>
      </c>
      <c r="Q497">
        <f t="shared" si="980"/>
        <v>-1469697.3999183867</v>
      </c>
      <c r="R497">
        <f t="shared" si="981"/>
        <v>-109484467.31199962</v>
      </c>
      <c r="S497">
        <f t="shared" si="982"/>
        <v>-1094.8446731199963</v>
      </c>
      <c r="T497">
        <f t="shared" si="983"/>
        <v>-1.0948446731199963</v>
      </c>
    </row>
    <row r="498" spans="1:20" x14ac:dyDescent="0.25">
      <c r="A498" s="5">
        <v>44095</v>
      </c>
      <c r="B498">
        <v>1.5309999999999999</v>
      </c>
      <c r="C498">
        <v>1.5660000000000001</v>
      </c>
      <c r="D498">
        <v>1.212</v>
      </c>
      <c r="E498">
        <v>1.268</v>
      </c>
      <c r="F498">
        <v>23508121.738000002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-0.68361581920903935</v>
      </c>
      <c r="Q498">
        <f t="shared" si="980"/>
        <v>-16070523.899988698</v>
      </c>
      <c r="R498">
        <f t="shared" si="981"/>
        <v>-108014769.91208123</v>
      </c>
      <c r="S498">
        <f t="shared" si="982"/>
        <v>-1080.1476991208124</v>
      </c>
      <c r="T498">
        <f t="shared" si="983"/>
        <v>-1.0801476991208123</v>
      </c>
    </row>
    <row r="499" spans="1:20" x14ac:dyDescent="0.25">
      <c r="A499" s="5">
        <v>44094</v>
      </c>
      <c r="B499">
        <v>1.581</v>
      </c>
      <c r="C499">
        <v>1.639</v>
      </c>
      <c r="D499">
        <v>1.4810000000000001</v>
      </c>
      <c r="E499">
        <v>1.53</v>
      </c>
      <c r="F499">
        <v>10552128.559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-0.3797468354430385</v>
      </c>
      <c r="Q499">
        <f t="shared" si="980"/>
        <v>-4007137.4274683599</v>
      </c>
      <c r="R499">
        <f t="shared" si="981"/>
        <v>-91944246.012092531</v>
      </c>
      <c r="S499">
        <f t="shared" si="982"/>
        <v>-919.44246012092526</v>
      </c>
      <c r="T499">
        <f t="shared" si="983"/>
        <v>-0.91944246012092523</v>
      </c>
    </row>
    <row r="500" spans="1:20" x14ac:dyDescent="0.25">
      <c r="A500" s="5">
        <v>44093</v>
      </c>
      <c r="B500">
        <v>1.5409999999999999</v>
      </c>
      <c r="C500">
        <v>1.657</v>
      </c>
      <c r="D500">
        <v>1.4790000000000001</v>
      </c>
      <c r="E500">
        <v>1.58</v>
      </c>
      <c r="F500">
        <v>12297894.646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0.13483146067415747</v>
      </c>
      <c r="Q500">
        <f t="shared" si="980"/>
        <v>1658143.0983370806</v>
      </c>
      <c r="R500">
        <f t="shared" si="981"/>
        <v>-87937108.584624171</v>
      </c>
      <c r="S500">
        <f t="shared" si="982"/>
        <v>-879.37108584624173</v>
      </c>
      <c r="T500">
        <f t="shared" si="983"/>
        <v>-0.87937108584624168</v>
      </c>
    </row>
    <row r="501" spans="1:20" x14ac:dyDescent="0.25">
      <c r="A501" s="5">
        <v>44092</v>
      </c>
      <c r="B501">
        <v>1.506</v>
      </c>
      <c r="C501">
        <v>1.6910000000000001</v>
      </c>
      <c r="D501">
        <v>1.464</v>
      </c>
      <c r="E501">
        <v>1.5409999999999999</v>
      </c>
      <c r="F501">
        <v>19678732.511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-0.32158590308370111</v>
      </c>
      <c r="Q501">
        <f t="shared" si="980"/>
        <v>-6328402.9660925241</v>
      </c>
      <c r="R501">
        <f t="shared" si="981"/>
        <v>-89595251.682961255</v>
      </c>
      <c r="S501">
        <f t="shared" si="982"/>
        <v>-895.95251682961259</v>
      </c>
      <c r="T501">
        <f t="shared" si="983"/>
        <v>-0.89595251682961263</v>
      </c>
    </row>
    <row r="502" spans="1:20" x14ac:dyDescent="0.25">
      <c r="A502" s="5">
        <v>44091</v>
      </c>
      <c r="B502">
        <v>1.5149999999999999</v>
      </c>
      <c r="C502">
        <v>1.61</v>
      </c>
      <c r="D502">
        <v>1.4219999999999999</v>
      </c>
      <c r="E502">
        <v>1.5069999999999999</v>
      </c>
      <c r="F502">
        <v>13125500.823999999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-9.5744680851065009E-2</v>
      </c>
      <c r="Q502">
        <f t="shared" si="980"/>
        <v>-1256696.8874042707</v>
      </c>
      <c r="R502">
        <f t="shared" si="981"/>
        <v>-83266848.716868728</v>
      </c>
      <c r="S502">
        <f t="shared" si="982"/>
        <v>-832.66848716868731</v>
      </c>
      <c r="T502">
        <f t="shared" si="983"/>
        <v>-0.83266848716868735</v>
      </c>
    </row>
    <row r="503" spans="1:20" x14ac:dyDescent="0.25">
      <c r="A503" s="5">
        <v>44090</v>
      </c>
      <c r="B503">
        <v>1.6240000000000001</v>
      </c>
      <c r="C503">
        <v>1.6259999999999999</v>
      </c>
      <c r="D503">
        <v>1.458</v>
      </c>
      <c r="E503">
        <v>1.5149999999999999</v>
      </c>
      <c r="F503">
        <v>16162325.874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-0.32142857142857184</v>
      </c>
      <c r="Q503">
        <f t="shared" si="980"/>
        <v>-5195033.3166428637</v>
      </c>
      <c r="R503">
        <f t="shared" si="981"/>
        <v>-82010151.82946445</v>
      </c>
      <c r="S503">
        <f t="shared" si="982"/>
        <v>-820.10151829464451</v>
      </c>
      <c r="T503">
        <f t="shared" si="983"/>
        <v>-0.8201015182946445</v>
      </c>
    </row>
    <row r="504" spans="1:20" x14ac:dyDescent="0.25">
      <c r="A504" s="5">
        <v>44089</v>
      </c>
      <c r="B504">
        <v>1.861</v>
      </c>
      <c r="C504">
        <v>1.9</v>
      </c>
      <c r="D504">
        <v>1.58</v>
      </c>
      <c r="E504">
        <v>1.6220000000000001</v>
      </c>
      <c r="F504">
        <v>24082166.170000002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-0.7374999999999996</v>
      </c>
      <c r="Q504">
        <f t="shared" si="980"/>
        <v>-17760597.550374992</v>
      </c>
      <c r="R504">
        <f t="shared" si="981"/>
        <v>-76815118.512821585</v>
      </c>
      <c r="S504">
        <f t="shared" si="982"/>
        <v>-768.15118512821584</v>
      </c>
      <c r="T504">
        <f t="shared" si="983"/>
        <v>-0.7681511851282159</v>
      </c>
    </row>
    <row r="505" spans="1:20" x14ac:dyDescent="0.25">
      <c r="A505" s="5">
        <v>44088</v>
      </c>
      <c r="B505">
        <v>1.728</v>
      </c>
      <c r="C505">
        <v>1.98</v>
      </c>
      <c r="D505">
        <v>1.617</v>
      </c>
      <c r="E505">
        <v>1.863</v>
      </c>
      <c r="F505">
        <v>32154413.013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0.35537190082644632</v>
      </c>
      <c r="Q505">
        <f t="shared" si="980"/>
        <v>11426774.872388432</v>
      </c>
      <c r="R505">
        <f t="shared" si="981"/>
        <v>-59054520.962446593</v>
      </c>
      <c r="S505">
        <f t="shared" si="982"/>
        <v>-590.54520962446588</v>
      </c>
      <c r="T505">
        <f t="shared" si="983"/>
        <v>-0.59054520962446588</v>
      </c>
    </row>
    <row r="506" spans="1:20" x14ac:dyDescent="0.25">
      <c r="A506" s="5">
        <v>44087</v>
      </c>
      <c r="B506">
        <v>1.831</v>
      </c>
      <c r="C506">
        <v>1.9239999999999999</v>
      </c>
      <c r="D506">
        <v>1.671</v>
      </c>
      <c r="E506">
        <v>1.726</v>
      </c>
      <c r="F506">
        <v>23385036.894000001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-0.56521739130434812</v>
      </c>
      <c r="Q506">
        <f t="shared" si="980"/>
        <v>-13217629.548782617</v>
      </c>
      <c r="R506">
        <f t="shared" si="981"/>
        <v>-70481295.834835023</v>
      </c>
      <c r="S506">
        <f t="shared" si="982"/>
        <v>-704.81295834835021</v>
      </c>
      <c r="T506">
        <f t="shared" si="983"/>
        <v>-0.70481295834835023</v>
      </c>
    </row>
    <row r="507" spans="1:20" x14ac:dyDescent="0.25">
      <c r="A507" s="5">
        <v>44086</v>
      </c>
      <c r="B507">
        <v>1.7929999999999999</v>
      </c>
      <c r="C507">
        <v>1.873</v>
      </c>
      <c r="D507">
        <v>1.712</v>
      </c>
      <c r="E507">
        <v>1.829</v>
      </c>
      <c r="F507">
        <v>18034499.813000001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0.45341614906832262</v>
      </c>
      <c r="Q507">
        <f t="shared" si="980"/>
        <v>8177133.4555838453</v>
      </c>
      <c r="R507">
        <f t="shared" si="981"/>
        <v>-57263666.286052398</v>
      </c>
      <c r="S507">
        <f t="shared" si="982"/>
        <v>-572.63666286052398</v>
      </c>
      <c r="T507">
        <f t="shared" si="983"/>
        <v>-0.57263666286052395</v>
      </c>
    </row>
    <row r="508" spans="1:20" x14ac:dyDescent="0.25">
      <c r="A508" s="5">
        <v>44085</v>
      </c>
      <c r="B508">
        <v>1.7789999999999999</v>
      </c>
      <c r="C508">
        <v>1.8169999999999999</v>
      </c>
      <c r="D508">
        <v>1.67</v>
      </c>
      <c r="E508">
        <v>1.7889999999999999</v>
      </c>
      <c r="F508">
        <v>10319126.301999999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0.61904761904761874</v>
      </c>
      <c r="Q508">
        <f t="shared" si="980"/>
        <v>6388030.5679047583</v>
      </c>
      <c r="R508">
        <f t="shared" si="981"/>
        <v>-65440799.741636246</v>
      </c>
      <c r="S508">
        <f t="shared" si="982"/>
        <v>-654.40799741636249</v>
      </c>
      <c r="T508">
        <f t="shared" si="983"/>
        <v>-0.65440799741636246</v>
      </c>
    </row>
    <row r="509" spans="1:20" x14ac:dyDescent="0.25">
      <c r="A509" s="5">
        <v>44084</v>
      </c>
      <c r="B509">
        <v>1.788</v>
      </c>
      <c r="C509">
        <v>1.95</v>
      </c>
      <c r="D509">
        <v>1.7589999999999999</v>
      </c>
      <c r="E509">
        <v>1.7789999999999999</v>
      </c>
      <c r="F509">
        <v>19614028.473000001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-0.79057591623036638</v>
      </c>
      <c r="Q509">
        <f t="shared" si="980"/>
        <v>-15506378.531010469</v>
      </c>
      <c r="R509">
        <f t="shared" si="981"/>
        <v>-71828830.309541002</v>
      </c>
      <c r="S509">
        <f t="shared" si="982"/>
        <v>-718.28830309541001</v>
      </c>
      <c r="T509">
        <f t="shared" si="983"/>
        <v>-0.71828830309541003</v>
      </c>
    </row>
    <row r="510" spans="1:20" x14ac:dyDescent="0.25">
      <c r="A510" s="5">
        <v>44083</v>
      </c>
      <c r="B510">
        <v>1.655</v>
      </c>
      <c r="C510">
        <v>1.88</v>
      </c>
      <c r="D510">
        <v>1.6220000000000001</v>
      </c>
      <c r="E510">
        <v>1.788</v>
      </c>
      <c r="F510">
        <v>18377846.572999999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0.2868217054263571</v>
      </c>
      <c r="Q510">
        <f t="shared" si="980"/>
        <v>5271165.2961317915</v>
      </c>
      <c r="R510">
        <f t="shared" si="981"/>
        <v>-56322451.778530531</v>
      </c>
      <c r="S510">
        <f t="shared" si="982"/>
        <v>-563.22451778530535</v>
      </c>
      <c r="T510">
        <f t="shared" si="983"/>
        <v>-0.56322451778530536</v>
      </c>
    </row>
    <row r="511" spans="1:20" x14ac:dyDescent="0.25">
      <c r="A511" s="5">
        <v>44082</v>
      </c>
      <c r="B511">
        <v>1.7549999999999999</v>
      </c>
      <c r="C511">
        <v>1.806</v>
      </c>
      <c r="D511">
        <v>1.579</v>
      </c>
      <c r="E511">
        <v>1.655</v>
      </c>
      <c r="F511">
        <v>17968361.41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-0.33039647577092479</v>
      </c>
      <c r="Q511">
        <f t="shared" si="980"/>
        <v>-5936683.2852422846</v>
      </c>
      <c r="R511">
        <f t="shared" si="981"/>
        <v>-61593617.07466232</v>
      </c>
      <c r="S511">
        <f t="shared" si="982"/>
        <v>-615.93617074662325</v>
      </c>
      <c r="T511">
        <f t="shared" si="983"/>
        <v>-0.61593617074662321</v>
      </c>
    </row>
    <row r="512" spans="1:20" x14ac:dyDescent="0.25">
      <c r="A512" s="5">
        <v>44081</v>
      </c>
      <c r="B512">
        <v>1.7969999999999999</v>
      </c>
      <c r="C512">
        <v>1.853</v>
      </c>
      <c r="D512">
        <v>1.56</v>
      </c>
      <c r="E512">
        <v>1.752</v>
      </c>
      <c r="F512">
        <v>24006309.767000001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0.31058020477815695</v>
      </c>
      <c r="Q512">
        <f t="shared" si="980"/>
        <v>7455884.6034027301</v>
      </c>
      <c r="R512">
        <f t="shared" si="981"/>
        <v>-55656933.789420038</v>
      </c>
      <c r="S512">
        <f t="shared" si="982"/>
        <v>-556.56933789420043</v>
      </c>
      <c r="T512">
        <f t="shared" si="983"/>
        <v>-0.55656933789420038</v>
      </c>
    </row>
    <row r="513" spans="1:20" x14ac:dyDescent="0.25">
      <c r="A513" s="5">
        <v>44080</v>
      </c>
      <c r="B513">
        <v>1.6719999999999999</v>
      </c>
      <c r="C513">
        <v>1.9530000000000001</v>
      </c>
      <c r="D513">
        <v>1.53</v>
      </c>
      <c r="E513">
        <v>1.7969999999999999</v>
      </c>
      <c r="F513">
        <v>29520658.949000001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0.26241134751772993</v>
      </c>
      <c r="Q513">
        <f t="shared" si="980"/>
        <v>7746555.8944184231</v>
      </c>
      <c r="R513">
        <f t="shared" si="981"/>
        <v>-63112818.392822765</v>
      </c>
      <c r="S513">
        <f t="shared" si="982"/>
        <v>-631.1281839282276</v>
      </c>
      <c r="T513">
        <f t="shared" si="983"/>
        <v>-0.63112818392822756</v>
      </c>
    </row>
    <row r="514" spans="1:20" x14ac:dyDescent="0.25">
      <c r="A514" s="5">
        <v>44079</v>
      </c>
      <c r="B514">
        <v>2.036</v>
      </c>
      <c r="C514">
        <v>2.0950000000000002</v>
      </c>
      <c r="D514">
        <v>1.5189999999999999</v>
      </c>
      <c r="E514">
        <v>1.675</v>
      </c>
      <c r="F514">
        <v>38428364.163999997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-0.45833333333333315</v>
      </c>
      <c r="Q514">
        <f t="shared" si="980"/>
        <v>-17613000.241833325</v>
      </c>
      <c r="R514">
        <f t="shared" si="981"/>
        <v>-70859374.287241191</v>
      </c>
      <c r="S514">
        <f t="shared" si="982"/>
        <v>-708.59374287241189</v>
      </c>
      <c r="T514">
        <f t="shared" si="983"/>
        <v>-0.70859374287241195</v>
      </c>
    </row>
    <row r="515" spans="1:20" x14ac:dyDescent="0.25">
      <c r="A515" s="5">
        <v>44078</v>
      </c>
      <c r="B515">
        <v>1.8129999999999999</v>
      </c>
      <c r="C515">
        <v>2.1800000000000002</v>
      </c>
      <c r="D515">
        <v>1.758</v>
      </c>
      <c r="E515">
        <v>2.036</v>
      </c>
      <c r="F515">
        <v>35321316.388999999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0.3175355450236963</v>
      </c>
      <c r="Q515">
        <f t="shared" si="980"/>
        <v>11215773.45053553</v>
      </c>
      <c r="R515">
        <f t="shared" si="981"/>
        <v>-53246374.045407869</v>
      </c>
      <c r="S515">
        <f t="shared" si="982"/>
        <v>-532.46374045407867</v>
      </c>
      <c r="T515">
        <f t="shared" si="983"/>
        <v>-0.53246374045407863</v>
      </c>
    </row>
    <row r="516" spans="1:20" x14ac:dyDescent="0.25">
      <c r="A516" s="5">
        <v>44077</v>
      </c>
      <c r="B516">
        <v>2.3730000000000002</v>
      </c>
      <c r="C516">
        <v>2.4220000000000002</v>
      </c>
      <c r="D516">
        <v>1.75</v>
      </c>
      <c r="E516">
        <v>1.8140000000000001</v>
      </c>
      <c r="F516">
        <v>33618421.571000002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-0.80952380952380942</v>
      </c>
      <c r="Q516">
        <f t="shared" si="980"/>
        <v>-27214912.700333331</v>
      </c>
      <c r="R516">
        <f t="shared" si="981"/>
        <v>-64462147.495943397</v>
      </c>
      <c r="S516">
        <f t="shared" si="982"/>
        <v>-644.62147495943395</v>
      </c>
      <c r="T516">
        <f t="shared" si="983"/>
        <v>-0.644621474959434</v>
      </c>
    </row>
    <row r="517" spans="1:20" x14ac:dyDescent="0.25">
      <c r="A517" s="5">
        <v>44076</v>
      </c>
      <c r="B517">
        <v>2.57</v>
      </c>
      <c r="C517">
        <v>2.7240000000000002</v>
      </c>
      <c r="D517">
        <v>2.0110000000000001</v>
      </c>
      <c r="E517">
        <v>2.3730000000000002</v>
      </c>
      <c r="F517">
        <v>30387412.142000001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1.5427769985974922E-2</v>
      </c>
      <c r="Q517">
        <f t="shared" si="980"/>
        <v>468810.00499579753</v>
      </c>
      <c r="R517">
        <f t="shared" si="981"/>
        <v>-37247234.79561007</v>
      </c>
      <c r="S517">
        <f t="shared" si="982"/>
        <v>-372.47234795610069</v>
      </c>
      <c r="T517">
        <f t="shared" si="983"/>
        <v>-0.37247234795610068</v>
      </c>
    </row>
    <row r="518" spans="1:20" x14ac:dyDescent="0.25">
      <c r="A518" s="5">
        <v>44075</v>
      </c>
      <c r="B518">
        <v>2.851</v>
      </c>
      <c r="C518">
        <v>2.98</v>
      </c>
      <c r="D518">
        <v>2.5499999999999998</v>
      </c>
      <c r="E518">
        <v>2.57</v>
      </c>
      <c r="F518">
        <v>24114796.217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-0.90697674418604646</v>
      </c>
      <c r="Q518">
        <f t="shared" ref="Q518:Q581" si="985">F518*P518</f>
        <v>-21871559.359604649</v>
      </c>
      <c r="R518">
        <f t="shared" ref="R518:R581" si="986">R519+Q518</f>
        <v>-37716044.800605871</v>
      </c>
      <c r="S518">
        <f t="shared" ref="S518:S581" si="987">R518/100000</f>
        <v>-377.16044800605869</v>
      </c>
      <c r="T518">
        <f t="shared" ref="T518:T581" si="988">S518/1000</f>
        <v>-0.37716044800605869</v>
      </c>
    </row>
    <row r="519" spans="1:20" x14ac:dyDescent="0.25">
      <c r="A519" s="5">
        <v>44074</v>
      </c>
      <c r="B519">
        <v>2.94</v>
      </c>
      <c r="C519">
        <v>3.1</v>
      </c>
      <c r="D519">
        <v>2.81</v>
      </c>
      <c r="E519">
        <v>2.8479999999999999</v>
      </c>
      <c r="F519">
        <v>19188182.581999999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-0.73793103448275998</v>
      </c>
      <c r="Q519">
        <f t="shared" si="985"/>
        <v>-14159555.422579335</v>
      </c>
      <c r="R519">
        <f t="shared" si="986"/>
        <v>-15844485.441001223</v>
      </c>
      <c r="S519">
        <f t="shared" si="987"/>
        <v>-158.44485441001223</v>
      </c>
      <c r="T519">
        <f t="shared" si="988"/>
        <v>-0.15844485441001221</v>
      </c>
    </row>
    <row r="520" spans="1:20" x14ac:dyDescent="0.25">
      <c r="A520" s="5">
        <v>44073</v>
      </c>
      <c r="B520">
        <v>3.032</v>
      </c>
      <c r="C520">
        <v>3.2170000000000001</v>
      </c>
      <c r="D520">
        <v>2.86</v>
      </c>
      <c r="E520">
        <v>2.9409999999999998</v>
      </c>
      <c r="F520">
        <v>18740181.116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-0.54621848739495849</v>
      </c>
      <c r="Q520">
        <f t="shared" si="985"/>
        <v>-10236233.382689085</v>
      </c>
      <c r="R520">
        <f t="shared" si="986"/>
        <v>-1684930.0184218884</v>
      </c>
      <c r="S520">
        <f t="shared" si="987"/>
        <v>-16.849300184218883</v>
      </c>
      <c r="T520">
        <f t="shared" si="988"/>
        <v>-1.6849300184218884E-2</v>
      </c>
    </row>
    <row r="521" spans="1:20" x14ac:dyDescent="0.25">
      <c r="A521" s="5">
        <v>44072</v>
      </c>
      <c r="B521">
        <v>2.9089999999999998</v>
      </c>
      <c r="C521">
        <v>3.26</v>
      </c>
      <c r="D521">
        <v>2.87</v>
      </c>
      <c r="E521">
        <v>3.032</v>
      </c>
      <c r="F521">
        <v>21130285.127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-0.16923076923076896</v>
      </c>
      <c r="Q521">
        <f t="shared" si="985"/>
        <v>-3575894.4061076869</v>
      </c>
      <c r="R521">
        <f t="shared" si="986"/>
        <v>8551303.3642671965</v>
      </c>
      <c r="S521">
        <f t="shared" si="987"/>
        <v>85.513033642671971</v>
      </c>
      <c r="T521">
        <f t="shared" si="988"/>
        <v>8.5513033642671973E-2</v>
      </c>
    </row>
    <row r="522" spans="1:20" x14ac:dyDescent="0.25">
      <c r="A522" s="5">
        <v>44071</v>
      </c>
      <c r="B522">
        <v>2.7650000000000001</v>
      </c>
      <c r="C522">
        <v>3.03</v>
      </c>
      <c r="D522">
        <v>2.7250000000000001</v>
      </c>
      <c r="E522">
        <v>2.9119999999999999</v>
      </c>
      <c r="F522">
        <v>18412860.434999999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0.22622950819672136</v>
      </c>
      <c r="Q522">
        <f t="shared" si="985"/>
        <v>4165532.3607049184</v>
      </c>
      <c r="R522">
        <f t="shared" si="986"/>
        <v>12127197.770374883</v>
      </c>
      <c r="S522">
        <f t="shared" si="987"/>
        <v>121.27197770374883</v>
      </c>
      <c r="T522">
        <f t="shared" si="988"/>
        <v>0.12127197770374883</v>
      </c>
    </row>
    <row r="523" spans="1:20" x14ac:dyDescent="0.25">
      <c r="A523" s="5">
        <v>44070</v>
      </c>
      <c r="B523">
        <v>2.8610000000000002</v>
      </c>
      <c r="C523">
        <v>3.085</v>
      </c>
      <c r="D523">
        <v>2.5569999999999999</v>
      </c>
      <c r="E523">
        <v>2.7650000000000001</v>
      </c>
      <c r="F523">
        <v>27004956.662999999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-0.21212121212121146</v>
      </c>
      <c r="Q523">
        <f t="shared" si="985"/>
        <v>-5728324.1406363454</v>
      </c>
      <c r="R523">
        <f t="shared" si="986"/>
        <v>7961665.4096699636</v>
      </c>
      <c r="S523">
        <f t="shared" si="987"/>
        <v>79.616654096699634</v>
      </c>
      <c r="T523">
        <f t="shared" si="988"/>
        <v>7.9616654096699629E-2</v>
      </c>
    </row>
    <row r="524" spans="1:20" x14ac:dyDescent="0.25">
      <c r="A524" s="5">
        <v>44069</v>
      </c>
      <c r="B524">
        <v>2.637</v>
      </c>
      <c r="C524">
        <v>2.944</v>
      </c>
      <c r="D524">
        <v>2.5499999999999998</v>
      </c>
      <c r="E524">
        <v>2.859</v>
      </c>
      <c r="F524">
        <v>19244905.697000001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0.56852791878172626</v>
      </c>
      <c r="Q524">
        <f t="shared" si="985"/>
        <v>10941266.183065997</v>
      </c>
      <c r="R524">
        <f t="shared" si="986"/>
        <v>13689989.550306309</v>
      </c>
      <c r="S524">
        <f t="shared" si="987"/>
        <v>136.89989550306308</v>
      </c>
      <c r="T524">
        <f t="shared" si="988"/>
        <v>0.13689989550306308</v>
      </c>
    </row>
    <row r="525" spans="1:20" x14ac:dyDescent="0.25">
      <c r="A525" s="5">
        <v>44068</v>
      </c>
      <c r="B525">
        <v>2.9359999999999999</v>
      </c>
      <c r="C525">
        <v>2.98</v>
      </c>
      <c r="D525">
        <v>2.4550000000000001</v>
      </c>
      <c r="E525">
        <v>2.6360000000000001</v>
      </c>
      <c r="F525">
        <v>21664602.241999999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-0.31047619047619018</v>
      </c>
      <c r="Q525">
        <f t="shared" si="985"/>
        <v>-6726343.1722780885</v>
      </c>
      <c r="R525">
        <f t="shared" si="986"/>
        <v>2748723.3672403125</v>
      </c>
      <c r="S525">
        <f t="shared" si="987"/>
        <v>27.487233672403125</v>
      </c>
      <c r="T525">
        <f t="shared" si="988"/>
        <v>2.7487233672403126E-2</v>
      </c>
    </row>
    <row r="526" spans="1:20" x14ac:dyDescent="0.25">
      <c r="A526" s="5">
        <v>44067</v>
      </c>
      <c r="B526">
        <v>2.8519999999999999</v>
      </c>
      <c r="C526">
        <v>3.1309999999999998</v>
      </c>
      <c r="D526">
        <v>2.7010000000000001</v>
      </c>
      <c r="E526">
        <v>2.9350000000000001</v>
      </c>
      <c r="F526">
        <v>21675894.486000001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8.8372093023256465E-2</v>
      </c>
      <c r="Q526">
        <f t="shared" si="985"/>
        <v>1915544.1638790839</v>
      </c>
      <c r="R526">
        <f t="shared" si="986"/>
        <v>9475066.539518401</v>
      </c>
      <c r="S526">
        <f t="shared" si="987"/>
        <v>94.750665395184015</v>
      </c>
      <c r="T526">
        <f t="shared" si="988"/>
        <v>9.4750665395184008E-2</v>
      </c>
    </row>
    <row r="527" spans="1:20" x14ac:dyDescent="0.25">
      <c r="A527" s="5">
        <v>44066</v>
      </c>
      <c r="B527">
        <v>2.7970000000000002</v>
      </c>
      <c r="C527">
        <v>2.956</v>
      </c>
      <c r="D527">
        <v>2.5099999999999998</v>
      </c>
      <c r="E527">
        <v>2.8530000000000002</v>
      </c>
      <c r="F527">
        <v>19467585.544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0.53811659192825234</v>
      </c>
      <c r="Q527">
        <f t="shared" si="985"/>
        <v>10475830.786008993</v>
      </c>
      <c r="R527">
        <f t="shared" si="986"/>
        <v>7559522.3756393176</v>
      </c>
      <c r="S527">
        <f t="shared" si="987"/>
        <v>75.595223756393182</v>
      </c>
      <c r="T527">
        <f t="shared" si="988"/>
        <v>7.5595223756393187E-2</v>
      </c>
    </row>
    <row r="528" spans="1:20" x14ac:dyDescent="0.25">
      <c r="A528" s="5">
        <v>44065</v>
      </c>
      <c r="B528">
        <v>2.6230000000000002</v>
      </c>
      <c r="C528">
        <v>2.875</v>
      </c>
      <c r="D528">
        <v>2.2999999999999998</v>
      </c>
      <c r="E528">
        <v>2.7949999999999999</v>
      </c>
      <c r="F528">
        <v>36176960.522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0.72173913043478244</v>
      </c>
      <c r="Q528">
        <f t="shared" si="985"/>
        <v>26110328.028921735</v>
      </c>
      <c r="R528">
        <f t="shared" si="986"/>
        <v>-2916308.4103696756</v>
      </c>
      <c r="S528">
        <f t="shared" si="987"/>
        <v>-29.163084103696757</v>
      </c>
      <c r="T528">
        <f t="shared" si="988"/>
        <v>-2.9163084103696758E-2</v>
      </c>
    </row>
    <row r="529" spans="1:20" x14ac:dyDescent="0.25">
      <c r="A529" s="5">
        <v>44064</v>
      </c>
      <c r="B529">
        <v>3.194</v>
      </c>
      <c r="C529">
        <v>3.2719999999999998</v>
      </c>
      <c r="D529">
        <v>2.54</v>
      </c>
      <c r="E529">
        <v>2.6230000000000002</v>
      </c>
      <c r="F529">
        <v>39890999.244999997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-0.77322404371584641</v>
      </c>
      <c r="Q529">
        <f t="shared" si="985"/>
        <v>-30844679.744084675</v>
      </c>
      <c r="R529">
        <f t="shared" si="986"/>
        <v>-29026636.43929141</v>
      </c>
      <c r="S529">
        <f t="shared" si="987"/>
        <v>-290.26636439291411</v>
      </c>
      <c r="T529">
        <f t="shared" si="988"/>
        <v>-0.29026636439291409</v>
      </c>
    </row>
    <row r="530" spans="1:20" x14ac:dyDescent="0.25">
      <c r="A530" s="5">
        <v>44063</v>
      </c>
      <c r="B530">
        <v>3.0910000000000002</v>
      </c>
      <c r="C530">
        <v>3.55</v>
      </c>
      <c r="D530">
        <v>3.081</v>
      </c>
      <c r="E530">
        <v>3.198</v>
      </c>
      <c r="F530">
        <v>27075169.456999999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-0.50106609808102331</v>
      </c>
      <c r="Q530">
        <f t="shared" si="985"/>
        <v>-13566449.514701487</v>
      </c>
      <c r="R530">
        <f t="shared" si="986"/>
        <v>1818043.3047932666</v>
      </c>
      <c r="S530">
        <f t="shared" si="987"/>
        <v>18.180433047932667</v>
      </c>
      <c r="T530">
        <f t="shared" si="988"/>
        <v>1.8180433047932668E-2</v>
      </c>
    </row>
    <row r="531" spans="1:20" x14ac:dyDescent="0.25">
      <c r="A531" s="5">
        <v>44062</v>
      </c>
      <c r="B531">
        <v>3.613</v>
      </c>
      <c r="C531">
        <v>3.7970000000000002</v>
      </c>
      <c r="D531">
        <v>2.84</v>
      </c>
      <c r="E531">
        <v>3.09</v>
      </c>
      <c r="F531">
        <v>35890590.152999997</v>
      </c>
      <c r="G531">
        <v>0</v>
      </c>
      <c r="L531" t="s">
        <v>7</v>
      </c>
      <c r="M531" t="s">
        <v>8</v>
      </c>
      <c r="N531" t="s">
        <v>7</v>
      </c>
      <c r="P531">
        <f t="shared" si="984"/>
        <v>-0.47753396029258116</v>
      </c>
      <c r="Q531">
        <f t="shared" si="985"/>
        <v>-17138975.653000005</v>
      </c>
      <c r="R531">
        <f t="shared" si="986"/>
        <v>15384492.819494754</v>
      </c>
      <c r="S531">
        <f t="shared" si="987"/>
        <v>153.84492819494753</v>
      </c>
      <c r="T531">
        <f t="shared" si="988"/>
        <v>0.15384492819494752</v>
      </c>
    </row>
    <row r="532" spans="1:20" x14ac:dyDescent="0.25">
      <c r="A532" s="5">
        <v>44061</v>
      </c>
      <c r="B532">
        <v>3.1019999999999999</v>
      </c>
      <c r="C532">
        <v>4.07</v>
      </c>
      <c r="D532">
        <v>2.9159999999999999</v>
      </c>
      <c r="E532">
        <v>3.6070000000000002</v>
      </c>
      <c r="F532">
        <v>38113271.528999999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0.19757365684575401</v>
      </c>
      <c r="Q532">
        <f t="shared" si="985"/>
        <v>7530178.4303396922</v>
      </c>
      <c r="R532">
        <f t="shared" si="986"/>
        <v>32523468.472494759</v>
      </c>
      <c r="S532">
        <f t="shared" si="987"/>
        <v>325.23468472494761</v>
      </c>
      <c r="T532">
        <f t="shared" si="988"/>
        <v>0.3252346847249476</v>
      </c>
    </row>
    <row r="533" spans="1:20" x14ac:dyDescent="0.25">
      <c r="A533" s="5">
        <v>44060</v>
      </c>
      <c r="B533">
        <v>3.4129999999999998</v>
      </c>
      <c r="C533">
        <v>3.5</v>
      </c>
      <c r="D533">
        <v>3</v>
      </c>
      <c r="E533">
        <v>3.1030000000000002</v>
      </c>
      <c r="F533">
        <v>21703533.874000002</v>
      </c>
      <c r="G533">
        <v>0</v>
      </c>
      <c r="L533" t="s">
        <v>7</v>
      </c>
      <c r="M533" t="s">
        <v>7</v>
      </c>
      <c r="N533" t="s">
        <v>7</v>
      </c>
      <c r="P533">
        <f t="shared" si="984"/>
        <v>-0.58799999999999919</v>
      </c>
      <c r="Q533">
        <f t="shared" si="985"/>
        <v>-12761677.917911984</v>
      </c>
      <c r="R533">
        <f t="shared" si="986"/>
        <v>24993290.042155065</v>
      </c>
      <c r="S533">
        <f t="shared" si="987"/>
        <v>249.93290042155064</v>
      </c>
      <c r="T533">
        <f t="shared" si="988"/>
        <v>0.24993290042155064</v>
      </c>
    </row>
    <row r="534" spans="1:20" x14ac:dyDescent="0.25">
      <c r="A534" s="5">
        <v>44059</v>
      </c>
      <c r="B534">
        <v>3.335</v>
      </c>
      <c r="C534">
        <v>3.7040000000000002</v>
      </c>
      <c r="D534">
        <v>3.2080000000000002</v>
      </c>
      <c r="E534">
        <v>3.4140000000000001</v>
      </c>
      <c r="F534">
        <v>23384857.311000001</v>
      </c>
      <c r="G534">
        <v>0</v>
      </c>
      <c r="L534" t="s">
        <v>7</v>
      </c>
      <c r="M534" t="s">
        <v>7</v>
      </c>
      <c r="N534" t="s">
        <v>7</v>
      </c>
      <c r="P534">
        <f t="shared" si="984"/>
        <v>-0.16935483870967757</v>
      </c>
      <c r="Q534">
        <f t="shared" si="985"/>
        <v>-3960338.7381532295</v>
      </c>
      <c r="R534">
        <f t="shared" si="986"/>
        <v>37754967.960067049</v>
      </c>
      <c r="S534">
        <f t="shared" si="987"/>
        <v>377.54967960067046</v>
      </c>
      <c r="T534">
        <f t="shared" si="988"/>
        <v>0.37754967960067048</v>
      </c>
    </row>
    <row r="535" spans="1:20" x14ac:dyDescent="0.25">
      <c r="A535" s="5">
        <v>44058</v>
      </c>
      <c r="B535">
        <v>3.7160000000000002</v>
      </c>
      <c r="C535">
        <v>3.93</v>
      </c>
      <c r="D535">
        <v>3.31</v>
      </c>
      <c r="E535">
        <v>3.3319999999999999</v>
      </c>
      <c r="F535">
        <v>19846382.772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-0.92903225806451684</v>
      </c>
      <c r="Q535">
        <f t="shared" si="985"/>
        <v>-18437929.801083885</v>
      </c>
      <c r="R535">
        <f t="shared" si="986"/>
        <v>41715306.698220275</v>
      </c>
      <c r="S535">
        <f t="shared" si="987"/>
        <v>417.15306698220274</v>
      </c>
      <c r="T535">
        <f t="shared" si="988"/>
        <v>0.41715306698220272</v>
      </c>
    </row>
    <row r="536" spans="1:20" x14ac:dyDescent="0.25">
      <c r="A536" s="5">
        <v>44057</v>
      </c>
      <c r="B536">
        <v>4.32</v>
      </c>
      <c r="C536">
        <v>4.4580000000000002</v>
      </c>
      <c r="D536">
        <v>3.5019999999999998</v>
      </c>
      <c r="E536">
        <v>3.7149999999999999</v>
      </c>
      <c r="F536">
        <v>24432221.699000001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-0.55439330543933052</v>
      </c>
      <c r="Q536">
        <f t="shared" si="985"/>
        <v>-13545060.146935146</v>
      </c>
      <c r="R536">
        <f t="shared" si="986"/>
        <v>60153236.49930416</v>
      </c>
      <c r="S536">
        <f t="shared" si="987"/>
        <v>601.5323649930416</v>
      </c>
      <c r="T536">
        <f t="shared" si="988"/>
        <v>0.60153236499304163</v>
      </c>
    </row>
    <row r="537" spans="1:20" x14ac:dyDescent="0.25">
      <c r="A537" s="5">
        <v>44056</v>
      </c>
      <c r="B537">
        <v>3.83</v>
      </c>
      <c r="C537">
        <v>5</v>
      </c>
      <c r="D537">
        <v>3.65</v>
      </c>
      <c r="E537">
        <v>4.3220000000000001</v>
      </c>
      <c r="F537">
        <v>36534445.906999998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-4.444444444444284E-3</v>
      </c>
      <c r="Q537">
        <f t="shared" si="985"/>
        <v>-162375.31514221634</v>
      </c>
      <c r="R537">
        <f t="shared" si="986"/>
        <v>73698296.646239311</v>
      </c>
      <c r="S537">
        <f t="shared" si="987"/>
        <v>736.98296646239305</v>
      </c>
      <c r="T537">
        <f t="shared" si="988"/>
        <v>0.73698296646239303</v>
      </c>
    </row>
    <row r="538" spans="1:20" x14ac:dyDescent="0.25">
      <c r="A538" s="5">
        <v>44055</v>
      </c>
      <c r="B538">
        <v>3.1579999999999999</v>
      </c>
      <c r="C538">
        <v>3.88</v>
      </c>
      <c r="D538">
        <v>2.9910000000000001</v>
      </c>
      <c r="E538">
        <v>3.831</v>
      </c>
      <c r="F538">
        <v>21172408.574999999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0.88976377952755914</v>
      </c>
      <c r="Q538">
        <f t="shared" si="985"/>
        <v>18838442.275393702</v>
      </c>
      <c r="R538">
        <f t="shared" si="986"/>
        <v>73860671.961381525</v>
      </c>
      <c r="S538">
        <f t="shared" si="987"/>
        <v>738.60671961381524</v>
      </c>
      <c r="T538">
        <f t="shared" si="988"/>
        <v>0.7386067196138153</v>
      </c>
    </row>
    <row r="539" spans="1:20" x14ac:dyDescent="0.25">
      <c r="A539" s="5">
        <v>44054</v>
      </c>
      <c r="B539">
        <v>2.532</v>
      </c>
      <c r="C539">
        <v>3.2530000000000001</v>
      </c>
      <c r="D539">
        <v>2.3879999999999999</v>
      </c>
      <c r="E539">
        <v>3.1549999999999998</v>
      </c>
      <c r="F539">
        <v>38099114.803000003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0.77341040462427679</v>
      </c>
      <c r="Q539">
        <f t="shared" si="985"/>
        <v>29466251.795615006</v>
      </c>
      <c r="R539">
        <f t="shared" si="986"/>
        <v>55022229.68598783</v>
      </c>
      <c r="S539">
        <f t="shared" si="987"/>
        <v>550.22229685987827</v>
      </c>
      <c r="T539">
        <f t="shared" si="988"/>
        <v>0.55022229685987822</v>
      </c>
    </row>
    <row r="540" spans="1:20" x14ac:dyDescent="0.25">
      <c r="A540" s="5">
        <v>44053</v>
      </c>
      <c r="B540">
        <v>2.3450000000000002</v>
      </c>
      <c r="C540">
        <v>2.7050000000000001</v>
      </c>
      <c r="D540">
        <v>2.2930000000000001</v>
      </c>
      <c r="E540">
        <v>2.532</v>
      </c>
      <c r="F540">
        <v>27401557.265000001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0.16019417475728118</v>
      </c>
      <c r="Q540">
        <f t="shared" si="985"/>
        <v>4389569.8531310577</v>
      </c>
      <c r="R540">
        <f t="shared" si="986"/>
        <v>25555977.89037282</v>
      </c>
      <c r="S540">
        <f t="shared" si="987"/>
        <v>255.55977890372822</v>
      </c>
      <c r="T540">
        <f t="shared" si="988"/>
        <v>0.25555977890372822</v>
      </c>
    </row>
    <row r="541" spans="1:20" x14ac:dyDescent="0.25">
      <c r="A541" s="5">
        <v>44052</v>
      </c>
      <c r="B541">
        <v>2.1459999999999999</v>
      </c>
      <c r="C541">
        <v>2.56</v>
      </c>
      <c r="D541">
        <v>2.052</v>
      </c>
      <c r="E541">
        <v>2.3460000000000001</v>
      </c>
      <c r="F541">
        <v>37822129.579000004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0.15748031496063006</v>
      </c>
      <c r="Q541">
        <f t="shared" si="985"/>
        <v>5956240.8785826825</v>
      </c>
      <c r="R541">
        <f t="shared" si="986"/>
        <v>21166408.037241761</v>
      </c>
      <c r="S541">
        <f t="shared" si="987"/>
        <v>211.6640803724176</v>
      </c>
      <c r="T541">
        <f t="shared" si="988"/>
        <v>0.2116640803724176</v>
      </c>
    </row>
    <row r="542" spans="1:20" x14ac:dyDescent="0.25">
      <c r="A542" s="5">
        <v>44051</v>
      </c>
      <c r="B542">
        <v>1.8380000000000001</v>
      </c>
      <c r="C542">
        <v>2.19</v>
      </c>
      <c r="D542">
        <v>1.8120000000000001</v>
      </c>
      <c r="E542">
        <v>2.1459999999999999</v>
      </c>
      <c r="F542">
        <v>25454558.151999999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0.76719576719576688</v>
      </c>
      <c r="Q542">
        <f t="shared" si="985"/>
        <v>19528629.270052902</v>
      </c>
      <c r="R542">
        <f t="shared" si="986"/>
        <v>15210167.158659078</v>
      </c>
      <c r="S542">
        <f t="shared" si="987"/>
        <v>152.10167158659078</v>
      </c>
      <c r="T542">
        <f t="shared" si="988"/>
        <v>0.15210167158659077</v>
      </c>
    </row>
    <row r="543" spans="1:20" x14ac:dyDescent="0.25">
      <c r="A543" s="5">
        <v>44050</v>
      </c>
      <c r="B543">
        <v>1.923</v>
      </c>
      <c r="C543">
        <v>1.9470000000000001</v>
      </c>
      <c r="D543">
        <v>1.756</v>
      </c>
      <c r="E543">
        <v>1.839</v>
      </c>
      <c r="F543">
        <v>17505186.397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-0.13089005235602161</v>
      </c>
      <c r="Q543">
        <f t="shared" si="985"/>
        <v>-2291254.764005247</v>
      </c>
      <c r="R543">
        <f t="shared" si="986"/>
        <v>-4318462.1113938242</v>
      </c>
      <c r="S543">
        <f t="shared" si="987"/>
        <v>-43.184621113938242</v>
      </c>
      <c r="T543">
        <f t="shared" si="988"/>
        <v>-4.318462111393824E-2</v>
      </c>
    </row>
    <row r="544" spans="1:20" x14ac:dyDescent="0.25">
      <c r="A544" s="5">
        <v>44049</v>
      </c>
      <c r="B544">
        <v>1.784</v>
      </c>
      <c r="C544">
        <v>1.9510000000000001</v>
      </c>
      <c r="D544">
        <v>1.76</v>
      </c>
      <c r="E544">
        <v>1.923</v>
      </c>
      <c r="F544">
        <v>15398601.679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0.70680628272251289</v>
      </c>
      <c r="Q544">
        <f t="shared" si="985"/>
        <v>10883828.411858635</v>
      </c>
      <c r="R544">
        <f t="shared" si="986"/>
        <v>-2027207.3473885767</v>
      </c>
      <c r="S544">
        <f t="shared" si="987"/>
        <v>-20.272073473885769</v>
      </c>
      <c r="T544">
        <f t="shared" si="988"/>
        <v>-2.0272073473885769E-2</v>
      </c>
    </row>
    <row r="545" spans="1:20" x14ac:dyDescent="0.25">
      <c r="A545" s="5">
        <v>44048</v>
      </c>
      <c r="B545">
        <v>1.849</v>
      </c>
      <c r="C545">
        <v>1.9410000000000001</v>
      </c>
      <c r="D545">
        <v>1.734</v>
      </c>
      <c r="E545">
        <v>1.7829999999999999</v>
      </c>
      <c r="F545">
        <v>24295384.509</v>
      </c>
      <c r="G545">
        <v>0</v>
      </c>
      <c r="L545" t="s">
        <v>7</v>
      </c>
      <c r="M545" t="s">
        <v>7</v>
      </c>
      <c r="N545" t="s">
        <v>8</v>
      </c>
      <c r="P545">
        <f t="shared" si="984"/>
        <v>-0.52657004830917953</v>
      </c>
      <c r="Q545">
        <f t="shared" si="985"/>
        <v>-12793221.794594221</v>
      </c>
      <c r="R545">
        <f t="shared" si="986"/>
        <v>-12911035.759247212</v>
      </c>
      <c r="S545">
        <f t="shared" si="987"/>
        <v>-129.11035759247213</v>
      </c>
      <c r="T545">
        <f t="shared" si="988"/>
        <v>-0.12911035759247214</v>
      </c>
    </row>
    <row r="546" spans="1:20" x14ac:dyDescent="0.25">
      <c r="A546" s="5">
        <v>44047</v>
      </c>
      <c r="B546">
        <v>1.925</v>
      </c>
      <c r="C546">
        <v>2.0880000000000001</v>
      </c>
      <c r="D546">
        <v>1.74</v>
      </c>
      <c r="E546">
        <v>1.849</v>
      </c>
      <c r="F546">
        <v>21127037.647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-0.37356321839080486</v>
      </c>
      <c r="Q546">
        <f t="shared" si="985"/>
        <v>-7892284.1784770172</v>
      </c>
      <c r="R546">
        <f t="shared" si="986"/>
        <v>-117813.96465299092</v>
      </c>
      <c r="S546">
        <f t="shared" si="987"/>
        <v>-1.1781396465299092</v>
      </c>
      <c r="T546">
        <f t="shared" si="988"/>
        <v>-1.1781396465299092E-3</v>
      </c>
    </row>
    <row r="547" spans="1:20" x14ac:dyDescent="0.25">
      <c r="A547" s="5">
        <v>44046</v>
      </c>
      <c r="B547">
        <v>1.7350000000000001</v>
      </c>
      <c r="C547">
        <v>1.95</v>
      </c>
      <c r="D547">
        <v>1.6719999999999999</v>
      </c>
      <c r="E547">
        <v>1.931</v>
      </c>
      <c r="F547">
        <v>15503435.267000001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0.86330935251798635</v>
      </c>
      <c r="Q547">
        <f t="shared" si="985"/>
        <v>13384260.662158286</v>
      </c>
      <c r="R547">
        <f t="shared" si="986"/>
        <v>7774470.2138240263</v>
      </c>
      <c r="S547">
        <f t="shared" si="987"/>
        <v>77.744702138240257</v>
      </c>
      <c r="T547">
        <f t="shared" si="988"/>
        <v>7.7744702138240251E-2</v>
      </c>
    </row>
    <row r="548" spans="1:20" x14ac:dyDescent="0.25">
      <c r="A548" s="5">
        <v>44045</v>
      </c>
      <c r="B548">
        <v>1.633</v>
      </c>
      <c r="C548">
        <v>1.79</v>
      </c>
      <c r="D548">
        <v>1.4</v>
      </c>
      <c r="E548">
        <v>1.7350000000000001</v>
      </c>
      <c r="F548">
        <v>16326248.515000001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0.7179487179487184</v>
      </c>
      <c r="Q548">
        <f t="shared" si="985"/>
        <v>11721409.190256419</v>
      </c>
      <c r="R548">
        <f t="shared" si="986"/>
        <v>-5609790.4483342599</v>
      </c>
      <c r="S548">
        <f t="shared" si="987"/>
        <v>-56.097904483342596</v>
      </c>
      <c r="T548">
        <f t="shared" si="988"/>
        <v>-5.6097904483342599E-2</v>
      </c>
    </row>
    <row r="549" spans="1:20" x14ac:dyDescent="0.25">
      <c r="A549" s="5">
        <v>44044</v>
      </c>
      <c r="B549">
        <v>1.758</v>
      </c>
      <c r="C549">
        <v>1.9390000000000001</v>
      </c>
      <c r="D549">
        <v>1.603</v>
      </c>
      <c r="E549">
        <v>1.6319999999999999</v>
      </c>
      <c r="F549">
        <v>18700653.572000001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-0.82738095238095288</v>
      </c>
      <c r="Q549">
        <f t="shared" si="985"/>
        <v>-15472564.56254763</v>
      </c>
      <c r="R549">
        <f t="shared" si="986"/>
        <v>-17331199.638590679</v>
      </c>
      <c r="S549">
        <f t="shared" si="987"/>
        <v>-173.31199638590678</v>
      </c>
      <c r="T549">
        <f t="shared" si="988"/>
        <v>-0.17331199638590677</v>
      </c>
    </row>
    <row r="550" spans="1:20" x14ac:dyDescent="0.25">
      <c r="A550" s="5">
        <v>44043</v>
      </c>
      <c r="B550">
        <v>1.52</v>
      </c>
      <c r="C550">
        <v>1.857</v>
      </c>
      <c r="D550">
        <v>1.5149999999999999</v>
      </c>
      <c r="E550">
        <v>1.7589999999999999</v>
      </c>
      <c r="F550">
        <v>16464194.334000001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0.42690058479532128</v>
      </c>
      <c r="Q550">
        <f t="shared" si="985"/>
        <v>7028574.1893684156</v>
      </c>
      <c r="R550">
        <f t="shared" si="986"/>
        <v>-1858635.0760430507</v>
      </c>
      <c r="S550">
        <f t="shared" si="987"/>
        <v>-18.586350760430506</v>
      </c>
      <c r="T550">
        <f t="shared" si="988"/>
        <v>-1.8586350760430505E-2</v>
      </c>
    </row>
    <row r="551" spans="1:20" x14ac:dyDescent="0.25">
      <c r="A551" s="5">
        <v>44042</v>
      </c>
      <c r="B551">
        <v>1.5680000000000001</v>
      </c>
      <c r="C551">
        <v>1.619</v>
      </c>
      <c r="D551">
        <v>1.51</v>
      </c>
      <c r="E551">
        <v>1.52</v>
      </c>
      <c r="F551">
        <v>6720048.358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-0.81651376146788968</v>
      </c>
      <c r="Q551">
        <f t="shared" si="985"/>
        <v>-5487011.9620366953</v>
      </c>
      <c r="R551">
        <f t="shared" si="986"/>
        <v>-8887209.2654114664</v>
      </c>
      <c r="S551">
        <f t="shared" si="987"/>
        <v>-88.872092654114667</v>
      </c>
      <c r="T551">
        <f t="shared" si="988"/>
        <v>-8.8872092654114665E-2</v>
      </c>
    </row>
    <row r="552" spans="1:20" x14ac:dyDescent="0.25">
      <c r="A552" s="5">
        <v>44041</v>
      </c>
      <c r="B552">
        <v>1.6140000000000001</v>
      </c>
      <c r="C552">
        <v>1.756</v>
      </c>
      <c r="D552">
        <v>1.498</v>
      </c>
      <c r="E552">
        <v>1.5669999999999999</v>
      </c>
      <c r="F552">
        <v>9028484.8239999991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-0.46511627906976782</v>
      </c>
      <c r="Q552">
        <f t="shared" si="985"/>
        <v>-4199295.2669767477</v>
      </c>
      <c r="R552">
        <f t="shared" si="986"/>
        <v>-3400197.303374771</v>
      </c>
      <c r="S552">
        <f t="shared" si="987"/>
        <v>-34.00197303374771</v>
      </c>
      <c r="T552">
        <f t="shared" si="988"/>
        <v>-3.4001973033747711E-2</v>
      </c>
    </row>
    <row r="553" spans="1:20" x14ac:dyDescent="0.25">
      <c r="A553" s="5">
        <v>44040</v>
      </c>
      <c r="B553">
        <v>1.516</v>
      </c>
      <c r="C553">
        <v>1.7290000000000001</v>
      </c>
      <c r="D553">
        <v>1.4410000000000001</v>
      </c>
      <c r="E553">
        <v>1.613</v>
      </c>
      <c r="F553">
        <v>13083637.710999999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0.19444444444444384</v>
      </c>
      <c r="Q553">
        <f t="shared" si="985"/>
        <v>2544040.6660277694</v>
      </c>
      <c r="R553">
        <f t="shared" si="986"/>
        <v>799097.96360197663</v>
      </c>
      <c r="S553">
        <f t="shared" si="987"/>
        <v>7.990979636019766</v>
      </c>
      <c r="T553">
        <f t="shared" si="988"/>
        <v>7.9909796360197669E-3</v>
      </c>
    </row>
    <row r="554" spans="1:20" x14ac:dyDescent="0.25">
      <c r="A554" s="5">
        <v>44039</v>
      </c>
      <c r="B554">
        <v>1.9039999999999999</v>
      </c>
      <c r="C554">
        <v>1.962</v>
      </c>
      <c r="D554">
        <v>1.2569999999999999</v>
      </c>
      <c r="E554">
        <v>1.512</v>
      </c>
      <c r="F554">
        <v>22773081.975000001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-0.2765957446808508</v>
      </c>
      <c r="Q554">
        <f t="shared" si="985"/>
        <v>-6298937.5675531859</v>
      </c>
      <c r="R554">
        <f t="shared" si="986"/>
        <v>-1744942.7024257928</v>
      </c>
      <c r="S554">
        <f t="shared" si="987"/>
        <v>-17.449427024257929</v>
      </c>
      <c r="T554">
        <f t="shared" si="988"/>
        <v>-1.7449427024257929E-2</v>
      </c>
    </row>
    <row r="555" spans="1:20" x14ac:dyDescent="0.25">
      <c r="A555" s="5">
        <v>44038</v>
      </c>
      <c r="B555">
        <v>1.998</v>
      </c>
      <c r="C555">
        <v>2.0619999999999998</v>
      </c>
      <c r="D555">
        <v>1.8049999999999999</v>
      </c>
      <c r="E555">
        <v>1.9019999999999999</v>
      </c>
      <c r="F555">
        <v>8129180.4189999998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-0.24513618677042789</v>
      </c>
      <c r="Q555">
        <f t="shared" si="985"/>
        <v>-1992756.2894824892</v>
      </c>
      <c r="R555">
        <f t="shared" si="986"/>
        <v>4553994.865127393</v>
      </c>
      <c r="S555">
        <f t="shared" si="987"/>
        <v>45.539948651273932</v>
      </c>
      <c r="T555">
        <f t="shared" si="988"/>
        <v>4.5539948651273934E-2</v>
      </c>
    </row>
    <row r="556" spans="1:20" x14ac:dyDescent="0.25">
      <c r="A556" s="5">
        <v>44037</v>
      </c>
      <c r="B556">
        <v>2.0299999999999998</v>
      </c>
      <c r="C556">
        <v>2.2810000000000001</v>
      </c>
      <c r="D556">
        <v>1.921</v>
      </c>
      <c r="E556">
        <v>1.996</v>
      </c>
      <c r="F556">
        <v>10344600.33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-0.5833333333333337</v>
      </c>
      <c r="Q556">
        <f t="shared" si="985"/>
        <v>-6034350.1925000036</v>
      </c>
      <c r="R556">
        <f t="shared" si="986"/>
        <v>6546751.1546098823</v>
      </c>
      <c r="S556">
        <f t="shared" si="987"/>
        <v>65.46751154609882</v>
      </c>
      <c r="T556">
        <f t="shared" si="988"/>
        <v>6.5467511546098825E-2</v>
      </c>
    </row>
    <row r="557" spans="1:20" x14ac:dyDescent="0.25">
      <c r="A557" s="5">
        <v>44036</v>
      </c>
      <c r="B557">
        <v>1.6319999999999999</v>
      </c>
      <c r="C557">
        <v>2.13</v>
      </c>
      <c r="D557">
        <v>1.5760000000000001</v>
      </c>
      <c r="E557">
        <v>2.0329999999999999</v>
      </c>
      <c r="F557">
        <v>17257814.177000001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0.64981949458483756</v>
      </c>
      <c r="Q557">
        <f t="shared" si="985"/>
        <v>11214464.086137185</v>
      </c>
      <c r="R557">
        <f t="shared" si="986"/>
        <v>12581101.347109886</v>
      </c>
      <c r="S557">
        <f t="shared" si="987"/>
        <v>125.81101347109886</v>
      </c>
      <c r="T557">
        <f t="shared" si="988"/>
        <v>0.12581101347109885</v>
      </c>
    </row>
    <row r="558" spans="1:20" x14ac:dyDescent="0.25">
      <c r="A558" s="5">
        <v>44035</v>
      </c>
      <c r="B558">
        <v>1.5369999999999999</v>
      </c>
      <c r="C558">
        <v>1.677</v>
      </c>
      <c r="D558">
        <v>1.5049999999999999</v>
      </c>
      <c r="E558">
        <v>1.6319999999999999</v>
      </c>
      <c r="F558">
        <v>4887930.6090000002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0.47674418604651031</v>
      </c>
      <c r="Q558">
        <f t="shared" si="985"/>
        <v>2330292.4996395283</v>
      </c>
      <c r="R558">
        <f t="shared" si="986"/>
        <v>1366637.2609727015</v>
      </c>
      <c r="S558">
        <f t="shared" si="987"/>
        <v>13.666372609727015</v>
      </c>
      <c r="T558">
        <f t="shared" si="988"/>
        <v>1.3666372609727015E-2</v>
      </c>
    </row>
    <row r="559" spans="1:20" x14ac:dyDescent="0.25">
      <c r="A559" s="5">
        <v>44034</v>
      </c>
      <c r="B559">
        <v>1.653</v>
      </c>
      <c r="C559">
        <v>1.782</v>
      </c>
      <c r="D559">
        <v>1.4810000000000001</v>
      </c>
      <c r="E559">
        <v>1.536</v>
      </c>
      <c r="F559">
        <v>6040926.0999999996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-0.63455149501661168</v>
      </c>
      <c r="Q559">
        <f t="shared" si="985"/>
        <v>-3833278.6880398691</v>
      </c>
      <c r="R559">
        <f t="shared" si="986"/>
        <v>-963655.23866682686</v>
      </c>
      <c r="S559">
        <f t="shared" si="987"/>
        <v>-9.636552386668269</v>
      </c>
      <c r="T559">
        <f t="shared" si="988"/>
        <v>-9.6365523866682682E-3</v>
      </c>
    </row>
    <row r="560" spans="1:20" x14ac:dyDescent="0.25">
      <c r="A560" s="5">
        <v>44033</v>
      </c>
      <c r="B560">
        <v>1.6579999999999999</v>
      </c>
      <c r="C560">
        <v>1.7490000000000001</v>
      </c>
      <c r="D560">
        <v>1.373</v>
      </c>
      <c r="E560">
        <v>1.655</v>
      </c>
      <c r="F560">
        <v>7598127.2589999996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0.49999999999999972</v>
      </c>
      <c r="Q560">
        <f t="shared" si="985"/>
        <v>3799063.6294999975</v>
      </c>
      <c r="R560">
        <f t="shared" si="986"/>
        <v>2869623.4493730422</v>
      </c>
      <c r="S560">
        <f t="shared" si="987"/>
        <v>28.696234493730422</v>
      </c>
      <c r="T560">
        <f t="shared" si="988"/>
        <v>2.8696234493730422E-2</v>
      </c>
    </row>
    <row r="561" spans="1:104" x14ac:dyDescent="0.25">
      <c r="A561" s="5">
        <v>44032</v>
      </c>
      <c r="B561">
        <v>1.85</v>
      </c>
      <c r="C561">
        <v>2.0019999999999998</v>
      </c>
      <c r="D561">
        <v>1.427</v>
      </c>
      <c r="E561">
        <v>1.655</v>
      </c>
      <c r="F561">
        <v>4490992.4670000002</v>
      </c>
      <c r="G561">
        <v>0</v>
      </c>
      <c r="P561">
        <f t="shared" si="984"/>
        <v>-0.20695652173913012</v>
      </c>
      <c r="Q561">
        <f t="shared" si="985"/>
        <v>-929440.18012695515</v>
      </c>
      <c r="R561">
        <f t="shared" si="986"/>
        <v>-929440.18012695515</v>
      </c>
      <c r="S561">
        <f t="shared" si="987"/>
        <v>-9.2944018012695508</v>
      </c>
      <c r="T561">
        <f t="shared" si="988"/>
        <v>-9.2944018012695515E-3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H575" sqref="JH57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$A$574</v>
      </c>
      <c r="D111" s="1" t="str">
        <f>ADDRESS(C121-1,D121,1,1)</f>
        <v>$JH$574</v>
      </c>
      <c r="E111"/>
    </row>
    <row r="112" spans="1:5" x14ac:dyDescent="0.25">
      <c r="A112" s="7">
        <v>12164.144957890772</v>
      </c>
      <c r="C112" s="1" t="str">
        <f>ADDRESS(C121,1,1,1)</f>
        <v>$A$575</v>
      </c>
      <c r="D112" s="1" t="str">
        <f>ADDRESS(C121,D121-1,1,1)</f>
        <v>$JG$575</v>
      </c>
      <c r="E112"/>
    </row>
    <row r="113" spans="1:5" x14ac:dyDescent="0.25">
      <c r="A113" s="7">
        <v>11925.63231165762</v>
      </c>
      <c r="C113" s="1" t="str">
        <f>ADDRESS(C121+1,1,1,1)</f>
        <v>$A$576</v>
      </c>
      <c r="D113" s="1" t="str">
        <f>ADDRESS(C121-1,D121+1,1,1)</f>
        <v>$JI$574</v>
      </c>
    </row>
    <row r="114" spans="1:5" x14ac:dyDescent="0.25">
      <c r="A114" s="7">
        <v>11691.796383978059</v>
      </c>
      <c r="C114" s="1" t="str">
        <f>ADDRESS(C121,D121,1,1)</f>
        <v>$JH$575</v>
      </c>
      <c r="D114" s="1" t="str">
        <f>ADDRESS(C121+1,D121+1,1,1)</f>
        <v>$JI$576</v>
      </c>
    </row>
    <row r="115" spans="1:5" x14ac:dyDescent="0.25">
      <c r="A115" s="7">
        <v>11462.545474488292</v>
      </c>
      <c r="C115" s="1" t="str">
        <f>ADDRESS(C121+1,D121,1,1)</f>
        <v>$JH$576</v>
      </c>
    </row>
    <row r="116" spans="1:5" x14ac:dyDescent="0.25">
      <c r="A116" s="7">
        <v>11237.789680870874</v>
      </c>
      <c r="C116" s="1">
        <f>C117-1</f>
        <v>574</v>
      </c>
    </row>
    <row r="117" spans="1:5" x14ac:dyDescent="0.25">
      <c r="A117" s="7">
        <v>11017.440863598895</v>
      </c>
      <c r="C117" s="1">
        <f>C121</f>
        <v>575</v>
      </c>
      <c r="D117" s="1">
        <f>D121</f>
        <v>268</v>
      </c>
    </row>
    <row r="118" spans="1:5" x14ac:dyDescent="0.25">
      <c r="A118" s="7">
        <v>10801.412611371465</v>
      </c>
      <c r="C118" s="1">
        <f>C117+1</f>
        <v>576</v>
      </c>
      <c r="D118" s="1">
        <f>D117+1</f>
        <v>269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575</v>
      </c>
      <c r="D121" s="19">
        <v>268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R575</v>
      </c>
      <c r="D123" s="1" t="str">
        <f>"C"&amp;D121</f>
        <v>C268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1.2682417945625455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200" x14ac:dyDescent="0.25">
      <c r="A497" s="7">
        <v>5.9431331263054545</v>
      </c>
      <c r="B497"/>
      <c r="C497"/>
      <c r="D497"/>
      <c r="E497"/>
    </row>
    <row r="498" spans="1:200" x14ac:dyDescent="0.25">
      <c r="A498" s="7">
        <v>5.8266011042210337</v>
      </c>
      <c r="B498"/>
      <c r="C498"/>
      <c r="D498"/>
      <c r="E498"/>
      <c r="EK498" s="27" t="s">
        <v>8</v>
      </c>
    </row>
    <row r="499" spans="1:200" x14ac:dyDescent="0.25">
      <c r="A499" s="7">
        <v>5.7123540237461112</v>
      </c>
      <c r="B499"/>
      <c r="C499"/>
      <c r="D499"/>
      <c r="E499"/>
      <c r="EK499" s="27" t="s">
        <v>8</v>
      </c>
      <c r="EL499" s="27" t="s">
        <v>7</v>
      </c>
    </row>
    <row r="500" spans="1:200" x14ac:dyDescent="0.25">
      <c r="A500" s="7">
        <v>5.6003470821040304</v>
      </c>
      <c r="B500"/>
      <c r="C500"/>
      <c r="D500"/>
      <c r="E500"/>
      <c r="EI500" s="27" t="s">
        <v>8</v>
      </c>
      <c r="EK500" s="27" t="s">
        <v>8</v>
      </c>
      <c r="EL500" s="27" t="s">
        <v>7</v>
      </c>
    </row>
    <row r="501" spans="1:200" x14ac:dyDescent="0.25">
      <c r="A501" s="7">
        <v>5.4905363550039512</v>
      </c>
      <c r="B501"/>
      <c r="C501"/>
      <c r="D501"/>
      <c r="E501"/>
      <c r="EA501" s="27" t="s">
        <v>8</v>
      </c>
      <c r="EI501" s="27" t="s">
        <v>8</v>
      </c>
      <c r="EJ501" s="27" t="s">
        <v>7</v>
      </c>
      <c r="EK501" s="27" t="s">
        <v>8</v>
      </c>
      <c r="EL501" s="27" t="s">
        <v>7</v>
      </c>
    </row>
    <row r="502" spans="1:200" x14ac:dyDescent="0.25">
      <c r="A502" s="7">
        <v>5.3828787794156385</v>
      </c>
      <c r="B502"/>
      <c r="C502"/>
      <c r="D502"/>
      <c r="E502"/>
      <c r="EA502" s="27" t="s">
        <v>8</v>
      </c>
      <c r="EB502" s="27" t="s">
        <v>7</v>
      </c>
      <c r="EI502" s="27" t="s">
        <v>8</v>
      </c>
      <c r="EJ502" s="27" t="s">
        <v>7</v>
      </c>
      <c r="EK502" s="27" t="s">
        <v>8</v>
      </c>
      <c r="EL502" s="27" t="s">
        <v>7</v>
      </c>
    </row>
    <row r="503" spans="1:200" x14ac:dyDescent="0.25">
      <c r="A503" s="7">
        <v>5.2773321366819985</v>
      </c>
      <c r="B503"/>
      <c r="C503"/>
      <c r="D503"/>
      <c r="E503"/>
      <c r="DW503" s="27" t="s">
        <v>8</v>
      </c>
      <c r="EA503" s="27" t="s">
        <v>8</v>
      </c>
      <c r="EB503" s="27" t="s">
        <v>7</v>
      </c>
      <c r="EI503" s="27" t="s">
        <v>8</v>
      </c>
      <c r="EJ503" s="27" t="s">
        <v>7</v>
      </c>
      <c r="EK503" s="27" t="s">
        <v>8</v>
      </c>
      <c r="EL503" s="27" t="s">
        <v>7</v>
      </c>
      <c r="EM503" s="27" t="s">
        <v>8</v>
      </c>
    </row>
    <row r="504" spans="1:200" x14ac:dyDescent="0.25">
      <c r="A504" s="7">
        <v>5.1738550359627435</v>
      </c>
      <c r="B504"/>
      <c r="C504"/>
      <c r="D504"/>
      <c r="E504"/>
      <c r="DW504" s="27" t="s">
        <v>8</v>
      </c>
      <c r="DX504" s="27" t="s">
        <v>7</v>
      </c>
      <c r="EA504" s="27" t="s">
        <v>8</v>
      </c>
      <c r="EB504" s="27" t="s">
        <v>7</v>
      </c>
      <c r="EI504" s="27" t="s">
        <v>8</v>
      </c>
      <c r="EJ504" s="27" t="s">
        <v>7</v>
      </c>
      <c r="EK504" s="27" t="s">
        <v>8</v>
      </c>
      <c r="EL504" s="27" t="s">
        <v>7</v>
      </c>
      <c r="EM504" s="27" t="s">
        <v>8</v>
      </c>
      <c r="EN504" s="27" t="s">
        <v>7</v>
      </c>
      <c r="EO504" s="27" t="s">
        <v>8</v>
      </c>
    </row>
    <row r="505" spans="1:200" x14ac:dyDescent="0.25">
      <c r="A505" s="7">
        <v>5.07240689800269</v>
      </c>
      <c r="B505"/>
      <c r="C505"/>
      <c r="D505"/>
      <c r="E505"/>
      <c r="DW505" s="27" t="s">
        <v>8</v>
      </c>
      <c r="DX505" s="27" t="s">
        <v>7</v>
      </c>
      <c r="EA505" s="27" t="s">
        <v>8</v>
      </c>
      <c r="EB505" s="27" t="s">
        <v>7</v>
      </c>
      <c r="EC505" s="27" t="s">
        <v>8</v>
      </c>
      <c r="EI505" s="27" t="s">
        <v>8</v>
      </c>
      <c r="EJ505" s="27" t="s">
        <v>7</v>
      </c>
      <c r="EK505" s="27" t="s">
        <v>8</v>
      </c>
      <c r="EL505" s="27" t="s">
        <v>7</v>
      </c>
      <c r="EM505" s="27" t="s">
        <v>8</v>
      </c>
      <c r="EN505" s="27" t="s">
        <v>7</v>
      </c>
      <c r="EO505" s="27" t="s">
        <v>8</v>
      </c>
      <c r="EP505" s="27" t="s">
        <v>7</v>
      </c>
    </row>
    <row r="506" spans="1:200" x14ac:dyDescent="0.25">
      <c r="A506" s="7">
        <v>4.9729479392183231</v>
      </c>
      <c r="B506"/>
      <c r="C506"/>
      <c r="D506"/>
      <c r="E506"/>
      <c r="Q506" s="27" t="s">
        <v>8</v>
      </c>
      <c r="DW506" s="27" t="s">
        <v>8</v>
      </c>
      <c r="DX506" s="27" t="s">
        <v>7</v>
      </c>
      <c r="EA506" s="27" t="s">
        <v>8</v>
      </c>
      <c r="EB506" s="27" t="s">
        <v>7</v>
      </c>
      <c r="EC506" s="27" t="s">
        <v>8</v>
      </c>
      <c r="ED506" s="27" t="s">
        <v>7</v>
      </c>
      <c r="EI506" s="27" t="s">
        <v>8</v>
      </c>
      <c r="EJ506" s="27" t="s">
        <v>7</v>
      </c>
      <c r="EK506" s="27" t="s">
        <v>8</v>
      </c>
      <c r="EL506" s="27" t="s">
        <v>7</v>
      </c>
      <c r="EM506" s="27" t="s">
        <v>8</v>
      </c>
      <c r="EN506" s="27" t="s">
        <v>7</v>
      </c>
      <c r="EO506" s="27" t="s">
        <v>8</v>
      </c>
      <c r="EP506" s="27" t="s">
        <v>7</v>
      </c>
      <c r="EQ506" s="27" t="s">
        <v>8</v>
      </c>
    </row>
    <row r="507" spans="1:200" x14ac:dyDescent="0.25">
      <c r="A507" s="7">
        <v>4.8754391560963954</v>
      </c>
      <c r="B507"/>
      <c r="C507"/>
      <c r="D507"/>
      <c r="E507"/>
      <c r="Q507" s="27" t="s">
        <v>8</v>
      </c>
      <c r="R507" s="27" t="s">
        <v>7</v>
      </c>
      <c r="DW507" s="27" t="s">
        <v>8</v>
      </c>
      <c r="DX507" s="27" t="s">
        <v>7</v>
      </c>
      <c r="DY507" s="27" t="s">
        <v>8</v>
      </c>
      <c r="EA507" s="27" t="s">
        <v>8</v>
      </c>
      <c r="EB507" s="27" t="s">
        <v>7</v>
      </c>
      <c r="EC507" s="27" t="s">
        <v>8</v>
      </c>
      <c r="ED507" s="27" t="s">
        <v>7</v>
      </c>
      <c r="EI507" s="27" t="s">
        <v>8</v>
      </c>
      <c r="EJ507" s="27" t="s">
        <v>7</v>
      </c>
      <c r="EK507" s="27" t="s">
        <v>8</v>
      </c>
      <c r="EL507" s="27" t="s">
        <v>7</v>
      </c>
      <c r="EM507" s="27" t="s">
        <v>8</v>
      </c>
      <c r="EN507" s="27" t="s">
        <v>7</v>
      </c>
      <c r="EO507" s="27" t="s">
        <v>8</v>
      </c>
      <c r="EP507" s="27" t="s">
        <v>7</v>
      </c>
      <c r="EQ507" s="27" t="s">
        <v>8</v>
      </c>
      <c r="ER507" s="27" t="s">
        <v>7</v>
      </c>
    </row>
    <row r="508" spans="1:200" x14ac:dyDescent="0.25">
      <c r="A508" s="7">
        <v>4.7798423098984264</v>
      </c>
      <c r="B508"/>
      <c r="C508"/>
      <c r="D508"/>
      <c r="E508"/>
      <c r="Q508" s="27" t="s">
        <v>8</v>
      </c>
      <c r="R508" s="27" t="s">
        <v>7</v>
      </c>
      <c r="DW508" s="27" t="s">
        <v>8</v>
      </c>
      <c r="DX508" s="27" t="s">
        <v>7</v>
      </c>
      <c r="DY508" s="27" t="s">
        <v>8</v>
      </c>
      <c r="DZ508" s="27" t="s">
        <v>7</v>
      </c>
      <c r="EA508" s="27" t="s">
        <v>8</v>
      </c>
      <c r="EB508" s="27" t="s">
        <v>7</v>
      </c>
      <c r="EC508" s="27" t="s">
        <v>8</v>
      </c>
      <c r="ED508" s="27" t="s">
        <v>7</v>
      </c>
      <c r="EI508" s="27" t="s">
        <v>8</v>
      </c>
      <c r="EJ508" s="27" t="s">
        <v>7</v>
      </c>
      <c r="EK508" s="27" t="s">
        <v>8</v>
      </c>
      <c r="EL508" s="27" t="s">
        <v>7</v>
      </c>
      <c r="EM508" s="27" t="s">
        <v>8</v>
      </c>
      <c r="EN508" s="27" t="s">
        <v>7</v>
      </c>
      <c r="EO508" s="27" t="s">
        <v>8</v>
      </c>
      <c r="EP508" s="27" t="s">
        <v>7</v>
      </c>
      <c r="EQ508" s="27" t="s">
        <v>8</v>
      </c>
      <c r="ER508" s="27" t="s">
        <v>7</v>
      </c>
    </row>
    <row r="509" spans="1:200" x14ac:dyDescent="0.25">
      <c r="A509" s="7">
        <v>4.6861199116651235</v>
      </c>
      <c r="B509"/>
      <c r="C509"/>
      <c r="D509"/>
      <c r="E509"/>
      <c r="Q509" s="27" t="s">
        <v>8</v>
      </c>
      <c r="R509" s="27" t="s">
        <v>7</v>
      </c>
      <c r="DW509" s="27" t="s">
        <v>8</v>
      </c>
      <c r="DX509" s="27" t="s">
        <v>7</v>
      </c>
      <c r="DY509" s="27" t="s">
        <v>8</v>
      </c>
      <c r="DZ509" s="27" t="s">
        <v>7</v>
      </c>
      <c r="EA509" s="27" t="s">
        <v>8</v>
      </c>
      <c r="EB509" s="27" t="s">
        <v>7</v>
      </c>
      <c r="EC509" s="27" t="s">
        <v>8</v>
      </c>
      <c r="ED509" s="27" t="s">
        <v>7</v>
      </c>
      <c r="EI509" s="27" t="s">
        <v>8</v>
      </c>
      <c r="EJ509" s="27" t="s">
        <v>7</v>
      </c>
      <c r="EL509" s="27" t="s">
        <v>7</v>
      </c>
      <c r="EM509" s="27" t="s">
        <v>8</v>
      </c>
      <c r="EN509" s="27" t="s">
        <v>7</v>
      </c>
      <c r="EO509" s="27" t="s">
        <v>8</v>
      </c>
      <c r="EP509" s="27" t="s">
        <v>7</v>
      </c>
      <c r="EQ509" s="27" t="s">
        <v>8</v>
      </c>
      <c r="ER509" s="27" t="s">
        <v>7</v>
      </c>
    </row>
    <row r="510" spans="1:200" x14ac:dyDescent="0.25">
      <c r="A510" s="7">
        <v>4.5942352075148269</v>
      </c>
      <c r="B510"/>
      <c r="C510"/>
      <c r="D510"/>
      <c r="E510"/>
      <c r="Q510" s="27" t="s">
        <v>8</v>
      </c>
      <c r="R510" s="27" t="s">
        <v>7</v>
      </c>
      <c r="DW510" s="27" t="s">
        <v>8</v>
      </c>
      <c r="DX510" s="27" t="s">
        <v>7</v>
      </c>
      <c r="DY510" s="27" t="s">
        <v>8</v>
      </c>
      <c r="DZ510" s="27" t="s">
        <v>7</v>
      </c>
      <c r="EA510" s="27" t="s">
        <v>8</v>
      </c>
      <c r="EB510" s="27" t="s">
        <v>7</v>
      </c>
      <c r="EC510" s="27" t="s">
        <v>8</v>
      </c>
      <c r="ED510" s="27" t="s">
        <v>7</v>
      </c>
      <c r="EI510" s="27" t="s">
        <v>8</v>
      </c>
      <c r="EL510" s="27" t="s">
        <v>7</v>
      </c>
      <c r="EN510" s="27" t="s">
        <v>7</v>
      </c>
      <c r="EP510" s="27" t="s">
        <v>7</v>
      </c>
      <c r="EQ510" s="27" t="s">
        <v>8</v>
      </c>
      <c r="ER510" s="27" t="s">
        <v>7</v>
      </c>
    </row>
    <row r="511" spans="1:200" x14ac:dyDescent="0.25">
      <c r="A511" s="7">
        <v>4.5041521642302227</v>
      </c>
      <c r="B511"/>
      <c r="C511"/>
      <c r="D511"/>
      <c r="E511"/>
      <c r="Q511" s="27" t="s">
        <v>8</v>
      </c>
      <c r="R511" s="27" t="s">
        <v>7</v>
      </c>
      <c r="DW511" s="27" t="s">
        <v>8</v>
      </c>
      <c r="DX511" s="27" t="s">
        <v>7</v>
      </c>
      <c r="DY511" s="27" t="s">
        <v>8</v>
      </c>
      <c r="DZ511" s="27" t="s">
        <v>7</v>
      </c>
      <c r="EB511" s="27" t="s">
        <v>7</v>
      </c>
      <c r="EC511" s="27" t="s">
        <v>8</v>
      </c>
      <c r="ED511" s="27" t="s">
        <v>7</v>
      </c>
      <c r="EI511" s="27" t="s">
        <v>8</v>
      </c>
      <c r="EP511" s="27" t="s">
        <v>7</v>
      </c>
      <c r="EQ511" s="27" t="s">
        <v>8</v>
      </c>
      <c r="ER511" s="27" t="s">
        <v>7</v>
      </c>
      <c r="GQ511" s="27" t="s">
        <v>8</v>
      </c>
    </row>
    <row r="512" spans="1:200" x14ac:dyDescent="0.25">
      <c r="A512" s="7">
        <v>4.4158354551276693</v>
      </c>
      <c r="B512"/>
      <c r="C512"/>
      <c r="D512"/>
      <c r="E512"/>
      <c r="Q512" s="27" t="s">
        <v>8</v>
      </c>
      <c r="R512" s="27" t="s">
        <v>7</v>
      </c>
      <c r="DW512" s="27" t="s">
        <v>8</v>
      </c>
      <c r="DX512" s="27" t="s">
        <v>7</v>
      </c>
      <c r="DY512" s="27" t="s">
        <v>8</v>
      </c>
      <c r="EB512" s="27" t="s">
        <v>7</v>
      </c>
      <c r="EC512" s="27" t="s">
        <v>8</v>
      </c>
      <c r="ED512" s="27" t="s">
        <v>7</v>
      </c>
      <c r="EI512" s="27" t="s">
        <v>8</v>
      </c>
      <c r="EP512" s="27" t="s">
        <v>7</v>
      </c>
      <c r="EQ512" s="27" t="s">
        <v>8</v>
      </c>
      <c r="ER512" s="27" t="s">
        <v>7</v>
      </c>
      <c r="GQ512" s="27" t="s">
        <v>8</v>
      </c>
      <c r="GR512" s="27" t="s">
        <v>7</v>
      </c>
    </row>
    <row r="513" spans="1:206" x14ac:dyDescent="0.25">
      <c r="A513" s="7">
        <v>4.3292504462035977</v>
      </c>
      <c r="B513"/>
      <c r="C513"/>
      <c r="D513"/>
      <c r="E513"/>
      <c r="Q513" s="27" t="s">
        <v>8</v>
      </c>
      <c r="R513" s="27" t="s">
        <v>7</v>
      </c>
      <c r="DW513" s="27" t="s">
        <v>8</v>
      </c>
      <c r="DX513" s="27" t="s">
        <v>7</v>
      </c>
      <c r="DY513" s="27" t="s">
        <v>8</v>
      </c>
      <c r="EB513" s="27" t="s">
        <v>7</v>
      </c>
      <c r="ED513" s="27" t="s">
        <v>7</v>
      </c>
      <c r="EE513" s="27" t="s">
        <v>8</v>
      </c>
      <c r="EI513" s="27" t="s">
        <v>8</v>
      </c>
      <c r="EP513" s="27" t="s">
        <v>7</v>
      </c>
      <c r="EQ513" s="27" t="s">
        <v>8</v>
      </c>
      <c r="ER513" s="27" t="s">
        <v>7</v>
      </c>
      <c r="GQ513" s="27" t="s">
        <v>8</v>
      </c>
      <c r="GR513" s="27" t="s">
        <v>7</v>
      </c>
    </row>
    <row r="514" spans="1:206" x14ac:dyDescent="0.25">
      <c r="A514" s="7">
        <v>4.2443631825525463</v>
      </c>
      <c r="B514"/>
      <c r="C514"/>
      <c r="D514"/>
      <c r="E514"/>
      <c r="Q514" s="27" t="s">
        <v>8</v>
      </c>
      <c r="R514" s="27" t="s">
        <v>7</v>
      </c>
      <c r="DW514" s="27" t="s">
        <v>8</v>
      </c>
      <c r="DX514" s="27" t="s">
        <v>7</v>
      </c>
      <c r="DY514" s="27" t="s">
        <v>8</v>
      </c>
      <c r="ED514" s="27" t="s">
        <v>7</v>
      </c>
      <c r="EE514" s="27" t="s">
        <v>8</v>
      </c>
      <c r="EF514" s="27" t="s">
        <v>7</v>
      </c>
      <c r="EI514" s="27" t="s">
        <v>8</v>
      </c>
      <c r="EP514" s="27" t="s">
        <v>7</v>
      </c>
      <c r="EQ514" s="27" t="s">
        <v>8</v>
      </c>
      <c r="ER514" s="27" t="s">
        <v>7</v>
      </c>
      <c r="GQ514" s="27" t="s">
        <v>8</v>
      </c>
      <c r="GR514" s="27" t="s">
        <v>7</v>
      </c>
    </row>
    <row r="515" spans="1:206" x14ac:dyDescent="0.25">
      <c r="A515" s="7">
        <v>4.1611403750515157</v>
      </c>
      <c r="B515"/>
      <c r="C515"/>
      <c r="D515"/>
      <c r="E515"/>
      <c r="Q515" s="27" t="s">
        <v>8</v>
      </c>
      <c r="R515" s="27" t="s">
        <v>7</v>
      </c>
      <c r="DW515" s="27" t="s">
        <v>8</v>
      </c>
      <c r="DX515" s="27" t="s">
        <v>7</v>
      </c>
      <c r="DY515" s="27" t="s">
        <v>8</v>
      </c>
      <c r="ED515" s="27" t="s">
        <v>7</v>
      </c>
      <c r="EE515" s="27" t="s">
        <v>8</v>
      </c>
      <c r="EF515" s="27" t="s">
        <v>7</v>
      </c>
      <c r="EG515" s="27" t="s">
        <v>8</v>
      </c>
      <c r="EI515" s="27" t="s">
        <v>8</v>
      </c>
      <c r="EP515" s="27" t="s">
        <v>7</v>
      </c>
      <c r="EQ515" s="27" t="s">
        <v>8</v>
      </c>
      <c r="ER515" s="27" t="s">
        <v>7</v>
      </c>
      <c r="ES515" s="27" t="s">
        <v>8</v>
      </c>
      <c r="GQ515" s="27" t="s">
        <v>8</v>
      </c>
      <c r="GR515" s="27" t="s">
        <v>7</v>
      </c>
    </row>
    <row r="516" spans="1:206" x14ac:dyDescent="0.25">
      <c r="A516" s="7">
        <v>4.0795493873054074</v>
      </c>
      <c r="B516"/>
      <c r="C516"/>
      <c r="D516"/>
      <c r="E516"/>
      <c r="Q516" s="27" t="s">
        <v>8</v>
      </c>
      <c r="R516" s="27" t="s">
        <v>7</v>
      </c>
      <c r="DQ516" s="27" t="s">
        <v>8</v>
      </c>
      <c r="DW516" s="27" t="s">
        <v>8</v>
      </c>
      <c r="DX516" s="27" t="s">
        <v>7</v>
      </c>
      <c r="DY516" s="27" t="s">
        <v>8</v>
      </c>
      <c r="ED516" s="27" t="s">
        <v>7</v>
      </c>
      <c r="EE516" s="27" t="s">
        <v>8</v>
      </c>
      <c r="EF516" s="27" t="s">
        <v>7</v>
      </c>
      <c r="EG516" s="27" t="s">
        <v>8</v>
      </c>
      <c r="EH516" s="27" t="s">
        <v>7</v>
      </c>
      <c r="EI516" s="27" t="s">
        <v>8</v>
      </c>
      <c r="EP516" s="27" t="s">
        <v>7</v>
      </c>
      <c r="ER516" s="27" t="s">
        <v>7</v>
      </c>
      <c r="ES516" s="27" t="s">
        <v>8</v>
      </c>
      <c r="ET516" s="27" t="s">
        <v>7</v>
      </c>
      <c r="EU516" s="27" t="s">
        <v>8</v>
      </c>
      <c r="GQ516" s="27" t="s">
        <v>8</v>
      </c>
      <c r="GR516" s="27" t="s">
        <v>7</v>
      </c>
      <c r="GW516" s="27" t="s">
        <v>8</v>
      </c>
    </row>
    <row r="517" spans="1:206" x14ac:dyDescent="0.25">
      <c r="A517" s="7">
        <v>3.9995582228484383</v>
      </c>
      <c r="B517"/>
      <c r="C517"/>
      <c r="D517"/>
      <c r="E517"/>
      <c r="Q517" s="27" t="s">
        <v>8</v>
      </c>
      <c r="R517" s="27" t="s">
        <v>7</v>
      </c>
      <c r="DQ517" s="27" t="s">
        <v>8</v>
      </c>
      <c r="DR517" s="27" t="s">
        <v>7</v>
      </c>
      <c r="DW517" s="27" t="s">
        <v>8</v>
      </c>
      <c r="DX517" s="27" t="s">
        <v>7</v>
      </c>
      <c r="DY517" s="27" t="s">
        <v>8</v>
      </c>
      <c r="ED517" s="27" t="s">
        <v>7</v>
      </c>
      <c r="EE517" s="27" t="s">
        <v>8</v>
      </c>
      <c r="EF517" s="27" t="s">
        <v>7</v>
      </c>
      <c r="EG517" s="27" t="s">
        <v>8</v>
      </c>
      <c r="EH517" s="27" t="s">
        <v>7</v>
      </c>
      <c r="EI517" s="27" t="s">
        <v>8</v>
      </c>
      <c r="ER517" s="27" t="s">
        <v>7</v>
      </c>
      <c r="ES517" s="27" t="s">
        <v>8</v>
      </c>
      <c r="ET517" s="27" t="s">
        <v>7</v>
      </c>
      <c r="EU517" s="27" t="s">
        <v>8</v>
      </c>
      <c r="EV517" s="27" t="s">
        <v>7</v>
      </c>
      <c r="GQ517" s="27" t="s">
        <v>8</v>
      </c>
      <c r="GR517" s="27" t="s">
        <v>7</v>
      </c>
      <c r="GS517" s="27" t="s">
        <v>8</v>
      </c>
      <c r="GW517" s="27" t="s">
        <v>8</v>
      </c>
      <c r="GX517" s="27" t="s">
        <v>7</v>
      </c>
    </row>
    <row r="518" spans="1:206" x14ac:dyDescent="0.25">
      <c r="A518" s="7">
        <v>3.9211355125965079</v>
      </c>
      <c r="B518"/>
      <c r="C518"/>
      <c r="D518"/>
      <c r="E518"/>
      <c r="Q518" s="27" t="s">
        <v>8</v>
      </c>
      <c r="R518" s="27" t="s">
        <v>7</v>
      </c>
      <c r="DQ518" s="27" t="s">
        <v>8</v>
      </c>
      <c r="DR518" s="27" t="s">
        <v>7</v>
      </c>
      <c r="DW518" s="27" t="s">
        <v>8</v>
      </c>
      <c r="DX518" s="27" t="s">
        <v>7</v>
      </c>
      <c r="DY518" s="27" t="s">
        <v>8</v>
      </c>
      <c r="ED518" s="27" t="s">
        <v>7</v>
      </c>
      <c r="EE518" s="27" t="s">
        <v>8</v>
      </c>
      <c r="EF518" s="27" t="s">
        <v>7</v>
      </c>
      <c r="EG518" s="27" t="s">
        <v>8</v>
      </c>
      <c r="EH518" s="27" t="s">
        <v>7</v>
      </c>
      <c r="EI518" s="27" t="s">
        <v>8</v>
      </c>
      <c r="ER518" s="27" t="s">
        <v>7</v>
      </c>
      <c r="ES518" s="27" t="s">
        <v>8</v>
      </c>
      <c r="ET518" s="27" t="s">
        <v>7</v>
      </c>
      <c r="EU518" s="27" t="s">
        <v>8</v>
      </c>
      <c r="EV518" s="27" t="s">
        <v>7</v>
      </c>
      <c r="GQ518" s="27" t="s">
        <v>8</v>
      </c>
      <c r="GR518" s="27" t="s">
        <v>7</v>
      </c>
      <c r="GS518" s="27" t="s">
        <v>8</v>
      </c>
      <c r="GT518" s="27" t="s">
        <v>7</v>
      </c>
      <c r="GW518" s="27" t="s">
        <v>8</v>
      </c>
      <c r="GX518" s="27" t="s">
        <v>7</v>
      </c>
    </row>
    <row r="519" spans="1:206" x14ac:dyDescent="0.25">
      <c r="A519" s="7">
        <v>3.844250502545596</v>
      </c>
      <c r="B519"/>
      <c r="C519"/>
      <c r="D519"/>
      <c r="E519"/>
      <c r="Q519" s="27" t="s">
        <v>8</v>
      </c>
      <c r="R519" s="27" t="s">
        <v>7</v>
      </c>
      <c r="DQ519" s="27" t="s">
        <v>8</v>
      </c>
      <c r="DR519" s="27" t="s">
        <v>7</v>
      </c>
      <c r="DW519" s="27" t="s">
        <v>8</v>
      </c>
      <c r="DX519" s="27" t="s">
        <v>7</v>
      </c>
      <c r="ED519" s="27" t="s">
        <v>7</v>
      </c>
      <c r="EE519" s="27" t="s">
        <v>8</v>
      </c>
      <c r="EF519" s="27" t="s">
        <v>7</v>
      </c>
      <c r="EG519" s="27" t="s">
        <v>8</v>
      </c>
      <c r="EH519" s="27" t="s">
        <v>7</v>
      </c>
      <c r="EI519" s="27" t="s">
        <v>8</v>
      </c>
      <c r="ER519" s="27" t="s">
        <v>7</v>
      </c>
      <c r="ES519" s="27" t="s">
        <v>8</v>
      </c>
      <c r="ET519" s="27" t="s">
        <v>7</v>
      </c>
      <c r="EU519" s="27" t="s">
        <v>8</v>
      </c>
      <c r="EV519" s="27" t="s">
        <v>7</v>
      </c>
      <c r="GQ519" s="27" t="s">
        <v>8</v>
      </c>
      <c r="GR519" s="27" t="s">
        <v>7</v>
      </c>
      <c r="GS519" s="27" t="s">
        <v>8</v>
      </c>
      <c r="GT519" s="27" t="s">
        <v>7</v>
      </c>
      <c r="GW519" s="27" t="s">
        <v>8</v>
      </c>
      <c r="GX519" s="27" t="s">
        <v>7</v>
      </c>
    </row>
    <row r="520" spans="1:206" x14ac:dyDescent="0.25">
      <c r="A520" s="7">
        <v>3.7688730417113687</v>
      </c>
      <c r="B520"/>
      <c r="C520"/>
      <c r="D520"/>
      <c r="E520"/>
      <c r="Q520" s="27" t="s">
        <v>8</v>
      </c>
      <c r="R520" s="27" t="s">
        <v>7</v>
      </c>
      <c r="DE520" s="27" t="s">
        <v>8</v>
      </c>
      <c r="DO520" s="27" t="s">
        <v>8</v>
      </c>
      <c r="DQ520" s="27" t="s">
        <v>8</v>
      </c>
      <c r="DR520" s="27" t="s">
        <v>7</v>
      </c>
      <c r="DW520" s="27" t="s">
        <v>8</v>
      </c>
      <c r="ED520" s="27" t="s">
        <v>7</v>
      </c>
      <c r="EE520" s="27" t="s">
        <v>8</v>
      </c>
      <c r="EF520" s="27" t="s">
        <v>7</v>
      </c>
      <c r="EG520" s="27" t="s">
        <v>8</v>
      </c>
      <c r="EH520" s="27" t="s">
        <v>7</v>
      </c>
      <c r="EI520" s="27" t="s">
        <v>8</v>
      </c>
      <c r="ER520" s="27" t="s">
        <v>7</v>
      </c>
      <c r="ES520" s="27" t="s">
        <v>8</v>
      </c>
      <c r="ET520" s="27" t="s">
        <v>7</v>
      </c>
      <c r="EU520" s="27" t="s">
        <v>8</v>
      </c>
      <c r="EV520" s="27" t="s">
        <v>7</v>
      </c>
      <c r="GO520" s="27" t="s">
        <v>8</v>
      </c>
      <c r="GQ520" s="27" t="s">
        <v>8</v>
      </c>
      <c r="GR520" s="27" t="s">
        <v>7</v>
      </c>
      <c r="GS520" s="27" t="s">
        <v>8</v>
      </c>
      <c r="GT520" s="27" t="s">
        <v>7</v>
      </c>
      <c r="GU520" s="27" t="s">
        <v>8</v>
      </c>
      <c r="GW520" s="27" t="s">
        <v>8</v>
      </c>
      <c r="GX520" s="27" t="s">
        <v>7</v>
      </c>
    </row>
    <row r="521" spans="1:206" x14ac:dyDescent="0.25">
      <c r="A521" s="7">
        <v>3.6949735703052635</v>
      </c>
      <c r="B521"/>
      <c r="C521"/>
      <c r="D521"/>
      <c r="E521"/>
      <c r="Q521" s="27" t="s">
        <v>8</v>
      </c>
      <c r="R521" s="27" t="s">
        <v>7</v>
      </c>
      <c r="DE521" s="27" t="s">
        <v>8</v>
      </c>
      <c r="DF521" s="27" t="s">
        <v>7</v>
      </c>
      <c r="DO521" s="27" t="s">
        <v>8</v>
      </c>
      <c r="DP521" s="27" t="s">
        <v>7</v>
      </c>
      <c r="DQ521" s="27" t="s">
        <v>8</v>
      </c>
      <c r="DR521" s="27" t="s">
        <v>7</v>
      </c>
      <c r="DU521" s="27" t="s">
        <v>8</v>
      </c>
      <c r="DW521" s="27" t="s">
        <v>8</v>
      </c>
      <c r="ED521" s="27" t="s">
        <v>7</v>
      </c>
      <c r="EE521" s="27" t="s">
        <v>8</v>
      </c>
      <c r="EF521" s="27" t="s">
        <v>7</v>
      </c>
      <c r="EG521" s="27" t="s">
        <v>8</v>
      </c>
      <c r="EH521" s="27" t="s">
        <v>7</v>
      </c>
      <c r="EI521" s="27" t="s">
        <v>8</v>
      </c>
      <c r="ER521" s="27" t="s">
        <v>7</v>
      </c>
      <c r="ES521" s="27" t="s">
        <v>8</v>
      </c>
      <c r="ET521" s="27" t="s">
        <v>7</v>
      </c>
      <c r="EU521" s="27" t="s">
        <v>8</v>
      </c>
      <c r="EV521" s="27" t="s">
        <v>7</v>
      </c>
      <c r="GO521" s="27" t="s">
        <v>8</v>
      </c>
      <c r="GP521" s="27" t="s">
        <v>7</v>
      </c>
      <c r="GQ521" s="27" t="s">
        <v>8</v>
      </c>
      <c r="GR521" s="27" t="s">
        <v>7</v>
      </c>
      <c r="GS521" s="27" t="s">
        <v>8</v>
      </c>
      <c r="GT521" s="27" t="s">
        <v>7</v>
      </c>
      <c r="GU521" s="27" t="s">
        <v>8</v>
      </c>
      <c r="GV521" s="27" t="s">
        <v>7</v>
      </c>
      <c r="GW521" s="27" t="s">
        <v>8</v>
      </c>
      <c r="GX521" s="27" t="s">
        <v>7</v>
      </c>
    </row>
    <row r="522" spans="1:206" x14ac:dyDescent="0.25">
      <c r="A522" s="7">
        <v>3.6225231081424152</v>
      </c>
      <c r="B522"/>
      <c r="C522"/>
      <c r="D522"/>
      <c r="E522"/>
      <c r="Q522" s="27" t="s">
        <v>8</v>
      </c>
      <c r="R522" s="27" t="s">
        <v>7</v>
      </c>
      <c r="DE522" s="27" t="s">
        <v>8</v>
      </c>
      <c r="DF522" s="27" t="s">
        <v>7</v>
      </c>
      <c r="DO522" s="27" t="s">
        <v>8</v>
      </c>
      <c r="DP522" s="27" t="s">
        <v>7</v>
      </c>
      <c r="DQ522" s="27" t="s">
        <v>8</v>
      </c>
      <c r="DR522" s="27" t="s">
        <v>7</v>
      </c>
      <c r="DU522" s="27" t="s">
        <v>8</v>
      </c>
      <c r="DV522" s="27" t="s">
        <v>7</v>
      </c>
      <c r="DW522" s="27" t="s">
        <v>8</v>
      </c>
      <c r="ED522" s="27" t="s">
        <v>7</v>
      </c>
      <c r="EE522" s="27" t="s">
        <v>8</v>
      </c>
      <c r="EF522" s="27" t="s">
        <v>7</v>
      </c>
      <c r="EG522" s="27" t="s">
        <v>8</v>
      </c>
      <c r="EH522" s="27" t="s">
        <v>7</v>
      </c>
      <c r="EI522" s="27" t="s">
        <v>8</v>
      </c>
      <c r="ER522" s="27" t="s">
        <v>7</v>
      </c>
      <c r="ET522" s="27" t="s">
        <v>7</v>
      </c>
      <c r="EU522" s="27" t="s">
        <v>8</v>
      </c>
      <c r="EV522" s="27" t="s">
        <v>7</v>
      </c>
      <c r="GO522" s="27" t="s">
        <v>8</v>
      </c>
      <c r="GP522" s="27" t="s">
        <v>7</v>
      </c>
      <c r="GQ522" s="27" t="s">
        <v>8</v>
      </c>
      <c r="GR522" s="27" t="s">
        <v>7</v>
      </c>
      <c r="GT522" s="27" t="s">
        <v>7</v>
      </c>
      <c r="GU522" s="27" t="s">
        <v>8</v>
      </c>
      <c r="GV522" s="27" t="s">
        <v>7</v>
      </c>
      <c r="GW522" s="27" t="s">
        <v>8</v>
      </c>
      <c r="GX522" s="27" t="s">
        <v>7</v>
      </c>
    </row>
    <row r="523" spans="1:206" x14ac:dyDescent="0.25">
      <c r="A523" s="7">
        <v>3.5514932432768775</v>
      </c>
      <c r="B523"/>
      <c r="C523"/>
      <c r="D523"/>
      <c r="E523"/>
      <c r="Q523" s="27" t="s">
        <v>8</v>
      </c>
      <c r="R523" s="27" t="s">
        <v>7</v>
      </c>
      <c r="DE523" s="27" t="s">
        <v>8</v>
      </c>
      <c r="DF523" s="27" t="s">
        <v>7</v>
      </c>
      <c r="DO523" s="27" t="s">
        <v>8</v>
      </c>
      <c r="DP523" s="27" t="s">
        <v>7</v>
      </c>
      <c r="DQ523" s="27" t="s">
        <v>8</v>
      </c>
      <c r="DR523" s="27" t="s">
        <v>7</v>
      </c>
      <c r="DU523" s="27" t="s">
        <v>8</v>
      </c>
      <c r="DV523" s="27" t="s">
        <v>7</v>
      </c>
      <c r="DW523" s="27" t="s">
        <v>8</v>
      </c>
      <c r="ED523" s="27" t="s">
        <v>7</v>
      </c>
      <c r="EE523" s="27" t="s">
        <v>8</v>
      </c>
      <c r="EF523" s="27" t="s">
        <v>7</v>
      </c>
      <c r="EG523" s="27" t="s">
        <v>8</v>
      </c>
      <c r="EH523" s="27" t="s">
        <v>7</v>
      </c>
      <c r="EI523" s="27" t="s">
        <v>8</v>
      </c>
      <c r="ET523" s="27" t="s">
        <v>7</v>
      </c>
      <c r="EU523" s="27" t="s">
        <v>8</v>
      </c>
      <c r="EV523" s="27" t="s">
        <v>7</v>
      </c>
      <c r="GM523" s="27" t="s">
        <v>8</v>
      </c>
      <c r="GO523" s="27" t="s">
        <v>8</v>
      </c>
      <c r="GP523" s="27" t="s">
        <v>7</v>
      </c>
      <c r="GT523" s="27" t="s">
        <v>7</v>
      </c>
      <c r="GU523" s="27" t="s">
        <v>8</v>
      </c>
      <c r="GV523" s="27" t="s">
        <v>7</v>
      </c>
      <c r="GX523" s="27" t="s">
        <v>7</v>
      </c>
    </row>
    <row r="524" spans="1:206" x14ac:dyDescent="0.25">
      <c r="A524" s="7">
        <v>3.4818561208596837</v>
      </c>
      <c r="B524"/>
      <c r="C524"/>
      <c r="D524"/>
      <c r="E524"/>
      <c r="Q524" s="27" t="s">
        <v>8</v>
      </c>
      <c r="R524" s="27" t="s">
        <v>7</v>
      </c>
      <c r="S524" s="27" t="s">
        <v>8</v>
      </c>
      <c r="DE524" s="27" t="s">
        <v>8</v>
      </c>
      <c r="DF524" s="27" t="s">
        <v>7</v>
      </c>
      <c r="DO524" s="27" t="s">
        <v>8</v>
      </c>
      <c r="DP524" s="27" t="s">
        <v>7</v>
      </c>
      <c r="DQ524" s="27" t="s">
        <v>8</v>
      </c>
      <c r="DR524" s="27" t="s">
        <v>7</v>
      </c>
      <c r="DU524" s="27" t="s">
        <v>8</v>
      </c>
      <c r="DV524" s="27" t="s">
        <v>7</v>
      </c>
      <c r="DW524" s="27" t="s">
        <v>8</v>
      </c>
      <c r="ED524" s="27" t="s">
        <v>7</v>
      </c>
      <c r="EE524" s="27" t="s">
        <v>8</v>
      </c>
      <c r="EF524" s="27" t="s">
        <v>7</v>
      </c>
      <c r="EG524" s="27" t="s">
        <v>8</v>
      </c>
      <c r="EH524" s="27" t="s">
        <v>7</v>
      </c>
      <c r="EI524" s="27" t="s">
        <v>8</v>
      </c>
      <c r="ET524" s="27" t="s">
        <v>7</v>
      </c>
      <c r="EU524" s="27" t="s">
        <v>8</v>
      </c>
      <c r="EV524" s="27" t="s">
        <v>7</v>
      </c>
      <c r="GM524" s="27" t="s">
        <v>8</v>
      </c>
      <c r="GN524" s="27" t="s">
        <v>7</v>
      </c>
      <c r="GO524" s="27" t="s">
        <v>8</v>
      </c>
      <c r="GT524" s="27" t="s">
        <v>7</v>
      </c>
      <c r="GX524" s="27" t="s">
        <v>7</v>
      </c>
    </row>
    <row r="525" spans="1:206" x14ac:dyDescent="0.25">
      <c r="A525" s="7">
        <v>3.4135844322153761</v>
      </c>
      <c r="B525"/>
      <c r="C525"/>
      <c r="D525"/>
      <c r="E525"/>
      <c r="Q525" s="27" t="s">
        <v>8</v>
      </c>
      <c r="R525" s="27" t="s">
        <v>7</v>
      </c>
      <c r="S525" s="27" t="s">
        <v>8</v>
      </c>
      <c r="T525" s="27" t="s">
        <v>7</v>
      </c>
      <c r="DE525" s="27" t="s">
        <v>8</v>
      </c>
      <c r="DF525" s="27" t="s">
        <v>7</v>
      </c>
      <c r="DO525" s="27" t="s">
        <v>8</v>
      </c>
      <c r="DP525" s="27" t="s">
        <v>7</v>
      </c>
      <c r="DQ525" s="27" t="s">
        <v>8</v>
      </c>
      <c r="DR525" s="27" t="s">
        <v>7</v>
      </c>
      <c r="DU525" s="27" t="s">
        <v>8</v>
      </c>
      <c r="DV525" s="27" t="s">
        <v>7</v>
      </c>
      <c r="DW525" s="27" t="s">
        <v>8</v>
      </c>
      <c r="ED525" s="27" t="s">
        <v>7</v>
      </c>
      <c r="EE525" s="27" t="s">
        <v>8</v>
      </c>
      <c r="EF525" s="27" t="s">
        <v>7</v>
      </c>
      <c r="EG525" s="27" t="s">
        <v>8</v>
      </c>
      <c r="EH525" s="27" t="s">
        <v>7</v>
      </c>
      <c r="EI525" s="27" t="s">
        <v>8</v>
      </c>
      <c r="ET525" s="27" t="s">
        <v>7</v>
      </c>
      <c r="EU525" s="27" t="s">
        <v>8</v>
      </c>
      <c r="EV525" s="27" t="s">
        <v>7</v>
      </c>
      <c r="GK525" s="27" t="s">
        <v>8</v>
      </c>
      <c r="GM525" s="27" t="s">
        <v>8</v>
      </c>
      <c r="GN525" s="27" t="s">
        <v>7</v>
      </c>
      <c r="GO525" s="27" t="s">
        <v>8</v>
      </c>
      <c r="GX525" s="27" t="s">
        <v>7</v>
      </c>
    </row>
    <row r="526" spans="1:206" x14ac:dyDescent="0.25">
      <c r="A526" s="7">
        <v>3.3466514041327216</v>
      </c>
      <c r="B526"/>
      <c r="C526"/>
      <c r="D526"/>
      <c r="E526"/>
      <c r="Q526" s="27" t="s">
        <v>8</v>
      </c>
      <c r="R526" s="27" t="s">
        <v>7</v>
      </c>
      <c r="S526" s="27" t="s">
        <v>8</v>
      </c>
      <c r="T526" s="27" t="s">
        <v>7</v>
      </c>
      <c r="DE526" s="27" t="s">
        <v>8</v>
      </c>
      <c r="DF526" s="27" t="s">
        <v>7</v>
      </c>
      <c r="DG526" s="27" t="s">
        <v>8</v>
      </c>
      <c r="DO526" s="27" t="s">
        <v>8</v>
      </c>
      <c r="DP526" s="27" t="s">
        <v>7</v>
      </c>
      <c r="DQ526" s="27" t="s">
        <v>8</v>
      </c>
      <c r="DR526" s="27" t="s">
        <v>7</v>
      </c>
      <c r="DU526" s="27" t="s">
        <v>8</v>
      </c>
      <c r="DV526" s="27" t="s">
        <v>7</v>
      </c>
      <c r="DW526" s="27" t="s">
        <v>8</v>
      </c>
      <c r="ED526" s="27" t="s">
        <v>7</v>
      </c>
      <c r="EE526" s="27" t="s">
        <v>8</v>
      </c>
      <c r="EF526" s="27" t="s">
        <v>7</v>
      </c>
      <c r="EG526" s="27" t="s">
        <v>8</v>
      </c>
      <c r="EH526" s="27" t="s">
        <v>7</v>
      </c>
      <c r="EI526" s="27" t="s">
        <v>8</v>
      </c>
      <c r="ET526" s="27" t="s">
        <v>7</v>
      </c>
      <c r="EU526" s="27" t="s">
        <v>8</v>
      </c>
      <c r="EV526" s="27" t="s">
        <v>7</v>
      </c>
      <c r="GK526" s="27" t="s">
        <v>8</v>
      </c>
      <c r="GL526" s="27" t="s">
        <v>7</v>
      </c>
      <c r="GM526" s="27" t="s">
        <v>8</v>
      </c>
      <c r="GN526" s="27" t="s">
        <v>7</v>
      </c>
      <c r="GO526" s="27" t="s">
        <v>8</v>
      </c>
      <c r="GX526" s="27" t="s">
        <v>7</v>
      </c>
    </row>
    <row r="527" spans="1:206" x14ac:dyDescent="0.25">
      <c r="A527" s="7">
        <v>3.2810307883654133</v>
      </c>
      <c r="B527"/>
      <c r="C527"/>
      <c r="D527"/>
      <c r="E527"/>
      <c r="Q527" s="27" t="s">
        <v>8</v>
      </c>
      <c r="R527" s="27" t="s">
        <v>7</v>
      </c>
      <c r="S527" s="27" t="s">
        <v>8</v>
      </c>
      <c r="T527" s="27" t="s">
        <v>7</v>
      </c>
      <c r="DE527" s="27" t="s">
        <v>8</v>
      </c>
      <c r="DF527" s="27" t="s">
        <v>7</v>
      </c>
      <c r="DG527" s="27" t="s">
        <v>8</v>
      </c>
      <c r="DH527" s="27" t="s">
        <v>7</v>
      </c>
      <c r="DO527" s="27" t="s">
        <v>8</v>
      </c>
      <c r="DP527" s="27" t="s">
        <v>7</v>
      </c>
      <c r="DQ527" s="27" t="s">
        <v>8</v>
      </c>
      <c r="DR527" s="27" t="s">
        <v>7</v>
      </c>
      <c r="DS527" s="27" t="s">
        <v>8</v>
      </c>
      <c r="DU527" s="27" t="s">
        <v>8</v>
      </c>
      <c r="DV527" s="27" t="s">
        <v>7</v>
      </c>
      <c r="ED527" s="27" t="s">
        <v>7</v>
      </c>
      <c r="EE527" s="27" t="s">
        <v>8</v>
      </c>
      <c r="EF527" s="27" t="s">
        <v>7</v>
      </c>
      <c r="EG527" s="27" t="s">
        <v>8</v>
      </c>
      <c r="EH527" s="27" t="s">
        <v>7</v>
      </c>
      <c r="EI527" s="27" t="s">
        <v>8</v>
      </c>
      <c r="ET527" s="27" t="s">
        <v>7</v>
      </c>
      <c r="EV527" s="27" t="s">
        <v>7</v>
      </c>
      <c r="GK527" s="27" t="s">
        <v>8</v>
      </c>
      <c r="GL527" s="27" t="s">
        <v>7</v>
      </c>
      <c r="GM527" s="27" t="s">
        <v>8</v>
      </c>
      <c r="GN527" s="27" t="s">
        <v>7</v>
      </c>
      <c r="GO527" s="27" t="s">
        <v>8</v>
      </c>
      <c r="GX527" s="27" t="s">
        <v>7</v>
      </c>
    </row>
    <row r="528" spans="1:206" x14ac:dyDescent="0.25">
      <c r="A528" s="7">
        <v>3.2166968513386403</v>
      </c>
      <c r="B528"/>
      <c r="C528"/>
      <c r="D528"/>
      <c r="E528"/>
      <c r="Q528" s="27" t="s">
        <v>8</v>
      </c>
      <c r="R528" s="27" t="s">
        <v>7</v>
      </c>
      <c r="S528" s="27" t="s">
        <v>8</v>
      </c>
      <c r="T528" s="27" t="s">
        <v>7</v>
      </c>
      <c r="Y528" s="27" t="s">
        <v>8</v>
      </c>
      <c r="DE528" s="27" t="s">
        <v>8</v>
      </c>
      <c r="DF528" s="27" t="s">
        <v>7</v>
      </c>
      <c r="DG528" s="27" t="s">
        <v>8</v>
      </c>
      <c r="DH528" s="27" t="s">
        <v>7</v>
      </c>
      <c r="DO528" s="27" t="s">
        <v>8</v>
      </c>
      <c r="DP528" s="27" t="s">
        <v>7</v>
      </c>
      <c r="DQ528" s="27" t="s">
        <v>8</v>
      </c>
      <c r="DR528" s="27" t="s">
        <v>7</v>
      </c>
      <c r="DS528" s="27" t="s">
        <v>8</v>
      </c>
      <c r="DT528" s="27" t="s">
        <v>7</v>
      </c>
      <c r="DU528" s="27" t="s">
        <v>8</v>
      </c>
      <c r="ED528" s="27" t="s">
        <v>7</v>
      </c>
      <c r="EE528" s="27" t="s">
        <v>8</v>
      </c>
      <c r="EF528" s="27" t="s">
        <v>7</v>
      </c>
      <c r="EH528" s="27" t="s">
        <v>7</v>
      </c>
      <c r="EI528" s="27" t="s">
        <v>8</v>
      </c>
      <c r="EV528" s="27" t="s">
        <v>7</v>
      </c>
      <c r="GK528" s="27" t="s">
        <v>8</v>
      </c>
      <c r="GL528" s="27" t="s">
        <v>7</v>
      </c>
      <c r="GM528" s="27" t="s">
        <v>8</v>
      </c>
      <c r="GN528" s="27" t="s">
        <v>7</v>
      </c>
      <c r="GO528" s="27" t="s">
        <v>8</v>
      </c>
      <c r="GX528" s="27" t="s">
        <v>7</v>
      </c>
    </row>
    <row r="529" spans="1:257" x14ac:dyDescent="0.25">
      <c r="A529" s="7">
        <v>3.1536243640574906</v>
      </c>
      <c r="B529"/>
      <c r="C529"/>
      <c r="D529"/>
      <c r="E529"/>
      <c r="Q529" s="27" t="s">
        <v>8</v>
      </c>
      <c r="R529" s="27" t="s">
        <v>7</v>
      </c>
      <c r="S529" s="27" t="s">
        <v>8</v>
      </c>
      <c r="T529" s="27" t="s">
        <v>7</v>
      </c>
      <c r="Y529" s="27" t="s">
        <v>8</v>
      </c>
      <c r="Z529" s="27" t="s">
        <v>7</v>
      </c>
      <c r="DE529" s="27" t="s">
        <v>8</v>
      </c>
      <c r="DF529" s="27" t="s">
        <v>7</v>
      </c>
      <c r="DG529" s="27" t="s">
        <v>8</v>
      </c>
      <c r="DH529" s="27" t="s">
        <v>7</v>
      </c>
      <c r="DO529" s="27" t="s">
        <v>8</v>
      </c>
      <c r="DP529" s="27" t="s">
        <v>7</v>
      </c>
      <c r="DQ529" s="27" t="s">
        <v>8</v>
      </c>
      <c r="DR529" s="27" t="s">
        <v>7</v>
      </c>
      <c r="DS529" s="27" t="s">
        <v>8</v>
      </c>
      <c r="DT529" s="27" t="s">
        <v>7</v>
      </c>
      <c r="DU529" s="27" t="s">
        <v>8</v>
      </c>
      <c r="ED529" s="27" t="s">
        <v>7</v>
      </c>
      <c r="EE529" s="27" t="s">
        <v>8</v>
      </c>
      <c r="EH529" s="27" t="s">
        <v>7</v>
      </c>
      <c r="EI529" s="27" t="s">
        <v>8</v>
      </c>
      <c r="EV529" s="27" t="s">
        <v>7</v>
      </c>
      <c r="GK529" s="27" t="s">
        <v>8</v>
      </c>
      <c r="GL529" s="27" t="s">
        <v>7</v>
      </c>
      <c r="GM529" s="27" t="s">
        <v>8</v>
      </c>
      <c r="GN529" s="27" t="s">
        <v>7</v>
      </c>
      <c r="GO529" s="27" t="s">
        <v>8</v>
      </c>
      <c r="GX529" s="27" t="s">
        <v>7</v>
      </c>
    </row>
    <row r="530" spans="1:257" x14ac:dyDescent="0.25">
      <c r="A530" s="7">
        <v>3.0917885922132262</v>
      </c>
      <c r="B530"/>
      <c r="C530"/>
      <c r="D530"/>
      <c r="E530"/>
      <c r="Q530" s="27" t="s">
        <v>8</v>
      </c>
      <c r="R530" s="27" t="s">
        <v>7</v>
      </c>
      <c r="S530" s="27" t="s">
        <v>8</v>
      </c>
      <c r="T530" s="27" t="s">
        <v>7</v>
      </c>
      <c r="U530" s="27" t="s">
        <v>8</v>
      </c>
      <c r="Y530" s="27" t="s">
        <v>8</v>
      </c>
      <c r="Z530" s="27" t="s">
        <v>7</v>
      </c>
      <c r="DE530" s="27" t="s">
        <v>8</v>
      </c>
      <c r="DF530" s="27" t="s">
        <v>7</v>
      </c>
      <c r="DG530" s="27" t="s">
        <v>8</v>
      </c>
      <c r="DH530" s="27" t="s">
        <v>7</v>
      </c>
      <c r="DO530" s="27" t="s">
        <v>8</v>
      </c>
      <c r="DP530" s="27" t="s">
        <v>7</v>
      </c>
      <c r="DQ530" s="27" t="s">
        <v>8</v>
      </c>
      <c r="DR530" s="27" t="s">
        <v>7</v>
      </c>
      <c r="DS530" s="27" t="s">
        <v>8</v>
      </c>
      <c r="DT530" s="27" t="s">
        <v>7</v>
      </c>
      <c r="ED530" s="27" t="s">
        <v>7</v>
      </c>
      <c r="EE530" s="27" t="s">
        <v>8</v>
      </c>
      <c r="EH530" s="27" t="s">
        <v>7</v>
      </c>
      <c r="EI530" s="27" t="s">
        <v>8</v>
      </c>
      <c r="EV530" s="27" t="s">
        <v>7</v>
      </c>
      <c r="GK530" s="27" t="s">
        <v>8</v>
      </c>
      <c r="GL530" s="27" t="s">
        <v>7</v>
      </c>
      <c r="GM530" s="27" t="s">
        <v>8</v>
      </c>
      <c r="GN530" s="27" t="s">
        <v>7</v>
      </c>
      <c r="GO530" s="27" t="s">
        <v>8</v>
      </c>
      <c r="GX530" s="27" t="s">
        <v>7</v>
      </c>
    </row>
    <row r="531" spans="1:257" x14ac:dyDescent="0.25">
      <c r="A531" s="7">
        <v>3.0311652864835552</v>
      </c>
      <c r="B531"/>
      <c r="C531"/>
      <c r="D531"/>
      <c r="E531"/>
      <c r="Q531" s="27" t="s">
        <v>8</v>
      </c>
      <c r="R531" s="27" t="s">
        <v>7</v>
      </c>
      <c r="S531" s="27" t="s">
        <v>8</v>
      </c>
      <c r="T531" s="27" t="s">
        <v>7</v>
      </c>
      <c r="U531" s="27" t="s">
        <v>8</v>
      </c>
      <c r="V531" s="27" t="s">
        <v>7</v>
      </c>
      <c r="W531" s="27" t="s">
        <v>8</v>
      </c>
      <c r="Y531" s="27" t="s">
        <v>8</v>
      </c>
      <c r="Z531" s="27" t="s">
        <v>7</v>
      </c>
      <c r="DE531" s="27" t="s">
        <v>8</v>
      </c>
      <c r="DF531" s="27" t="s">
        <v>7</v>
      </c>
      <c r="DG531" s="27" t="s">
        <v>8</v>
      </c>
      <c r="DH531" s="27" t="s">
        <v>7</v>
      </c>
      <c r="DO531" s="27" t="s">
        <v>8</v>
      </c>
      <c r="DP531" s="27" t="s">
        <v>7</v>
      </c>
      <c r="DQ531" s="27" t="s">
        <v>8</v>
      </c>
      <c r="DR531" s="27" t="s">
        <v>7</v>
      </c>
      <c r="DS531" s="27" t="s">
        <v>8</v>
      </c>
      <c r="ED531" s="27" t="s">
        <v>7</v>
      </c>
      <c r="EH531" s="27" t="s">
        <v>7</v>
      </c>
      <c r="EI531" s="27" t="s">
        <v>8</v>
      </c>
      <c r="EV531" s="27" t="s">
        <v>7</v>
      </c>
      <c r="GK531" s="27" t="s">
        <v>8</v>
      </c>
      <c r="GL531" s="27" t="s">
        <v>7</v>
      </c>
      <c r="GN531" s="27" t="s">
        <v>7</v>
      </c>
      <c r="GO531" s="27" t="s">
        <v>8</v>
      </c>
      <c r="GX531" s="27" t="s">
        <v>7</v>
      </c>
      <c r="GY531" s="27" t="s">
        <v>8</v>
      </c>
    </row>
    <row r="532" spans="1:257" x14ac:dyDescent="0.25">
      <c r="A532" s="7">
        <v>2.9717306730230932</v>
      </c>
      <c r="B532"/>
      <c r="C532"/>
      <c r="D532"/>
      <c r="E532"/>
      <c r="Q532" s="27" t="s">
        <v>8</v>
      </c>
      <c r="R532" s="27" t="s">
        <v>7</v>
      </c>
      <c r="S532" s="27" t="s">
        <v>8</v>
      </c>
      <c r="T532" s="27" t="s">
        <v>7</v>
      </c>
      <c r="U532" s="27" t="s">
        <v>8</v>
      </c>
      <c r="V532" s="27" t="s">
        <v>7</v>
      </c>
      <c r="W532" s="27" t="s">
        <v>8</v>
      </c>
      <c r="X532" s="27" t="s">
        <v>7</v>
      </c>
      <c r="Y532" s="27" t="s">
        <v>8</v>
      </c>
      <c r="Z532" s="27" t="s">
        <v>7</v>
      </c>
      <c r="DC532" s="27" t="s">
        <v>8</v>
      </c>
      <c r="DE532" s="27" t="s">
        <v>8</v>
      </c>
      <c r="DF532" s="27" t="s">
        <v>7</v>
      </c>
      <c r="DG532" s="27" t="s">
        <v>8</v>
      </c>
      <c r="DH532" s="27" t="s">
        <v>7</v>
      </c>
      <c r="DO532" s="27" t="s">
        <v>8</v>
      </c>
      <c r="DP532" s="27" t="s">
        <v>7</v>
      </c>
      <c r="DQ532" s="27" t="s">
        <v>8</v>
      </c>
      <c r="DR532" s="27" t="s">
        <v>7</v>
      </c>
      <c r="DS532" s="27" t="s">
        <v>8</v>
      </c>
      <c r="EH532" s="27" t="s">
        <v>7</v>
      </c>
      <c r="EI532" s="27" t="s">
        <v>8</v>
      </c>
      <c r="EV532" s="27" t="s">
        <v>7</v>
      </c>
      <c r="GK532" s="27" t="s">
        <v>8</v>
      </c>
      <c r="GN532" s="27" t="s">
        <v>7</v>
      </c>
      <c r="GO532" s="27" t="s">
        <v>8</v>
      </c>
      <c r="GX532" s="27" t="s">
        <v>7</v>
      </c>
      <c r="GY532" s="27" t="s">
        <v>8</v>
      </c>
      <c r="GZ532" s="27" t="s">
        <v>7</v>
      </c>
      <c r="IC532" s="27" t="s">
        <v>8</v>
      </c>
    </row>
    <row r="533" spans="1:257" x14ac:dyDescent="0.25">
      <c r="A533" s="7">
        <v>2.9134614441402875</v>
      </c>
      <c r="B533"/>
      <c r="C533"/>
      <c r="D533"/>
      <c r="E533"/>
      <c r="Q533" s="27" t="s">
        <v>8</v>
      </c>
      <c r="R533" s="27" t="s">
        <v>7</v>
      </c>
      <c r="S533" s="27" t="s">
        <v>8</v>
      </c>
      <c r="T533" s="27" t="s">
        <v>7</v>
      </c>
      <c r="U533" s="27" t="s">
        <v>8</v>
      </c>
      <c r="V533" s="27" t="s">
        <v>7</v>
      </c>
      <c r="W533" s="27" t="s">
        <v>8</v>
      </c>
      <c r="X533" s="27" t="s">
        <v>7</v>
      </c>
      <c r="Y533" s="27" t="s">
        <v>8</v>
      </c>
      <c r="Z533" s="27" t="s">
        <v>7</v>
      </c>
      <c r="DC533" s="27" t="s">
        <v>8</v>
      </c>
      <c r="DD533" s="27" t="s">
        <v>7</v>
      </c>
      <c r="DE533" s="27" t="s">
        <v>8</v>
      </c>
      <c r="DF533" s="27" t="s">
        <v>7</v>
      </c>
      <c r="DG533" s="27" t="s">
        <v>8</v>
      </c>
      <c r="DH533" s="27" t="s">
        <v>7</v>
      </c>
      <c r="DO533" s="27" t="s">
        <v>8</v>
      </c>
      <c r="DP533" s="27" t="s">
        <v>7</v>
      </c>
      <c r="DQ533" s="27" t="s">
        <v>8</v>
      </c>
      <c r="DR533" s="27" t="s">
        <v>7</v>
      </c>
      <c r="DS533" s="27" t="s">
        <v>8</v>
      </c>
      <c r="EH533" s="27" t="s">
        <v>7</v>
      </c>
      <c r="EI533" s="27" t="s">
        <v>8</v>
      </c>
      <c r="EV533" s="27" t="s">
        <v>7</v>
      </c>
      <c r="GK533" s="27" t="s">
        <v>8</v>
      </c>
      <c r="GN533" s="27" t="s">
        <v>7</v>
      </c>
      <c r="GO533" s="27" t="s">
        <v>8</v>
      </c>
      <c r="GX533" s="27" t="s">
        <v>7</v>
      </c>
      <c r="GY533" s="27" t="s">
        <v>8</v>
      </c>
      <c r="GZ533" s="27" t="s">
        <v>7</v>
      </c>
      <c r="HA533" s="27" t="s">
        <v>8</v>
      </c>
      <c r="IC533" s="27" t="s">
        <v>8</v>
      </c>
      <c r="ID533" s="27" t="s">
        <v>7</v>
      </c>
    </row>
    <row r="534" spans="1:257" x14ac:dyDescent="0.25">
      <c r="A534" s="7">
        <v>2.8563347491571447</v>
      </c>
      <c r="B534"/>
      <c r="C534"/>
      <c r="D534"/>
      <c r="E534"/>
      <c r="Q534" s="27" t="s">
        <v>8</v>
      </c>
      <c r="R534" s="27" t="s">
        <v>7</v>
      </c>
      <c r="T534" s="27" t="s">
        <v>7</v>
      </c>
      <c r="U534" s="27" t="s">
        <v>8</v>
      </c>
      <c r="V534" s="27" t="s">
        <v>7</v>
      </c>
      <c r="W534" s="27" t="s">
        <v>8</v>
      </c>
      <c r="X534" s="27" t="s">
        <v>7</v>
      </c>
      <c r="Y534" s="27" t="s">
        <v>8</v>
      </c>
      <c r="Z534" s="27" t="s">
        <v>7</v>
      </c>
      <c r="DC534" s="27" t="s">
        <v>8</v>
      </c>
      <c r="DD534" s="27" t="s">
        <v>7</v>
      </c>
      <c r="DE534" s="27" t="s">
        <v>8</v>
      </c>
      <c r="DF534" s="27" t="s">
        <v>7</v>
      </c>
      <c r="DG534" s="27" t="s">
        <v>8</v>
      </c>
      <c r="DH534" s="27" t="s">
        <v>7</v>
      </c>
      <c r="DO534" s="27" t="s">
        <v>8</v>
      </c>
      <c r="DP534" s="27" t="s">
        <v>7</v>
      </c>
      <c r="DQ534" s="27" t="s">
        <v>8</v>
      </c>
      <c r="DR534" s="27" t="s">
        <v>7</v>
      </c>
      <c r="DS534" s="27" t="s">
        <v>8</v>
      </c>
      <c r="EH534" s="27" t="s">
        <v>7</v>
      </c>
      <c r="EI534" s="27" t="s">
        <v>8</v>
      </c>
      <c r="EV534" s="27" t="s">
        <v>7</v>
      </c>
      <c r="GK534" s="27" t="s">
        <v>8</v>
      </c>
      <c r="GN534" s="27" t="s">
        <v>7</v>
      </c>
      <c r="GX534" s="27" t="s">
        <v>7</v>
      </c>
      <c r="GY534" s="27" t="s">
        <v>8</v>
      </c>
      <c r="GZ534" s="27" t="s">
        <v>7</v>
      </c>
      <c r="HA534" s="27" t="s">
        <v>8</v>
      </c>
      <c r="HB534" s="27" t="s">
        <v>7</v>
      </c>
      <c r="IC534" s="27" t="s">
        <v>8</v>
      </c>
      <c r="ID534" s="27" t="s">
        <v>7</v>
      </c>
    </row>
    <row r="535" spans="1:257" x14ac:dyDescent="0.25">
      <c r="A535" s="7">
        <v>2.8003281854481812</v>
      </c>
      <c r="B535"/>
      <c r="C535"/>
      <c r="D535"/>
      <c r="E535"/>
      <c r="Q535" s="27" t="s">
        <v>8</v>
      </c>
      <c r="T535" s="27" t="s">
        <v>7</v>
      </c>
      <c r="U535" s="27" t="s">
        <v>8</v>
      </c>
      <c r="V535" s="27" t="s">
        <v>7</v>
      </c>
      <c r="W535" s="27" t="s">
        <v>8</v>
      </c>
      <c r="X535" s="27" t="s">
        <v>7</v>
      </c>
      <c r="Y535" s="27" t="s">
        <v>8</v>
      </c>
      <c r="Z535" s="27" t="s">
        <v>7</v>
      </c>
      <c r="DC535" s="27" t="s">
        <v>8</v>
      </c>
      <c r="DD535" s="27" t="s">
        <v>7</v>
      </c>
      <c r="DE535" s="27" t="s">
        <v>8</v>
      </c>
      <c r="DF535" s="27" t="s">
        <v>7</v>
      </c>
      <c r="DG535" s="27" t="s">
        <v>8</v>
      </c>
      <c r="DH535" s="27" t="s">
        <v>7</v>
      </c>
      <c r="DO535" s="27" t="s">
        <v>8</v>
      </c>
      <c r="DP535" s="27" t="s">
        <v>7</v>
      </c>
      <c r="DQ535" s="27" t="s">
        <v>8</v>
      </c>
      <c r="DR535" s="27" t="s">
        <v>7</v>
      </c>
      <c r="DS535" s="27" t="s">
        <v>8</v>
      </c>
      <c r="EH535" s="27" t="s">
        <v>7</v>
      </c>
      <c r="EI535" s="27" t="s">
        <v>8</v>
      </c>
      <c r="EV535" s="27" t="s">
        <v>7</v>
      </c>
      <c r="GK535" s="27" t="s">
        <v>8</v>
      </c>
      <c r="GX535" s="27" t="s">
        <v>7</v>
      </c>
      <c r="GY535" s="27" t="s">
        <v>8</v>
      </c>
      <c r="GZ535" s="27" t="s">
        <v>7</v>
      </c>
      <c r="HA535" s="27" t="s">
        <v>8</v>
      </c>
      <c r="HB535" s="27" t="s">
        <v>7</v>
      </c>
      <c r="IC535" s="27" t="s">
        <v>8</v>
      </c>
      <c r="ID535" s="27" t="s">
        <v>7</v>
      </c>
    </row>
    <row r="536" spans="1:257" x14ac:dyDescent="0.25">
      <c r="A536" s="7">
        <v>2.7454197896550796</v>
      </c>
      <c r="B536"/>
      <c r="C536"/>
      <c r="D536"/>
      <c r="E536"/>
      <c r="Q536" s="27" t="s">
        <v>8</v>
      </c>
      <c r="T536" s="27" t="s">
        <v>7</v>
      </c>
      <c r="U536" s="27" t="s">
        <v>8</v>
      </c>
      <c r="V536" s="27" t="s">
        <v>7</v>
      </c>
      <c r="W536" s="27" t="s">
        <v>8</v>
      </c>
      <c r="X536" s="27" t="s">
        <v>7</v>
      </c>
      <c r="Z536" s="27" t="s">
        <v>7</v>
      </c>
      <c r="DC536" s="27" t="s">
        <v>8</v>
      </c>
      <c r="DD536" s="27" t="s">
        <v>7</v>
      </c>
      <c r="DE536" s="27" t="s">
        <v>8</v>
      </c>
      <c r="DF536" s="27" t="s">
        <v>7</v>
      </c>
      <c r="DG536" s="27" t="s">
        <v>8</v>
      </c>
      <c r="DH536" s="27" t="s">
        <v>7</v>
      </c>
      <c r="DM536" s="27" t="s">
        <v>8</v>
      </c>
      <c r="DO536" s="27" t="s">
        <v>8</v>
      </c>
      <c r="DP536" s="27" t="s">
        <v>7</v>
      </c>
      <c r="DR536" s="27" t="s">
        <v>7</v>
      </c>
      <c r="DS536" s="27" t="s">
        <v>8</v>
      </c>
      <c r="EH536" s="27" t="s">
        <v>7</v>
      </c>
      <c r="EI536" s="27" t="s">
        <v>8</v>
      </c>
      <c r="EV536" s="27" t="s">
        <v>7</v>
      </c>
      <c r="EW536" s="27" t="s">
        <v>8</v>
      </c>
      <c r="GK536" s="27" t="s">
        <v>8</v>
      </c>
      <c r="GX536" s="27" t="s">
        <v>7</v>
      </c>
      <c r="GY536" s="27" t="s">
        <v>8</v>
      </c>
      <c r="GZ536" s="27" t="s">
        <v>7</v>
      </c>
      <c r="HA536" s="27" t="s">
        <v>8</v>
      </c>
      <c r="HB536" s="27" t="s">
        <v>7</v>
      </c>
      <c r="IC536" s="27" t="s">
        <v>8</v>
      </c>
      <c r="ID536" s="27" t="s">
        <v>7</v>
      </c>
    </row>
    <row r="537" spans="1:257" x14ac:dyDescent="0.25">
      <c r="A537" s="7">
        <v>2.6915880290736074</v>
      </c>
      <c r="B537"/>
      <c r="C537"/>
      <c r="D537"/>
      <c r="E537"/>
      <c r="Q537" s="27" t="s">
        <v>8</v>
      </c>
      <c r="T537" s="27" t="s">
        <v>7</v>
      </c>
      <c r="U537" s="27" t="s">
        <v>8</v>
      </c>
      <c r="V537" s="27" t="s">
        <v>7</v>
      </c>
      <c r="W537" s="27" t="s">
        <v>8</v>
      </c>
      <c r="Z537" s="27" t="s">
        <v>7</v>
      </c>
      <c r="DC537" s="27" t="s">
        <v>8</v>
      </c>
      <c r="DD537" s="27" t="s">
        <v>7</v>
      </c>
      <c r="DE537" s="27" t="s">
        <v>8</v>
      </c>
      <c r="DF537" s="27" t="s">
        <v>7</v>
      </c>
      <c r="DG537" s="27" t="s">
        <v>8</v>
      </c>
      <c r="DH537" s="27" t="s">
        <v>7</v>
      </c>
      <c r="DI537" s="27" t="s">
        <v>8</v>
      </c>
      <c r="DM537" s="27" t="s">
        <v>8</v>
      </c>
      <c r="DN537" s="27" t="s">
        <v>7</v>
      </c>
      <c r="DO537" s="27" t="s">
        <v>8</v>
      </c>
      <c r="DR537" s="27" t="s">
        <v>7</v>
      </c>
      <c r="DS537" s="27" t="s">
        <v>8</v>
      </c>
      <c r="EH537" s="27" t="s">
        <v>7</v>
      </c>
      <c r="EV537" s="27" t="s">
        <v>7</v>
      </c>
      <c r="EW537" s="27" t="s">
        <v>8</v>
      </c>
      <c r="EX537" s="27" t="s">
        <v>7</v>
      </c>
      <c r="GI537" s="27" t="s">
        <v>8</v>
      </c>
      <c r="GK537" s="27" t="s">
        <v>8</v>
      </c>
      <c r="GX537" s="27" t="s">
        <v>7</v>
      </c>
      <c r="GY537" s="27" t="s">
        <v>8</v>
      </c>
      <c r="GZ537" s="27" t="s">
        <v>7</v>
      </c>
      <c r="HA537" s="27" t="s">
        <v>8</v>
      </c>
      <c r="HB537" s="27" t="s">
        <v>7</v>
      </c>
      <c r="IC537" s="27" t="s">
        <v>8</v>
      </c>
      <c r="ID537" s="27" t="s">
        <v>7</v>
      </c>
      <c r="IE537" s="27" t="s">
        <v>8</v>
      </c>
    </row>
    <row r="538" spans="1:257" x14ac:dyDescent="0.25">
      <c r="A538" s="7">
        <v>2.6388117932094191</v>
      </c>
      <c r="B538"/>
      <c r="C538"/>
      <c r="D538"/>
      <c r="E538"/>
      <c r="Q538" s="27" t="s">
        <v>8</v>
      </c>
      <c r="T538" s="27" t="s">
        <v>7</v>
      </c>
      <c r="U538" s="27" t="s">
        <v>8</v>
      </c>
      <c r="V538" s="27" t="s">
        <v>7</v>
      </c>
      <c r="W538" s="27" t="s">
        <v>8</v>
      </c>
      <c r="Z538" s="27" t="s">
        <v>7</v>
      </c>
      <c r="DC538" s="27" t="s">
        <v>8</v>
      </c>
      <c r="DD538" s="27" t="s">
        <v>7</v>
      </c>
      <c r="DE538" s="27" t="s">
        <v>8</v>
      </c>
      <c r="DF538" s="27" t="s">
        <v>7</v>
      </c>
      <c r="DH538" s="27" t="s">
        <v>7</v>
      </c>
      <c r="DI538" s="27" t="s">
        <v>8</v>
      </c>
      <c r="DJ538" s="27" t="s">
        <v>7</v>
      </c>
      <c r="DM538" s="27" t="s">
        <v>8</v>
      </c>
      <c r="DN538" s="27" t="s">
        <v>7</v>
      </c>
      <c r="DO538" s="27" t="s">
        <v>8</v>
      </c>
      <c r="DR538" s="27" t="s">
        <v>7</v>
      </c>
      <c r="EV538" s="27" t="s">
        <v>7</v>
      </c>
      <c r="EW538" s="27" t="s">
        <v>8</v>
      </c>
      <c r="EX538" s="27" t="s">
        <v>7</v>
      </c>
      <c r="GI538" s="27" t="s">
        <v>8</v>
      </c>
      <c r="GJ538" s="27" t="s">
        <v>7</v>
      </c>
      <c r="GK538" s="27" t="s">
        <v>8</v>
      </c>
      <c r="GX538" s="27" t="s">
        <v>7</v>
      </c>
      <c r="GY538" s="27" t="s">
        <v>8</v>
      </c>
      <c r="GZ538" s="27" t="s">
        <v>7</v>
      </c>
      <c r="HA538" s="27" t="s">
        <v>8</v>
      </c>
      <c r="HB538" s="27" t="s">
        <v>7</v>
      </c>
      <c r="HK538" s="27" t="s">
        <v>8</v>
      </c>
      <c r="IA538" s="27" t="s">
        <v>8</v>
      </c>
      <c r="IC538" s="27" t="s">
        <v>8</v>
      </c>
      <c r="ID538" s="27" t="s">
        <v>7</v>
      </c>
      <c r="IE538" s="27" t="s">
        <v>8</v>
      </c>
      <c r="IF538" s="27" t="s">
        <v>7</v>
      </c>
    </row>
    <row r="539" spans="1:257" x14ac:dyDescent="0.25">
      <c r="A539" s="7">
        <v>2.5870703854994304</v>
      </c>
      <c r="B539"/>
      <c r="C539"/>
      <c r="D539"/>
      <c r="E539"/>
      <c r="Q539" s="27" t="s">
        <v>8</v>
      </c>
      <c r="T539" s="27" t="s">
        <v>7</v>
      </c>
      <c r="U539" s="27" t="s">
        <v>8</v>
      </c>
      <c r="V539" s="27" t="s">
        <v>7</v>
      </c>
      <c r="W539" s="27" t="s">
        <v>8</v>
      </c>
      <c r="Z539" s="27" t="s">
        <v>7</v>
      </c>
      <c r="DC539" s="27" t="s">
        <v>8</v>
      </c>
      <c r="DD539" s="27" t="s">
        <v>7</v>
      </c>
      <c r="DE539" s="27" t="s">
        <v>8</v>
      </c>
      <c r="DH539" s="27" t="s">
        <v>7</v>
      </c>
      <c r="DI539" s="27" t="s">
        <v>8</v>
      </c>
      <c r="DJ539" s="27" t="s">
        <v>7</v>
      </c>
      <c r="DM539" s="27" t="s">
        <v>8</v>
      </c>
      <c r="DN539" s="27" t="s">
        <v>7</v>
      </c>
      <c r="DO539" s="27" t="s">
        <v>8</v>
      </c>
      <c r="EV539" s="27" t="s">
        <v>7</v>
      </c>
      <c r="EW539" s="27" t="s">
        <v>8</v>
      </c>
      <c r="EX539" s="27" t="s">
        <v>7</v>
      </c>
      <c r="GI539" s="27" t="s">
        <v>8</v>
      </c>
      <c r="GJ539" s="27" t="s">
        <v>7</v>
      </c>
      <c r="GK539" s="27" t="s">
        <v>8</v>
      </c>
      <c r="GX539" s="27" t="s">
        <v>7</v>
      </c>
      <c r="GY539" s="27" t="s">
        <v>8</v>
      </c>
      <c r="GZ539" s="27" t="s">
        <v>7</v>
      </c>
      <c r="HA539" s="27" t="s">
        <v>8</v>
      </c>
      <c r="HB539" s="27" t="s">
        <v>7</v>
      </c>
      <c r="HI539" s="27" t="s">
        <v>8</v>
      </c>
      <c r="HK539" s="27" t="s">
        <v>8</v>
      </c>
      <c r="HL539" s="27" t="s">
        <v>7</v>
      </c>
      <c r="IA539" s="27" t="s">
        <v>8</v>
      </c>
      <c r="IB539" s="27" t="s">
        <v>7</v>
      </c>
      <c r="IC539" s="27" t="s">
        <v>8</v>
      </c>
      <c r="ID539" s="27" t="s">
        <v>7</v>
      </c>
      <c r="IE539" s="27" t="s">
        <v>8</v>
      </c>
      <c r="IF539" s="27" t="s">
        <v>7</v>
      </c>
      <c r="IG539" s="27" t="s">
        <v>8</v>
      </c>
    </row>
    <row r="540" spans="1:257" x14ac:dyDescent="0.25">
      <c r="A540" s="7">
        <v>2.53634351519552</v>
      </c>
      <c r="B540"/>
      <c r="C540"/>
      <c r="D540"/>
      <c r="E540"/>
      <c r="Q540" s="27" t="s">
        <v>8</v>
      </c>
      <c r="T540" s="27" t="s">
        <v>7</v>
      </c>
      <c r="U540" s="27" t="s">
        <v>8</v>
      </c>
      <c r="V540" s="27" t="s">
        <v>7</v>
      </c>
      <c r="W540" s="27" t="s">
        <v>8</v>
      </c>
      <c r="Z540" s="27" t="s">
        <v>7</v>
      </c>
      <c r="DC540" s="27" t="s">
        <v>8</v>
      </c>
      <c r="DD540" s="27" t="s">
        <v>7</v>
      </c>
      <c r="DE540" s="27" t="s">
        <v>8</v>
      </c>
      <c r="DH540" s="27" t="s">
        <v>7</v>
      </c>
      <c r="DI540" s="27" t="s">
        <v>8</v>
      </c>
      <c r="DJ540" s="27" t="s">
        <v>7</v>
      </c>
      <c r="DM540" s="27" t="s">
        <v>8</v>
      </c>
      <c r="DN540" s="27" t="s">
        <v>7</v>
      </c>
      <c r="DO540" s="27" t="s">
        <v>8</v>
      </c>
      <c r="EV540" s="27" t="s">
        <v>7</v>
      </c>
      <c r="EW540" s="27" t="s">
        <v>8</v>
      </c>
      <c r="EX540" s="27" t="s">
        <v>7</v>
      </c>
      <c r="GI540" s="27" t="s">
        <v>8</v>
      </c>
      <c r="GJ540" s="27" t="s">
        <v>7</v>
      </c>
      <c r="GK540" s="27" t="s">
        <v>8</v>
      </c>
      <c r="GX540" s="27" t="s">
        <v>7</v>
      </c>
      <c r="GY540" s="27" t="s">
        <v>8</v>
      </c>
      <c r="GZ540" s="27" t="s">
        <v>7</v>
      </c>
      <c r="HA540" s="27" t="s">
        <v>8</v>
      </c>
      <c r="HB540" s="27" t="s">
        <v>7</v>
      </c>
      <c r="HI540" s="27" t="s">
        <v>8</v>
      </c>
      <c r="HJ540" s="27" t="s">
        <v>7</v>
      </c>
      <c r="HK540" s="27" t="s">
        <v>8</v>
      </c>
      <c r="HL540" s="27" t="s">
        <v>7</v>
      </c>
      <c r="HM540" s="27" t="s">
        <v>8</v>
      </c>
      <c r="HU540" s="27" t="s">
        <v>8</v>
      </c>
      <c r="HY540" s="27" t="s">
        <v>8</v>
      </c>
      <c r="IA540" s="27" t="s">
        <v>8</v>
      </c>
      <c r="IB540" s="27" t="s">
        <v>7</v>
      </c>
      <c r="IC540" s="27" t="s">
        <v>8</v>
      </c>
      <c r="ID540" s="27" t="s">
        <v>7</v>
      </c>
      <c r="IE540" s="27" t="s">
        <v>8</v>
      </c>
      <c r="IF540" s="27" t="s">
        <v>7</v>
      </c>
      <c r="IG540" s="27" t="s">
        <v>8</v>
      </c>
      <c r="IH540" s="27" t="s">
        <v>7</v>
      </c>
    </row>
    <row r="541" spans="1:257" x14ac:dyDescent="0.25">
      <c r="A541" s="7">
        <v>2.4866112894073726</v>
      </c>
      <c r="B541"/>
      <c r="C541"/>
      <c r="D541"/>
      <c r="E541"/>
      <c r="Q541" s="27" t="s">
        <v>8</v>
      </c>
      <c r="T541" s="27" t="s">
        <v>7</v>
      </c>
      <c r="U541" s="27" t="s">
        <v>8</v>
      </c>
      <c r="V541" s="27" t="s">
        <v>7</v>
      </c>
      <c r="Z541" s="27" t="s">
        <v>7</v>
      </c>
      <c r="DC541" s="27" t="s">
        <v>8</v>
      </c>
      <c r="DD541" s="27" t="s">
        <v>7</v>
      </c>
      <c r="DE541" s="27" t="s">
        <v>8</v>
      </c>
      <c r="DH541" s="27" t="s">
        <v>7</v>
      </c>
      <c r="DI541" s="27" t="s">
        <v>8</v>
      </c>
      <c r="DJ541" s="27" t="s">
        <v>7</v>
      </c>
      <c r="DM541" s="27" t="s">
        <v>8</v>
      </c>
      <c r="DN541" s="27" t="s">
        <v>7</v>
      </c>
      <c r="DO541" s="27" t="s">
        <v>8</v>
      </c>
      <c r="EV541" s="27" t="s">
        <v>7</v>
      </c>
      <c r="EW541" s="27" t="s">
        <v>8</v>
      </c>
      <c r="EX541" s="27" t="s">
        <v>7</v>
      </c>
      <c r="FC541" s="27" t="s">
        <v>8</v>
      </c>
      <c r="GG541" s="27" t="s">
        <v>8</v>
      </c>
      <c r="GI541" s="27" t="s">
        <v>8</v>
      </c>
      <c r="GJ541" s="27" t="s">
        <v>7</v>
      </c>
      <c r="GK541" s="27" t="s">
        <v>8</v>
      </c>
      <c r="GX541" s="27" t="s">
        <v>7</v>
      </c>
      <c r="GY541" s="27" t="s">
        <v>8</v>
      </c>
      <c r="GZ541" s="27" t="s">
        <v>7</v>
      </c>
      <c r="HA541" s="27" t="s">
        <v>8</v>
      </c>
      <c r="HB541" s="27" t="s">
        <v>7</v>
      </c>
      <c r="HG541" s="27" t="s">
        <v>8</v>
      </c>
      <c r="HI541" s="27" t="s">
        <v>8</v>
      </c>
      <c r="HJ541" s="27" t="s">
        <v>7</v>
      </c>
      <c r="HK541" s="27" t="s">
        <v>8</v>
      </c>
      <c r="HL541" s="27" t="s">
        <v>7</v>
      </c>
      <c r="HM541" s="27" t="s">
        <v>8</v>
      </c>
      <c r="HN541" s="27" t="s">
        <v>7</v>
      </c>
      <c r="HU541" s="27" t="s">
        <v>8</v>
      </c>
      <c r="HV541" s="27" t="s">
        <v>7</v>
      </c>
      <c r="HW541" s="27" t="s">
        <v>8</v>
      </c>
      <c r="HY541" s="27" t="s">
        <v>8</v>
      </c>
      <c r="HZ541" s="27" t="s">
        <v>7</v>
      </c>
      <c r="IA541" s="27" t="s">
        <v>8</v>
      </c>
      <c r="IB541" s="27" t="s">
        <v>7</v>
      </c>
      <c r="IC541" s="27" t="s">
        <v>8</v>
      </c>
      <c r="ID541" s="27" t="s">
        <v>7</v>
      </c>
      <c r="IE541" s="27" t="s">
        <v>8</v>
      </c>
      <c r="IF541" s="27" t="s">
        <v>7</v>
      </c>
      <c r="IG541" s="27" t="s">
        <v>8</v>
      </c>
      <c r="IH541" s="27" t="s">
        <v>7</v>
      </c>
    </row>
    <row r="542" spans="1:257" x14ac:dyDescent="0.25">
      <c r="A542" s="7">
        <v>2.4378542053013459</v>
      </c>
      <c r="B542"/>
      <c r="C542"/>
      <c r="D542"/>
      <c r="E542"/>
      <c r="Q542" s="27" t="s">
        <v>8</v>
      </c>
      <c r="T542" s="27" t="s">
        <v>7</v>
      </c>
      <c r="U542" s="27" t="s">
        <v>8</v>
      </c>
      <c r="Z542" s="27" t="s">
        <v>7</v>
      </c>
      <c r="DC542" s="27" t="s">
        <v>8</v>
      </c>
      <c r="DD542" s="27" t="s">
        <v>7</v>
      </c>
      <c r="DE542" s="27" t="s">
        <v>8</v>
      </c>
      <c r="DH542" s="27" t="s">
        <v>7</v>
      </c>
      <c r="DI542" s="27" t="s">
        <v>8</v>
      </c>
      <c r="DJ542" s="27" t="s">
        <v>7</v>
      </c>
      <c r="DM542" s="27" t="s">
        <v>8</v>
      </c>
      <c r="DN542" s="27" t="s">
        <v>7</v>
      </c>
      <c r="DO542" s="27" t="s">
        <v>8</v>
      </c>
      <c r="EV542" s="27" t="s">
        <v>7</v>
      </c>
      <c r="EW542" s="27" t="s">
        <v>8</v>
      </c>
      <c r="EX542" s="27" t="s">
        <v>7</v>
      </c>
      <c r="FC542" s="27" t="s">
        <v>8</v>
      </c>
      <c r="FD542" s="27" t="s">
        <v>7</v>
      </c>
      <c r="GG542" s="27" t="s">
        <v>8</v>
      </c>
      <c r="GH542" s="27" t="s">
        <v>7</v>
      </c>
      <c r="GI542" s="27" t="s">
        <v>8</v>
      </c>
      <c r="GJ542" s="27" t="s">
        <v>7</v>
      </c>
      <c r="GX542" s="27" t="s">
        <v>7</v>
      </c>
      <c r="GY542" s="27" t="s">
        <v>8</v>
      </c>
      <c r="GZ542" s="27" t="s">
        <v>7</v>
      </c>
      <c r="HB542" s="27" t="s">
        <v>7</v>
      </c>
      <c r="HG542" s="27" t="s">
        <v>8</v>
      </c>
      <c r="HH542" s="27" t="s">
        <v>7</v>
      </c>
      <c r="HI542" s="27" t="s">
        <v>8</v>
      </c>
      <c r="HJ542" s="27" t="s">
        <v>7</v>
      </c>
      <c r="HK542" s="27" t="s">
        <v>8</v>
      </c>
      <c r="HL542" s="27" t="s">
        <v>7</v>
      </c>
      <c r="HM542" s="27" t="s">
        <v>8</v>
      </c>
      <c r="HN542" s="27" t="s">
        <v>7</v>
      </c>
      <c r="HO542" s="27" t="s">
        <v>8</v>
      </c>
      <c r="HQ542" s="27" t="s">
        <v>8</v>
      </c>
      <c r="HU542" s="27" t="s">
        <v>8</v>
      </c>
      <c r="HV542" s="27" t="s">
        <v>7</v>
      </c>
      <c r="HW542" s="27" t="s">
        <v>8</v>
      </c>
      <c r="HX542" s="27" t="s">
        <v>7</v>
      </c>
      <c r="HY542" s="27" t="s">
        <v>8</v>
      </c>
      <c r="HZ542" s="27" t="s">
        <v>7</v>
      </c>
      <c r="IA542" s="27" t="s">
        <v>8</v>
      </c>
      <c r="IB542" s="27" t="s">
        <v>7</v>
      </c>
      <c r="IC542" s="27" t="s">
        <v>8</v>
      </c>
      <c r="ID542" s="27" t="s">
        <v>7</v>
      </c>
      <c r="IE542" s="27" t="s">
        <v>8</v>
      </c>
      <c r="IF542" s="27" t="s">
        <v>7</v>
      </c>
      <c r="IG542" s="27" t="s">
        <v>8</v>
      </c>
      <c r="IH542" s="27" t="s">
        <v>7</v>
      </c>
      <c r="II542" s="27" t="s">
        <v>8</v>
      </c>
    </row>
    <row r="543" spans="1:257" x14ac:dyDescent="0.25">
      <c r="A543" s="7">
        <v>2.3900531424522997</v>
      </c>
      <c r="B543"/>
      <c r="C543"/>
      <c r="D543"/>
      <c r="E543"/>
      <c r="Q543" s="27" t="s">
        <v>8</v>
      </c>
      <c r="T543" s="27" t="s">
        <v>7</v>
      </c>
      <c r="U543" s="27" t="s">
        <v>8</v>
      </c>
      <c r="Z543" s="27" t="s">
        <v>7</v>
      </c>
      <c r="DC543" s="27" t="s">
        <v>8</v>
      </c>
      <c r="DD543" s="27" t="s">
        <v>7</v>
      </c>
      <c r="DE543" s="27" t="s">
        <v>8</v>
      </c>
      <c r="DH543" s="27" t="s">
        <v>7</v>
      </c>
      <c r="DI543" s="27" t="s">
        <v>8</v>
      </c>
      <c r="DJ543" s="27" t="s">
        <v>7</v>
      </c>
      <c r="DM543" s="27" t="s">
        <v>8</v>
      </c>
      <c r="DN543" s="27" t="s">
        <v>7</v>
      </c>
      <c r="DO543" s="27" t="s">
        <v>8</v>
      </c>
      <c r="EV543" s="27" t="s">
        <v>7</v>
      </c>
      <c r="EW543" s="27" t="s">
        <v>8</v>
      </c>
      <c r="EX543" s="27" t="s">
        <v>7</v>
      </c>
      <c r="FC543" s="27" t="s">
        <v>8</v>
      </c>
      <c r="FD543" s="27" t="s">
        <v>7</v>
      </c>
      <c r="FG543" s="27" t="s">
        <v>8</v>
      </c>
      <c r="FM543" s="27" t="s">
        <v>8</v>
      </c>
      <c r="GG543" s="27" t="s">
        <v>8</v>
      </c>
      <c r="GH543" s="27" t="s">
        <v>7</v>
      </c>
      <c r="GI543" s="27" t="s">
        <v>8</v>
      </c>
      <c r="GX543" s="27" t="s">
        <v>7</v>
      </c>
      <c r="HB543" s="27" t="s">
        <v>7</v>
      </c>
      <c r="HC543" s="27" t="s">
        <v>8</v>
      </c>
      <c r="HG543" s="27" t="s">
        <v>8</v>
      </c>
      <c r="HH543" s="27" t="s">
        <v>7</v>
      </c>
      <c r="HI543" s="27" t="s">
        <v>8</v>
      </c>
      <c r="HJ543" s="27" t="s">
        <v>7</v>
      </c>
      <c r="HK543" s="27" t="s">
        <v>8</v>
      </c>
      <c r="HL543" s="27" t="s">
        <v>7</v>
      </c>
      <c r="HM543" s="27" t="s">
        <v>8</v>
      </c>
      <c r="HN543" s="27" t="s">
        <v>7</v>
      </c>
      <c r="HO543" s="27" t="s">
        <v>8</v>
      </c>
      <c r="HP543" s="27" t="s">
        <v>7</v>
      </c>
      <c r="HQ543" s="27" t="s">
        <v>8</v>
      </c>
      <c r="HR543" s="27" t="s">
        <v>7</v>
      </c>
      <c r="HU543" s="27" t="s">
        <v>8</v>
      </c>
      <c r="HV543" s="27" t="s">
        <v>7</v>
      </c>
      <c r="HW543" s="27" t="s">
        <v>8</v>
      </c>
      <c r="HX543" s="27" t="s">
        <v>7</v>
      </c>
      <c r="HY543" s="27" t="s">
        <v>8</v>
      </c>
      <c r="HZ543" s="27" t="s">
        <v>7</v>
      </c>
      <c r="IA543" s="27" t="s">
        <v>8</v>
      </c>
      <c r="IB543" s="27" t="s">
        <v>7</v>
      </c>
      <c r="IC543" s="27" t="s">
        <v>8</v>
      </c>
      <c r="ID543" s="27" t="s">
        <v>7</v>
      </c>
      <c r="IE543" s="27" t="s">
        <v>8</v>
      </c>
      <c r="IF543" s="27" t="s">
        <v>7</v>
      </c>
      <c r="IG543" s="27" t="s">
        <v>8</v>
      </c>
      <c r="IH543" s="27" t="s">
        <v>7</v>
      </c>
      <c r="II543" s="27" t="s">
        <v>8</v>
      </c>
      <c r="IJ543" s="27" t="s">
        <v>7</v>
      </c>
    </row>
    <row r="544" spans="1:257" x14ac:dyDescent="0.25">
      <c r="A544" s="7">
        <v>2.343189355345392</v>
      </c>
      <c r="B544"/>
      <c r="C544"/>
      <c r="D544"/>
      <c r="E544"/>
      <c r="Q544" s="27" t="s">
        <v>8</v>
      </c>
      <c r="T544" s="27" t="s">
        <v>7</v>
      </c>
      <c r="Z544" s="27" t="s">
        <v>7</v>
      </c>
      <c r="DC544" s="27" t="s">
        <v>8</v>
      </c>
      <c r="DD544" s="27" t="s">
        <v>7</v>
      </c>
      <c r="DE544" s="27" t="s">
        <v>8</v>
      </c>
      <c r="DH544" s="27" t="s">
        <v>7</v>
      </c>
      <c r="DI544" s="27" t="s">
        <v>8</v>
      </c>
      <c r="DJ544" s="27" t="s">
        <v>7</v>
      </c>
      <c r="DK544" s="27" t="s">
        <v>8</v>
      </c>
      <c r="DM544" s="27" t="s">
        <v>8</v>
      </c>
      <c r="DN544" s="27" t="s">
        <v>7</v>
      </c>
      <c r="DO544" s="27" t="s">
        <v>8</v>
      </c>
      <c r="EV544" s="27" t="s">
        <v>7</v>
      </c>
      <c r="EW544" s="27" t="s">
        <v>8</v>
      </c>
      <c r="EX544" s="27" t="s">
        <v>7</v>
      </c>
      <c r="EY544" s="27" t="s">
        <v>8</v>
      </c>
      <c r="FC544" s="27" t="s">
        <v>8</v>
      </c>
      <c r="FD544" s="27" t="s">
        <v>7</v>
      </c>
      <c r="FG544" s="27" t="s">
        <v>8</v>
      </c>
      <c r="FH544" s="27" t="s">
        <v>7</v>
      </c>
      <c r="FM544" s="27" t="s">
        <v>8</v>
      </c>
      <c r="FN544" s="27" t="s">
        <v>7</v>
      </c>
      <c r="GG544" s="27" t="s">
        <v>8</v>
      </c>
      <c r="GH544" s="27" t="s">
        <v>7</v>
      </c>
      <c r="GI544" s="27" t="s">
        <v>8</v>
      </c>
      <c r="HB544" s="27" t="s">
        <v>7</v>
      </c>
      <c r="HC544" s="27" t="s">
        <v>8</v>
      </c>
      <c r="HD544" s="27" t="s">
        <v>7</v>
      </c>
      <c r="HG544" s="27" t="s">
        <v>8</v>
      </c>
      <c r="HH544" s="27" t="s">
        <v>7</v>
      </c>
      <c r="HI544" s="27" t="s">
        <v>8</v>
      </c>
      <c r="HJ544" s="27" t="s">
        <v>7</v>
      </c>
      <c r="HL544" s="27" t="s">
        <v>7</v>
      </c>
      <c r="HM544" s="27" t="s">
        <v>8</v>
      </c>
      <c r="HN544" s="27" t="s">
        <v>7</v>
      </c>
      <c r="HO544" s="27" t="s">
        <v>8</v>
      </c>
      <c r="HP544" s="27" t="s">
        <v>7</v>
      </c>
      <c r="HQ544" s="27" t="s">
        <v>8</v>
      </c>
      <c r="HR544" s="27" t="s">
        <v>7</v>
      </c>
      <c r="HS544" s="27" t="s">
        <v>8</v>
      </c>
      <c r="HU544" s="27" t="s">
        <v>8</v>
      </c>
      <c r="HV544" s="27" t="s">
        <v>7</v>
      </c>
      <c r="HX544" s="27" t="s">
        <v>7</v>
      </c>
      <c r="HZ544" s="27" t="s">
        <v>7</v>
      </c>
      <c r="IB544" s="27" t="s">
        <v>7</v>
      </c>
      <c r="IC544" s="27" t="s">
        <v>8</v>
      </c>
      <c r="ID544" s="27" t="s">
        <v>7</v>
      </c>
      <c r="IE544" s="27" t="s">
        <v>8</v>
      </c>
      <c r="IF544" s="27" t="s">
        <v>7</v>
      </c>
      <c r="IH544" s="27" t="s">
        <v>7</v>
      </c>
      <c r="II544" s="27" t="s">
        <v>8</v>
      </c>
      <c r="IJ544" s="27" t="s">
        <v>7</v>
      </c>
      <c r="IW544" s="27" t="s">
        <v>8</v>
      </c>
    </row>
    <row r="545" spans="1:264" x14ac:dyDescent="0.25">
      <c r="A545" s="7">
        <v>2.2972444660248938</v>
      </c>
      <c r="B545"/>
      <c r="C545"/>
      <c r="D545"/>
      <c r="E545"/>
      <c r="Q545" s="27" t="s">
        <v>8</v>
      </c>
      <c r="Z545" s="27" t="s">
        <v>7</v>
      </c>
      <c r="DC545" s="27" t="s">
        <v>8</v>
      </c>
      <c r="DD545" s="27" t="s">
        <v>7</v>
      </c>
      <c r="DE545" s="27" t="s">
        <v>8</v>
      </c>
      <c r="DH545" s="27" t="s">
        <v>7</v>
      </c>
      <c r="DI545" s="27" t="s">
        <v>8</v>
      </c>
      <c r="DJ545" s="27" t="s">
        <v>7</v>
      </c>
      <c r="DK545" s="27" t="s">
        <v>8</v>
      </c>
      <c r="DL545" s="27" t="s">
        <v>7</v>
      </c>
      <c r="DM545" s="27" t="s">
        <v>8</v>
      </c>
      <c r="DN545" s="27" t="s">
        <v>7</v>
      </c>
      <c r="DO545" s="27" t="s">
        <v>8</v>
      </c>
      <c r="EV545" s="27" t="s">
        <v>7</v>
      </c>
      <c r="EW545" s="27" t="s">
        <v>8</v>
      </c>
      <c r="EX545" s="27" t="s">
        <v>7</v>
      </c>
      <c r="EY545" s="27" t="s">
        <v>8</v>
      </c>
      <c r="EZ545" s="27" t="s">
        <v>7</v>
      </c>
      <c r="FC545" s="27" t="s">
        <v>8</v>
      </c>
      <c r="FD545" s="27" t="s">
        <v>7</v>
      </c>
      <c r="FG545" s="27" t="s">
        <v>8</v>
      </c>
      <c r="FH545" s="27" t="s">
        <v>7</v>
      </c>
      <c r="FM545" s="27" t="s">
        <v>8</v>
      </c>
      <c r="FN545" s="27" t="s">
        <v>7</v>
      </c>
      <c r="GG545" s="27" t="s">
        <v>8</v>
      </c>
      <c r="GH545" s="27" t="s">
        <v>7</v>
      </c>
      <c r="GI545" s="27" t="s">
        <v>8</v>
      </c>
      <c r="HB545" s="27" t="s">
        <v>7</v>
      </c>
      <c r="HC545" s="27" t="s">
        <v>8</v>
      </c>
      <c r="HD545" s="27" t="s">
        <v>7</v>
      </c>
      <c r="HG545" s="27" t="s">
        <v>8</v>
      </c>
      <c r="HH545" s="27" t="s">
        <v>7</v>
      </c>
      <c r="HI545" s="27" t="s">
        <v>8</v>
      </c>
      <c r="HL545" s="27" t="s">
        <v>7</v>
      </c>
      <c r="HM545" s="27" t="s">
        <v>8</v>
      </c>
      <c r="HN545" s="27" t="s">
        <v>7</v>
      </c>
      <c r="HP545" s="27" t="s">
        <v>7</v>
      </c>
      <c r="HQ545" s="27" t="s">
        <v>8</v>
      </c>
      <c r="HR545" s="27" t="s">
        <v>7</v>
      </c>
      <c r="HS545" s="27" t="s">
        <v>8</v>
      </c>
      <c r="HT545" s="27" t="s">
        <v>7</v>
      </c>
      <c r="HU545" s="27" t="s">
        <v>8</v>
      </c>
      <c r="IB545" s="27" t="s">
        <v>7</v>
      </c>
      <c r="IC545" s="27" t="s">
        <v>8</v>
      </c>
      <c r="ID545" s="27" t="s">
        <v>7</v>
      </c>
      <c r="IH545" s="27" t="s">
        <v>7</v>
      </c>
      <c r="II545" s="27" t="s">
        <v>8</v>
      </c>
      <c r="IJ545" s="27" t="s">
        <v>7</v>
      </c>
      <c r="IW545" s="27" t="s">
        <v>8</v>
      </c>
      <c r="IX545" s="27" t="s">
        <v>7</v>
      </c>
    </row>
    <row r="546" spans="1:264" x14ac:dyDescent="0.25">
      <c r="A546" s="7">
        <v>2.252200456887151</v>
      </c>
      <c r="B546"/>
      <c r="C546"/>
      <c r="D546"/>
      <c r="E546"/>
      <c r="G546" s="27" t="s">
        <v>8</v>
      </c>
      <c r="Q546" s="27" t="s">
        <v>8</v>
      </c>
      <c r="Z546" s="27" t="s">
        <v>7</v>
      </c>
      <c r="DC546" s="27" t="s">
        <v>8</v>
      </c>
      <c r="DD546" s="27" t="s">
        <v>7</v>
      </c>
      <c r="DE546" s="27" t="s">
        <v>8</v>
      </c>
      <c r="DH546" s="27" t="s">
        <v>7</v>
      </c>
      <c r="DI546" s="27" t="s">
        <v>8</v>
      </c>
      <c r="DJ546" s="27" t="s">
        <v>7</v>
      </c>
      <c r="DK546" s="27" t="s">
        <v>8</v>
      </c>
      <c r="DL546" s="27" t="s">
        <v>7</v>
      </c>
      <c r="DM546" s="27" t="s">
        <v>8</v>
      </c>
      <c r="DN546" s="27" t="s">
        <v>7</v>
      </c>
      <c r="EV546" s="27" t="s">
        <v>7</v>
      </c>
      <c r="EW546" s="27" t="s">
        <v>8</v>
      </c>
      <c r="EX546" s="27" t="s">
        <v>7</v>
      </c>
      <c r="EY546" s="27" t="s">
        <v>8</v>
      </c>
      <c r="EZ546" s="27" t="s">
        <v>7</v>
      </c>
      <c r="FC546" s="27" t="s">
        <v>8</v>
      </c>
      <c r="FD546" s="27" t="s">
        <v>7</v>
      </c>
      <c r="FG546" s="27" t="s">
        <v>8</v>
      </c>
      <c r="FH546" s="27" t="s">
        <v>7</v>
      </c>
      <c r="FM546" s="27" t="s">
        <v>8</v>
      </c>
      <c r="FN546" s="27" t="s">
        <v>7</v>
      </c>
      <c r="FO546" s="27" t="s">
        <v>8</v>
      </c>
      <c r="GG546" s="27" t="s">
        <v>8</v>
      </c>
      <c r="GH546" s="27" t="s">
        <v>7</v>
      </c>
      <c r="GI546" s="27" t="s">
        <v>8</v>
      </c>
      <c r="HB546" s="27" t="s">
        <v>7</v>
      </c>
      <c r="HC546" s="27" t="s">
        <v>8</v>
      </c>
      <c r="HD546" s="27" t="s">
        <v>7</v>
      </c>
      <c r="HG546" s="27" t="s">
        <v>8</v>
      </c>
      <c r="HH546" s="27" t="s">
        <v>7</v>
      </c>
      <c r="HL546" s="27" t="s">
        <v>7</v>
      </c>
      <c r="HM546" s="27" t="s">
        <v>8</v>
      </c>
      <c r="HP546" s="27" t="s">
        <v>7</v>
      </c>
      <c r="HR546" s="27" t="s">
        <v>7</v>
      </c>
      <c r="HS546" s="27" t="s">
        <v>8</v>
      </c>
      <c r="HT546" s="27" t="s">
        <v>7</v>
      </c>
      <c r="HU546" s="27" t="s">
        <v>8</v>
      </c>
      <c r="IB546" s="27" t="s">
        <v>7</v>
      </c>
      <c r="IC546" s="27" t="s">
        <v>8</v>
      </c>
      <c r="IH546" s="27" t="s">
        <v>7</v>
      </c>
      <c r="II546" s="27" t="s">
        <v>8</v>
      </c>
      <c r="IJ546" s="27" t="s">
        <v>7</v>
      </c>
      <c r="IW546" s="27" t="s">
        <v>8</v>
      </c>
      <c r="IX546" s="27" t="s">
        <v>7</v>
      </c>
    </row>
    <row r="547" spans="1:264" x14ac:dyDescent="0.25">
      <c r="A547" s="7">
        <v>2.208039663614854</v>
      </c>
      <c r="B547"/>
      <c r="C547"/>
      <c r="D547"/>
      <c r="E547"/>
      <c r="G547" s="27" t="s">
        <v>8</v>
      </c>
      <c r="H547" s="27" t="s">
        <v>7</v>
      </c>
      <c r="Q547" s="27" t="s">
        <v>8</v>
      </c>
      <c r="Z547" s="27" t="s">
        <v>7</v>
      </c>
      <c r="DC547" s="27" t="s">
        <v>8</v>
      </c>
      <c r="DD547" s="27" t="s">
        <v>7</v>
      </c>
      <c r="DE547" s="27" t="s">
        <v>8</v>
      </c>
      <c r="DH547" s="27" t="s">
        <v>7</v>
      </c>
      <c r="DI547" s="27" t="s">
        <v>8</v>
      </c>
      <c r="DJ547" s="27" t="s">
        <v>7</v>
      </c>
      <c r="DK547" s="27" t="s">
        <v>8</v>
      </c>
      <c r="DL547" s="27" t="s">
        <v>7</v>
      </c>
      <c r="DM547" s="27" t="s">
        <v>8</v>
      </c>
      <c r="EV547" s="27" t="s">
        <v>7</v>
      </c>
      <c r="EW547" s="27" t="s">
        <v>8</v>
      </c>
      <c r="EX547" s="27" t="s">
        <v>7</v>
      </c>
      <c r="EY547" s="27" t="s">
        <v>8</v>
      </c>
      <c r="EZ547" s="27" t="s">
        <v>7</v>
      </c>
      <c r="FA547" s="27" t="s">
        <v>8</v>
      </c>
      <c r="FC547" s="27" t="s">
        <v>8</v>
      </c>
      <c r="FD547" s="27" t="s">
        <v>7</v>
      </c>
      <c r="FG547" s="27" t="s">
        <v>8</v>
      </c>
      <c r="FH547" s="27" t="s">
        <v>7</v>
      </c>
      <c r="FI547" s="27" t="s">
        <v>8</v>
      </c>
      <c r="FM547" s="27" t="s">
        <v>8</v>
      </c>
      <c r="FN547" s="27" t="s">
        <v>7</v>
      </c>
      <c r="FO547" s="27" t="s">
        <v>8</v>
      </c>
      <c r="FP547" s="27" t="s">
        <v>7</v>
      </c>
      <c r="FW547" s="27" t="s">
        <v>8</v>
      </c>
      <c r="GG547" s="27" t="s">
        <v>8</v>
      </c>
      <c r="GH547" s="27" t="s">
        <v>7</v>
      </c>
      <c r="GI547" s="27" t="s">
        <v>8</v>
      </c>
      <c r="HB547" s="27" t="s">
        <v>7</v>
      </c>
      <c r="HC547" s="27" t="s">
        <v>8</v>
      </c>
      <c r="HD547" s="27" t="s">
        <v>7</v>
      </c>
      <c r="HE547" s="27" t="s">
        <v>8</v>
      </c>
      <c r="HG547" s="27" t="s">
        <v>8</v>
      </c>
      <c r="HL547" s="27" t="s">
        <v>7</v>
      </c>
      <c r="HR547" s="27" t="s">
        <v>7</v>
      </c>
      <c r="HT547" s="27" t="s">
        <v>7</v>
      </c>
      <c r="HU547" s="27" t="s">
        <v>8</v>
      </c>
      <c r="IB547" s="27" t="s">
        <v>7</v>
      </c>
      <c r="IH547" s="27" t="s">
        <v>7</v>
      </c>
      <c r="II547" s="27" t="s">
        <v>8</v>
      </c>
      <c r="IJ547" s="27" t="s">
        <v>7</v>
      </c>
      <c r="IW547" s="27" t="s">
        <v>8</v>
      </c>
      <c r="IX547" s="27" t="s">
        <v>7</v>
      </c>
    </row>
    <row r="548" spans="1:264" x14ac:dyDescent="0.25">
      <c r="A548" s="7">
        <v>2.1647447682498568</v>
      </c>
      <c r="B548"/>
      <c r="C548"/>
      <c r="D548"/>
      <c r="E548"/>
      <c r="G548" s="27" t="s">
        <v>8</v>
      </c>
      <c r="H548" s="27" t="s">
        <v>7</v>
      </c>
      <c r="Q548" s="27" t="s">
        <v>8</v>
      </c>
      <c r="Z548" s="27" t="s">
        <v>7</v>
      </c>
      <c r="AA548" s="27" t="s">
        <v>8</v>
      </c>
      <c r="DC548" s="27" t="s">
        <v>8</v>
      </c>
      <c r="DD548" s="27" t="s">
        <v>7</v>
      </c>
      <c r="DE548" s="27" t="s">
        <v>8</v>
      </c>
      <c r="DH548" s="27" t="s">
        <v>7</v>
      </c>
      <c r="DI548" s="27" t="s">
        <v>8</v>
      </c>
      <c r="DJ548" s="27" t="s">
        <v>7</v>
      </c>
      <c r="DK548" s="27" t="s">
        <v>8</v>
      </c>
      <c r="DL548" s="27" t="s">
        <v>7</v>
      </c>
      <c r="DM548" s="27" t="s">
        <v>8</v>
      </c>
      <c r="EV548" s="27" t="s">
        <v>7</v>
      </c>
      <c r="EW548" s="27" t="s">
        <v>8</v>
      </c>
      <c r="EX548" s="27" t="s">
        <v>7</v>
      </c>
      <c r="EY548" s="27" t="s">
        <v>8</v>
      </c>
      <c r="EZ548" s="27" t="s">
        <v>7</v>
      </c>
      <c r="FA548" s="27" t="s">
        <v>8</v>
      </c>
      <c r="FB548" s="27" t="s">
        <v>7</v>
      </c>
      <c r="FC548" s="27" t="s">
        <v>8</v>
      </c>
      <c r="FD548" s="27" t="s">
        <v>7</v>
      </c>
      <c r="FG548" s="27" t="s">
        <v>8</v>
      </c>
      <c r="FH548" s="27" t="s">
        <v>7</v>
      </c>
      <c r="FI548" s="27" t="s">
        <v>8</v>
      </c>
      <c r="FJ548" s="27" t="s">
        <v>7</v>
      </c>
      <c r="FM548" s="27" t="s">
        <v>8</v>
      </c>
      <c r="FN548" s="27" t="s">
        <v>7</v>
      </c>
      <c r="FO548" s="27" t="s">
        <v>8</v>
      </c>
      <c r="FP548" s="27" t="s">
        <v>7</v>
      </c>
      <c r="FW548" s="27" t="s">
        <v>8</v>
      </c>
      <c r="FX548" s="27" t="s">
        <v>7</v>
      </c>
      <c r="GG548" s="27" t="s">
        <v>8</v>
      </c>
      <c r="GH548" s="27" t="s">
        <v>7</v>
      </c>
      <c r="GI548" s="27" t="s">
        <v>8</v>
      </c>
      <c r="HB548" s="27" t="s">
        <v>7</v>
      </c>
      <c r="HC548" s="27" t="s">
        <v>8</v>
      </c>
      <c r="HD548" s="27" t="s">
        <v>7</v>
      </c>
      <c r="HE548" s="27" t="s">
        <v>8</v>
      </c>
      <c r="HF548" s="27" t="s">
        <v>7</v>
      </c>
      <c r="HG548" s="27" t="s">
        <v>8</v>
      </c>
      <c r="HT548" s="27" t="s">
        <v>7</v>
      </c>
      <c r="HU548" s="27" t="s">
        <v>8</v>
      </c>
      <c r="IH548" s="27" t="s">
        <v>7</v>
      </c>
      <c r="II548" s="27" t="s">
        <v>8</v>
      </c>
      <c r="IJ548" s="27" t="s">
        <v>7</v>
      </c>
      <c r="IW548" s="27" t="s">
        <v>8</v>
      </c>
      <c r="IX548" s="27" t="s">
        <v>7</v>
      </c>
    </row>
    <row r="549" spans="1:264" x14ac:dyDescent="0.25">
      <c r="A549" s="7">
        <v>2.1222987924018204</v>
      </c>
      <c r="B549"/>
      <c r="C549"/>
      <c r="D549"/>
      <c r="E549"/>
      <c r="G549" s="27" t="s">
        <v>8</v>
      </c>
      <c r="H549" s="27" t="s">
        <v>7</v>
      </c>
      <c r="Q549" s="27" t="s">
        <v>8</v>
      </c>
      <c r="Z549" s="27" t="s">
        <v>7</v>
      </c>
      <c r="AA549" s="27" t="s">
        <v>8</v>
      </c>
      <c r="AB549" s="27" t="s">
        <v>7</v>
      </c>
      <c r="DC549" s="27" t="s">
        <v>8</v>
      </c>
      <c r="DD549" s="27" t="s">
        <v>7</v>
      </c>
      <c r="DE549" s="27" t="s">
        <v>8</v>
      </c>
      <c r="DH549" s="27" t="s">
        <v>7</v>
      </c>
      <c r="DI549" s="27" t="s">
        <v>8</v>
      </c>
      <c r="DJ549" s="27" t="s">
        <v>7</v>
      </c>
      <c r="DK549" s="27" t="s">
        <v>8</v>
      </c>
      <c r="DL549" s="27" t="s">
        <v>7</v>
      </c>
      <c r="DM549" s="27" t="s">
        <v>8</v>
      </c>
      <c r="EV549" s="27" t="s">
        <v>7</v>
      </c>
      <c r="EW549" s="27" t="s">
        <v>8</v>
      </c>
      <c r="EX549" s="27" t="s">
        <v>7</v>
      </c>
      <c r="EY549" s="27" t="s">
        <v>8</v>
      </c>
      <c r="EZ549" s="27" t="s">
        <v>7</v>
      </c>
      <c r="FA549" s="27" t="s">
        <v>8</v>
      </c>
      <c r="FB549" s="27" t="s">
        <v>7</v>
      </c>
      <c r="FC549" s="27" t="s">
        <v>8</v>
      </c>
      <c r="FD549" s="27" t="s">
        <v>7</v>
      </c>
      <c r="FE549" s="27" t="s">
        <v>8</v>
      </c>
      <c r="FG549" s="27" t="s">
        <v>8</v>
      </c>
      <c r="FH549" s="27" t="s">
        <v>7</v>
      </c>
      <c r="FI549" s="27" t="s">
        <v>8</v>
      </c>
      <c r="FJ549" s="27" t="s">
        <v>7</v>
      </c>
      <c r="FM549" s="27" t="s">
        <v>8</v>
      </c>
      <c r="FN549" s="27" t="s">
        <v>7</v>
      </c>
      <c r="FO549" s="27" t="s">
        <v>8</v>
      </c>
      <c r="FP549" s="27" t="s">
        <v>7</v>
      </c>
      <c r="FW549" s="27" t="s">
        <v>8</v>
      </c>
      <c r="FX549" s="27" t="s">
        <v>7</v>
      </c>
      <c r="GG549" s="27" t="s">
        <v>8</v>
      </c>
      <c r="GH549" s="27" t="s">
        <v>7</v>
      </c>
      <c r="HB549" s="27" t="s">
        <v>7</v>
      </c>
      <c r="HC549" s="27" t="s">
        <v>8</v>
      </c>
      <c r="HD549" s="27" t="s">
        <v>7</v>
      </c>
      <c r="HE549" s="27" t="s">
        <v>8</v>
      </c>
      <c r="HF549" s="27" t="s">
        <v>7</v>
      </c>
      <c r="HG549" s="27" t="s">
        <v>8</v>
      </c>
      <c r="HT549" s="27" t="s">
        <v>7</v>
      </c>
      <c r="HU549" s="27" t="s">
        <v>8</v>
      </c>
      <c r="IH549" s="27" t="s">
        <v>7</v>
      </c>
      <c r="II549" s="27" t="s">
        <v>8</v>
      </c>
      <c r="IJ549" s="27" t="s">
        <v>7</v>
      </c>
      <c r="IW549" s="27" t="s">
        <v>8</v>
      </c>
      <c r="IX549" s="27" t="s">
        <v>7</v>
      </c>
    </row>
    <row r="550" spans="1:264" x14ac:dyDescent="0.25">
      <c r="A550" s="7">
        <v>2.0806850905900198</v>
      </c>
      <c r="B550"/>
      <c r="C550"/>
      <c r="D550"/>
      <c r="E550"/>
      <c r="G550" s="27" t="s">
        <v>8</v>
      </c>
      <c r="H550" s="27" t="s">
        <v>7</v>
      </c>
      <c r="M550" s="27" t="s">
        <v>8</v>
      </c>
      <c r="Q550" s="27" t="s">
        <v>8</v>
      </c>
      <c r="Z550" s="27" t="s">
        <v>7</v>
      </c>
      <c r="AA550" s="27" t="s">
        <v>8</v>
      </c>
      <c r="AB550" s="27" t="s">
        <v>7</v>
      </c>
      <c r="DC550" s="27" t="s">
        <v>8</v>
      </c>
      <c r="DD550" s="27" t="s">
        <v>7</v>
      </c>
      <c r="DE550" s="27" t="s">
        <v>8</v>
      </c>
      <c r="DH550" s="27" t="s">
        <v>7</v>
      </c>
      <c r="DI550" s="27" t="s">
        <v>8</v>
      </c>
      <c r="DJ550" s="27" t="s">
        <v>7</v>
      </c>
      <c r="DK550" s="27" t="s">
        <v>8</v>
      </c>
      <c r="DL550" s="27" t="s">
        <v>7</v>
      </c>
      <c r="DM550" s="27" t="s">
        <v>8</v>
      </c>
      <c r="EV550" s="27" t="s">
        <v>7</v>
      </c>
      <c r="EW550" s="27" t="s">
        <v>8</v>
      </c>
      <c r="EX550" s="27" t="s">
        <v>7</v>
      </c>
      <c r="EY550" s="27" t="s">
        <v>8</v>
      </c>
      <c r="EZ550" s="27" t="s">
        <v>7</v>
      </c>
      <c r="FA550" s="27" t="s">
        <v>8</v>
      </c>
      <c r="FB550" s="27" t="s">
        <v>7</v>
      </c>
      <c r="FC550" s="27" t="s">
        <v>8</v>
      </c>
      <c r="FD550" s="27" t="s">
        <v>7</v>
      </c>
      <c r="FE550" s="27" t="s">
        <v>8</v>
      </c>
      <c r="FF550" s="27" t="s">
        <v>7</v>
      </c>
      <c r="FG550" s="27" t="s">
        <v>8</v>
      </c>
      <c r="FH550" s="27" t="s">
        <v>7</v>
      </c>
      <c r="FI550" s="27" t="s">
        <v>8</v>
      </c>
      <c r="FJ550" s="27" t="s">
        <v>7</v>
      </c>
      <c r="FM550" s="27" t="s">
        <v>8</v>
      </c>
      <c r="FN550" s="27" t="s">
        <v>7</v>
      </c>
      <c r="FO550" s="27" t="s">
        <v>8</v>
      </c>
      <c r="FP550" s="27" t="s">
        <v>7</v>
      </c>
      <c r="FS550" s="27" t="s">
        <v>8</v>
      </c>
      <c r="FW550" s="27" t="s">
        <v>8</v>
      </c>
      <c r="FX550" s="27" t="s">
        <v>7</v>
      </c>
      <c r="GG550" s="27" t="s">
        <v>8</v>
      </c>
      <c r="HB550" s="27" t="s">
        <v>7</v>
      </c>
      <c r="HC550" s="27" t="s">
        <v>8</v>
      </c>
      <c r="HD550" s="27" t="s">
        <v>7</v>
      </c>
      <c r="HE550" s="27" t="s">
        <v>8</v>
      </c>
      <c r="HF550" s="27" t="s">
        <v>7</v>
      </c>
      <c r="HG550" s="27" t="s">
        <v>8</v>
      </c>
      <c r="HT550" s="27" t="s">
        <v>7</v>
      </c>
      <c r="HU550" s="27" t="s">
        <v>8</v>
      </c>
      <c r="IH550" s="27" t="s">
        <v>7</v>
      </c>
      <c r="IJ550" s="27" t="s">
        <v>7</v>
      </c>
      <c r="IW550" s="27" t="s">
        <v>8</v>
      </c>
      <c r="IX550" s="27" t="s">
        <v>7</v>
      </c>
    </row>
    <row r="551" spans="1:264" x14ac:dyDescent="0.25">
      <c r="A551" s="7">
        <v>2.0398873437157055</v>
      </c>
      <c r="B551"/>
      <c r="C551"/>
      <c r="D551"/>
      <c r="E551"/>
      <c r="G551" s="27" t="s">
        <v>8</v>
      </c>
      <c r="H551" s="27" t="s">
        <v>7</v>
      </c>
      <c r="M551" s="27" t="s">
        <v>8</v>
      </c>
      <c r="N551" s="27" t="s">
        <v>7</v>
      </c>
      <c r="Q551" s="27" t="s">
        <v>8</v>
      </c>
      <c r="Z551" s="27" t="s">
        <v>7</v>
      </c>
      <c r="AA551" s="27" t="s">
        <v>8</v>
      </c>
      <c r="AB551" s="27" t="s">
        <v>7</v>
      </c>
      <c r="DC551" s="27" t="s">
        <v>8</v>
      </c>
      <c r="DD551" s="27" t="s">
        <v>7</v>
      </c>
      <c r="DE551" s="27" t="s">
        <v>8</v>
      </c>
      <c r="DH551" s="27" t="s">
        <v>7</v>
      </c>
      <c r="DI551" s="27" t="s">
        <v>8</v>
      </c>
      <c r="DJ551" s="27" t="s">
        <v>7</v>
      </c>
      <c r="DL551" s="27" t="s">
        <v>7</v>
      </c>
      <c r="DM551" s="27" t="s">
        <v>8</v>
      </c>
      <c r="EV551" s="27" t="s">
        <v>7</v>
      </c>
      <c r="EW551" s="27" t="s">
        <v>8</v>
      </c>
      <c r="EX551" s="27" t="s">
        <v>7</v>
      </c>
      <c r="EY551" s="27" t="s">
        <v>8</v>
      </c>
      <c r="EZ551" s="27" t="s">
        <v>7</v>
      </c>
      <c r="FA551" s="27" t="s">
        <v>8</v>
      </c>
      <c r="FB551" s="27" t="s">
        <v>7</v>
      </c>
      <c r="FC551" s="27" t="s">
        <v>8</v>
      </c>
      <c r="FD551" s="27" t="s">
        <v>7</v>
      </c>
      <c r="FE551" s="27" t="s">
        <v>8</v>
      </c>
      <c r="FF551" s="27" t="s">
        <v>7</v>
      </c>
      <c r="FG551" s="27" t="s">
        <v>8</v>
      </c>
      <c r="FH551" s="27" t="s">
        <v>7</v>
      </c>
      <c r="FI551" s="27" t="s">
        <v>8</v>
      </c>
      <c r="FJ551" s="27" t="s">
        <v>7</v>
      </c>
      <c r="FK551" s="27" t="s">
        <v>8</v>
      </c>
      <c r="FM551" s="27" t="s">
        <v>8</v>
      </c>
      <c r="FN551" s="27" t="s">
        <v>7</v>
      </c>
      <c r="FO551" s="27" t="s">
        <v>8</v>
      </c>
      <c r="FP551" s="27" t="s">
        <v>7</v>
      </c>
      <c r="FS551" s="27" t="s">
        <v>8</v>
      </c>
      <c r="FT551" s="27" t="s">
        <v>7</v>
      </c>
      <c r="FU551" s="27" t="s">
        <v>8</v>
      </c>
      <c r="FW551" s="27" t="s">
        <v>8</v>
      </c>
      <c r="FX551" s="27" t="s">
        <v>7</v>
      </c>
      <c r="GE551" s="27" t="s">
        <v>8</v>
      </c>
      <c r="GG551" s="27" t="s">
        <v>8</v>
      </c>
      <c r="HB551" s="27" t="s">
        <v>7</v>
      </c>
      <c r="HC551" s="27" t="s">
        <v>8</v>
      </c>
      <c r="HD551" s="27" t="s">
        <v>7</v>
      </c>
      <c r="HE551" s="27" t="s">
        <v>8</v>
      </c>
      <c r="HF551" s="27" t="s">
        <v>7</v>
      </c>
      <c r="HG551" s="27" t="s">
        <v>8</v>
      </c>
      <c r="HT551" s="27" t="s">
        <v>7</v>
      </c>
      <c r="HU551" s="27" t="s">
        <v>8</v>
      </c>
      <c r="IJ551" s="27" t="s">
        <v>7</v>
      </c>
      <c r="IW551" s="27" t="s">
        <v>8</v>
      </c>
      <c r="IX551" s="27" t="s">
        <v>7</v>
      </c>
    </row>
    <row r="552" spans="1:264" x14ac:dyDescent="0.25">
      <c r="A552" s="7">
        <v>1.9998895526624565</v>
      </c>
      <c r="B552"/>
      <c r="C552"/>
      <c r="D552"/>
      <c r="E552"/>
      <c r="G552" s="27" t="s">
        <v>8</v>
      </c>
      <c r="H552" s="27" t="s">
        <v>7</v>
      </c>
      <c r="M552" s="27" t="s">
        <v>8</v>
      </c>
      <c r="N552" s="27" t="s">
        <v>7</v>
      </c>
      <c r="Q552" s="27" t="s">
        <v>8</v>
      </c>
      <c r="Z552" s="27" t="s">
        <v>7</v>
      </c>
      <c r="AA552" s="27" t="s">
        <v>8</v>
      </c>
      <c r="AB552" s="27" t="s">
        <v>7</v>
      </c>
      <c r="DC552" s="27" t="s">
        <v>8</v>
      </c>
      <c r="DD552" s="27" t="s">
        <v>7</v>
      </c>
      <c r="DE552" s="27" t="s">
        <v>8</v>
      </c>
      <c r="DH552" s="27" t="s">
        <v>7</v>
      </c>
      <c r="DI552" s="27" t="s">
        <v>8</v>
      </c>
      <c r="DL552" s="27" t="s">
        <v>7</v>
      </c>
      <c r="DM552" s="27" t="s">
        <v>8</v>
      </c>
      <c r="EV552" s="27" t="s">
        <v>7</v>
      </c>
      <c r="EW552" s="27" t="s">
        <v>8</v>
      </c>
      <c r="EX552" s="27" t="s">
        <v>7</v>
      </c>
      <c r="EY552" s="27" t="s">
        <v>8</v>
      </c>
      <c r="EZ552" s="27" t="s">
        <v>7</v>
      </c>
      <c r="FA552" s="27" t="s">
        <v>8</v>
      </c>
      <c r="FB552" s="27" t="s">
        <v>7</v>
      </c>
      <c r="FC552" s="27" t="s">
        <v>8</v>
      </c>
      <c r="FD552" s="27" t="s">
        <v>7</v>
      </c>
      <c r="FE552" s="27" t="s">
        <v>8</v>
      </c>
      <c r="FF552" s="27" t="s">
        <v>7</v>
      </c>
      <c r="FH552" s="27" t="s">
        <v>7</v>
      </c>
      <c r="FI552" s="27" t="s">
        <v>8</v>
      </c>
      <c r="FJ552" s="27" t="s">
        <v>7</v>
      </c>
      <c r="FK552" s="27" t="s">
        <v>8</v>
      </c>
      <c r="FL552" s="27" t="s">
        <v>7</v>
      </c>
      <c r="FM552" s="27" t="s">
        <v>8</v>
      </c>
      <c r="FN552" s="27" t="s">
        <v>7</v>
      </c>
      <c r="FO552" s="27" t="s">
        <v>8</v>
      </c>
      <c r="FP552" s="27" t="s">
        <v>7</v>
      </c>
      <c r="FS552" s="27" t="s">
        <v>8</v>
      </c>
      <c r="FT552" s="27" t="s">
        <v>7</v>
      </c>
      <c r="FU552" s="27" t="s">
        <v>8</v>
      </c>
      <c r="FV552" s="27" t="s">
        <v>7</v>
      </c>
      <c r="FW552" s="27" t="s">
        <v>8</v>
      </c>
      <c r="FX552" s="27" t="s">
        <v>7</v>
      </c>
      <c r="GE552" s="27" t="s">
        <v>8</v>
      </c>
      <c r="GF552" s="27" t="s">
        <v>7</v>
      </c>
      <c r="GG552" s="27" t="s">
        <v>8</v>
      </c>
      <c r="HB552" s="27" t="s">
        <v>7</v>
      </c>
      <c r="HC552" s="27" t="s">
        <v>8</v>
      </c>
      <c r="HD552" s="27" t="s">
        <v>7</v>
      </c>
      <c r="HE552" s="27" t="s">
        <v>8</v>
      </c>
      <c r="HF552" s="27" t="s">
        <v>7</v>
      </c>
      <c r="HT552" s="27" t="s">
        <v>7</v>
      </c>
      <c r="HU552" s="27" t="s">
        <v>8</v>
      </c>
      <c r="IJ552" s="27" t="s">
        <v>7</v>
      </c>
      <c r="IW552" s="27" t="s">
        <v>8</v>
      </c>
      <c r="IX552" s="27" t="s">
        <v>7</v>
      </c>
    </row>
    <row r="553" spans="1:264" x14ac:dyDescent="0.25">
      <c r="A553" s="7">
        <v>1.9606760320220162</v>
      </c>
      <c r="B553"/>
      <c r="C553"/>
      <c r="D553"/>
      <c r="E553"/>
      <c r="G553" s="27" t="s">
        <v>8</v>
      </c>
      <c r="H553" s="27" t="s">
        <v>7</v>
      </c>
      <c r="M553" s="27" t="s">
        <v>8</v>
      </c>
      <c r="N553" s="27" t="s">
        <v>7</v>
      </c>
      <c r="Q553" s="27" t="s">
        <v>8</v>
      </c>
      <c r="Z553" s="27" t="s">
        <v>7</v>
      </c>
      <c r="AA553" s="27" t="s">
        <v>8</v>
      </c>
      <c r="AB553" s="27" t="s">
        <v>7</v>
      </c>
      <c r="AG553" s="27" t="s">
        <v>8</v>
      </c>
      <c r="DC553" s="27" t="s">
        <v>8</v>
      </c>
      <c r="DD553" s="27" t="s">
        <v>7</v>
      </c>
      <c r="DE553" s="27" t="s">
        <v>8</v>
      </c>
      <c r="DH553" s="27" t="s">
        <v>7</v>
      </c>
      <c r="DI553" s="27" t="s">
        <v>8</v>
      </c>
      <c r="DL553" s="27" t="s">
        <v>7</v>
      </c>
      <c r="DM553" s="27" t="s">
        <v>8</v>
      </c>
      <c r="EV553" s="27" t="s">
        <v>7</v>
      </c>
      <c r="EW553" s="27" t="s">
        <v>8</v>
      </c>
      <c r="EX553" s="27" t="s">
        <v>7</v>
      </c>
      <c r="EY553" s="27" t="s">
        <v>8</v>
      </c>
      <c r="EZ553" s="27" t="s">
        <v>7</v>
      </c>
      <c r="FA553" s="27" t="s">
        <v>8</v>
      </c>
      <c r="FB553" s="27" t="s">
        <v>7</v>
      </c>
      <c r="FC553" s="27" t="s">
        <v>8</v>
      </c>
      <c r="FD553" s="27" t="s">
        <v>7</v>
      </c>
      <c r="FE553" s="27" t="s">
        <v>8</v>
      </c>
      <c r="FH553" s="27" t="s">
        <v>7</v>
      </c>
      <c r="FJ553" s="27" t="s">
        <v>7</v>
      </c>
      <c r="FK553" s="27" t="s">
        <v>8</v>
      </c>
      <c r="FL553" s="27" t="s">
        <v>7</v>
      </c>
      <c r="FM553" s="27" t="s">
        <v>8</v>
      </c>
      <c r="FN553" s="27" t="s">
        <v>7</v>
      </c>
      <c r="FP553" s="27" t="s">
        <v>7</v>
      </c>
      <c r="FQ553" s="27" t="s">
        <v>8</v>
      </c>
      <c r="FS553" s="27" t="s">
        <v>8</v>
      </c>
      <c r="FT553" s="27" t="s">
        <v>7</v>
      </c>
      <c r="FU553" s="27" t="s">
        <v>8</v>
      </c>
      <c r="FV553" s="27" t="s">
        <v>7</v>
      </c>
      <c r="FW553" s="27" t="s">
        <v>8</v>
      </c>
      <c r="FX553" s="27" t="s">
        <v>7</v>
      </c>
      <c r="FY553" s="27" t="s">
        <v>8</v>
      </c>
      <c r="GE553" s="27" t="s">
        <v>8</v>
      </c>
      <c r="GF553" s="27" t="s">
        <v>7</v>
      </c>
      <c r="GG553" s="27" t="s">
        <v>8</v>
      </c>
      <c r="HB553" s="27" t="s">
        <v>7</v>
      </c>
      <c r="HD553" s="27" t="s">
        <v>7</v>
      </c>
      <c r="HT553" s="27" t="s">
        <v>7</v>
      </c>
      <c r="HU553" s="27" t="s">
        <v>8</v>
      </c>
      <c r="IJ553" s="27" t="s">
        <v>7</v>
      </c>
      <c r="IW553" s="27" t="s">
        <v>8</v>
      </c>
      <c r="IX553" s="27" t="s">
        <v>7</v>
      </c>
    </row>
    <row r="554" spans="1:264" x14ac:dyDescent="0.25">
      <c r="A554" s="7">
        <v>1.9222314039431532</v>
      </c>
      <c r="B554"/>
      <c r="C554"/>
      <c r="D554"/>
      <c r="E554"/>
      <c r="G554" s="27" t="s">
        <v>8</v>
      </c>
      <c r="H554" s="27" t="s">
        <v>7</v>
      </c>
      <c r="K554" s="27" t="s">
        <v>8</v>
      </c>
      <c r="M554" s="27" t="s">
        <v>8</v>
      </c>
      <c r="N554" s="27" t="s">
        <v>7</v>
      </c>
      <c r="O554" s="27" t="s">
        <v>8</v>
      </c>
      <c r="Q554" s="27" t="s">
        <v>8</v>
      </c>
      <c r="Z554" s="27" t="s">
        <v>7</v>
      </c>
      <c r="AA554" s="27" t="s">
        <v>8</v>
      </c>
      <c r="AB554" s="27" t="s">
        <v>7</v>
      </c>
      <c r="AC554" s="27" t="s">
        <v>8</v>
      </c>
      <c r="AE554" s="27" t="s">
        <v>8</v>
      </c>
      <c r="AG554" s="27" t="s">
        <v>8</v>
      </c>
      <c r="AH554" s="27" t="s">
        <v>7</v>
      </c>
      <c r="DA554" s="27" t="s">
        <v>8</v>
      </c>
      <c r="DC554" s="27" t="s">
        <v>8</v>
      </c>
      <c r="DD554" s="27" t="s">
        <v>7</v>
      </c>
      <c r="DE554" s="27" t="s">
        <v>8</v>
      </c>
      <c r="DH554" s="27" t="s">
        <v>7</v>
      </c>
      <c r="DI554" s="27" t="s">
        <v>8</v>
      </c>
      <c r="DL554" s="27" t="s">
        <v>7</v>
      </c>
      <c r="DM554" s="27" t="s">
        <v>8</v>
      </c>
      <c r="EV554" s="27" t="s">
        <v>7</v>
      </c>
      <c r="EW554" s="27" t="s">
        <v>8</v>
      </c>
      <c r="EX554" s="27" t="s">
        <v>7</v>
      </c>
      <c r="EY554" s="27" t="s">
        <v>8</v>
      </c>
      <c r="EZ554" s="27" t="s">
        <v>7</v>
      </c>
      <c r="FA554" s="27" t="s">
        <v>8</v>
      </c>
      <c r="FB554" s="27" t="s">
        <v>7</v>
      </c>
      <c r="FD554" s="27" t="s">
        <v>7</v>
      </c>
      <c r="FE554" s="27" t="s">
        <v>8</v>
      </c>
      <c r="FJ554" s="27" t="s">
        <v>7</v>
      </c>
      <c r="FK554" s="27" t="s">
        <v>8</v>
      </c>
      <c r="FL554" s="27" t="s">
        <v>7</v>
      </c>
      <c r="FM554" s="27" t="s">
        <v>8</v>
      </c>
      <c r="FP554" s="27" t="s">
        <v>7</v>
      </c>
      <c r="FQ554" s="27" t="s">
        <v>8</v>
      </c>
      <c r="FR554" s="27" t="s">
        <v>7</v>
      </c>
      <c r="FS554" s="27" t="s">
        <v>8</v>
      </c>
      <c r="FT554" s="27" t="s">
        <v>7</v>
      </c>
      <c r="FU554" s="27" t="s">
        <v>8</v>
      </c>
      <c r="FV554" s="27" t="s">
        <v>7</v>
      </c>
      <c r="FX554" s="27" t="s">
        <v>7</v>
      </c>
      <c r="FY554" s="27" t="s">
        <v>8</v>
      </c>
      <c r="FZ554" s="27" t="s">
        <v>7</v>
      </c>
      <c r="GE554" s="27" t="s">
        <v>8</v>
      </c>
      <c r="GF554" s="27" t="s">
        <v>7</v>
      </c>
      <c r="GG554" s="27" t="s">
        <v>8</v>
      </c>
      <c r="HT554" s="27" t="s">
        <v>7</v>
      </c>
      <c r="HU554" s="27" t="s">
        <v>8</v>
      </c>
      <c r="IJ554" s="27" t="s">
        <v>7</v>
      </c>
      <c r="IW554" s="27" t="s">
        <v>8</v>
      </c>
      <c r="IX554" s="27" t="s">
        <v>7</v>
      </c>
    </row>
    <row r="555" spans="1:264" x14ac:dyDescent="0.25">
      <c r="A555" s="7">
        <v>1.8845405921011305</v>
      </c>
      <c r="B555"/>
      <c r="C555"/>
      <c r="D555"/>
      <c r="E555"/>
      <c r="G555" s="27" t="s">
        <v>8</v>
      </c>
      <c r="H555" s="27" t="s">
        <v>7</v>
      </c>
      <c r="K555" s="27" t="s">
        <v>8</v>
      </c>
      <c r="L555" s="27" t="s">
        <v>7</v>
      </c>
      <c r="M555" s="27" t="s">
        <v>8</v>
      </c>
      <c r="N555" s="27" t="s">
        <v>7</v>
      </c>
      <c r="O555" s="27" t="s">
        <v>8</v>
      </c>
      <c r="P555" s="27" t="s">
        <v>7</v>
      </c>
      <c r="Q555" s="27" t="s">
        <v>8</v>
      </c>
      <c r="Z555" s="27" t="s">
        <v>7</v>
      </c>
      <c r="AA555" s="27" t="s">
        <v>8</v>
      </c>
      <c r="AB555" s="27" t="s">
        <v>7</v>
      </c>
      <c r="AC555" s="27" t="s">
        <v>8</v>
      </c>
      <c r="AD555" s="27" t="s">
        <v>7</v>
      </c>
      <c r="AE555" s="27" t="s">
        <v>8</v>
      </c>
      <c r="AF555" s="27" t="s">
        <v>7</v>
      </c>
      <c r="AG555" s="27" t="s">
        <v>8</v>
      </c>
      <c r="AH555" s="27" t="s">
        <v>7</v>
      </c>
      <c r="DA555" s="27" t="s">
        <v>8</v>
      </c>
      <c r="DB555" s="27" t="s">
        <v>7</v>
      </c>
      <c r="DC555" s="27" t="s">
        <v>8</v>
      </c>
      <c r="DD555" s="27" t="s">
        <v>7</v>
      </c>
      <c r="DE555" s="27" t="s">
        <v>8</v>
      </c>
      <c r="DH555" s="27" t="s">
        <v>7</v>
      </c>
      <c r="DI555" s="27" t="s">
        <v>8</v>
      </c>
      <c r="DL555" s="27" t="s">
        <v>7</v>
      </c>
      <c r="DM555" s="27" t="s">
        <v>8</v>
      </c>
      <c r="EV555" s="27" t="s">
        <v>7</v>
      </c>
      <c r="EW555" s="27" t="s">
        <v>8</v>
      </c>
      <c r="EX555" s="27" t="s">
        <v>7</v>
      </c>
      <c r="EZ555" s="27" t="s">
        <v>7</v>
      </c>
      <c r="FA555" s="27" t="s">
        <v>8</v>
      </c>
      <c r="FD555" s="27" t="s">
        <v>7</v>
      </c>
      <c r="FE555" s="27" t="s">
        <v>8</v>
      </c>
      <c r="FJ555" s="27" t="s">
        <v>7</v>
      </c>
      <c r="FK555" s="27" t="s">
        <v>8</v>
      </c>
      <c r="FL555" s="27" t="s">
        <v>7</v>
      </c>
      <c r="FM555" s="27" t="s">
        <v>8</v>
      </c>
      <c r="FP555" s="27" t="s">
        <v>7</v>
      </c>
      <c r="FQ555" s="27" t="s">
        <v>8</v>
      </c>
      <c r="FR555" s="27" t="s">
        <v>7</v>
      </c>
      <c r="FS555" s="27" t="s">
        <v>8</v>
      </c>
      <c r="FT555" s="27" t="s">
        <v>7</v>
      </c>
      <c r="FU555" s="27" t="s">
        <v>8</v>
      </c>
      <c r="FX555" s="27" t="s">
        <v>7</v>
      </c>
      <c r="FY555" s="27" t="s">
        <v>8</v>
      </c>
      <c r="FZ555" s="27" t="s">
        <v>7</v>
      </c>
      <c r="GE555" s="27" t="s">
        <v>8</v>
      </c>
      <c r="GF555" s="27" t="s">
        <v>7</v>
      </c>
      <c r="HT555" s="27" t="s">
        <v>7</v>
      </c>
      <c r="HU555" s="27" t="s">
        <v>8</v>
      </c>
      <c r="IJ555" s="27" t="s">
        <v>7</v>
      </c>
      <c r="IW555" s="27" t="s">
        <v>8</v>
      </c>
      <c r="IX555" s="27" t="s">
        <v>7</v>
      </c>
    </row>
    <row r="556" spans="1:264" x14ac:dyDescent="0.25">
      <c r="A556" s="7">
        <v>1.8475888157854219</v>
      </c>
      <c r="B556"/>
      <c r="C556"/>
      <c r="D556"/>
      <c r="E556"/>
      <c r="G556" s="27" t="s">
        <v>8</v>
      </c>
      <c r="H556" s="27" t="s">
        <v>7</v>
      </c>
      <c r="K556" s="27" t="s">
        <v>8</v>
      </c>
      <c r="L556" s="27" t="s">
        <v>7</v>
      </c>
      <c r="M556" s="27" t="s">
        <v>8</v>
      </c>
      <c r="N556" s="27" t="s">
        <v>7</v>
      </c>
      <c r="O556" s="27" t="s">
        <v>8</v>
      </c>
      <c r="P556" s="27" t="s">
        <v>7</v>
      </c>
      <c r="Q556" s="27" t="s">
        <v>8</v>
      </c>
      <c r="Z556" s="27" t="s">
        <v>7</v>
      </c>
      <c r="AA556" s="27" t="s">
        <v>8</v>
      </c>
      <c r="AB556" s="27" t="s">
        <v>7</v>
      </c>
      <c r="AC556" s="27" t="s">
        <v>8</v>
      </c>
      <c r="AD556" s="27" t="s">
        <v>7</v>
      </c>
      <c r="AE556" s="27" t="s">
        <v>8</v>
      </c>
      <c r="AF556" s="27" t="s">
        <v>7</v>
      </c>
      <c r="AG556" s="27" t="s">
        <v>8</v>
      </c>
      <c r="AH556" s="27" t="s">
        <v>7</v>
      </c>
      <c r="AO556" s="27" t="s">
        <v>8</v>
      </c>
      <c r="DA556" s="27" t="s">
        <v>8</v>
      </c>
      <c r="DB556" s="27" t="s">
        <v>7</v>
      </c>
      <c r="DC556" s="27" t="s">
        <v>8</v>
      </c>
      <c r="DD556" s="27" t="s">
        <v>7</v>
      </c>
      <c r="DE556" s="27" t="s">
        <v>8</v>
      </c>
      <c r="DH556" s="27" t="s">
        <v>7</v>
      </c>
      <c r="DI556" s="27" t="s">
        <v>8</v>
      </c>
      <c r="DL556" s="27" t="s">
        <v>7</v>
      </c>
      <c r="EV556" s="27" t="s">
        <v>7</v>
      </c>
      <c r="EW556" s="27" t="s">
        <v>8</v>
      </c>
      <c r="EZ556" s="27" t="s">
        <v>7</v>
      </c>
      <c r="FA556" s="27" t="s">
        <v>8</v>
      </c>
      <c r="FD556" s="27" t="s">
        <v>7</v>
      </c>
      <c r="FE556" s="27" t="s">
        <v>8</v>
      </c>
      <c r="FJ556" s="27" t="s">
        <v>7</v>
      </c>
      <c r="FK556" s="27" t="s">
        <v>8</v>
      </c>
      <c r="FL556" s="27" t="s">
        <v>7</v>
      </c>
      <c r="FM556" s="27" t="s">
        <v>8</v>
      </c>
      <c r="FP556" s="27" t="s">
        <v>7</v>
      </c>
      <c r="FQ556" s="27" t="s">
        <v>8</v>
      </c>
      <c r="FR556" s="27" t="s">
        <v>7</v>
      </c>
      <c r="FS556" s="27" t="s">
        <v>8</v>
      </c>
      <c r="FT556" s="27" t="s">
        <v>7</v>
      </c>
      <c r="FU556" s="27" t="s">
        <v>8</v>
      </c>
      <c r="FX556" s="27" t="s">
        <v>7</v>
      </c>
      <c r="FZ556" s="27" t="s">
        <v>7</v>
      </c>
      <c r="GE556" s="27" t="s">
        <v>8</v>
      </c>
      <c r="HT556" s="27" t="s">
        <v>7</v>
      </c>
      <c r="HU556" s="27" t="s">
        <v>8</v>
      </c>
      <c r="IJ556" s="27" t="s">
        <v>7</v>
      </c>
      <c r="IW556" s="27" t="s">
        <v>8</v>
      </c>
      <c r="IX556" s="27" t="s">
        <v>7</v>
      </c>
      <c r="JC556" s="27" t="s">
        <v>8</v>
      </c>
    </row>
    <row r="557" spans="1:264" x14ac:dyDescent="0.25">
      <c r="A557" s="7">
        <v>1.8113615841033548</v>
      </c>
      <c r="B557"/>
      <c r="C557"/>
      <c r="D557"/>
      <c r="E557"/>
      <c r="G557" s="27" t="s">
        <v>8</v>
      </c>
      <c r="H557" s="27" t="s">
        <v>7</v>
      </c>
      <c r="K557" s="27" t="s">
        <v>8</v>
      </c>
      <c r="L557" s="27" t="s">
        <v>7</v>
      </c>
      <c r="M557" s="27" t="s">
        <v>8</v>
      </c>
      <c r="N557" s="27" t="s">
        <v>7</v>
      </c>
      <c r="O557" s="27" t="s">
        <v>8</v>
      </c>
      <c r="P557" s="27" t="s">
        <v>7</v>
      </c>
      <c r="Q557" s="27" t="s">
        <v>8</v>
      </c>
      <c r="Z557" s="27" t="s">
        <v>7</v>
      </c>
      <c r="AA557" s="27" t="s">
        <v>8</v>
      </c>
      <c r="AB557" s="27" t="s">
        <v>7</v>
      </c>
      <c r="AC557" s="27" t="s">
        <v>8</v>
      </c>
      <c r="AD557" s="27" t="s">
        <v>7</v>
      </c>
      <c r="AE557" s="27" t="s">
        <v>8</v>
      </c>
      <c r="AF557" s="27" t="s">
        <v>7</v>
      </c>
      <c r="AG557" s="27" t="s">
        <v>8</v>
      </c>
      <c r="AH557" s="27" t="s">
        <v>7</v>
      </c>
      <c r="AO557" s="27" t="s">
        <v>8</v>
      </c>
      <c r="AP557" s="27" t="s">
        <v>7</v>
      </c>
      <c r="DA557" s="27" t="s">
        <v>8</v>
      </c>
      <c r="DB557" s="27" t="s">
        <v>7</v>
      </c>
      <c r="DC557" s="27" t="s">
        <v>8</v>
      </c>
      <c r="DD557" s="27" t="s">
        <v>7</v>
      </c>
      <c r="DH557" s="27" t="s">
        <v>7</v>
      </c>
      <c r="DI557" s="27" t="s">
        <v>8</v>
      </c>
      <c r="EV557" s="27" t="s">
        <v>7</v>
      </c>
      <c r="EW557" s="27" t="s">
        <v>8</v>
      </c>
      <c r="EZ557" s="27" t="s">
        <v>7</v>
      </c>
      <c r="FA557" s="27" t="s">
        <v>8</v>
      </c>
      <c r="FD557" s="27" t="s">
        <v>7</v>
      </c>
      <c r="FE557" s="27" t="s">
        <v>8</v>
      </c>
      <c r="FJ557" s="27" t="s">
        <v>7</v>
      </c>
      <c r="FK557" s="27" t="s">
        <v>8</v>
      </c>
      <c r="FL557" s="27" t="s">
        <v>7</v>
      </c>
      <c r="FM557" s="27" t="s">
        <v>8</v>
      </c>
      <c r="FP557" s="27" t="s">
        <v>7</v>
      </c>
      <c r="FQ557" s="27" t="s">
        <v>8</v>
      </c>
      <c r="FR557" s="27" t="s">
        <v>7</v>
      </c>
      <c r="FS557" s="27" t="s">
        <v>8</v>
      </c>
      <c r="FT557" s="27" t="s">
        <v>7</v>
      </c>
      <c r="FZ557" s="27" t="s">
        <v>7</v>
      </c>
      <c r="GC557" s="27" t="s">
        <v>8</v>
      </c>
      <c r="GE557" s="27" t="s">
        <v>8</v>
      </c>
      <c r="HT557" s="27" t="s">
        <v>7</v>
      </c>
      <c r="IJ557" s="27" t="s">
        <v>7</v>
      </c>
      <c r="IW557" s="27" t="s">
        <v>8</v>
      </c>
      <c r="IX557" s="27" t="s">
        <v>7</v>
      </c>
      <c r="JC557" s="27" t="s">
        <v>8</v>
      </c>
      <c r="JD557" s="27" t="s">
        <v>7</v>
      </c>
    </row>
    <row r="558" spans="1:264" x14ac:dyDescent="0.25">
      <c r="A558" s="7">
        <v>1.7758446902974065</v>
      </c>
      <c r="B558"/>
      <c r="C558"/>
      <c r="D558"/>
      <c r="E558" t="s">
        <v>8</v>
      </c>
      <c r="G558" s="27" t="s">
        <v>8</v>
      </c>
      <c r="H558" s="27" t="s">
        <v>7</v>
      </c>
      <c r="K558" s="27" t="s">
        <v>8</v>
      </c>
      <c r="L558" s="27" t="s">
        <v>7</v>
      </c>
      <c r="M558" s="27" t="s">
        <v>8</v>
      </c>
      <c r="N558" s="27" t="s">
        <v>7</v>
      </c>
      <c r="O558" s="27" t="s">
        <v>8</v>
      </c>
      <c r="P558" s="27" t="s">
        <v>7</v>
      </c>
      <c r="Z558" s="27" t="s">
        <v>7</v>
      </c>
      <c r="AB558" s="27" t="s">
        <v>7</v>
      </c>
      <c r="AC558" s="27" t="s">
        <v>8</v>
      </c>
      <c r="AD558" s="27" t="s">
        <v>7</v>
      </c>
      <c r="AE558" s="27" t="s">
        <v>8</v>
      </c>
      <c r="AF558" s="27" t="s">
        <v>7</v>
      </c>
      <c r="AG558" s="27" t="s">
        <v>8</v>
      </c>
      <c r="AH558" s="27" t="s">
        <v>7</v>
      </c>
      <c r="AO558" s="27" t="s">
        <v>8</v>
      </c>
      <c r="AP558" s="27" t="s">
        <v>7</v>
      </c>
      <c r="AQ558" s="27" t="s">
        <v>8</v>
      </c>
      <c r="DA558" s="27" t="s">
        <v>8</v>
      </c>
      <c r="DB558" s="27" t="s">
        <v>7</v>
      </c>
      <c r="DC558" s="27" t="s">
        <v>8</v>
      </c>
      <c r="DH558" s="27" t="s">
        <v>7</v>
      </c>
      <c r="DI558" s="27" t="s">
        <v>8</v>
      </c>
      <c r="EV558" s="27" t="s">
        <v>7</v>
      </c>
      <c r="EW558" s="27" t="s">
        <v>8</v>
      </c>
      <c r="EZ558" s="27" t="s">
        <v>7</v>
      </c>
      <c r="FA558" s="27" t="s">
        <v>8</v>
      </c>
      <c r="FD558" s="27" t="s">
        <v>7</v>
      </c>
      <c r="FE558" s="27" t="s">
        <v>8</v>
      </c>
      <c r="FJ558" s="27" t="s">
        <v>7</v>
      </c>
      <c r="FK558" s="27" t="s">
        <v>8</v>
      </c>
      <c r="FL558" s="27" t="s">
        <v>7</v>
      </c>
      <c r="FM558" s="27" t="s">
        <v>8</v>
      </c>
      <c r="FP558" s="27" t="s">
        <v>7</v>
      </c>
      <c r="FQ558" s="27" t="s">
        <v>8</v>
      </c>
      <c r="FR558" s="27" t="s">
        <v>7</v>
      </c>
      <c r="FS558" s="27" t="s">
        <v>8</v>
      </c>
      <c r="FZ558" s="27" t="s">
        <v>7</v>
      </c>
      <c r="GC558" s="27" t="s">
        <v>8</v>
      </c>
      <c r="GD558" s="27" t="s">
        <v>7</v>
      </c>
      <c r="GE558" s="27" t="s">
        <v>8</v>
      </c>
      <c r="IJ558" s="27" t="s">
        <v>7</v>
      </c>
      <c r="IW558" s="27" t="s">
        <v>8</v>
      </c>
      <c r="IX558" s="27" t="s">
        <v>7</v>
      </c>
      <c r="JC558" s="27" t="s">
        <v>8</v>
      </c>
      <c r="JD558" s="27" t="s">
        <v>7</v>
      </c>
    </row>
    <row r="559" spans="1:264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H559" s="27" t="s">
        <v>7</v>
      </c>
      <c r="I559" s="27" t="s">
        <v>8</v>
      </c>
      <c r="K559" s="27" t="s">
        <v>8</v>
      </c>
      <c r="L559" s="27" t="s">
        <v>7</v>
      </c>
      <c r="M559" s="27" t="s">
        <v>8</v>
      </c>
      <c r="N559" s="27" t="s">
        <v>7</v>
      </c>
      <c r="AB559" s="27" t="s">
        <v>7</v>
      </c>
      <c r="AC559" s="27" t="s">
        <v>8</v>
      </c>
      <c r="AD559" s="27" t="s">
        <v>7</v>
      </c>
      <c r="AE559" s="27" t="s">
        <v>8</v>
      </c>
      <c r="AF559" s="27" t="s">
        <v>7</v>
      </c>
      <c r="AG559" s="27" t="s">
        <v>8</v>
      </c>
      <c r="AH559" s="27" t="s">
        <v>7</v>
      </c>
      <c r="AO559" s="27" t="s">
        <v>8</v>
      </c>
      <c r="AP559" s="27" t="s">
        <v>7</v>
      </c>
      <c r="AQ559" s="27" t="s">
        <v>8</v>
      </c>
      <c r="AR559" s="27" t="s">
        <v>7</v>
      </c>
      <c r="DA559" s="27" t="s">
        <v>8</v>
      </c>
      <c r="DB559" s="27" t="s">
        <v>7</v>
      </c>
      <c r="DC559" s="27" t="s">
        <v>8</v>
      </c>
      <c r="DH559" s="27" t="s">
        <v>7</v>
      </c>
      <c r="DI559" s="27" t="s">
        <v>8</v>
      </c>
      <c r="EV559" s="27" t="s">
        <v>7</v>
      </c>
      <c r="EZ559" s="27" t="s">
        <v>7</v>
      </c>
      <c r="FA559" s="27" t="s">
        <v>8</v>
      </c>
      <c r="FD559" s="27" t="s">
        <v>7</v>
      </c>
      <c r="FJ559" s="27" t="s">
        <v>7</v>
      </c>
      <c r="FL559" s="27" t="s">
        <v>7</v>
      </c>
      <c r="FM559" s="27" t="s">
        <v>8</v>
      </c>
      <c r="FP559" s="27" t="s">
        <v>7</v>
      </c>
      <c r="FQ559" s="27" t="s">
        <v>8</v>
      </c>
      <c r="FR559" s="27" t="s">
        <v>7</v>
      </c>
      <c r="FS559" s="27" t="s">
        <v>8</v>
      </c>
      <c r="FZ559" s="27" t="s">
        <v>7</v>
      </c>
      <c r="GC559" s="27" t="s">
        <v>8</v>
      </c>
      <c r="GD559" s="27" t="s">
        <v>7</v>
      </c>
      <c r="GE559" s="27" t="s">
        <v>8</v>
      </c>
      <c r="IJ559" s="27" t="s">
        <v>7</v>
      </c>
      <c r="IK559" s="27" t="s">
        <v>8</v>
      </c>
      <c r="IM559" s="27" t="s">
        <v>8</v>
      </c>
      <c r="IW559" s="27" t="s">
        <v>8</v>
      </c>
      <c r="IX559" s="27" t="s">
        <v>7</v>
      </c>
      <c r="JC559" s="27" t="s">
        <v>8</v>
      </c>
      <c r="JD559" s="27" t="s">
        <v>7</v>
      </c>
    </row>
    <row r="560" spans="1:264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H560" s="27" t="s">
        <v>7</v>
      </c>
      <c r="I560" s="27" t="s">
        <v>8</v>
      </c>
      <c r="J560" s="27" t="s">
        <v>7</v>
      </c>
      <c r="K560" s="27" t="s">
        <v>8</v>
      </c>
      <c r="L560" s="27" t="s">
        <v>7</v>
      </c>
      <c r="M560" s="27" t="s">
        <v>8</v>
      </c>
      <c r="AB560" s="27" t="s">
        <v>7</v>
      </c>
      <c r="AC560" s="27" t="s">
        <v>8</v>
      </c>
      <c r="AD560" s="27" t="s">
        <v>7</v>
      </c>
      <c r="AE560" s="27" t="s">
        <v>8</v>
      </c>
      <c r="AF560" s="27" t="s">
        <v>7</v>
      </c>
      <c r="AG560" s="27" t="s">
        <v>8</v>
      </c>
      <c r="AH560" s="27" t="s">
        <v>7</v>
      </c>
      <c r="AO560" s="27" t="s">
        <v>8</v>
      </c>
      <c r="AP560" s="27" t="s">
        <v>7</v>
      </c>
      <c r="AQ560" s="27" t="s">
        <v>8</v>
      </c>
      <c r="AR560" s="27" t="s">
        <v>7</v>
      </c>
      <c r="DA560" s="27" t="s">
        <v>8</v>
      </c>
      <c r="DB560" s="27" t="s">
        <v>7</v>
      </c>
      <c r="DC560" s="27" t="s">
        <v>8</v>
      </c>
      <c r="DH560" s="27" t="s">
        <v>7</v>
      </c>
      <c r="EZ560" s="27" t="s">
        <v>7</v>
      </c>
      <c r="FA560" s="27" t="s">
        <v>8</v>
      </c>
      <c r="FL560" s="27" t="s">
        <v>7</v>
      </c>
      <c r="FM560" s="27" t="s">
        <v>8</v>
      </c>
      <c r="FP560" s="27" t="s">
        <v>7</v>
      </c>
      <c r="FQ560" s="27" t="s">
        <v>8</v>
      </c>
      <c r="FR560" s="27" t="s">
        <v>7</v>
      </c>
      <c r="FS560" s="27" t="s">
        <v>8</v>
      </c>
      <c r="FZ560" s="27" t="s">
        <v>7</v>
      </c>
      <c r="GC560" s="27" t="s">
        <v>8</v>
      </c>
      <c r="GD560" s="27" t="s">
        <v>7</v>
      </c>
      <c r="GE560" s="27" t="s">
        <v>8</v>
      </c>
      <c r="IJ560" s="27" t="s">
        <v>7</v>
      </c>
      <c r="IK560" s="27" t="s">
        <v>8</v>
      </c>
      <c r="IL560" s="27" t="s">
        <v>7</v>
      </c>
      <c r="IM560" s="27" t="s">
        <v>8</v>
      </c>
      <c r="IN560" s="27" t="s">
        <v>7</v>
      </c>
      <c r="IU560" s="27" t="s">
        <v>8</v>
      </c>
      <c r="IW560" s="27" t="s">
        <v>8</v>
      </c>
      <c r="IX560" s="27" t="s">
        <v>7</v>
      </c>
      <c r="IY560" s="27" t="s">
        <v>8</v>
      </c>
      <c r="JC560" s="27" t="s">
        <v>8</v>
      </c>
      <c r="JD560" s="27" t="s">
        <v>7</v>
      </c>
    </row>
    <row r="561" spans="1:268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G561" s="27" t="s">
        <v>8</v>
      </c>
      <c r="H561" s="27" t="s">
        <v>7</v>
      </c>
      <c r="I561" s="27" t="s">
        <v>8</v>
      </c>
      <c r="J561" s="27" t="s">
        <v>7</v>
      </c>
      <c r="K561" s="27" t="s">
        <v>8</v>
      </c>
      <c r="L561" s="27" t="s">
        <v>7</v>
      </c>
      <c r="M561" s="27" t="s">
        <v>8</v>
      </c>
      <c r="AB561" s="27" t="s">
        <v>7</v>
      </c>
      <c r="AC561" s="27" t="s">
        <v>8</v>
      </c>
      <c r="AD561" s="27" t="s">
        <v>7</v>
      </c>
      <c r="AE561" s="27" t="s">
        <v>8</v>
      </c>
      <c r="AF561" s="27" t="s">
        <v>7</v>
      </c>
      <c r="AH561" s="27" t="s">
        <v>7</v>
      </c>
      <c r="AI561" s="27" t="s">
        <v>8</v>
      </c>
      <c r="AO561" s="27" t="s">
        <v>8</v>
      </c>
      <c r="AP561" s="27" t="s">
        <v>7</v>
      </c>
      <c r="AQ561" s="27" t="s">
        <v>8</v>
      </c>
      <c r="AR561" s="27" t="s">
        <v>7</v>
      </c>
      <c r="DA561" s="27" t="s">
        <v>8</v>
      </c>
      <c r="DB561" s="27" t="s">
        <v>7</v>
      </c>
      <c r="DC561" s="27" t="s">
        <v>8</v>
      </c>
      <c r="EZ561" s="27" t="s">
        <v>7</v>
      </c>
      <c r="FA561" s="27" t="s">
        <v>8</v>
      </c>
      <c r="FL561" s="27" t="s">
        <v>7</v>
      </c>
      <c r="FM561" s="27" t="s">
        <v>8</v>
      </c>
      <c r="FP561" s="27" t="s">
        <v>7</v>
      </c>
      <c r="FQ561" s="27" t="s">
        <v>8</v>
      </c>
      <c r="FR561" s="27" t="s">
        <v>7</v>
      </c>
      <c r="FS561" s="27" t="s">
        <v>8</v>
      </c>
      <c r="FZ561" s="27" t="s">
        <v>7</v>
      </c>
      <c r="GA561" s="27" t="s">
        <v>8</v>
      </c>
      <c r="GC561" s="27" t="s">
        <v>8</v>
      </c>
      <c r="GD561" s="27" t="s">
        <v>7</v>
      </c>
      <c r="GE561" s="27" t="s">
        <v>8</v>
      </c>
      <c r="IJ561" s="27" t="s">
        <v>7</v>
      </c>
      <c r="IK561" s="27" t="s">
        <v>8</v>
      </c>
      <c r="IL561" s="27" t="s">
        <v>7</v>
      </c>
      <c r="IM561" s="27" t="s">
        <v>8</v>
      </c>
      <c r="IN561" s="27" t="s">
        <v>7</v>
      </c>
      <c r="IU561" s="27" t="s">
        <v>8</v>
      </c>
      <c r="IV561" s="27" t="s">
        <v>7</v>
      </c>
      <c r="IW561" s="27" t="s">
        <v>8</v>
      </c>
      <c r="IX561" s="27" t="s">
        <v>7</v>
      </c>
      <c r="IY561" s="27" t="s">
        <v>8</v>
      </c>
      <c r="IZ561" s="27" t="s">
        <v>7</v>
      </c>
      <c r="JC561" s="27" t="s">
        <v>8</v>
      </c>
      <c r="JD561" s="27" t="s">
        <v>7</v>
      </c>
    </row>
    <row r="562" spans="1:268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G562" s="27" t="s">
        <v>8</v>
      </c>
      <c r="H562" s="27" t="s">
        <v>7</v>
      </c>
      <c r="I562" s="27" t="s">
        <v>8</v>
      </c>
      <c r="J562" s="27" t="s">
        <v>7</v>
      </c>
      <c r="K562" s="27" t="s">
        <v>8</v>
      </c>
      <c r="L562" s="27" t="s">
        <v>7</v>
      </c>
      <c r="M562" s="27" t="s">
        <v>8</v>
      </c>
      <c r="AB562" s="27" t="s">
        <v>7</v>
      </c>
      <c r="AC562" s="27" t="s">
        <v>8</v>
      </c>
      <c r="AD562" s="27" t="s">
        <v>7</v>
      </c>
      <c r="AE562" s="27" t="s">
        <v>8</v>
      </c>
      <c r="AH562" s="27" t="s">
        <v>7</v>
      </c>
      <c r="AI562" s="27" t="s">
        <v>8</v>
      </c>
      <c r="AJ562" s="27" t="s">
        <v>7</v>
      </c>
      <c r="AO562" s="27" t="s">
        <v>8</v>
      </c>
      <c r="AP562" s="27" t="s">
        <v>7</v>
      </c>
      <c r="AQ562" s="27" t="s">
        <v>8</v>
      </c>
      <c r="AR562" s="27" t="s">
        <v>7</v>
      </c>
      <c r="DA562" s="27" t="s">
        <v>8</v>
      </c>
      <c r="DB562" s="27" t="s">
        <v>7</v>
      </c>
      <c r="DC562" s="27" t="s">
        <v>8</v>
      </c>
      <c r="EZ562" s="27" t="s">
        <v>7</v>
      </c>
      <c r="FA562" s="27" t="s">
        <v>8</v>
      </c>
      <c r="FL562" s="27" t="s">
        <v>7</v>
      </c>
      <c r="FM562" s="27" t="s">
        <v>8</v>
      </c>
      <c r="FP562" s="27" t="s">
        <v>7</v>
      </c>
      <c r="FQ562" s="27" t="s">
        <v>8</v>
      </c>
      <c r="FR562" s="27" t="s">
        <v>7</v>
      </c>
      <c r="FZ562" s="27" t="s">
        <v>7</v>
      </c>
      <c r="GA562" s="27" t="s">
        <v>8</v>
      </c>
      <c r="GB562" s="27" t="s">
        <v>7</v>
      </c>
      <c r="GC562" s="27" t="s">
        <v>8</v>
      </c>
      <c r="GD562" s="27" t="s">
        <v>7</v>
      </c>
      <c r="IJ562" s="27" t="s">
        <v>7</v>
      </c>
      <c r="IK562" s="27" t="s">
        <v>8</v>
      </c>
      <c r="IL562" s="27" t="s">
        <v>7</v>
      </c>
      <c r="IM562" s="27" t="s">
        <v>8</v>
      </c>
      <c r="IN562" s="27" t="s">
        <v>7</v>
      </c>
      <c r="IU562" s="27" t="s">
        <v>8</v>
      </c>
      <c r="IV562" s="27" t="s">
        <v>7</v>
      </c>
      <c r="IW562" s="27" t="s">
        <v>8</v>
      </c>
      <c r="IX562" s="27" t="s">
        <v>7</v>
      </c>
      <c r="IY562" s="27" t="s">
        <v>8</v>
      </c>
      <c r="IZ562" s="27" t="s">
        <v>7</v>
      </c>
      <c r="JC562" s="27" t="s">
        <v>8</v>
      </c>
      <c r="JD562" s="27" t="s">
        <v>7</v>
      </c>
    </row>
    <row r="563" spans="1:268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G563" s="27" t="s">
        <v>8</v>
      </c>
      <c r="H563" s="27" t="s">
        <v>7</v>
      </c>
      <c r="I563" s="27" t="s">
        <v>8</v>
      </c>
      <c r="J563" s="27" t="s">
        <v>7</v>
      </c>
      <c r="K563" s="27" t="s">
        <v>8</v>
      </c>
      <c r="L563" s="27" t="s">
        <v>7</v>
      </c>
      <c r="M563" s="27" t="s">
        <v>8</v>
      </c>
      <c r="AB563" s="27" t="s">
        <v>7</v>
      </c>
      <c r="AC563" s="27" t="s">
        <v>8</v>
      </c>
      <c r="AD563" s="27" t="s">
        <v>7</v>
      </c>
      <c r="AE563" s="27" t="s">
        <v>8</v>
      </c>
      <c r="AH563" s="27" t="s">
        <v>7</v>
      </c>
      <c r="AI563" s="27" t="s">
        <v>8</v>
      </c>
      <c r="AJ563" s="27" t="s">
        <v>7</v>
      </c>
      <c r="AK563" s="27" t="s">
        <v>8</v>
      </c>
      <c r="AO563" s="27" t="s">
        <v>8</v>
      </c>
      <c r="AP563" s="27" t="s">
        <v>7</v>
      </c>
      <c r="AQ563" s="27" t="s">
        <v>8</v>
      </c>
      <c r="AR563" s="27" t="s">
        <v>7</v>
      </c>
      <c r="DA563" s="27" t="s">
        <v>8</v>
      </c>
      <c r="DB563" s="27" t="s">
        <v>7</v>
      </c>
      <c r="EZ563" s="27" t="s">
        <v>7</v>
      </c>
      <c r="FA563" s="27" t="s">
        <v>8</v>
      </c>
      <c r="FL563" s="27" t="s">
        <v>7</v>
      </c>
      <c r="FP563" s="27" t="s">
        <v>7</v>
      </c>
      <c r="FQ563" s="27" t="s">
        <v>8</v>
      </c>
      <c r="FZ563" s="27" t="s">
        <v>7</v>
      </c>
      <c r="GA563" s="27" t="s">
        <v>8</v>
      </c>
      <c r="GB563" s="27" t="s">
        <v>7</v>
      </c>
      <c r="GC563" s="27" t="s">
        <v>8</v>
      </c>
      <c r="IJ563" s="27" t="s">
        <v>7</v>
      </c>
      <c r="IK563" s="27" t="s">
        <v>8</v>
      </c>
      <c r="IL563" s="27" t="s">
        <v>7</v>
      </c>
      <c r="IM563" s="27" t="s">
        <v>8</v>
      </c>
      <c r="IN563" s="27" t="s">
        <v>7</v>
      </c>
      <c r="IU563" s="27" t="s">
        <v>8</v>
      </c>
      <c r="IV563" s="27" t="s">
        <v>7</v>
      </c>
      <c r="IW563" s="27" t="s">
        <v>8</v>
      </c>
      <c r="IX563" s="27" t="s">
        <v>7</v>
      </c>
      <c r="IY563" s="27" t="s">
        <v>8</v>
      </c>
      <c r="IZ563" s="27" t="s">
        <v>7</v>
      </c>
      <c r="JC563" s="27" t="s">
        <v>8</v>
      </c>
      <c r="JD563" s="27" t="s">
        <v>7</v>
      </c>
    </row>
    <row r="564" spans="1:268" x14ac:dyDescent="0.25">
      <c r="A564" s="7">
        <v>1.5768992641913981</v>
      </c>
      <c r="B564"/>
      <c r="C564"/>
      <c r="D564"/>
      <c r="E564" t="s">
        <v>8</v>
      </c>
      <c r="F564" s="27" t="s">
        <v>7</v>
      </c>
      <c r="G564" s="27" t="s">
        <v>8</v>
      </c>
      <c r="H564" s="27" t="s">
        <v>7</v>
      </c>
      <c r="I564" s="27" t="s">
        <v>8</v>
      </c>
      <c r="J564" s="27" t="s">
        <v>7</v>
      </c>
      <c r="K564" s="27" t="s">
        <v>8</v>
      </c>
      <c r="L564" s="27" t="s">
        <v>7</v>
      </c>
      <c r="M564" s="27" t="s">
        <v>8</v>
      </c>
      <c r="AB564" s="27" t="s">
        <v>7</v>
      </c>
      <c r="AC564" s="27" t="s">
        <v>8</v>
      </c>
      <c r="AD564" s="27" t="s">
        <v>7</v>
      </c>
      <c r="AH564" s="27" t="s">
        <v>7</v>
      </c>
      <c r="AI564" s="27" t="s">
        <v>8</v>
      </c>
      <c r="AJ564" s="27" t="s">
        <v>7</v>
      </c>
      <c r="AK564" s="27" t="s">
        <v>8</v>
      </c>
      <c r="AL564" s="27" t="s">
        <v>7</v>
      </c>
      <c r="AO564" s="27" t="s">
        <v>8</v>
      </c>
      <c r="AP564" s="27" t="s">
        <v>7</v>
      </c>
      <c r="AQ564" s="27" t="s">
        <v>8</v>
      </c>
      <c r="AR564" s="27" t="s">
        <v>7</v>
      </c>
      <c r="DA564" s="27" t="s">
        <v>8</v>
      </c>
      <c r="EZ564" s="27" t="s">
        <v>7</v>
      </c>
      <c r="FA564" s="27" t="s">
        <v>8</v>
      </c>
      <c r="FP564" s="27" t="s">
        <v>7</v>
      </c>
      <c r="FQ564" s="27" t="s">
        <v>8</v>
      </c>
      <c r="FZ564" s="27" t="s">
        <v>7</v>
      </c>
      <c r="GA564" s="27" t="s">
        <v>8</v>
      </c>
      <c r="GB564" s="27" t="s">
        <v>7</v>
      </c>
      <c r="IJ564" s="27" t="s">
        <v>7</v>
      </c>
      <c r="IK564" s="27" t="s">
        <v>8</v>
      </c>
      <c r="IL564" s="27" t="s">
        <v>7</v>
      </c>
      <c r="IM564" s="27" t="s">
        <v>8</v>
      </c>
      <c r="IN564" s="27" t="s">
        <v>7</v>
      </c>
      <c r="IO564" s="27" t="s">
        <v>8</v>
      </c>
      <c r="IS564" s="27" t="s">
        <v>8</v>
      </c>
      <c r="IU564" s="27" t="s">
        <v>8</v>
      </c>
      <c r="IV564" s="27" t="s">
        <v>7</v>
      </c>
      <c r="IW564" s="27" t="s">
        <v>8</v>
      </c>
      <c r="IX564" s="27" t="s">
        <v>7</v>
      </c>
      <c r="IZ564" s="27" t="s">
        <v>7</v>
      </c>
      <c r="JA564" s="27" t="s">
        <v>8</v>
      </c>
      <c r="JC564" s="27" t="s">
        <v>8</v>
      </c>
      <c r="JD564" s="27" t="s">
        <v>7</v>
      </c>
    </row>
    <row r="565" spans="1:268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G565" s="27" t="s">
        <v>8</v>
      </c>
      <c r="H565" s="27" t="s">
        <v>7</v>
      </c>
      <c r="I565" s="27" t="s">
        <v>8</v>
      </c>
      <c r="J565" s="27" t="s">
        <v>7</v>
      </c>
      <c r="K565" s="27" t="s">
        <v>8</v>
      </c>
      <c r="L565" s="27" t="s">
        <v>7</v>
      </c>
      <c r="M565" s="27" t="s">
        <v>8</v>
      </c>
      <c r="AB565" s="27" t="s">
        <v>7</v>
      </c>
      <c r="AH565" s="27" t="s">
        <v>7</v>
      </c>
      <c r="AI565" s="27" t="s">
        <v>8</v>
      </c>
      <c r="AJ565" s="27" t="s">
        <v>7</v>
      </c>
      <c r="AK565" s="27" t="s">
        <v>8</v>
      </c>
      <c r="AL565" s="27" t="s">
        <v>7</v>
      </c>
      <c r="AO565" s="27" t="s">
        <v>8</v>
      </c>
      <c r="AP565" s="27" t="s">
        <v>7</v>
      </c>
      <c r="AR565" s="27" t="s">
        <v>7</v>
      </c>
      <c r="DA565" s="27" t="s">
        <v>8</v>
      </c>
      <c r="EZ565" s="27" t="s">
        <v>7</v>
      </c>
      <c r="FA565" s="27" t="s">
        <v>8</v>
      </c>
      <c r="FP565" s="27" t="s">
        <v>7</v>
      </c>
      <c r="FQ565" s="27" t="s">
        <v>8</v>
      </c>
      <c r="FZ565" s="18" t="s">
        <v>7</v>
      </c>
      <c r="GA565" s="27" t="s">
        <v>8</v>
      </c>
      <c r="IJ565" s="27" t="s">
        <v>7</v>
      </c>
      <c r="IK565" s="27" t="s">
        <v>8</v>
      </c>
      <c r="IL565" s="27" t="s">
        <v>7</v>
      </c>
      <c r="IM565" s="27" t="s">
        <v>8</v>
      </c>
      <c r="IN565" s="27" t="s">
        <v>7</v>
      </c>
      <c r="IO565" s="27" t="s">
        <v>8</v>
      </c>
      <c r="IP565" s="27" t="s">
        <v>7</v>
      </c>
      <c r="IS565" s="27" t="s">
        <v>8</v>
      </c>
      <c r="IT565" s="27" t="s">
        <v>7</v>
      </c>
      <c r="IU565" s="27" t="s">
        <v>8</v>
      </c>
      <c r="IV565" s="27" t="s">
        <v>7</v>
      </c>
      <c r="IW565" s="27" t="s">
        <v>8</v>
      </c>
      <c r="IZ565" s="27" t="s">
        <v>7</v>
      </c>
      <c r="JA565" s="27" t="s">
        <v>8</v>
      </c>
      <c r="JB565" s="27" t="s">
        <v>7</v>
      </c>
      <c r="JC565" s="27" t="s">
        <v>8</v>
      </c>
      <c r="JD565" s="27" t="s">
        <v>7</v>
      </c>
    </row>
    <row r="566" spans="1:268" x14ac:dyDescent="0.25">
      <c r="A566" s="7">
        <v>1.5156663438979221</v>
      </c>
      <c r="B566"/>
      <c r="C566"/>
      <c r="D566"/>
      <c r="E566" t="s">
        <v>8</v>
      </c>
      <c r="F566" s="27" t="s">
        <v>7</v>
      </c>
      <c r="H566" s="27" t="s">
        <v>7</v>
      </c>
      <c r="I566" s="27" t="s">
        <v>8</v>
      </c>
      <c r="J566" s="27" t="s">
        <v>7</v>
      </c>
      <c r="L566" s="27" t="s">
        <v>7</v>
      </c>
      <c r="M566" s="27" t="s">
        <v>8</v>
      </c>
      <c r="AH566" s="27" t="s">
        <v>7</v>
      </c>
      <c r="AI566" s="27" t="s">
        <v>8</v>
      </c>
      <c r="AJ566" s="27" t="s">
        <v>7</v>
      </c>
      <c r="AK566" s="27" t="s">
        <v>8</v>
      </c>
      <c r="AL566" s="27" t="s">
        <v>7</v>
      </c>
      <c r="AO566" s="27" t="s">
        <v>8</v>
      </c>
      <c r="AR566" s="27" t="s">
        <v>7</v>
      </c>
      <c r="DA566" s="27" t="s">
        <v>8</v>
      </c>
      <c r="EZ566" s="27" t="s">
        <v>7</v>
      </c>
      <c r="FA566" s="27" t="s">
        <v>8</v>
      </c>
      <c r="FP566" s="27" t="s">
        <v>7</v>
      </c>
      <c r="FQ566" s="27" t="s">
        <v>8</v>
      </c>
      <c r="FZ566" s="27" t="s">
        <v>7</v>
      </c>
      <c r="GA566" s="27" t="s">
        <v>8</v>
      </c>
      <c r="IJ566" s="27" t="s">
        <v>7</v>
      </c>
      <c r="IK566" s="27" t="s">
        <v>8</v>
      </c>
      <c r="IL566" s="27" t="s">
        <v>7</v>
      </c>
      <c r="IM566" s="27" t="s">
        <v>8</v>
      </c>
      <c r="IN566" s="27" t="s">
        <v>7</v>
      </c>
      <c r="IO566" s="27" t="s">
        <v>8</v>
      </c>
      <c r="IP566" s="27" t="s">
        <v>7</v>
      </c>
      <c r="IQ566" s="27" t="s">
        <v>8</v>
      </c>
      <c r="IS566" s="27" t="s">
        <v>8</v>
      </c>
      <c r="IT566" s="27" t="s">
        <v>7</v>
      </c>
      <c r="IU566" s="27" t="s">
        <v>8</v>
      </c>
      <c r="IV566" s="27" t="s">
        <v>7</v>
      </c>
      <c r="IW566" s="27" t="s">
        <v>8</v>
      </c>
      <c r="IZ566" s="27" t="s">
        <v>7</v>
      </c>
      <c r="JA566" s="27" t="s">
        <v>8</v>
      </c>
      <c r="JB566" s="27" t="s">
        <v>7</v>
      </c>
      <c r="JC566" s="27" t="s">
        <v>8</v>
      </c>
      <c r="JD566" s="27" t="s">
        <v>7</v>
      </c>
    </row>
    <row r="567" spans="1:268" x14ac:dyDescent="0.25">
      <c r="A567" s="7">
        <v>1.4859473959783549</v>
      </c>
      <c r="B567"/>
      <c r="C567"/>
      <c r="D567"/>
      <c r="E567" t="s">
        <v>8</v>
      </c>
      <c r="H567" s="27" t="s">
        <v>7</v>
      </c>
      <c r="I567" s="27" t="s">
        <v>8</v>
      </c>
      <c r="L567" s="27" t="s">
        <v>7</v>
      </c>
      <c r="M567" s="27" t="s">
        <v>8</v>
      </c>
      <c r="AH567" s="27" t="s">
        <v>7</v>
      </c>
      <c r="AI567" s="27" t="s">
        <v>8</v>
      </c>
      <c r="AJ567" s="27" t="s">
        <v>7</v>
      </c>
      <c r="AL567" s="27" t="s">
        <v>7</v>
      </c>
      <c r="AO567" s="27" t="s">
        <v>8</v>
      </c>
      <c r="AR567" s="27" t="s">
        <v>7</v>
      </c>
      <c r="DA567" s="27" t="s">
        <v>8</v>
      </c>
      <c r="EZ567" s="27" t="s">
        <v>7</v>
      </c>
      <c r="FA567" s="27" t="s">
        <v>8</v>
      </c>
      <c r="FP567" s="27" t="s">
        <v>7</v>
      </c>
      <c r="FQ567" s="27" t="s">
        <v>8</v>
      </c>
      <c r="FZ567" s="27" t="s">
        <v>7</v>
      </c>
      <c r="GA567" s="27" t="s">
        <v>8</v>
      </c>
      <c r="IJ567" s="27" t="s">
        <v>7</v>
      </c>
      <c r="IK567" s="27" t="s">
        <v>8</v>
      </c>
      <c r="IL567" s="27" t="s">
        <v>7</v>
      </c>
      <c r="IM567" s="27" t="s">
        <v>8</v>
      </c>
      <c r="IN567" s="27" t="s">
        <v>7</v>
      </c>
      <c r="IP567" s="27" t="s">
        <v>7</v>
      </c>
      <c r="IQ567" s="27" t="s">
        <v>8</v>
      </c>
      <c r="IR567" s="27" t="s">
        <v>7</v>
      </c>
      <c r="IS567" s="27" t="s">
        <v>8</v>
      </c>
      <c r="IT567" s="27" t="s">
        <v>7</v>
      </c>
      <c r="IU567" s="27" t="s">
        <v>8</v>
      </c>
      <c r="IV567" s="27" t="s">
        <v>7</v>
      </c>
      <c r="IZ567" s="27" t="s">
        <v>7</v>
      </c>
      <c r="JA567" s="27" t="s">
        <v>8</v>
      </c>
      <c r="JB567" s="27" t="s">
        <v>7</v>
      </c>
      <c r="JC567" s="27" t="s">
        <v>8</v>
      </c>
      <c r="JD567" s="27" t="s">
        <v>7</v>
      </c>
    </row>
    <row r="568" spans="1:268" x14ac:dyDescent="0.25">
      <c r="A568" s="7">
        <v>1.4568111725277988</v>
      </c>
      <c r="B568"/>
      <c r="C568"/>
      <c r="D568"/>
      <c r="E568" t="s">
        <v>8</v>
      </c>
      <c r="H568" s="27" t="s">
        <v>7</v>
      </c>
      <c r="I568" s="27" t="s">
        <v>8</v>
      </c>
      <c r="L568" s="27" t="s">
        <v>7</v>
      </c>
      <c r="M568" s="27" t="s">
        <v>8</v>
      </c>
      <c r="AH568" s="27" t="s">
        <v>7</v>
      </c>
      <c r="AI568" s="27" t="s">
        <v>8</v>
      </c>
      <c r="AL568" s="27" t="s">
        <v>7</v>
      </c>
      <c r="AO568" s="27" t="s">
        <v>8</v>
      </c>
      <c r="AR568" s="27" t="s">
        <v>7</v>
      </c>
      <c r="AS568" s="27" t="s">
        <v>8</v>
      </c>
      <c r="CY568" s="27" t="s">
        <v>8</v>
      </c>
      <c r="DA568" s="27" t="s">
        <v>8</v>
      </c>
      <c r="EZ568" s="27" t="s">
        <v>7</v>
      </c>
      <c r="FA568" s="27" t="s">
        <v>8</v>
      </c>
      <c r="FP568" s="27" t="s">
        <v>7</v>
      </c>
      <c r="FZ568" s="27" t="s">
        <v>7</v>
      </c>
      <c r="GA568" s="27" t="s">
        <v>8</v>
      </c>
      <c r="IJ568" s="27" t="s">
        <v>7</v>
      </c>
      <c r="IK568" s="27" t="s">
        <v>8</v>
      </c>
      <c r="IL568" s="27" t="s">
        <v>7</v>
      </c>
      <c r="IM568" s="27" t="s">
        <v>8</v>
      </c>
      <c r="IP568" s="27" t="s">
        <v>7</v>
      </c>
      <c r="IQ568" s="27" t="s">
        <v>8</v>
      </c>
      <c r="IR568" s="27" t="s">
        <v>7</v>
      </c>
      <c r="IS568" s="27" t="s">
        <v>8</v>
      </c>
      <c r="IT568" s="27" t="s">
        <v>7</v>
      </c>
      <c r="IU568" s="27" t="s">
        <v>8</v>
      </c>
      <c r="IZ568" s="27" t="s">
        <v>7</v>
      </c>
      <c r="JB568" s="27" t="s">
        <v>7</v>
      </c>
      <c r="JC568" s="27" t="s">
        <v>8</v>
      </c>
      <c r="JD568" s="27" t="s">
        <v>7</v>
      </c>
    </row>
    <row r="569" spans="1:268" x14ac:dyDescent="0.25">
      <c r="A569" s="7">
        <v>1.4282462475762734</v>
      </c>
      <c r="B569"/>
      <c r="C569"/>
      <c r="D569"/>
      <c r="E569" t="s">
        <v>8</v>
      </c>
      <c r="H569" s="27" t="s">
        <v>7</v>
      </c>
      <c r="I569" s="27" t="s">
        <v>8</v>
      </c>
      <c r="L569" s="27" t="s">
        <v>7</v>
      </c>
      <c r="M569" s="27" t="s">
        <v>8</v>
      </c>
      <c r="AH569" s="27" t="s">
        <v>7</v>
      </c>
      <c r="AL569" s="27" t="s">
        <v>7</v>
      </c>
      <c r="AO569" s="27" t="s">
        <v>8</v>
      </c>
      <c r="AR569" s="27" t="s">
        <v>7</v>
      </c>
      <c r="AS569" s="27" t="s">
        <v>8</v>
      </c>
      <c r="AT569" s="27" t="s">
        <v>7</v>
      </c>
      <c r="AU569" s="27" t="s">
        <v>8</v>
      </c>
      <c r="CY569" s="27" t="s">
        <v>8</v>
      </c>
      <c r="CZ569" s="27" t="s">
        <v>7</v>
      </c>
      <c r="DA569" s="27" t="s">
        <v>8</v>
      </c>
      <c r="EZ569" s="27" t="s">
        <v>7</v>
      </c>
      <c r="FA569" s="27" t="s">
        <v>8</v>
      </c>
      <c r="FZ569" s="27" t="s">
        <v>7</v>
      </c>
      <c r="GA569" s="27" t="s">
        <v>8</v>
      </c>
      <c r="IJ569" s="27" t="s">
        <v>7</v>
      </c>
      <c r="IK569" s="27" t="s">
        <v>8</v>
      </c>
      <c r="IL569" s="27" t="s">
        <v>7</v>
      </c>
      <c r="IP569" s="27" t="s">
        <v>7</v>
      </c>
      <c r="IQ569" s="27" t="s">
        <v>8</v>
      </c>
      <c r="IR569" s="27" t="s">
        <v>7</v>
      </c>
      <c r="IS569" s="27" t="s">
        <v>8</v>
      </c>
      <c r="IT569" s="27" t="s">
        <v>7</v>
      </c>
      <c r="JB569" s="27" t="s">
        <v>7</v>
      </c>
      <c r="JC569" s="27" t="s">
        <v>8</v>
      </c>
      <c r="JD569" s="27" t="s">
        <v>7</v>
      </c>
    </row>
    <row r="570" spans="1:268" x14ac:dyDescent="0.25">
      <c r="A570" s="7">
        <v>1.4002414191924248</v>
      </c>
      <c r="B570"/>
      <c r="C570"/>
      <c r="D570"/>
      <c r="E570" t="s">
        <v>8</v>
      </c>
      <c r="H570" s="27" t="s">
        <v>7</v>
      </c>
      <c r="I570" s="27" t="s">
        <v>8</v>
      </c>
      <c r="L570" s="27" t="s">
        <v>7</v>
      </c>
      <c r="AL570" s="27" t="s">
        <v>7</v>
      </c>
      <c r="AO570" s="27" t="s">
        <v>8</v>
      </c>
      <c r="AR570" s="27" t="s">
        <v>7</v>
      </c>
      <c r="AS570" s="27" t="s">
        <v>8</v>
      </c>
      <c r="AT570" s="27" t="s">
        <v>7</v>
      </c>
      <c r="AU570" s="27" t="s">
        <v>8</v>
      </c>
      <c r="AV570" s="27" t="s">
        <v>7</v>
      </c>
      <c r="AW570" s="27" t="s">
        <v>8</v>
      </c>
      <c r="CY570" s="27" t="s">
        <v>8</v>
      </c>
      <c r="CZ570" s="27" t="s">
        <v>7</v>
      </c>
      <c r="DA570" s="27" t="s">
        <v>8</v>
      </c>
      <c r="EZ570" s="27" t="s">
        <v>7</v>
      </c>
      <c r="FA570" s="27" t="s">
        <v>8</v>
      </c>
      <c r="FZ570" s="27" t="s">
        <v>7</v>
      </c>
      <c r="GA570" s="27" t="s">
        <v>8</v>
      </c>
      <c r="IJ570" s="27" t="s">
        <v>7</v>
      </c>
      <c r="IK570" s="27" t="s">
        <v>8</v>
      </c>
      <c r="IP570" s="27" t="s">
        <v>7</v>
      </c>
      <c r="IQ570" s="27" t="s">
        <v>8</v>
      </c>
      <c r="IR570" s="27" t="s">
        <v>7</v>
      </c>
      <c r="JB570" s="27" t="s">
        <v>7</v>
      </c>
      <c r="JD570" s="27" t="s">
        <v>7</v>
      </c>
    </row>
    <row r="571" spans="1:268" x14ac:dyDescent="0.25">
      <c r="A571" s="7">
        <v>1.3727857050906125</v>
      </c>
      <c r="B571"/>
      <c r="C571"/>
      <c r="D571"/>
      <c r="E571" t="s">
        <v>8</v>
      </c>
      <c r="H571" s="27" t="s">
        <v>7</v>
      </c>
      <c r="I571" s="27" t="s">
        <v>8</v>
      </c>
      <c r="AL571" s="27" t="s">
        <v>7</v>
      </c>
      <c r="AO571" s="27" t="s">
        <v>8</v>
      </c>
      <c r="AR571" s="27" t="s">
        <v>7</v>
      </c>
      <c r="AT571" s="27" t="s">
        <v>7</v>
      </c>
      <c r="AU571" s="27" t="s">
        <v>8</v>
      </c>
      <c r="AV571" s="27" t="s">
        <v>7</v>
      </c>
      <c r="AW571" s="27" t="s">
        <v>8</v>
      </c>
      <c r="AX571" s="27" t="s">
        <v>7</v>
      </c>
      <c r="CW571" s="27" t="s">
        <v>8</v>
      </c>
      <c r="CY571" s="27" t="s">
        <v>8</v>
      </c>
      <c r="CZ571" s="27" t="s">
        <v>7</v>
      </c>
      <c r="DA571" s="27" t="s">
        <v>8</v>
      </c>
      <c r="EZ571" s="27" t="s">
        <v>7</v>
      </c>
      <c r="FA571" s="27" t="s">
        <v>8</v>
      </c>
      <c r="FZ571" s="27" t="s">
        <v>7</v>
      </c>
      <c r="IJ571" s="27" t="s">
        <v>7</v>
      </c>
      <c r="IK571" s="27" t="s">
        <v>8</v>
      </c>
      <c r="IP571" s="27" t="s">
        <v>7</v>
      </c>
      <c r="JD571" s="27" t="s">
        <v>7</v>
      </c>
      <c r="JG571" s="27" t="s">
        <v>8</v>
      </c>
    </row>
    <row r="572" spans="1:268" x14ac:dyDescent="0.25">
      <c r="A572" s="7">
        <v>1.3458683383241299</v>
      </c>
      <c r="B572"/>
      <c r="C572"/>
      <c r="D572"/>
      <c r="E572" t="s">
        <v>8</v>
      </c>
      <c r="H572" s="27" t="s">
        <v>7</v>
      </c>
      <c r="I572" s="27" t="s">
        <v>8</v>
      </c>
      <c r="AL572" s="27" t="s">
        <v>7</v>
      </c>
      <c r="AM572" s="27" t="s">
        <v>8</v>
      </c>
      <c r="AO572" s="27" t="s">
        <v>8</v>
      </c>
      <c r="AT572" s="27" t="s">
        <v>7</v>
      </c>
      <c r="AU572" s="27" t="s">
        <v>8</v>
      </c>
      <c r="AV572" s="27" t="s">
        <v>7</v>
      </c>
      <c r="AW572" s="27" t="s">
        <v>8</v>
      </c>
      <c r="AX572" s="27" t="s">
        <v>7</v>
      </c>
      <c r="AY572" s="27" t="s">
        <v>8</v>
      </c>
      <c r="CW572" s="27" t="s">
        <v>8</v>
      </c>
      <c r="CX572" s="27" t="s">
        <v>7</v>
      </c>
      <c r="CY572" s="27" t="s">
        <v>8</v>
      </c>
      <c r="CZ572" s="27" t="s">
        <v>7</v>
      </c>
      <c r="DA572" s="27" t="s">
        <v>8</v>
      </c>
      <c r="EZ572" s="27" t="s">
        <v>7</v>
      </c>
      <c r="IJ572" s="27" t="s">
        <v>7</v>
      </c>
      <c r="IK572" s="27" t="s">
        <v>8</v>
      </c>
      <c r="JD572" s="27" t="s">
        <v>7</v>
      </c>
      <c r="JE572" s="27" t="s">
        <v>8</v>
      </c>
      <c r="JG572" s="27" t="s">
        <v>8</v>
      </c>
      <c r="JH572" s="27" t="s">
        <v>7</v>
      </c>
    </row>
    <row r="573" spans="1:268" x14ac:dyDescent="0.25">
      <c r="A573" s="7">
        <v>1.3194787630628724</v>
      </c>
      <c r="B573"/>
      <c r="C573"/>
      <c r="D573"/>
      <c r="E573" t="s">
        <v>8</v>
      </c>
      <c r="H573" s="27" t="s">
        <v>7</v>
      </c>
      <c r="I573" s="27" t="s">
        <v>8</v>
      </c>
      <c r="AL573" s="27" t="s">
        <v>7</v>
      </c>
      <c r="AM573" s="27" t="s">
        <v>8</v>
      </c>
      <c r="AN573" s="27" t="s">
        <v>7</v>
      </c>
      <c r="AO573" s="27" t="s">
        <v>8</v>
      </c>
      <c r="AT573" s="27" t="s">
        <v>7</v>
      </c>
      <c r="AV573" s="27" t="s">
        <v>7</v>
      </c>
      <c r="AW573" s="27" t="s">
        <v>8</v>
      </c>
      <c r="AX573" s="27" t="s">
        <v>7</v>
      </c>
      <c r="AY573" s="27" t="s">
        <v>8</v>
      </c>
      <c r="AZ573" s="27" t="s">
        <v>7</v>
      </c>
      <c r="CW573" s="27" t="s">
        <v>8</v>
      </c>
      <c r="CX573" s="27" t="s">
        <v>7</v>
      </c>
      <c r="CY573" s="27" t="s">
        <v>8</v>
      </c>
      <c r="CZ573" s="27" t="s">
        <v>7</v>
      </c>
      <c r="DA573" s="27" t="s">
        <v>8</v>
      </c>
      <c r="IJ573" s="27" t="s">
        <v>7</v>
      </c>
      <c r="IK573" s="27" t="s">
        <v>8</v>
      </c>
      <c r="JD573" s="27" t="s">
        <v>7</v>
      </c>
      <c r="JE573" s="27" t="s">
        <v>8</v>
      </c>
      <c r="JF573" s="27" t="s">
        <v>7</v>
      </c>
      <c r="JG573" s="27" t="s">
        <v>8</v>
      </c>
      <c r="JH573" s="27" t="s">
        <v>7</v>
      </c>
    </row>
    <row r="574" spans="1:268" x14ac:dyDescent="0.25">
      <c r="A574" s="7">
        <v>1.2936066304537963</v>
      </c>
      <c r="B574"/>
      <c r="C574"/>
      <c r="D574"/>
      <c r="E574" t="s">
        <v>8</v>
      </c>
      <c r="H574" s="27" t="s">
        <v>7</v>
      </c>
      <c r="I574" s="27" t="s">
        <v>8</v>
      </c>
      <c r="AL574" s="27" t="s">
        <v>7</v>
      </c>
      <c r="AM574" s="27" t="s">
        <v>8</v>
      </c>
      <c r="AN574" s="27" t="s">
        <v>7</v>
      </c>
      <c r="AO574" s="27" t="s">
        <v>8</v>
      </c>
      <c r="AV574" s="27" t="s">
        <v>7</v>
      </c>
      <c r="AW574" s="27" t="s">
        <v>8</v>
      </c>
      <c r="AX574" s="27" t="s">
        <v>7</v>
      </c>
      <c r="AY574" s="27" t="s">
        <v>8</v>
      </c>
      <c r="AZ574" s="27" t="s">
        <v>7</v>
      </c>
      <c r="BA574" s="27" t="s">
        <v>8</v>
      </c>
      <c r="CW574" s="27" t="s">
        <v>8</v>
      </c>
      <c r="CX574" s="27" t="s">
        <v>7</v>
      </c>
      <c r="CY574" s="27" t="s">
        <v>8</v>
      </c>
      <c r="CZ574" s="27" t="s">
        <v>7</v>
      </c>
      <c r="DA574" s="27" t="s">
        <v>8</v>
      </c>
      <c r="IJ574" s="27" t="s">
        <v>7</v>
      </c>
      <c r="JD574" s="27" t="s">
        <v>7</v>
      </c>
      <c r="JE574" s="27" t="s">
        <v>8</v>
      </c>
      <c r="JF574" s="27" t="s">
        <v>7</v>
      </c>
      <c r="JG574" s="27" t="s">
        <v>8</v>
      </c>
      <c r="JH574" s="27" t="s">
        <v>7</v>
      </c>
    </row>
    <row r="575" spans="1:268" x14ac:dyDescent="0.25">
      <c r="A575" s="7">
        <v>1.2682417945625455</v>
      </c>
      <c r="B575"/>
      <c r="C575"/>
      <c r="D575"/>
      <c r="E575" t="s">
        <v>8</v>
      </c>
      <c r="H575" s="27" t="s">
        <v>7</v>
      </c>
      <c r="AL575" s="27" t="s">
        <v>7</v>
      </c>
      <c r="AM575" s="27" t="s">
        <v>8</v>
      </c>
      <c r="AN575" s="27" t="s">
        <v>7</v>
      </c>
      <c r="AO575" s="27" t="s">
        <v>8</v>
      </c>
      <c r="AV575" s="27" t="s">
        <v>7</v>
      </c>
      <c r="AW575" s="27" t="s">
        <v>8</v>
      </c>
      <c r="AX575" s="27" t="s">
        <v>7</v>
      </c>
      <c r="AZ575" s="27" t="s">
        <v>7</v>
      </c>
      <c r="BA575" s="27" t="s">
        <v>8</v>
      </c>
      <c r="BB575" s="27" t="s">
        <v>7</v>
      </c>
      <c r="BS575" s="27" t="s">
        <v>8</v>
      </c>
      <c r="CW575" s="27" t="s">
        <v>8</v>
      </c>
      <c r="CX575" s="27" t="s">
        <v>7</v>
      </c>
      <c r="CY575" s="27" t="s">
        <v>8</v>
      </c>
      <c r="CZ575" s="27" t="s">
        <v>7</v>
      </c>
      <c r="DA575" s="27" t="s">
        <v>8</v>
      </c>
      <c r="JD575" s="27" t="s">
        <v>7</v>
      </c>
      <c r="JE575" s="27" t="s">
        <v>8</v>
      </c>
      <c r="JF575" s="27" t="s">
        <v>7</v>
      </c>
      <c r="JG575" s="27" t="s">
        <v>8</v>
      </c>
      <c r="JH575" s="27" t="s">
        <v>7</v>
      </c>
    </row>
    <row r="576" spans="1:268" x14ac:dyDescent="0.25">
      <c r="A576" s="7">
        <v>1.2433743083946525</v>
      </c>
      <c r="B576"/>
      <c r="C576"/>
      <c r="D576"/>
      <c r="E576" t="s">
        <v>8</v>
      </c>
      <c r="AL576" s="27" t="s">
        <v>7</v>
      </c>
      <c r="AM576" s="27" t="s">
        <v>8</v>
      </c>
      <c r="AN576" s="27" t="s">
        <v>7</v>
      </c>
      <c r="AO576" s="27" t="s">
        <v>8</v>
      </c>
      <c r="AV576" s="27" t="s">
        <v>7</v>
      </c>
      <c r="AW576" s="27" t="s">
        <v>8</v>
      </c>
      <c r="AZ576" s="27" t="s">
        <v>7</v>
      </c>
      <c r="BA576" s="27" t="s">
        <v>8</v>
      </c>
      <c r="BB576" s="27" t="s">
        <v>7</v>
      </c>
      <c r="BS576" s="27" t="s">
        <v>8</v>
      </c>
      <c r="BT576" s="27" t="s">
        <v>7</v>
      </c>
      <c r="CW576" s="27" t="s">
        <v>8</v>
      </c>
      <c r="CX576" s="27" t="s">
        <v>7</v>
      </c>
      <c r="CY576" s="27" t="s">
        <v>8</v>
      </c>
      <c r="CZ576" s="27" t="s">
        <v>7</v>
      </c>
      <c r="DA576" s="27" t="s">
        <v>8</v>
      </c>
      <c r="JD576" s="27" t="s">
        <v>7</v>
      </c>
      <c r="JE576" s="27" t="s">
        <v>8</v>
      </c>
      <c r="JF576" s="27" t="s">
        <v>7</v>
      </c>
      <c r="JG576" s="27" t="s">
        <v>8</v>
      </c>
    </row>
    <row r="577" spans="1:267" x14ac:dyDescent="0.25">
      <c r="A577" s="7">
        <v>1.2189944199947573</v>
      </c>
      <c r="B577"/>
      <c r="C577"/>
      <c r="D577"/>
      <c r="E577" t="s">
        <v>8</v>
      </c>
      <c r="AL577" s="27" t="s">
        <v>7</v>
      </c>
      <c r="AN577" s="27" t="s">
        <v>7</v>
      </c>
      <c r="AO577" s="27" t="s">
        <v>8</v>
      </c>
      <c r="AV577" s="27" t="s">
        <v>7</v>
      </c>
      <c r="AW577" s="27" t="s">
        <v>8</v>
      </c>
      <c r="AZ577" s="27" t="s">
        <v>7</v>
      </c>
      <c r="BA577" s="27" t="s">
        <v>8</v>
      </c>
      <c r="BB577" s="27" t="s">
        <v>7</v>
      </c>
      <c r="BS577" s="27" t="s">
        <v>8</v>
      </c>
      <c r="BT577" s="27" t="s">
        <v>7</v>
      </c>
      <c r="CW577" s="27" t="s">
        <v>8</v>
      </c>
      <c r="CX577" s="27" t="s">
        <v>7</v>
      </c>
      <c r="CY577" s="27" t="s">
        <v>8</v>
      </c>
      <c r="CZ577" s="27" t="s">
        <v>7</v>
      </c>
      <c r="JD577" s="27" t="s">
        <v>7</v>
      </c>
      <c r="JE577" s="27" t="s">
        <v>8</v>
      </c>
      <c r="JF577" s="27" t="s">
        <v>7</v>
      </c>
      <c r="JG577" s="27" t="s">
        <v>8</v>
      </c>
    </row>
    <row r="578" spans="1:267" x14ac:dyDescent="0.25">
      <c r="A578" s="7">
        <v>1.1950925686223111</v>
      </c>
      <c r="B578"/>
      <c r="C578"/>
      <c r="D578"/>
      <c r="E578" t="s">
        <v>8</v>
      </c>
      <c r="AN578" s="27" t="s">
        <v>7</v>
      </c>
      <c r="AO578" s="27" t="s">
        <v>8</v>
      </c>
      <c r="AV578" s="27" t="s">
        <v>7</v>
      </c>
      <c r="AW578" s="27" t="s">
        <v>8</v>
      </c>
      <c r="AZ578" s="27" t="s">
        <v>7</v>
      </c>
      <c r="BB578" s="27" t="s">
        <v>7</v>
      </c>
      <c r="BC578" s="27" t="s">
        <v>8</v>
      </c>
      <c r="BS578" s="27" t="s">
        <v>8</v>
      </c>
      <c r="BT578" s="27" t="s">
        <v>7</v>
      </c>
      <c r="CW578" s="27" t="s">
        <v>8</v>
      </c>
      <c r="CX578" s="27" t="s">
        <v>7</v>
      </c>
      <c r="CY578" s="27" t="s">
        <v>8</v>
      </c>
      <c r="JD578" s="27" t="s">
        <v>7</v>
      </c>
      <c r="JF578" s="27" t="s">
        <v>7</v>
      </c>
      <c r="JG578" s="27" t="s">
        <v>8</v>
      </c>
    </row>
    <row r="579" spans="1:267" x14ac:dyDescent="0.25">
      <c r="A579" s="7">
        <v>1.1716593810022657</v>
      </c>
      <c r="B579"/>
      <c r="C579"/>
      <c r="D579"/>
      <c r="E579" t="s">
        <v>8</v>
      </c>
      <c r="AN579" s="27" t="s">
        <v>7</v>
      </c>
      <c r="AO579" s="27" t="s">
        <v>8</v>
      </c>
      <c r="AV579" s="27" t="s">
        <v>7</v>
      </c>
      <c r="AW579" s="27" t="s">
        <v>8</v>
      </c>
      <c r="BB579" s="27" t="s">
        <v>7</v>
      </c>
      <c r="BC579" s="27" t="s">
        <v>8</v>
      </c>
      <c r="BD579" s="27" t="s">
        <v>7</v>
      </c>
      <c r="BI579" s="27" t="s">
        <v>8</v>
      </c>
      <c r="BS579" s="27" t="s">
        <v>8</v>
      </c>
      <c r="BT579" s="27" t="s">
        <v>7</v>
      </c>
      <c r="CO579" s="27" t="s">
        <v>8</v>
      </c>
      <c r="CW579" s="27" t="s">
        <v>8</v>
      </c>
      <c r="CX579" s="27" t="s">
        <v>7</v>
      </c>
      <c r="CY579" s="27" t="s">
        <v>8</v>
      </c>
      <c r="JF579" s="27" t="s">
        <v>7</v>
      </c>
      <c r="JG579" s="27" t="s">
        <v>8</v>
      </c>
    </row>
    <row r="580" spans="1:267" x14ac:dyDescent="0.25">
      <c r="A580" s="7">
        <v>1.14868566764928</v>
      </c>
      <c r="B580"/>
      <c r="C580"/>
      <c r="D580"/>
      <c r="E580" t="s">
        <v>8</v>
      </c>
      <c r="AN580" s="27" t="s">
        <v>7</v>
      </c>
      <c r="AO580" s="27" t="s">
        <v>8</v>
      </c>
      <c r="AV580" s="27" t="s">
        <v>7</v>
      </c>
      <c r="AW580" s="27" t="s">
        <v>8</v>
      </c>
      <c r="BB580" s="27" t="s">
        <v>7</v>
      </c>
      <c r="BC580" s="27" t="s">
        <v>8</v>
      </c>
      <c r="BD580" s="27" t="s">
        <v>7</v>
      </c>
      <c r="BI580" s="27" t="s">
        <v>8</v>
      </c>
      <c r="BJ580" s="27" t="s">
        <v>7</v>
      </c>
      <c r="BO580" s="27" t="s">
        <v>8</v>
      </c>
      <c r="BQ580" s="27" t="s">
        <v>8</v>
      </c>
      <c r="BS580" s="27" t="s">
        <v>8</v>
      </c>
      <c r="BT580" s="27" t="s">
        <v>7</v>
      </c>
      <c r="CO580" s="27" t="s">
        <v>8</v>
      </c>
      <c r="CP580" s="27" t="s">
        <v>7</v>
      </c>
      <c r="CS580" s="27" t="s">
        <v>8</v>
      </c>
      <c r="CW580" s="27" t="s">
        <v>8</v>
      </c>
      <c r="CX580" s="27" t="s">
        <v>7</v>
      </c>
      <c r="CY580" s="27" t="s">
        <v>8</v>
      </c>
      <c r="JF580" s="27" t="s">
        <v>7</v>
      </c>
      <c r="JG580" s="27" t="s">
        <v>8</v>
      </c>
    </row>
    <row r="581" spans="1:267" x14ac:dyDescent="0.25">
      <c r="A581" s="7">
        <v>1.1261624192640001</v>
      </c>
      <c r="B581"/>
      <c r="C581"/>
      <c r="D581"/>
      <c r="E581" t="s">
        <v>8</v>
      </c>
      <c r="AN581" s="27" t="s">
        <v>7</v>
      </c>
      <c r="AO581" s="27" t="s">
        <v>8</v>
      </c>
      <c r="AV581" s="27" t="s">
        <v>7</v>
      </c>
      <c r="AW581" s="27" t="s">
        <v>8</v>
      </c>
      <c r="BB581" s="27" t="s">
        <v>7</v>
      </c>
      <c r="BC581" s="27" t="s">
        <v>8</v>
      </c>
      <c r="BD581" s="27" t="s">
        <v>7</v>
      </c>
      <c r="BI581" s="27" t="s">
        <v>8</v>
      </c>
      <c r="BJ581" s="27" t="s">
        <v>7</v>
      </c>
      <c r="BO581" s="27" t="s">
        <v>8</v>
      </c>
      <c r="BP581" s="27" t="s">
        <v>7</v>
      </c>
      <c r="BQ581" s="27" t="s">
        <v>8</v>
      </c>
      <c r="BR581" s="27" t="s">
        <v>7</v>
      </c>
      <c r="BS581" s="27" t="s">
        <v>8</v>
      </c>
      <c r="BT581" s="27" t="s">
        <v>7</v>
      </c>
      <c r="CO581" s="27" t="s">
        <v>8</v>
      </c>
      <c r="CP581" s="27" t="s">
        <v>7</v>
      </c>
      <c r="CS581" s="27" t="s">
        <v>8</v>
      </c>
      <c r="CT581" s="27" t="s">
        <v>7</v>
      </c>
      <c r="CW581" s="27" t="s">
        <v>8</v>
      </c>
      <c r="CX581" s="27" t="s">
        <v>7</v>
      </c>
      <c r="CY581" s="27" t="s">
        <v>8</v>
      </c>
      <c r="JF581" s="27" t="s">
        <v>7</v>
      </c>
    </row>
    <row r="582" spans="1:267" x14ac:dyDescent="0.25">
      <c r="A582" s="7">
        <v>1.1040808032</v>
      </c>
      <c r="B582"/>
      <c r="C582"/>
      <c r="D582"/>
      <c r="E582" t="s">
        <v>8</v>
      </c>
      <c r="AN582" s="27" t="s">
        <v>7</v>
      </c>
      <c r="AO582" s="27" t="s">
        <v>8</v>
      </c>
      <c r="AV582" s="27" t="s">
        <v>7</v>
      </c>
      <c r="AW582" s="27" t="s">
        <v>8</v>
      </c>
      <c r="BB582" s="27" t="s">
        <v>7</v>
      </c>
      <c r="BC582" s="27" t="s">
        <v>8</v>
      </c>
      <c r="BD582" s="27" t="s">
        <v>7</v>
      </c>
      <c r="BI582" s="27" t="s">
        <v>8</v>
      </c>
      <c r="BJ582" s="27" t="s">
        <v>7</v>
      </c>
      <c r="BO582" s="27" t="s">
        <v>8</v>
      </c>
      <c r="BP582" s="27" t="s">
        <v>7</v>
      </c>
      <c r="BQ582" s="27" t="s">
        <v>8</v>
      </c>
      <c r="BR582" s="27" t="s">
        <v>7</v>
      </c>
      <c r="BS582" s="27" t="s">
        <v>8</v>
      </c>
      <c r="BT582" s="27" t="s">
        <v>7</v>
      </c>
      <c r="CO582" s="27" t="s">
        <v>8</v>
      </c>
      <c r="CP582" s="27" t="s">
        <v>7</v>
      </c>
      <c r="CS582" s="27" t="s">
        <v>8</v>
      </c>
      <c r="CT582" s="27" t="s">
        <v>7</v>
      </c>
      <c r="CU582" s="27" t="s">
        <v>8</v>
      </c>
      <c r="CW582" s="27" t="s">
        <v>8</v>
      </c>
      <c r="CX582" s="27" t="s">
        <v>7</v>
      </c>
    </row>
    <row r="583" spans="1:267" x14ac:dyDescent="0.25">
      <c r="A583" s="7">
        <v>1.08243216</v>
      </c>
      <c r="B583"/>
      <c r="C583"/>
      <c r="D583"/>
      <c r="E583" t="s">
        <v>8</v>
      </c>
      <c r="AN583" s="27" t="s">
        <v>7</v>
      </c>
      <c r="AO583" s="27" t="s">
        <v>8</v>
      </c>
      <c r="AV583" s="27" t="s">
        <v>7</v>
      </c>
      <c r="BB583" s="27" t="s">
        <v>7</v>
      </c>
      <c r="BD583" s="27" t="s">
        <v>7</v>
      </c>
      <c r="BI583" s="27" t="s">
        <v>8</v>
      </c>
      <c r="BJ583" s="27" t="s">
        <v>7</v>
      </c>
      <c r="BO583" s="27" t="s">
        <v>8</v>
      </c>
      <c r="BP583" s="27" t="s">
        <v>7</v>
      </c>
      <c r="BQ583" s="27" t="s">
        <v>8</v>
      </c>
      <c r="BR583" s="27" t="s">
        <v>7</v>
      </c>
      <c r="BS583" s="27" t="s">
        <v>8</v>
      </c>
      <c r="BT583" s="27" t="s">
        <v>7</v>
      </c>
      <c r="CO583" s="27" t="s">
        <v>8</v>
      </c>
      <c r="CP583" s="27" t="s">
        <v>7</v>
      </c>
      <c r="CS583" s="27" t="s">
        <v>8</v>
      </c>
      <c r="CT583" s="27" t="s">
        <v>7</v>
      </c>
      <c r="CU583" s="27" t="s">
        <v>8</v>
      </c>
      <c r="CV583" s="27" t="s">
        <v>7</v>
      </c>
      <c r="CW583" s="27" t="s">
        <v>8</v>
      </c>
    </row>
    <row r="584" spans="1:267" x14ac:dyDescent="0.25">
      <c r="A584" s="7">
        <v>1.0612079999999999</v>
      </c>
      <c r="B584"/>
      <c r="C584"/>
      <c r="D584"/>
      <c r="E584" t="s">
        <v>8</v>
      </c>
      <c r="AN584" s="27" t="s">
        <v>7</v>
      </c>
      <c r="AO584" s="27" t="s">
        <v>8</v>
      </c>
      <c r="BD584" s="27" t="s">
        <v>7</v>
      </c>
      <c r="BI584" s="27" t="s">
        <v>8</v>
      </c>
      <c r="BJ584" s="27" t="s">
        <v>7</v>
      </c>
      <c r="BO584" s="27" t="s">
        <v>8</v>
      </c>
      <c r="BP584" s="27" t="s">
        <v>7</v>
      </c>
      <c r="BQ584" s="27" t="s">
        <v>8</v>
      </c>
      <c r="BR584" s="27" t="s">
        <v>7</v>
      </c>
      <c r="BS584" s="27" t="s">
        <v>8</v>
      </c>
      <c r="BT584" s="27" t="s">
        <v>7</v>
      </c>
      <c r="CO584" s="27" t="s">
        <v>8</v>
      </c>
      <c r="CP584" s="27" t="s">
        <v>7</v>
      </c>
      <c r="CS584" s="27" t="s">
        <v>8</v>
      </c>
      <c r="CT584" s="27" t="s">
        <v>7</v>
      </c>
      <c r="CU584" s="27" t="s">
        <v>8</v>
      </c>
      <c r="CV584" s="27" t="s">
        <v>7</v>
      </c>
      <c r="CW584" s="27" t="s">
        <v>8</v>
      </c>
    </row>
    <row r="585" spans="1:267" x14ac:dyDescent="0.25">
      <c r="A585" s="7">
        <v>1.0404</v>
      </c>
      <c r="B585"/>
      <c r="C585"/>
      <c r="D585"/>
      <c r="E585" t="s">
        <v>8</v>
      </c>
      <c r="AN585" s="27" t="s">
        <v>7</v>
      </c>
      <c r="BD585" s="27" t="s">
        <v>7</v>
      </c>
      <c r="BE585" s="27" t="s">
        <v>8</v>
      </c>
      <c r="BI585" s="27" t="s">
        <v>8</v>
      </c>
      <c r="BJ585" s="27" t="s">
        <v>7</v>
      </c>
      <c r="BK585" s="27" t="s">
        <v>8</v>
      </c>
      <c r="BO585" s="27" t="s">
        <v>8</v>
      </c>
      <c r="BP585" s="27" t="s">
        <v>7</v>
      </c>
      <c r="BQ585" s="27" t="s">
        <v>8</v>
      </c>
      <c r="BR585" s="27" t="s">
        <v>7</v>
      </c>
      <c r="BS585" s="27" t="s">
        <v>8</v>
      </c>
      <c r="BT585" s="27" t="s">
        <v>7</v>
      </c>
      <c r="BW585" s="27" t="s">
        <v>8</v>
      </c>
      <c r="CO585" s="27" t="s">
        <v>8</v>
      </c>
      <c r="CP585" s="27" t="s">
        <v>7</v>
      </c>
      <c r="CS585" s="27" t="s">
        <v>8</v>
      </c>
      <c r="CT585" s="27" t="s">
        <v>7</v>
      </c>
      <c r="CU585" s="27" t="s">
        <v>8</v>
      </c>
      <c r="CV585" s="27" t="s">
        <v>7</v>
      </c>
      <c r="CW585" s="27" t="s">
        <v>8</v>
      </c>
    </row>
    <row r="586" spans="1:267" x14ac:dyDescent="0.25">
      <c r="A586" s="7">
        <v>1.02</v>
      </c>
      <c r="B586"/>
      <c r="C586"/>
      <c r="D586"/>
      <c r="E586" t="s">
        <v>8</v>
      </c>
      <c r="BD586" s="27" t="s">
        <v>7</v>
      </c>
      <c r="BE586" s="27" t="s">
        <v>8</v>
      </c>
      <c r="BF586" s="27" t="s">
        <v>7</v>
      </c>
      <c r="BI586" s="27" t="s">
        <v>8</v>
      </c>
      <c r="BJ586" s="27" t="s">
        <v>7</v>
      </c>
      <c r="BK586" s="27" t="s">
        <v>8</v>
      </c>
      <c r="BL586" s="27" t="s">
        <v>7</v>
      </c>
      <c r="BO586" s="27" t="s">
        <v>8</v>
      </c>
      <c r="BP586" s="27" t="s">
        <v>7</v>
      </c>
      <c r="BQ586" s="27" t="s">
        <v>8</v>
      </c>
      <c r="BR586" s="27" t="s">
        <v>7</v>
      </c>
      <c r="BS586" s="27" t="s">
        <v>8</v>
      </c>
      <c r="BT586" s="27" t="s">
        <v>7</v>
      </c>
      <c r="BU586" s="27" t="s">
        <v>8</v>
      </c>
      <c r="BW586" s="27" t="s">
        <v>8</v>
      </c>
      <c r="BX586" s="27" t="s">
        <v>7</v>
      </c>
      <c r="CO586" s="27" t="s">
        <v>8</v>
      </c>
      <c r="CP586" s="27" t="s">
        <v>7</v>
      </c>
      <c r="CS586" s="27" t="s">
        <v>8</v>
      </c>
      <c r="CT586" s="27" t="s">
        <v>7</v>
      </c>
      <c r="CU586" s="27" t="s">
        <v>8</v>
      </c>
      <c r="CV586" s="27" t="s">
        <v>7</v>
      </c>
      <c r="CW586" s="27" t="s">
        <v>8</v>
      </c>
    </row>
    <row r="587" spans="1:267" x14ac:dyDescent="0.25">
      <c r="A587" s="7">
        <v>1</v>
      </c>
      <c r="B587"/>
      <c r="C587"/>
      <c r="D587"/>
      <c r="E587" s="29" t="s">
        <v>8</v>
      </c>
      <c r="BD587" s="27" t="s">
        <v>7</v>
      </c>
      <c r="BE587" s="27" t="s">
        <v>8</v>
      </c>
      <c r="BF587" s="27" t="s">
        <v>7</v>
      </c>
      <c r="BI587" s="27" t="s">
        <v>8</v>
      </c>
      <c r="BJ587" s="27" t="s">
        <v>7</v>
      </c>
      <c r="BK587" s="27" t="s">
        <v>8</v>
      </c>
      <c r="BL587" s="27" t="s">
        <v>7</v>
      </c>
      <c r="BO587" s="27" t="s">
        <v>8</v>
      </c>
      <c r="BP587" s="27" t="s">
        <v>7</v>
      </c>
      <c r="BQ587" s="27" t="s">
        <v>8</v>
      </c>
      <c r="BR587" s="27" t="s">
        <v>7</v>
      </c>
      <c r="BT587" s="27" t="s">
        <v>7</v>
      </c>
      <c r="BU587" s="27" t="s">
        <v>8</v>
      </c>
      <c r="BV587" s="27" t="s">
        <v>7</v>
      </c>
      <c r="BW587" s="27" t="s">
        <v>8</v>
      </c>
      <c r="BX587" s="27" t="s">
        <v>7</v>
      </c>
      <c r="CO587" s="27" t="s">
        <v>8</v>
      </c>
      <c r="CP587" s="27" t="s">
        <v>7</v>
      </c>
      <c r="CS587" s="27" t="s">
        <v>8</v>
      </c>
      <c r="CT587" s="27" t="s">
        <v>7</v>
      </c>
      <c r="CU587" s="27" t="s">
        <v>8</v>
      </c>
      <c r="CV587" s="27" t="s">
        <v>7</v>
      </c>
      <c r="CW587" s="27" t="s">
        <v>8</v>
      </c>
    </row>
    <row r="588" spans="1:267" x14ac:dyDescent="0.25">
      <c r="A588" s="7">
        <v>0.98039215686274506</v>
      </c>
      <c r="B588"/>
      <c r="C588"/>
      <c r="D588"/>
      <c r="E588"/>
      <c r="BD588" s="27" t="s">
        <v>7</v>
      </c>
      <c r="BE588" s="27" t="s">
        <v>8</v>
      </c>
      <c r="BF588" s="27" t="s">
        <v>7</v>
      </c>
      <c r="BI588" s="27" t="s">
        <v>8</v>
      </c>
      <c r="BJ588" s="27" t="s">
        <v>7</v>
      </c>
      <c r="BK588" s="27" t="s">
        <v>8</v>
      </c>
      <c r="BL588" s="27" t="s">
        <v>7</v>
      </c>
      <c r="BM588" s="27" t="s">
        <v>8</v>
      </c>
      <c r="BO588" s="27" t="s">
        <v>8</v>
      </c>
      <c r="BP588" s="27" t="s">
        <v>7</v>
      </c>
      <c r="BQ588" s="27" t="s">
        <v>8</v>
      </c>
      <c r="BT588" s="27" t="s">
        <v>7</v>
      </c>
      <c r="BU588" s="27" t="s">
        <v>8</v>
      </c>
      <c r="BV588" s="27" t="s">
        <v>7</v>
      </c>
      <c r="BW588" s="27" t="s">
        <v>8</v>
      </c>
      <c r="BX588" s="27" t="s">
        <v>7</v>
      </c>
      <c r="CE588" s="27" t="s">
        <v>8</v>
      </c>
      <c r="CO588" s="27" t="s">
        <v>8</v>
      </c>
      <c r="CP588" s="27" t="s">
        <v>7</v>
      </c>
      <c r="CS588" s="27" t="s">
        <v>8</v>
      </c>
      <c r="CT588" s="27" t="s">
        <v>7</v>
      </c>
      <c r="CU588" s="27" t="s">
        <v>8</v>
      </c>
      <c r="CV588" s="27" t="s">
        <v>7</v>
      </c>
      <c r="CW588" s="27" t="s">
        <v>8</v>
      </c>
    </row>
    <row r="589" spans="1:267" x14ac:dyDescent="0.25">
      <c r="A589" s="7">
        <v>0.96116878123798544</v>
      </c>
      <c r="B589"/>
      <c r="C589"/>
      <c r="D589"/>
      <c r="E589"/>
      <c r="BD589" s="27" t="s">
        <v>7</v>
      </c>
      <c r="BE589" s="27" t="s">
        <v>8</v>
      </c>
      <c r="BF589" s="27" t="s">
        <v>7</v>
      </c>
      <c r="BI589" s="27" t="s">
        <v>8</v>
      </c>
      <c r="BJ589" s="27" t="s">
        <v>7</v>
      </c>
      <c r="BK589" s="27" t="s">
        <v>8</v>
      </c>
      <c r="BL589" s="27" t="s">
        <v>7</v>
      </c>
      <c r="BM589" s="27" t="s">
        <v>8</v>
      </c>
      <c r="BN589" s="27" t="s">
        <v>7</v>
      </c>
      <c r="BO589" s="27" t="s">
        <v>8</v>
      </c>
      <c r="BP589" s="27" t="s">
        <v>7</v>
      </c>
      <c r="BQ589" s="27" t="s">
        <v>8</v>
      </c>
      <c r="BT589" s="27" t="s">
        <v>7</v>
      </c>
      <c r="BU589" s="27" t="s">
        <v>8</v>
      </c>
      <c r="BV589" s="27" t="s">
        <v>7</v>
      </c>
      <c r="BW589" s="27" t="s">
        <v>8</v>
      </c>
      <c r="BX589" s="27" t="s">
        <v>7</v>
      </c>
      <c r="CE589" s="27" t="s">
        <v>8</v>
      </c>
      <c r="CF589" s="27" t="s">
        <v>7</v>
      </c>
      <c r="CO589" s="27" t="s">
        <v>8</v>
      </c>
      <c r="CP589" s="27" t="s">
        <v>7</v>
      </c>
      <c r="CS589" s="27" t="s">
        <v>8</v>
      </c>
      <c r="CT589" s="27" t="s">
        <v>7</v>
      </c>
      <c r="CU589" s="27" t="s">
        <v>8</v>
      </c>
      <c r="CV589" s="27" t="s">
        <v>7</v>
      </c>
      <c r="CW589" s="27" t="s">
        <v>8</v>
      </c>
    </row>
    <row r="590" spans="1:267" x14ac:dyDescent="0.25">
      <c r="A590" s="7">
        <v>0.94232233454704462</v>
      </c>
      <c r="B590"/>
      <c r="C590"/>
      <c r="D590"/>
      <c r="E590"/>
      <c r="BD590" s="27" t="s">
        <v>7</v>
      </c>
      <c r="BE590" s="27" t="s">
        <v>8</v>
      </c>
      <c r="BF590" s="27" t="s">
        <v>7</v>
      </c>
      <c r="BI590" s="27" t="s">
        <v>8</v>
      </c>
      <c r="BJ590" s="27" t="s">
        <v>7</v>
      </c>
      <c r="BK590" s="27" t="s">
        <v>8</v>
      </c>
      <c r="BL590" s="27" t="s">
        <v>7</v>
      </c>
      <c r="BM590" s="27" t="s">
        <v>8</v>
      </c>
      <c r="BN590" s="27" t="s">
        <v>7</v>
      </c>
      <c r="BO590" s="27" t="s">
        <v>8</v>
      </c>
      <c r="BP590" s="27" t="s">
        <v>7</v>
      </c>
      <c r="BQ590" s="27" t="s">
        <v>8</v>
      </c>
      <c r="BT590" s="27" t="s">
        <v>7</v>
      </c>
      <c r="BU590" s="27" t="s">
        <v>8</v>
      </c>
      <c r="BV590" s="27" t="s">
        <v>7</v>
      </c>
      <c r="BW590" s="27" t="s">
        <v>8</v>
      </c>
      <c r="BX590" s="27" t="s">
        <v>7</v>
      </c>
      <c r="CE590" s="27" t="s">
        <v>8</v>
      </c>
      <c r="CF590" s="27" t="s">
        <v>7</v>
      </c>
      <c r="CO590" s="27" t="s">
        <v>8</v>
      </c>
      <c r="CP590" s="27" t="s">
        <v>7</v>
      </c>
      <c r="CS590" s="27" t="s">
        <v>8</v>
      </c>
      <c r="CT590" s="27" t="s">
        <v>7</v>
      </c>
      <c r="CU590" s="27" t="s">
        <v>8</v>
      </c>
      <c r="CV590" s="27" t="s">
        <v>7</v>
      </c>
    </row>
    <row r="591" spans="1:267" x14ac:dyDescent="0.25">
      <c r="A591" s="7">
        <v>0.92384542602651432</v>
      </c>
      <c r="B591"/>
      <c r="C591"/>
      <c r="D591"/>
      <c r="E591"/>
      <c r="BD591" s="27" t="s">
        <v>7</v>
      </c>
      <c r="BF591" s="27" t="s">
        <v>7</v>
      </c>
      <c r="BI591" s="27" t="s">
        <v>8</v>
      </c>
      <c r="BJ591" s="27" t="s">
        <v>7</v>
      </c>
      <c r="BK591" s="27" t="s">
        <v>8</v>
      </c>
      <c r="BL591" s="27" t="s">
        <v>7</v>
      </c>
      <c r="BM591" s="27" t="s">
        <v>8</v>
      </c>
      <c r="BN591" s="27" t="s">
        <v>7</v>
      </c>
      <c r="BO591" s="27" t="s">
        <v>8</v>
      </c>
      <c r="BP591" s="27" t="s">
        <v>7</v>
      </c>
      <c r="BT591" s="27" t="s">
        <v>7</v>
      </c>
      <c r="BU591" s="27" t="s">
        <v>8</v>
      </c>
      <c r="BV591" s="27" t="s">
        <v>7</v>
      </c>
      <c r="BX591" s="27" t="s">
        <v>7</v>
      </c>
      <c r="BY591" s="27" t="s">
        <v>8</v>
      </c>
      <c r="CE591" s="27" t="s">
        <v>8</v>
      </c>
      <c r="CF591" s="27" t="s">
        <v>7</v>
      </c>
      <c r="CO591" s="27" t="s">
        <v>8</v>
      </c>
      <c r="CP591" s="27" t="s">
        <v>7</v>
      </c>
      <c r="CS591" s="27" t="s">
        <v>8</v>
      </c>
      <c r="CT591" s="27" t="s">
        <v>7</v>
      </c>
      <c r="CU591" s="27" t="s">
        <v>8</v>
      </c>
    </row>
    <row r="592" spans="1:267" x14ac:dyDescent="0.25">
      <c r="A592" s="7">
        <v>0.90573080982991594</v>
      </c>
      <c r="B592"/>
      <c r="C592"/>
      <c r="D592"/>
      <c r="E592"/>
      <c r="BF592" s="27" t="s">
        <v>7</v>
      </c>
      <c r="BI592" s="27" t="s">
        <v>8</v>
      </c>
      <c r="BJ592" s="27" t="s">
        <v>7</v>
      </c>
      <c r="BK592" s="27" t="s">
        <v>8</v>
      </c>
      <c r="BL592" s="27" t="s">
        <v>7</v>
      </c>
      <c r="BM592" s="27" t="s">
        <v>8</v>
      </c>
      <c r="BN592" s="27" t="s">
        <v>7</v>
      </c>
      <c r="BO592" s="27" t="s">
        <v>8</v>
      </c>
      <c r="BT592" s="27" t="s">
        <v>7</v>
      </c>
      <c r="BU592" s="27" t="s">
        <v>8</v>
      </c>
      <c r="BX592" s="27" t="s">
        <v>7</v>
      </c>
      <c r="BY592" s="27" t="s">
        <v>8</v>
      </c>
      <c r="BZ592" s="27" t="s">
        <v>7</v>
      </c>
      <c r="CE592" s="27" t="s">
        <v>8</v>
      </c>
      <c r="CF592" s="27" t="s">
        <v>7</v>
      </c>
      <c r="CM592" s="27" t="s">
        <v>8</v>
      </c>
      <c r="CO592" s="27" t="s">
        <v>8</v>
      </c>
      <c r="CP592" s="27" t="s">
        <v>7</v>
      </c>
      <c r="CQ592" s="27" t="s">
        <v>8</v>
      </c>
      <c r="CS592" s="27" t="s">
        <v>8</v>
      </c>
      <c r="CT592" s="27" t="s">
        <v>7</v>
      </c>
      <c r="CU592" s="27" t="s">
        <v>8</v>
      </c>
    </row>
    <row r="593" spans="1:99" x14ac:dyDescent="0.25">
      <c r="A593" s="7">
        <v>0.8879713821861922</v>
      </c>
      <c r="B593"/>
      <c r="C593"/>
      <c r="D593"/>
      <c r="E593"/>
      <c r="BF593" s="27" t="s">
        <v>7</v>
      </c>
      <c r="BI593" s="27" t="s">
        <v>8</v>
      </c>
      <c r="BJ593" s="27" t="s">
        <v>7</v>
      </c>
      <c r="BL593" s="27" t="s">
        <v>7</v>
      </c>
      <c r="BN593" s="27" t="s">
        <v>7</v>
      </c>
      <c r="BT593" s="27" t="s">
        <v>7</v>
      </c>
      <c r="BU593" s="27" t="s">
        <v>8</v>
      </c>
      <c r="BX593" s="27" t="s">
        <v>7</v>
      </c>
      <c r="BY593" s="27" t="s">
        <v>8</v>
      </c>
      <c r="BZ593" s="27" t="s">
        <v>7</v>
      </c>
      <c r="CE593" s="27" t="s">
        <v>8</v>
      </c>
      <c r="CF593" s="27" t="s">
        <v>7</v>
      </c>
      <c r="CM593" s="27" t="s">
        <v>8</v>
      </c>
      <c r="CN593" s="27" t="s">
        <v>7</v>
      </c>
      <c r="CO593" s="27" t="s">
        <v>8</v>
      </c>
      <c r="CP593" s="27" t="s">
        <v>7</v>
      </c>
      <c r="CQ593" s="27" t="s">
        <v>8</v>
      </c>
      <c r="CR593" s="27" t="s">
        <v>7</v>
      </c>
      <c r="CS593" s="27" t="s">
        <v>8</v>
      </c>
      <c r="CT593" s="27" t="s">
        <v>7</v>
      </c>
      <c r="CU593" s="27" t="s">
        <v>8</v>
      </c>
    </row>
    <row r="594" spans="1:99" x14ac:dyDescent="0.25">
      <c r="A594" s="7">
        <v>0.87056017861391399</v>
      </c>
      <c r="B594"/>
      <c r="C594"/>
      <c r="D594"/>
      <c r="E594"/>
      <c r="BF594" s="27" t="s">
        <v>7</v>
      </c>
      <c r="BG594" s="27" t="s">
        <v>8</v>
      </c>
      <c r="BI594" s="27" t="s">
        <v>8</v>
      </c>
      <c r="BT594" s="27" t="s">
        <v>7</v>
      </c>
      <c r="BU594" s="27" t="s">
        <v>8</v>
      </c>
      <c r="BX594" s="27" t="s">
        <v>7</v>
      </c>
      <c r="BY594" s="27" t="s">
        <v>8</v>
      </c>
      <c r="BZ594" s="27" t="s">
        <v>7</v>
      </c>
      <c r="CC594" s="27" t="s">
        <v>8</v>
      </c>
      <c r="CE594" s="27" t="s">
        <v>8</v>
      </c>
      <c r="CF594" s="27" t="s">
        <v>7</v>
      </c>
      <c r="CM594" s="27" t="s">
        <v>8</v>
      </c>
      <c r="CN594" s="27" t="s">
        <v>7</v>
      </c>
      <c r="CO594" s="27" t="s">
        <v>8</v>
      </c>
      <c r="CP594" s="27" t="s">
        <v>7</v>
      </c>
      <c r="CQ594" s="27" t="s">
        <v>8</v>
      </c>
      <c r="CR594" s="27" t="s">
        <v>7</v>
      </c>
      <c r="CS594" s="27" t="s">
        <v>8</v>
      </c>
      <c r="CT594" s="27" t="s">
        <v>7</v>
      </c>
      <c r="CU594" s="27" t="s">
        <v>8</v>
      </c>
    </row>
    <row r="595" spans="1:99" x14ac:dyDescent="0.25">
      <c r="A595" s="7">
        <v>0.85349037119011173</v>
      </c>
      <c r="B595"/>
      <c r="C595"/>
      <c r="D595"/>
      <c r="E595"/>
      <c r="BF595" s="27" t="s">
        <v>7</v>
      </c>
      <c r="BG595" s="27" t="s">
        <v>8</v>
      </c>
      <c r="BH595" s="27" t="s">
        <v>7</v>
      </c>
      <c r="BI595" s="27" t="s">
        <v>8</v>
      </c>
      <c r="BT595" s="27" t="s">
        <v>7</v>
      </c>
      <c r="BU595" s="27" t="s">
        <v>8</v>
      </c>
      <c r="BX595" s="27" t="s">
        <v>7</v>
      </c>
      <c r="BZ595" s="27" t="s">
        <v>7</v>
      </c>
      <c r="CA595" s="27" t="s">
        <v>8</v>
      </c>
      <c r="CC595" s="27" t="s">
        <v>8</v>
      </c>
      <c r="CD595" s="27" t="s">
        <v>7</v>
      </c>
      <c r="CE595" s="27" t="s">
        <v>8</v>
      </c>
      <c r="CF595" s="27" t="s">
        <v>7</v>
      </c>
      <c r="CM595" s="27" t="s">
        <v>8</v>
      </c>
      <c r="CN595" s="27" t="s">
        <v>7</v>
      </c>
      <c r="CO595" s="27" t="s">
        <v>8</v>
      </c>
      <c r="CP595" s="27" t="s">
        <v>7</v>
      </c>
      <c r="CQ595" s="27" t="s">
        <v>8</v>
      </c>
      <c r="CR595" s="27" t="s">
        <v>7</v>
      </c>
      <c r="CS595" s="27" t="s">
        <v>8</v>
      </c>
      <c r="CT595" s="27" t="s">
        <v>7</v>
      </c>
      <c r="CU595" s="27" t="s">
        <v>8</v>
      </c>
    </row>
    <row r="596" spans="1:99" x14ac:dyDescent="0.25">
      <c r="A596" s="7">
        <v>0.83675526587265858</v>
      </c>
      <c r="B596"/>
      <c r="C596"/>
      <c r="D596"/>
      <c r="E596"/>
      <c r="BF596" s="27" t="s">
        <v>7</v>
      </c>
      <c r="BG596" s="27" t="s">
        <v>8</v>
      </c>
      <c r="BH596" s="27" t="s">
        <v>7</v>
      </c>
      <c r="BI596" s="27" t="s">
        <v>8</v>
      </c>
      <c r="BT596" s="27" t="s">
        <v>7</v>
      </c>
      <c r="BU596" s="27" t="s">
        <v>8</v>
      </c>
      <c r="BZ596" s="27" t="s">
        <v>7</v>
      </c>
      <c r="CA596" s="27" t="s">
        <v>8</v>
      </c>
      <c r="CB596" s="27" t="s">
        <v>7</v>
      </c>
      <c r="CC596" s="27" t="s">
        <v>8</v>
      </c>
      <c r="CD596" s="27" t="s">
        <v>7</v>
      </c>
      <c r="CE596" s="27" t="s">
        <v>8</v>
      </c>
      <c r="CF596" s="27" t="s">
        <v>7</v>
      </c>
      <c r="CM596" s="27" t="s">
        <v>8</v>
      </c>
      <c r="CN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CS596" s="27" t="s">
        <v>8</v>
      </c>
      <c r="CT596" s="27" t="s">
        <v>7</v>
      </c>
      <c r="CU596" s="27" t="s">
        <v>8</v>
      </c>
    </row>
    <row r="597" spans="1:99" x14ac:dyDescent="0.25">
      <c r="A597" s="7">
        <v>0.82034829987515545</v>
      </c>
      <c r="B597"/>
      <c r="C597"/>
      <c r="D597"/>
      <c r="E597"/>
      <c r="BF597" s="27" t="s">
        <v>7</v>
      </c>
      <c r="BG597" s="27" t="s">
        <v>8</v>
      </c>
      <c r="BH597" s="27" t="s">
        <v>7</v>
      </c>
      <c r="BI597" s="27" t="s">
        <v>8</v>
      </c>
      <c r="BT597" s="27" t="s">
        <v>7</v>
      </c>
      <c r="BU597" s="27" t="s">
        <v>8</v>
      </c>
      <c r="BZ597" s="27" t="s">
        <v>7</v>
      </c>
      <c r="CA597" s="27" t="s">
        <v>8</v>
      </c>
      <c r="CB597" s="27" t="s">
        <v>7</v>
      </c>
      <c r="CC597" s="27" t="s">
        <v>8</v>
      </c>
      <c r="CD597" s="27" t="s">
        <v>7</v>
      </c>
      <c r="CF597" s="27" t="s">
        <v>7</v>
      </c>
      <c r="CM597" s="27" t="s">
        <v>8</v>
      </c>
      <c r="CN597" s="27" t="s">
        <v>7</v>
      </c>
      <c r="CO597" s="27" t="s">
        <v>8</v>
      </c>
      <c r="CP597" s="27" t="s">
        <v>7</v>
      </c>
      <c r="CQ597" s="27" t="s">
        <v>8</v>
      </c>
      <c r="CR597" s="27" t="s">
        <v>7</v>
      </c>
      <c r="CT597" s="27" t="s">
        <v>7</v>
      </c>
      <c r="CU597" s="27" t="s">
        <v>8</v>
      </c>
    </row>
    <row r="598" spans="1:99" x14ac:dyDescent="0.25">
      <c r="A598" s="7">
        <v>0.80426303909328967</v>
      </c>
      <c r="B598"/>
      <c r="C598"/>
      <c r="D598"/>
      <c r="E598"/>
      <c r="BF598" s="27" t="s">
        <v>7</v>
      </c>
      <c r="BG598" s="27" t="s">
        <v>8</v>
      </c>
      <c r="BH598" s="27" t="s">
        <v>7</v>
      </c>
      <c r="BI598" s="27" t="s">
        <v>8</v>
      </c>
      <c r="BT598" s="27" t="s">
        <v>7</v>
      </c>
      <c r="BZ598" s="27" t="s">
        <v>7</v>
      </c>
      <c r="CA598" s="27" t="s">
        <v>8</v>
      </c>
      <c r="CB598" s="27" t="s">
        <v>7</v>
      </c>
      <c r="CF598" s="27" t="s">
        <v>7</v>
      </c>
      <c r="CM598" s="27" t="s">
        <v>8</v>
      </c>
      <c r="CN598" s="27" t="s">
        <v>7</v>
      </c>
      <c r="CO598" s="27" t="s">
        <v>8</v>
      </c>
      <c r="CP598" s="27" t="s">
        <v>7</v>
      </c>
      <c r="CQ598" s="27" t="s">
        <v>8</v>
      </c>
      <c r="CT598" s="27" t="s">
        <v>7</v>
      </c>
    </row>
    <row r="599" spans="1:99" x14ac:dyDescent="0.25">
      <c r="A599" s="7">
        <v>0.78849317558165644</v>
      </c>
      <c r="B599"/>
      <c r="C599"/>
      <c r="D599"/>
      <c r="E599"/>
      <c r="BF599" s="27" t="s">
        <v>7</v>
      </c>
      <c r="BH599" s="27" t="s">
        <v>7</v>
      </c>
      <c r="BI599" s="27" t="s">
        <v>8</v>
      </c>
      <c r="BZ599" s="27" t="s">
        <v>7</v>
      </c>
      <c r="CF599" s="27" t="s">
        <v>7</v>
      </c>
      <c r="CM599" s="27" t="s">
        <v>8</v>
      </c>
      <c r="CN599" s="27" t="s">
        <v>7</v>
      </c>
      <c r="CO599" s="27" t="s">
        <v>8</v>
      </c>
      <c r="CP599" s="27" t="s">
        <v>7</v>
      </c>
      <c r="CQ599" s="27" t="s">
        <v>8</v>
      </c>
    </row>
    <row r="600" spans="1:99" x14ac:dyDescent="0.25">
      <c r="A600" s="7">
        <v>0.77303252508005538</v>
      </c>
      <c r="B600"/>
      <c r="C600"/>
      <c r="D600"/>
      <c r="E600"/>
      <c r="BH600" s="27" t="s">
        <v>7</v>
      </c>
      <c r="BI600" s="27" t="s">
        <v>8</v>
      </c>
      <c r="CF600" s="27" t="s">
        <v>7</v>
      </c>
      <c r="CM600" s="27" t="s">
        <v>8</v>
      </c>
      <c r="CN600" s="27" t="s">
        <v>7</v>
      </c>
      <c r="CO600" s="27" t="s">
        <v>8</v>
      </c>
      <c r="CP600" s="27" t="s">
        <v>7</v>
      </c>
      <c r="CQ600" s="27" t="s">
        <v>8</v>
      </c>
    </row>
    <row r="601" spans="1:99" x14ac:dyDescent="0.25">
      <c r="A601" s="7">
        <v>0.75787502458828959</v>
      </c>
      <c r="B601"/>
      <c r="C601"/>
      <c r="D601"/>
      <c r="E601"/>
      <c r="BH601" s="27" t="s">
        <v>7</v>
      </c>
      <c r="BI601" s="27" t="s">
        <v>8</v>
      </c>
      <c r="CF601" s="27" t="s">
        <v>7</v>
      </c>
      <c r="CG601" s="27" t="s">
        <v>8</v>
      </c>
      <c r="CK601" s="27" t="s">
        <v>8</v>
      </c>
      <c r="CM601" s="27" t="s">
        <v>8</v>
      </c>
      <c r="CN601" s="27" t="s">
        <v>7</v>
      </c>
      <c r="CO601" s="27" t="s">
        <v>8</v>
      </c>
      <c r="CP601" s="27" t="s">
        <v>7</v>
      </c>
      <c r="CQ601" s="27" t="s">
        <v>8</v>
      </c>
    </row>
    <row r="602" spans="1:99" x14ac:dyDescent="0.25">
      <c r="A602" s="7">
        <v>0.74301472998851925</v>
      </c>
      <c r="B602"/>
      <c r="C602"/>
      <c r="D602"/>
      <c r="E602"/>
      <c r="BH602" s="27" t="s">
        <v>7</v>
      </c>
      <c r="BI602" s="27" t="s">
        <v>8</v>
      </c>
      <c r="CF602" s="27" t="s">
        <v>7</v>
      </c>
      <c r="CG602" s="27" t="s">
        <v>8</v>
      </c>
      <c r="CH602" s="27" t="s">
        <v>7</v>
      </c>
      <c r="CK602" s="27" t="s">
        <v>8</v>
      </c>
      <c r="CL602" s="27" t="s">
        <v>7</v>
      </c>
      <c r="CM602" s="27" t="s">
        <v>8</v>
      </c>
      <c r="CN602" s="27" t="s">
        <v>7</v>
      </c>
      <c r="CO602" s="27" t="s">
        <v>8</v>
      </c>
      <c r="CP602" s="27" t="s">
        <v>7</v>
      </c>
    </row>
    <row r="603" spans="1:99" x14ac:dyDescent="0.25">
      <c r="A603" s="7">
        <v>0.72844581371423456</v>
      </c>
      <c r="B603"/>
      <c r="C603"/>
      <c r="D603"/>
      <c r="E603"/>
      <c r="BH603" s="27" t="s">
        <v>7</v>
      </c>
      <c r="CF603" s="27" t="s">
        <v>7</v>
      </c>
      <c r="CG603" s="27" t="s">
        <v>8</v>
      </c>
      <c r="CH603" s="27" t="s">
        <v>7</v>
      </c>
      <c r="CK603" s="27" t="s">
        <v>8</v>
      </c>
      <c r="CL603" s="27" t="s">
        <v>7</v>
      </c>
      <c r="CM603" s="27" t="s">
        <v>8</v>
      </c>
      <c r="CN603" s="27" t="s">
        <v>7</v>
      </c>
      <c r="CO603" s="27" t="s">
        <v>8</v>
      </c>
    </row>
    <row r="604" spans="1:99" x14ac:dyDescent="0.25">
      <c r="A604" s="7">
        <v>0.71416256246493581</v>
      </c>
      <c r="B604"/>
      <c r="C604"/>
      <c r="D604"/>
      <c r="E604"/>
      <c r="CF604" s="27" t="s">
        <v>7</v>
      </c>
      <c r="CG604" s="27" t="s">
        <v>8</v>
      </c>
      <c r="CH604" s="27" t="s">
        <v>7</v>
      </c>
      <c r="CI604" s="27" t="s">
        <v>8</v>
      </c>
      <c r="CK604" s="27" t="s">
        <v>8</v>
      </c>
      <c r="CL604" s="27" t="s">
        <v>7</v>
      </c>
      <c r="CM604" s="27" t="s">
        <v>8</v>
      </c>
      <c r="CN604" s="27" t="s">
        <v>7</v>
      </c>
      <c r="CO604" s="27" t="s">
        <v>8</v>
      </c>
    </row>
    <row r="605" spans="1:99" x14ac:dyDescent="0.25">
      <c r="A605" s="7">
        <v>0.7001593749656233</v>
      </c>
      <c r="B605"/>
      <c r="C605"/>
      <c r="D605"/>
      <c r="E605"/>
      <c r="CF605" s="27" t="s">
        <v>7</v>
      </c>
      <c r="CG605" s="27" t="s">
        <v>8</v>
      </c>
      <c r="CH605" s="27" t="s">
        <v>7</v>
      </c>
      <c r="CI605" s="27" t="s">
        <v>8</v>
      </c>
      <c r="CJ605" s="27" t="s">
        <v>7</v>
      </c>
      <c r="CK605" s="27" t="s">
        <v>8</v>
      </c>
      <c r="CL605" s="27" t="s">
        <v>7</v>
      </c>
      <c r="CM605" s="27" t="s">
        <v>8</v>
      </c>
      <c r="CN605" s="27" t="s">
        <v>7</v>
      </c>
    </row>
    <row r="606" spans="1:99" x14ac:dyDescent="0.25">
      <c r="A606" s="7">
        <v>0.68643075977021883</v>
      </c>
      <c r="B606"/>
      <c r="C606"/>
      <c r="D606"/>
      <c r="E606"/>
      <c r="CF606" s="27" t="s">
        <v>7</v>
      </c>
      <c r="CG606" s="27" t="s">
        <v>8</v>
      </c>
      <c r="CH606" s="27" t="s">
        <v>7</v>
      </c>
      <c r="CI606" s="27" t="s">
        <v>8</v>
      </c>
      <c r="CJ606" s="27" t="s">
        <v>7</v>
      </c>
      <c r="CK606" s="27" t="s">
        <v>8</v>
      </c>
      <c r="CL606" s="27" t="s">
        <v>7</v>
      </c>
    </row>
    <row r="607" spans="1:99" x14ac:dyDescent="0.25">
      <c r="A607" s="7">
        <v>0.67297133310805768</v>
      </c>
      <c r="B607"/>
      <c r="C607"/>
      <c r="D607"/>
      <c r="E607"/>
      <c r="CF607" s="27" t="s">
        <v>7</v>
      </c>
      <c r="CG607" s="27" t="s">
        <v>8</v>
      </c>
      <c r="CH607" s="27" t="s">
        <v>7</v>
      </c>
      <c r="CI607" s="27" t="s">
        <v>8</v>
      </c>
      <c r="CJ607" s="27" t="s">
        <v>7</v>
      </c>
      <c r="CK607" s="27" t="s">
        <v>8</v>
      </c>
    </row>
    <row r="608" spans="1:99" x14ac:dyDescent="0.25">
      <c r="A608" s="7">
        <v>0.65977581677260566</v>
      </c>
      <c r="B608"/>
      <c r="C608"/>
      <c r="D608"/>
      <c r="E608"/>
      <c r="CF608" s="27" t="s">
        <v>7</v>
      </c>
      <c r="CG608" s="27" t="s">
        <v>8</v>
      </c>
      <c r="CH608" s="27" t="s">
        <v>7</v>
      </c>
      <c r="CI608" s="27" t="s">
        <v>8</v>
      </c>
      <c r="CJ608" s="27" t="s">
        <v>7</v>
      </c>
      <c r="CK608" s="27" t="s">
        <v>8</v>
      </c>
    </row>
    <row r="609" spans="1:89" x14ac:dyDescent="0.25">
      <c r="A609" s="7">
        <v>0.64683903605157422</v>
      </c>
      <c r="B609"/>
      <c r="C609"/>
      <c r="D609"/>
      <c r="E609"/>
      <c r="CF609" s="27" t="s">
        <v>7</v>
      </c>
      <c r="CG609" s="27" t="s">
        <v>8</v>
      </c>
      <c r="CH609" s="27" t="s">
        <v>7</v>
      </c>
      <c r="CJ609" s="27" t="s">
        <v>7</v>
      </c>
      <c r="CK609" s="27" t="s">
        <v>8</v>
      </c>
    </row>
    <row r="610" spans="1:89" x14ac:dyDescent="0.25">
      <c r="A610" s="7">
        <v>0.63415591769762181</v>
      </c>
      <c r="B610"/>
      <c r="C610"/>
      <c r="D610"/>
      <c r="E610"/>
      <c r="CF610" s="27" t="s">
        <v>7</v>
      </c>
      <c r="CG610" s="27" t="s">
        <v>8</v>
      </c>
      <c r="CJ610" s="27" t="s">
        <v>7</v>
      </c>
      <c r="CK610" s="27" t="s">
        <v>8</v>
      </c>
    </row>
    <row r="611" spans="1:89" x14ac:dyDescent="0.25">
      <c r="A611" s="7">
        <v>0.62172148793884496</v>
      </c>
      <c r="B611"/>
      <c r="C611"/>
      <c r="D611"/>
      <c r="E611"/>
      <c r="CF611" s="27" t="s">
        <v>7</v>
      </c>
      <c r="CG611" s="27" t="s">
        <v>8</v>
      </c>
      <c r="CJ611" s="27" t="s">
        <v>7</v>
      </c>
      <c r="CK611" s="27" t="s">
        <v>8</v>
      </c>
    </row>
    <row r="612" spans="1:89" x14ac:dyDescent="0.25">
      <c r="A612" s="7">
        <v>0.60953087052827937</v>
      </c>
      <c r="B612"/>
      <c r="C612"/>
      <c r="D612"/>
      <c r="E612"/>
      <c r="CF612" s="27" t="s">
        <v>7</v>
      </c>
      <c r="CG612" s="27" t="s">
        <v>8</v>
      </c>
      <c r="CJ612" s="27" t="s">
        <v>7</v>
      </c>
    </row>
    <row r="613" spans="1:89" x14ac:dyDescent="0.25">
      <c r="A613" s="7">
        <v>0.59757928483164646</v>
      </c>
      <c r="B613"/>
      <c r="C613"/>
      <c r="D613"/>
      <c r="E613"/>
      <c r="CF613" s="27" t="s">
        <v>7</v>
      </c>
      <c r="CG613" s="27" t="s">
        <v>8</v>
      </c>
    </row>
    <row r="614" spans="1:89" x14ac:dyDescent="0.25">
      <c r="A614" s="7">
        <v>0.58586204395259456</v>
      </c>
      <c r="B614"/>
      <c r="C614"/>
      <c r="D614"/>
      <c r="E614"/>
      <c r="CF614" s="27" t="s">
        <v>7</v>
      </c>
      <c r="CG614" s="27" t="s">
        <v>8</v>
      </c>
    </row>
    <row r="615" spans="1:89" x14ac:dyDescent="0.25">
      <c r="A615" s="7">
        <v>0.57437455289470052</v>
      </c>
      <c r="B615"/>
      <c r="C615"/>
      <c r="D615"/>
      <c r="E615"/>
      <c r="CF615" s="27" t="s">
        <v>7</v>
      </c>
      <c r="CG615" s="27" t="s">
        <v>8</v>
      </c>
    </row>
    <row r="616" spans="1:89" x14ac:dyDescent="0.25">
      <c r="A616" s="7">
        <v>0.56311230675951029</v>
      </c>
      <c r="B616"/>
      <c r="C616"/>
      <c r="D616"/>
      <c r="E616"/>
      <c r="CF616" s="27" t="s">
        <v>7</v>
      </c>
    </row>
    <row r="617" spans="1:89" x14ac:dyDescent="0.25">
      <c r="A617" s="7">
        <v>0.55207088897991208</v>
      </c>
      <c r="B617"/>
      <c r="C617"/>
      <c r="D617"/>
      <c r="E617"/>
    </row>
    <row r="618" spans="1:89" x14ac:dyDescent="0.25">
      <c r="A618" s="7">
        <v>0.54124596958814908</v>
      </c>
      <c r="B618"/>
      <c r="C618"/>
      <c r="D618"/>
      <c r="E618"/>
    </row>
    <row r="619" spans="1:89" x14ac:dyDescent="0.25">
      <c r="A619" s="7">
        <v>0.53063330351779314</v>
      </c>
      <c r="B619"/>
      <c r="C619"/>
      <c r="D619"/>
      <c r="E619"/>
    </row>
    <row r="620" spans="1:89" x14ac:dyDescent="0.25">
      <c r="A620" s="7">
        <v>0.52022872893901284</v>
      </c>
      <c r="B620"/>
      <c r="C620"/>
      <c r="D620"/>
      <c r="E620"/>
    </row>
    <row r="621" spans="1:89" x14ac:dyDescent="0.25">
      <c r="A621" s="7">
        <v>0.51002816562648323</v>
      </c>
      <c r="B621"/>
      <c r="C621"/>
      <c r="D621"/>
      <c r="E621"/>
    </row>
    <row r="622" spans="1:89" x14ac:dyDescent="0.25">
      <c r="A622" s="7">
        <v>0.50002761335929735</v>
      </c>
      <c r="B622"/>
      <c r="C622"/>
      <c r="D622"/>
      <c r="E622"/>
    </row>
    <row r="623" spans="1:89" x14ac:dyDescent="0.25">
      <c r="A623" s="7">
        <v>0.49022315035225228</v>
      </c>
      <c r="B623"/>
      <c r="C623"/>
      <c r="D623"/>
      <c r="E623"/>
    </row>
    <row r="624" spans="1:89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62" operator="equal">
      <formula>$U$1</formula>
    </cfRule>
    <cfRule type="cellIs" dxfId="89" priority="963" operator="equal">
      <formula>$S$1</formula>
    </cfRule>
  </conditionalFormatting>
  <conditionalFormatting sqref="D27">
    <cfRule type="cellIs" dxfId="88" priority="960" operator="equal">
      <formula>$S$1</formula>
    </cfRule>
    <cfRule type="cellIs" dxfId="87" priority="961" operator="equal">
      <formula>$U$1</formula>
    </cfRule>
  </conditionalFormatting>
  <conditionalFormatting sqref="C164">
    <cfRule type="cellIs" dxfId="86" priority="958" operator="equal">
      <formula>$U$1</formula>
    </cfRule>
    <cfRule type="cellIs" dxfId="85" priority="959" operator="equal">
      <formula>$S$1</formula>
    </cfRule>
  </conditionalFormatting>
  <conditionalFormatting sqref="D164">
    <cfRule type="cellIs" dxfId="84" priority="956" operator="equal">
      <formula>$S$1</formula>
    </cfRule>
    <cfRule type="cellIs" dxfId="83" priority="957" operator="equal">
      <formula>$U$1</formula>
    </cfRule>
  </conditionalFormatting>
  <conditionalFormatting sqref="C55">
    <cfRule type="cellIs" dxfId="82" priority="954" operator="equal">
      <formula>$U$1</formula>
    </cfRule>
    <cfRule type="cellIs" dxfId="81" priority="955" operator="equal">
      <formula>$S$1</formula>
    </cfRule>
  </conditionalFormatting>
  <conditionalFormatting sqref="D55">
    <cfRule type="cellIs" dxfId="80" priority="952" operator="equal">
      <formula>$S$1</formula>
    </cfRule>
    <cfRule type="cellIs" dxfId="79" priority="953" operator="equal">
      <formula>$U$1</formula>
    </cfRule>
  </conditionalFormatting>
  <conditionalFormatting sqref="C89">
    <cfRule type="cellIs" dxfId="78" priority="950" operator="equal">
      <formula>$U$1</formula>
    </cfRule>
    <cfRule type="cellIs" dxfId="77" priority="951" operator="equal">
      <formula>$S$1</formula>
    </cfRule>
  </conditionalFormatting>
  <conditionalFormatting sqref="D89">
    <cfRule type="cellIs" dxfId="76" priority="948" operator="equal">
      <formula>$S$1</formula>
    </cfRule>
    <cfRule type="cellIs" dxfId="75" priority="949" operator="equal">
      <formula>$U$1</formula>
    </cfRule>
  </conditionalFormatting>
  <conditionalFormatting sqref="C136">
    <cfRule type="cellIs" dxfId="74" priority="946" operator="equal">
      <formula>$U$1</formula>
    </cfRule>
    <cfRule type="cellIs" dxfId="73" priority="947" operator="equal">
      <formula>$S$1</formula>
    </cfRule>
  </conditionalFormatting>
  <conditionalFormatting sqref="D136">
    <cfRule type="cellIs" dxfId="72" priority="944" operator="equal">
      <formula>$S$1</formula>
    </cfRule>
    <cfRule type="cellIs" dxfId="71" priority="945" operator="equal">
      <formula>$U$1</formula>
    </cfRule>
  </conditionalFormatting>
  <conditionalFormatting sqref="C1">
    <cfRule type="cellIs" dxfId="70" priority="94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5" zoomScale="90" zoomScaleNormal="90" workbookViewId="0">
      <pane xSplit="4" topLeftCell="BT1" activePane="topRight" state="frozen"/>
      <selection activeCell="A109" sqref="A109"/>
      <selection pane="topRight" activeCell="EE234" sqref="EE2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$A$233</v>
      </c>
      <c r="D111" s="1" t="str">
        <f>ADDRESS(C121-1,D121,1,1)</f>
        <v>$EE$233</v>
      </c>
      <c r="E111"/>
    </row>
    <row r="112" spans="1:5" x14ac:dyDescent="0.25">
      <c r="A112" s="30">
        <v>515.50191262726139</v>
      </c>
      <c r="C112" s="1" t="str">
        <f>ADDRESS(C121,1,1,1)</f>
        <v>$A$234</v>
      </c>
      <c r="D112" s="1" t="str">
        <f>ADDRESS(C121,D121-1,1,1)</f>
        <v>$ED$234</v>
      </c>
      <c r="E112"/>
    </row>
    <row r="113" spans="1:5" x14ac:dyDescent="0.25">
      <c r="A113" s="30">
        <v>490.95420250215363</v>
      </c>
      <c r="C113" s="1" t="str">
        <f>ADDRESS(C121+1,1,1,1)</f>
        <v>$A$235</v>
      </c>
      <c r="D113" s="1" t="str">
        <f>ADDRESS(C121-1,D121+1,1,1)</f>
        <v>$EF$233</v>
      </c>
    </row>
    <row r="114" spans="1:5" x14ac:dyDescent="0.25">
      <c r="A114" s="30">
        <v>467.57543095443202</v>
      </c>
      <c r="C114" s="1" t="str">
        <f>ADDRESS(C121,D121,1,1)</f>
        <v>$EE$234</v>
      </c>
      <c r="D114" s="1" t="str">
        <f>ADDRESS(C121+1,D121+1,1,1)</f>
        <v>$EF$235</v>
      </c>
    </row>
    <row r="115" spans="1:5" x14ac:dyDescent="0.25">
      <c r="A115" s="30">
        <v>445.30993424231622</v>
      </c>
      <c r="C115" s="1" t="str">
        <f>ADDRESS(C121+1,D121,1,1)</f>
        <v>$EE$235</v>
      </c>
    </row>
    <row r="116" spans="1:5" x14ac:dyDescent="0.25">
      <c r="A116" s="30">
        <v>424.10469927839637</v>
      </c>
      <c r="C116" s="1">
        <f>C117-1</f>
        <v>233</v>
      </c>
    </row>
    <row r="117" spans="1:5" x14ac:dyDescent="0.25">
      <c r="A117" s="30">
        <v>403.9092374079965</v>
      </c>
      <c r="C117" s="1">
        <f>C121</f>
        <v>234</v>
      </c>
      <c r="D117" s="1">
        <f>D121</f>
        <v>135</v>
      </c>
    </row>
    <row r="118" spans="1:5" x14ac:dyDescent="0.25">
      <c r="A118" s="30">
        <v>384.6754641980919</v>
      </c>
      <c r="C118" s="1">
        <f>C117+1</f>
        <v>235</v>
      </c>
      <c r="D118" s="1">
        <f>D117+1</f>
        <v>136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234</v>
      </c>
      <c r="D121" s="19">
        <v>135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R234</v>
      </c>
      <c r="D123" s="1" t="str">
        <f>"C"&amp;D121</f>
        <v>C135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1.3400956406250004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87" x14ac:dyDescent="0.25">
      <c r="A193" s="30">
        <v>9.9059710923258422</v>
      </c>
      <c r="E193"/>
    </row>
    <row r="194" spans="1:87" x14ac:dyDescent="0.25">
      <c r="A194" s="30">
        <v>9.4342581831674686</v>
      </c>
      <c r="E194"/>
    </row>
    <row r="195" spans="1:87" x14ac:dyDescent="0.25">
      <c r="A195" s="30">
        <v>8.9850077934928265</v>
      </c>
      <c r="E195"/>
    </row>
    <row r="196" spans="1:87" x14ac:dyDescent="0.25">
      <c r="A196" s="30">
        <v>8.5571502795169767</v>
      </c>
      <c r="E196"/>
    </row>
    <row r="197" spans="1:87" x14ac:dyDescent="0.25">
      <c r="A197" s="30">
        <v>8.1496669328733109</v>
      </c>
      <c r="E197"/>
    </row>
    <row r="198" spans="1:87" x14ac:dyDescent="0.25">
      <c r="A198" s="30">
        <v>7.7615875551174378</v>
      </c>
      <c r="E198"/>
    </row>
    <row r="199" spans="1:87" x14ac:dyDescent="0.25">
      <c r="A199" s="30">
        <v>7.3919881477308929</v>
      </c>
      <c r="E199"/>
    </row>
    <row r="200" spans="1:87" x14ac:dyDescent="0.25">
      <c r="A200" s="30">
        <v>7.0399887121246598</v>
      </c>
      <c r="E200"/>
    </row>
    <row r="201" spans="1:87" x14ac:dyDescent="0.25">
      <c r="A201" s="30">
        <v>6.7047511544044376</v>
      </c>
      <c r="E201"/>
    </row>
    <row r="202" spans="1:87" x14ac:dyDescent="0.25">
      <c r="A202" s="30">
        <v>6.3854772899089882</v>
      </c>
      <c r="E202"/>
    </row>
    <row r="203" spans="1:87" x14ac:dyDescent="0.25">
      <c r="A203" s="30">
        <v>6.0814069427704647</v>
      </c>
      <c r="C203" s="7"/>
      <c r="D203"/>
      <c r="E203"/>
    </row>
    <row r="204" spans="1:87" x14ac:dyDescent="0.25">
      <c r="A204" s="30">
        <v>5.7918161359718709</v>
      </c>
      <c r="E204"/>
      <c r="CE204" s="31" t="s">
        <v>8</v>
      </c>
    </row>
    <row r="205" spans="1:87" x14ac:dyDescent="0.25">
      <c r="A205" s="30">
        <v>5.5160153675922574</v>
      </c>
      <c r="E205"/>
      <c r="CC205" s="27" t="s">
        <v>8</v>
      </c>
      <c r="CE205" s="27" t="s">
        <v>8</v>
      </c>
      <c r="CF205" s="31" t="s">
        <v>7</v>
      </c>
    </row>
    <row r="206" spans="1:87" x14ac:dyDescent="0.25">
      <c r="A206" s="30">
        <v>5.2533479691354827</v>
      </c>
      <c r="C206"/>
      <c r="D206"/>
      <c r="E206"/>
      <c r="BS206" s="32" t="s">
        <v>8</v>
      </c>
      <c r="BU206" s="32" t="s">
        <v>8</v>
      </c>
      <c r="CC206" s="27" t="s">
        <v>8</v>
      </c>
      <c r="CD206" s="27" t="s">
        <v>7</v>
      </c>
      <c r="CE206" s="27" t="s">
        <v>8</v>
      </c>
      <c r="CF206" s="27" t="s">
        <v>7</v>
      </c>
      <c r="CG206" s="31"/>
    </row>
    <row r="207" spans="1:87" x14ac:dyDescent="0.25">
      <c r="A207" s="30">
        <v>5.0031885420337927</v>
      </c>
      <c r="E207"/>
      <c r="BS207" s="27" t="s">
        <v>8</v>
      </c>
      <c r="BT207" s="27" t="s">
        <v>7</v>
      </c>
      <c r="BU207" s="27" t="s">
        <v>8</v>
      </c>
      <c r="BV207" s="27" t="s">
        <v>7</v>
      </c>
      <c r="BW207" s="27" t="s">
        <v>8</v>
      </c>
      <c r="CC207" s="27" t="s">
        <v>8</v>
      </c>
      <c r="CD207" s="27" t="s">
        <v>7</v>
      </c>
      <c r="CE207" s="27" t="s">
        <v>8</v>
      </c>
      <c r="CF207" s="27" t="s">
        <v>7</v>
      </c>
      <c r="CH207" s="31"/>
    </row>
    <row r="208" spans="1:87" x14ac:dyDescent="0.25">
      <c r="A208" s="30">
        <v>4.7649414686036122</v>
      </c>
      <c r="E208"/>
      <c r="K208" s="27" t="s">
        <v>8</v>
      </c>
      <c r="BS208" s="27" t="s">
        <v>8</v>
      </c>
      <c r="BT208" s="27" t="s">
        <v>7</v>
      </c>
      <c r="BU208" s="27" t="s">
        <v>8</v>
      </c>
      <c r="BV208" s="27" t="s">
        <v>7</v>
      </c>
      <c r="BW208" s="27" t="s">
        <v>8</v>
      </c>
      <c r="BX208" s="27" t="s">
        <v>7</v>
      </c>
      <c r="CC208" s="27" t="s">
        <v>8</v>
      </c>
      <c r="CD208" s="27" t="s">
        <v>7</v>
      </c>
      <c r="CF208" s="27" t="s">
        <v>7</v>
      </c>
      <c r="CG208" s="27" t="s">
        <v>8</v>
      </c>
      <c r="CI208" s="31"/>
    </row>
    <row r="209" spans="1:132" x14ac:dyDescent="0.25">
      <c r="A209" s="30">
        <v>4.5380394939082018</v>
      </c>
      <c r="E209"/>
      <c r="K209" s="27" t="s">
        <v>8</v>
      </c>
      <c r="L209" s="27" t="s">
        <v>7</v>
      </c>
      <c r="BS209" s="27" t="s">
        <v>8</v>
      </c>
      <c r="BT209" s="27" t="s">
        <v>7</v>
      </c>
      <c r="BU209" s="27" t="s">
        <v>8</v>
      </c>
      <c r="BV209" s="27" t="s">
        <v>7</v>
      </c>
      <c r="BW209" s="27" t="s">
        <v>8</v>
      </c>
      <c r="BX209" s="27" t="s">
        <v>7</v>
      </c>
      <c r="CC209" s="27" t="s">
        <v>8</v>
      </c>
      <c r="CF209" s="33" t="s">
        <v>7</v>
      </c>
      <c r="CG209" s="27" t="s">
        <v>8</v>
      </c>
      <c r="CH209" s="27" t="s">
        <v>7</v>
      </c>
      <c r="CJ209" s="31"/>
      <c r="DC209" s="27" t="s">
        <v>8</v>
      </c>
    </row>
    <row r="210" spans="1:132" x14ac:dyDescent="0.25">
      <c r="A210" s="30">
        <v>4.3219423751506678</v>
      </c>
      <c r="C210"/>
      <c r="E210"/>
      <c r="K210" s="27" t="s">
        <v>8</v>
      </c>
      <c r="L210" s="27" t="s">
        <v>7</v>
      </c>
      <c r="BS210" s="27" t="s">
        <v>8</v>
      </c>
      <c r="BT210" s="27" t="s">
        <v>7</v>
      </c>
      <c r="BU210" s="27" t="s">
        <v>8</v>
      </c>
      <c r="BV210" s="27" t="s">
        <v>7</v>
      </c>
      <c r="BX210" s="27" t="s">
        <v>7</v>
      </c>
      <c r="BY210" s="27" t="s">
        <v>8</v>
      </c>
      <c r="CC210" s="34" t="s">
        <v>8</v>
      </c>
      <c r="CF210" s="27" t="s">
        <v>7</v>
      </c>
      <c r="CG210" s="27" t="s">
        <v>8</v>
      </c>
      <c r="CH210" s="27" t="s">
        <v>7</v>
      </c>
      <c r="CK210" s="31"/>
      <c r="DC210" s="27" t="s">
        <v>8</v>
      </c>
      <c r="DD210" s="27" t="s">
        <v>7</v>
      </c>
    </row>
    <row r="211" spans="1:132" x14ac:dyDescent="0.25">
      <c r="A211" s="30">
        <v>4.1161355953815884</v>
      </c>
      <c r="E211"/>
      <c r="K211" s="27" t="s">
        <v>8</v>
      </c>
      <c r="L211" s="27" t="s">
        <v>7</v>
      </c>
      <c r="BQ211" s="27" t="s">
        <v>8</v>
      </c>
      <c r="BS211" s="27" t="s">
        <v>8</v>
      </c>
      <c r="BT211" s="27" t="s">
        <v>7</v>
      </c>
      <c r="BU211" s="27" t="s">
        <v>8</v>
      </c>
      <c r="BX211" s="33" t="s">
        <v>7</v>
      </c>
      <c r="BY211" s="27" t="s">
        <v>8</v>
      </c>
      <c r="BZ211" s="27" t="s">
        <v>7</v>
      </c>
      <c r="CA211" s="27" t="s">
        <v>8</v>
      </c>
      <c r="CC211" s="27" t="s">
        <v>8</v>
      </c>
      <c r="CF211" s="27" t="s">
        <v>7</v>
      </c>
      <c r="CH211" s="27" t="s">
        <v>7</v>
      </c>
      <c r="CL211" s="31"/>
      <c r="DC211" s="27" t="s">
        <v>8</v>
      </c>
      <c r="DD211" s="27" t="s">
        <v>7</v>
      </c>
    </row>
    <row r="212" spans="1:132" x14ac:dyDescent="0.25">
      <c r="A212" s="30">
        <v>3.9201291384586554</v>
      </c>
      <c r="E212"/>
      <c r="K212" s="27" t="s">
        <v>8</v>
      </c>
      <c r="L212" s="27" t="s">
        <v>7</v>
      </c>
      <c r="BQ212" s="27" t="s">
        <v>8</v>
      </c>
      <c r="BR212" s="27" t="s">
        <v>7</v>
      </c>
      <c r="BS212" s="27" t="s">
        <v>8</v>
      </c>
      <c r="BT212" s="27" t="s">
        <v>7</v>
      </c>
      <c r="BX212" s="27" t="s">
        <v>7</v>
      </c>
      <c r="BY212" s="27" t="s">
        <v>8</v>
      </c>
      <c r="BZ212" s="27" t="s">
        <v>7</v>
      </c>
      <c r="CA212" s="27" t="s">
        <v>8</v>
      </c>
      <c r="CB212" s="27" t="s">
        <v>7</v>
      </c>
      <c r="CC212" s="27" t="s">
        <v>8</v>
      </c>
      <c r="CH212" s="27" t="s">
        <v>7</v>
      </c>
      <c r="CI212" s="27" t="s">
        <v>8</v>
      </c>
      <c r="CM212" s="31"/>
      <c r="DC212" s="27" t="s">
        <v>8</v>
      </c>
      <c r="DD212" s="27" t="s">
        <v>7</v>
      </c>
    </row>
    <row r="213" spans="1:132" x14ac:dyDescent="0.25">
      <c r="A213" s="30">
        <v>3.7334563223415764</v>
      </c>
      <c r="E213"/>
      <c r="K213" s="27" t="s">
        <v>8</v>
      </c>
      <c r="L213" s="27" t="s">
        <v>7</v>
      </c>
      <c r="M213" s="27" t="s">
        <v>8</v>
      </c>
      <c r="BG213" s="27" t="s">
        <v>8</v>
      </c>
      <c r="BO213" s="27" t="s">
        <v>8</v>
      </c>
      <c r="BQ213" s="27" t="s">
        <v>8</v>
      </c>
      <c r="BR213" s="27" t="s">
        <v>7</v>
      </c>
      <c r="BS213" s="27" t="s">
        <v>8</v>
      </c>
      <c r="BX213" s="27" t="s">
        <v>7</v>
      </c>
      <c r="BY213" s="27" t="s">
        <v>8</v>
      </c>
      <c r="BZ213" s="27" t="s">
        <v>7</v>
      </c>
      <c r="CA213" s="27" t="s">
        <v>8</v>
      </c>
      <c r="CB213" s="27" t="s">
        <v>7</v>
      </c>
      <c r="CC213" s="27" t="s">
        <v>8</v>
      </c>
      <c r="CH213" s="27" t="s">
        <v>7</v>
      </c>
      <c r="CI213" s="27" t="s">
        <v>8</v>
      </c>
      <c r="CJ213" s="27" t="s">
        <v>7</v>
      </c>
      <c r="CN213" s="31"/>
      <c r="DC213" s="27" t="s">
        <v>8</v>
      </c>
      <c r="DD213" s="27" t="s">
        <v>7</v>
      </c>
    </row>
    <row r="214" spans="1:132" x14ac:dyDescent="0.25">
      <c r="A214" s="30">
        <v>3.5556726879443583</v>
      </c>
      <c r="E214"/>
      <c r="K214" s="27" t="s">
        <v>8</v>
      </c>
      <c r="L214" s="27" t="s">
        <v>7</v>
      </c>
      <c r="M214" s="27" t="s">
        <v>8</v>
      </c>
      <c r="N214" s="27" t="s">
        <v>7</v>
      </c>
      <c r="BG214" s="27" t="s">
        <v>8</v>
      </c>
      <c r="BH214" s="27" t="s">
        <v>7</v>
      </c>
      <c r="BO214" s="27" t="s">
        <v>8</v>
      </c>
      <c r="BP214" s="27" t="s">
        <v>7</v>
      </c>
      <c r="BQ214" s="27" t="s">
        <v>8</v>
      </c>
      <c r="BR214" s="27" t="s">
        <v>7</v>
      </c>
      <c r="BS214" s="27" t="s">
        <v>8</v>
      </c>
      <c r="BX214" s="27" t="s">
        <v>7</v>
      </c>
      <c r="BY214" s="27" t="s">
        <v>8</v>
      </c>
      <c r="BZ214" s="27" t="s">
        <v>7</v>
      </c>
      <c r="CA214" s="27" t="s">
        <v>8</v>
      </c>
      <c r="CB214" s="27" t="s">
        <v>7</v>
      </c>
      <c r="CC214" s="27" t="s">
        <v>8</v>
      </c>
      <c r="CH214" s="27" t="s">
        <v>7</v>
      </c>
      <c r="CI214" s="27" t="s">
        <v>8</v>
      </c>
      <c r="CJ214" s="27" t="s">
        <v>7</v>
      </c>
      <c r="CO214" s="31"/>
      <c r="DA214" s="27" t="s">
        <v>8</v>
      </c>
      <c r="DC214" s="27" t="s">
        <v>8</v>
      </c>
      <c r="DD214" s="27" t="s">
        <v>7</v>
      </c>
    </row>
    <row r="215" spans="1:132" x14ac:dyDescent="0.25">
      <c r="A215" s="30">
        <v>3.3863549408993889</v>
      </c>
      <c r="E215"/>
      <c r="K215" s="27" t="s">
        <v>8</v>
      </c>
      <c r="L215" s="27" t="s">
        <v>7</v>
      </c>
      <c r="M215" s="27" t="s">
        <v>8</v>
      </c>
      <c r="N215" s="27" t="s">
        <v>7</v>
      </c>
      <c r="BG215" s="27" t="s">
        <v>8</v>
      </c>
      <c r="BH215" s="27" t="s">
        <v>7</v>
      </c>
      <c r="BI215" s="27" t="s">
        <v>8</v>
      </c>
      <c r="BO215" s="27" t="s">
        <v>8</v>
      </c>
      <c r="BP215" s="27" t="s">
        <v>7</v>
      </c>
      <c r="BQ215" s="27" t="s">
        <v>8</v>
      </c>
      <c r="BR215" s="27" t="s">
        <v>7</v>
      </c>
      <c r="BS215" s="27" t="s">
        <v>8</v>
      </c>
      <c r="BX215" s="27" t="s">
        <v>7</v>
      </c>
      <c r="BY215" s="27" t="s">
        <v>8</v>
      </c>
      <c r="BZ215" s="27" t="s">
        <v>7</v>
      </c>
      <c r="CA215" s="27" t="s">
        <v>8</v>
      </c>
      <c r="CB215" s="27" t="s">
        <v>7</v>
      </c>
      <c r="CC215" s="27" t="s">
        <v>8</v>
      </c>
      <c r="CH215" s="27" t="s">
        <v>7</v>
      </c>
      <c r="CJ215" s="27" t="s">
        <v>7</v>
      </c>
      <c r="CP215" s="31"/>
      <c r="DA215" s="27" t="s">
        <v>8</v>
      </c>
      <c r="DB215" s="27" t="s">
        <v>7</v>
      </c>
      <c r="DC215" s="27" t="s">
        <v>8</v>
      </c>
      <c r="DD215" s="27" t="s">
        <v>7</v>
      </c>
    </row>
    <row r="216" spans="1:132" x14ac:dyDescent="0.25">
      <c r="A216" s="30">
        <v>3.2250999437137038</v>
      </c>
      <c r="E216"/>
      <c r="K216" s="27" t="s">
        <v>8</v>
      </c>
      <c r="L216" s="27" t="s">
        <v>7</v>
      </c>
      <c r="M216" s="27" t="s">
        <v>8</v>
      </c>
      <c r="N216" s="27" t="s">
        <v>7</v>
      </c>
      <c r="Q216" s="27" t="s">
        <v>8</v>
      </c>
      <c r="BG216" s="27" t="s">
        <v>8</v>
      </c>
      <c r="BH216" s="27" t="s">
        <v>7</v>
      </c>
      <c r="BI216" s="27" t="s">
        <v>8</v>
      </c>
      <c r="BJ216" s="27" t="s">
        <v>7</v>
      </c>
      <c r="BO216" s="27" t="s">
        <v>8</v>
      </c>
      <c r="BP216" s="27" t="s">
        <v>7</v>
      </c>
      <c r="BQ216" s="27" t="s">
        <v>8</v>
      </c>
      <c r="BR216" s="27" t="s">
        <v>7</v>
      </c>
      <c r="BS216" s="27" t="s">
        <v>8</v>
      </c>
      <c r="BX216" s="31" t="s">
        <v>7</v>
      </c>
      <c r="BY216" s="27" t="s">
        <v>8</v>
      </c>
      <c r="BZ216" s="27" t="s">
        <v>7</v>
      </c>
      <c r="CB216" s="27" t="s">
        <v>7</v>
      </c>
      <c r="CC216" s="27" t="s">
        <v>8</v>
      </c>
      <c r="CJ216" s="27" t="s">
        <v>7</v>
      </c>
      <c r="CQ216" s="31"/>
      <c r="DA216" s="27" t="s">
        <v>8</v>
      </c>
      <c r="DB216" s="27" t="s">
        <v>7</v>
      </c>
      <c r="DC216" s="27" t="s">
        <v>8</v>
      </c>
      <c r="DD216" s="27" t="s">
        <v>7</v>
      </c>
    </row>
    <row r="217" spans="1:132" x14ac:dyDescent="0.25">
      <c r="A217" s="30">
        <v>3.0715237559178128</v>
      </c>
      <c r="E217"/>
      <c r="K217" s="27" t="s">
        <v>8</v>
      </c>
      <c r="L217" s="27" t="s">
        <v>7</v>
      </c>
      <c r="M217" s="27" t="s">
        <v>8</v>
      </c>
      <c r="N217" s="27" t="s">
        <v>7</v>
      </c>
      <c r="O217" s="27" t="s">
        <v>8</v>
      </c>
      <c r="Q217" s="27" t="s">
        <v>8</v>
      </c>
      <c r="R217" s="27" t="s">
        <v>7</v>
      </c>
      <c r="BG217" s="27" t="s">
        <v>8</v>
      </c>
      <c r="BH217" s="27" t="s">
        <v>7</v>
      </c>
      <c r="BI217" s="27" t="s">
        <v>8</v>
      </c>
      <c r="BJ217" s="27" t="s">
        <v>7</v>
      </c>
      <c r="BO217" s="27" t="s">
        <v>8</v>
      </c>
      <c r="BP217" s="27" t="s">
        <v>7</v>
      </c>
      <c r="BQ217" s="27" t="s">
        <v>8</v>
      </c>
      <c r="BR217" s="27" t="s">
        <v>7</v>
      </c>
      <c r="BS217" s="27" t="s">
        <v>8</v>
      </c>
      <c r="BW217" s="31"/>
      <c r="BX217" s="27" t="s">
        <v>7</v>
      </c>
      <c r="CB217" s="27" t="s">
        <v>7</v>
      </c>
      <c r="CC217" s="27" t="s">
        <v>8</v>
      </c>
      <c r="CJ217" s="27" t="s">
        <v>7</v>
      </c>
      <c r="CR217" s="31"/>
      <c r="DA217" s="27" t="s">
        <v>8</v>
      </c>
      <c r="DB217" s="27" t="s">
        <v>7</v>
      </c>
      <c r="DC217" s="27" t="s">
        <v>8</v>
      </c>
      <c r="DD217" s="27" t="s">
        <v>7</v>
      </c>
      <c r="DE217" s="27" t="s">
        <v>8</v>
      </c>
    </row>
    <row r="218" spans="1:132" x14ac:dyDescent="0.25">
      <c r="A218" s="30">
        <v>2.9252607199217264</v>
      </c>
      <c r="E218"/>
      <c r="K218" s="27" t="s">
        <v>8</v>
      </c>
      <c r="L218" s="27" t="s">
        <v>7</v>
      </c>
      <c r="N218" s="27" t="s">
        <v>7</v>
      </c>
      <c r="O218" s="27" t="s">
        <v>8</v>
      </c>
      <c r="P218" s="27" t="s">
        <v>7</v>
      </c>
      <c r="Q218" s="27" t="s">
        <v>8</v>
      </c>
      <c r="R218" s="27" t="s">
        <v>7</v>
      </c>
      <c r="BE218" s="27" t="s">
        <v>8</v>
      </c>
      <c r="BG218" s="27" t="s">
        <v>8</v>
      </c>
      <c r="BH218" s="27" t="s">
        <v>7</v>
      </c>
      <c r="BI218" s="27" t="s">
        <v>8</v>
      </c>
      <c r="BJ218" s="27" t="s">
        <v>7</v>
      </c>
      <c r="BO218" s="27" t="s">
        <v>8</v>
      </c>
      <c r="BP218" s="27" t="s">
        <v>7</v>
      </c>
      <c r="BQ218" s="27" t="s">
        <v>8</v>
      </c>
      <c r="BR218" s="27" t="s">
        <v>7</v>
      </c>
      <c r="BS218" s="27" t="s">
        <v>8</v>
      </c>
      <c r="BV218" s="31"/>
      <c r="CB218" s="27" t="s">
        <v>7</v>
      </c>
      <c r="CC218" s="27" t="s">
        <v>8</v>
      </c>
      <c r="CJ218" s="27" t="s">
        <v>7</v>
      </c>
      <c r="CS218" s="31"/>
      <c r="DA218" s="27" t="s">
        <v>8</v>
      </c>
      <c r="DB218" s="27" t="s">
        <v>7</v>
      </c>
      <c r="DD218" s="27" t="s">
        <v>7</v>
      </c>
      <c r="DE218" s="27" t="s">
        <v>8</v>
      </c>
      <c r="DF218" s="27" t="s">
        <v>7</v>
      </c>
      <c r="DG218" s="27" t="s">
        <v>8</v>
      </c>
      <c r="DO218" s="27" t="s">
        <v>8</v>
      </c>
    </row>
    <row r="219" spans="1:132" x14ac:dyDescent="0.25">
      <c r="A219" s="30">
        <v>2.7859625904016441</v>
      </c>
      <c r="E219"/>
      <c r="K219" s="27" t="s">
        <v>8</v>
      </c>
      <c r="N219" s="27" t="s">
        <v>7</v>
      </c>
      <c r="O219" s="27" t="s">
        <v>8</v>
      </c>
      <c r="P219" s="27" t="s">
        <v>7</v>
      </c>
      <c r="Q219" s="27" t="s">
        <v>8</v>
      </c>
      <c r="R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I219" s="27" t="s">
        <v>8</v>
      </c>
      <c r="BJ219" s="27" t="s">
        <v>7</v>
      </c>
      <c r="BO219" s="34" t="s">
        <v>8</v>
      </c>
      <c r="BP219" s="27" t="s">
        <v>7</v>
      </c>
      <c r="BR219" s="27" t="s">
        <v>7</v>
      </c>
      <c r="BS219" s="27" t="s">
        <v>8</v>
      </c>
      <c r="BU219" s="31"/>
      <c r="CB219" s="27" t="s">
        <v>7</v>
      </c>
      <c r="CC219" s="27" t="s">
        <v>8</v>
      </c>
      <c r="CJ219" s="27" t="s">
        <v>7</v>
      </c>
      <c r="CT219" s="31"/>
      <c r="DA219" s="27" t="s">
        <v>8</v>
      </c>
      <c r="DD219" s="27" t="s">
        <v>7</v>
      </c>
      <c r="DE219" s="27" t="s">
        <v>8</v>
      </c>
      <c r="DF219" s="27" t="s">
        <v>7</v>
      </c>
      <c r="DG219" s="27" t="s">
        <v>8</v>
      </c>
      <c r="DH219" s="27" t="s">
        <v>7</v>
      </c>
      <c r="DO219" s="27" t="s">
        <v>8</v>
      </c>
      <c r="DP219" s="27" t="s">
        <v>7</v>
      </c>
    </row>
    <row r="220" spans="1:132" x14ac:dyDescent="0.25">
      <c r="A220" s="30">
        <v>2.6532977051444226</v>
      </c>
      <c r="E220"/>
      <c r="K220" s="27" t="s">
        <v>8</v>
      </c>
      <c r="N220" s="27" t="s">
        <v>7</v>
      </c>
      <c r="O220" s="27" t="s">
        <v>8</v>
      </c>
      <c r="P220" s="27" t="s">
        <v>7</v>
      </c>
      <c r="Q220" s="27" t="s">
        <v>8</v>
      </c>
      <c r="R220" s="27" t="s">
        <v>7</v>
      </c>
      <c r="BE220" s="27" t="s">
        <v>8</v>
      </c>
      <c r="BF220" s="27" t="s">
        <v>7</v>
      </c>
      <c r="BG220" s="27" t="s">
        <v>8</v>
      </c>
      <c r="BH220" s="27" t="s">
        <v>7</v>
      </c>
      <c r="BJ220" s="27" t="s">
        <v>7</v>
      </c>
      <c r="BK220" s="32" t="s">
        <v>8</v>
      </c>
      <c r="BM220" s="32" t="s">
        <v>8</v>
      </c>
      <c r="BO220" s="27" t="s">
        <v>8</v>
      </c>
      <c r="BR220" s="27" t="s">
        <v>7</v>
      </c>
      <c r="BT220" s="31"/>
      <c r="CB220" s="27" t="s">
        <v>7</v>
      </c>
      <c r="CJ220" s="27" t="s">
        <v>7</v>
      </c>
      <c r="CK220" s="27" t="s">
        <v>8</v>
      </c>
      <c r="CU220" s="31"/>
      <c r="DA220" s="27" t="s">
        <v>8</v>
      </c>
      <c r="DD220" s="27" t="s">
        <v>7</v>
      </c>
      <c r="DE220" s="27" t="s">
        <v>8</v>
      </c>
      <c r="DF220" s="27" t="s">
        <v>7</v>
      </c>
      <c r="DG220" s="27" t="s">
        <v>8</v>
      </c>
      <c r="DH220" s="27" t="s">
        <v>7</v>
      </c>
      <c r="DK220" s="27" t="s">
        <v>8</v>
      </c>
      <c r="DM220" s="27" t="s">
        <v>8</v>
      </c>
      <c r="DO220" s="27" t="s">
        <v>8</v>
      </c>
      <c r="DP220" s="27" t="s">
        <v>7</v>
      </c>
      <c r="DQ220" s="27" t="s">
        <v>8</v>
      </c>
    </row>
    <row r="221" spans="1:132" x14ac:dyDescent="0.25">
      <c r="A221" s="30">
        <v>2.5269501953756404</v>
      </c>
      <c r="E221"/>
      <c r="K221" s="27" t="s">
        <v>8</v>
      </c>
      <c r="N221" s="27" t="s">
        <v>7</v>
      </c>
      <c r="O221" s="27" t="s">
        <v>8</v>
      </c>
      <c r="P221" s="27" t="s">
        <v>7</v>
      </c>
      <c r="R221" s="27" t="s">
        <v>7</v>
      </c>
      <c r="BE221" s="27" t="s">
        <v>8</v>
      </c>
      <c r="BF221" s="27" t="s">
        <v>7</v>
      </c>
      <c r="BG221" s="27" t="s">
        <v>8</v>
      </c>
      <c r="BJ221" s="33" t="s">
        <v>7</v>
      </c>
      <c r="BK221" s="27" t="s">
        <v>8</v>
      </c>
      <c r="BL221" s="27" t="s">
        <v>7</v>
      </c>
      <c r="BM221" s="27" t="s">
        <v>8</v>
      </c>
      <c r="BN221" s="27" t="s">
        <v>7</v>
      </c>
      <c r="BO221" s="27" t="s">
        <v>8</v>
      </c>
      <c r="BS221" s="31"/>
      <c r="CJ221" s="27" t="s">
        <v>7</v>
      </c>
      <c r="CK221" s="27" t="s">
        <v>8</v>
      </c>
      <c r="CL221" s="27" t="s">
        <v>7</v>
      </c>
      <c r="CV221" s="31"/>
      <c r="DA221" s="27" t="s">
        <v>8</v>
      </c>
      <c r="DD221" s="27" t="s">
        <v>7</v>
      </c>
      <c r="DE221" s="27" t="s">
        <v>8</v>
      </c>
      <c r="DF221" s="27" t="s">
        <v>7</v>
      </c>
      <c r="DH221" s="27" t="s">
        <v>7</v>
      </c>
      <c r="DK221" s="27" t="s">
        <v>8</v>
      </c>
      <c r="DL221" s="27" t="s">
        <v>7</v>
      </c>
      <c r="DM221" s="27" t="s">
        <v>8</v>
      </c>
      <c r="DN221" s="27" t="s">
        <v>7</v>
      </c>
      <c r="DO221" s="27" t="s">
        <v>8</v>
      </c>
      <c r="DP221" s="27" t="s">
        <v>7</v>
      </c>
      <c r="DQ221" s="27" t="s">
        <v>8</v>
      </c>
      <c r="DR221" s="27" t="s">
        <v>7</v>
      </c>
    </row>
    <row r="222" spans="1:132" x14ac:dyDescent="0.25">
      <c r="A222" s="30">
        <v>2.4066192336910861</v>
      </c>
      <c r="E222"/>
      <c r="K222" s="27" t="s">
        <v>8</v>
      </c>
      <c r="N222" s="27" t="s">
        <v>7</v>
      </c>
      <c r="R222" s="27" t="s">
        <v>7</v>
      </c>
      <c r="BE222" s="27" t="s">
        <v>8</v>
      </c>
      <c r="BF222" s="27" t="s">
        <v>7</v>
      </c>
      <c r="BG222" s="27" t="s">
        <v>8</v>
      </c>
      <c r="BJ222" s="27" t="s">
        <v>7</v>
      </c>
      <c r="BK222" s="27" t="s">
        <v>8</v>
      </c>
      <c r="BL222" s="27" t="s">
        <v>7</v>
      </c>
      <c r="BM222" s="27" t="s">
        <v>8</v>
      </c>
      <c r="BN222" s="27" t="s">
        <v>7</v>
      </c>
      <c r="BO222" s="27" t="s">
        <v>8</v>
      </c>
      <c r="BR222" s="31"/>
      <c r="CJ222" s="27" t="s">
        <v>7</v>
      </c>
      <c r="CK222" s="27" t="s">
        <v>8</v>
      </c>
      <c r="CL222" s="27" t="s">
        <v>7</v>
      </c>
      <c r="CO222" s="34" t="s">
        <v>8</v>
      </c>
      <c r="CS222" s="34" t="s">
        <v>8</v>
      </c>
      <c r="CW222" s="31"/>
      <c r="DA222" s="27" t="s">
        <v>8</v>
      </c>
      <c r="DD222" s="27" t="s">
        <v>7</v>
      </c>
      <c r="DH222" s="27" t="s">
        <v>7</v>
      </c>
      <c r="DK222" s="31" t="s">
        <v>8</v>
      </c>
      <c r="DL222" s="27" t="s">
        <v>7</v>
      </c>
      <c r="DM222" s="27" t="s">
        <v>8</v>
      </c>
      <c r="DN222" s="27" t="s">
        <v>7</v>
      </c>
      <c r="DO222" s="27" t="s">
        <v>8</v>
      </c>
      <c r="DP222" s="27" t="s">
        <v>7</v>
      </c>
      <c r="DQ222" s="27" t="s">
        <v>8</v>
      </c>
      <c r="DR222" s="27" t="s">
        <v>7</v>
      </c>
      <c r="DS222" s="27" t="s">
        <v>8</v>
      </c>
    </row>
    <row r="223" spans="1:132" x14ac:dyDescent="0.25">
      <c r="A223" s="30">
        <v>2.2920183178010345</v>
      </c>
      <c r="E223"/>
      <c r="K223" s="27" t="s">
        <v>8</v>
      </c>
      <c r="R223" s="27" t="s">
        <v>7</v>
      </c>
      <c r="BE223" s="27" t="s">
        <v>8</v>
      </c>
      <c r="BF223" s="27" t="s">
        <v>7</v>
      </c>
      <c r="BG223" s="27" t="s">
        <v>8</v>
      </c>
      <c r="BJ223" s="27" t="s">
        <v>7</v>
      </c>
      <c r="BK223" s="27" t="s">
        <v>8</v>
      </c>
      <c r="BL223" s="27" t="s">
        <v>7</v>
      </c>
      <c r="BM223" s="27" t="s">
        <v>8</v>
      </c>
      <c r="BN223" s="27" t="s">
        <v>7</v>
      </c>
      <c r="BQ223" s="31"/>
      <c r="CJ223" s="27" t="s">
        <v>7</v>
      </c>
      <c r="CK223" s="27" t="s">
        <v>8</v>
      </c>
      <c r="CL223" s="27" t="s">
        <v>7</v>
      </c>
      <c r="CM223" s="27" t="s">
        <v>8</v>
      </c>
      <c r="CO223" s="27" t="s">
        <v>8</v>
      </c>
      <c r="CP223" s="27" t="s">
        <v>7</v>
      </c>
      <c r="CQ223" s="27" t="s">
        <v>8</v>
      </c>
      <c r="CS223" s="27" t="s">
        <v>8</v>
      </c>
      <c r="CT223" s="27" t="s">
        <v>7</v>
      </c>
      <c r="CX223" s="31"/>
      <c r="DA223" s="34" t="s">
        <v>8</v>
      </c>
      <c r="DH223" s="27" t="s">
        <v>7</v>
      </c>
      <c r="DI223" s="27" t="s">
        <v>8</v>
      </c>
      <c r="DJ223" s="31"/>
      <c r="DK223" s="27" t="s">
        <v>8</v>
      </c>
      <c r="DL223" s="27" t="s">
        <v>7</v>
      </c>
      <c r="DM223" s="27" t="s">
        <v>8</v>
      </c>
      <c r="DN223" s="27" t="s">
        <v>7</v>
      </c>
      <c r="DP223" s="27" t="s">
        <v>7</v>
      </c>
      <c r="DR223" s="27" t="s">
        <v>7</v>
      </c>
      <c r="DS223" s="27" t="s">
        <v>8</v>
      </c>
      <c r="DT223" s="27" t="s">
        <v>7</v>
      </c>
      <c r="EA223" s="27" t="s">
        <v>8</v>
      </c>
    </row>
    <row r="224" spans="1:132" x14ac:dyDescent="0.25">
      <c r="A224" s="30">
        <v>2.1828745883819374</v>
      </c>
      <c r="E224" t="s">
        <v>8</v>
      </c>
      <c r="K224" s="27" t="s">
        <v>8</v>
      </c>
      <c r="R224" s="27" t="s">
        <v>7</v>
      </c>
      <c r="BE224" s="27" t="s">
        <v>8</v>
      </c>
      <c r="BF224" s="27" t="s">
        <v>7</v>
      </c>
      <c r="BG224" s="27" t="s">
        <v>8</v>
      </c>
      <c r="BJ224" s="27" t="s">
        <v>7</v>
      </c>
      <c r="BK224" s="27" t="s">
        <v>8</v>
      </c>
      <c r="BL224" s="27" t="s">
        <v>7</v>
      </c>
      <c r="BM224" s="27" t="s">
        <v>8</v>
      </c>
      <c r="BP224" s="31"/>
      <c r="CJ224" s="27" t="s">
        <v>7</v>
      </c>
      <c r="CK224" s="27" t="s">
        <v>8</v>
      </c>
      <c r="CL224" s="27" t="s">
        <v>7</v>
      </c>
      <c r="CM224" s="27" t="s">
        <v>8</v>
      </c>
      <c r="CN224" s="27" t="s">
        <v>7</v>
      </c>
      <c r="CO224" s="27" t="s">
        <v>8</v>
      </c>
      <c r="CP224" s="27" t="s">
        <v>7</v>
      </c>
      <c r="CQ224" s="27" t="s">
        <v>8</v>
      </c>
      <c r="CR224" s="27" t="s">
        <v>7</v>
      </c>
      <c r="CS224" s="27" t="s">
        <v>8</v>
      </c>
      <c r="CT224" s="27" t="s">
        <v>7</v>
      </c>
      <c r="CY224" s="31" t="s">
        <v>8</v>
      </c>
      <c r="DA224" s="27" t="s">
        <v>8</v>
      </c>
      <c r="DH224" s="27" t="s">
        <v>7</v>
      </c>
      <c r="DI224" s="31" t="s">
        <v>8</v>
      </c>
      <c r="DJ224" s="27" t="s">
        <v>7</v>
      </c>
      <c r="DK224" s="27" t="s">
        <v>8</v>
      </c>
      <c r="DL224" s="27" t="s">
        <v>7</v>
      </c>
      <c r="DM224" s="27" t="s">
        <v>8</v>
      </c>
      <c r="DR224" s="27" t="s">
        <v>7</v>
      </c>
      <c r="DS224" s="27" t="s">
        <v>8</v>
      </c>
      <c r="DT224" s="27" t="s">
        <v>7</v>
      </c>
      <c r="EA224" s="27" t="s">
        <v>8</v>
      </c>
      <c r="EB224" s="27" t="s">
        <v>7</v>
      </c>
    </row>
    <row r="225" spans="1:135" x14ac:dyDescent="0.25">
      <c r="A225" s="30">
        <v>2.0789281794113688</v>
      </c>
      <c r="E225" t="s">
        <v>8</v>
      </c>
      <c r="F225" s="27" t="s">
        <v>7</v>
      </c>
      <c r="I225" s="27" t="s">
        <v>8</v>
      </c>
      <c r="K225" s="27" t="s">
        <v>8</v>
      </c>
      <c r="R225" s="27" t="s">
        <v>7</v>
      </c>
      <c r="S225" s="27" t="s">
        <v>8</v>
      </c>
      <c r="BE225" s="27" t="s">
        <v>8</v>
      </c>
      <c r="BF225" s="27" t="s">
        <v>7</v>
      </c>
      <c r="BG225" s="27" t="s">
        <v>8</v>
      </c>
      <c r="BJ225" s="27" t="s">
        <v>7</v>
      </c>
      <c r="BK225" s="27" t="s">
        <v>8</v>
      </c>
      <c r="BL225" s="27" t="s">
        <v>7</v>
      </c>
      <c r="BM225" s="27" t="s">
        <v>8</v>
      </c>
      <c r="BO225" s="31"/>
      <c r="CJ225" s="27" t="s">
        <v>7</v>
      </c>
      <c r="CK225" s="27" t="s">
        <v>8</v>
      </c>
      <c r="CL225" s="27" t="s">
        <v>7</v>
      </c>
      <c r="CM225" s="27" t="s">
        <v>8</v>
      </c>
      <c r="CN225" s="27" t="s">
        <v>7</v>
      </c>
      <c r="CO225" s="27" t="s">
        <v>8</v>
      </c>
      <c r="CP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W225" s="34" t="s">
        <v>8</v>
      </c>
      <c r="CY225" s="27" t="s">
        <v>8</v>
      </c>
      <c r="CZ225" s="31" t="s">
        <v>7</v>
      </c>
      <c r="DA225" s="27" t="s">
        <v>8</v>
      </c>
      <c r="DH225" s="31" t="s">
        <v>7</v>
      </c>
      <c r="DI225" s="27" t="s">
        <v>8</v>
      </c>
      <c r="DJ225" s="27" t="s">
        <v>7</v>
      </c>
      <c r="DK225" s="27" t="s">
        <v>8</v>
      </c>
      <c r="DL225" s="27" t="s">
        <v>7</v>
      </c>
      <c r="DM225" s="27" t="s">
        <v>8</v>
      </c>
      <c r="DR225" s="27" t="s">
        <v>7</v>
      </c>
      <c r="DT225" s="27" t="s">
        <v>7</v>
      </c>
      <c r="EA225" s="27" t="s">
        <v>8</v>
      </c>
      <c r="EB225" s="27" t="s">
        <v>7</v>
      </c>
    </row>
    <row r="226" spans="1:135" x14ac:dyDescent="0.25">
      <c r="A226" s="30">
        <v>1.9799315994393987</v>
      </c>
      <c r="E226" t="s">
        <v>8</v>
      </c>
      <c r="F226" s="27" t="s">
        <v>7</v>
      </c>
      <c r="I226" s="27" t="s">
        <v>8</v>
      </c>
      <c r="J226" s="27" t="s">
        <v>7</v>
      </c>
      <c r="K226" s="27" t="s">
        <v>8</v>
      </c>
      <c r="R226" s="27" t="s">
        <v>7</v>
      </c>
      <c r="S226" s="27" t="s">
        <v>8</v>
      </c>
      <c r="T226" s="27" t="s">
        <v>7</v>
      </c>
      <c r="W226" s="27" t="s">
        <v>8</v>
      </c>
      <c r="BE226" s="27" t="s">
        <v>8</v>
      </c>
      <c r="BF226" s="27" t="s">
        <v>7</v>
      </c>
      <c r="BG226" s="27" t="s">
        <v>8</v>
      </c>
      <c r="BJ226" s="27" t="s">
        <v>7</v>
      </c>
      <c r="BK226" s="27" t="s">
        <v>8</v>
      </c>
      <c r="BL226" s="27" t="s">
        <v>7</v>
      </c>
      <c r="BM226" s="27" t="s">
        <v>8</v>
      </c>
      <c r="BN226" s="31"/>
      <c r="CJ226" s="27" t="s">
        <v>7</v>
      </c>
      <c r="CK226" s="27" t="s">
        <v>8</v>
      </c>
      <c r="CL226" s="27" t="s">
        <v>7</v>
      </c>
      <c r="CM226" s="27" t="s">
        <v>8</v>
      </c>
      <c r="CN226" s="27" t="s">
        <v>7</v>
      </c>
      <c r="CO226" s="27" t="s">
        <v>8</v>
      </c>
      <c r="CP226" s="27" t="s">
        <v>7</v>
      </c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W226" s="27" t="s">
        <v>8</v>
      </c>
      <c r="CX226" s="27" t="s">
        <v>7</v>
      </c>
      <c r="CY226" s="27" t="s">
        <v>8</v>
      </c>
      <c r="CZ226" s="27" t="s">
        <v>7</v>
      </c>
      <c r="DA226" s="31" t="s">
        <v>8</v>
      </c>
      <c r="DG226" s="31"/>
      <c r="DH226" s="27" t="s">
        <v>7</v>
      </c>
      <c r="DJ226" s="27" t="s">
        <v>7</v>
      </c>
      <c r="DL226" s="27" t="s">
        <v>7</v>
      </c>
      <c r="DM226" s="27" t="s">
        <v>8</v>
      </c>
      <c r="DT226" s="27" t="s">
        <v>7</v>
      </c>
      <c r="EA226" s="27" t="s">
        <v>8</v>
      </c>
      <c r="EB226" s="27" t="s">
        <v>7</v>
      </c>
    </row>
    <row r="227" spans="1:135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I227" s="27" t="s">
        <v>8</v>
      </c>
      <c r="J227" s="27" t="s">
        <v>7</v>
      </c>
      <c r="K227" s="27" t="s">
        <v>8</v>
      </c>
      <c r="R227" s="27" t="s">
        <v>7</v>
      </c>
      <c r="S227" s="27" t="s">
        <v>8</v>
      </c>
      <c r="T227" s="27" t="s">
        <v>7</v>
      </c>
      <c r="U227" s="27" t="s">
        <v>8</v>
      </c>
      <c r="W227" s="27" t="s">
        <v>8</v>
      </c>
      <c r="X227" s="27" t="s">
        <v>7</v>
      </c>
      <c r="BC227" s="27" t="s">
        <v>8</v>
      </c>
      <c r="BE227" s="27" t="s">
        <v>8</v>
      </c>
      <c r="BF227" s="27" t="s">
        <v>7</v>
      </c>
      <c r="BJ227" s="27" t="s">
        <v>7</v>
      </c>
      <c r="BK227" s="27" t="s">
        <v>8</v>
      </c>
      <c r="BL227" s="27" t="s">
        <v>7</v>
      </c>
      <c r="BM227" s="31"/>
      <c r="CJ227" s="27" t="s">
        <v>7</v>
      </c>
      <c r="CK227" s="27" t="s">
        <v>8</v>
      </c>
      <c r="CL227" s="27" t="s">
        <v>7</v>
      </c>
      <c r="CN227" s="27" t="s">
        <v>7</v>
      </c>
      <c r="CO227" s="27" t="s">
        <v>8</v>
      </c>
      <c r="CP227" s="27" t="s">
        <v>7</v>
      </c>
      <c r="CQ227" s="27" t="s">
        <v>8</v>
      </c>
      <c r="CR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  <c r="DA227" s="27" t="s">
        <v>8</v>
      </c>
      <c r="DB227" s="19"/>
      <c r="DF227" s="31"/>
      <c r="DL227" s="27" t="s">
        <v>7</v>
      </c>
      <c r="DM227" s="27" t="s">
        <v>8</v>
      </c>
      <c r="DT227" s="27" t="s">
        <v>7</v>
      </c>
      <c r="EA227" s="27" t="s">
        <v>8</v>
      </c>
      <c r="EB227" s="27" t="s">
        <v>7</v>
      </c>
    </row>
    <row r="228" spans="1:135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H228" s="27" t="s">
        <v>7</v>
      </c>
      <c r="I228" s="27" t="s">
        <v>8</v>
      </c>
      <c r="J228" s="27" t="s">
        <v>7</v>
      </c>
      <c r="R228" s="27" t="s">
        <v>7</v>
      </c>
      <c r="T228" s="27" t="s">
        <v>7</v>
      </c>
      <c r="U228" s="27" t="s">
        <v>8</v>
      </c>
      <c r="V228" s="27" t="s">
        <v>7</v>
      </c>
      <c r="W228" s="27" t="s">
        <v>8</v>
      </c>
      <c r="X228" s="27" t="s">
        <v>7</v>
      </c>
      <c r="Y228" s="27" t="s">
        <v>8</v>
      </c>
      <c r="BC228" s="27" t="s">
        <v>8</v>
      </c>
      <c r="BD228" s="27" t="s">
        <v>7</v>
      </c>
      <c r="BE228" s="27" t="s">
        <v>8</v>
      </c>
      <c r="BJ228" s="27" t="s">
        <v>7</v>
      </c>
      <c r="BK228" s="27" t="s">
        <v>8</v>
      </c>
      <c r="BL228" s="31"/>
      <c r="CJ228" s="27" t="s">
        <v>7</v>
      </c>
      <c r="CN228" s="27" t="s">
        <v>7</v>
      </c>
      <c r="CO228" s="27" t="s">
        <v>8</v>
      </c>
      <c r="CP228" s="27" t="s">
        <v>7</v>
      </c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X228" s="27" t="s">
        <v>7</v>
      </c>
      <c r="CZ228" s="27" t="s">
        <v>7</v>
      </c>
      <c r="DA228" s="27" t="s">
        <v>8</v>
      </c>
      <c r="DE228" s="31"/>
      <c r="DL228" s="27" t="s">
        <v>7</v>
      </c>
      <c r="DT228" s="27" t="s">
        <v>7</v>
      </c>
      <c r="EA228" s="27" t="s">
        <v>8</v>
      </c>
      <c r="EB228" s="27" t="s">
        <v>7</v>
      </c>
      <c r="EC228" s="27" t="s">
        <v>8</v>
      </c>
    </row>
    <row r="229" spans="1:135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H229" s="27" t="s">
        <v>7</v>
      </c>
      <c r="I229" s="27" t="s">
        <v>8</v>
      </c>
      <c r="T229" s="27" t="s">
        <v>7</v>
      </c>
      <c r="U229" s="27" t="s">
        <v>8</v>
      </c>
      <c r="V229" s="27" t="s">
        <v>7</v>
      </c>
      <c r="W229" s="27" t="s">
        <v>8</v>
      </c>
      <c r="X229" s="27" t="s">
        <v>7</v>
      </c>
      <c r="Y229" s="27" t="s">
        <v>8</v>
      </c>
      <c r="Z229" s="27" t="s">
        <v>7</v>
      </c>
      <c r="BC229" s="27" t="s">
        <v>8</v>
      </c>
      <c r="BD229" s="27" t="s">
        <v>7</v>
      </c>
      <c r="BE229" s="27" t="s">
        <v>8</v>
      </c>
      <c r="BJ229" s="27" t="s">
        <v>7</v>
      </c>
      <c r="BK229" s="31"/>
      <c r="CN229" s="27" t="s">
        <v>7</v>
      </c>
      <c r="CO229" s="27" t="s">
        <v>8</v>
      </c>
      <c r="CR229" s="33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  <c r="CZ229" s="33" t="s">
        <v>7</v>
      </c>
      <c r="DA229" s="27" t="s">
        <v>8</v>
      </c>
      <c r="DD229" s="31"/>
      <c r="DT229" s="27" t="s">
        <v>7</v>
      </c>
      <c r="DU229" s="27" t="s">
        <v>8</v>
      </c>
      <c r="DW229" s="27" t="s">
        <v>8</v>
      </c>
      <c r="DY229" s="27" t="s">
        <v>8</v>
      </c>
      <c r="EA229" s="27" t="s">
        <v>8</v>
      </c>
      <c r="EB229" s="27" t="s">
        <v>7</v>
      </c>
      <c r="EC229" s="27" t="s">
        <v>8</v>
      </c>
      <c r="ED229" s="27" t="s">
        <v>7</v>
      </c>
    </row>
    <row r="230" spans="1:135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H230" s="27" t="s">
        <v>7</v>
      </c>
      <c r="I230" s="27" t="s">
        <v>8</v>
      </c>
      <c r="T230" s="27" t="s">
        <v>7</v>
      </c>
      <c r="U230" s="27" t="s">
        <v>8</v>
      </c>
      <c r="V230" s="27" t="s">
        <v>7</v>
      </c>
      <c r="X230" s="27" t="s">
        <v>7</v>
      </c>
      <c r="Y230" s="27" t="s">
        <v>8</v>
      </c>
      <c r="Z230" s="27" t="s">
        <v>7</v>
      </c>
      <c r="BC230" s="27" t="s">
        <v>8</v>
      </c>
      <c r="BD230" s="27" t="s">
        <v>7</v>
      </c>
      <c r="BJ230" s="31"/>
      <c r="CN230" s="27" t="s">
        <v>7</v>
      </c>
      <c r="CO230" s="27" t="s">
        <v>8</v>
      </c>
      <c r="CR230" s="27" t="s">
        <v>7</v>
      </c>
      <c r="CT230" s="27" t="s">
        <v>7</v>
      </c>
      <c r="CU230" s="27" t="s">
        <v>8</v>
      </c>
      <c r="CZ230" s="27" t="s">
        <v>7</v>
      </c>
      <c r="DA230" s="27" t="s">
        <v>8</v>
      </c>
      <c r="DC230" s="31"/>
      <c r="DT230" s="27" t="s">
        <v>7</v>
      </c>
      <c r="DU230" s="27" t="s">
        <v>8</v>
      </c>
      <c r="DV230" s="27" t="s">
        <v>7</v>
      </c>
      <c r="DW230" s="27" t="s">
        <v>8</v>
      </c>
      <c r="DX230" s="27" t="s">
        <v>7</v>
      </c>
      <c r="DY230" s="27" t="s">
        <v>8</v>
      </c>
      <c r="DZ230" s="27" t="s">
        <v>7</v>
      </c>
      <c r="EA230" s="27" t="s">
        <v>8</v>
      </c>
      <c r="EB230" s="27" t="s">
        <v>7</v>
      </c>
      <c r="EC230" s="27" t="s">
        <v>8</v>
      </c>
      <c r="ED230" s="27" t="s">
        <v>7</v>
      </c>
    </row>
    <row r="231" spans="1:135" x14ac:dyDescent="0.25">
      <c r="A231" s="30">
        <v>1.5513282159785162</v>
      </c>
      <c r="C231"/>
      <c r="D231"/>
      <c r="E231" t="s">
        <v>8</v>
      </c>
      <c r="F231" s="27" t="s">
        <v>7</v>
      </c>
      <c r="G231" s="27" t="s">
        <v>8</v>
      </c>
      <c r="H231" s="27" t="s">
        <v>7</v>
      </c>
      <c r="I231" s="27" t="s">
        <v>8</v>
      </c>
      <c r="T231" s="27" t="s">
        <v>7</v>
      </c>
      <c r="X231" s="27" t="s">
        <v>7</v>
      </c>
      <c r="Y231" s="27" t="s">
        <v>8</v>
      </c>
      <c r="Z231" s="27" t="s">
        <v>7</v>
      </c>
      <c r="BC231" s="27" t="s">
        <v>8</v>
      </c>
      <c r="BI231" s="31"/>
      <c r="CN231" s="27" t="s">
        <v>7</v>
      </c>
      <c r="CO231" s="27" t="s">
        <v>8</v>
      </c>
      <c r="CT231" s="33" t="s">
        <v>7</v>
      </c>
      <c r="CU231" s="27" t="s">
        <v>8</v>
      </c>
      <c r="CZ231" s="18" t="s">
        <v>7</v>
      </c>
      <c r="DA231" s="27" t="s">
        <v>8</v>
      </c>
      <c r="DB231" s="31"/>
      <c r="DT231" s="27" t="s">
        <v>7</v>
      </c>
      <c r="DU231" s="27" t="s">
        <v>8</v>
      </c>
      <c r="DV231" s="27" t="s">
        <v>7</v>
      </c>
      <c r="DW231" s="27" t="s">
        <v>8</v>
      </c>
      <c r="DX231" s="27" t="s">
        <v>7</v>
      </c>
      <c r="DY231" s="27" t="s">
        <v>8</v>
      </c>
      <c r="DZ231" s="27" t="s">
        <v>7</v>
      </c>
      <c r="EA231" s="27" t="s">
        <v>8</v>
      </c>
      <c r="EB231" s="27" t="s">
        <v>7</v>
      </c>
      <c r="EC231" s="27" t="s">
        <v>8</v>
      </c>
      <c r="ED231" s="27" t="s">
        <v>7</v>
      </c>
    </row>
    <row r="232" spans="1:135" x14ac:dyDescent="0.25">
      <c r="A232" s="30">
        <v>1.477455443789063</v>
      </c>
      <c r="E232" t="s">
        <v>8</v>
      </c>
      <c r="F232" s="27" t="s">
        <v>7</v>
      </c>
      <c r="G232" s="27" t="s">
        <v>8</v>
      </c>
      <c r="H232" s="27" t="s">
        <v>7</v>
      </c>
      <c r="I232" s="27" t="s">
        <v>8</v>
      </c>
      <c r="X232" s="27" t="s">
        <v>7</v>
      </c>
      <c r="Y232" s="27" t="s">
        <v>8</v>
      </c>
      <c r="Z232" s="27" t="s">
        <v>7</v>
      </c>
      <c r="BC232" s="27" t="s">
        <v>8</v>
      </c>
      <c r="BH232" s="31"/>
      <c r="CN232" s="27" t="s">
        <v>7</v>
      </c>
      <c r="CO232" s="27" t="s">
        <v>8</v>
      </c>
      <c r="CT232" s="27" t="s">
        <v>7</v>
      </c>
      <c r="CZ232" s="27" t="s">
        <v>7</v>
      </c>
      <c r="DA232" s="31" t="s">
        <v>8</v>
      </c>
      <c r="DT232" s="27" t="s">
        <v>7</v>
      </c>
      <c r="DU232" s="27" t="s">
        <v>8</v>
      </c>
      <c r="DV232" s="27" t="s">
        <v>7</v>
      </c>
      <c r="DX232" s="27" t="s">
        <v>7</v>
      </c>
      <c r="DY232" s="27" t="s">
        <v>8</v>
      </c>
      <c r="DZ232" s="27" t="s">
        <v>7</v>
      </c>
      <c r="EB232" s="27" t="s">
        <v>7</v>
      </c>
      <c r="EC232" s="27" t="s">
        <v>8</v>
      </c>
      <c r="ED232" s="27" t="s">
        <v>7</v>
      </c>
    </row>
    <row r="233" spans="1:135" x14ac:dyDescent="0.25">
      <c r="A233" s="30">
        <v>1.4071004226562505</v>
      </c>
      <c r="E233" t="s">
        <v>8</v>
      </c>
      <c r="F233" s="27" t="s">
        <v>7</v>
      </c>
      <c r="G233" s="27" t="s">
        <v>8</v>
      </c>
      <c r="H233" s="27" t="s">
        <v>7</v>
      </c>
      <c r="X233" s="27" t="s">
        <v>7</v>
      </c>
      <c r="Y233" s="27" t="s">
        <v>8</v>
      </c>
      <c r="Z233" s="27" t="s">
        <v>7</v>
      </c>
      <c r="AA233" s="27" t="s">
        <v>8</v>
      </c>
      <c r="BA233" s="27" t="s">
        <v>8</v>
      </c>
      <c r="BC233" s="27" t="s">
        <v>8</v>
      </c>
      <c r="BG233" s="31"/>
      <c r="CN233" s="27" t="s">
        <v>7</v>
      </c>
      <c r="CO233" s="27" t="s">
        <v>8</v>
      </c>
      <c r="CZ233" s="31" t="s">
        <v>7</v>
      </c>
      <c r="DT233" s="27" t="s">
        <v>7</v>
      </c>
      <c r="DU233" s="27" t="s">
        <v>8</v>
      </c>
      <c r="DX233" s="27" t="s">
        <v>7</v>
      </c>
      <c r="EB233" s="27" t="s">
        <v>7</v>
      </c>
      <c r="ED233" s="27" t="s">
        <v>7</v>
      </c>
    </row>
    <row r="234" spans="1:135" x14ac:dyDescent="0.25">
      <c r="A234" s="30">
        <v>1.3400956406250004</v>
      </c>
      <c r="E234" t="s">
        <v>8</v>
      </c>
      <c r="F234" s="27" t="s">
        <v>7</v>
      </c>
      <c r="G234" s="27" t="s">
        <v>8</v>
      </c>
      <c r="X234" s="27" t="s">
        <v>7</v>
      </c>
      <c r="Y234" s="27" t="s">
        <v>8</v>
      </c>
      <c r="Z234" s="27" t="s">
        <v>7</v>
      </c>
      <c r="AA234" s="27" t="s">
        <v>8</v>
      </c>
      <c r="AB234" s="27" t="s">
        <v>7</v>
      </c>
      <c r="AY234" s="27" t="s">
        <v>8</v>
      </c>
      <c r="BA234" s="27" t="s">
        <v>8</v>
      </c>
      <c r="BB234" s="27" t="s">
        <v>7</v>
      </c>
      <c r="BC234" s="27" t="s">
        <v>8</v>
      </c>
      <c r="BF234" s="31"/>
      <c r="CN234" s="27" t="s">
        <v>7</v>
      </c>
      <c r="DT234" s="27" t="s">
        <v>7</v>
      </c>
      <c r="DU234" s="27" t="s">
        <v>8</v>
      </c>
      <c r="ED234" s="27" t="s">
        <v>7</v>
      </c>
      <c r="EE234" s="27" t="s">
        <v>8</v>
      </c>
    </row>
    <row r="235" spans="1:135" x14ac:dyDescent="0.25">
      <c r="A235" s="30">
        <v>1.2762815625000004</v>
      </c>
      <c r="C235"/>
      <c r="E235" t="s">
        <v>8</v>
      </c>
      <c r="F235" s="27" t="s">
        <v>7</v>
      </c>
      <c r="X235" s="27" t="s">
        <v>7</v>
      </c>
      <c r="Y235" s="27" t="s">
        <v>8</v>
      </c>
      <c r="Z235" s="27" t="s">
        <v>7</v>
      </c>
      <c r="AA235" s="27" t="s">
        <v>8</v>
      </c>
      <c r="AB235" s="27" t="s">
        <v>7</v>
      </c>
      <c r="AI235" s="27" t="s">
        <v>8</v>
      </c>
      <c r="AY235" s="27" t="s">
        <v>8</v>
      </c>
      <c r="AZ235" s="27" t="s">
        <v>7</v>
      </c>
      <c r="BA235" s="27" t="s">
        <v>8</v>
      </c>
      <c r="BB235" s="27" t="s">
        <v>7</v>
      </c>
      <c r="BC235" s="27" t="s">
        <v>8</v>
      </c>
      <c r="BE235" s="31"/>
      <c r="DT235" s="27" t="s">
        <v>7</v>
      </c>
      <c r="ED235" s="27" t="s">
        <v>7</v>
      </c>
      <c r="EE235" s="27" t="s">
        <v>8</v>
      </c>
    </row>
    <row r="236" spans="1:135" x14ac:dyDescent="0.25">
      <c r="A236" s="30">
        <v>1.2155062500000002</v>
      </c>
      <c r="E236" t="s">
        <v>8</v>
      </c>
      <c r="X236" s="27" t="s">
        <v>7</v>
      </c>
      <c r="Y236" s="27" t="s">
        <v>8</v>
      </c>
      <c r="Z236" s="27" t="s">
        <v>7</v>
      </c>
      <c r="AA236" s="27" t="s">
        <v>8</v>
      </c>
      <c r="AB236" s="27" t="s">
        <v>7</v>
      </c>
      <c r="AI236" s="27" t="s">
        <v>8</v>
      </c>
      <c r="AJ236" s="27" t="s">
        <v>7</v>
      </c>
      <c r="AY236" s="27" t="s">
        <v>8</v>
      </c>
      <c r="AZ236" s="27" t="s">
        <v>7</v>
      </c>
      <c r="BA236" s="27" t="s">
        <v>8</v>
      </c>
      <c r="BB236" s="27" t="s">
        <v>7</v>
      </c>
      <c r="BD236" s="31"/>
      <c r="ED236" s="27" t="s">
        <v>7</v>
      </c>
      <c r="EE236" s="27" t="s">
        <v>8</v>
      </c>
    </row>
    <row r="237" spans="1:13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X237" s="27" t="s">
        <v>7</v>
      </c>
      <c r="Y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G237" s="27" t="s">
        <v>8</v>
      </c>
      <c r="AI237" s="27" t="s">
        <v>8</v>
      </c>
      <c r="AJ237" s="27" t="s">
        <v>7</v>
      </c>
      <c r="AS237" s="32" t="s">
        <v>8</v>
      </c>
      <c r="AU237" s="32" t="s">
        <v>8</v>
      </c>
      <c r="AY237" s="27" t="s">
        <v>8</v>
      </c>
      <c r="AZ237" s="27" t="s">
        <v>7</v>
      </c>
      <c r="BA237" s="27" t="s">
        <v>8</v>
      </c>
      <c r="BC237" s="31"/>
      <c r="ED237" s="27" t="s">
        <v>7</v>
      </c>
    </row>
    <row r="238" spans="1:135" x14ac:dyDescent="0.25">
      <c r="A238" s="30">
        <v>1.1025</v>
      </c>
      <c r="E238" t="s">
        <v>8</v>
      </c>
      <c r="X238" s="27" t="s">
        <v>7</v>
      </c>
      <c r="Y238" s="27" t="s">
        <v>8</v>
      </c>
      <c r="Z238" s="27" t="s">
        <v>7</v>
      </c>
      <c r="AB238" s="27" t="s">
        <v>7</v>
      </c>
      <c r="AC238" s="27" t="s">
        <v>8</v>
      </c>
      <c r="AD238" s="27" t="s">
        <v>7</v>
      </c>
      <c r="AE238" s="27" t="s">
        <v>8</v>
      </c>
      <c r="AG238" s="27" t="s">
        <v>8</v>
      </c>
      <c r="AH238" s="27" t="s">
        <v>7</v>
      </c>
      <c r="AI238" s="27" t="s">
        <v>8</v>
      </c>
      <c r="AJ238" s="27" t="s">
        <v>7</v>
      </c>
      <c r="AS238" s="27" t="s">
        <v>8</v>
      </c>
      <c r="AT238" s="27" t="s">
        <v>7</v>
      </c>
      <c r="AU238" s="27" t="s">
        <v>8</v>
      </c>
      <c r="AV238" s="27" t="s">
        <v>7</v>
      </c>
      <c r="AW238" s="27" t="s">
        <v>8</v>
      </c>
      <c r="AY238" s="27" t="s">
        <v>8</v>
      </c>
      <c r="AZ238" s="27" t="s">
        <v>7</v>
      </c>
      <c r="BB238" s="31"/>
    </row>
    <row r="239" spans="1:135" x14ac:dyDescent="0.25">
      <c r="A239" s="30">
        <v>1.05</v>
      </c>
      <c r="E239" t="s">
        <v>8</v>
      </c>
      <c r="X239" s="27" t="s">
        <v>7</v>
      </c>
      <c r="AB239" s="27" t="s">
        <v>7</v>
      </c>
      <c r="AC239" s="27" t="s">
        <v>8</v>
      </c>
      <c r="AD239" s="27" t="s">
        <v>7</v>
      </c>
      <c r="AE239" s="27" t="s">
        <v>8</v>
      </c>
      <c r="AF239" s="27" t="s">
        <v>7</v>
      </c>
      <c r="AG239" s="27" t="s">
        <v>8</v>
      </c>
      <c r="AH239" s="27" t="s">
        <v>7</v>
      </c>
      <c r="AI239" s="27" t="s">
        <v>8</v>
      </c>
      <c r="AJ239" s="27" t="s">
        <v>7</v>
      </c>
      <c r="AS239" s="27" t="s">
        <v>8</v>
      </c>
      <c r="AT239" s="27" t="s">
        <v>7</v>
      </c>
      <c r="AU239" s="27" t="s">
        <v>8</v>
      </c>
      <c r="AV239" s="27" t="s">
        <v>7</v>
      </c>
      <c r="AW239" s="27" t="s">
        <v>8</v>
      </c>
      <c r="AX239" s="27" t="s">
        <v>7</v>
      </c>
      <c r="AY239" s="27" t="s">
        <v>8</v>
      </c>
      <c r="BA239" s="31"/>
    </row>
    <row r="240" spans="1:135" x14ac:dyDescent="0.25">
      <c r="A240" s="30">
        <v>1</v>
      </c>
      <c r="E240" s="29" t="s">
        <v>8</v>
      </c>
      <c r="AB240" s="27" t="s">
        <v>7</v>
      </c>
      <c r="AC240" s="27" t="s">
        <v>8</v>
      </c>
      <c r="AD240" s="27" t="s">
        <v>7</v>
      </c>
      <c r="AE240" s="27" t="s">
        <v>8</v>
      </c>
      <c r="AF240" s="27" t="s">
        <v>7</v>
      </c>
      <c r="AG240" s="27" t="s">
        <v>8</v>
      </c>
      <c r="AH240" s="27" t="s">
        <v>7</v>
      </c>
      <c r="AJ240" s="27" t="s">
        <v>7</v>
      </c>
      <c r="AK240" s="27" t="s">
        <v>8</v>
      </c>
      <c r="AS240" s="27" t="s">
        <v>8</v>
      </c>
      <c r="AT240" s="27" t="s">
        <v>7</v>
      </c>
      <c r="AU240" s="27" t="s">
        <v>8</v>
      </c>
      <c r="AV240" s="27" t="s">
        <v>7</v>
      </c>
      <c r="AW240" s="27" t="s">
        <v>8</v>
      </c>
      <c r="AX240" s="27" t="s">
        <v>7</v>
      </c>
      <c r="AY240" s="27" t="s">
        <v>8</v>
      </c>
      <c r="AZ240" s="31"/>
    </row>
    <row r="241" spans="1:51" x14ac:dyDescent="0.25">
      <c r="A241" s="30">
        <v>0.952380952380952</v>
      </c>
      <c r="B241"/>
      <c r="C241"/>
      <c r="D241"/>
      <c r="E241"/>
      <c r="AB241" s="27" t="s">
        <v>7</v>
      </c>
      <c r="AC241" s="27" t="s">
        <v>8</v>
      </c>
      <c r="AD241" s="27" t="s">
        <v>7</v>
      </c>
      <c r="AE241" s="27" t="s">
        <v>8</v>
      </c>
      <c r="AF241" s="27" t="s">
        <v>7</v>
      </c>
      <c r="AJ241" s="27" t="s">
        <v>7</v>
      </c>
      <c r="AK241" s="27" t="s">
        <v>8</v>
      </c>
      <c r="AL241" s="27" t="s">
        <v>7</v>
      </c>
      <c r="AM241" s="27" t="s">
        <v>8</v>
      </c>
      <c r="AS241" s="27" t="s">
        <v>8</v>
      </c>
      <c r="AT241" s="27" t="s">
        <v>7</v>
      </c>
      <c r="AU241" s="27" t="s">
        <v>8</v>
      </c>
      <c r="AV241" s="27" t="s">
        <v>7</v>
      </c>
      <c r="AW241" s="27" t="s">
        <v>8</v>
      </c>
      <c r="AX241" s="27" t="s">
        <v>7</v>
      </c>
      <c r="AY241" s="31"/>
    </row>
    <row r="242" spans="1:51" x14ac:dyDescent="0.25">
      <c r="A242" s="30">
        <v>0.90702947845804915</v>
      </c>
      <c r="B242"/>
      <c r="C242"/>
      <c r="D242"/>
      <c r="E242"/>
      <c r="AB242" s="27" t="s">
        <v>7</v>
      </c>
      <c r="AC242" s="27" t="s">
        <v>8</v>
      </c>
      <c r="AD242" s="27" t="s">
        <v>7</v>
      </c>
      <c r="AJ242" s="27" t="s">
        <v>7</v>
      </c>
      <c r="AK242" s="27" t="s">
        <v>8</v>
      </c>
      <c r="AL242" s="27" t="s">
        <v>7</v>
      </c>
      <c r="AM242" s="27" t="s">
        <v>8</v>
      </c>
      <c r="AN242" s="27" t="s">
        <v>7</v>
      </c>
      <c r="AQ242" s="27" t="s">
        <v>8</v>
      </c>
      <c r="AS242" s="27" t="s">
        <v>8</v>
      </c>
      <c r="AT242" s="27" t="s">
        <v>7</v>
      </c>
      <c r="AU242" s="27" t="s">
        <v>8</v>
      </c>
      <c r="AV242" s="27" t="s">
        <v>7</v>
      </c>
      <c r="AW242" s="27" t="s">
        <v>8</v>
      </c>
      <c r="AX242" s="31"/>
    </row>
    <row r="243" spans="1:51" x14ac:dyDescent="0.25">
      <c r="A243" s="30">
        <v>0.86383759853147501</v>
      </c>
      <c r="B243"/>
      <c r="C243"/>
      <c r="D243"/>
      <c r="E243"/>
      <c r="AB243" s="27" t="s">
        <v>7</v>
      </c>
      <c r="AC243" s="27" t="s">
        <v>8</v>
      </c>
      <c r="AJ243" s="27" t="s">
        <v>7</v>
      </c>
      <c r="AK243" s="27" t="s">
        <v>8</v>
      </c>
      <c r="AL243" s="27" t="s">
        <v>7</v>
      </c>
      <c r="AM243" s="27" t="s">
        <v>8</v>
      </c>
      <c r="AN243" s="27" t="s">
        <v>7</v>
      </c>
      <c r="AQ243" s="27" t="s">
        <v>8</v>
      </c>
      <c r="AR243" s="27" t="s">
        <v>7</v>
      </c>
      <c r="AS243" s="27" t="s">
        <v>8</v>
      </c>
      <c r="AT243" s="27" t="s">
        <v>7</v>
      </c>
      <c r="AU243" s="27" t="s">
        <v>8</v>
      </c>
      <c r="AV243" s="27" t="s">
        <v>7</v>
      </c>
      <c r="AW243" s="31" t="s">
        <v>8</v>
      </c>
    </row>
    <row r="244" spans="1:51" x14ac:dyDescent="0.25">
      <c r="A244" s="30">
        <v>0.82270247479188063</v>
      </c>
      <c r="B244"/>
      <c r="C244"/>
      <c r="D244"/>
      <c r="E244"/>
      <c r="AB244" s="27" t="s">
        <v>7</v>
      </c>
      <c r="AC244" s="27" t="s">
        <v>8</v>
      </c>
      <c r="AJ244" s="27" t="s">
        <v>7</v>
      </c>
      <c r="AL244" s="27" t="s">
        <v>7</v>
      </c>
      <c r="AN244" s="27" t="s">
        <v>7</v>
      </c>
      <c r="AQ244" s="27" t="s">
        <v>8</v>
      </c>
      <c r="AR244" s="27" t="s">
        <v>7</v>
      </c>
      <c r="AS244" s="27" t="s">
        <v>8</v>
      </c>
      <c r="AT244" s="27" t="s">
        <v>7</v>
      </c>
      <c r="AU244" s="27" t="s">
        <v>8</v>
      </c>
      <c r="AV244" s="31" t="s">
        <v>7</v>
      </c>
    </row>
    <row r="245" spans="1:51" x14ac:dyDescent="0.25">
      <c r="A245" s="30">
        <v>0.78352616646845741</v>
      </c>
      <c r="B245"/>
      <c r="C245"/>
      <c r="D245"/>
      <c r="E245"/>
      <c r="AB245" s="27" t="s">
        <v>7</v>
      </c>
      <c r="AC245" s="27" t="s">
        <v>8</v>
      </c>
      <c r="AN245" s="33" t="s">
        <v>7</v>
      </c>
      <c r="AQ245" s="34" t="s">
        <v>8</v>
      </c>
      <c r="AR245" s="27" t="s">
        <v>7</v>
      </c>
      <c r="AS245" s="27" t="s">
        <v>8</v>
      </c>
      <c r="AT245" s="27" t="s">
        <v>7</v>
      </c>
      <c r="AU245" s="31" t="s">
        <v>8</v>
      </c>
    </row>
    <row r="246" spans="1:51" x14ac:dyDescent="0.25">
      <c r="A246" s="30">
        <v>0.74621539663662584</v>
      </c>
      <c r="B246"/>
      <c r="C246"/>
      <c r="D246"/>
      <c r="E246"/>
      <c r="AB246" s="27" t="s">
        <v>7</v>
      </c>
      <c r="AN246" s="27" t="s">
        <v>7</v>
      </c>
      <c r="AO246" s="27" t="s">
        <v>8</v>
      </c>
      <c r="AQ246" s="27" t="s">
        <v>8</v>
      </c>
      <c r="AR246" s="27" t="s">
        <v>7</v>
      </c>
      <c r="AS246" s="27" t="s">
        <v>8</v>
      </c>
      <c r="AT246" s="31" t="s">
        <v>7</v>
      </c>
    </row>
    <row r="247" spans="1:51" x14ac:dyDescent="0.25">
      <c r="A247" s="30">
        <v>0.71068133013011958</v>
      </c>
      <c r="B247"/>
      <c r="C247"/>
      <c r="D247"/>
      <c r="E247"/>
      <c r="AN247" s="27" t="s">
        <v>7</v>
      </c>
      <c r="AO247" s="27" t="s">
        <v>8</v>
      </c>
      <c r="AP247" s="27" t="s">
        <v>7</v>
      </c>
      <c r="AQ247" s="27" t="s">
        <v>8</v>
      </c>
      <c r="AR247" s="27" t="s">
        <v>7</v>
      </c>
      <c r="AS247" s="31"/>
    </row>
    <row r="248" spans="1:51" x14ac:dyDescent="0.25">
      <c r="A248" s="30">
        <v>0.676839362028685</v>
      </c>
      <c r="B248"/>
      <c r="C248"/>
      <c r="D248"/>
      <c r="E248"/>
      <c r="AN248" s="27" t="s">
        <v>7</v>
      </c>
      <c r="AO248" s="27" t="s">
        <v>8</v>
      </c>
      <c r="AP248" s="27" t="s">
        <v>7</v>
      </c>
      <c r="AQ248" s="27" t="s">
        <v>8</v>
      </c>
      <c r="AR248" s="31"/>
    </row>
    <row r="249" spans="1:51" x14ac:dyDescent="0.25">
      <c r="A249" s="30">
        <v>0.64460891621779492</v>
      </c>
      <c r="B249"/>
      <c r="C249"/>
      <c r="D249"/>
      <c r="E249"/>
      <c r="AN249" s="27" t="s">
        <v>7</v>
      </c>
      <c r="AO249" s="27" t="s">
        <v>8</v>
      </c>
      <c r="AP249" s="27" t="s">
        <v>7</v>
      </c>
      <c r="AQ249" s="31" t="s">
        <v>8</v>
      </c>
    </row>
    <row r="250" spans="1:51" x14ac:dyDescent="0.25">
      <c r="A250" s="30">
        <v>0.61391325354075688</v>
      </c>
      <c r="B250"/>
      <c r="C250"/>
      <c r="D250"/>
      <c r="E250"/>
      <c r="AN250" s="27" t="s">
        <v>7</v>
      </c>
      <c r="AO250" s="27" t="s">
        <v>8</v>
      </c>
      <c r="AP250" s="31" t="s">
        <v>7</v>
      </c>
    </row>
    <row r="251" spans="1:51" x14ac:dyDescent="0.25">
      <c r="A251" s="30">
        <v>0.58467928908643485</v>
      </c>
      <c r="B251"/>
      <c r="C251"/>
      <c r="D251"/>
      <c r="E251"/>
      <c r="AN251" s="27" t="s">
        <v>7</v>
      </c>
    </row>
    <row r="252" spans="1:51" x14ac:dyDescent="0.25">
      <c r="A252" s="30">
        <v>0.55683741817755672</v>
      </c>
      <c r="B252"/>
      <c r="C252"/>
      <c r="D252"/>
      <c r="E252"/>
    </row>
    <row r="253" spans="1:51" x14ac:dyDescent="0.25">
      <c r="A253" s="30">
        <v>0.53032135064529184</v>
      </c>
      <c r="B253"/>
      <c r="C253"/>
      <c r="D253"/>
      <c r="E253"/>
    </row>
    <row r="254" spans="1:51" x14ac:dyDescent="0.25">
      <c r="A254" s="30">
        <v>0.50506795299551588</v>
      </c>
      <c r="B254"/>
      <c r="C254"/>
      <c r="D254"/>
      <c r="E254"/>
    </row>
    <row r="255" spans="1:51" x14ac:dyDescent="0.25">
      <c r="A255" s="30">
        <v>0.48101709809096732</v>
      </c>
      <c r="E255"/>
    </row>
    <row r="256" spans="1:51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77" operator="equal">
      <formula>$U$1</formula>
    </cfRule>
    <cfRule type="cellIs" dxfId="67" priority="978" operator="equal">
      <formula>$S$1</formula>
    </cfRule>
  </conditionalFormatting>
  <conditionalFormatting sqref="D136">
    <cfRule type="cellIs" dxfId="66" priority="975" operator="equal">
      <formula>$S$1</formula>
    </cfRule>
    <cfRule type="cellIs" dxfId="65" priority="976" operator="equal">
      <formula>$U$1</formula>
    </cfRule>
  </conditionalFormatting>
  <conditionalFormatting sqref="C162">
    <cfRule type="cellIs" dxfId="64" priority="973" operator="equal">
      <formula>$U$1</formula>
    </cfRule>
    <cfRule type="cellIs" dxfId="63" priority="974" operator="equal">
      <formula>$S$1</formula>
    </cfRule>
  </conditionalFormatting>
  <conditionalFormatting sqref="D162">
    <cfRule type="cellIs" dxfId="62" priority="971" operator="equal">
      <formula>$S$1</formula>
    </cfRule>
    <cfRule type="cellIs" dxfId="61" priority="972" operator="equal">
      <formula>$U$1</formula>
    </cfRule>
  </conditionalFormatting>
  <conditionalFormatting sqref="C187">
    <cfRule type="cellIs" dxfId="60" priority="969" operator="equal">
      <formula>$U$1</formula>
    </cfRule>
    <cfRule type="cellIs" dxfId="59" priority="970" operator="equal">
      <formula>$S$1</formula>
    </cfRule>
  </conditionalFormatting>
  <conditionalFormatting sqref="D187">
    <cfRule type="cellIs" dxfId="58" priority="967" operator="equal">
      <formula>$S$1</formula>
    </cfRule>
    <cfRule type="cellIs" dxfId="57" priority="968" operator="equal">
      <formula>$U$1</formula>
    </cfRule>
  </conditionalFormatting>
  <conditionalFormatting sqref="C212">
    <cfRule type="cellIs" dxfId="56" priority="965" operator="equal">
      <formula>$U$1</formula>
    </cfRule>
    <cfRule type="cellIs" dxfId="55" priority="966" operator="equal">
      <formula>$S$1</formula>
    </cfRule>
  </conditionalFormatting>
  <conditionalFormatting sqref="D212">
    <cfRule type="cellIs" dxfId="54" priority="963" operator="equal">
      <formula>$S$1</formula>
    </cfRule>
    <cfRule type="cellIs" dxfId="53" priority="964" operator="equal">
      <formula>$U$1</formula>
    </cfRule>
  </conditionalFormatting>
  <conditionalFormatting sqref="C237">
    <cfRule type="cellIs" dxfId="52" priority="961" operator="equal">
      <formula>$U$1</formula>
    </cfRule>
    <cfRule type="cellIs" dxfId="51" priority="962" operator="equal">
      <formula>$S$1</formula>
    </cfRule>
  </conditionalFormatting>
  <conditionalFormatting sqref="D237">
    <cfRule type="cellIs" dxfId="50" priority="959" operator="equal">
      <formula>$S$1</formula>
    </cfRule>
    <cfRule type="cellIs" dxfId="49" priority="960" operator="equal">
      <formula>$U$1</formula>
    </cfRule>
  </conditionalFormatting>
  <conditionalFormatting sqref="C106">
    <cfRule type="cellIs" dxfId="48" priority="957" operator="equal">
      <formula>$U$1</formula>
    </cfRule>
    <cfRule type="cellIs" dxfId="47" priority="958" operator="equal">
      <formula>$S$1</formula>
    </cfRule>
  </conditionalFormatting>
  <conditionalFormatting sqref="D106">
    <cfRule type="cellIs" dxfId="46" priority="955" operator="equal">
      <formula>$S$1</formula>
    </cfRule>
    <cfRule type="cellIs" dxfId="45" priority="956" operator="equal">
      <formula>$U$1</formula>
    </cfRule>
  </conditionalFormatting>
  <conditionalFormatting sqref="C81">
    <cfRule type="cellIs" dxfId="44" priority="953" operator="equal">
      <formula>$U$1</formula>
    </cfRule>
    <cfRule type="cellIs" dxfId="43" priority="954" operator="equal">
      <formula>$S$1</formula>
    </cfRule>
  </conditionalFormatting>
  <conditionalFormatting sqref="D81">
    <cfRule type="cellIs" dxfId="42" priority="951" operator="equal">
      <formula>$S$1</formula>
    </cfRule>
    <cfRule type="cellIs" dxfId="41" priority="952" operator="equal">
      <formula>$U$1</formula>
    </cfRule>
  </conditionalFormatting>
  <conditionalFormatting sqref="C56">
    <cfRule type="cellIs" dxfId="40" priority="949" operator="equal">
      <formula>$U$1</formula>
    </cfRule>
    <cfRule type="cellIs" dxfId="39" priority="950" operator="equal">
      <formula>$S$1</formula>
    </cfRule>
  </conditionalFormatting>
  <conditionalFormatting sqref="D56">
    <cfRule type="cellIs" dxfId="38" priority="947" operator="equal">
      <formula>$S$1</formula>
    </cfRule>
    <cfRule type="cellIs" dxfId="37" priority="948" operator="equal">
      <formula>$U$1</formula>
    </cfRule>
  </conditionalFormatting>
  <conditionalFormatting sqref="C31">
    <cfRule type="cellIs" dxfId="36" priority="945" operator="equal">
      <formula>$U$1</formula>
    </cfRule>
    <cfRule type="cellIs" dxfId="35" priority="946" operator="equal">
      <formula>$S$1</formula>
    </cfRule>
  </conditionalFormatting>
  <conditionalFormatting sqref="D31">
    <cfRule type="cellIs" dxfId="34" priority="943" operator="equal">
      <formula>$S$1</formula>
    </cfRule>
    <cfRule type="cellIs" dxfId="33" priority="94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3" zoomScale="90" zoomScaleNormal="90" workbookViewId="0">
      <pane xSplit="4" topLeftCell="G1" activePane="topRight" state="frozen"/>
      <selection activeCell="A109" sqref="A109"/>
      <selection pane="topRight" activeCell="AV119" sqref="AV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7" x14ac:dyDescent="0.25">
      <c r="A97" s="30">
        <v>9.849732675807628</v>
      </c>
      <c r="E97"/>
    </row>
    <row r="98" spans="1:47" x14ac:dyDescent="0.25">
      <c r="A98" s="30">
        <v>8.9543024325523888</v>
      </c>
      <c r="C98" s="1" t="s">
        <v>13</v>
      </c>
      <c r="E98"/>
    </row>
    <row r="99" spans="1:47" x14ac:dyDescent="0.25">
      <c r="A99" s="30">
        <v>8.140274938683989</v>
      </c>
      <c r="C99" s="1">
        <f>C88</f>
        <v>0</v>
      </c>
      <c r="E99"/>
    </row>
    <row r="100" spans="1:47" x14ac:dyDescent="0.25">
      <c r="A100" s="30">
        <v>7.4002499442581717</v>
      </c>
      <c r="C100"/>
      <c r="D100"/>
      <c r="E100"/>
    </row>
    <row r="101" spans="1:47" x14ac:dyDescent="0.25">
      <c r="A101" s="30">
        <v>6.72749994932561</v>
      </c>
      <c r="C101" s="1" t="s">
        <v>14</v>
      </c>
      <c r="E101"/>
    </row>
    <row r="102" spans="1:4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7" x14ac:dyDescent="0.25">
      <c r="A103" s="30">
        <v>5.5599173134922388</v>
      </c>
      <c r="E103"/>
      <c r="AE103" s="31" t="s">
        <v>8</v>
      </c>
    </row>
    <row r="104" spans="1:47" x14ac:dyDescent="0.25">
      <c r="A104" s="30">
        <v>5.0544702849929442</v>
      </c>
      <c r="E104"/>
      <c r="AA104" s="27" t="s">
        <v>8</v>
      </c>
      <c r="AE104" s="27" t="s">
        <v>8</v>
      </c>
      <c r="AF104" s="31" t="s">
        <v>7</v>
      </c>
    </row>
    <row r="105" spans="1:47" x14ac:dyDescent="0.25">
      <c r="A105" s="30">
        <v>4.594972986357222</v>
      </c>
      <c r="E105"/>
      <c r="G105" s="27" t="s">
        <v>8</v>
      </c>
      <c r="AA105" s="27" t="s">
        <v>8</v>
      </c>
      <c r="AB105" s="27" t="s">
        <v>7</v>
      </c>
      <c r="AE105" s="34" t="s">
        <v>8</v>
      </c>
      <c r="AF105" s="27" t="s">
        <v>7</v>
      </c>
      <c r="AG105" s="31"/>
    </row>
    <row r="106" spans="1:47" x14ac:dyDescent="0.25">
      <c r="A106" s="30">
        <v>4.1772481694156562</v>
      </c>
      <c r="E106"/>
      <c r="G106" s="27" t="s">
        <v>8</v>
      </c>
      <c r="H106" s="27" t="s">
        <v>7</v>
      </c>
      <c r="AA106" s="27" t="s">
        <v>8</v>
      </c>
      <c r="AB106" s="27" t="s">
        <v>7</v>
      </c>
      <c r="AC106" s="27" t="s">
        <v>8</v>
      </c>
      <c r="AE106" s="27" t="s">
        <v>8</v>
      </c>
      <c r="AF106" s="27" t="s">
        <v>7</v>
      </c>
      <c r="AH106" s="31"/>
      <c r="AQ106" s="27" t="s">
        <v>8</v>
      </c>
    </row>
    <row r="107" spans="1:47" x14ac:dyDescent="0.25">
      <c r="A107" s="30">
        <v>3.7974983358324148</v>
      </c>
      <c r="E107"/>
      <c r="G107" s="27" t="s">
        <v>8</v>
      </c>
      <c r="H107" s="27" t="s">
        <v>7</v>
      </c>
      <c r="Y107" s="27" t="s">
        <v>8</v>
      </c>
      <c r="AA107" s="27" t="s">
        <v>8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  <c r="AI107" s="31"/>
      <c r="AQ107" s="27" t="s">
        <v>8</v>
      </c>
      <c r="AR107" s="27" t="s">
        <v>7</v>
      </c>
    </row>
    <row r="108" spans="1:47" x14ac:dyDescent="0.25">
      <c r="A108" s="30">
        <v>3.4522712143931042</v>
      </c>
      <c r="E108"/>
      <c r="G108" s="27" t="s">
        <v>8</v>
      </c>
      <c r="H108" s="27" t="s">
        <v>7</v>
      </c>
      <c r="U108" s="27" t="s">
        <v>8</v>
      </c>
      <c r="Y108" s="27" t="s">
        <v>8</v>
      </c>
      <c r="Z108" s="27" t="s">
        <v>7</v>
      </c>
      <c r="AA108" s="27" t="s">
        <v>8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  <c r="AJ108" s="31"/>
      <c r="AQ108" s="27" t="s">
        <v>8</v>
      </c>
      <c r="AR108" s="27" t="s">
        <v>7</v>
      </c>
    </row>
    <row r="109" spans="1:47" x14ac:dyDescent="0.25">
      <c r="A109" s="30">
        <v>3.1384283767210035</v>
      </c>
      <c r="E109"/>
      <c r="G109" s="27" t="s">
        <v>8</v>
      </c>
      <c r="H109" s="27" t="s">
        <v>7</v>
      </c>
      <c r="I109" s="27" t="s">
        <v>8</v>
      </c>
      <c r="U109" s="27" t="s">
        <v>8</v>
      </c>
      <c r="V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D109" s="27" t="s">
        <v>7</v>
      </c>
      <c r="AE109" s="27" t="s">
        <v>8</v>
      </c>
      <c r="AF109" s="31" t="s">
        <v>7</v>
      </c>
      <c r="AK109" s="31"/>
      <c r="AQ109" s="27" t="s">
        <v>8</v>
      </c>
      <c r="AR109" s="27" t="s">
        <v>7</v>
      </c>
    </row>
    <row r="110" spans="1:47" x14ac:dyDescent="0.25">
      <c r="A110" s="30">
        <v>2.8531167061100029</v>
      </c>
      <c r="E110"/>
      <c r="G110" s="27" t="s">
        <v>8</v>
      </c>
      <c r="H110" s="27" t="s">
        <v>7</v>
      </c>
      <c r="I110" s="27" t="s">
        <v>8</v>
      </c>
      <c r="J110" s="27" t="s">
        <v>7</v>
      </c>
      <c r="S110" s="27" t="s">
        <v>8</v>
      </c>
      <c r="U110" s="27" t="s">
        <v>8</v>
      </c>
      <c r="V110" s="27" t="s">
        <v>7</v>
      </c>
      <c r="Y110" s="27" t="s">
        <v>8</v>
      </c>
      <c r="Z110" s="27" t="s">
        <v>7</v>
      </c>
      <c r="AD110" s="33" t="s">
        <v>7</v>
      </c>
      <c r="AE110" s="31"/>
      <c r="AF110" s="27" t="s">
        <v>7</v>
      </c>
      <c r="AL110" s="31"/>
      <c r="AQ110" s="27" t="s">
        <v>8</v>
      </c>
      <c r="AR110" s="27" t="s">
        <v>7</v>
      </c>
      <c r="AS110" s="27" t="s">
        <v>8</v>
      </c>
    </row>
    <row r="111" spans="1:47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$AV$118</v>
      </c>
      <c r="E111"/>
      <c r="G111" s="27" t="s">
        <v>8</v>
      </c>
      <c r="H111" s="27" t="s">
        <v>7</v>
      </c>
      <c r="I111" s="27" t="s">
        <v>8</v>
      </c>
      <c r="J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Y111" s="27" t="s">
        <v>8</v>
      </c>
      <c r="AD111" s="31"/>
      <c r="AF111" s="33" t="s">
        <v>7</v>
      </c>
      <c r="AG111" s="27" t="s">
        <v>8</v>
      </c>
      <c r="AM111" s="31"/>
      <c r="AQ111" s="27" t="s">
        <v>8</v>
      </c>
      <c r="AR111" s="27" t="s">
        <v>7</v>
      </c>
      <c r="AS111" s="27" t="s">
        <v>8</v>
      </c>
      <c r="AT111" s="27" t="s">
        <v>7</v>
      </c>
    </row>
    <row r="112" spans="1:47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$AU$119</v>
      </c>
      <c r="E112"/>
      <c r="G112" s="27" t="s">
        <v>8</v>
      </c>
      <c r="H112" s="27" t="s">
        <v>7</v>
      </c>
      <c r="J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X112" s="27" t="s">
        <v>7</v>
      </c>
      <c r="Y112" s="27" t="s">
        <v>8</v>
      </c>
      <c r="AC112" s="31"/>
      <c r="AF112" s="27" t="s">
        <v>7</v>
      </c>
      <c r="AG112" s="27" t="s">
        <v>8</v>
      </c>
      <c r="AH112" s="27" t="s">
        <v>7</v>
      </c>
      <c r="AI112" s="32" t="s">
        <v>8</v>
      </c>
      <c r="AK112" s="32" t="s">
        <v>8</v>
      </c>
      <c r="AM112" s="32" t="s">
        <v>8</v>
      </c>
      <c r="AN112" s="31"/>
      <c r="AQ112" s="27" t="s">
        <v>8</v>
      </c>
      <c r="AR112" s="27" t="s">
        <v>7</v>
      </c>
      <c r="AS112" s="27" t="s">
        <v>8</v>
      </c>
      <c r="AT112" s="27" t="s">
        <v>7</v>
      </c>
      <c r="AU112" s="31" t="s">
        <v>8</v>
      </c>
    </row>
    <row r="113" spans="1:48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$AW$118</v>
      </c>
      <c r="E113" s="1" t="s">
        <v>8</v>
      </c>
      <c r="G113" s="27" t="s">
        <v>8</v>
      </c>
      <c r="J113" s="27" t="s">
        <v>7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  <c r="X113" s="27" t="s">
        <v>7</v>
      </c>
      <c r="Y113" s="27" t="s">
        <v>8</v>
      </c>
      <c r="AB113" s="31"/>
      <c r="AF113" s="27" t="s">
        <v>7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  <c r="AL113" s="27" t="s">
        <v>7</v>
      </c>
      <c r="AM113" s="27" t="s">
        <v>8</v>
      </c>
      <c r="AN113" s="27" t="s">
        <v>7</v>
      </c>
      <c r="AO113" s="31" t="s">
        <v>8</v>
      </c>
      <c r="AQ113" s="27" t="s">
        <v>8</v>
      </c>
      <c r="AR113" s="27" t="s">
        <v>7</v>
      </c>
      <c r="AS113" s="27" t="s">
        <v>8</v>
      </c>
      <c r="AT113" s="31" t="s">
        <v>7</v>
      </c>
      <c r="AU113" s="27" t="s">
        <v>8</v>
      </c>
      <c r="AV113" s="27" t="s">
        <v>7</v>
      </c>
    </row>
    <row r="114" spans="1:48" x14ac:dyDescent="0.25">
      <c r="A114" s="30">
        <v>1.9487171000000014</v>
      </c>
      <c r="C114" s="1" t="str">
        <f>ADDRESS(C121,D121,1,1)</f>
        <v>$AV$119</v>
      </c>
      <c r="D114" s="1" t="str">
        <f>ADDRESS(C121+1,D121+1,1,1)</f>
        <v>$AW$120</v>
      </c>
      <c r="E114" s="1" t="s">
        <v>8</v>
      </c>
      <c r="F114" s="27" t="s">
        <v>7</v>
      </c>
      <c r="G114" s="27" t="s">
        <v>8</v>
      </c>
      <c r="J114" s="27" t="s">
        <v>7</v>
      </c>
      <c r="S114" s="27" t="s">
        <v>8</v>
      </c>
      <c r="T114" s="27" t="s">
        <v>7</v>
      </c>
      <c r="V114" s="27" t="s">
        <v>7</v>
      </c>
      <c r="W114" s="27" t="s">
        <v>8</v>
      </c>
      <c r="X114" s="27" t="s">
        <v>7</v>
      </c>
      <c r="AA114" s="31"/>
      <c r="AF114" s="27" t="s">
        <v>7</v>
      </c>
      <c r="AG114" s="27" t="s">
        <v>8</v>
      </c>
      <c r="AH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AO114" s="27" t="s">
        <v>8</v>
      </c>
      <c r="AP114" s="31" t="s">
        <v>7</v>
      </c>
      <c r="AQ114" s="27" t="s">
        <v>8</v>
      </c>
      <c r="AR114" s="27" t="s">
        <v>7</v>
      </c>
      <c r="AS114" s="31"/>
      <c r="AT114" s="27" t="s">
        <v>7</v>
      </c>
      <c r="AU114" s="27" t="s">
        <v>8</v>
      </c>
      <c r="AV114" s="27" t="s">
        <v>7</v>
      </c>
    </row>
    <row r="115" spans="1:48" x14ac:dyDescent="0.25">
      <c r="A115" s="30">
        <v>1.7715610000000011</v>
      </c>
      <c r="C115" s="1" t="str">
        <f>ADDRESS(C121+1,D121,1,1)</f>
        <v>$AV$120</v>
      </c>
      <c r="E115" s="1" t="s">
        <v>8</v>
      </c>
      <c r="F115" s="27" t="s">
        <v>7</v>
      </c>
      <c r="G115" s="27" t="s">
        <v>8</v>
      </c>
      <c r="J115" s="27" t="s">
        <v>7</v>
      </c>
      <c r="K115" s="27" t="s">
        <v>8</v>
      </c>
      <c r="S115" s="27" t="s">
        <v>8</v>
      </c>
      <c r="V115" s="27" t="s">
        <v>7</v>
      </c>
      <c r="Z115" s="31"/>
      <c r="AF115" s="27" t="s">
        <v>7</v>
      </c>
      <c r="AH115" s="27" t="s">
        <v>7</v>
      </c>
      <c r="AI115" s="27" t="s">
        <v>8</v>
      </c>
      <c r="AJ115" s="27" t="s">
        <v>7</v>
      </c>
      <c r="AL115" s="27" t="s">
        <v>7</v>
      </c>
      <c r="AM115" s="27" t="s">
        <v>8</v>
      </c>
      <c r="AN115" s="27" t="s">
        <v>7</v>
      </c>
      <c r="AO115" s="27" t="s">
        <v>8</v>
      </c>
      <c r="AP115" s="27" t="s">
        <v>7</v>
      </c>
      <c r="AQ115" s="27" t="s">
        <v>8</v>
      </c>
      <c r="AR115" s="31"/>
      <c r="AT115" s="27" t="s">
        <v>7</v>
      </c>
      <c r="AU115" s="27" t="s">
        <v>8</v>
      </c>
      <c r="AV115" s="27" t="s">
        <v>7</v>
      </c>
    </row>
    <row r="116" spans="1:48" x14ac:dyDescent="0.25">
      <c r="A116" s="30">
        <v>1.6105100000000008</v>
      </c>
      <c r="C116" s="1">
        <f>C117-1</f>
        <v>118</v>
      </c>
      <c r="E116" s="1" t="s">
        <v>8</v>
      </c>
      <c r="F116" s="27" t="s">
        <v>7</v>
      </c>
      <c r="G116" s="27" t="s">
        <v>8</v>
      </c>
      <c r="J116" s="27" t="s">
        <v>7</v>
      </c>
      <c r="K116" s="27" t="s">
        <v>8</v>
      </c>
      <c r="L116" s="27" t="s">
        <v>7</v>
      </c>
      <c r="S116" s="27" t="s">
        <v>8</v>
      </c>
      <c r="Y116" s="31"/>
      <c r="AH116" s="27" t="s">
        <v>7</v>
      </c>
      <c r="AI116" s="27" t="s">
        <v>8</v>
      </c>
      <c r="AL116" s="27" t="s">
        <v>7</v>
      </c>
      <c r="AN116" s="27" t="s">
        <v>7</v>
      </c>
      <c r="AO116" s="27" t="s">
        <v>8</v>
      </c>
      <c r="AP116" s="18" t="s">
        <v>7</v>
      </c>
      <c r="AQ116" s="31" t="s">
        <v>8</v>
      </c>
      <c r="AT116" s="27" t="s">
        <v>7</v>
      </c>
      <c r="AU116" s="27" t="s">
        <v>8</v>
      </c>
      <c r="AV116" s="27" t="s">
        <v>7</v>
      </c>
    </row>
    <row r="117" spans="1:48" x14ac:dyDescent="0.25">
      <c r="A117" s="30">
        <v>1.4641000000000006</v>
      </c>
      <c r="C117" s="1">
        <f>C121</f>
        <v>119</v>
      </c>
      <c r="D117" s="1">
        <f>D121</f>
        <v>48</v>
      </c>
      <c r="E117" s="1" t="s">
        <v>8</v>
      </c>
      <c r="F117" s="27" t="s">
        <v>7</v>
      </c>
      <c r="G117" s="27" t="s">
        <v>8</v>
      </c>
      <c r="J117" s="27" t="s">
        <v>7</v>
      </c>
      <c r="K117" s="27" t="s">
        <v>8</v>
      </c>
      <c r="L117" s="27" t="s">
        <v>7</v>
      </c>
      <c r="S117" s="27" t="s">
        <v>8</v>
      </c>
      <c r="X117" s="31"/>
      <c r="AH117" s="27" t="s">
        <v>7</v>
      </c>
      <c r="AN117" s="32" t="s">
        <v>7</v>
      </c>
      <c r="AP117" s="32" t="s">
        <v>7</v>
      </c>
      <c r="AT117" s="27" t="s">
        <v>7</v>
      </c>
      <c r="AU117" s="27" t="s">
        <v>8</v>
      </c>
      <c r="AV117" s="27" t="s">
        <v>7</v>
      </c>
    </row>
    <row r="118" spans="1:48" x14ac:dyDescent="0.25">
      <c r="A118" s="30">
        <v>1.3310000000000004</v>
      </c>
      <c r="C118" s="1">
        <f>C117+1</f>
        <v>120</v>
      </c>
      <c r="D118" s="1">
        <f>D117+1</f>
        <v>49</v>
      </c>
      <c r="E118" s="1" t="s">
        <v>8</v>
      </c>
      <c r="F118" s="27" t="s">
        <v>7</v>
      </c>
      <c r="J118" s="27" t="s">
        <v>7</v>
      </c>
      <c r="K118" s="27" t="s">
        <v>8</v>
      </c>
      <c r="L118" s="27" t="s">
        <v>7</v>
      </c>
      <c r="S118" s="27" t="s">
        <v>8</v>
      </c>
      <c r="W118" s="31"/>
      <c r="AT118" s="27" t="s">
        <v>7</v>
      </c>
      <c r="AV118" s="27" t="s">
        <v>7</v>
      </c>
    </row>
    <row r="119" spans="1:48" x14ac:dyDescent="0.25">
      <c r="A119" s="30">
        <v>1.2100000000000002</v>
      </c>
      <c r="E119" s="1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  <c r="S119" s="34" t="s">
        <v>8</v>
      </c>
      <c r="V119" s="31"/>
      <c r="AV119" s="27" t="s">
        <v>7</v>
      </c>
    </row>
    <row r="120" spans="1:48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L120" s="27" t="s">
        <v>7</v>
      </c>
      <c r="M120" s="27" t="s">
        <v>8</v>
      </c>
      <c r="N120" s="27" t="s">
        <v>7</v>
      </c>
      <c r="O120" s="32" t="s">
        <v>8</v>
      </c>
      <c r="Q120" s="32" t="s">
        <v>8</v>
      </c>
      <c r="S120" s="27" t="s">
        <v>8</v>
      </c>
      <c r="U120" s="31"/>
    </row>
    <row r="121" spans="1:48" x14ac:dyDescent="0.25">
      <c r="A121" s="30">
        <v>1</v>
      </c>
      <c r="C121" s="18">
        <v>119</v>
      </c>
      <c r="D121" s="19">
        <v>48</v>
      </c>
      <c r="E121" s="18" t="s">
        <v>8</v>
      </c>
      <c r="L121" s="27" t="s">
        <v>7</v>
      </c>
      <c r="M121" s="27" t="s">
        <v>8</v>
      </c>
      <c r="N121" s="27" t="s">
        <v>7</v>
      </c>
      <c r="O121" s="27" t="s">
        <v>8</v>
      </c>
      <c r="P121" s="27" t="s">
        <v>7</v>
      </c>
      <c r="Q121" s="27" t="s">
        <v>8</v>
      </c>
      <c r="R121" s="27" t="s">
        <v>7</v>
      </c>
      <c r="S121" s="27" t="s">
        <v>8</v>
      </c>
      <c r="T121" s="31"/>
    </row>
    <row r="122" spans="1:48" x14ac:dyDescent="0.25">
      <c r="A122" s="30">
        <v>0.90909090909090895</v>
      </c>
      <c r="C122" s="1" t="str">
        <f>INDEX(1:1048576,C117,D117)</f>
        <v>O</v>
      </c>
      <c r="L122" s="27" t="s">
        <v>7</v>
      </c>
      <c r="M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R122" s="27" t="s">
        <v>7</v>
      </c>
      <c r="S122" s="31" t="s">
        <v>8</v>
      </c>
    </row>
    <row r="123" spans="1:48" x14ac:dyDescent="0.25">
      <c r="A123" s="30">
        <v>0.82644628099173523</v>
      </c>
      <c r="C123" s="1" t="str">
        <f>"R"&amp;C121</f>
        <v>R119</v>
      </c>
      <c r="D123" s="1" t="str">
        <f>"C"&amp;D121</f>
        <v>C48</v>
      </c>
      <c r="L123" s="27" t="s">
        <v>7</v>
      </c>
      <c r="M123" s="27" t="s">
        <v>8</v>
      </c>
      <c r="N123" s="27" t="s">
        <v>7</v>
      </c>
      <c r="O123" s="27" t="s">
        <v>8</v>
      </c>
      <c r="P123" s="27" t="s">
        <v>7</v>
      </c>
      <c r="Q123" s="27" t="s">
        <v>8</v>
      </c>
      <c r="R123" s="31" t="s">
        <v>7</v>
      </c>
    </row>
    <row r="124" spans="1:48" x14ac:dyDescent="0.25">
      <c r="A124" s="30">
        <v>0.75131480090157732</v>
      </c>
      <c r="C124" s="1">
        <f>SUM(C130:D130)</f>
        <v>0</v>
      </c>
      <c r="D124" s="1">
        <f>IF(C124=0,0,1)</f>
        <v>0</v>
      </c>
      <c r="L124" s="27" t="s">
        <v>7</v>
      </c>
      <c r="N124" s="27" t="s">
        <v>7</v>
      </c>
      <c r="O124" s="27" t="s">
        <v>8</v>
      </c>
      <c r="P124" s="27" t="s">
        <v>7</v>
      </c>
      <c r="Q124" s="31"/>
    </row>
    <row r="125" spans="1:48" x14ac:dyDescent="0.25">
      <c r="A125" s="30">
        <v>0.68301345536507019</v>
      </c>
      <c r="N125" s="33" t="s">
        <v>7</v>
      </c>
      <c r="O125" s="27" t="s">
        <v>8</v>
      </c>
      <c r="P125" s="31"/>
    </row>
    <row r="126" spans="1:48" x14ac:dyDescent="0.25">
      <c r="A126" s="30">
        <v>0.6209213230591546</v>
      </c>
      <c r="C126" s="1" t="s">
        <v>10</v>
      </c>
      <c r="N126" s="27" t="s">
        <v>7</v>
      </c>
      <c r="O126" s="31" t="s">
        <v>8</v>
      </c>
    </row>
    <row r="127" spans="1:48" x14ac:dyDescent="0.25">
      <c r="A127" s="30">
        <v>0.56447393005377677</v>
      </c>
      <c r="C127" s="30">
        <v>1.2100000000000002</v>
      </c>
      <c r="D127"/>
      <c r="N127" s="31" t="s">
        <v>7</v>
      </c>
    </row>
    <row r="128" spans="1:48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61" operator="equal">
      <formula>$U$1</formula>
    </cfRule>
    <cfRule type="cellIs" dxfId="30" priority="962" operator="equal">
      <formula>$S$1</formula>
    </cfRule>
  </conditionalFormatting>
  <conditionalFormatting sqref="D136">
    <cfRule type="cellIs" dxfId="29" priority="959" operator="equal">
      <formula>$S$1</formula>
    </cfRule>
    <cfRule type="cellIs" dxfId="28" priority="960" operator="equal">
      <formula>$U$1</formula>
    </cfRule>
  </conditionalFormatting>
  <conditionalFormatting sqref="C102">
    <cfRule type="cellIs" dxfId="27" priority="957" operator="equal">
      <formula>$U$1</formula>
    </cfRule>
    <cfRule type="cellIs" dxfId="26" priority="958" operator="equal">
      <formula>$S$1</formula>
    </cfRule>
  </conditionalFormatting>
  <conditionalFormatting sqref="D102">
    <cfRule type="cellIs" dxfId="25" priority="955" operator="equal">
      <formula>$S$1</formula>
    </cfRule>
    <cfRule type="cellIs" dxfId="24" priority="956" operator="equal">
      <formula>$U$1</formula>
    </cfRule>
  </conditionalFormatting>
  <conditionalFormatting sqref="C77">
    <cfRule type="cellIs" dxfId="23" priority="953" operator="equal">
      <formula>$U$1</formula>
    </cfRule>
    <cfRule type="cellIs" dxfId="22" priority="954" operator="equal">
      <formula>$S$1</formula>
    </cfRule>
  </conditionalFormatting>
  <conditionalFormatting sqref="D77">
    <cfRule type="cellIs" dxfId="21" priority="951" operator="equal">
      <formula>$S$1</formula>
    </cfRule>
    <cfRule type="cellIs" dxfId="20" priority="952" operator="equal">
      <formula>$U$1</formula>
    </cfRule>
  </conditionalFormatting>
  <conditionalFormatting sqref="C52">
    <cfRule type="cellIs" dxfId="19" priority="949" operator="equal">
      <formula>$U$1</formula>
    </cfRule>
    <cfRule type="cellIs" dxfId="18" priority="950" operator="equal">
      <formula>$S$1</formula>
    </cfRule>
  </conditionalFormatting>
  <conditionalFormatting sqref="D52">
    <cfRule type="cellIs" dxfId="17" priority="947" operator="equal">
      <formula>$S$1</formula>
    </cfRule>
    <cfRule type="cellIs" dxfId="16" priority="948" operator="equal">
      <formula>$U$1</formula>
    </cfRule>
  </conditionalFormatting>
  <conditionalFormatting sqref="C26">
    <cfRule type="cellIs" dxfId="15" priority="945" operator="equal">
      <formula>$U$1</formula>
    </cfRule>
    <cfRule type="cellIs" dxfId="14" priority="946" operator="equal">
      <formula>$S$1</formula>
    </cfRule>
  </conditionalFormatting>
  <conditionalFormatting sqref="D26">
    <cfRule type="cellIs" dxfId="13" priority="943" operator="equal">
      <formula>$S$1</formula>
    </cfRule>
    <cfRule type="cellIs" dxfId="12" priority="94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1.4071004226562505</v>
      </c>
      <c r="F3" s="30">
        <v>1.477455443789063</v>
      </c>
      <c r="G3" s="30">
        <v>3.5556726879443583</v>
      </c>
      <c r="H3" s="25">
        <f>IF(G3="","",(3*(G3-F3))+E3)</f>
        <v>7.6417521551221368</v>
      </c>
      <c r="I3" s="7"/>
      <c r="J3" s="7">
        <f>(E3+G3)/2</f>
        <v>2.4813865553003045</v>
      </c>
      <c r="K3" s="7">
        <f>H3/2</f>
        <v>3.8208760775610684</v>
      </c>
      <c r="M3" s="26">
        <f>IF(OR(J3="",H3=""),"",H3/J3)</f>
        <v>3.0796298701623739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2022-01-28T01:21:51Z</dcterms:modified>
</cp:coreProperties>
</file>