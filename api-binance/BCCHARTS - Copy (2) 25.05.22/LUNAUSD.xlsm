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F41B256-A521-4697-B537-737F99D731C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5"/>
  <c r="C122" i="4"/>
  <c r="C133" i="4" s="1"/>
  <c r="C136" i="4" s="1"/>
  <c r="C118" i="4"/>
  <c r="D136" i="5"/>
  <c r="C136" i="5"/>
  <c r="C116" i="3"/>
  <c r="C122" i="3"/>
  <c r="C133" i="3" s="1"/>
  <c r="D136" i="3" s="1"/>
  <c r="R765" i="1"/>
  <c r="C138" i="5" l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<sst xmlns="http://schemas.openxmlformats.org/spreadsheetml/2006/main" count="5346" uniqueCount="34">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</sst>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57.14</c:v>
                </c:pt>
                <c:pt idx="1">
                  <c:v>58.75</c:v>
                </c:pt>
                <c:pt idx="2">
                  <c:v>62.87</c:v>
                </c:pt>
                <c:pt idx="3">
                  <c:v>66</c:v>
                </c:pt>
                <c:pt idx="4">
                  <c:v>69.75</c:v>
                </c:pt>
                <c:pt idx="5">
                  <c:v>62.87</c:v>
                </c:pt>
                <c:pt idx="6">
                  <c:v>64.73</c:v>
                </c:pt>
                <c:pt idx="7">
                  <c:v>77.33</c:v>
                </c:pt>
                <c:pt idx="8">
                  <c:v>81.099999999999994</c:v>
                </c:pt>
                <c:pt idx="9">
                  <c:v>80.73</c:v>
                </c:pt>
                <c:pt idx="10">
                  <c:v>77.09</c:v>
                </c:pt>
                <c:pt idx="11">
                  <c:v>87.1</c:v>
                </c:pt>
                <c:pt idx="12">
                  <c:v>87.19</c:v>
                </c:pt>
                <c:pt idx="13">
                  <c:v>81.489999999999995</c:v>
                </c:pt>
                <c:pt idx="14">
                  <c:v>78.34</c:v>
                </c:pt>
                <c:pt idx="15">
                  <c:v>81.88</c:v>
                </c:pt>
                <c:pt idx="16">
                  <c:v>73.48</c:v>
                </c:pt>
                <c:pt idx="17">
                  <c:v>69.44</c:v>
                </c:pt>
                <c:pt idx="18">
                  <c:v>74.47</c:v>
                </c:pt>
                <c:pt idx="19">
                  <c:v>66.959999999999994</c:v>
                </c:pt>
                <c:pt idx="20">
                  <c:v>68.8</c:v>
                </c:pt>
                <c:pt idx="21">
                  <c:v>78.41</c:v>
                </c:pt>
                <c:pt idx="22">
                  <c:v>78.47</c:v>
                </c:pt>
                <c:pt idx="23">
                  <c:v>84.53</c:v>
                </c:pt>
                <c:pt idx="24">
                  <c:v>88.85</c:v>
                </c:pt>
                <c:pt idx="25">
                  <c:v>89.45</c:v>
                </c:pt>
                <c:pt idx="26">
                  <c:v>91.69</c:v>
                </c:pt>
                <c:pt idx="27">
                  <c:v>85.46</c:v>
                </c:pt>
                <c:pt idx="28">
                  <c:v>84.73</c:v>
                </c:pt>
                <c:pt idx="29">
                  <c:v>84.12</c:v>
                </c:pt>
                <c:pt idx="30">
                  <c:v>85.16</c:v>
                </c:pt>
                <c:pt idx="31">
                  <c:v>90.9</c:v>
                </c:pt>
                <c:pt idx="32">
                  <c:v>99.58</c:v>
                </c:pt>
                <c:pt idx="33">
                  <c:v>98.31</c:v>
                </c:pt>
                <c:pt idx="34">
                  <c:v>95.78</c:v>
                </c:pt>
                <c:pt idx="35">
                  <c:v>94.39</c:v>
                </c:pt>
                <c:pt idx="36">
                  <c:v>85.38</c:v>
                </c:pt>
                <c:pt idx="37">
                  <c:v>87.29</c:v>
                </c:pt>
                <c:pt idx="38">
                  <c:v>82.06</c:v>
                </c:pt>
                <c:pt idx="39">
                  <c:v>78.180000000000007</c:v>
                </c:pt>
                <c:pt idx="40">
                  <c:v>74.23</c:v>
                </c:pt>
                <c:pt idx="41">
                  <c:v>65.599999999999994</c:v>
                </c:pt>
                <c:pt idx="42">
                  <c:v>64.239999999999995</c:v>
                </c:pt>
                <c:pt idx="43">
                  <c:v>61.66</c:v>
                </c:pt>
                <c:pt idx="44">
                  <c:v>60.19</c:v>
                </c:pt>
                <c:pt idx="45">
                  <c:v>52.96</c:v>
                </c:pt>
                <c:pt idx="46">
                  <c:v>61.98</c:v>
                </c:pt>
                <c:pt idx="47">
                  <c:v>62.11</c:v>
                </c:pt>
                <c:pt idx="48">
                  <c:v>60.86</c:v>
                </c:pt>
                <c:pt idx="49">
                  <c:v>66.44</c:v>
                </c:pt>
                <c:pt idx="50">
                  <c:v>75.099999999999994</c:v>
                </c:pt>
                <c:pt idx="51">
                  <c:v>68.72</c:v>
                </c:pt>
                <c:pt idx="52">
                  <c:v>66.95</c:v>
                </c:pt>
                <c:pt idx="53">
                  <c:v>68.09</c:v>
                </c:pt>
                <c:pt idx="54">
                  <c:v>75.150000000000006</c:v>
                </c:pt>
                <c:pt idx="55">
                  <c:v>63.45</c:v>
                </c:pt>
                <c:pt idx="56">
                  <c:v>66.28</c:v>
                </c:pt>
                <c:pt idx="57">
                  <c:v>63.97</c:v>
                </c:pt>
                <c:pt idx="58">
                  <c:v>59.59</c:v>
                </c:pt>
                <c:pt idx="59">
                  <c:v>51.62</c:v>
                </c:pt>
                <c:pt idx="60">
                  <c:v>50.11</c:v>
                </c:pt>
                <c:pt idx="61">
                  <c:v>43.87</c:v>
                </c:pt>
                <c:pt idx="62">
                  <c:v>41.13</c:v>
                </c:pt>
                <c:pt idx="63">
                  <c:v>43.56</c:v>
                </c:pt>
                <c:pt idx="64">
                  <c:v>41.14</c:v>
                </c:pt>
                <c:pt idx="65">
                  <c:v>42.71</c:v>
                </c:pt>
                <c:pt idx="66">
                  <c:v>41.09</c:v>
                </c:pt>
                <c:pt idx="67">
                  <c:v>43.51</c:v>
                </c:pt>
                <c:pt idx="68">
                  <c:v>45.23</c:v>
                </c:pt>
                <c:pt idx="69">
                  <c:v>42.35</c:v>
                </c:pt>
                <c:pt idx="70">
                  <c:v>40.28</c:v>
                </c:pt>
                <c:pt idx="71">
                  <c:v>43.2</c:v>
                </c:pt>
                <c:pt idx="72">
                  <c:v>43.24</c:v>
                </c:pt>
                <c:pt idx="73">
                  <c:v>48.13</c:v>
                </c:pt>
                <c:pt idx="74">
                  <c:v>51.07</c:v>
                </c:pt>
                <c:pt idx="75">
                  <c:v>52.07</c:v>
                </c:pt>
                <c:pt idx="76">
                  <c:v>49.55</c:v>
                </c:pt>
                <c:pt idx="77">
                  <c:v>50.45</c:v>
                </c:pt>
                <c:pt idx="78">
                  <c:v>48.73</c:v>
                </c:pt>
                <c:pt idx="79">
                  <c:v>50.24</c:v>
                </c:pt>
                <c:pt idx="80">
                  <c:v>54.14</c:v>
                </c:pt>
                <c:pt idx="81">
                  <c:v>50.53</c:v>
                </c:pt>
                <c:pt idx="82">
                  <c:v>51.17</c:v>
                </c:pt>
                <c:pt idx="83">
                  <c:v>49.91</c:v>
                </c:pt>
                <c:pt idx="84">
                  <c:v>51.9</c:v>
                </c:pt>
                <c:pt idx="85">
                  <c:v>47.99</c:v>
                </c:pt>
                <c:pt idx="86">
                  <c:v>44.75</c:v>
                </c:pt>
                <c:pt idx="87">
                  <c:v>44.04</c:v>
                </c:pt>
                <c:pt idx="88">
                  <c:v>42.89</c:v>
                </c:pt>
                <c:pt idx="89">
                  <c:v>43.31</c:v>
                </c:pt>
                <c:pt idx="90">
                  <c:v>45.69</c:v>
                </c:pt>
                <c:pt idx="91">
                  <c:v>42.94</c:v>
                </c:pt>
                <c:pt idx="92">
                  <c:v>39.909999999999997</c:v>
                </c:pt>
                <c:pt idx="93">
                  <c:v>43.87</c:v>
                </c:pt>
                <c:pt idx="94">
                  <c:v>42.86</c:v>
                </c:pt>
                <c:pt idx="95">
                  <c:v>41.39</c:v>
                </c:pt>
                <c:pt idx="96">
                  <c:v>43.12</c:v>
                </c:pt>
                <c:pt idx="97">
                  <c:v>43.69</c:v>
                </c:pt>
                <c:pt idx="98">
                  <c:v>40.950000000000003</c:v>
                </c:pt>
                <c:pt idx="99">
                  <c:v>42.63</c:v>
                </c:pt>
                <c:pt idx="100">
                  <c:v>37.71</c:v>
                </c:pt>
                <c:pt idx="101">
                  <c:v>35.83</c:v>
                </c:pt>
                <c:pt idx="102">
                  <c:v>36.18</c:v>
                </c:pt>
                <c:pt idx="103">
                  <c:v>36.630000000000003</c:v>
                </c:pt>
                <c:pt idx="104">
                  <c:v>36.979999999999997</c:v>
                </c:pt>
                <c:pt idx="105">
                  <c:v>37.15</c:v>
                </c:pt>
                <c:pt idx="106">
                  <c:v>36.6</c:v>
                </c:pt>
                <c:pt idx="107">
                  <c:v>37.590000000000003</c:v>
                </c:pt>
                <c:pt idx="108">
                  <c:v>39.15</c:v>
                </c:pt>
                <c:pt idx="109">
                  <c:v>39.229999999999997</c:v>
                </c:pt>
                <c:pt idx="110">
                  <c:v>42.5</c:v>
                </c:pt>
                <c:pt idx="111">
                  <c:v>43.3</c:v>
                </c:pt>
                <c:pt idx="112">
                  <c:v>46.58</c:v>
                </c:pt>
                <c:pt idx="113">
                  <c:v>42.02</c:v>
                </c:pt>
                <c:pt idx="114">
                  <c:v>44.66</c:v>
                </c:pt>
                <c:pt idx="115">
                  <c:v>47.27</c:v>
                </c:pt>
                <c:pt idx="116">
                  <c:v>42.88</c:v>
                </c:pt>
                <c:pt idx="117">
                  <c:v>41.49</c:v>
                </c:pt>
                <c:pt idx="118">
                  <c:v>37.76</c:v>
                </c:pt>
                <c:pt idx="119">
                  <c:v>38.83</c:v>
                </c:pt>
                <c:pt idx="120">
                  <c:v>34.15</c:v>
                </c:pt>
                <c:pt idx="121">
                  <c:v>33.14</c:v>
                </c:pt>
                <c:pt idx="122">
                  <c:v>36.799999999999997</c:v>
                </c:pt>
                <c:pt idx="123">
                  <c:v>34.69</c:v>
                </c:pt>
                <c:pt idx="124">
                  <c:v>37.869999999999997</c:v>
                </c:pt>
                <c:pt idx="125">
                  <c:v>40.159999999999997</c:v>
                </c:pt>
                <c:pt idx="126">
                  <c:v>36.159999999999997</c:v>
                </c:pt>
                <c:pt idx="127">
                  <c:v>33.17</c:v>
                </c:pt>
                <c:pt idx="128">
                  <c:v>25.16</c:v>
                </c:pt>
                <c:pt idx="129">
                  <c:v>30.23</c:v>
                </c:pt>
                <c:pt idx="130">
                  <c:v>32.92</c:v>
                </c:pt>
                <c:pt idx="131">
                  <c:v>34.78</c:v>
                </c:pt>
                <c:pt idx="132">
                  <c:v>34.46</c:v>
                </c:pt>
                <c:pt idx="133">
                  <c:v>37.450000000000003</c:v>
                </c:pt>
                <c:pt idx="134">
                  <c:v>36.71</c:v>
                </c:pt>
                <c:pt idx="135">
                  <c:v>35.69</c:v>
                </c:pt>
                <c:pt idx="136">
                  <c:v>37.18</c:v>
                </c:pt>
                <c:pt idx="137">
                  <c:v>39.26</c:v>
                </c:pt>
                <c:pt idx="138">
                  <c:v>39.19</c:v>
                </c:pt>
                <c:pt idx="139">
                  <c:v>43.35</c:v>
                </c:pt>
                <c:pt idx="140">
                  <c:v>30.6</c:v>
                </c:pt>
                <c:pt idx="141">
                  <c:v>29.46</c:v>
                </c:pt>
                <c:pt idx="142">
                  <c:v>27.92</c:v>
                </c:pt>
                <c:pt idx="143">
                  <c:v>32.33</c:v>
                </c:pt>
                <c:pt idx="144">
                  <c:v>34.450000000000003</c:v>
                </c:pt>
                <c:pt idx="145">
                  <c:v>31.39</c:v>
                </c:pt>
                <c:pt idx="146">
                  <c:v>31.72</c:v>
                </c:pt>
                <c:pt idx="147">
                  <c:v>32.79</c:v>
                </c:pt>
                <c:pt idx="148">
                  <c:v>31.75</c:v>
                </c:pt>
                <c:pt idx="149">
                  <c:v>31.57</c:v>
                </c:pt>
                <c:pt idx="150">
                  <c:v>33.44</c:v>
                </c:pt>
                <c:pt idx="151">
                  <c:v>33.26</c:v>
                </c:pt>
                <c:pt idx="152">
                  <c:v>35.049999999999997</c:v>
                </c:pt>
                <c:pt idx="153">
                  <c:v>32.64</c:v>
                </c:pt>
                <c:pt idx="154">
                  <c:v>26.97</c:v>
                </c:pt>
                <c:pt idx="155">
                  <c:v>30.041</c:v>
                </c:pt>
                <c:pt idx="156">
                  <c:v>29.606999999999999</c:v>
                </c:pt>
                <c:pt idx="157">
                  <c:v>29.92</c:v>
                </c:pt>
                <c:pt idx="158">
                  <c:v>27.952000000000002</c:v>
                </c:pt>
                <c:pt idx="159">
                  <c:v>27.529</c:v>
                </c:pt>
                <c:pt idx="160">
                  <c:v>30.658000000000001</c:v>
                </c:pt>
                <c:pt idx="161">
                  <c:v>29.43</c:v>
                </c:pt>
                <c:pt idx="162">
                  <c:v>30.715</c:v>
                </c:pt>
                <c:pt idx="163">
                  <c:v>25.309000000000001</c:v>
                </c:pt>
                <c:pt idx="164">
                  <c:v>21.904</c:v>
                </c:pt>
                <c:pt idx="165">
                  <c:v>19.262</c:v>
                </c:pt>
                <c:pt idx="166">
                  <c:v>17.388000000000002</c:v>
                </c:pt>
                <c:pt idx="167">
                  <c:v>17.786999999999999</c:v>
                </c:pt>
                <c:pt idx="168">
                  <c:v>16.599</c:v>
                </c:pt>
                <c:pt idx="169">
                  <c:v>16.956</c:v>
                </c:pt>
                <c:pt idx="170">
                  <c:v>16.7</c:v>
                </c:pt>
                <c:pt idx="171">
                  <c:v>13.928000000000001</c:v>
                </c:pt>
                <c:pt idx="172">
                  <c:v>13.414999999999999</c:v>
                </c:pt>
                <c:pt idx="173">
                  <c:v>14.616</c:v>
                </c:pt>
                <c:pt idx="174">
                  <c:v>14.519</c:v>
                </c:pt>
                <c:pt idx="175">
                  <c:v>14.558</c:v>
                </c:pt>
                <c:pt idx="176">
                  <c:v>14.519</c:v>
                </c:pt>
                <c:pt idx="177">
                  <c:v>14.771000000000001</c:v>
                </c:pt>
                <c:pt idx="178">
                  <c:v>12.324999999999999</c:v>
                </c:pt>
                <c:pt idx="179">
                  <c:v>11.965999999999999</c:v>
                </c:pt>
                <c:pt idx="180">
                  <c:v>10.734999999999999</c:v>
                </c:pt>
                <c:pt idx="181">
                  <c:v>10.85</c:v>
                </c:pt>
                <c:pt idx="182">
                  <c:v>11.047000000000001</c:v>
                </c:pt>
                <c:pt idx="183">
                  <c:v>10.981</c:v>
                </c:pt>
                <c:pt idx="184">
                  <c:v>9.516</c:v>
                </c:pt>
                <c:pt idx="185">
                  <c:v>8.5020000000000007</c:v>
                </c:pt>
                <c:pt idx="186">
                  <c:v>8.2509999999999994</c:v>
                </c:pt>
                <c:pt idx="187">
                  <c:v>8.4760000000000009</c:v>
                </c:pt>
                <c:pt idx="188">
                  <c:v>7.8860000000000001</c:v>
                </c:pt>
                <c:pt idx="189">
                  <c:v>7.3339999999999996</c:v>
                </c:pt>
                <c:pt idx="190">
                  <c:v>6.6020000000000003</c:v>
                </c:pt>
                <c:pt idx="191">
                  <c:v>5.867</c:v>
                </c:pt>
                <c:pt idx="192">
                  <c:v>5.97</c:v>
                </c:pt>
                <c:pt idx="193">
                  <c:v>6.4829999999999997</c:v>
                </c:pt>
                <c:pt idx="194">
                  <c:v>6.4950000000000001</c:v>
                </c:pt>
                <c:pt idx="195">
                  <c:v>6.56</c:v>
                </c:pt>
                <c:pt idx="196">
                  <c:v>6.665</c:v>
                </c:pt>
                <c:pt idx="197">
                  <c:v>6.9329999999999998</c:v>
                </c:pt>
                <c:pt idx="198">
                  <c:v>7.1189999999999998</c:v>
                </c:pt>
                <c:pt idx="199">
                  <c:v>7.8639999999999999</c:v>
                </c:pt>
                <c:pt idx="200">
                  <c:v>8.4440000000000008</c:v>
                </c:pt>
                <c:pt idx="201">
                  <c:v>7.8929999999999998</c:v>
                </c:pt>
                <c:pt idx="202">
                  <c:v>8.1029999999999998</c:v>
                </c:pt>
                <c:pt idx="203">
                  <c:v>6.7080000000000002</c:v>
                </c:pt>
                <c:pt idx="204">
                  <c:v>7.1040000000000001</c:v>
                </c:pt>
                <c:pt idx="205">
                  <c:v>6.5289999999999999</c:v>
                </c:pt>
                <c:pt idx="206">
                  <c:v>6.0149999999999997</c:v>
                </c:pt>
                <c:pt idx="207">
                  <c:v>5.9589999999999996</c:v>
                </c:pt>
                <c:pt idx="208">
                  <c:v>5.8070000000000004</c:v>
                </c:pt>
                <c:pt idx="209">
                  <c:v>5.7110000000000003</c:v>
                </c:pt>
                <c:pt idx="210">
                  <c:v>5.8819999999999997</c:v>
                </c:pt>
                <c:pt idx="211">
                  <c:v>6.5650000000000004</c:v>
                </c:pt>
                <c:pt idx="212">
                  <c:v>6.008</c:v>
                </c:pt>
                <c:pt idx="213">
                  <c:v>5.5369999999999999</c:v>
                </c:pt>
                <c:pt idx="214">
                  <c:v>5.4169999999999998</c:v>
                </c:pt>
                <c:pt idx="215">
                  <c:v>5.2009999999999996</c:v>
                </c:pt>
                <c:pt idx="216">
                  <c:v>5.05</c:v>
                </c:pt>
                <c:pt idx="217">
                  <c:v>5.4770000000000003</c:v>
                </c:pt>
                <c:pt idx="218">
                  <c:v>5.19</c:v>
                </c:pt>
                <c:pt idx="219">
                  <c:v>4.7279999999999998</c:v>
                </c:pt>
                <c:pt idx="220">
                  <c:v>4.8380000000000001</c:v>
                </c:pt>
                <c:pt idx="221">
                  <c:v>5.859</c:v>
                </c:pt>
                <c:pt idx="222">
                  <c:v>5.726</c:v>
                </c:pt>
                <c:pt idx="223">
                  <c:v>5.9539999999999997</c:v>
                </c:pt>
                <c:pt idx="224">
                  <c:v>6.1580000000000004</c:v>
                </c:pt>
                <c:pt idx="225">
                  <c:v>6.1749999999999998</c:v>
                </c:pt>
                <c:pt idx="226">
                  <c:v>6.5810000000000004</c:v>
                </c:pt>
                <c:pt idx="227">
                  <c:v>6.1980000000000004</c:v>
                </c:pt>
                <c:pt idx="228">
                  <c:v>6.05</c:v>
                </c:pt>
                <c:pt idx="229">
                  <c:v>5.5</c:v>
                </c:pt>
                <c:pt idx="230">
                  <c:v>5.5620000000000003</c:v>
                </c:pt>
                <c:pt idx="231">
                  <c:v>6.141</c:v>
                </c:pt>
                <c:pt idx="232">
                  <c:v>6.0209999999999999</c:v>
                </c:pt>
                <c:pt idx="233">
                  <c:v>5.5990000000000002</c:v>
                </c:pt>
                <c:pt idx="234">
                  <c:v>5.59</c:v>
                </c:pt>
                <c:pt idx="235">
                  <c:v>6.2519999999999998</c:v>
                </c:pt>
                <c:pt idx="236">
                  <c:v>6.04</c:v>
                </c:pt>
                <c:pt idx="237">
                  <c:v>6.3730000000000002</c:v>
                </c:pt>
                <c:pt idx="238">
                  <c:v>7.6769999999999996</c:v>
                </c:pt>
                <c:pt idx="239">
                  <c:v>6.8319999999999999</c:v>
                </c:pt>
                <c:pt idx="240">
                  <c:v>6.2939999999999996</c:v>
                </c:pt>
                <c:pt idx="241">
                  <c:v>6.5460000000000003</c:v>
                </c:pt>
                <c:pt idx="242">
                  <c:v>6.2030000000000003</c:v>
                </c:pt>
                <c:pt idx="243">
                  <c:v>5.4909999999999997</c:v>
                </c:pt>
                <c:pt idx="244">
                  <c:v>5.9020000000000001</c:v>
                </c:pt>
                <c:pt idx="245">
                  <c:v>6.7110000000000003</c:v>
                </c:pt>
                <c:pt idx="246">
                  <c:v>7.3369999999999997</c:v>
                </c:pt>
                <c:pt idx="247">
                  <c:v>6.657</c:v>
                </c:pt>
                <c:pt idx="248">
                  <c:v>6.6360000000000001</c:v>
                </c:pt>
                <c:pt idx="249">
                  <c:v>4.0860000000000003</c:v>
                </c:pt>
                <c:pt idx="250">
                  <c:v>6.5940000000000003</c:v>
                </c:pt>
                <c:pt idx="251">
                  <c:v>8.2620000000000005</c:v>
                </c:pt>
                <c:pt idx="252">
                  <c:v>10.35</c:v>
                </c:pt>
                <c:pt idx="253">
                  <c:v>9.4770000000000003</c:v>
                </c:pt>
                <c:pt idx="254">
                  <c:v>15.657999999999999</c:v>
                </c:pt>
                <c:pt idx="255">
                  <c:v>14.952999999999999</c:v>
                </c:pt>
                <c:pt idx="256">
                  <c:v>16.167999999999999</c:v>
                </c:pt>
                <c:pt idx="257">
                  <c:v>15.21</c:v>
                </c:pt>
                <c:pt idx="258">
                  <c:v>16.402999999999999</c:v>
                </c:pt>
                <c:pt idx="259">
                  <c:v>15.911</c:v>
                </c:pt>
                <c:pt idx="260">
                  <c:v>14.619</c:v>
                </c:pt>
                <c:pt idx="261">
                  <c:v>16.309999999999999</c:v>
                </c:pt>
                <c:pt idx="262">
                  <c:v>15.85</c:v>
                </c:pt>
                <c:pt idx="263">
                  <c:v>16.992000000000001</c:v>
                </c:pt>
                <c:pt idx="264">
                  <c:v>16.991</c:v>
                </c:pt>
                <c:pt idx="265">
                  <c:v>16.545000000000002</c:v>
                </c:pt>
                <c:pt idx="266">
                  <c:v>16.776</c:v>
                </c:pt>
                <c:pt idx="267">
                  <c:v>17.023</c:v>
                </c:pt>
                <c:pt idx="268">
                  <c:v>16.286000000000001</c:v>
                </c:pt>
                <c:pt idx="269">
                  <c:v>17.244</c:v>
                </c:pt>
                <c:pt idx="270">
                  <c:v>17.143999999999998</c:v>
                </c:pt>
                <c:pt idx="271">
                  <c:v>16.547999999999998</c:v>
                </c:pt>
                <c:pt idx="272">
                  <c:v>16.689</c:v>
                </c:pt>
                <c:pt idx="273">
                  <c:v>16.241</c:v>
                </c:pt>
                <c:pt idx="274">
                  <c:v>16.824999999999999</c:v>
                </c:pt>
                <c:pt idx="275">
                  <c:v>17.684999999999999</c:v>
                </c:pt>
                <c:pt idx="276">
                  <c:v>17.626000000000001</c:v>
                </c:pt>
                <c:pt idx="277">
                  <c:v>17.713000000000001</c:v>
                </c:pt>
                <c:pt idx="278">
                  <c:v>15.5905</c:v>
                </c:pt>
                <c:pt idx="279">
                  <c:v>14.1</c:v>
                </c:pt>
                <c:pt idx="280">
                  <c:v>13.627700000000001</c:v>
                </c:pt>
                <c:pt idx="281">
                  <c:v>13.243600000000001</c:v>
                </c:pt>
                <c:pt idx="282">
                  <c:v>13.426600000000001</c:v>
                </c:pt>
                <c:pt idx="283">
                  <c:v>13.8406</c:v>
                </c:pt>
                <c:pt idx="284">
                  <c:v>13.382400000000001</c:v>
                </c:pt>
                <c:pt idx="285">
                  <c:v>15.183</c:v>
                </c:pt>
                <c:pt idx="286">
                  <c:v>15.740600000000001</c:v>
                </c:pt>
                <c:pt idx="287">
                  <c:v>16.8568</c:v>
                </c:pt>
                <c:pt idx="288">
                  <c:v>15.280799999999999</c:v>
                </c:pt>
                <c:pt idx="289">
                  <c:v>15.630599999999999</c:v>
                </c:pt>
                <c:pt idx="290">
                  <c:v>14.6219</c:v>
                </c:pt>
                <c:pt idx="291">
                  <c:v>15.114699999999999</c:v>
                </c:pt>
                <c:pt idx="292">
                  <c:v>15.4779</c:v>
                </c:pt>
                <c:pt idx="293">
                  <c:v>15.658300000000001</c:v>
                </c:pt>
                <c:pt idx="294">
                  <c:v>15.754799999999999</c:v>
                </c:pt>
                <c:pt idx="295">
                  <c:v>15.427300000000001</c:v>
                </c:pt>
                <c:pt idx="296">
                  <c:v>16.702400000000001</c:v>
                </c:pt>
                <c:pt idx="297">
                  <c:v>17.55</c:v>
                </c:pt>
                <c:pt idx="298">
                  <c:v>18.1678</c:v>
                </c:pt>
                <c:pt idx="299">
                  <c:v>17.996099999999998</c:v>
                </c:pt>
                <c:pt idx="300">
                  <c:v>18.465</c:v>
                </c:pt>
                <c:pt idx="301">
                  <c:v>18.420400000000001</c:v>
                </c:pt>
                <c:pt idx="302">
                  <c:v>18.6631</c:v>
                </c:pt>
                <c:pt idx="303">
                  <c:v>18.614799999999999</c:v>
                </c:pt>
                <c:pt idx="304">
                  <c:v>18.8812</c:v>
                </c:pt>
                <c:pt idx="305">
                  <c:v>18.5337</c:v>
                </c:pt>
                <c:pt idx="306">
                  <c:v>18.6553</c:v>
                </c:pt>
                <c:pt idx="307">
                  <c:v>18.374099999999999</c:v>
                </c:pt>
                <c:pt idx="308">
                  <c:v>16.368300000000001</c:v>
                </c:pt>
                <c:pt idx="309">
                  <c:v>16.5182</c:v>
                </c:pt>
                <c:pt idx="310">
                  <c:v>16.9419</c:v>
                </c:pt>
                <c:pt idx="311">
                  <c:v>19.316600000000001</c:v>
                </c:pt>
                <c:pt idx="312">
                  <c:v>21.9</c:v>
                </c:pt>
                <c:pt idx="313">
                  <c:v>20.838200000000001</c:v>
                </c:pt>
                <c:pt idx="314">
                  <c:v>19.8444</c:v>
                </c:pt>
                <c:pt idx="315">
                  <c:v>18.921099999999999</c:v>
                </c:pt>
                <c:pt idx="316">
                  <c:v>18.5092</c:v>
                </c:pt>
                <c:pt idx="317">
                  <c:v>19.8812</c:v>
                </c:pt>
                <c:pt idx="318">
                  <c:v>16.268899999999999</c:v>
                </c:pt>
                <c:pt idx="319">
                  <c:v>15.8063</c:v>
                </c:pt>
                <c:pt idx="320">
                  <c:v>14.5939</c:v>
                </c:pt>
                <c:pt idx="321">
                  <c:v>14.1396</c:v>
                </c:pt>
                <c:pt idx="322">
                  <c:v>10.8116</c:v>
                </c:pt>
                <c:pt idx="323">
                  <c:v>11.117599999999999</c:v>
                </c:pt>
                <c:pt idx="324">
                  <c:v>11.636200000000001</c:v>
                </c:pt>
                <c:pt idx="325">
                  <c:v>9.6832999999999991</c:v>
                </c:pt>
                <c:pt idx="326">
                  <c:v>8.2405000000000008</c:v>
                </c:pt>
                <c:pt idx="327">
                  <c:v>8.2421000000000006</c:v>
                </c:pt>
                <c:pt idx="328">
                  <c:v>8.4619</c:v>
                </c:pt>
                <c:pt idx="329">
                  <c:v>7.4730999999999996</c:v>
                </c:pt>
                <c:pt idx="330">
                  <c:v>7.2027000000000001</c:v>
                </c:pt>
                <c:pt idx="331">
                  <c:v>6.4726999999999997</c:v>
                </c:pt>
                <c:pt idx="332">
                  <c:v>6.7453000000000003</c:v>
                </c:pt>
                <c:pt idx="333">
                  <c:v>5.3531000000000004</c:v>
                </c:pt>
                <c:pt idx="334">
                  <c:v>5.9</c:v>
                </c:pt>
                <c:pt idx="335">
                  <c:v>5.8955000000000002</c:v>
                </c:pt>
                <c:pt idx="336">
                  <c:v>5.9804000000000004</c:v>
                </c:pt>
                <c:pt idx="337">
                  <c:v>6.6649000000000003</c:v>
                </c:pt>
                <c:pt idx="338">
                  <c:v>6.7359</c:v>
                </c:pt>
                <c:pt idx="339">
                  <c:v>7.0715000000000003</c:v>
                </c:pt>
                <c:pt idx="340">
                  <c:v>6.1207000000000003</c:v>
                </c:pt>
                <c:pt idx="341">
                  <c:v>5.9410999999999996</c:v>
                </c:pt>
                <c:pt idx="342">
                  <c:v>6.3101000000000003</c:v>
                </c:pt>
                <c:pt idx="343">
                  <c:v>6.6966000000000001</c:v>
                </c:pt>
                <c:pt idx="344">
                  <c:v>7.2723000000000004</c:v>
                </c:pt>
                <c:pt idx="345">
                  <c:v>6.5204000000000004</c:v>
                </c:pt>
                <c:pt idx="346">
                  <c:v>5.4547999999999996</c:v>
                </c:pt>
                <c:pt idx="347">
                  <c:v>5.6367000000000003</c:v>
                </c:pt>
                <c:pt idx="348">
                  <c:v>5.5986000000000002</c:v>
                </c:pt>
                <c:pt idx="349">
                  <c:v>5.7329999999999997</c:v>
                </c:pt>
                <c:pt idx="350">
                  <c:v>5.4898999999999996</c:v>
                </c:pt>
                <c:pt idx="351">
                  <c:v>6.0925000000000002</c:v>
                </c:pt>
                <c:pt idx="352">
                  <c:v>6.4663000000000004</c:v>
                </c:pt>
                <c:pt idx="353">
                  <c:v>5.7743000000000002</c:v>
                </c:pt>
                <c:pt idx="354">
                  <c:v>3.0819999999999999</c:v>
                </c:pt>
                <c:pt idx="355">
                  <c:v>2.6928000000000001</c:v>
                </c:pt>
                <c:pt idx="356">
                  <c:v>2.879</c:v>
                </c:pt>
                <c:pt idx="357">
                  <c:v>2.6665000000000001</c:v>
                </c:pt>
                <c:pt idx="358">
                  <c:v>2.1114000000000002</c:v>
                </c:pt>
                <c:pt idx="359">
                  <c:v>2.3569</c:v>
                </c:pt>
                <c:pt idx="360">
                  <c:v>1.7999000000000001</c:v>
                </c:pt>
                <c:pt idx="361">
                  <c:v>1.458</c:v>
                </c:pt>
                <c:pt idx="362">
                  <c:v>1.4347000000000001</c:v>
                </c:pt>
                <c:pt idx="363">
                  <c:v>1.4736</c:v>
                </c:pt>
                <c:pt idx="364">
                  <c:v>1.4528000000000001</c:v>
                </c:pt>
                <c:pt idx="365">
                  <c:v>1.1204000000000001</c:v>
                </c:pt>
                <c:pt idx="366">
                  <c:v>1.264</c:v>
                </c:pt>
                <c:pt idx="367">
                  <c:v>0.86970000000000003</c:v>
                </c:pt>
                <c:pt idx="368">
                  <c:v>0.90759999999999996</c:v>
                </c:pt>
                <c:pt idx="369">
                  <c:v>0.90229999999999999</c:v>
                </c:pt>
                <c:pt idx="370">
                  <c:v>0.81220000000000003</c:v>
                </c:pt>
                <c:pt idx="371">
                  <c:v>0.79330000000000001</c:v>
                </c:pt>
                <c:pt idx="372">
                  <c:v>0.90329999999999999</c:v>
                </c:pt>
                <c:pt idx="373">
                  <c:v>0.91020000000000001</c:v>
                </c:pt>
                <c:pt idx="374">
                  <c:v>0.80100000000000005</c:v>
                </c:pt>
                <c:pt idx="375">
                  <c:v>0.80740000000000001</c:v>
                </c:pt>
                <c:pt idx="376">
                  <c:v>0.76049999999999995</c:v>
                </c:pt>
                <c:pt idx="377">
                  <c:v>0.79200000000000004</c:v>
                </c:pt>
                <c:pt idx="378">
                  <c:v>0.83260000000000001</c:v>
                </c:pt>
                <c:pt idx="379">
                  <c:v>0.82130000000000003</c:v>
                </c:pt>
                <c:pt idx="380">
                  <c:v>0.74809999999999999</c:v>
                </c:pt>
                <c:pt idx="381">
                  <c:v>0.73709999999999998</c:v>
                </c:pt>
                <c:pt idx="382">
                  <c:v>0.84350000000000003</c:v>
                </c:pt>
                <c:pt idx="383">
                  <c:v>0.81369999999999998</c:v>
                </c:pt>
                <c:pt idx="384">
                  <c:v>0.84789999999999999</c:v>
                </c:pt>
                <c:pt idx="385">
                  <c:v>0.85719999999999996</c:v>
                </c:pt>
                <c:pt idx="386">
                  <c:v>0.71350000000000002</c:v>
                </c:pt>
                <c:pt idx="387">
                  <c:v>0.71430000000000005</c:v>
                </c:pt>
                <c:pt idx="388">
                  <c:v>0.66720000000000002</c:v>
                </c:pt>
                <c:pt idx="389">
                  <c:v>0.6583</c:v>
                </c:pt>
                <c:pt idx="390">
                  <c:v>0.62990000000000002</c:v>
                </c:pt>
                <c:pt idx="391">
                  <c:v>0.64800000000000002</c:v>
                </c:pt>
                <c:pt idx="392">
                  <c:v>0.65400000000000003</c:v>
                </c:pt>
                <c:pt idx="393">
                  <c:v>0.66749999999999998</c:v>
                </c:pt>
                <c:pt idx="394">
                  <c:v>0.64800000000000002</c:v>
                </c:pt>
                <c:pt idx="395">
                  <c:v>0.61950000000000005</c:v>
                </c:pt>
                <c:pt idx="396">
                  <c:v>0.55179999999999996</c:v>
                </c:pt>
                <c:pt idx="397">
                  <c:v>0.5413</c:v>
                </c:pt>
                <c:pt idx="398">
                  <c:v>0.53869999999999996</c:v>
                </c:pt>
                <c:pt idx="399">
                  <c:v>0.51859999999999995</c:v>
                </c:pt>
                <c:pt idx="400">
                  <c:v>0.45950000000000002</c:v>
                </c:pt>
                <c:pt idx="401">
                  <c:v>0.50870000000000004</c:v>
                </c:pt>
                <c:pt idx="402">
                  <c:v>0.46789999999999998</c:v>
                </c:pt>
                <c:pt idx="403">
                  <c:v>0.48880000000000001</c:v>
                </c:pt>
                <c:pt idx="404">
                  <c:v>0.53779999999999994</c:v>
                </c:pt>
                <c:pt idx="405">
                  <c:v>0.53259999999999996</c:v>
                </c:pt>
                <c:pt idx="406">
                  <c:v>0.48399999999999999</c:v>
                </c:pt>
                <c:pt idx="407">
                  <c:v>0.50539999999999996</c:v>
                </c:pt>
                <c:pt idx="408">
                  <c:v>0.47960000000000003</c:v>
                </c:pt>
                <c:pt idx="409">
                  <c:v>0.4728</c:v>
                </c:pt>
                <c:pt idx="410">
                  <c:v>0.4803</c:v>
                </c:pt>
                <c:pt idx="411">
                  <c:v>0.4824</c:v>
                </c:pt>
                <c:pt idx="412">
                  <c:v>0.46400000000000002</c:v>
                </c:pt>
                <c:pt idx="413">
                  <c:v>0.47510000000000002</c:v>
                </c:pt>
                <c:pt idx="414">
                  <c:v>0.4914</c:v>
                </c:pt>
                <c:pt idx="415">
                  <c:v>0.47260000000000002</c:v>
                </c:pt>
                <c:pt idx="416">
                  <c:v>0.50780000000000003</c:v>
                </c:pt>
                <c:pt idx="417">
                  <c:v>0.50180000000000002</c:v>
                </c:pt>
                <c:pt idx="418">
                  <c:v>0.51029999999999998</c:v>
                </c:pt>
                <c:pt idx="419">
                  <c:v>0.45050000000000001</c:v>
                </c:pt>
                <c:pt idx="420">
                  <c:v>0.50270000000000004</c:v>
                </c:pt>
                <c:pt idx="421">
                  <c:v>0.40899999999999997</c:v>
                </c:pt>
                <c:pt idx="422">
                  <c:v>0.38869999999999999</c:v>
                </c:pt>
                <c:pt idx="423">
                  <c:v>0.39979999999999999</c:v>
                </c:pt>
                <c:pt idx="424">
                  <c:v>0.38069999999999998</c:v>
                </c:pt>
                <c:pt idx="425">
                  <c:v>0.3851</c:v>
                </c:pt>
                <c:pt idx="426">
                  <c:v>0.38319999999999999</c:v>
                </c:pt>
                <c:pt idx="427">
                  <c:v>0.34889999999999999</c:v>
                </c:pt>
                <c:pt idx="428">
                  <c:v>0.40629999999999999</c:v>
                </c:pt>
                <c:pt idx="429">
                  <c:v>0.41310000000000002</c:v>
                </c:pt>
                <c:pt idx="430">
                  <c:v>0.3795</c:v>
                </c:pt>
                <c:pt idx="431">
                  <c:v>0.34920000000000001</c:v>
                </c:pt>
                <c:pt idx="432">
                  <c:v>0.34770000000000001</c:v>
                </c:pt>
                <c:pt idx="433">
                  <c:v>0.34360000000000002</c:v>
                </c:pt>
                <c:pt idx="434">
                  <c:v>0.32369999999999999</c:v>
                </c:pt>
                <c:pt idx="435">
                  <c:v>0.31630000000000003</c:v>
                </c:pt>
                <c:pt idx="436">
                  <c:v>0.31230000000000002</c:v>
                </c:pt>
                <c:pt idx="437">
                  <c:v>0.3125</c:v>
                </c:pt>
                <c:pt idx="438">
                  <c:v>0.30780000000000002</c:v>
                </c:pt>
                <c:pt idx="439">
                  <c:v>0.30530000000000002</c:v>
                </c:pt>
                <c:pt idx="440">
                  <c:v>0.31929999999999997</c:v>
                </c:pt>
                <c:pt idx="441">
                  <c:v>0.31730000000000003</c:v>
                </c:pt>
                <c:pt idx="442">
                  <c:v>0.32019999999999998</c:v>
                </c:pt>
                <c:pt idx="443">
                  <c:v>0.30859999999999999</c:v>
                </c:pt>
                <c:pt idx="444">
                  <c:v>0.29780000000000001</c:v>
                </c:pt>
                <c:pt idx="445">
                  <c:v>0.30359999999999998</c:v>
                </c:pt>
                <c:pt idx="446">
                  <c:v>0.29120000000000001</c:v>
                </c:pt>
                <c:pt idx="447">
                  <c:v>0.30630000000000002</c:v>
                </c:pt>
                <c:pt idx="448">
                  <c:v>0.2949</c:v>
                </c:pt>
                <c:pt idx="449">
                  <c:v>0.28460000000000002</c:v>
                </c:pt>
                <c:pt idx="450">
                  <c:v>0.29060000000000002</c:v>
                </c:pt>
                <c:pt idx="451">
                  <c:v>0.28660000000000002</c:v>
                </c:pt>
                <c:pt idx="452">
                  <c:v>0.30030000000000001</c:v>
                </c:pt>
                <c:pt idx="453">
                  <c:v>0.30320000000000003</c:v>
                </c:pt>
                <c:pt idx="454">
                  <c:v>0.30420000000000003</c:v>
                </c:pt>
                <c:pt idx="455">
                  <c:v>0.30149999999999999</c:v>
                </c:pt>
                <c:pt idx="456">
                  <c:v>0.30890000000000001</c:v>
                </c:pt>
                <c:pt idx="457">
                  <c:v>0.31</c:v>
                </c:pt>
                <c:pt idx="458">
                  <c:v>0.30470000000000003</c:v>
                </c:pt>
                <c:pt idx="459">
                  <c:v>0.30809999999999998</c:v>
                </c:pt>
                <c:pt idx="460">
                  <c:v>0.31180000000000002</c:v>
                </c:pt>
                <c:pt idx="461">
                  <c:v>0.31630000000000003</c:v>
                </c:pt>
                <c:pt idx="462">
                  <c:v>0.31509999999999999</c:v>
                </c:pt>
                <c:pt idx="463">
                  <c:v>0.31269999999999998</c:v>
                </c:pt>
                <c:pt idx="464">
                  <c:v>0.30940000000000001</c:v>
                </c:pt>
                <c:pt idx="465">
                  <c:v>0.3206</c:v>
                </c:pt>
                <c:pt idx="466">
                  <c:v>0.31330000000000002</c:v>
                </c:pt>
                <c:pt idx="467">
                  <c:v>0.31780000000000003</c:v>
                </c:pt>
                <c:pt idx="468">
                  <c:v>0.31900000000000001</c:v>
                </c:pt>
                <c:pt idx="469">
                  <c:v>0.32490000000000002</c:v>
                </c:pt>
                <c:pt idx="470">
                  <c:v>0.3201</c:v>
                </c:pt>
                <c:pt idx="471">
                  <c:v>0.31709999999999999</c:v>
                </c:pt>
                <c:pt idx="472">
                  <c:v>0.32740000000000002</c:v>
                </c:pt>
                <c:pt idx="473">
                  <c:v>0.32200000000000001</c:v>
                </c:pt>
                <c:pt idx="474">
                  <c:v>0.30819999999999997</c:v>
                </c:pt>
                <c:pt idx="475">
                  <c:v>0.31830000000000003</c:v>
                </c:pt>
                <c:pt idx="476">
                  <c:v>0.30099999999999999</c:v>
                </c:pt>
                <c:pt idx="477">
                  <c:v>0.30399999999999999</c:v>
                </c:pt>
                <c:pt idx="478">
                  <c:v>0.29409999999999997</c:v>
                </c:pt>
                <c:pt idx="479">
                  <c:v>0.31069999999999998</c:v>
                </c:pt>
                <c:pt idx="480">
                  <c:v>0.30130000000000001</c:v>
                </c:pt>
                <c:pt idx="481">
                  <c:v>0.31009999999999999</c:v>
                </c:pt>
                <c:pt idx="482">
                  <c:v>0.32890000000000003</c:v>
                </c:pt>
                <c:pt idx="483">
                  <c:v>0.31740000000000002</c:v>
                </c:pt>
                <c:pt idx="484">
                  <c:v>0.33479999999999999</c:v>
                </c:pt>
                <c:pt idx="485">
                  <c:v>0.33439999999999998</c:v>
                </c:pt>
                <c:pt idx="486">
                  <c:v>0.32229999999999998</c:v>
                </c:pt>
                <c:pt idx="487">
                  <c:v>0.31330000000000002</c:v>
                </c:pt>
                <c:pt idx="488">
                  <c:v>0.31540000000000001</c:v>
                </c:pt>
                <c:pt idx="489">
                  <c:v>0.32400000000000001</c:v>
                </c:pt>
                <c:pt idx="490">
                  <c:v>0.3029</c:v>
                </c:pt>
                <c:pt idx="491">
                  <c:v>0.29089999999999999</c:v>
                </c:pt>
                <c:pt idx="492">
                  <c:v>0.30030000000000001</c:v>
                </c:pt>
                <c:pt idx="493">
                  <c:v>0.28839999999999999</c:v>
                </c:pt>
                <c:pt idx="494">
                  <c:v>0.30940000000000001</c:v>
                </c:pt>
                <c:pt idx="495">
                  <c:v>0.31790000000000002</c:v>
                </c:pt>
                <c:pt idx="496">
                  <c:v>0.3196</c:v>
                </c:pt>
                <c:pt idx="497">
                  <c:v>0.31190000000000001</c:v>
                </c:pt>
                <c:pt idx="498">
                  <c:v>0.3206</c:v>
                </c:pt>
                <c:pt idx="499">
                  <c:v>0.33500000000000002</c:v>
                </c:pt>
                <c:pt idx="500">
                  <c:v>0.31940000000000002</c:v>
                </c:pt>
                <c:pt idx="501">
                  <c:v>0.30880000000000002</c:v>
                </c:pt>
                <c:pt idx="502">
                  <c:v>0.32940000000000003</c:v>
                </c:pt>
                <c:pt idx="503">
                  <c:v>0.33839999999999998</c:v>
                </c:pt>
                <c:pt idx="504">
                  <c:v>0.3498</c:v>
                </c:pt>
                <c:pt idx="505">
                  <c:v>0.31669999999999998</c:v>
                </c:pt>
                <c:pt idx="506">
                  <c:v>0.3165</c:v>
                </c:pt>
                <c:pt idx="507">
                  <c:v>0.32569999999999999</c:v>
                </c:pt>
                <c:pt idx="508">
                  <c:v>0.33250000000000002</c:v>
                </c:pt>
                <c:pt idx="509">
                  <c:v>0.32640000000000002</c:v>
                </c:pt>
                <c:pt idx="510">
                  <c:v>0.36849999999999999</c:v>
                </c:pt>
                <c:pt idx="511">
                  <c:v>0.37780000000000002</c:v>
                </c:pt>
                <c:pt idx="512">
                  <c:v>0.44280000000000003</c:v>
                </c:pt>
                <c:pt idx="513">
                  <c:v>0.48080000000000001</c:v>
                </c:pt>
                <c:pt idx="514">
                  <c:v>0.50970000000000004</c:v>
                </c:pt>
                <c:pt idx="515">
                  <c:v>0.53259999999999996</c:v>
                </c:pt>
                <c:pt idx="516">
                  <c:v>0.53800000000000003</c:v>
                </c:pt>
                <c:pt idx="517">
                  <c:v>0.56620000000000004</c:v>
                </c:pt>
                <c:pt idx="518">
                  <c:v>0.50460000000000005</c:v>
                </c:pt>
                <c:pt idx="519">
                  <c:v>0.498</c:v>
                </c:pt>
                <c:pt idx="520">
                  <c:v>0.46189999999999998</c:v>
                </c:pt>
                <c:pt idx="521">
                  <c:v>0.53149999999999997</c:v>
                </c:pt>
                <c:pt idx="522">
                  <c:v>0.48209999999999997</c:v>
                </c:pt>
                <c:pt idx="523">
                  <c:v>0.47120000000000001</c:v>
                </c:pt>
                <c:pt idx="524">
                  <c:v>0.43140000000000001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5-4176-8DBB-6BFA6922AA4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2.2179645818622116</c:v>
                </c:pt>
                <c:pt idx="1">
                  <c:v>2.221761447621267</c:v>
                </c:pt>
                <c:pt idx="2">
                  <c:v>2.2777013169336446</c:v>
                </c:pt>
                <c:pt idx="3">
                  <c:v>2.3118920504556266</c:v>
                </c:pt>
                <c:pt idx="4">
                  <c:v>2.2790736778696719</c:v>
                </c:pt>
                <c:pt idx="5">
                  <c:v>2.2159242076626406</c:v>
                </c:pt>
                <c:pt idx="6">
                  <c:v>2.1436055712034903</c:v>
                </c:pt>
                <c:pt idx="7">
                  <c:v>2.2238997360111585</c:v>
                </c:pt>
                <c:pt idx="8">
                  <c:v>2.2547558394515712</c:v>
                </c:pt>
                <c:pt idx="9">
                  <c:v>2.2255332124452627</c:v>
                </c:pt>
                <c:pt idx="10">
                  <c:v>2.1892907145049398</c:v>
                </c:pt>
                <c:pt idx="11">
                  <c:v>2.2204955242368265</c:v>
                </c:pt>
                <c:pt idx="12">
                  <c:v>2.2037782329096096</c:v>
                </c:pt>
                <c:pt idx="13">
                  <c:v>2.1825943368830134</c:v>
                </c:pt>
                <c:pt idx="14">
                  <c:v>2.1652578136541014</c:v>
                </c:pt>
                <c:pt idx="15">
                  <c:v>2.2046037119472048</c:v>
                </c:pt>
                <c:pt idx="16">
                  <c:v>2.1646547569943029</c:v>
                </c:pt>
                <c:pt idx="17">
                  <c:v>2.1413760824105195</c:v>
                </c:pt>
                <c:pt idx="18">
                  <c:v>2.1477804694596858</c:v>
                </c:pt>
                <c:pt idx="19">
                  <c:v>2.10743286526565</c:v>
                </c:pt>
                <c:pt idx="20">
                  <c:v>2.1088097970137021</c:v>
                </c:pt>
                <c:pt idx="21">
                  <c:v>2.1656592344274563</c:v>
                </c:pt>
                <c:pt idx="22">
                  <c:v>2.1490752167901337</c:v>
                </c:pt>
                <c:pt idx="23">
                  <c:v>2.1599456267158237</c:v>
                </c:pt>
                <c:pt idx="24">
                  <c:v>2.1869698760313279</c:v>
                </c:pt>
                <c:pt idx="25">
                  <c:v>2.2127864130541126</c:v>
                </c:pt>
                <c:pt idx="26">
                  <c:v>2.2181928552910222</c:v>
                </c:pt>
                <c:pt idx="27">
                  <c:v>2.19557223908016</c:v>
                </c:pt>
                <c:pt idx="28">
                  <c:v>2.2164956598420646</c:v>
                </c:pt>
                <c:pt idx="29">
                  <c:v>2.2140453499830137</c:v>
                </c:pt>
                <c:pt idx="30">
                  <c:v>2.2295755534701462</c:v>
                </c:pt>
                <c:pt idx="31">
                  <c:v>2.2672744848034148</c:v>
                </c:pt>
                <c:pt idx="32">
                  <c:v>2.3089736576642101</c:v>
                </c:pt>
                <c:pt idx="33">
                  <c:v>2.2935689913042103</c:v>
                </c:pt>
                <c:pt idx="34">
                  <c:v>2.2894361780521693</c:v>
                </c:pt>
                <c:pt idx="35">
                  <c:v>2.3205400187802412</c:v>
                </c:pt>
                <c:pt idx="36">
                  <c:v>2.2555695241260332</c:v>
                </c:pt>
                <c:pt idx="37">
                  <c:v>2.3463543485265967</c:v>
                </c:pt>
                <c:pt idx="38">
                  <c:v>2.3037762332822931</c:v>
                </c:pt>
                <c:pt idx="39">
                  <c:v>2.2209282443559148</c:v>
                </c:pt>
                <c:pt idx="40">
                  <c:v>2.180953559368692</c:v>
                </c:pt>
                <c:pt idx="41">
                  <c:v>2.1258496252648746</c:v>
                </c:pt>
                <c:pt idx="42">
                  <c:v>2.1171631742910031</c:v>
                </c:pt>
                <c:pt idx="43">
                  <c:v>2.124693915904603</c:v>
                </c:pt>
                <c:pt idx="44">
                  <c:v>2.0894569486159553</c:v>
                </c:pt>
                <c:pt idx="45">
                  <c:v>2.0232121649452068</c:v>
                </c:pt>
                <c:pt idx="46">
                  <c:v>2.0792306831113581</c:v>
                </c:pt>
                <c:pt idx="47">
                  <c:v>2.0483032833515922</c:v>
                </c:pt>
                <c:pt idx="48">
                  <c:v>2.0459228296869458</c:v>
                </c:pt>
                <c:pt idx="49">
                  <c:v>2.1169048515138424</c:v>
                </c:pt>
                <c:pt idx="50">
                  <c:v>2.1804851525268067</c:v>
                </c:pt>
                <c:pt idx="51">
                  <c:v>2.1188021227035745</c:v>
                </c:pt>
                <c:pt idx="52">
                  <c:v>2.1429210877812022</c:v>
                </c:pt>
                <c:pt idx="53">
                  <c:v>2.0551297534313191</c:v>
                </c:pt>
                <c:pt idx="54">
                  <c:v>2.1288419034386252</c:v>
                </c:pt>
                <c:pt idx="55">
                  <c:v>1.983092456444761</c:v>
                </c:pt>
                <c:pt idx="56">
                  <c:v>2.0626657243278577</c:v>
                </c:pt>
                <c:pt idx="57">
                  <c:v>1.9908715274666149</c:v>
                </c:pt>
                <c:pt idx="58">
                  <c:v>1.924811764971242</c:v>
                </c:pt>
                <c:pt idx="59">
                  <c:v>1.8393740804083907</c:v>
                </c:pt>
                <c:pt idx="60">
                  <c:v>1.8127541772005216</c:v>
                </c:pt>
                <c:pt idx="61">
                  <c:v>1.7351170449479913</c:v>
                </c:pt>
                <c:pt idx="62">
                  <c:v>1.7124747994679343</c:v>
                </c:pt>
                <c:pt idx="63">
                  <c:v>1.7204463998300035</c:v>
                </c:pt>
                <c:pt idx="64">
                  <c:v>1.692230654952954</c:v>
                </c:pt>
                <c:pt idx="65">
                  <c:v>1.6975192830400507</c:v>
                </c:pt>
                <c:pt idx="66">
                  <c:v>1.6832295897728422</c:v>
                </c:pt>
                <c:pt idx="67">
                  <c:v>1.7016986898289328</c:v>
                </c:pt>
                <c:pt idx="68">
                  <c:v>1.709224995262266</c:v>
                </c:pt>
                <c:pt idx="69">
                  <c:v>1.6862164398545925</c:v>
                </c:pt>
                <c:pt idx="70">
                  <c:v>1.669686817839247</c:v>
                </c:pt>
                <c:pt idx="71">
                  <c:v>1.7039124469593094</c:v>
                </c:pt>
                <c:pt idx="72">
                  <c:v>1.6739966460379219</c:v>
                </c:pt>
                <c:pt idx="73">
                  <c:v>1.697235771592978</c:v>
                </c:pt>
                <c:pt idx="74">
                  <c:v>1.715479388366087</c:v>
                </c:pt>
                <c:pt idx="75">
                  <c:v>1.7127860451134556</c:v>
                </c:pt>
                <c:pt idx="76">
                  <c:v>1.7010172375353307</c:v>
                </c:pt>
                <c:pt idx="77">
                  <c:v>1.6888948351956612</c:v>
                </c:pt>
                <c:pt idx="78">
                  <c:v>1.6777485374101986</c:v>
                </c:pt>
                <c:pt idx="79">
                  <c:v>1.6871045158979312</c:v>
                </c:pt>
                <c:pt idx="80">
                  <c:v>1.7148346137658736</c:v>
                </c:pt>
                <c:pt idx="81">
                  <c:v>1.6854824891477604</c:v>
                </c:pt>
                <c:pt idx="82">
                  <c:v>1.6972001148900244</c:v>
                </c:pt>
                <c:pt idx="83">
                  <c:v>1.6713379266267263</c:v>
                </c:pt>
                <c:pt idx="84">
                  <c:v>1.6889775697189437</c:v>
                </c:pt>
                <c:pt idx="85">
                  <c:v>1.6330817064512488</c:v>
                </c:pt>
                <c:pt idx="86">
                  <c:v>1.6054123944553502</c:v>
                </c:pt>
                <c:pt idx="87">
                  <c:v>1.5926382871641416</c:v>
                </c:pt>
                <c:pt idx="88">
                  <c:v>1.5709898047244253</c:v>
                </c:pt>
                <c:pt idx="89">
                  <c:v>1.5610268968610108</c:v>
                </c:pt>
                <c:pt idx="90">
                  <c:v>1.5725730935681963</c:v>
                </c:pt>
                <c:pt idx="91">
                  <c:v>1.5417996614091412</c:v>
                </c:pt>
                <c:pt idx="92">
                  <c:v>1.5106991469163702</c:v>
                </c:pt>
                <c:pt idx="93">
                  <c:v>1.5509129444421674</c:v>
                </c:pt>
                <c:pt idx="94">
                  <c:v>1.5820312480514267</c:v>
                </c:pt>
                <c:pt idx="95">
                  <c:v>1.5721419650784538</c:v>
                </c:pt>
                <c:pt idx="96">
                  <c:v>1.5792301376746076</c:v>
                </c:pt>
                <c:pt idx="97">
                  <c:v>1.568997440647335</c:v>
                </c:pt>
                <c:pt idx="98">
                  <c:v>1.5498644183022707</c:v>
                </c:pt>
                <c:pt idx="99">
                  <c:v>1.562208945458923</c:v>
                </c:pt>
                <c:pt idx="100">
                  <c:v>1.5177208677189544</c:v>
                </c:pt>
                <c:pt idx="101">
                  <c:v>1.5001715023991662</c:v>
                </c:pt>
                <c:pt idx="102">
                  <c:v>1.5138944807428556</c:v>
                </c:pt>
                <c:pt idx="103">
                  <c:v>1.514142989589963</c:v>
                </c:pt>
                <c:pt idx="104">
                  <c:v>1.5324568702639356</c:v>
                </c:pt>
                <c:pt idx="105">
                  <c:v>1.5266566570454809</c:v>
                </c:pt>
                <c:pt idx="106">
                  <c:v>1.5529497029244284</c:v>
                </c:pt>
                <c:pt idx="107">
                  <c:v>1.5613634157529999</c:v>
                </c:pt>
                <c:pt idx="108">
                  <c:v>1.5489297211558131</c:v>
                </c:pt>
                <c:pt idx="109">
                  <c:v>1.5479970521132205</c:v>
                </c:pt>
                <c:pt idx="110">
                  <c:v>1.5836665101507792</c:v>
                </c:pt>
                <c:pt idx="111">
                  <c:v>1.6040955963528889</c:v>
                </c:pt>
                <c:pt idx="112">
                  <c:v>1.6596954662060768</c:v>
                </c:pt>
                <c:pt idx="113">
                  <c:v>1.610123359579571</c:v>
                </c:pt>
                <c:pt idx="114">
                  <c:v>1.6281851469993909</c:v>
                </c:pt>
                <c:pt idx="115">
                  <c:v>1.6506821606211299</c:v>
                </c:pt>
                <c:pt idx="116">
                  <c:v>1.5961901847234858</c:v>
                </c:pt>
                <c:pt idx="117">
                  <c:v>1.6394343884538276</c:v>
                </c:pt>
                <c:pt idx="118">
                  <c:v>1.6090830862605967</c:v>
                </c:pt>
                <c:pt idx="119">
                  <c:v>1.6325302556595038</c:v>
                </c:pt>
                <c:pt idx="120">
                  <c:v>1.5649929804993492</c:v>
                </c:pt>
                <c:pt idx="121">
                  <c:v>1.5872796038505397</c:v>
                </c:pt>
                <c:pt idx="122">
                  <c:v>1.6566884954858883</c:v>
                </c:pt>
                <c:pt idx="123">
                  <c:v>1.6542321082999294</c:v>
                </c:pt>
                <c:pt idx="124">
                  <c:v>1.6892893240443738</c:v>
                </c:pt>
                <c:pt idx="125">
                  <c:v>1.7148435982197361</c:v>
                </c:pt>
                <c:pt idx="126">
                  <c:v>1.5578229845165656</c:v>
                </c:pt>
                <c:pt idx="127">
                  <c:v>1.4830641785649961</c:v>
                </c:pt>
                <c:pt idx="128">
                  <c:v>1.3840688941387667</c:v>
                </c:pt>
                <c:pt idx="129">
                  <c:v>1.4604693109857936</c:v>
                </c:pt>
                <c:pt idx="130">
                  <c:v>1.4860298132039753</c:v>
                </c:pt>
                <c:pt idx="131">
                  <c:v>1.5270265060017283</c:v>
                </c:pt>
                <c:pt idx="132">
                  <c:v>1.5450825581710614</c:v>
                </c:pt>
                <c:pt idx="133">
                  <c:v>1.6021279678993563</c:v>
                </c:pt>
                <c:pt idx="134">
                  <c:v>1.6021279678993563</c:v>
                </c:pt>
                <c:pt idx="135">
                  <c:v>1.585654846523544</c:v>
                </c:pt>
                <c:pt idx="136">
                  <c:v>1.6079544722590278</c:v>
                </c:pt>
                <c:pt idx="137">
                  <c:v>1.5882094466136945</c:v>
                </c:pt>
                <c:pt idx="138">
                  <c:v>1.6392247466670047</c:v>
                </c:pt>
                <c:pt idx="139">
                  <c:v>1.720758965900653</c:v>
                </c:pt>
                <c:pt idx="140">
                  <c:v>1.4542560822067243</c:v>
                </c:pt>
                <c:pt idx="141">
                  <c:v>1.4168027548593076</c:v>
                </c:pt>
                <c:pt idx="142">
                  <c:v>1.3858720040605712</c:v>
                </c:pt>
                <c:pt idx="143">
                  <c:v>1.3816411696386643</c:v>
                </c:pt>
                <c:pt idx="144">
                  <c:v>1.3878654737842089</c:v>
                </c:pt>
                <c:pt idx="145">
                  <c:v>1.3526938024643025</c:v>
                </c:pt>
                <c:pt idx="146">
                  <c:v>1.3666803331323023</c:v>
                </c:pt>
                <c:pt idx="147">
                  <c:v>1.3958709906561122</c:v>
                </c:pt>
                <c:pt idx="148">
                  <c:v>1.3871958298761122</c:v>
                </c:pt>
                <c:pt idx="149">
                  <c:v>1.3708083659711616</c:v>
                </c:pt>
                <c:pt idx="150">
                  <c:v>1.4066075305752226</c:v>
                </c:pt>
                <c:pt idx="151">
                  <c:v>1.435904629704946</c:v>
                </c:pt>
                <c:pt idx="152">
                  <c:v>1.5109544059665592</c:v>
                </c:pt>
                <c:pt idx="153">
                  <c:v>1.4346066526193266</c:v>
                </c:pt>
                <c:pt idx="154">
                  <c:v>1.336467959758316</c:v>
                </c:pt>
                <c:pt idx="155">
                  <c:v>1.376428397347393</c:v>
                </c:pt>
                <c:pt idx="156">
                  <c:v>1.3616673675001953</c:v>
                </c:pt>
                <c:pt idx="157">
                  <c:v>1.5363096231938906</c:v>
                </c:pt>
                <c:pt idx="158">
                  <c:v>1.4765790283986819</c:v>
                </c:pt>
                <c:pt idx="159">
                  <c:v>1.4668632350895516</c:v>
                </c:pt>
                <c:pt idx="160">
                  <c:v>1.5148917801757253</c:v>
                </c:pt>
                <c:pt idx="161">
                  <c:v>1.4742294810006229</c:v>
                </c:pt>
                <c:pt idx="162">
                  <c:v>1.5766713242359098</c:v>
                </c:pt>
                <c:pt idx="163">
                  <c:v>1.4424137538962911</c:v>
                </c:pt>
                <c:pt idx="164">
                  <c:v>1.3597586527101688</c:v>
                </c:pt>
                <c:pt idx="165">
                  <c:v>1.3397367832711382</c:v>
                </c:pt>
                <c:pt idx="166">
                  <c:v>1.2990012507614555</c:v>
                </c:pt>
                <c:pt idx="167">
                  <c:v>1.2963380613432873</c:v>
                </c:pt>
                <c:pt idx="168">
                  <c:v>1.2625130589133837</c:v>
                </c:pt>
                <c:pt idx="169">
                  <c:v>1.2521537203520625</c:v>
                </c:pt>
                <c:pt idx="170">
                  <c:v>1.2858839434174678</c:v>
                </c:pt>
                <c:pt idx="171">
                  <c:v>1.202886869091351</c:v>
                </c:pt>
                <c:pt idx="172">
                  <c:v>1.1756489191087827</c:v>
                </c:pt>
                <c:pt idx="173">
                  <c:v>1.217475910269501</c:v>
                </c:pt>
                <c:pt idx="174">
                  <c:v>1.2356737628351835</c:v>
                </c:pt>
                <c:pt idx="175">
                  <c:v>1.2633712833563846</c:v>
                </c:pt>
                <c:pt idx="176">
                  <c:v>1.2462608337065655</c:v>
                </c:pt>
                <c:pt idx="177">
                  <c:v>1.2514010665979984</c:v>
                </c:pt>
                <c:pt idx="178">
                  <c:v>1.1028571189139798</c:v>
                </c:pt>
                <c:pt idx="179">
                  <c:v>1.0381171547956576</c:v>
                </c:pt>
                <c:pt idx="180">
                  <c:v>0.97050675246123908</c:v>
                </c:pt>
                <c:pt idx="181">
                  <c:v>1.0034940586237682</c:v>
                </c:pt>
                <c:pt idx="182">
                  <c:v>0.94450749454233707</c:v>
                </c:pt>
                <c:pt idx="183">
                  <c:v>0.9838252650727547</c:v>
                </c:pt>
                <c:pt idx="184">
                  <c:v>0.85803697594747474</c:v>
                </c:pt>
                <c:pt idx="185">
                  <c:v>0.74504455591929764</c:v>
                </c:pt>
                <c:pt idx="186">
                  <c:v>0.84549675039115813</c:v>
                </c:pt>
                <c:pt idx="187">
                  <c:v>0.82218799382324237</c:v>
                </c:pt>
                <c:pt idx="188">
                  <c:v>0.7154482692711257</c:v>
                </c:pt>
                <c:pt idx="189">
                  <c:v>0.6233000350548068</c:v>
                </c:pt>
                <c:pt idx="190">
                  <c:v>0.56829674377738748</c:v>
                </c:pt>
                <c:pt idx="191">
                  <c:v>0.51622248198761367</c:v>
                </c:pt>
                <c:pt idx="192">
                  <c:v>0.50555340034282747</c:v>
                </c:pt>
                <c:pt idx="193">
                  <c:v>0.55099352648585398</c:v>
                </c:pt>
                <c:pt idx="194">
                  <c:v>0.59147684710057369</c:v>
                </c:pt>
                <c:pt idx="195">
                  <c:v>0.598872877006555</c:v>
                </c:pt>
                <c:pt idx="196">
                  <c:v>0.60984072466889483</c:v>
                </c:pt>
                <c:pt idx="197">
                  <c:v>0.6492483160868564</c:v>
                </c:pt>
                <c:pt idx="198">
                  <c:v>0.67793622109205021</c:v>
                </c:pt>
                <c:pt idx="199">
                  <c:v>0.74035944549343946</c:v>
                </c:pt>
                <c:pt idx="200">
                  <c:v>0.77344493910361301</c:v>
                </c:pt>
                <c:pt idx="201">
                  <c:v>0.7340784007056318</c:v>
                </c:pt>
                <c:pt idx="202">
                  <c:v>0.76587042586162479</c:v>
                </c:pt>
                <c:pt idx="203">
                  <c:v>0.63069436606905382</c:v>
                </c:pt>
                <c:pt idx="204">
                  <c:v>0.66299182816979729</c:v>
                </c:pt>
                <c:pt idx="205">
                  <c:v>0.65374278441135292</c:v>
                </c:pt>
                <c:pt idx="206">
                  <c:v>0.57184826043724679</c:v>
                </c:pt>
                <c:pt idx="207">
                  <c:v>0.55185168031624687</c:v>
                </c:pt>
                <c:pt idx="208">
                  <c:v>0.54953033057921707</c:v>
                </c:pt>
                <c:pt idx="209">
                  <c:v>0.54821260427759977</c:v>
                </c:pt>
                <c:pt idx="210">
                  <c:v>0.56309433795253128</c:v>
                </c:pt>
                <c:pt idx="211">
                  <c:v>0.61011777835243808</c:v>
                </c:pt>
                <c:pt idx="212">
                  <c:v>0.53234650291848162</c:v>
                </c:pt>
                <c:pt idx="213">
                  <c:v>0.50588269435474265</c:v>
                </c:pt>
                <c:pt idx="214">
                  <c:v>0.4853623939121765</c:v>
                </c:pt>
                <c:pt idx="215">
                  <c:v>0.45880387546869822</c:v>
                </c:pt>
                <c:pt idx="216">
                  <c:v>0.43167544661626056</c:v>
                </c:pt>
                <c:pt idx="217">
                  <c:v>0.46781170631786922</c:v>
                </c:pt>
                <c:pt idx="218">
                  <c:v>0.42646939955185603</c:v>
                </c:pt>
                <c:pt idx="219">
                  <c:v>0.42646939955185603</c:v>
                </c:pt>
                <c:pt idx="220">
                  <c:v>0.5169578195851896</c:v>
                </c:pt>
                <c:pt idx="221">
                  <c:v>0.60924361033066721</c:v>
                </c:pt>
                <c:pt idx="222">
                  <c:v>0.56495860854710533</c:v>
                </c:pt>
                <c:pt idx="223">
                  <c:v>0.59380783464816067</c:v>
                </c:pt>
                <c:pt idx="224">
                  <c:v>0.63837362029165134</c:v>
                </c:pt>
                <c:pt idx="225">
                  <c:v>0.65891634914667541</c:v>
                </c:pt>
                <c:pt idx="226">
                  <c:v>0.68648127767809719</c:v>
                </c:pt>
                <c:pt idx="227">
                  <c:v>0.6468068770254578</c:v>
                </c:pt>
                <c:pt idx="228">
                  <c:v>0.60672822429170026</c:v>
                </c:pt>
                <c:pt idx="229">
                  <c:v>0.54917706828594803</c:v>
                </c:pt>
                <c:pt idx="230">
                  <c:v>0.55495554611782116</c:v>
                </c:pt>
                <c:pt idx="231">
                  <c:v>0.6473783488018523</c:v>
                </c:pt>
                <c:pt idx="232">
                  <c:v>0.60390715008969875</c:v>
                </c:pt>
                <c:pt idx="233">
                  <c:v>0.46894809638794172</c:v>
                </c:pt>
                <c:pt idx="234">
                  <c:v>0.36484388675264567</c:v>
                </c:pt>
                <c:pt idx="235">
                  <c:v>0.49660346372033337</c:v>
                </c:pt>
                <c:pt idx="236">
                  <c:v>0.46113216338868795</c:v>
                </c:pt>
                <c:pt idx="237">
                  <c:v>0.55773103764968268</c:v>
                </c:pt>
                <c:pt idx="238">
                  <c:v>0.70092535606075101</c:v>
                </c:pt>
                <c:pt idx="239">
                  <c:v>0.54562982341659927</c:v>
                </c:pt>
                <c:pt idx="240">
                  <c:v>0.50113899205944679</c:v>
                </c:pt>
                <c:pt idx="241">
                  <c:v>0.53961934590409821</c:v>
                </c:pt>
                <c:pt idx="242">
                  <c:v>0.32798744172287742</c:v>
                </c:pt>
                <c:pt idx="243">
                  <c:v>0.2332346696485238</c:v>
                </c:pt>
                <c:pt idx="244">
                  <c:v>0.2691154338157915</c:v>
                </c:pt>
                <c:pt idx="245">
                  <c:v>0.35268689818264409</c:v>
                </c:pt>
                <c:pt idx="246">
                  <c:v>0.44126754287717618</c:v>
                </c:pt>
                <c:pt idx="247">
                  <c:v>0.34931724364254946</c:v>
                </c:pt>
                <c:pt idx="248">
                  <c:v>4.4221338004826159E-2</c:v>
                </c:pt>
                <c:pt idx="249">
                  <c:v>-0.37712097293855235</c:v>
                </c:pt>
                <c:pt idx="250">
                  <c:v>2.9225064144381132E-3</c:v>
                </c:pt>
                <c:pt idx="251">
                  <c:v>0.18965579990179657</c:v>
                </c:pt>
                <c:pt idx="252">
                  <c:v>0.29269710355529766</c:v>
                </c:pt>
                <c:pt idx="253">
                  <c:v>0.24507297894880506</c:v>
                </c:pt>
                <c:pt idx="254">
                  <c:v>0.46033014545157769</c:v>
                </c:pt>
                <c:pt idx="255">
                  <c:v>0.46552646523791064</c:v>
                </c:pt>
                <c:pt idx="256">
                  <c:v>0.51948942063451076</c:v>
                </c:pt>
                <c:pt idx="257">
                  <c:v>0.53099374984235381</c:v>
                </c:pt>
                <c:pt idx="258">
                  <c:v>0.58610149845322057</c:v>
                </c:pt>
                <c:pt idx="259">
                  <c:v>0.56218593476993606</c:v>
                </c:pt>
                <c:pt idx="260">
                  <c:v>0.51205062458088768</c:v>
                </c:pt>
                <c:pt idx="261">
                  <c:v>0.62044258819570886</c:v>
                </c:pt>
                <c:pt idx="262">
                  <c:v>0.57628617660869264</c:v>
                </c:pt>
                <c:pt idx="263">
                  <c:v>0.64680210765219581</c:v>
                </c:pt>
                <c:pt idx="264">
                  <c:v>0.65956600848029967</c:v>
                </c:pt>
                <c:pt idx="265">
                  <c:v>0.635335756923465</c:v>
                </c:pt>
                <c:pt idx="266">
                  <c:v>0.66587983677307649</c:v>
                </c:pt>
                <c:pt idx="267">
                  <c:v>0.68201792002312944</c:v>
                </c:pt>
                <c:pt idx="268">
                  <c:v>0.66347543590205516</c:v>
                </c:pt>
                <c:pt idx="269">
                  <c:v>0.69099495622129148</c:v>
                </c:pt>
                <c:pt idx="270">
                  <c:v>0.80280461909133838</c:v>
                </c:pt>
                <c:pt idx="271">
                  <c:v>0.78828693212210843</c:v>
                </c:pt>
                <c:pt idx="272">
                  <c:v>0.79093523919383957</c:v>
                </c:pt>
                <c:pt idx="273">
                  <c:v>0.76332316325674388</c:v>
                </c:pt>
                <c:pt idx="274">
                  <c:v>0.78136053984858533</c:v>
                </c:pt>
                <c:pt idx="275">
                  <c:v>0.82623650473028332</c:v>
                </c:pt>
                <c:pt idx="276">
                  <c:v>0.89256266722687239</c:v>
                </c:pt>
                <c:pt idx="277">
                  <c:v>0.86579665706759368</c:v>
                </c:pt>
                <c:pt idx="278">
                  <c:v>0.83302108302744238</c:v>
                </c:pt>
                <c:pt idx="279">
                  <c:v>0.80115693651188946</c:v>
                </c:pt>
                <c:pt idx="280">
                  <c:v>0.73546679755760236</c:v>
                </c:pt>
                <c:pt idx="281">
                  <c:v>0.79033721217198849</c:v>
                </c:pt>
                <c:pt idx="282">
                  <c:v>0.85274708491742179</c:v>
                </c:pt>
                <c:pt idx="283">
                  <c:v>0.83371799576144157</c:v>
                </c:pt>
                <c:pt idx="284">
                  <c:v>0.90083990041720874</c:v>
                </c:pt>
                <c:pt idx="285">
                  <c:v>0.90435417788694861</c:v>
                </c:pt>
                <c:pt idx="286">
                  <c:v>0.94222655079678475</c:v>
                </c:pt>
                <c:pt idx="287">
                  <c:v>0.98849319303052752</c:v>
                </c:pt>
                <c:pt idx="288">
                  <c:v>0.95788549971133852</c:v>
                </c:pt>
                <c:pt idx="289">
                  <c:v>1.0028882111516628</c:v>
                </c:pt>
                <c:pt idx="290">
                  <c:v>1.0128636495949654</c:v>
                </c:pt>
                <c:pt idx="291">
                  <c:v>1.0220021520050893</c:v>
                </c:pt>
                <c:pt idx="292">
                  <c:v>1.0359560735293611</c:v>
                </c:pt>
                <c:pt idx="293">
                  <c:v>1.0283578525894679</c:v>
                </c:pt>
                <c:pt idx="294">
                  <c:v>1.0672855491213016</c:v>
                </c:pt>
                <c:pt idx="295">
                  <c:v>1.0596525592228865</c:v>
                </c:pt>
                <c:pt idx="296">
                  <c:v>1.0814277633359888</c:v>
                </c:pt>
                <c:pt idx="297">
                  <c:v>1.1127552192822179</c:v>
                </c:pt>
                <c:pt idx="298">
                  <c:v>1.1273559311196166</c:v>
                </c:pt>
                <c:pt idx="299">
                  <c:v>1.128660375927272</c:v>
                </c:pt>
                <c:pt idx="300">
                  <c:v>1.1474495560284725</c:v>
                </c:pt>
                <c:pt idx="301">
                  <c:v>1.1795858583175127</c:v>
                </c:pt>
                <c:pt idx="302">
                  <c:v>1.1893310715126035</c:v>
                </c:pt>
                <c:pt idx="303">
                  <c:v>1.1847012098884819</c:v>
                </c:pt>
                <c:pt idx="304">
                  <c:v>1.1871247026375924</c:v>
                </c:pt>
                <c:pt idx="305">
                  <c:v>1.184913784725572</c:v>
                </c:pt>
                <c:pt idx="306">
                  <c:v>1.1889538193572864</c:v>
                </c:pt>
                <c:pt idx="307">
                  <c:v>1.1865344525040753</c:v>
                </c:pt>
                <c:pt idx="308">
                  <c:v>1.1523089697622024</c:v>
                </c:pt>
                <c:pt idx="309">
                  <c:v>1.1730853482038717</c:v>
                </c:pt>
                <c:pt idx="310">
                  <c:v>1.2322816635795772</c:v>
                </c:pt>
                <c:pt idx="311">
                  <c:v>1.2966837231648889</c:v>
                </c:pt>
                <c:pt idx="312">
                  <c:v>1.3416420460129859</c:v>
                </c:pt>
                <c:pt idx="313">
                  <c:v>1.313423681550048</c:v>
                </c:pt>
                <c:pt idx="314">
                  <c:v>1.2913440546236252</c:v>
                </c:pt>
                <c:pt idx="315">
                  <c:v>1.3134880898370831</c:v>
                </c:pt>
                <c:pt idx="316">
                  <c:v>1.2745133995491145</c:v>
                </c:pt>
                <c:pt idx="317">
                  <c:v>1.2703477372116452</c:v>
                </c:pt>
                <c:pt idx="318">
                  <c:v>1.1323592612689715</c:v>
                </c:pt>
                <c:pt idx="319">
                  <c:v>1.0750184215439855</c:v>
                </c:pt>
                <c:pt idx="320">
                  <c:v>1.0640432074401911</c:v>
                </c:pt>
                <c:pt idx="321">
                  <c:v>1.0038668428154947</c:v>
                </c:pt>
                <c:pt idx="322">
                  <c:v>0.86017573823028759</c:v>
                </c:pt>
                <c:pt idx="323">
                  <c:v>0.87528077600553222</c:v>
                </c:pt>
                <c:pt idx="324">
                  <c:v>0.91899170062961832</c:v>
                </c:pt>
                <c:pt idx="325">
                  <c:v>0.78530760906015207</c:v>
                </c:pt>
                <c:pt idx="326">
                  <c:v>0.67538839260515071</c:v>
                </c:pt>
                <c:pt idx="327">
                  <c:v>0.62716685042431397</c:v>
                </c:pt>
                <c:pt idx="328">
                  <c:v>0.71372959860938046</c:v>
                </c:pt>
                <c:pt idx="329">
                  <c:v>0.58101106801460778</c:v>
                </c:pt>
                <c:pt idx="330">
                  <c:v>0.6197846945965475</c:v>
                </c:pt>
                <c:pt idx="331">
                  <c:v>0.64340261717489955</c:v>
                </c:pt>
                <c:pt idx="332">
                  <c:v>0.64712397450228731</c:v>
                </c:pt>
                <c:pt idx="333">
                  <c:v>0.54153817769762891</c:v>
                </c:pt>
                <c:pt idx="334">
                  <c:v>0.56049222188368109</c:v>
                </c:pt>
                <c:pt idx="335">
                  <c:v>0.58065715533545914</c:v>
                </c:pt>
                <c:pt idx="336">
                  <c:v>0.59851709987587864</c:v>
                </c:pt>
                <c:pt idx="337">
                  <c:v>0.71019656096633466</c:v>
                </c:pt>
                <c:pt idx="338">
                  <c:v>0.80221934166596176</c:v>
                </c:pt>
                <c:pt idx="339">
                  <c:v>0.65656027280653328</c:v>
                </c:pt>
                <c:pt idx="340">
                  <c:v>0.6987825292174995</c:v>
                </c:pt>
                <c:pt idx="341">
                  <c:v>0.68837928392539083</c:v>
                </c:pt>
                <c:pt idx="342">
                  <c:v>0.74045170202929944</c:v>
                </c:pt>
                <c:pt idx="343">
                  <c:v>0.80389082864593009</c:v>
                </c:pt>
                <c:pt idx="344">
                  <c:v>0.87110130949532261</c:v>
                </c:pt>
                <c:pt idx="345">
                  <c:v>0.65862995262336355</c:v>
                </c:pt>
                <c:pt idx="346">
                  <c:v>0.49309109822435626</c:v>
                </c:pt>
                <c:pt idx="347">
                  <c:v>0.51626329489382994</c:v>
                </c:pt>
                <c:pt idx="348">
                  <c:v>0.55304512284644103</c:v>
                </c:pt>
                <c:pt idx="349">
                  <c:v>0.58770486168480296</c:v>
                </c:pt>
                <c:pt idx="350">
                  <c:v>0.61358896301576182</c:v>
                </c:pt>
                <c:pt idx="351">
                  <c:v>0.76897042746010946</c:v>
                </c:pt>
                <c:pt idx="352">
                  <c:v>0.86891153761972473</c:v>
                </c:pt>
                <c:pt idx="353">
                  <c:v>0.93231713447932274</c:v>
                </c:pt>
                <c:pt idx="354">
                  <c:v>0.50425436517137745</c:v>
                </c:pt>
                <c:pt idx="355">
                  <c:v>0.32467734454729519</c:v>
                </c:pt>
                <c:pt idx="356">
                  <c:v>0.36137961492832199</c:v>
                </c:pt>
                <c:pt idx="357">
                  <c:v>0.32138066466688986</c:v>
                </c:pt>
                <c:pt idx="358">
                  <c:v>8.9625988360475625E-2</c:v>
                </c:pt>
                <c:pt idx="359">
                  <c:v>0.33395489306871995</c:v>
                </c:pt>
                <c:pt idx="360">
                  <c:v>-5.5149353431280031E-2</c:v>
                </c:pt>
                <c:pt idx="361">
                  <c:v>-0.23350869203307409</c:v>
                </c:pt>
                <c:pt idx="362">
                  <c:v>-0.2457042276966471</c:v>
                </c:pt>
                <c:pt idx="363">
                  <c:v>-0.11410940552635904</c:v>
                </c:pt>
                <c:pt idx="364">
                  <c:v>0.19796119149523797</c:v>
                </c:pt>
                <c:pt idx="365">
                  <c:v>-7.190524664902008E-2</c:v>
                </c:pt>
                <c:pt idx="366">
                  <c:v>0.25478618944142561</c:v>
                </c:pt>
                <c:pt idx="367">
                  <c:v>-0.21165116612736015</c:v>
                </c:pt>
                <c:pt idx="368">
                  <c:v>-0.13867389718589684</c:v>
                </c:pt>
                <c:pt idx="369">
                  <c:v>-0.18200968079310401</c:v>
                </c:pt>
                <c:pt idx="370">
                  <c:v>-0.24680070943993429</c:v>
                </c:pt>
                <c:pt idx="371">
                  <c:v>-0.23841396822385713</c:v>
                </c:pt>
                <c:pt idx="372">
                  <c:v>-0.17422226139947547</c:v>
                </c:pt>
                <c:pt idx="373">
                  <c:v>-0.17444238553904182</c:v>
                </c:pt>
                <c:pt idx="374">
                  <c:v>-0.20194397229079861</c:v>
                </c:pt>
                <c:pt idx="375">
                  <c:v>-0.19263641933230821</c:v>
                </c:pt>
                <c:pt idx="376">
                  <c:v>-0.23511389695030077</c:v>
                </c:pt>
                <c:pt idx="377">
                  <c:v>-0.19128163283945734</c:v>
                </c:pt>
                <c:pt idx="378">
                  <c:v>-0.17030805793583792</c:v>
                </c:pt>
                <c:pt idx="379">
                  <c:v>-0.1159020066017013</c:v>
                </c:pt>
                <c:pt idx="380">
                  <c:v>-0.17689806337047601</c:v>
                </c:pt>
                <c:pt idx="381">
                  <c:v>-0.1210760582326806</c:v>
                </c:pt>
                <c:pt idx="382">
                  <c:v>-4.3553643893821804E-2</c:v>
                </c:pt>
                <c:pt idx="383">
                  <c:v>-2.7678668322393376E-2</c:v>
                </c:pt>
                <c:pt idx="384">
                  <c:v>-3.9786315270086562E-3</c:v>
                </c:pt>
                <c:pt idx="385">
                  <c:v>3.8914080116602426E-2</c:v>
                </c:pt>
                <c:pt idx="386">
                  <c:v>-1.3421817321469749E-2</c:v>
                </c:pt>
                <c:pt idx="387">
                  <c:v>-2.9292036938861107E-2</c:v>
                </c:pt>
                <c:pt idx="388">
                  <c:v>-0.14401928995322508</c:v>
                </c:pt>
                <c:pt idx="389">
                  <c:v>-0.11430704586584661</c:v>
                </c:pt>
                <c:pt idx="390">
                  <c:v>-0.14097156965193186</c:v>
                </c:pt>
                <c:pt idx="391">
                  <c:v>-0.13718609240193186</c:v>
                </c:pt>
                <c:pt idx="392">
                  <c:v>-0.12953451338712552</c:v>
                </c:pt>
                <c:pt idx="393">
                  <c:v>-0.12171507124204621</c:v>
                </c:pt>
                <c:pt idx="394">
                  <c:v>-9.600945648153944E-2</c:v>
                </c:pt>
                <c:pt idx="395">
                  <c:v>-8.1521862555323829E-2</c:v>
                </c:pt>
                <c:pt idx="396">
                  <c:v>-0.13506794790416121</c:v>
                </c:pt>
                <c:pt idx="397">
                  <c:v>-0.15286445131001788</c:v>
                </c:pt>
                <c:pt idx="398">
                  <c:v>-0.10498748808702638</c:v>
                </c:pt>
                <c:pt idx="399">
                  <c:v>-0.10498748808702638</c:v>
                </c:pt>
                <c:pt idx="400">
                  <c:v>-0.1908444743440702</c:v>
                </c:pt>
                <c:pt idx="401">
                  <c:v>-0.15350356383890892</c:v>
                </c:pt>
                <c:pt idx="402">
                  <c:v>-0.21660975405179889</c:v>
                </c:pt>
                <c:pt idx="403">
                  <c:v>-0.17632600973547236</c:v>
                </c:pt>
                <c:pt idx="404">
                  <c:v>-0.13379468722029536</c:v>
                </c:pt>
                <c:pt idx="405">
                  <c:v>-0.14343724873118638</c:v>
                </c:pt>
                <c:pt idx="406">
                  <c:v>-0.20663779409906177</c:v>
                </c:pt>
                <c:pt idx="407">
                  <c:v>-0.14783937499065056</c:v>
                </c:pt>
                <c:pt idx="408">
                  <c:v>-0.14442542989551524</c:v>
                </c:pt>
                <c:pt idx="409">
                  <c:v>-0.15696336519551524</c:v>
                </c:pt>
                <c:pt idx="410">
                  <c:v>-0.14829954986218183</c:v>
                </c:pt>
                <c:pt idx="411">
                  <c:v>-0.13841157862688772</c:v>
                </c:pt>
                <c:pt idx="412">
                  <c:v>-0.1504938981748877</c:v>
                </c:pt>
                <c:pt idx="413">
                  <c:v>-0.12823456936051653</c:v>
                </c:pt>
                <c:pt idx="414">
                  <c:v>-0.10130170342697034</c:v>
                </c:pt>
                <c:pt idx="415">
                  <c:v>-9.5741104711025801E-2</c:v>
                </c:pt>
                <c:pt idx="416">
                  <c:v>-3.1219983995050434E-2</c:v>
                </c:pt>
                <c:pt idx="417">
                  <c:v>-4.6730676524484642E-2</c:v>
                </c:pt>
                <c:pt idx="418">
                  <c:v>-6.2098145131201224E-2</c:v>
                </c:pt>
                <c:pt idx="419">
                  <c:v>-0.15703751015687278</c:v>
                </c:pt>
                <c:pt idx="420">
                  <c:v>-5.548542525500395E-3</c:v>
                </c:pt>
                <c:pt idx="421">
                  <c:v>-0.18622903666388871</c:v>
                </c:pt>
                <c:pt idx="422">
                  <c:v>-0.22624044813240082</c:v>
                </c:pt>
                <c:pt idx="423">
                  <c:v>-0.17433561814364829</c:v>
                </c:pt>
                <c:pt idx="424">
                  <c:v>-0.16406479880400865</c:v>
                </c:pt>
                <c:pt idx="425">
                  <c:v>-0.16573454013231056</c:v>
                </c:pt>
                <c:pt idx="426">
                  <c:v>-0.16781076326611336</c:v>
                </c:pt>
                <c:pt idx="427">
                  <c:v>-0.17775350685474209</c:v>
                </c:pt>
                <c:pt idx="428">
                  <c:v>-0.1305850604680561</c:v>
                </c:pt>
                <c:pt idx="429">
                  <c:v>-0.1084462615044197</c:v>
                </c:pt>
                <c:pt idx="430">
                  <c:v>-0.16231585495306852</c:v>
                </c:pt>
                <c:pt idx="431">
                  <c:v>-0.18473038777929798</c:v>
                </c:pt>
                <c:pt idx="432">
                  <c:v>-0.15676045430708843</c:v>
                </c:pt>
                <c:pt idx="433">
                  <c:v>-0.16753527834285001</c:v>
                </c:pt>
                <c:pt idx="434">
                  <c:v>-0.17260112979840561</c:v>
                </c:pt>
                <c:pt idx="435">
                  <c:v>-0.1799995660846124</c:v>
                </c:pt>
                <c:pt idx="436">
                  <c:v>-0.18912599696373331</c:v>
                </c:pt>
                <c:pt idx="437">
                  <c:v>-0.17169307126861139</c:v>
                </c:pt>
                <c:pt idx="438">
                  <c:v>-0.20027832401764623</c:v>
                </c:pt>
                <c:pt idx="439">
                  <c:v>-0.21714793257320181</c:v>
                </c:pt>
                <c:pt idx="440">
                  <c:v>-0.20298769870849595</c:v>
                </c:pt>
                <c:pt idx="441">
                  <c:v>-0.19648051551421014</c:v>
                </c:pt>
                <c:pt idx="442">
                  <c:v>-0.19424970896727145</c:v>
                </c:pt>
                <c:pt idx="443">
                  <c:v>-0.18687608120218047</c:v>
                </c:pt>
                <c:pt idx="444">
                  <c:v>-0.19766603116028097</c:v>
                </c:pt>
                <c:pt idx="445">
                  <c:v>-0.19034383413628095</c:v>
                </c:pt>
                <c:pt idx="446">
                  <c:v>-0.1944601505889125</c:v>
                </c:pt>
                <c:pt idx="447">
                  <c:v>-0.17639991761113474</c:v>
                </c:pt>
                <c:pt idx="448">
                  <c:v>-0.18660256381542054</c:v>
                </c:pt>
                <c:pt idx="449">
                  <c:v>-0.19472120732375386</c:v>
                </c:pt>
                <c:pt idx="450">
                  <c:v>-0.19436796517729718</c:v>
                </c:pt>
                <c:pt idx="451">
                  <c:v>-0.20817572325951947</c:v>
                </c:pt>
                <c:pt idx="452">
                  <c:v>-0.19489126988833305</c:v>
                </c:pt>
                <c:pt idx="453">
                  <c:v>-0.19284448124865053</c:v>
                </c:pt>
                <c:pt idx="454">
                  <c:v>-0.18794085487429157</c:v>
                </c:pt>
                <c:pt idx="455">
                  <c:v>-0.18666667242044552</c:v>
                </c:pt>
                <c:pt idx="456">
                  <c:v>-0.18166474148792516</c:v>
                </c:pt>
                <c:pt idx="457">
                  <c:v>-0.16927510846204286</c:v>
                </c:pt>
                <c:pt idx="458">
                  <c:v>-0.16569369849044524</c:v>
                </c:pt>
                <c:pt idx="459">
                  <c:v>-0.15936717592920124</c:v>
                </c:pt>
                <c:pt idx="460">
                  <c:v>-0.15767729154031232</c:v>
                </c:pt>
                <c:pt idx="461">
                  <c:v>-0.15274035740118194</c:v>
                </c:pt>
                <c:pt idx="462">
                  <c:v>-0.14305502715437354</c:v>
                </c:pt>
                <c:pt idx="463">
                  <c:v>-0.14469130031437347</c:v>
                </c:pt>
                <c:pt idx="464">
                  <c:v>-0.1440526573502709</c:v>
                </c:pt>
                <c:pt idx="465">
                  <c:v>-0.13752255228730798</c:v>
                </c:pt>
                <c:pt idx="466">
                  <c:v>-0.13887179932251925</c:v>
                </c:pt>
                <c:pt idx="467">
                  <c:v>-0.13719843166385259</c:v>
                </c:pt>
                <c:pt idx="468">
                  <c:v>-0.13965029392342715</c:v>
                </c:pt>
                <c:pt idx="469">
                  <c:v>-0.14319980491292991</c:v>
                </c:pt>
                <c:pt idx="470">
                  <c:v>-0.14844699511927917</c:v>
                </c:pt>
                <c:pt idx="471">
                  <c:v>-0.13423545778490414</c:v>
                </c:pt>
                <c:pt idx="472">
                  <c:v>-0.12621839053009987</c:v>
                </c:pt>
                <c:pt idx="473">
                  <c:v>-0.13235089077480036</c:v>
                </c:pt>
                <c:pt idx="474">
                  <c:v>-0.13440655296581158</c:v>
                </c:pt>
                <c:pt idx="475">
                  <c:v>-0.13039641472018049</c:v>
                </c:pt>
                <c:pt idx="476">
                  <c:v>-0.14098320441908765</c:v>
                </c:pt>
                <c:pt idx="477">
                  <c:v>-0.1441227348951207</c:v>
                </c:pt>
                <c:pt idx="478">
                  <c:v>-0.15121354059512071</c:v>
                </c:pt>
                <c:pt idx="479">
                  <c:v>-0.140082044238555</c:v>
                </c:pt>
                <c:pt idx="480">
                  <c:v>-0.13351119361477873</c:v>
                </c:pt>
                <c:pt idx="481">
                  <c:v>-0.1288775695516208</c:v>
                </c:pt>
                <c:pt idx="482">
                  <c:v>-0.10862392434622656</c:v>
                </c:pt>
                <c:pt idx="483">
                  <c:v>-0.12718394344163575</c:v>
                </c:pt>
                <c:pt idx="484">
                  <c:v>-0.11771230234163577</c:v>
                </c:pt>
                <c:pt idx="485">
                  <c:v>-0.11759472604099877</c:v>
                </c:pt>
                <c:pt idx="486">
                  <c:v>-0.10632359290720374</c:v>
                </c:pt>
                <c:pt idx="487">
                  <c:v>-9.3465180674874929E-2</c:v>
                </c:pt>
                <c:pt idx="488">
                  <c:v>-9.2511291704545251E-2</c:v>
                </c:pt>
                <c:pt idx="489">
                  <c:v>-8.5352243348545284E-2</c:v>
                </c:pt>
                <c:pt idx="490">
                  <c:v>-0.10191809874854529</c:v>
                </c:pt>
                <c:pt idx="491">
                  <c:v>-0.11437707685427782</c:v>
                </c:pt>
                <c:pt idx="492">
                  <c:v>-0.10889548268521307</c:v>
                </c:pt>
                <c:pt idx="493">
                  <c:v>-0.1146443461377131</c:v>
                </c:pt>
                <c:pt idx="494">
                  <c:v>-9.2507465535577899E-2</c:v>
                </c:pt>
                <c:pt idx="495">
                  <c:v>-8.5940028549091399E-2</c:v>
                </c:pt>
                <c:pt idx="496">
                  <c:v>-9.3661243608615233E-2</c:v>
                </c:pt>
                <c:pt idx="497">
                  <c:v>-9.2898589687514285E-2</c:v>
                </c:pt>
                <c:pt idx="498">
                  <c:v>-5.9219799896605238E-2</c:v>
                </c:pt>
                <c:pt idx="499">
                  <c:v>2.5782136742573182E-3</c:v>
                </c:pt>
                <c:pt idx="500">
                  <c:v>-1.0309290912865482E-2</c:v>
                </c:pt>
                <c:pt idx="501">
                  <c:v>-1.7991354482758012E-2</c:v>
                </c:pt>
                <c:pt idx="502">
                  <c:v>5.3800216334245077E-3</c:v>
                </c:pt>
                <c:pt idx="503">
                  <c:v>1.1790896599647072E-3</c:v>
                </c:pt>
                <c:pt idx="504">
                  <c:v>-4.1754902736017112E-3</c:v>
                </c:pt>
                <c:pt idx="505">
                  <c:v>-2.0261389381407151E-3</c:v>
                </c:pt>
                <c:pt idx="506">
                  <c:v>1.6024519947095692E-3</c:v>
                </c:pt>
                <c:pt idx="507">
                  <c:v>4.9971351191114904E-3</c:v>
                </c:pt>
                <c:pt idx="508">
                  <c:v>-7.1792676525333436E-4</c:v>
                </c:pt>
                <c:pt idx="509">
                  <c:v>-2.2780789510813242E-2</c:v>
                </c:pt>
                <c:pt idx="510">
                  <c:v>-9.87189147176881E-4</c:v>
                </c:pt>
                <c:pt idx="511">
                  <c:v>5.3801451974742811E-3</c:v>
                </c:pt>
                <c:pt idx="512">
                  <c:v>3.8164685401974256E-2</c:v>
                </c:pt>
                <c:pt idx="513">
                  <c:v>4.6566517427888358E-2</c:v>
                </c:pt>
                <c:pt idx="514">
                  <c:v>7.2302439444508815E-2</c:v>
                </c:pt>
                <c:pt idx="515">
                  <c:v>9.5570866922449968E-2</c:v>
                </c:pt>
                <c:pt idx="516">
                  <c:v>0.10879534481460687</c:v>
                </c:pt>
                <c:pt idx="517">
                  <c:v>0.11275950267316195</c:v>
                </c:pt>
                <c:pt idx="518">
                  <c:v>7.9929653408593787E-2</c:v>
                </c:pt>
                <c:pt idx="519">
                  <c:v>6.6815561563063577E-2</c:v>
                </c:pt>
                <c:pt idx="520">
                  <c:v>4.8791485562537283E-2</c:v>
                </c:pt>
                <c:pt idx="521">
                  <c:v>6.6182653162537283E-2</c:v>
                </c:pt>
                <c:pt idx="522">
                  <c:v>4.5318031871024379E-2</c:v>
                </c:pt>
                <c:pt idx="523">
                  <c:v>-8.4856223856785338E-4</c:v>
                </c:pt>
                <c:pt idx="524">
                  <c:v>-1.6198669106849316E-2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5-4176-8DBB-6BFA6922A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836208"/>
        <c:axId val="598835376"/>
      </c:lineChart>
      <c:dateAx>
        <c:axId val="598836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35376"/>
        <c:crosses val="autoZero"/>
        <c:auto val="1"/>
        <c:lblOffset val="100"/>
        <c:baseTimeUnit val="days"/>
      </c:dateAx>
      <c:valAx>
        <c:axId val="5988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3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29348D1-B95E-42AA-AD71-8C6B2FA1D4E2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CB6A7D-C31A-4FA7-8A1A-BE4BFB50D76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103.6</v>
      </c>
      <c r="D2" s="4">
        <f>MIN(D3:D1912)</f>
        <v>0.27329999999999999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58.76</v>
      </c>
      <c r="C5">
        <v>59.58</v>
      </c>
      <c r="D5">
        <v>57.04</v>
      </c>
      <c r="E5">
        <v>57.14</v>
      </c>
      <c r="F5">
        <v>412138.42</v>
      </c>
      <c r="G5">
        <v>57.14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-0.92125984251968385</v>
      </c>
      <c r="Q5">
        <f t="shared" ref="Q5" si="1">F5*P5</f>
        <v>-379686.57590551133</v>
      </c>
      <c r="R5">
        <f t="shared" ref="R5" si="2">R6+Q5</f>
        <v>221796458.18622118</v>
      </c>
      <c r="S5">
        <f t="shared" ref="S5" si="3">R5/100000</f>
        <v>2217.9645818622116</v>
      </c>
      <c r="T5">
        <f t="shared" ref="T5" si="4">S5/1000</f>
        <v>2.2179645818622116</v>
      </c>
    </row>
    <row r="6" spans="1:20" x14ac:dyDescent="0.25">
      <c r="A6" s="5">
        <v>44587</v>
      </c>
      <c r="B6">
        <v>62.87</v>
      </c>
      <c r="C6">
        <v>66.760000000000005</v>
      </c>
      <c r="D6">
        <v>57.55</v>
      </c>
      <c r="E6">
        <v>58.75</v>
      </c>
      <c r="F6">
        <v>7565436.0700000003</v>
      </c>
      <c r="G6">
        <v>58.75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-0.73941368078175862</v>
      </c>
      <c r="Q6">
        <f t="shared" ref="Q6" si="6">F6*P6</f>
        <v>-5593986.9312377824</v>
      </c>
      <c r="R6">
        <f t="shared" ref="R6" si="7">R7+Q6</f>
        <v>222176144.76212668</v>
      </c>
      <c r="S6">
        <f t="shared" ref="S6" si="8">R6/100000</f>
        <v>2221.7614476212671</v>
      </c>
      <c r="T6">
        <f t="shared" ref="T6" si="9">S6/1000</f>
        <v>2.221761447621267</v>
      </c>
    </row>
    <row r="7" spans="1:20" x14ac:dyDescent="0.25">
      <c r="A7" s="5">
        <v>44586</v>
      </c>
      <c r="B7">
        <v>65.989999999999995</v>
      </c>
      <c r="C7">
        <v>67.2</v>
      </c>
      <c r="D7">
        <v>61.65</v>
      </c>
      <c r="E7">
        <v>62.87</v>
      </c>
      <c r="F7">
        <v>6101561.7699999996</v>
      </c>
      <c r="G7">
        <v>62.87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-0.56036036036036108</v>
      </c>
      <c r="Q7">
        <f t="shared" ref="Q7" si="11">F7*P7</f>
        <v>-3419073.3521982022</v>
      </c>
      <c r="R7">
        <f t="shared" ref="R7" si="12">R8+Q7</f>
        <v>227770131.69336447</v>
      </c>
      <c r="S7">
        <f t="shared" ref="S7" si="13">R7/100000</f>
        <v>2277.7013169336446</v>
      </c>
      <c r="T7">
        <f t="shared" ref="T7" si="14">S7/1000</f>
        <v>2.2777013169336446</v>
      </c>
    </row>
    <row r="8" spans="1:20" x14ac:dyDescent="0.25">
      <c r="A8" s="5">
        <v>44585</v>
      </c>
      <c r="B8">
        <v>69.75</v>
      </c>
      <c r="C8">
        <v>69.81</v>
      </c>
      <c r="D8">
        <v>59.13</v>
      </c>
      <c r="E8">
        <v>66</v>
      </c>
      <c r="F8">
        <v>11454255.529999999</v>
      </c>
      <c r="G8">
        <v>66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0.2865168539325838</v>
      </c>
      <c r="Q8">
        <f t="shared" ref="Q8" si="16">F8*P8</f>
        <v>3281837.2585955001</v>
      </c>
      <c r="R8">
        <f t="shared" ref="R8" si="17">R9+Q8</f>
        <v>231189205.04556268</v>
      </c>
      <c r="S8">
        <f t="shared" ref="S8" si="18">R8/100000</f>
        <v>2311.8920504556268</v>
      </c>
      <c r="T8">
        <f t="shared" ref="T8" si="19">S8/1000</f>
        <v>2.3118920504556266</v>
      </c>
    </row>
    <row r="9" spans="1:20" x14ac:dyDescent="0.25">
      <c r="A9" s="5">
        <v>44584</v>
      </c>
      <c r="B9">
        <v>62.89</v>
      </c>
      <c r="C9">
        <v>70.44</v>
      </c>
      <c r="D9">
        <v>62.76</v>
      </c>
      <c r="E9">
        <v>69.75</v>
      </c>
      <c r="F9">
        <v>7698221.1299999999</v>
      </c>
      <c r="G9">
        <v>69.75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0.82031250000000056</v>
      </c>
      <c r="Q9">
        <f t="shared" ref="Q9" si="21">F9*P9</f>
        <v>6314947.0207031295</v>
      </c>
      <c r="R9">
        <f t="shared" ref="R9" si="22">R10+Q9</f>
        <v>227907367.78696719</v>
      </c>
      <c r="S9">
        <f t="shared" ref="S9" si="23">R9/100000</f>
        <v>2279.0736778696719</v>
      </c>
      <c r="T9">
        <f t="shared" ref="T9" si="24">S9/1000</f>
        <v>2.2790736778696719</v>
      </c>
    </row>
    <row r="10" spans="1:20" x14ac:dyDescent="0.25">
      <c r="A10" s="5">
        <v>44583</v>
      </c>
      <c r="B10">
        <v>64.72</v>
      </c>
      <c r="C10">
        <v>65.98</v>
      </c>
      <c r="D10">
        <v>53.03</v>
      </c>
      <c r="E10">
        <v>62.87</v>
      </c>
      <c r="F10">
        <v>13915696.02</v>
      </c>
      <c r="G10">
        <v>62.87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0.51969111969111881</v>
      </c>
      <c r="Q10">
        <f t="shared" ref="Q10" si="26">F10*P10</f>
        <v>7231863.6459150454</v>
      </c>
      <c r="R10">
        <f t="shared" ref="R10" si="27">R11+Q10</f>
        <v>221592420.76626405</v>
      </c>
      <c r="S10">
        <f t="shared" ref="S10" si="28">R10/100000</f>
        <v>2215.9242076626406</v>
      </c>
      <c r="T10">
        <f t="shared" ref="T10" si="29">S10/1000</f>
        <v>2.2159242076626406</v>
      </c>
    </row>
    <row r="11" spans="1:20" x14ac:dyDescent="0.25">
      <c r="A11" s="5">
        <v>44582</v>
      </c>
      <c r="B11">
        <v>77.31</v>
      </c>
      <c r="C11">
        <v>80.83</v>
      </c>
      <c r="D11">
        <v>61.66</v>
      </c>
      <c r="E11">
        <v>64.73</v>
      </c>
      <c r="F11">
        <v>11813040.210000001</v>
      </c>
      <c r="G11">
        <v>64.73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-0.67970787689097478</v>
      </c>
      <c r="Q11">
        <f t="shared" ref="Q11" si="31">F11*P11</f>
        <v>-8029416.4807668151</v>
      </c>
      <c r="R11">
        <f t="shared" ref="R11" si="32">R12+Q11</f>
        <v>214360557.12034902</v>
      </c>
      <c r="S11">
        <f t="shared" ref="S11" si="33">R11/100000</f>
        <v>2143.6055712034904</v>
      </c>
      <c r="T11">
        <f t="shared" ref="T11" si="34">S11/1000</f>
        <v>2.1436055712034903</v>
      </c>
    </row>
    <row r="12" spans="1:20" x14ac:dyDescent="0.25">
      <c r="A12" s="5">
        <v>44581</v>
      </c>
      <c r="B12">
        <v>81.09</v>
      </c>
      <c r="C12">
        <v>84.95</v>
      </c>
      <c r="D12">
        <v>76.239999999999995</v>
      </c>
      <c r="E12">
        <v>77.33</v>
      </c>
      <c r="F12">
        <v>4115722.22</v>
      </c>
      <c r="G12">
        <v>77.33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-0.74971297359357003</v>
      </c>
      <c r="Q12">
        <f t="shared" ref="Q12" si="36">F12*P12</f>
        <v>-3085610.3440413298</v>
      </c>
      <c r="R12">
        <f t="shared" ref="R12" si="37">R13+Q12</f>
        <v>222389973.60111582</v>
      </c>
      <c r="S12">
        <f t="shared" ref="S12" si="38">R12/100000</f>
        <v>2223.8997360111584</v>
      </c>
      <c r="T12">
        <f t="shared" ref="T12" si="39">S12/1000</f>
        <v>2.2238997360111585</v>
      </c>
    </row>
    <row r="13" spans="1:20" x14ac:dyDescent="0.25">
      <c r="A13" s="5">
        <v>44580</v>
      </c>
      <c r="B13">
        <v>80.7</v>
      </c>
      <c r="C13">
        <v>82.08</v>
      </c>
      <c r="D13">
        <v>75.739999999999995</v>
      </c>
      <c r="E13">
        <v>81.099999999999994</v>
      </c>
      <c r="F13">
        <v>4229941.9000000004</v>
      </c>
      <c r="G13">
        <v>81.099999999999994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0.6908517350157718</v>
      </c>
      <c r="Q13">
        <f t="shared" ref="Q13" si="41">F13*P13</f>
        <v>2922262.7006309107</v>
      </c>
      <c r="R13">
        <f t="shared" ref="R13" si="42">R14+Q13</f>
        <v>225475583.94515714</v>
      </c>
      <c r="S13">
        <f t="shared" ref="S13" si="43">R13/100000</f>
        <v>2254.7558394515713</v>
      </c>
      <c r="T13">
        <f t="shared" ref="T13" si="44">S13/1000</f>
        <v>2.2547558394515712</v>
      </c>
    </row>
    <row r="14" spans="1:20" x14ac:dyDescent="0.25">
      <c r="A14" s="5">
        <v>44579</v>
      </c>
      <c r="B14">
        <v>77.099999999999994</v>
      </c>
      <c r="C14">
        <v>81.39</v>
      </c>
      <c r="D14">
        <v>73.95</v>
      </c>
      <c r="E14">
        <v>80.73</v>
      </c>
      <c r="F14">
        <v>4405950.7300000004</v>
      </c>
      <c r="G14">
        <v>80.73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0.82258064516129115</v>
      </c>
      <c r="Q14">
        <f t="shared" ref="Q14" si="46">F14*P14</f>
        <v>3624249.7940322622</v>
      </c>
      <c r="R14">
        <f t="shared" ref="R14" si="47">R15+Q14</f>
        <v>222553321.24452624</v>
      </c>
      <c r="S14">
        <f t="shared" ref="S14" si="48">R14/100000</f>
        <v>2225.5332124452625</v>
      </c>
      <c r="T14">
        <f t="shared" ref="T14" si="49">S14/1000</f>
        <v>2.2255332124452627</v>
      </c>
    </row>
    <row r="15" spans="1:20" x14ac:dyDescent="0.25">
      <c r="A15" s="5">
        <v>44578</v>
      </c>
      <c r="B15">
        <v>87.09</v>
      </c>
      <c r="C15">
        <v>87.23</v>
      </c>
      <c r="D15">
        <v>75.94</v>
      </c>
      <c r="E15">
        <v>77.09</v>
      </c>
      <c r="F15">
        <v>3918824.27</v>
      </c>
      <c r="G15">
        <v>77.09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-0.79627989371124797</v>
      </c>
      <c r="Q15">
        <f t="shared" ref="Q15" si="51">F15*P15</f>
        <v>-3120480.9731886587</v>
      </c>
      <c r="R15">
        <f t="shared" ref="R15" si="52">R16+Q15</f>
        <v>218929071.45049396</v>
      </c>
      <c r="S15">
        <f t="shared" ref="S15" si="53">R15/100000</f>
        <v>2189.2907145049398</v>
      </c>
      <c r="T15">
        <f t="shared" ref="T15" si="54">S15/1000</f>
        <v>2.1892907145049398</v>
      </c>
    </row>
    <row r="16" spans="1:20" x14ac:dyDescent="0.25">
      <c r="A16" s="5">
        <v>44577</v>
      </c>
      <c r="B16">
        <v>87.19</v>
      </c>
      <c r="C16">
        <v>87.59</v>
      </c>
      <c r="D16">
        <v>84.32</v>
      </c>
      <c r="E16">
        <v>87.1</v>
      </c>
      <c r="F16">
        <v>2387141.6</v>
      </c>
      <c r="G16">
        <v>87.1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0.70030581039754891</v>
      </c>
      <c r="Q16">
        <f t="shared" ref="Q16" si="56">F16*P16</f>
        <v>1671729.1327217016</v>
      </c>
      <c r="R16">
        <f t="shared" ref="R16" si="57">R17+Q16</f>
        <v>222049552.42368263</v>
      </c>
      <c r="S16">
        <f t="shared" ref="S16" si="58">R16/100000</f>
        <v>2220.4955242368264</v>
      </c>
      <c r="T16">
        <f t="shared" ref="T16" si="59">S16/1000</f>
        <v>2.2204955242368265</v>
      </c>
    </row>
    <row r="17" spans="1:20" x14ac:dyDescent="0.25">
      <c r="A17" s="5">
        <v>44576</v>
      </c>
      <c r="B17">
        <v>81.48</v>
      </c>
      <c r="C17">
        <v>87.9</v>
      </c>
      <c r="D17">
        <v>80.38</v>
      </c>
      <c r="E17">
        <v>87.19</v>
      </c>
      <c r="F17">
        <v>2611522.92</v>
      </c>
      <c r="G17">
        <v>87.19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0.81117021276595558</v>
      </c>
      <c r="Q17">
        <f t="shared" ref="Q17" si="61">F17*P17</f>
        <v>2118389.6026595696</v>
      </c>
      <c r="R17">
        <f t="shared" ref="R17" si="62">R18+Q17</f>
        <v>220377823.29096094</v>
      </c>
      <c r="S17">
        <f t="shared" ref="S17" si="63">R17/100000</f>
        <v>2203.7782329096094</v>
      </c>
      <c r="T17">
        <f t="shared" ref="T17" si="64">S17/1000</f>
        <v>2.2037782329096096</v>
      </c>
    </row>
    <row r="18" spans="1:20" x14ac:dyDescent="0.25">
      <c r="A18" s="5">
        <v>44575</v>
      </c>
      <c r="B18">
        <v>78.34</v>
      </c>
      <c r="C18">
        <v>83.06</v>
      </c>
      <c r="D18">
        <v>76.349999999999994</v>
      </c>
      <c r="E18">
        <v>81.489999999999995</v>
      </c>
      <c r="F18">
        <v>3258489.38</v>
      </c>
      <c r="G18">
        <v>81.489999999999995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0.53204172876303857</v>
      </c>
      <c r="Q18">
        <f t="shared" ref="Q18" si="66">F18*P18</f>
        <v>1733652.3228912016</v>
      </c>
      <c r="R18">
        <f t="shared" ref="R18" si="67">R19+Q18</f>
        <v>218259433.68830135</v>
      </c>
      <c r="S18">
        <f t="shared" ref="S18" si="68">R18/100000</f>
        <v>2182.5943368830135</v>
      </c>
      <c r="T18">
        <f t="shared" ref="T18" si="69">S18/1000</f>
        <v>2.1825943368830134</v>
      </c>
    </row>
    <row r="19" spans="1:20" x14ac:dyDescent="0.25">
      <c r="A19" s="5">
        <v>44574</v>
      </c>
      <c r="B19">
        <v>81.87</v>
      </c>
      <c r="C19">
        <v>83.86</v>
      </c>
      <c r="D19">
        <v>77.77</v>
      </c>
      <c r="E19">
        <v>78.34</v>
      </c>
      <c r="F19">
        <v>4840737.79</v>
      </c>
      <c r="G19">
        <v>78.34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-0.81280788177339669</v>
      </c>
      <c r="Q19">
        <f t="shared" ref="Q19" si="71">F19*P19</f>
        <v>-3934589.8293103338</v>
      </c>
      <c r="R19">
        <f t="shared" ref="R19" si="72">R20+Q19</f>
        <v>216525781.36541015</v>
      </c>
      <c r="S19">
        <f t="shared" ref="S19" si="73">R19/100000</f>
        <v>2165.2578136541015</v>
      </c>
      <c r="T19">
        <f t="shared" ref="T19" si="74">S19/1000</f>
        <v>2.1652578136541014</v>
      </c>
    </row>
    <row r="20" spans="1:20" x14ac:dyDescent="0.25">
      <c r="A20" s="5">
        <v>44573</v>
      </c>
      <c r="B20">
        <v>73.48</v>
      </c>
      <c r="C20">
        <v>82.97</v>
      </c>
      <c r="D20">
        <v>72.459999999999994</v>
      </c>
      <c r="E20">
        <v>81.88</v>
      </c>
      <c r="F20">
        <v>5040378.3499999996</v>
      </c>
      <c r="G20">
        <v>81.88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0.79257849666983771</v>
      </c>
      <c r="Q20">
        <f t="shared" ref="Q20" si="76">F20*P20</f>
        <v>3994895.495290197</v>
      </c>
      <c r="R20">
        <f t="shared" ref="R20" si="77">R21+Q20</f>
        <v>220460371.19472048</v>
      </c>
      <c r="S20">
        <f t="shared" ref="S20" si="78">R20/100000</f>
        <v>2204.6037119472048</v>
      </c>
      <c r="T20">
        <f t="shared" ref="T20" si="79">S20/1000</f>
        <v>2.2046037119472048</v>
      </c>
    </row>
    <row r="21" spans="1:20" x14ac:dyDescent="0.25">
      <c r="A21" s="5">
        <v>44572</v>
      </c>
      <c r="B21">
        <v>69.44</v>
      </c>
      <c r="C21">
        <v>74.989999999999995</v>
      </c>
      <c r="D21">
        <v>68.33</v>
      </c>
      <c r="E21">
        <v>73.48</v>
      </c>
      <c r="F21">
        <v>4259230.0199999996</v>
      </c>
      <c r="G21">
        <v>73.48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0.54654654654654899</v>
      </c>
      <c r="Q21">
        <f t="shared" ref="Q21" si="81">F21*P21</f>
        <v>2327867.4583783885</v>
      </c>
      <c r="R21">
        <f t="shared" ref="R21" si="82">R22+Q21</f>
        <v>216465475.69943029</v>
      </c>
      <c r="S21">
        <f t="shared" ref="S21" si="83">R21/100000</f>
        <v>2164.6547569943027</v>
      </c>
      <c r="T21">
        <f t="shared" ref="T21" si="84">S21/1000</f>
        <v>2.1646547569943029</v>
      </c>
    </row>
    <row r="22" spans="1:20" x14ac:dyDescent="0.25">
      <c r="A22" s="5">
        <v>44571</v>
      </c>
      <c r="B22">
        <v>74.459999999999994</v>
      </c>
      <c r="C22">
        <v>74.7</v>
      </c>
      <c r="D22">
        <v>65.099999999999994</v>
      </c>
      <c r="E22">
        <v>69.44</v>
      </c>
      <c r="F22">
        <v>6682838.6600000001</v>
      </c>
      <c r="G22">
        <v>69.44</v>
      </c>
      <c r="L22" t="s">
        <v>7</v>
      </c>
      <c r="M22" t="s">
        <v>8</v>
      </c>
      <c r="N22" t="s">
        <v>7</v>
      </c>
      <c r="P22">
        <f t="shared" ref="P22" si="85">IF(C22=D22,0,((E22-D22)-(C22-E22))/(C22-D22))</f>
        <v>-9.5833333333333423E-2</v>
      </c>
      <c r="Q22">
        <f t="shared" ref="Q22" si="86">F22*P22</f>
        <v>-640438.70491666731</v>
      </c>
      <c r="R22">
        <f t="shared" ref="R22" si="87">R23+Q22</f>
        <v>214137608.24105191</v>
      </c>
      <c r="S22">
        <f t="shared" ref="S22" si="88">R22/100000</f>
        <v>2141.3760824105193</v>
      </c>
      <c r="T22">
        <f t="shared" ref="T22" si="89">S22/1000</f>
        <v>2.1413760824105195</v>
      </c>
    </row>
    <row r="23" spans="1:20" x14ac:dyDescent="0.25">
      <c r="A23" s="5">
        <v>44570</v>
      </c>
      <c r="B23">
        <v>66.95</v>
      </c>
      <c r="C23">
        <v>75.67</v>
      </c>
      <c r="D23">
        <v>65.61</v>
      </c>
      <c r="E23">
        <v>74.47</v>
      </c>
      <c r="F23">
        <v>5298915.12</v>
      </c>
      <c r="G23">
        <v>74.47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0.76143141153081462</v>
      </c>
      <c r="Q23">
        <f t="shared" ref="Q23" si="91">F23*P23</f>
        <v>4034760.4194035758</v>
      </c>
      <c r="R23">
        <f t="shared" ref="R23" si="92">R24+Q23</f>
        <v>214778046.94596857</v>
      </c>
      <c r="S23">
        <f t="shared" ref="S23" si="93">R23/100000</f>
        <v>2147.7804694596857</v>
      </c>
      <c r="T23">
        <f t="shared" ref="T23" si="94">S23/1000</f>
        <v>2.1477804694596858</v>
      </c>
    </row>
    <row r="24" spans="1:20" x14ac:dyDescent="0.25">
      <c r="A24" s="5">
        <v>44569</v>
      </c>
      <c r="B24">
        <v>68.8</v>
      </c>
      <c r="C24">
        <v>71.7</v>
      </c>
      <c r="D24">
        <v>62.46</v>
      </c>
      <c r="E24">
        <v>66.959999999999994</v>
      </c>
      <c r="F24">
        <v>5301187.2300000004</v>
      </c>
      <c r="G24">
        <v>66.959999999999994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-2.5974025974027721E-2</v>
      </c>
      <c r="Q24">
        <f t="shared" ref="Q24" si="96">F24*P24</f>
        <v>-137693.17480520406</v>
      </c>
      <c r="R24">
        <f t="shared" ref="R24" si="97">R25+Q24</f>
        <v>210743286.52656499</v>
      </c>
      <c r="S24">
        <f t="shared" ref="S24" si="98">R24/100000</f>
        <v>2107.43286526565</v>
      </c>
      <c r="T24">
        <f t="shared" ref="T24" si="99">S24/1000</f>
        <v>2.10743286526565</v>
      </c>
    </row>
    <row r="25" spans="1:20" x14ac:dyDescent="0.25">
      <c r="A25" s="5">
        <v>44568</v>
      </c>
      <c r="B25">
        <v>78.42</v>
      </c>
      <c r="C25">
        <v>78.69</v>
      </c>
      <c r="D25">
        <v>67.930000000000007</v>
      </c>
      <c r="E25">
        <v>68.8</v>
      </c>
      <c r="F25">
        <v>6781595.8600000003</v>
      </c>
      <c r="G25">
        <v>68.8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-0.83828996282528045</v>
      </c>
      <c r="Q25">
        <f t="shared" ref="Q25" si="101">F25*P25</f>
        <v>-5684943.7413754761</v>
      </c>
      <c r="R25">
        <f t="shared" ref="R25" si="102">R26+Q25</f>
        <v>210880979.70137018</v>
      </c>
      <c r="S25">
        <f t="shared" ref="S25" si="103">R25/100000</f>
        <v>2108.8097970137019</v>
      </c>
      <c r="T25">
        <f t="shared" ref="T25" si="104">S25/1000</f>
        <v>2.1088097970137021</v>
      </c>
    </row>
    <row r="26" spans="1:20" x14ac:dyDescent="0.25">
      <c r="A26" s="5">
        <v>44567</v>
      </c>
      <c r="B26">
        <v>78.45</v>
      </c>
      <c r="C26">
        <v>80.349999999999994</v>
      </c>
      <c r="D26">
        <v>74</v>
      </c>
      <c r="E26">
        <v>78.41</v>
      </c>
      <c r="F26">
        <v>4263502.51</v>
      </c>
      <c r="G26">
        <v>78.41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0.38897637795275608</v>
      </c>
      <c r="Q26">
        <f t="shared" ref="Q26" si="106">F26*P26</f>
        <v>1658401.7637322841</v>
      </c>
      <c r="R26">
        <f t="shared" ref="R26" si="107">R27+Q26</f>
        <v>216565923.44274566</v>
      </c>
      <c r="S26">
        <f t="shared" ref="S26" si="108">R26/100000</f>
        <v>2165.6592344274563</v>
      </c>
      <c r="T26">
        <f t="shared" ref="T26" si="109">S26/1000</f>
        <v>2.1656592344274563</v>
      </c>
    </row>
    <row r="27" spans="1:20" x14ac:dyDescent="0.25">
      <c r="A27" s="5">
        <v>44566</v>
      </c>
      <c r="B27">
        <v>84.53</v>
      </c>
      <c r="C27">
        <v>87.41</v>
      </c>
      <c r="D27">
        <v>73.28</v>
      </c>
      <c r="E27">
        <v>78.47</v>
      </c>
      <c r="F27">
        <v>4095970.46</v>
      </c>
      <c r="G27">
        <v>78.47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-0.2653927813163483</v>
      </c>
      <c r="Q27">
        <f t="shared" ref="Q27" si="111">F27*P27</f>
        <v>-1087040.9925690026</v>
      </c>
      <c r="R27">
        <f t="shared" ref="R27" si="112">R28+Q27</f>
        <v>214907521.67901337</v>
      </c>
      <c r="S27">
        <f t="shared" ref="S27" si="113">R27/100000</f>
        <v>2149.0752167901337</v>
      </c>
      <c r="T27">
        <f t="shared" ref="T27" si="114">S27/1000</f>
        <v>2.1490752167901337</v>
      </c>
    </row>
    <row r="28" spans="1:20" x14ac:dyDescent="0.25">
      <c r="A28" s="5">
        <v>44565</v>
      </c>
      <c r="B28">
        <v>88.84</v>
      </c>
      <c r="C28">
        <v>89.5</v>
      </c>
      <c r="D28">
        <v>84.34</v>
      </c>
      <c r="E28">
        <v>84.53</v>
      </c>
      <c r="F28">
        <v>2917262.06</v>
      </c>
      <c r="G28">
        <v>84.53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-0.92635658914728769</v>
      </c>
      <c r="Q28">
        <f t="shared" ref="Q28" si="116">F28*P28</f>
        <v>-2702424.9315503901</v>
      </c>
      <c r="R28">
        <f t="shared" ref="R28" si="117">R29+Q28</f>
        <v>215994562.67158237</v>
      </c>
      <c r="S28">
        <f t="shared" ref="S28" si="118">R28/100000</f>
        <v>2159.9456267158239</v>
      </c>
      <c r="T28">
        <f t="shared" ref="T28" si="119">S28/1000</f>
        <v>2.1599456267158237</v>
      </c>
    </row>
    <row r="29" spans="1:20" x14ac:dyDescent="0.25">
      <c r="A29" s="5">
        <v>44564</v>
      </c>
      <c r="B29">
        <v>89.43</v>
      </c>
      <c r="C29">
        <v>93.96</v>
      </c>
      <c r="D29">
        <v>88.43</v>
      </c>
      <c r="E29">
        <v>88.85</v>
      </c>
      <c r="F29">
        <v>3044039.44</v>
      </c>
      <c r="G29">
        <v>88.85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-0.848101265822789</v>
      </c>
      <c r="Q29">
        <f t="shared" ref="Q29" si="121">F29*P29</f>
        <v>-2581653.7022784939</v>
      </c>
      <c r="R29">
        <f t="shared" ref="R29" si="122">R30+Q29</f>
        <v>218696987.60313275</v>
      </c>
      <c r="S29">
        <f t="shared" ref="S29" si="123">R29/100000</f>
        <v>2186.9698760313277</v>
      </c>
      <c r="T29">
        <f t="shared" ref="T29" si="124">S29/1000</f>
        <v>2.1869698760313279</v>
      </c>
    </row>
    <row r="30" spans="1:20" x14ac:dyDescent="0.25">
      <c r="A30" s="5">
        <v>44563</v>
      </c>
      <c r="B30">
        <v>91.69</v>
      </c>
      <c r="C30">
        <v>92.54</v>
      </c>
      <c r="D30">
        <v>87.88</v>
      </c>
      <c r="E30">
        <v>89.45</v>
      </c>
      <c r="F30">
        <v>1657501.37</v>
      </c>
      <c r="G30">
        <v>89.45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-0.32618025751072799</v>
      </c>
      <c r="Q30">
        <f t="shared" ref="Q30" si="126">F30*P30</f>
        <v>-540644.22369098442</v>
      </c>
      <c r="R30">
        <f t="shared" ref="R30" si="127">R31+Q30</f>
        <v>221278641.30541125</v>
      </c>
      <c r="S30">
        <f t="shared" ref="S30" si="128">R30/100000</f>
        <v>2212.7864130541125</v>
      </c>
      <c r="T30">
        <f t="shared" ref="T30" si="129">S30/1000</f>
        <v>2.2127864130541126</v>
      </c>
    </row>
    <row r="31" spans="1:20" x14ac:dyDescent="0.25">
      <c r="A31" s="5">
        <v>44562</v>
      </c>
      <c r="B31">
        <v>85.51</v>
      </c>
      <c r="C31">
        <v>91.72</v>
      </c>
      <c r="D31">
        <v>85.46</v>
      </c>
      <c r="E31">
        <v>91.69</v>
      </c>
      <c r="F31">
        <v>2283952.54</v>
      </c>
      <c r="G31">
        <v>91.69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0.99041533546325844</v>
      </c>
      <c r="Q31">
        <f t="shared" ref="Q31" si="131">F31*P31</f>
        <v>2262061.6210862612</v>
      </c>
      <c r="R31">
        <f t="shared" ref="R31" si="132">R32+Q31</f>
        <v>221819285.52910224</v>
      </c>
      <c r="S31">
        <f t="shared" ref="S31" si="133">R31/100000</f>
        <v>2218.1928552910222</v>
      </c>
      <c r="T31">
        <f t="shared" ref="T31" si="134">S31/1000</f>
        <v>2.2181928552910222</v>
      </c>
    </row>
    <row r="32" spans="1:20" x14ac:dyDescent="0.25">
      <c r="A32" s="5">
        <v>44561</v>
      </c>
      <c r="B32">
        <v>84.72</v>
      </c>
      <c r="C32">
        <v>91.07</v>
      </c>
      <c r="D32">
        <v>84.14</v>
      </c>
      <c r="E32">
        <v>85.46</v>
      </c>
      <c r="F32">
        <v>3379937.2</v>
      </c>
      <c r="G32">
        <v>85.46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-0.61904761904762062</v>
      </c>
      <c r="Q32">
        <f t="shared" ref="Q32" si="136">F32*P32</f>
        <v>-2092342.0761904817</v>
      </c>
      <c r="R32">
        <f t="shared" ref="R32" si="137">R33+Q32</f>
        <v>219557223.90801597</v>
      </c>
      <c r="S32">
        <f t="shared" ref="S32" si="138">R32/100000</f>
        <v>2195.5722390801598</v>
      </c>
      <c r="T32">
        <f t="shared" ref="T32" si="139">S32/1000</f>
        <v>2.19557223908016</v>
      </c>
    </row>
    <row r="33" spans="1:20" x14ac:dyDescent="0.25">
      <c r="A33" s="5">
        <v>44560</v>
      </c>
      <c r="B33">
        <v>84.11</v>
      </c>
      <c r="C33">
        <v>87.85</v>
      </c>
      <c r="D33">
        <v>81.11</v>
      </c>
      <c r="E33">
        <v>84.73</v>
      </c>
      <c r="F33">
        <v>3303017.69</v>
      </c>
      <c r="G33">
        <v>84.73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7.4183976261129755E-2</v>
      </c>
      <c r="Q33">
        <f t="shared" ref="Q33" si="141">F33*P33</f>
        <v>245030.98590505164</v>
      </c>
      <c r="R33">
        <f t="shared" ref="R33" si="142">R34+Q33</f>
        <v>221649565.98420644</v>
      </c>
      <c r="S33">
        <f t="shared" ref="S33" si="143">R33/100000</f>
        <v>2216.4956598420645</v>
      </c>
      <c r="T33">
        <f t="shared" ref="T33" si="144">S33/1000</f>
        <v>2.2164956598420646</v>
      </c>
    </row>
    <row r="34" spans="1:20" x14ac:dyDescent="0.25">
      <c r="A34" s="5">
        <v>44559</v>
      </c>
      <c r="B34">
        <v>85.21</v>
      </c>
      <c r="C34">
        <v>87.87</v>
      </c>
      <c r="D34">
        <v>82.43</v>
      </c>
      <c r="E34">
        <v>84.12</v>
      </c>
      <c r="F34">
        <v>4101179.95</v>
      </c>
      <c r="G34">
        <v>84.12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-0.37867647058823589</v>
      </c>
      <c r="Q34">
        <f t="shared" ref="Q34" si="146">F34*P34</f>
        <v>-1553020.3487132378</v>
      </c>
      <c r="R34">
        <f t="shared" ref="R34" si="147">R35+Q34</f>
        <v>221404534.99830139</v>
      </c>
      <c r="S34">
        <f t="shared" ref="S34" si="148">R34/100000</f>
        <v>2214.0453499830137</v>
      </c>
      <c r="T34">
        <f t="shared" ref="T34" si="149">S34/1000</f>
        <v>2.2140453499830137</v>
      </c>
    </row>
    <row r="35" spans="1:20" x14ac:dyDescent="0.25">
      <c r="A35" s="5">
        <v>44558</v>
      </c>
      <c r="B35">
        <v>90.9</v>
      </c>
      <c r="C35">
        <v>93.81</v>
      </c>
      <c r="D35">
        <v>83.5</v>
      </c>
      <c r="E35">
        <v>85.16</v>
      </c>
      <c r="F35">
        <v>5560457.54</v>
      </c>
      <c r="G35">
        <v>85.16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-0.67798254122211521</v>
      </c>
      <c r="Q35">
        <f t="shared" ref="Q35" si="151">F35*P35</f>
        <v>-3769893.1333268713</v>
      </c>
      <c r="R35">
        <f t="shared" ref="R35" si="152">R36+Q35</f>
        <v>222957555.34701464</v>
      </c>
      <c r="S35">
        <f t="shared" ref="S35" si="153">R35/100000</f>
        <v>2229.5755534701461</v>
      </c>
      <c r="T35">
        <f t="shared" ref="T35" si="154">S35/1000</f>
        <v>2.2295755534701462</v>
      </c>
    </row>
    <row r="36" spans="1:20" x14ac:dyDescent="0.25">
      <c r="A36" s="5">
        <v>44557</v>
      </c>
      <c r="B36">
        <v>99.59</v>
      </c>
      <c r="C36">
        <v>103.6</v>
      </c>
      <c r="D36">
        <v>89.52</v>
      </c>
      <c r="E36">
        <v>90.9</v>
      </c>
      <c r="F36">
        <v>5186610.9000000004</v>
      </c>
      <c r="G36">
        <v>90.9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-0.80397727272727137</v>
      </c>
      <c r="Q36">
        <f t="shared" ref="Q36" si="156">F36*P36</f>
        <v>-4169917.2860795385</v>
      </c>
      <c r="R36">
        <f t="shared" ref="R36" si="157">R37+Q36</f>
        <v>226727448.48034149</v>
      </c>
      <c r="S36">
        <f t="shared" ref="S36" si="158">R36/100000</f>
        <v>2267.2744848034149</v>
      </c>
      <c r="T36">
        <f t="shared" ref="T36" si="159">S36/1000</f>
        <v>2.2672744848034148</v>
      </c>
    </row>
    <row r="37" spans="1:20" x14ac:dyDescent="0.25">
      <c r="A37" s="5">
        <v>44556</v>
      </c>
      <c r="B37">
        <v>98.28</v>
      </c>
      <c r="C37">
        <v>101</v>
      </c>
      <c r="D37">
        <v>95.8</v>
      </c>
      <c r="E37">
        <v>99.58</v>
      </c>
      <c r="F37">
        <v>3394248.52</v>
      </c>
      <c r="G37">
        <v>99.58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0.45384615384615351</v>
      </c>
      <c r="Q37">
        <f t="shared" ref="Q37" si="161">F37*P37</f>
        <v>1540466.6359999988</v>
      </c>
      <c r="R37">
        <f t="shared" ref="R37" si="162">R38+Q37</f>
        <v>230897365.76642102</v>
      </c>
      <c r="S37">
        <f t="shared" ref="S37" si="163">R37/100000</f>
        <v>2308.9736576642104</v>
      </c>
      <c r="T37">
        <f t="shared" ref="T37" si="164">S37/1000</f>
        <v>2.3089736576642101</v>
      </c>
    </row>
    <row r="38" spans="1:20" x14ac:dyDescent="0.25">
      <c r="A38" s="5">
        <v>44555</v>
      </c>
      <c r="B38">
        <v>95.82</v>
      </c>
      <c r="C38">
        <v>100.98</v>
      </c>
      <c r="D38">
        <v>95.1</v>
      </c>
      <c r="E38">
        <v>98.31</v>
      </c>
      <c r="F38">
        <v>4500174.43</v>
      </c>
      <c r="G38">
        <v>98.31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9.1836734693878458E-2</v>
      </c>
      <c r="Q38">
        <f t="shared" ref="Q38" si="166">F38*P38</f>
        <v>413281.32520408568</v>
      </c>
      <c r="R38">
        <f t="shared" ref="R38" si="167">R39+Q38</f>
        <v>229356899.13042101</v>
      </c>
      <c r="S38">
        <f t="shared" ref="S38" si="168">R38/100000</f>
        <v>2293.5689913042102</v>
      </c>
      <c r="T38">
        <f t="shared" ref="T38" si="169">S38/1000</f>
        <v>2.2935689913042103</v>
      </c>
    </row>
    <row r="39" spans="1:20" x14ac:dyDescent="0.25">
      <c r="A39" s="5">
        <v>44554</v>
      </c>
      <c r="B39">
        <v>94.38</v>
      </c>
      <c r="C39">
        <v>101.5</v>
      </c>
      <c r="D39">
        <v>93.72</v>
      </c>
      <c r="E39">
        <v>95.78</v>
      </c>
      <c r="F39">
        <v>6611690.7340000002</v>
      </c>
      <c r="G39">
        <v>95.78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-0.4704370179948581</v>
      </c>
      <c r="Q39">
        <f t="shared" ref="Q39" si="171">F39*P39</f>
        <v>-3110384.0728071947</v>
      </c>
      <c r="R39">
        <f t="shared" ref="R39" si="172">R40+Q39</f>
        <v>228943617.80521694</v>
      </c>
      <c r="S39">
        <f t="shared" ref="S39" si="173">R39/100000</f>
        <v>2289.4361780521695</v>
      </c>
      <c r="T39">
        <f t="shared" ref="T39" si="174">S39/1000</f>
        <v>2.2894361780521693</v>
      </c>
    </row>
    <row r="40" spans="1:20" x14ac:dyDescent="0.25">
      <c r="A40" s="5">
        <v>44553</v>
      </c>
      <c r="B40">
        <v>85.35</v>
      </c>
      <c r="C40">
        <v>95.31</v>
      </c>
      <c r="D40">
        <v>84.26</v>
      </c>
      <c r="E40">
        <v>94.39</v>
      </c>
      <c r="F40">
        <v>7795048.4900000002</v>
      </c>
      <c r="G40">
        <v>94.39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0.83348416289592731</v>
      </c>
      <c r="Q40">
        <f t="shared" ref="Q40" si="176">F40*P40</f>
        <v>6497049.4654208124</v>
      </c>
      <c r="R40">
        <f t="shared" ref="R40" si="177">R41+Q40</f>
        <v>232054001.87802413</v>
      </c>
      <c r="S40">
        <f t="shared" ref="S40" si="178">R40/100000</f>
        <v>2320.5400187802411</v>
      </c>
      <c r="T40">
        <f t="shared" ref="T40" si="179">S40/1000</f>
        <v>2.3205400187802412</v>
      </c>
    </row>
    <row r="41" spans="1:20" x14ac:dyDescent="0.25">
      <c r="A41" s="5">
        <v>44552</v>
      </c>
      <c r="B41">
        <v>87.28</v>
      </c>
      <c r="C41">
        <v>98.2</v>
      </c>
      <c r="D41">
        <v>84.19</v>
      </c>
      <c r="E41">
        <v>85.38</v>
      </c>
      <c r="F41">
        <v>10936331.812999999</v>
      </c>
      <c r="G41">
        <v>85.38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-0.83012134189864417</v>
      </c>
      <c r="Q41">
        <f t="shared" ref="Q41" si="181">F41*P41</f>
        <v>-9078482.4400563911</v>
      </c>
      <c r="R41">
        <f t="shared" ref="R41" si="182">R42+Q41</f>
        <v>225556952.41260332</v>
      </c>
      <c r="S41">
        <f t="shared" ref="S41" si="183">R41/100000</f>
        <v>2255.5695241260332</v>
      </c>
      <c r="T41">
        <f t="shared" ref="T41" si="184">S41/1000</f>
        <v>2.2555695241260332</v>
      </c>
    </row>
    <row r="42" spans="1:20" x14ac:dyDescent="0.25">
      <c r="A42" s="5">
        <v>44551</v>
      </c>
      <c r="B42">
        <v>82.08</v>
      </c>
      <c r="C42">
        <v>89</v>
      </c>
      <c r="D42">
        <v>79.52</v>
      </c>
      <c r="E42">
        <v>87.29</v>
      </c>
      <c r="F42">
        <v>6660734.8600000003</v>
      </c>
      <c r="G42">
        <v>87.29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0.63924050632911544</v>
      </c>
      <c r="Q42">
        <f t="shared" ref="Q42" si="186">F42*P42</f>
        <v>4257811.5244303904</v>
      </c>
      <c r="R42">
        <f t="shared" ref="R42" si="187">R43+Q42</f>
        <v>234635434.8526597</v>
      </c>
      <c r="S42">
        <f t="shared" ref="S42" si="188">R42/100000</f>
        <v>2346.3543485265968</v>
      </c>
      <c r="T42">
        <f t="shared" ref="T42" si="189">S42/1000</f>
        <v>2.3463543485265967</v>
      </c>
    </row>
    <row r="43" spans="1:20" x14ac:dyDescent="0.25">
      <c r="A43" s="5">
        <v>44550</v>
      </c>
      <c r="B43">
        <v>78.2</v>
      </c>
      <c r="C43">
        <v>83</v>
      </c>
      <c r="D43">
        <v>72.150000000000006</v>
      </c>
      <c r="E43">
        <v>82.06</v>
      </c>
      <c r="F43">
        <v>10021189.296</v>
      </c>
      <c r="G43">
        <v>82.06</v>
      </c>
      <c r="L43" t="s">
        <v>8</v>
      </c>
      <c r="M43" t="s">
        <v>8</v>
      </c>
      <c r="N43" t="s">
        <v>8</v>
      </c>
      <c r="P43">
        <f t="shared" ref="P43" si="190">IF(C43=D43,0,((E43-D43)-(C43-E43))/(C43-D43))</f>
        <v>0.82672811059907869</v>
      </c>
      <c r="Q43">
        <f t="shared" ref="Q43" si="191">F43*P43</f>
        <v>8284798.892637792</v>
      </c>
      <c r="R43">
        <f t="shared" ref="R43" si="192">R44+Q43</f>
        <v>230377623.32822931</v>
      </c>
      <c r="S43">
        <f t="shared" ref="S43" si="193">R43/100000</f>
        <v>2303.7762332822931</v>
      </c>
      <c r="T43">
        <f t="shared" ref="T43" si="194">S43/1000</f>
        <v>2.3037762332822931</v>
      </c>
    </row>
    <row r="44" spans="1:20" x14ac:dyDescent="0.25">
      <c r="A44" s="5">
        <v>44549</v>
      </c>
      <c r="B44">
        <v>74.209999999999994</v>
      </c>
      <c r="C44">
        <v>78.989999999999995</v>
      </c>
      <c r="D44">
        <v>72.22</v>
      </c>
      <c r="E44">
        <v>78.180000000000007</v>
      </c>
      <c r="F44">
        <v>5254924.6090000002</v>
      </c>
      <c r="G44">
        <v>78.180000000000007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0.76070901033973748</v>
      </c>
      <c r="Q44">
        <f t="shared" ref="Q44" si="196">F44*P44</f>
        <v>3997468.4987223223</v>
      </c>
      <c r="R44">
        <f t="shared" ref="R44" si="197">R45+Q44</f>
        <v>222092824.43559152</v>
      </c>
      <c r="S44">
        <f t="shared" ref="S44" si="198">R44/100000</f>
        <v>2220.928244355915</v>
      </c>
      <c r="T44">
        <f t="shared" ref="T44" si="199">S44/1000</f>
        <v>2.2209282443559148</v>
      </c>
    </row>
    <row r="45" spans="1:20" x14ac:dyDescent="0.25">
      <c r="A45" s="5">
        <v>44548</v>
      </c>
      <c r="B45">
        <v>65.59</v>
      </c>
      <c r="C45">
        <v>74.42</v>
      </c>
      <c r="D45">
        <v>62.37</v>
      </c>
      <c r="E45">
        <v>74.23</v>
      </c>
      <c r="F45">
        <v>5689823.5300000003</v>
      </c>
      <c r="G45">
        <v>74.23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0.96846473029045677</v>
      </c>
      <c r="Q45">
        <f t="shared" ref="Q45" si="201">F45*P45</f>
        <v>5510393.4103817446</v>
      </c>
      <c r="R45">
        <f t="shared" ref="R45" si="202">R46+Q45</f>
        <v>218095355.9368692</v>
      </c>
      <c r="S45">
        <f t="shared" ref="S45" si="203">R45/100000</f>
        <v>2180.9535593686919</v>
      </c>
      <c r="T45">
        <f t="shared" ref="T45" si="204">S45/1000</f>
        <v>2.180953559368692</v>
      </c>
    </row>
    <row r="46" spans="1:20" x14ac:dyDescent="0.25">
      <c r="A46" s="5">
        <v>44547</v>
      </c>
      <c r="B46">
        <v>64.239999999999995</v>
      </c>
      <c r="C46">
        <v>69.12</v>
      </c>
      <c r="D46">
        <v>60.7</v>
      </c>
      <c r="E46">
        <v>65.599999999999994</v>
      </c>
      <c r="F46">
        <v>5299994</v>
      </c>
      <c r="G46">
        <v>65.599999999999994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0.16389548693586473</v>
      </c>
      <c r="Q46">
        <f t="shared" ref="Q46" si="206">F46*P46</f>
        <v>868645.09738716146</v>
      </c>
      <c r="R46">
        <f t="shared" ref="R46" si="207">R47+Q46</f>
        <v>212584962.52648747</v>
      </c>
      <c r="S46">
        <f t="shared" ref="S46" si="208">R46/100000</f>
        <v>2125.8496252648747</v>
      </c>
      <c r="T46">
        <f t="shared" ref="T46" si="209">S46/1000</f>
        <v>2.1258496252648746</v>
      </c>
    </row>
    <row r="47" spans="1:20" x14ac:dyDescent="0.25">
      <c r="A47" s="5">
        <v>44546</v>
      </c>
      <c r="B47">
        <v>61.64</v>
      </c>
      <c r="C47">
        <v>68.5</v>
      </c>
      <c r="D47">
        <v>61</v>
      </c>
      <c r="E47">
        <v>64.239999999999995</v>
      </c>
      <c r="F47">
        <v>5537310.0099999998</v>
      </c>
      <c r="G47">
        <v>64.239999999999995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-0.13600000000000137</v>
      </c>
      <c r="Q47">
        <f t="shared" ref="Q47" si="211">F47*P47</f>
        <v>-753074.16136000759</v>
      </c>
      <c r="R47">
        <f t="shared" ref="R47" si="212">R48+Q47</f>
        <v>211716317.4291003</v>
      </c>
      <c r="S47">
        <f t="shared" ref="S47" si="213">R47/100000</f>
        <v>2117.1631742910031</v>
      </c>
      <c r="T47">
        <f t="shared" ref="T47" si="214">S47/1000</f>
        <v>2.1171631742910031</v>
      </c>
    </row>
    <row r="48" spans="1:20" x14ac:dyDescent="0.25">
      <c r="A48" s="5">
        <v>44545</v>
      </c>
      <c r="B48">
        <v>60.16</v>
      </c>
      <c r="C48">
        <v>63.99</v>
      </c>
      <c r="D48">
        <v>54.3</v>
      </c>
      <c r="E48">
        <v>61.66</v>
      </c>
      <c r="F48">
        <v>6788195.0899999999</v>
      </c>
      <c r="G48">
        <v>61.66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0.51909184726522095</v>
      </c>
      <c r="Q48">
        <f t="shared" ref="Q48" si="216">F48*P48</f>
        <v>3523696.7288648025</v>
      </c>
      <c r="R48">
        <f t="shared" ref="R48" si="217">R49+Q48</f>
        <v>212469391.5904603</v>
      </c>
      <c r="S48">
        <f t="shared" ref="S48" si="218">R48/100000</f>
        <v>2124.6939159046028</v>
      </c>
      <c r="T48">
        <f t="shared" ref="T48" si="219">S48/1000</f>
        <v>2.124693915904603</v>
      </c>
    </row>
    <row r="49" spans="1:20" x14ac:dyDescent="0.25">
      <c r="A49" s="5">
        <v>44544</v>
      </c>
      <c r="B49">
        <v>52.93</v>
      </c>
      <c r="C49">
        <v>60.66</v>
      </c>
      <c r="D49">
        <v>51.84</v>
      </c>
      <c r="E49">
        <v>60.19</v>
      </c>
      <c r="F49">
        <v>7414708.0199999996</v>
      </c>
      <c r="G49">
        <v>60.19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0.89342403628117928</v>
      </c>
      <c r="Q49">
        <f t="shared" ref="Q49" si="221">F49*P49</f>
        <v>6624478.3670748305</v>
      </c>
      <c r="R49">
        <f t="shared" ref="R49" si="222">R50+Q49</f>
        <v>208945694.86159551</v>
      </c>
      <c r="S49">
        <f t="shared" ref="S49" si="223">R49/100000</f>
        <v>2089.4569486159553</v>
      </c>
      <c r="T49">
        <f t="shared" ref="T49" si="224">S49/1000</f>
        <v>2.0894569486159553</v>
      </c>
    </row>
    <row r="50" spans="1:20" x14ac:dyDescent="0.25">
      <c r="A50" s="5">
        <v>44543</v>
      </c>
      <c r="B50">
        <v>62</v>
      </c>
      <c r="C50">
        <v>62.56</v>
      </c>
      <c r="D50">
        <v>52.22</v>
      </c>
      <c r="E50">
        <v>52.96</v>
      </c>
      <c r="F50">
        <v>6537601.3300000001</v>
      </c>
      <c r="G50">
        <v>52.96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-0.85686653771760124</v>
      </c>
      <c r="Q50">
        <f t="shared" ref="Q50" si="226">F50*P50</f>
        <v>-5601851.8166150851</v>
      </c>
      <c r="R50">
        <f t="shared" ref="R50" si="227">R51+Q50</f>
        <v>202321216.49452069</v>
      </c>
      <c r="S50">
        <f t="shared" ref="S50" si="228">R50/100000</f>
        <v>2023.212164945207</v>
      </c>
      <c r="T50">
        <f t="shared" ref="T50" si="229">S50/1000</f>
        <v>2.0232121649452068</v>
      </c>
    </row>
    <row r="51" spans="1:20" x14ac:dyDescent="0.25">
      <c r="A51" s="5">
        <v>44542</v>
      </c>
      <c r="B51">
        <v>60.17</v>
      </c>
      <c r="C51">
        <v>62.57</v>
      </c>
      <c r="D51">
        <v>57.45</v>
      </c>
      <c r="E51">
        <v>61.98</v>
      </c>
      <c r="F51">
        <v>4018992.05</v>
      </c>
      <c r="G51">
        <v>61.98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0.76953124999999856</v>
      </c>
      <c r="Q51">
        <f t="shared" ref="Q51" si="231">F51*P51</f>
        <v>3092739.9759765565</v>
      </c>
      <c r="R51">
        <f t="shared" ref="R51" si="232">R52+Q51</f>
        <v>207923068.31113577</v>
      </c>
      <c r="S51">
        <f t="shared" ref="S51" si="233">R51/100000</f>
        <v>2079.2306831113578</v>
      </c>
      <c r="T51">
        <f t="shared" ref="T51" si="234">S51/1000</f>
        <v>2.0792306831113581</v>
      </c>
    </row>
    <row r="52" spans="1:20" x14ac:dyDescent="0.25">
      <c r="A52" s="5">
        <v>44541</v>
      </c>
      <c r="B52">
        <v>60.84</v>
      </c>
      <c r="C52">
        <v>62.81</v>
      </c>
      <c r="D52">
        <v>59.84</v>
      </c>
      <c r="E52">
        <v>62.11</v>
      </c>
      <c r="F52">
        <v>450315.12</v>
      </c>
      <c r="G52">
        <v>62.11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0.52861952861952655</v>
      </c>
      <c r="Q52">
        <f t="shared" ref="Q52" si="236">F52*P52</f>
        <v>238045.36646464551</v>
      </c>
      <c r="R52">
        <f t="shared" ref="R52" si="237">R53+Q52</f>
        <v>204830328.33515921</v>
      </c>
      <c r="S52">
        <f t="shared" ref="S52" si="238">R52/100000</f>
        <v>2048.3032833515922</v>
      </c>
      <c r="T52">
        <f t="shared" ref="T52" si="239">S52/1000</f>
        <v>2.0483032833515922</v>
      </c>
    </row>
    <row r="53" spans="1:20" x14ac:dyDescent="0.25">
      <c r="A53" s="5">
        <v>44540</v>
      </c>
      <c r="B53">
        <v>66.44</v>
      </c>
      <c r="C53">
        <v>72.05</v>
      </c>
      <c r="D53">
        <v>60.45</v>
      </c>
      <c r="E53">
        <v>60.86</v>
      </c>
      <c r="F53">
        <v>7638139.6399999997</v>
      </c>
      <c r="G53">
        <v>60.86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-0.92931034482758679</v>
      </c>
      <c r="Q53">
        <f t="shared" ref="Q53" si="241">F53*P53</f>
        <v>-7098202.1826896593</v>
      </c>
      <c r="R53">
        <f t="shared" ref="R53" si="242">R54+Q53</f>
        <v>204592282.96869457</v>
      </c>
      <c r="S53">
        <f t="shared" ref="S53" si="243">R53/100000</f>
        <v>2045.9228296869458</v>
      </c>
      <c r="T53">
        <f t="shared" ref="T53" si="244">S53/1000</f>
        <v>2.0459228296869458</v>
      </c>
    </row>
    <row r="54" spans="1:20" x14ac:dyDescent="0.25">
      <c r="A54" s="5">
        <v>44539</v>
      </c>
      <c r="B54">
        <v>75.099999999999994</v>
      </c>
      <c r="C54">
        <v>76.72</v>
      </c>
      <c r="D54">
        <v>65.150000000000006</v>
      </c>
      <c r="E54">
        <v>66.44</v>
      </c>
      <c r="F54">
        <v>8182692.7999999998</v>
      </c>
      <c r="G54">
        <v>66.44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-0.77700950734658725</v>
      </c>
      <c r="Q54">
        <f t="shared" ref="Q54" si="246">F54*P54</f>
        <v>-6358030.1012964668</v>
      </c>
      <c r="R54">
        <f t="shared" ref="R54" si="247">R55+Q54</f>
        <v>211690485.15138423</v>
      </c>
      <c r="S54">
        <f t="shared" ref="S54" si="248">R54/100000</f>
        <v>2116.9048515138425</v>
      </c>
      <c r="T54">
        <f t="shared" ref="T54" si="249">S54/1000</f>
        <v>2.1169048515138424</v>
      </c>
    </row>
    <row r="55" spans="1:20" x14ac:dyDescent="0.25">
      <c r="A55" s="5">
        <v>44538</v>
      </c>
      <c r="B55">
        <v>68.72</v>
      </c>
      <c r="C55">
        <v>75.92</v>
      </c>
      <c r="D55">
        <v>65.03</v>
      </c>
      <c r="E55">
        <v>75.099999999999994</v>
      </c>
      <c r="F55">
        <v>7261926.4299999997</v>
      </c>
      <c r="G55">
        <v>75.099999999999994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0.84940312213039348</v>
      </c>
      <c r="Q55">
        <f t="shared" ref="Q55" si="251">F55*P55</f>
        <v>6168302.9823232219</v>
      </c>
      <c r="R55">
        <f t="shared" ref="R55" si="252">R56+Q55</f>
        <v>218048515.25268069</v>
      </c>
      <c r="S55">
        <f t="shared" ref="S55" si="253">R55/100000</f>
        <v>2180.4851525268068</v>
      </c>
      <c r="T55">
        <f t="shared" ref="T55" si="254">S55/1000</f>
        <v>2.1804851525268067</v>
      </c>
    </row>
    <row r="56" spans="1:20" x14ac:dyDescent="0.25">
      <c r="A56" s="5">
        <v>44537</v>
      </c>
      <c r="B56">
        <v>66.94</v>
      </c>
      <c r="C56">
        <v>74.44</v>
      </c>
      <c r="D56">
        <v>65.59</v>
      </c>
      <c r="E56">
        <v>68.72</v>
      </c>
      <c r="F56">
        <v>8241422.4299999997</v>
      </c>
      <c r="G56">
        <v>68.72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-0.29265536723163899</v>
      </c>
      <c r="Q56">
        <f t="shared" ref="Q56" si="256">F56*P56</f>
        <v>-2411896.5077627166</v>
      </c>
      <c r="R56">
        <f t="shared" ref="R56" si="257">R57+Q56</f>
        <v>211880212.27035746</v>
      </c>
      <c r="S56">
        <f t="shared" ref="S56" si="258">R56/100000</f>
        <v>2118.8021227035747</v>
      </c>
      <c r="T56">
        <f t="shared" ref="T56" si="259">S56/1000</f>
        <v>2.1188021227035745</v>
      </c>
    </row>
    <row r="57" spans="1:20" x14ac:dyDescent="0.25">
      <c r="A57" s="5">
        <v>44536</v>
      </c>
      <c r="B57">
        <v>68.12</v>
      </c>
      <c r="C57">
        <v>68.31</v>
      </c>
      <c r="D57">
        <v>59.77</v>
      </c>
      <c r="E57">
        <v>66.95</v>
      </c>
      <c r="F57">
        <v>12882096.140000001</v>
      </c>
      <c r="G57">
        <v>66.95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0.68149882903981274</v>
      </c>
      <c r="Q57">
        <f t="shared" ref="Q57" si="261">F57*P57</f>
        <v>8779133.4349882919</v>
      </c>
      <c r="R57">
        <f t="shared" ref="R57" si="262">R58+Q57</f>
        <v>214292108.77812019</v>
      </c>
      <c r="S57">
        <f t="shared" ref="S57" si="263">R57/100000</f>
        <v>2142.921087781202</v>
      </c>
      <c r="T57">
        <f t="shared" ref="T57" si="264">S57/1000</f>
        <v>2.1429210877812022</v>
      </c>
    </row>
    <row r="58" spans="1:20" x14ac:dyDescent="0.25">
      <c r="A58" s="5">
        <v>44535</v>
      </c>
      <c r="B58">
        <v>75.11</v>
      </c>
      <c r="C58">
        <v>78.290000000000006</v>
      </c>
      <c r="D58">
        <v>65.150000000000006</v>
      </c>
      <c r="E58">
        <v>68.09</v>
      </c>
      <c r="F58">
        <v>13341289.960000001</v>
      </c>
      <c r="G58">
        <v>68.09</v>
      </c>
      <c r="L58" t="s">
        <v>7</v>
      </c>
      <c r="M58" t="s">
        <v>7</v>
      </c>
      <c r="N58" t="s">
        <v>8</v>
      </c>
      <c r="P58">
        <f t="shared" ref="P58" si="265">IF(C58=D58,0,((E58-D58)-(C58-E58))/(C58-D58))</f>
        <v>-0.55251141552511451</v>
      </c>
      <c r="Q58">
        <f t="shared" ref="Q58" si="266">F58*P58</f>
        <v>-7371215.0007305993</v>
      </c>
      <c r="R58">
        <f t="shared" ref="R58" si="267">R59+Q58</f>
        <v>205512975.3431319</v>
      </c>
      <c r="S58">
        <f t="shared" ref="S58" si="268">R58/100000</f>
        <v>2055.1297534313189</v>
      </c>
      <c r="T58">
        <f t="shared" ref="T58" si="269">S58/1000</f>
        <v>2.0551297534313191</v>
      </c>
    </row>
    <row r="59" spans="1:20" x14ac:dyDescent="0.25">
      <c r="A59" s="5">
        <v>44534</v>
      </c>
      <c r="B59">
        <v>63.47</v>
      </c>
      <c r="C59">
        <v>78.22</v>
      </c>
      <c r="D59">
        <v>49.65</v>
      </c>
      <c r="E59">
        <v>75.150000000000006</v>
      </c>
      <c r="F59">
        <v>18564697.728999998</v>
      </c>
      <c r="G59">
        <v>75.150000000000006</v>
      </c>
      <c r="L59" t="s">
        <v>8</v>
      </c>
      <c r="M59" t="s">
        <v>8</v>
      </c>
      <c r="N59" t="s">
        <v>8</v>
      </c>
      <c r="P59">
        <f t="shared" ref="P59" si="270">IF(C59=D59,0,((E59-D59)-(C59-E59))/(C59-D59))</f>
        <v>0.7850892544627236</v>
      </c>
      <c r="Q59">
        <f t="shared" ref="Q59" si="271">F59*P59</f>
        <v>14574944.699386427</v>
      </c>
      <c r="R59">
        <f t="shared" ref="R59" si="272">R60+Q59</f>
        <v>212884190.3438625</v>
      </c>
      <c r="S59">
        <f t="shared" ref="S59" si="273">R59/100000</f>
        <v>2128.8419034386252</v>
      </c>
      <c r="T59">
        <f t="shared" ref="T59" si="274">S59/1000</f>
        <v>2.1288419034386252</v>
      </c>
    </row>
    <row r="60" spans="1:20" x14ac:dyDescent="0.25">
      <c r="A60" s="5">
        <v>44533</v>
      </c>
      <c r="B60">
        <v>66.28</v>
      </c>
      <c r="C60">
        <v>70.48</v>
      </c>
      <c r="D60">
        <v>62.86</v>
      </c>
      <c r="E60">
        <v>63.45</v>
      </c>
      <c r="F60">
        <v>9415346.2929999996</v>
      </c>
      <c r="G60">
        <v>63.45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-0.84514435695537982</v>
      </c>
      <c r="Q60">
        <f t="shared" ref="Q60" si="276">F60*P60</f>
        <v>-7957326.7883097036</v>
      </c>
      <c r="R60">
        <f t="shared" ref="R60" si="277">R61+Q60</f>
        <v>198309245.64447609</v>
      </c>
      <c r="S60">
        <f t="shared" ref="S60" si="278">R60/100000</f>
        <v>1983.092456444761</v>
      </c>
      <c r="T60">
        <f t="shared" ref="T60" si="279">S60/1000</f>
        <v>1.983092456444761</v>
      </c>
    </row>
    <row r="61" spans="1:20" x14ac:dyDescent="0.25">
      <c r="A61" s="5">
        <v>44532</v>
      </c>
      <c r="B61">
        <v>63.96</v>
      </c>
      <c r="C61">
        <v>66.48</v>
      </c>
      <c r="D61">
        <v>61.01</v>
      </c>
      <c r="E61">
        <v>66.28</v>
      </c>
      <c r="F61">
        <v>7745843.3300000001</v>
      </c>
      <c r="G61">
        <v>66.28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0.92687385740402095</v>
      </c>
      <c r="Q61">
        <f t="shared" ref="Q61" si="281">F61*P61</f>
        <v>7179419.6861243071</v>
      </c>
      <c r="R61">
        <f t="shared" ref="R61" si="282">R62+Q61</f>
        <v>206266572.43278578</v>
      </c>
      <c r="S61">
        <f t="shared" ref="S61" si="283">R61/100000</f>
        <v>2062.6657243278578</v>
      </c>
      <c r="T61">
        <f t="shared" ref="T61" si="284">S61/1000</f>
        <v>2.0626657243278577</v>
      </c>
    </row>
    <row r="62" spans="1:20" x14ac:dyDescent="0.25">
      <c r="A62" s="5">
        <v>44531</v>
      </c>
      <c r="B62">
        <v>59.59</v>
      </c>
      <c r="C62">
        <v>64.8</v>
      </c>
      <c r="D62">
        <v>55.68</v>
      </c>
      <c r="E62">
        <v>63.97</v>
      </c>
      <c r="F62">
        <v>8075938.7929999996</v>
      </c>
      <c r="G62">
        <v>63.97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0.81798245614035126</v>
      </c>
      <c r="Q62">
        <f t="shared" ref="Q62" si="286">F62*P62</f>
        <v>6605976.2495372836</v>
      </c>
      <c r="R62">
        <f t="shared" ref="R62" si="287">R63+Q62</f>
        <v>199087152.74666148</v>
      </c>
      <c r="S62">
        <f t="shared" ref="S62" si="288">R62/100000</f>
        <v>1990.8715274666149</v>
      </c>
      <c r="T62">
        <f t="shared" ref="T62" si="289">S62/1000</f>
        <v>1.9908715274666149</v>
      </c>
    </row>
    <row r="63" spans="1:20" x14ac:dyDescent="0.25">
      <c r="A63" s="5">
        <v>44530</v>
      </c>
      <c r="B63">
        <v>51.62</v>
      </c>
      <c r="C63">
        <v>60.08</v>
      </c>
      <c r="D63">
        <v>50.47</v>
      </c>
      <c r="E63">
        <v>59.59</v>
      </c>
      <c r="F63">
        <v>9513976.2300000004</v>
      </c>
      <c r="G63">
        <v>59.59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0.89802289281998027</v>
      </c>
      <c r="Q63">
        <f t="shared" ref="Q63" si="291">F63*P63</f>
        <v>8543768.4562851302</v>
      </c>
      <c r="R63">
        <f t="shared" ref="R63" si="292">R64+Q63</f>
        <v>192481176.4971242</v>
      </c>
      <c r="S63">
        <f t="shared" ref="S63" si="293">R63/100000</f>
        <v>1924.8117649712419</v>
      </c>
      <c r="T63">
        <f t="shared" ref="T63" si="294">S63/1000</f>
        <v>1.924811764971242</v>
      </c>
    </row>
    <row r="64" spans="1:20" x14ac:dyDescent="0.25">
      <c r="A64" s="5">
        <v>44529</v>
      </c>
      <c r="B64">
        <v>50.15</v>
      </c>
      <c r="C64">
        <v>52.88</v>
      </c>
      <c r="D64">
        <v>47.67</v>
      </c>
      <c r="E64">
        <v>51.62</v>
      </c>
      <c r="F64">
        <v>5155750.7699999996</v>
      </c>
      <c r="G64">
        <v>51.62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0.51631477927063152</v>
      </c>
      <c r="Q64">
        <f t="shared" ref="Q64" si="296">F64*P64</f>
        <v>2661990.3207869381</v>
      </c>
      <c r="R64">
        <f t="shared" ref="R64" si="297">R65+Q64</f>
        <v>183937408.04083908</v>
      </c>
      <c r="S64">
        <f t="shared" ref="S64" si="298">R64/100000</f>
        <v>1839.3740804083907</v>
      </c>
      <c r="T64">
        <f t="shared" ref="T64" si="299">S64/1000</f>
        <v>1.8393740804083907</v>
      </c>
    </row>
    <row r="65" spans="1:20" x14ac:dyDescent="0.25">
      <c r="A65" s="5">
        <v>44528</v>
      </c>
      <c r="B65">
        <v>43.87</v>
      </c>
      <c r="C65">
        <v>50.43</v>
      </c>
      <c r="D65">
        <v>42.13</v>
      </c>
      <c r="E65">
        <v>50.11</v>
      </c>
      <c r="F65">
        <v>8412378.5600000005</v>
      </c>
      <c r="G65">
        <v>50.11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0.92289156626506019</v>
      </c>
      <c r="Q65">
        <f t="shared" ref="Q65" si="301">F65*P65</f>
        <v>7763713.225253012</v>
      </c>
      <c r="R65">
        <f t="shared" ref="R65" si="302">R66+Q65</f>
        <v>181275417.72005215</v>
      </c>
      <c r="S65">
        <f t="shared" ref="S65" si="303">R65/100000</f>
        <v>1812.7541772005216</v>
      </c>
      <c r="T65">
        <f t="shared" ref="T65" si="304">S65/1000</f>
        <v>1.8127541772005216</v>
      </c>
    </row>
    <row r="66" spans="1:20" x14ac:dyDescent="0.25">
      <c r="A66" s="5">
        <v>44527</v>
      </c>
      <c r="B66">
        <v>41.1</v>
      </c>
      <c r="C66">
        <v>44.4</v>
      </c>
      <c r="D66">
        <v>40.89</v>
      </c>
      <c r="E66">
        <v>43.87</v>
      </c>
      <c r="F66">
        <v>3243848.23</v>
      </c>
      <c r="G66">
        <v>43.87</v>
      </c>
      <c r="L66" t="s">
        <v>7</v>
      </c>
      <c r="M66" t="s">
        <v>8</v>
      </c>
      <c r="N66" t="s">
        <v>7</v>
      </c>
      <c r="P66">
        <f t="shared" ref="P66" si="305">IF(C66=D66,0,((E66-D66)-(C66-E66))/(C66-D66))</f>
        <v>0.69800569800569723</v>
      </c>
      <c r="Q66">
        <f t="shared" ref="Q66" si="306">F66*P66</f>
        <v>2264224.5480056955</v>
      </c>
      <c r="R66">
        <f t="shared" ref="R66" si="307">R67+Q66</f>
        <v>173511704.49479914</v>
      </c>
      <c r="S66">
        <f t="shared" ref="S66" si="308">R66/100000</f>
        <v>1735.1170449479914</v>
      </c>
      <c r="T66">
        <f t="shared" ref="T66" si="309">S66/1000</f>
        <v>1.7351170449479913</v>
      </c>
    </row>
    <row r="67" spans="1:20" x14ac:dyDescent="0.25">
      <c r="A67" s="5">
        <v>44526</v>
      </c>
      <c r="B67">
        <v>43.56</v>
      </c>
      <c r="C67">
        <v>45.13</v>
      </c>
      <c r="D67">
        <v>37.880000000000003</v>
      </c>
      <c r="E67">
        <v>41.13</v>
      </c>
      <c r="F67">
        <v>7705880.3499999996</v>
      </c>
      <c r="G67">
        <v>41.13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-0.10344827586206896</v>
      </c>
      <c r="Q67">
        <f t="shared" ref="Q67" si="311">F67*P67</f>
        <v>-797160.03620689653</v>
      </c>
      <c r="R67">
        <f t="shared" ref="R67" si="312">R68+Q67</f>
        <v>171247479.94679344</v>
      </c>
      <c r="S67">
        <f t="shared" ref="S67" si="313">R67/100000</f>
        <v>1712.4747994679344</v>
      </c>
      <c r="T67">
        <f t="shared" ref="T67" si="314">S67/1000</f>
        <v>1.7124747994679343</v>
      </c>
    </row>
    <row r="68" spans="1:20" x14ac:dyDescent="0.25">
      <c r="A68" s="5">
        <v>44525</v>
      </c>
      <c r="B68">
        <v>38.57</v>
      </c>
      <c r="C68">
        <v>43.89</v>
      </c>
      <c r="D68">
        <v>38.4</v>
      </c>
      <c r="E68">
        <v>43.56</v>
      </c>
      <c r="F68">
        <v>3207131.25</v>
      </c>
      <c r="G68">
        <v>43.56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0.87978142076502797</v>
      </c>
      <c r="Q68">
        <f t="shared" ref="Q68" si="316">F68*P68</f>
        <v>2821574.4877049201</v>
      </c>
      <c r="R68">
        <f t="shared" ref="R68" si="317">R69+Q68</f>
        <v>172044639.98300034</v>
      </c>
      <c r="S68">
        <f t="shared" ref="S68" si="318">R68/100000</f>
        <v>1720.4463998300034</v>
      </c>
      <c r="T68">
        <f t="shared" ref="T68" si="319">S68/1000</f>
        <v>1.7204463998300035</v>
      </c>
    </row>
    <row r="69" spans="1:20" x14ac:dyDescent="0.25">
      <c r="A69" s="5">
        <v>44524</v>
      </c>
      <c r="B69">
        <v>42.7</v>
      </c>
      <c r="C69">
        <v>43.03</v>
      </c>
      <c r="D69">
        <v>40.86</v>
      </c>
      <c r="E69">
        <v>41.14</v>
      </c>
      <c r="F69">
        <v>712815.09</v>
      </c>
      <c r="G69">
        <v>41.14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-0.74193548387096686</v>
      </c>
      <c r="Q69">
        <f t="shared" ref="Q69" si="321">F69*P69</f>
        <v>-528862.80870967673</v>
      </c>
      <c r="R69">
        <f t="shared" ref="R69" si="322">R70+Q69</f>
        <v>169223065.49529541</v>
      </c>
      <c r="S69">
        <f t="shared" ref="S69" si="323">R69/100000</f>
        <v>1692.230654952954</v>
      </c>
      <c r="T69">
        <f t="shared" ref="T69" si="324">S69/1000</f>
        <v>1.692230654952954</v>
      </c>
    </row>
    <row r="70" spans="1:20" x14ac:dyDescent="0.25">
      <c r="A70" s="5">
        <v>44523</v>
      </c>
      <c r="B70">
        <v>41.09</v>
      </c>
      <c r="C70">
        <v>43.44</v>
      </c>
      <c r="D70">
        <v>39.75</v>
      </c>
      <c r="E70">
        <v>42.71</v>
      </c>
      <c r="F70">
        <v>2364527.7200000002</v>
      </c>
      <c r="G70">
        <v>42.71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0.604336043360435</v>
      </c>
      <c r="Q70">
        <f t="shared" ref="Q70" si="326">F70*P70</f>
        <v>1428969.3267208706</v>
      </c>
      <c r="R70">
        <f t="shared" ref="R70" si="327">R71+Q70</f>
        <v>169751928.30400509</v>
      </c>
      <c r="S70">
        <f t="shared" ref="S70" si="328">R70/100000</f>
        <v>1697.5192830400508</v>
      </c>
      <c r="T70">
        <f t="shared" ref="T70" si="329">S70/1000</f>
        <v>1.6975192830400507</v>
      </c>
    </row>
    <row r="71" spans="1:20" x14ac:dyDescent="0.25">
      <c r="A71" s="5">
        <v>44522</v>
      </c>
      <c r="B71">
        <v>43.51</v>
      </c>
      <c r="C71">
        <v>43.91</v>
      </c>
      <c r="D71">
        <v>40.380000000000003</v>
      </c>
      <c r="E71">
        <v>41.09</v>
      </c>
      <c r="F71">
        <v>3089854.18</v>
      </c>
      <c r="G71">
        <v>41.09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-0.59773371104815742</v>
      </c>
      <c r="Q71">
        <f t="shared" ref="Q71" si="331">F71*P71</f>
        <v>-1846910.0056090616</v>
      </c>
      <c r="R71">
        <f t="shared" ref="R71" si="332">R72+Q71</f>
        <v>168322958.97728422</v>
      </c>
      <c r="S71">
        <f t="shared" ref="S71" si="333">R71/100000</f>
        <v>1683.2295897728422</v>
      </c>
      <c r="T71">
        <f t="shared" ref="T71" si="334">S71/1000</f>
        <v>1.6832295897728422</v>
      </c>
    </row>
    <row r="72" spans="1:20" x14ac:dyDescent="0.25">
      <c r="A72" s="5">
        <v>44521</v>
      </c>
      <c r="B72">
        <v>45.23</v>
      </c>
      <c r="C72">
        <v>45.37</v>
      </c>
      <c r="D72">
        <v>42.58</v>
      </c>
      <c r="E72">
        <v>43.51</v>
      </c>
      <c r="F72">
        <v>2257891.63</v>
      </c>
      <c r="G72">
        <v>43.51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-0.33333333333333331</v>
      </c>
      <c r="Q72">
        <f t="shared" ref="Q72" si="336">F72*P72</f>
        <v>-752630.54333333322</v>
      </c>
      <c r="R72">
        <f t="shared" ref="R72" si="337">R73+Q72</f>
        <v>170169868.98289329</v>
      </c>
      <c r="S72">
        <f t="shared" ref="S72" si="338">R72/100000</f>
        <v>1701.6986898289329</v>
      </c>
      <c r="T72">
        <f t="shared" ref="T72" si="339">S72/1000</f>
        <v>1.7016986898289328</v>
      </c>
    </row>
    <row r="73" spans="1:20" x14ac:dyDescent="0.25">
      <c r="A73" s="5">
        <v>44520</v>
      </c>
      <c r="B73">
        <v>42.37</v>
      </c>
      <c r="C73">
        <v>45.54</v>
      </c>
      <c r="D73">
        <v>41.37</v>
      </c>
      <c r="E73">
        <v>45.23</v>
      </c>
      <c r="F73">
        <v>2702695.1</v>
      </c>
      <c r="G73">
        <v>45.23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0.85131894484412363</v>
      </c>
      <c r="Q73">
        <f t="shared" ref="Q73" si="341">F73*P73</f>
        <v>2300855.5407673833</v>
      </c>
      <c r="R73">
        <f t="shared" ref="R73" si="342">R74+Q73</f>
        <v>170922499.52622661</v>
      </c>
      <c r="S73">
        <f t="shared" ref="S73" si="343">R73/100000</f>
        <v>1709.224995262266</v>
      </c>
      <c r="T73">
        <f t="shared" ref="T73" si="344">S73/1000</f>
        <v>1.709224995262266</v>
      </c>
    </row>
    <row r="74" spans="1:20" x14ac:dyDescent="0.25">
      <c r="A74" s="5">
        <v>44519</v>
      </c>
      <c r="B74">
        <v>40.28</v>
      </c>
      <c r="C74">
        <v>43.48</v>
      </c>
      <c r="D74">
        <v>39.57</v>
      </c>
      <c r="E74">
        <v>42.35</v>
      </c>
      <c r="F74">
        <v>3917019.52</v>
      </c>
      <c r="G74">
        <v>42.35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0.42199488491048776</v>
      </c>
      <c r="Q74">
        <f t="shared" ref="Q74" si="346">F74*P74</f>
        <v>1652962.2015345341</v>
      </c>
      <c r="R74">
        <f t="shared" ref="R74" si="347">R75+Q74</f>
        <v>168621643.98545924</v>
      </c>
      <c r="S74">
        <f t="shared" ref="S74" si="348">R74/100000</f>
        <v>1686.2164398545924</v>
      </c>
      <c r="T74">
        <f t="shared" ref="T74" si="349">S74/1000</f>
        <v>1.6862164398545925</v>
      </c>
    </row>
    <row r="75" spans="1:20" x14ac:dyDescent="0.25">
      <c r="A75" s="5">
        <v>44518</v>
      </c>
      <c r="B75">
        <v>43.21</v>
      </c>
      <c r="C75">
        <v>45.18</v>
      </c>
      <c r="D75">
        <v>38.75</v>
      </c>
      <c r="E75">
        <v>40.28</v>
      </c>
      <c r="F75">
        <v>6530290.6600000001</v>
      </c>
      <c r="G75">
        <v>40.28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-0.52410575427682704</v>
      </c>
      <c r="Q75">
        <f t="shared" ref="Q75" si="351">F75*P75</f>
        <v>-3422562.9120062189</v>
      </c>
      <c r="R75">
        <f t="shared" ref="R75" si="352">R76+Q75</f>
        <v>166968681.7839247</v>
      </c>
      <c r="S75">
        <f t="shared" ref="S75" si="353">R75/100000</f>
        <v>1669.6868178392469</v>
      </c>
      <c r="T75">
        <f t="shared" ref="T75" si="354">S75/1000</f>
        <v>1.669686817839247</v>
      </c>
    </row>
    <row r="76" spans="1:20" x14ac:dyDescent="0.25">
      <c r="A76" s="5">
        <v>44517</v>
      </c>
      <c r="B76">
        <v>43.22</v>
      </c>
      <c r="C76">
        <v>43.91</v>
      </c>
      <c r="D76">
        <v>40.450000000000003</v>
      </c>
      <c r="E76">
        <v>43.2</v>
      </c>
      <c r="F76">
        <v>5073954.47</v>
      </c>
      <c r="G76">
        <v>43.2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0.58959537572254628</v>
      </c>
      <c r="Q76">
        <f t="shared" ref="Q76" si="356">F76*P76</f>
        <v>2991580.092138743</v>
      </c>
      <c r="R76">
        <f t="shared" ref="R76" si="357">R77+Q76</f>
        <v>170391244.69593093</v>
      </c>
      <c r="S76">
        <f t="shared" ref="S76" si="358">R76/100000</f>
        <v>1703.9124469593094</v>
      </c>
      <c r="T76">
        <f t="shared" ref="T76" si="359">S76/1000</f>
        <v>1.7039124469593094</v>
      </c>
    </row>
    <row r="77" spans="1:20" x14ac:dyDescent="0.25">
      <c r="A77" s="5">
        <v>44516</v>
      </c>
      <c r="B77">
        <v>48.14</v>
      </c>
      <c r="C77">
        <v>48.14</v>
      </c>
      <c r="D77">
        <v>41.02</v>
      </c>
      <c r="E77">
        <v>43.24</v>
      </c>
      <c r="F77">
        <v>6173976.6399999997</v>
      </c>
      <c r="G77">
        <v>43.24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-0.37640449438202256</v>
      </c>
      <c r="Q77">
        <f t="shared" ref="Q77" si="361">F77*P77</f>
        <v>-2323912.5555056185</v>
      </c>
      <c r="R77">
        <f t="shared" ref="R77" si="362">R78+Q77</f>
        <v>167399664.60379219</v>
      </c>
      <c r="S77">
        <f t="shared" ref="S77" si="363">R77/100000</f>
        <v>1673.9966460379219</v>
      </c>
      <c r="T77">
        <f t="shared" ref="T77" si="364">S77/1000</f>
        <v>1.6739966460379219</v>
      </c>
    </row>
    <row r="78" spans="1:20" x14ac:dyDescent="0.25">
      <c r="A78" s="5">
        <v>44515</v>
      </c>
      <c r="B78">
        <v>51.07</v>
      </c>
      <c r="C78">
        <v>51.6</v>
      </c>
      <c r="D78">
        <v>48.03</v>
      </c>
      <c r="E78">
        <v>48.13</v>
      </c>
      <c r="F78">
        <v>1932632.4</v>
      </c>
      <c r="G78">
        <v>48.13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-0.94397759103641377</v>
      </c>
      <c r="Q78">
        <f t="shared" ref="Q78" si="366">F78*P78</f>
        <v>-1824361.6773109226</v>
      </c>
      <c r="R78">
        <f t="shared" ref="R78" si="367">R79+Q78</f>
        <v>169723577.15929779</v>
      </c>
      <c r="S78">
        <f t="shared" ref="S78" si="368">R78/100000</f>
        <v>1697.2357715929779</v>
      </c>
      <c r="T78">
        <f t="shared" ref="T78" si="369">S78/1000</f>
        <v>1.697235771592978</v>
      </c>
    </row>
    <row r="79" spans="1:20" x14ac:dyDescent="0.25">
      <c r="A79" s="5">
        <v>44514</v>
      </c>
      <c r="B79">
        <v>52.07</v>
      </c>
      <c r="C79">
        <v>52.49</v>
      </c>
      <c r="D79">
        <v>49.07</v>
      </c>
      <c r="E79">
        <v>51.07</v>
      </c>
      <c r="F79">
        <v>1588143.78</v>
      </c>
      <c r="G79">
        <v>51.07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0.16959064327485321</v>
      </c>
      <c r="Q79">
        <f t="shared" ref="Q79" si="371">F79*P79</f>
        <v>269334.32526315696</v>
      </c>
      <c r="R79">
        <f t="shared" ref="R79" si="372">R80+Q79</f>
        <v>171547938.83660871</v>
      </c>
      <c r="S79">
        <f t="shared" ref="S79" si="373">R79/100000</f>
        <v>1715.4793883660871</v>
      </c>
      <c r="T79">
        <f t="shared" ref="T79" si="374">S79/1000</f>
        <v>1.715479388366087</v>
      </c>
    </row>
    <row r="80" spans="1:20" x14ac:dyDescent="0.25">
      <c r="A80" s="5">
        <v>44513</v>
      </c>
      <c r="B80">
        <v>49.55</v>
      </c>
      <c r="C80">
        <v>53.43</v>
      </c>
      <c r="D80">
        <v>48.31</v>
      </c>
      <c r="E80">
        <v>52.07</v>
      </c>
      <c r="F80">
        <v>2510678.9500000002</v>
      </c>
      <c r="G80">
        <v>52.07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0.46874999999999994</v>
      </c>
      <c r="Q80">
        <f t="shared" ref="Q80" si="376">F80*P80</f>
        <v>1176880.7578125</v>
      </c>
      <c r="R80">
        <f t="shared" ref="R80" si="377">R81+Q80</f>
        <v>171278604.51134557</v>
      </c>
      <c r="S80">
        <f t="shared" ref="S80" si="378">R80/100000</f>
        <v>1712.7860451134557</v>
      </c>
      <c r="T80">
        <f t="shared" ref="T80" si="379">S80/1000</f>
        <v>1.7127860451134556</v>
      </c>
    </row>
    <row r="81" spans="1:20" x14ac:dyDescent="0.25">
      <c r="A81" s="5">
        <v>44512</v>
      </c>
      <c r="B81">
        <v>50.45</v>
      </c>
      <c r="C81">
        <v>50.63</v>
      </c>
      <c r="D81">
        <v>47</v>
      </c>
      <c r="E81">
        <v>49.55</v>
      </c>
      <c r="F81">
        <v>2993491.19</v>
      </c>
      <c r="G81">
        <v>49.55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0.40495867768594784</v>
      </c>
      <c r="Q81">
        <f t="shared" ref="Q81" si="381">F81*P81</f>
        <v>1212240.2339669345</v>
      </c>
      <c r="R81">
        <f t="shared" ref="R81" si="382">R82+Q81</f>
        <v>170101723.75353307</v>
      </c>
      <c r="S81">
        <f t="shared" ref="S81" si="383">R81/100000</f>
        <v>1701.0172375353307</v>
      </c>
      <c r="T81">
        <f t="shared" ref="T81" si="384">S81/1000</f>
        <v>1.7010172375353307</v>
      </c>
    </row>
    <row r="82" spans="1:20" x14ac:dyDescent="0.25">
      <c r="A82" s="5">
        <v>44511</v>
      </c>
      <c r="B82">
        <v>48.73</v>
      </c>
      <c r="C82">
        <v>51.95</v>
      </c>
      <c r="D82">
        <v>47.41</v>
      </c>
      <c r="E82">
        <v>50.45</v>
      </c>
      <c r="F82">
        <v>3285986.49</v>
      </c>
      <c r="G82">
        <v>50.45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0.3392070484581507</v>
      </c>
      <c r="Q82">
        <f t="shared" ref="Q82" si="386">F82*P82</f>
        <v>1114629.7785462586</v>
      </c>
      <c r="R82">
        <f t="shared" ref="R82" si="387">R83+Q82</f>
        <v>168889483.51956612</v>
      </c>
      <c r="S82">
        <f t="shared" ref="S82" si="388">R82/100000</f>
        <v>1688.8948351956612</v>
      </c>
      <c r="T82">
        <f t="shared" ref="T82" si="389">S82/1000</f>
        <v>1.6888948351956612</v>
      </c>
    </row>
    <row r="83" spans="1:20" x14ac:dyDescent="0.25">
      <c r="A83" s="5">
        <v>44510</v>
      </c>
      <c r="B83">
        <v>50.23</v>
      </c>
      <c r="C83">
        <v>54.95</v>
      </c>
      <c r="D83">
        <v>44.19</v>
      </c>
      <c r="E83">
        <v>48.73</v>
      </c>
      <c r="F83">
        <v>5992281.46</v>
      </c>
      <c r="G83">
        <v>48.73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-0.15613382899628309</v>
      </c>
      <c r="Q83">
        <f t="shared" ref="Q83" si="391">F83*P83</f>
        <v>-935597.84877323755</v>
      </c>
      <c r="R83">
        <f t="shared" ref="R83" si="392">R84+Q83</f>
        <v>167774853.74101987</v>
      </c>
      <c r="S83">
        <f t="shared" ref="S83" si="393">R83/100000</f>
        <v>1677.7485374101987</v>
      </c>
      <c r="T83">
        <f t="shared" ref="T83" si="394">S83/1000</f>
        <v>1.6777485374101986</v>
      </c>
    </row>
    <row r="84" spans="1:20" x14ac:dyDescent="0.25">
      <c r="A84" s="5">
        <v>44509</v>
      </c>
      <c r="B84">
        <v>54.12</v>
      </c>
      <c r="C84">
        <v>54.21</v>
      </c>
      <c r="D84">
        <v>50.03</v>
      </c>
      <c r="E84">
        <v>50.24</v>
      </c>
      <c r="F84">
        <v>3082760.88</v>
      </c>
      <c r="G84">
        <v>50.24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-0.89952153110047806</v>
      </c>
      <c r="Q84">
        <f t="shared" ref="Q84" si="396">F84*P84</f>
        <v>-2773009.7867942569</v>
      </c>
      <c r="R84">
        <f t="shared" ref="R84" si="397">R85+Q84</f>
        <v>168710451.58979312</v>
      </c>
      <c r="S84">
        <f t="shared" ref="S84" si="398">R84/100000</f>
        <v>1687.1045158979312</v>
      </c>
      <c r="T84">
        <f t="shared" ref="T84" si="399">S84/1000</f>
        <v>1.6871045158979312</v>
      </c>
    </row>
    <row r="85" spans="1:20" x14ac:dyDescent="0.25">
      <c r="A85" s="5">
        <v>44508</v>
      </c>
      <c r="B85">
        <v>50.54</v>
      </c>
      <c r="C85">
        <v>54.8</v>
      </c>
      <c r="D85">
        <v>48.97</v>
      </c>
      <c r="E85">
        <v>54.14</v>
      </c>
      <c r="F85">
        <v>3794299.0359999998</v>
      </c>
      <c r="G85">
        <v>54.14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0.77358490566037841</v>
      </c>
      <c r="Q85">
        <f t="shared" ref="Q85" si="401">F85*P85</f>
        <v>2935212.4618113246</v>
      </c>
      <c r="R85">
        <f t="shared" ref="R85" si="402">R86+Q85</f>
        <v>171483461.37658736</v>
      </c>
      <c r="S85">
        <f t="shared" ref="S85" si="403">R85/100000</f>
        <v>1714.8346137658737</v>
      </c>
      <c r="T85">
        <f t="shared" ref="T85" si="404">S85/1000</f>
        <v>1.7148346137658736</v>
      </c>
    </row>
    <row r="86" spans="1:20" x14ac:dyDescent="0.25">
      <c r="A86" s="5">
        <v>44507</v>
      </c>
      <c r="B86">
        <v>51.17</v>
      </c>
      <c r="C86">
        <v>52.64</v>
      </c>
      <c r="D86">
        <v>49.99</v>
      </c>
      <c r="E86">
        <v>50.53</v>
      </c>
      <c r="F86">
        <v>1977815.81</v>
      </c>
      <c r="G86">
        <v>50.53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-0.59245283018867967</v>
      </c>
      <c r="Q86">
        <f t="shared" ref="Q86" si="406">F86*P86</f>
        <v>-1171762.5742264159</v>
      </c>
      <c r="R86">
        <f t="shared" ref="R86" si="407">R87+Q86</f>
        <v>168548248.91477603</v>
      </c>
      <c r="S86">
        <f t="shared" ref="S86" si="408">R86/100000</f>
        <v>1685.4824891477604</v>
      </c>
      <c r="T86">
        <f t="shared" ref="T86" si="409">S86/1000</f>
        <v>1.6854824891477604</v>
      </c>
    </row>
    <row r="87" spans="1:20" x14ac:dyDescent="0.25">
      <c r="A87" s="5">
        <v>44506</v>
      </c>
      <c r="B87">
        <v>49.9</v>
      </c>
      <c r="C87">
        <v>51.2</v>
      </c>
      <c r="D87">
        <v>47.44</v>
      </c>
      <c r="E87">
        <v>51.17</v>
      </c>
      <c r="F87">
        <v>2628157.5099999998</v>
      </c>
      <c r="G87">
        <v>51.17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0.98404255319148881</v>
      </c>
      <c r="Q87">
        <f t="shared" ref="Q87" si="411">F87*P87</f>
        <v>2586218.8263297854</v>
      </c>
      <c r="R87">
        <f t="shared" ref="R87" si="412">R88+Q87</f>
        <v>169720011.48900244</v>
      </c>
      <c r="S87">
        <f t="shared" ref="S87" si="413">R87/100000</f>
        <v>1697.2001148900245</v>
      </c>
      <c r="T87">
        <f t="shared" ref="T87" si="414">S87/1000</f>
        <v>1.6972001148900244</v>
      </c>
    </row>
    <row r="88" spans="1:20" x14ac:dyDescent="0.25">
      <c r="A88" s="5">
        <v>44505</v>
      </c>
      <c r="B88">
        <v>51.9</v>
      </c>
      <c r="C88">
        <v>53.18</v>
      </c>
      <c r="D88">
        <v>48.76</v>
      </c>
      <c r="E88">
        <v>49.91</v>
      </c>
      <c r="F88">
        <v>3677699.173</v>
      </c>
      <c r="G88">
        <v>49.91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-0.47963800904977461</v>
      </c>
      <c r="Q88">
        <f t="shared" ref="Q88" si="416">F88*P88</f>
        <v>-1763964.3092217227</v>
      </c>
      <c r="R88">
        <f t="shared" ref="R88" si="417">R89+Q88</f>
        <v>167133792.66267264</v>
      </c>
      <c r="S88">
        <f t="shared" ref="S88" si="418">R88/100000</f>
        <v>1671.3379266267264</v>
      </c>
      <c r="T88">
        <f t="shared" ref="T88" si="419">S88/1000</f>
        <v>1.6713379266267263</v>
      </c>
    </row>
    <row r="89" spans="1:20" x14ac:dyDescent="0.25">
      <c r="A89" s="5">
        <v>44504</v>
      </c>
      <c r="B89">
        <v>47.99</v>
      </c>
      <c r="C89">
        <v>52.19</v>
      </c>
      <c r="D89">
        <v>46.03</v>
      </c>
      <c r="E89">
        <v>51.9</v>
      </c>
      <c r="F89">
        <v>6170582.7549999999</v>
      </c>
      <c r="G89">
        <v>51.9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0.90584415584415612</v>
      </c>
      <c r="Q89">
        <f t="shared" ref="Q89" si="421">F89*P89</f>
        <v>5589586.3267694823</v>
      </c>
      <c r="R89">
        <f t="shared" ref="R89" si="422">R90+Q89</f>
        <v>168897756.97189435</v>
      </c>
      <c r="S89">
        <f t="shared" ref="S89" si="423">R89/100000</f>
        <v>1688.9775697189436</v>
      </c>
      <c r="T89">
        <f t="shared" ref="T89" si="424">S89/1000</f>
        <v>1.6889775697189437</v>
      </c>
    </row>
    <row r="90" spans="1:20" x14ac:dyDescent="0.25">
      <c r="A90" s="5">
        <v>44503</v>
      </c>
      <c r="B90">
        <v>44.75</v>
      </c>
      <c r="C90">
        <v>49.73</v>
      </c>
      <c r="D90">
        <v>43.83</v>
      </c>
      <c r="E90">
        <v>47.99</v>
      </c>
      <c r="F90">
        <v>6745823.9989999998</v>
      </c>
      <c r="G90">
        <v>47.99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0.41016949152542531</v>
      </c>
      <c r="Q90">
        <f t="shared" ref="Q90" si="426">F90*P90</f>
        <v>2766931.1995898411</v>
      </c>
      <c r="R90">
        <f t="shared" ref="R90" si="427">R91+Q90</f>
        <v>163308170.64512488</v>
      </c>
      <c r="S90">
        <f t="shared" ref="S90" si="428">R90/100000</f>
        <v>1633.0817064512489</v>
      </c>
      <c r="T90">
        <f t="shared" ref="T90" si="429">S90/1000</f>
        <v>1.6330817064512488</v>
      </c>
    </row>
    <row r="91" spans="1:20" x14ac:dyDescent="0.25">
      <c r="A91" s="5">
        <v>44502</v>
      </c>
      <c r="B91">
        <v>44.06</v>
      </c>
      <c r="C91">
        <v>45.48</v>
      </c>
      <c r="D91">
        <v>42.75</v>
      </c>
      <c r="E91">
        <v>44.75</v>
      </c>
      <c r="F91">
        <v>2745930.15</v>
      </c>
      <c r="G91">
        <v>44.75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0.46520146520146688</v>
      </c>
      <c r="Q91">
        <f t="shared" ref="Q91" si="431">F91*P91</f>
        <v>1277410.7291208836</v>
      </c>
      <c r="R91">
        <f t="shared" ref="R91" si="432">R92+Q91</f>
        <v>160541239.44553503</v>
      </c>
      <c r="S91">
        <f t="shared" ref="S91" si="433">R91/100000</f>
        <v>1605.4123944553503</v>
      </c>
      <c r="T91">
        <f t="shared" ref="T91" si="434">S91/1000</f>
        <v>1.6054123944553502</v>
      </c>
    </row>
    <row r="92" spans="1:20" x14ac:dyDescent="0.25">
      <c r="A92" s="5">
        <v>44501</v>
      </c>
      <c r="B92">
        <v>42.9</v>
      </c>
      <c r="C92">
        <v>44.35</v>
      </c>
      <c r="D92">
        <v>41.53</v>
      </c>
      <c r="E92">
        <v>44.04</v>
      </c>
      <c r="F92">
        <v>2774941.84</v>
      </c>
      <c r="G92">
        <v>44.04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0.78014184397162967</v>
      </c>
      <c r="Q92">
        <f t="shared" ref="Q92" si="436">F92*P92</f>
        <v>2164848.2439716267</v>
      </c>
      <c r="R92">
        <f t="shared" ref="R92" si="437">R93+Q92</f>
        <v>159263828.71641415</v>
      </c>
      <c r="S92">
        <f t="shared" ref="S92" si="438">R92/100000</f>
        <v>1592.6382871641415</v>
      </c>
      <c r="T92">
        <f t="shared" ref="T92" si="439">S92/1000</f>
        <v>1.5926382871641416</v>
      </c>
    </row>
    <row r="93" spans="1:20" x14ac:dyDescent="0.25">
      <c r="A93" s="5">
        <v>44500</v>
      </c>
      <c r="B93">
        <v>43.3</v>
      </c>
      <c r="C93">
        <v>43.64</v>
      </c>
      <c r="D93">
        <v>41.18</v>
      </c>
      <c r="E93">
        <v>42.89</v>
      </c>
      <c r="F93">
        <v>2552995.14</v>
      </c>
      <c r="G93">
        <v>42.89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0.39024390243902463</v>
      </c>
      <c r="Q93">
        <f t="shared" ref="Q93" si="441">F93*P93</f>
        <v>996290.78634146403</v>
      </c>
      <c r="R93">
        <f t="shared" ref="R93" si="442">R94+Q93</f>
        <v>157098980.47244254</v>
      </c>
      <c r="S93">
        <f t="shared" ref="S93" si="443">R93/100000</f>
        <v>1570.9898047244253</v>
      </c>
      <c r="T93">
        <f t="shared" ref="T93" si="444">S93/1000</f>
        <v>1.5709898047244253</v>
      </c>
    </row>
    <row r="94" spans="1:20" x14ac:dyDescent="0.25">
      <c r="A94" s="5">
        <v>44499</v>
      </c>
      <c r="B94">
        <v>45.7</v>
      </c>
      <c r="C94">
        <v>45.75</v>
      </c>
      <c r="D94">
        <v>42.41</v>
      </c>
      <c r="E94">
        <v>43.31</v>
      </c>
      <c r="F94">
        <v>2504175.13</v>
      </c>
      <c r="G94">
        <v>43.31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-0.46107784431137439</v>
      </c>
      <c r="Q94">
        <f t="shared" ref="Q94" si="446">F94*P94</f>
        <v>-1154619.6707185556</v>
      </c>
      <c r="R94">
        <f t="shared" ref="R94" si="447">R95+Q94</f>
        <v>156102689.68610108</v>
      </c>
      <c r="S94">
        <f t="shared" ref="S94" si="448">R94/100000</f>
        <v>1561.0268968610108</v>
      </c>
      <c r="T94">
        <f t="shared" ref="T94" si="449">S94/1000</f>
        <v>1.5610268968610108</v>
      </c>
    </row>
    <row r="95" spans="1:20" x14ac:dyDescent="0.25">
      <c r="A95" s="5">
        <v>44498</v>
      </c>
      <c r="B95">
        <v>42.96</v>
      </c>
      <c r="C95">
        <v>46</v>
      </c>
      <c r="D95">
        <v>42.19</v>
      </c>
      <c r="E95">
        <v>45.69</v>
      </c>
      <c r="F95">
        <v>3675447.54</v>
      </c>
      <c r="G95">
        <v>45.69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0.837270341207348</v>
      </c>
      <c r="Q95">
        <f t="shared" ref="Q95" si="451">F95*P95</f>
        <v>3077343.215905508</v>
      </c>
      <c r="R95">
        <f t="shared" ref="R95" si="452">R96+Q95</f>
        <v>157257309.35681963</v>
      </c>
      <c r="S95">
        <f t="shared" ref="S95" si="453">R95/100000</f>
        <v>1572.5730935681963</v>
      </c>
      <c r="T95">
        <f t="shared" ref="T95" si="454">S95/1000</f>
        <v>1.5725730935681963</v>
      </c>
    </row>
    <row r="96" spans="1:20" x14ac:dyDescent="0.25">
      <c r="A96" s="5">
        <v>44497</v>
      </c>
      <c r="B96">
        <v>39.9</v>
      </c>
      <c r="C96">
        <v>43.69</v>
      </c>
      <c r="D96">
        <v>39.54</v>
      </c>
      <c r="E96">
        <v>42.94</v>
      </c>
      <c r="F96">
        <v>4870457.93</v>
      </c>
      <c r="G96">
        <v>42.94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0.63855421686746971</v>
      </c>
      <c r="Q96">
        <f t="shared" ref="Q96" si="456">F96*P96</f>
        <v>3110051.4492771076</v>
      </c>
      <c r="R96">
        <f t="shared" ref="R96" si="457">R97+Q96</f>
        <v>154179966.14091411</v>
      </c>
      <c r="S96">
        <f t="shared" ref="S96" si="458">R96/100000</f>
        <v>1541.7996614091412</v>
      </c>
      <c r="T96">
        <f t="shared" ref="T96" si="459">S96/1000</f>
        <v>1.5417996614091412</v>
      </c>
    </row>
    <row r="97" spans="1:20" x14ac:dyDescent="0.25">
      <c r="A97" s="5">
        <v>44496</v>
      </c>
      <c r="B97">
        <v>43.9</v>
      </c>
      <c r="C97">
        <v>44.9</v>
      </c>
      <c r="D97">
        <v>38</v>
      </c>
      <c r="E97">
        <v>39.909999999999997</v>
      </c>
      <c r="F97">
        <v>9008935.1600000001</v>
      </c>
      <c r="G97">
        <v>39.909999999999997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-0.44637681159420378</v>
      </c>
      <c r="Q97">
        <f t="shared" ref="Q97" si="461">F97*P97</f>
        <v>-4021379.7525797184</v>
      </c>
      <c r="R97">
        <f t="shared" ref="R97" si="462">R98+Q97</f>
        <v>151069914.69163701</v>
      </c>
      <c r="S97">
        <f t="shared" ref="S97" si="463">R97/100000</f>
        <v>1510.6991469163702</v>
      </c>
      <c r="T97">
        <f t="shared" ref="T97" si="464">S97/1000</f>
        <v>1.5106991469163702</v>
      </c>
    </row>
    <row r="98" spans="1:20" x14ac:dyDescent="0.25">
      <c r="A98" s="5">
        <v>44495</v>
      </c>
      <c r="B98">
        <v>42.86</v>
      </c>
      <c r="C98">
        <v>47</v>
      </c>
      <c r="D98">
        <v>42.68</v>
      </c>
      <c r="E98">
        <v>43.87</v>
      </c>
      <c r="F98">
        <v>6929436.6799999997</v>
      </c>
      <c r="G98">
        <v>43.87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-0.44907407407407518</v>
      </c>
      <c r="Q98">
        <f t="shared" ref="Q98" si="466">F98*P98</f>
        <v>-3111830.3609259333</v>
      </c>
      <c r="R98">
        <f t="shared" ref="R98" si="467">R99+Q98</f>
        <v>155091294.44421673</v>
      </c>
      <c r="S98">
        <f t="shared" ref="S98" si="468">R98/100000</f>
        <v>1550.9129444421674</v>
      </c>
      <c r="T98">
        <f t="shared" ref="T98" si="469">S98/1000</f>
        <v>1.5509129444421674</v>
      </c>
    </row>
    <row r="99" spans="1:20" x14ac:dyDescent="0.25">
      <c r="A99" s="5">
        <v>44494</v>
      </c>
      <c r="B99">
        <v>41.39</v>
      </c>
      <c r="C99">
        <v>43.8</v>
      </c>
      <c r="D99">
        <v>41.21</v>
      </c>
      <c r="E99">
        <v>42.86</v>
      </c>
      <c r="F99">
        <v>3607499</v>
      </c>
      <c r="G99">
        <v>42.86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0.27413127413127486</v>
      </c>
      <c r="Q99">
        <f t="shared" ref="Q99" si="471">F99*P99</f>
        <v>988928.29729729996</v>
      </c>
      <c r="R99">
        <f t="shared" ref="R99" si="472">R100+Q99</f>
        <v>158203124.80514267</v>
      </c>
      <c r="S99">
        <f t="shared" ref="S99" si="473">R99/100000</f>
        <v>1582.0312480514267</v>
      </c>
      <c r="T99">
        <f t="shared" ref="T99" si="474">S99/1000</f>
        <v>1.5820312480514267</v>
      </c>
    </row>
    <row r="100" spans="1:20" x14ac:dyDescent="0.25">
      <c r="A100" s="5">
        <v>44493</v>
      </c>
      <c r="B100">
        <v>43.11</v>
      </c>
      <c r="C100">
        <v>43.56</v>
      </c>
      <c r="D100">
        <v>39.92</v>
      </c>
      <c r="E100">
        <v>41.39</v>
      </c>
      <c r="F100">
        <v>3685849.75</v>
      </c>
      <c r="G100">
        <v>41.39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-0.19230769230769307</v>
      </c>
      <c r="Q100">
        <f t="shared" ref="Q100" si="476">F100*P100</f>
        <v>-708817.25961538742</v>
      </c>
      <c r="R100">
        <f t="shared" ref="R100" si="477">R101+Q100</f>
        <v>157214196.50784537</v>
      </c>
      <c r="S100">
        <f t="shared" ref="S100" si="478">R100/100000</f>
        <v>1572.1419650784537</v>
      </c>
      <c r="T100">
        <f t="shared" ref="T100" si="479">S100/1000</f>
        <v>1.5721419650784538</v>
      </c>
    </row>
    <row r="101" spans="1:20" x14ac:dyDescent="0.25">
      <c r="A101" s="5">
        <v>44492</v>
      </c>
      <c r="B101">
        <v>43.7</v>
      </c>
      <c r="C101">
        <v>44.1</v>
      </c>
      <c r="D101">
        <v>41.46</v>
      </c>
      <c r="E101">
        <v>43.12</v>
      </c>
      <c r="F101">
        <v>3972694.14</v>
      </c>
      <c r="G101">
        <v>43.12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0.25757575757575474</v>
      </c>
      <c r="Q101">
        <f t="shared" ref="Q101" si="481">F101*P101</f>
        <v>1023269.7027272615</v>
      </c>
      <c r="R101">
        <f t="shared" ref="R101" si="482">R102+Q101</f>
        <v>157923013.76746076</v>
      </c>
      <c r="S101">
        <f t="shared" ref="S101" si="483">R101/100000</f>
        <v>1579.2301376746077</v>
      </c>
      <c r="T101">
        <f t="shared" ref="T101" si="484">S101/1000</f>
        <v>1.5792301376746076</v>
      </c>
    </row>
    <row r="102" spans="1:20" x14ac:dyDescent="0.25">
      <c r="A102" s="5">
        <v>44491</v>
      </c>
      <c r="B102">
        <v>40.94</v>
      </c>
      <c r="C102">
        <v>45.54</v>
      </c>
      <c r="D102">
        <v>40.880000000000003</v>
      </c>
      <c r="E102">
        <v>43.69</v>
      </c>
      <c r="F102">
        <v>9287487.9299999997</v>
      </c>
      <c r="G102">
        <v>43.69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0.20600858369098593</v>
      </c>
      <c r="Q102">
        <f t="shared" ref="Q102" si="486">F102*P102</f>
        <v>1913302.2345064266</v>
      </c>
      <c r="R102">
        <f t="shared" ref="R102" si="487">R103+Q102</f>
        <v>156899744.06473351</v>
      </c>
      <c r="S102">
        <f t="shared" ref="S102" si="488">R102/100000</f>
        <v>1568.997440647335</v>
      </c>
      <c r="T102">
        <f t="shared" ref="T102" si="489">S102/1000</f>
        <v>1.568997440647335</v>
      </c>
    </row>
    <row r="103" spans="1:20" x14ac:dyDescent="0.25">
      <c r="A103" s="5">
        <v>44490</v>
      </c>
      <c r="B103">
        <v>42.63</v>
      </c>
      <c r="C103">
        <v>43.65</v>
      </c>
      <c r="D103">
        <v>38.99</v>
      </c>
      <c r="E103">
        <v>40.950000000000003</v>
      </c>
      <c r="F103">
        <v>7773715.75</v>
      </c>
      <c r="G103">
        <v>40.950000000000003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-0.15879828326180159</v>
      </c>
      <c r="Q103">
        <f t="shared" ref="Q103" si="491">F103*P103</f>
        <v>-1234452.7156652284</v>
      </c>
      <c r="R103">
        <f t="shared" ref="R103" si="492">R104+Q103</f>
        <v>154986441.83022708</v>
      </c>
      <c r="S103">
        <f t="shared" ref="S103" si="493">R103/100000</f>
        <v>1549.8644183022707</v>
      </c>
      <c r="T103">
        <f t="shared" ref="T103" si="494">S103/1000</f>
        <v>1.5498644183022707</v>
      </c>
    </row>
    <row r="104" spans="1:20" x14ac:dyDescent="0.25">
      <c r="A104" s="5">
        <v>44489</v>
      </c>
      <c r="B104">
        <v>37.72</v>
      </c>
      <c r="C104">
        <v>44</v>
      </c>
      <c r="D104">
        <v>37.67</v>
      </c>
      <c r="E104">
        <v>42.63</v>
      </c>
      <c r="F104">
        <v>7844276.6600000001</v>
      </c>
      <c r="G104">
        <v>42.63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0.56714060031595648</v>
      </c>
      <c r="Q104">
        <f t="shared" ref="Q104" si="496">F104*P104</f>
        <v>4448807.7739968458</v>
      </c>
      <c r="R104">
        <f t="shared" ref="R104" si="497">R105+Q104</f>
        <v>156220894.5458923</v>
      </c>
      <c r="S104">
        <f t="shared" ref="S104" si="498">R104/100000</f>
        <v>1562.2089454589229</v>
      </c>
      <c r="T104">
        <f t="shared" ref="T104" si="499">S104/1000</f>
        <v>1.562208945458923</v>
      </c>
    </row>
    <row r="105" spans="1:20" x14ac:dyDescent="0.25">
      <c r="A105" s="5">
        <v>44488</v>
      </c>
      <c r="B105">
        <v>35.81</v>
      </c>
      <c r="C105">
        <v>38.4</v>
      </c>
      <c r="D105">
        <v>35.57</v>
      </c>
      <c r="E105">
        <v>37.71</v>
      </c>
      <c r="F105">
        <v>3425151.99</v>
      </c>
      <c r="G105">
        <v>37.71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0.51236749116607905</v>
      </c>
      <c r="Q105">
        <f t="shared" ref="Q105" si="501">F105*P105</f>
        <v>1754936.5319788032</v>
      </c>
      <c r="R105">
        <f t="shared" ref="R105" si="502">R106+Q105</f>
        <v>151772086.77189544</v>
      </c>
      <c r="S105">
        <f t="shared" ref="S105" si="503">R105/100000</f>
        <v>1517.7208677189544</v>
      </c>
      <c r="T105">
        <f t="shared" ref="T105" si="504">S105/1000</f>
        <v>1.5177208677189544</v>
      </c>
    </row>
    <row r="106" spans="1:20" x14ac:dyDescent="0.25">
      <c r="A106" s="5">
        <v>44487</v>
      </c>
      <c r="B106">
        <v>36.19</v>
      </c>
      <c r="C106">
        <v>37.35</v>
      </c>
      <c r="D106">
        <v>35.29</v>
      </c>
      <c r="E106">
        <v>35.83</v>
      </c>
      <c r="F106">
        <v>2884626.06</v>
      </c>
      <c r="G106">
        <v>35.83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-0.47572815533980722</v>
      </c>
      <c r="Q106">
        <f t="shared" ref="Q106" si="506">F106*P106</f>
        <v>-1372297.834368936</v>
      </c>
      <c r="R106">
        <f t="shared" ref="R106" si="507">R107+Q106</f>
        <v>150017150.23991662</v>
      </c>
      <c r="S106">
        <f t="shared" ref="S106" si="508">R106/100000</f>
        <v>1500.1715023991662</v>
      </c>
      <c r="T106">
        <f t="shared" ref="T106" si="509">S106/1000</f>
        <v>1.5001715023991662</v>
      </c>
    </row>
    <row r="107" spans="1:20" x14ac:dyDescent="0.25">
      <c r="A107" s="5">
        <v>44486</v>
      </c>
      <c r="B107">
        <v>36.619999999999997</v>
      </c>
      <c r="C107">
        <v>37.4</v>
      </c>
      <c r="D107">
        <v>34.979999999999997</v>
      </c>
      <c r="E107">
        <v>36.18</v>
      </c>
      <c r="F107">
        <v>3006957.05</v>
      </c>
      <c r="G107">
        <v>36.18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-8.2644628099157059E-3</v>
      </c>
      <c r="Q107">
        <f t="shared" ref="Q107" si="511">F107*P107</f>
        <v>-24850.884710738839</v>
      </c>
      <c r="R107">
        <f t="shared" ref="R107" si="512">R108+Q107</f>
        <v>151389448.07428557</v>
      </c>
      <c r="S107">
        <f t="shared" ref="S107" si="513">R107/100000</f>
        <v>1513.8944807428556</v>
      </c>
      <c r="T107">
        <f t="shared" ref="T107" si="514">S107/1000</f>
        <v>1.5138944807428556</v>
      </c>
    </row>
    <row r="108" spans="1:20" x14ac:dyDescent="0.25">
      <c r="A108" s="5">
        <v>44485</v>
      </c>
      <c r="B108">
        <v>36.979999999999997</v>
      </c>
      <c r="C108">
        <v>38.43</v>
      </c>
      <c r="D108">
        <v>36.24</v>
      </c>
      <c r="E108">
        <v>36.630000000000003</v>
      </c>
      <c r="F108">
        <v>2844496.36</v>
      </c>
      <c r="G108">
        <v>36.630000000000003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-0.6438356164383553</v>
      </c>
      <c r="Q108">
        <f t="shared" ref="Q108" si="516">F108*P108</f>
        <v>-1831388.0673972578</v>
      </c>
      <c r="R108">
        <f t="shared" ref="R108" si="517">R109+Q108</f>
        <v>151414298.9589963</v>
      </c>
      <c r="S108">
        <f t="shared" ref="S108" si="518">R108/100000</f>
        <v>1514.142989589963</v>
      </c>
      <c r="T108">
        <f t="shared" ref="T108" si="519">S108/1000</f>
        <v>1.514142989589963</v>
      </c>
    </row>
    <row r="109" spans="1:20" x14ac:dyDescent="0.25">
      <c r="A109" s="5">
        <v>44484</v>
      </c>
      <c r="B109">
        <v>37.15</v>
      </c>
      <c r="C109">
        <v>38</v>
      </c>
      <c r="D109">
        <v>35.67</v>
      </c>
      <c r="E109">
        <v>36.979999999999997</v>
      </c>
      <c r="F109">
        <v>4660171.3099999996</v>
      </c>
      <c r="G109">
        <v>36.979999999999997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0.12446351931330139</v>
      </c>
      <c r="Q109">
        <f t="shared" ref="Q109" si="521">F109*P109</f>
        <v>580021.32184547803</v>
      </c>
      <c r="R109">
        <f t="shared" ref="R109" si="522">R110+Q109</f>
        <v>153245687.02639356</v>
      </c>
      <c r="S109">
        <f t="shared" ref="S109" si="523">R109/100000</f>
        <v>1532.4568702639356</v>
      </c>
      <c r="T109">
        <f t="shared" ref="T109" si="524">S109/1000</f>
        <v>1.5324568702639356</v>
      </c>
    </row>
    <row r="110" spans="1:20" x14ac:dyDescent="0.25">
      <c r="A110" s="5">
        <v>44483</v>
      </c>
      <c r="B110">
        <v>36.590000000000003</v>
      </c>
      <c r="C110">
        <v>39.75</v>
      </c>
      <c r="D110">
        <v>36.14</v>
      </c>
      <c r="E110">
        <v>37.15</v>
      </c>
      <c r="F110">
        <v>5969678.9699999997</v>
      </c>
      <c r="G110">
        <v>37.15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-0.4404432132963999</v>
      </c>
      <c r="Q110">
        <f t="shared" ref="Q110" si="526">F110*P110</f>
        <v>-2629304.5878947428</v>
      </c>
      <c r="R110">
        <f t="shared" ref="R110" si="527">R111+Q110</f>
        <v>152665665.70454809</v>
      </c>
      <c r="S110">
        <f t="shared" ref="S110" si="528">R110/100000</f>
        <v>1526.6566570454809</v>
      </c>
      <c r="T110">
        <f t="shared" ref="T110" si="529">S110/1000</f>
        <v>1.5266566570454809</v>
      </c>
    </row>
    <row r="111" spans="1:20" x14ac:dyDescent="0.25">
      <c r="A111" s="5">
        <v>44482</v>
      </c>
      <c r="B111">
        <v>37.58</v>
      </c>
      <c r="C111">
        <v>38.92</v>
      </c>
      <c r="D111">
        <v>34.86</v>
      </c>
      <c r="E111">
        <v>36.6</v>
      </c>
      <c r="F111">
        <v>5889598.9800000004</v>
      </c>
      <c r="G111">
        <v>36.6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-0.14285714285714235</v>
      </c>
      <c r="Q111">
        <f t="shared" ref="Q111" si="531">F111*P111</f>
        <v>-841371.28285713994</v>
      </c>
      <c r="R111">
        <f t="shared" ref="R111" si="532">R112+Q111</f>
        <v>155294970.29244283</v>
      </c>
      <c r="S111">
        <f t="shared" ref="S111" si="533">R111/100000</f>
        <v>1552.9497029244283</v>
      </c>
      <c r="T111">
        <f t="shared" ref="T111" si="534">S111/1000</f>
        <v>1.5529497029244284</v>
      </c>
    </row>
    <row r="112" spans="1:20" x14ac:dyDescent="0.25">
      <c r="A112" s="5">
        <v>44481</v>
      </c>
      <c r="B112">
        <v>39.159999999999997</v>
      </c>
      <c r="C112">
        <v>39.17</v>
      </c>
      <c r="D112">
        <v>35.26</v>
      </c>
      <c r="E112">
        <v>37.590000000000003</v>
      </c>
      <c r="F112">
        <v>6482099.4500000002</v>
      </c>
      <c r="G112">
        <v>37.590000000000003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0.19181585677749524</v>
      </c>
      <c r="Q112">
        <f t="shared" ref="Q112" si="536">F112*P112</f>
        <v>1243369.4597186807</v>
      </c>
      <c r="R112">
        <f t="shared" ref="R112" si="537">R113+Q112</f>
        <v>156136341.57529998</v>
      </c>
      <c r="S112">
        <f t="shared" ref="S112" si="538">R112/100000</f>
        <v>1561.3634157529998</v>
      </c>
      <c r="T112">
        <f t="shared" ref="T112" si="539">S112/1000</f>
        <v>1.5613634157529999</v>
      </c>
    </row>
    <row r="113" spans="1:20" x14ac:dyDescent="0.25">
      <c r="A113" s="5">
        <v>44480</v>
      </c>
      <c r="B113">
        <v>39.229999999999997</v>
      </c>
      <c r="C113">
        <v>40.74</v>
      </c>
      <c r="D113">
        <v>37.5</v>
      </c>
      <c r="E113">
        <v>39.15</v>
      </c>
      <c r="F113">
        <v>5036412.83</v>
      </c>
      <c r="G113">
        <v>39.15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1.8518518518517015E-2</v>
      </c>
      <c r="Q113">
        <f t="shared" ref="Q113" si="541">F113*P113</f>
        <v>93266.904259251693</v>
      </c>
      <c r="R113">
        <f t="shared" ref="R113" si="542">R114+Q113</f>
        <v>154892972.1155813</v>
      </c>
      <c r="S113">
        <f t="shared" ref="S113" si="543">R113/100000</f>
        <v>1548.929721155813</v>
      </c>
      <c r="T113">
        <f t="shared" ref="T113" si="544">S113/1000</f>
        <v>1.5489297211558131</v>
      </c>
    </row>
    <row r="114" spans="1:20" x14ac:dyDescent="0.25">
      <c r="A114" s="5">
        <v>44479</v>
      </c>
      <c r="B114">
        <v>42.49</v>
      </c>
      <c r="C114">
        <v>43.27</v>
      </c>
      <c r="D114">
        <v>39.01</v>
      </c>
      <c r="E114">
        <v>39.229999999999997</v>
      </c>
      <c r="F114">
        <v>3977798.2</v>
      </c>
      <c r="G114">
        <v>39.229999999999997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-0.8967136150234748</v>
      </c>
      <c r="Q114">
        <f t="shared" ref="Q114" si="546">F114*P114</f>
        <v>-3566945.803755871</v>
      </c>
      <c r="R114">
        <f t="shared" ref="R114" si="547">R115+Q114</f>
        <v>154799705.21132204</v>
      </c>
      <c r="S114">
        <f t="shared" ref="S114" si="548">R114/100000</f>
        <v>1547.9970521132204</v>
      </c>
      <c r="T114">
        <f t="shared" ref="T114" si="549">S114/1000</f>
        <v>1.5479970521132205</v>
      </c>
    </row>
    <row r="115" spans="1:20" x14ac:dyDescent="0.25">
      <c r="A115" s="5">
        <v>44478</v>
      </c>
      <c r="B115">
        <v>43.3</v>
      </c>
      <c r="C115">
        <v>44.44</v>
      </c>
      <c r="D115">
        <v>42.07</v>
      </c>
      <c r="E115">
        <v>42.5</v>
      </c>
      <c r="F115">
        <v>3206419.49</v>
      </c>
      <c r="G115">
        <v>42.5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-0.63713080168776359</v>
      </c>
      <c r="Q115">
        <f t="shared" ref="Q115" si="551">F115*P115</f>
        <v>-2042908.6202109703</v>
      </c>
      <c r="R115">
        <f t="shared" ref="R115" si="552">R116+Q115</f>
        <v>158366651.01507792</v>
      </c>
      <c r="S115">
        <f t="shared" ref="S115" si="553">R115/100000</f>
        <v>1583.6665101507792</v>
      </c>
      <c r="T115">
        <f t="shared" ref="T115" si="554">S115/1000</f>
        <v>1.5836665101507792</v>
      </c>
    </row>
    <row r="116" spans="1:20" x14ac:dyDescent="0.25">
      <c r="A116" s="5">
        <v>44477</v>
      </c>
      <c r="B116">
        <v>46.57</v>
      </c>
      <c r="C116">
        <v>48.56</v>
      </c>
      <c r="D116">
        <v>43.07</v>
      </c>
      <c r="E116">
        <v>43.3</v>
      </c>
      <c r="F116">
        <v>6068454.9800000004</v>
      </c>
      <c r="G116">
        <v>43.3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-0.91621129326047479</v>
      </c>
      <c r="Q116">
        <f t="shared" ref="Q116" si="556">F116*P116</f>
        <v>-5559986.9853187688</v>
      </c>
      <c r="R116">
        <f t="shared" ref="R116" si="557">R117+Q116</f>
        <v>160409559.63528889</v>
      </c>
      <c r="S116">
        <f t="shared" ref="S116" si="558">R116/100000</f>
        <v>1604.0955963528888</v>
      </c>
      <c r="T116">
        <f t="shared" ref="T116" si="559">S116/1000</f>
        <v>1.6040955963528889</v>
      </c>
    </row>
    <row r="117" spans="1:20" x14ac:dyDescent="0.25">
      <c r="A117" s="5">
        <v>44476</v>
      </c>
      <c r="B117">
        <v>42.01</v>
      </c>
      <c r="C117">
        <v>47.5</v>
      </c>
      <c r="D117">
        <v>40.86</v>
      </c>
      <c r="E117">
        <v>46.58</v>
      </c>
      <c r="F117">
        <v>6857474.75</v>
      </c>
      <c r="G117">
        <v>46.58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0.72289156626505979</v>
      </c>
      <c r="Q117">
        <f t="shared" ref="Q117" si="561">F117*P117</f>
        <v>4957210.6626505991</v>
      </c>
      <c r="R117">
        <f t="shared" ref="R117" si="562">R118+Q117</f>
        <v>165969546.62060767</v>
      </c>
      <c r="S117">
        <f t="shared" ref="S117" si="563">R117/100000</f>
        <v>1659.6954662060768</v>
      </c>
      <c r="T117">
        <f t="shared" ref="T117" si="564">S117/1000</f>
        <v>1.6596954662060768</v>
      </c>
    </row>
    <row r="118" spans="1:20" x14ac:dyDescent="0.25">
      <c r="A118" s="5">
        <v>44475</v>
      </c>
      <c r="B118">
        <v>44.69</v>
      </c>
      <c r="C118">
        <v>44.82</v>
      </c>
      <c r="D118">
        <v>40.380000000000003</v>
      </c>
      <c r="E118">
        <v>42.02</v>
      </c>
      <c r="F118">
        <v>6913304.8399999999</v>
      </c>
      <c r="G118">
        <v>42.02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-0.26126126126126065</v>
      </c>
      <c r="Q118">
        <f t="shared" ref="Q118" si="566">F118*P118</f>
        <v>-1806178.7419819776</v>
      </c>
      <c r="R118">
        <f t="shared" ref="R118" si="567">R119+Q118</f>
        <v>161012335.95795709</v>
      </c>
      <c r="S118">
        <f t="shared" ref="S118" si="568">R118/100000</f>
        <v>1610.1233595795709</v>
      </c>
      <c r="T118">
        <f t="shared" ref="T118" si="569">S118/1000</f>
        <v>1.610123359579571</v>
      </c>
    </row>
    <row r="119" spans="1:20" x14ac:dyDescent="0.25">
      <c r="A119" s="5">
        <v>44474</v>
      </c>
      <c r="B119">
        <v>46.81</v>
      </c>
      <c r="C119">
        <v>47.3</v>
      </c>
      <c r="D119">
        <v>43.39</v>
      </c>
      <c r="E119">
        <v>44.66</v>
      </c>
      <c r="F119">
        <v>6420680.5300000003</v>
      </c>
      <c r="G119">
        <v>44.66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-0.35038363171355646</v>
      </c>
      <c r="Q119">
        <f t="shared" ref="Q119" si="571">F119*P119</f>
        <v>-2249701.3621739228</v>
      </c>
      <c r="R119">
        <f t="shared" ref="R119" si="572">R120+Q119</f>
        <v>162818514.69993907</v>
      </c>
      <c r="S119">
        <f t="shared" ref="S119" si="573">R119/100000</f>
        <v>1628.1851469993908</v>
      </c>
      <c r="T119">
        <f t="shared" ref="T119" si="574">S119/1000</f>
        <v>1.6281851469993909</v>
      </c>
    </row>
    <row r="120" spans="1:20" x14ac:dyDescent="0.25">
      <c r="A120" s="5">
        <v>44473</v>
      </c>
      <c r="B120">
        <v>42.77</v>
      </c>
      <c r="C120">
        <v>49.54</v>
      </c>
      <c r="D120">
        <v>41.56</v>
      </c>
      <c r="E120">
        <v>47.27</v>
      </c>
      <c r="F120">
        <v>12640871.153000001</v>
      </c>
      <c r="G120">
        <v>47.27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0.43107769423558973</v>
      </c>
      <c r="Q120">
        <f t="shared" ref="Q120" si="576">F120*P120</f>
        <v>5449197.5897644209</v>
      </c>
      <c r="R120">
        <f t="shared" ref="R120" si="577">R121+Q120</f>
        <v>165068216.06211299</v>
      </c>
      <c r="S120">
        <f t="shared" ref="S120" si="578">R120/100000</f>
        <v>1650.6821606211299</v>
      </c>
      <c r="T120">
        <f t="shared" ref="T120" si="579">S120/1000</f>
        <v>1.6506821606211299</v>
      </c>
    </row>
    <row r="121" spans="1:20" x14ac:dyDescent="0.25">
      <c r="A121" s="5">
        <v>44472</v>
      </c>
      <c r="B121">
        <v>41.5</v>
      </c>
      <c r="C121">
        <v>46.17</v>
      </c>
      <c r="D121">
        <v>41.49</v>
      </c>
      <c r="E121">
        <v>42.88</v>
      </c>
      <c r="F121">
        <v>10651730.182</v>
      </c>
      <c r="G121">
        <v>42.88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-0.40598290598290571</v>
      </c>
      <c r="Q121">
        <f t="shared" ref="Q121" si="581">F121*P121</f>
        <v>-4324420.3730341848</v>
      </c>
      <c r="R121">
        <f t="shared" ref="R121" si="582">R122+Q121</f>
        <v>159619018.47234857</v>
      </c>
      <c r="S121">
        <f t="shared" ref="S121" si="583">R121/100000</f>
        <v>1596.1901847234858</v>
      </c>
      <c r="T121">
        <f t="shared" ref="T121" si="584">S121/1000</f>
        <v>1.5961901847234858</v>
      </c>
    </row>
    <row r="122" spans="1:20" x14ac:dyDescent="0.25">
      <c r="A122" s="5">
        <v>44471</v>
      </c>
      <c r="B122">
        <v>37.770000000000003</v>
      </c>
      <c r="C122">
        <v>43.6</v>
      </c>
      <c r="D122">
        <v>37.1</v>
      </c>
      <c r="E122">
        <v>41.49</v>
      </c>
      <c r="F122">
        <v>8652783.5199999996</v>
      </c>
      <c r="G122">
        <v>41.49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0.35076923076923094</v>
      </c>
      <c r="Q122">
        <f t="shared" ref="Q122" si="586">F122*P122</f>
        <v>3035130.2193230782</v>
      </c>
      <c r="R122">
        <f t="shared" ref="R122" si="587">R123+Q122</f>
        <v>163943438.84538275</v>
      </c>
      <c r="S122">
        <f t="shared" ref="S122" si="588">R122/100000</f>
        <v>1639.4343884538275</v>
      </c>
      <c r="T122">
        <f t="shared" ref="T122" si="589">S122/1000</f>
        <v>1.6394343884538276</v>
      </c>
    </row>
    <row r="123" spans="1:20" x14ac:dyDescent="0.25">
      <c r="A123" s="5">
        <v>44470</v>
      </c>
      <c r="B123">
        <v>38.840000000000003</v>
      </c>
      <c r="C123">
        <v>40.11</v>
      </c>
      <c r="D123">
        <v>36.450000000000003</v>
      </c>
      <c r="E123">
        <v>37.76</v>
      </c>
      <c r="F123">
        <v>8251600</v>
      </c>
      <c r="G123">
        <v>37.76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-0.28415300546448286</v>
      </c>
      <c r="Q123">
        <f t="shared" ref="Q123" si="591">F123*P123</f>
        <v>-2344716.9398907269</v>
      </c>
      <c r="R123">
        <f t="shared" ref="R123" si="592">R124+Q123</f>
        <v>160908308.62605968</v>
      </c>
      <c r="S123">
        <f t="shared" ref="S123" si="593">R123/100000</f>
        <v>1609.0830862605967</v>
      </c>
      <c r="T123">
        <f t="shared" ref="T123" si="594">S123/1000</f>
        <v>1.6090830862605967</v>
      </c>
    </row>
    <row r="124" spans="1:20" x14ac:dyDescent="0.25">
      <c r="A124" s="5">
        <v>44469</v>
      </c>
      <c r="B124">
        <v>34.159999999999997</v>
      </c>
      <c r="C124">
        <v>38.97</v>
      </c>
      <c r="D124">
        <v>33.799999999999997</v>
      </c>
      <c r="E124">
        <v>38.83</v>
      </c>
      <c r="F124">
        <v>7140444.0199999996</v>
      </c>
      <c r="G124">
        <v>38.83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0.94584139264990308</v>
      </c>
      <c r="Q124">
        <f t="shared" ref="Q124" si="596">F124*P124</f>
        <v>6753727.5160154719</v>
      </c>
      <c r="R124">
        <f t="shared" ref="R124" si="597">R125+Q124</f>
        <v>163253025.56595039</v>
      </c>
      <c r="S124">
        <f t="shared" ref="S124" si="598">R124/100000</f>
        <v>1632.5302556595038</v>
      </c>
      <c r="T124">
        <f t="shared" ref="T124" si="599">S124/1000</f>
        <v>1.6325302556595038</v>
      </c>
    </row>
    <row r="125" spans="1:20" x14ac:dyDescent="0.25">
      <c r="A125" s="5">
        <v>44468</v>
      </c>
      <c r="B125">
        <v>33.14</v>
      </c>
      <c r="C125">
        <v>36.36</v>
      </c>
      <c r="D125">
        <v>33</v>
      </c>
      <c r="E125">
        <v>34.15</v>
      </c>
      <c r="F125">
        <v>7064439.0999999996</v>
      </c>
      <c r="G125">
        <v>34.15</v>
      </c>
      <c r="L125" t="s">
        <v>8</v>
      </c>
      <c r="M125" t="s">
        <v>7</v>
      </c>
      <c r="N125" t="s">
        <v>8</v>
      </c>
      <c r="P125">
        <f t="shared" ref="P125" si="600">IF(C125=D125,0,((E125-D125)-(C125-E125))/(C125-D125))</f>
        <v>-0.31547619047619119</v>
      </c>
      <c r="Q125">
        <f t="shared" ref="Q125" si="601">F125*P125</f>
        <v>-2228662.3351190523</v>
      </c>
      <c r="R125">
        <f t="shared" ref="R125" si="602">R126+Q125</f>
        <v>156499298.04993492</v>
      </c>
      <c r="S125">
        <f t="shared" ref="S125" si="603">R125/100000</f>
        <v>1564.9929804993492</v>
      </c>
      <c r="T125">
        <f t="shared" ref="T125" si="604">S125/1000</f>
        <v>1.5649929804993492</v>
      </c>
    </row>
    <row r="126" spans="1:20" x14ac:dyDescent="0.25">
      <c r="A126" s="5">
        <v>44467</v>
      </c>
      <c r="B126">
        <v>36.79</v>
      </c>
      <c r="C126">
        <v>37.25</v>
      </c>
      <c r="D126">
        <v>32.950000000000003</v>
      </c>
      <c r="E126">
        <v>33.14</v>
      </c>
      <c r="F126">
        <v>7613730.46</v>
      </c>
      <c r="G126">
        <v>33.14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-0.91162790697674523</v>
      </c>
      <c r="Q126">
        <f t="shared" ref="Q126" si="606">F126*P126</f>
        <v>-6940889.1635348918</v>
      </c>
      <c r="R126">
        <f t="shared" ref="R126" si="607">R127+Q126</f>
        <v>158727960.38505396</v>
      </c>
      <c r="S126">
        <f t="shared" ref="S126" si="608">R126/100000</f>
        <v>1587.2796038505396</v>
      </c>
      <c r="T126">
        <f t="shared" ref="T126" si="609">S126/1000</f>
        <v>1.5872796038505397</v>
      </c>
    </row>
    <row r="127" spans="1:20" x14ac:dyDescent="0.25">
      <c r="A127" s="5">
        <v>44466</v>
      </c>
      <c r="B127">
        <v>34.67</v>
      </c>
      <c r="C127">
        <v>39.65</v>
      </c>
      <c r="D127">
        <v>33.81</v>
      </c>
      <c r="E127">
        <v>36.799999999999997</v>
      </c>
      <c r="F127">
        <v>10246643.689999999</v>
      </c>
      <c r="G127">
        <v>36.799999999999997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2.3972602739724923E-2</v>
      </c>
      <c r="Q127">
        <f t="shared" ref="Q127" si="611">F127*P127</f>
        <v>245638.71859587909</v>
      </c>
      <c r="R127">
        <f t="shared" ref="R127" si="612">R128+Q127</f>
        <v>165668849.54858884</v>
      </c>
      <c r="S127">
        <f t="shared" ref="S127" si="613">R127/100000</f>
        <v>1656.6884954858883</v>
      </c>
      <c r="T127">
        <f t="shared" ref="T127" si="614">S127/1000</f>
        <v>1.6566884954858883</v>
      </c>
    </row>
    <row r="128" spans="1:20" x14ac:dyDescent="0.25">
      <c r="A128" s="5">
        <v>44465</v>
      </c>
      <c r="B128">
        <v>37.869999999999997</v>
      </c>
      <c r="C128">
        <v>37.94</v>
      </c>
      <c r="D128">
        <v>33.26</v>
      </c>
      <c r="E128">
        <v>34.69</v>
      </c>
      <c r="F128">
        <v>9014712.6199999992</v>
      </c>
      <c r="G128">
        <v>34.69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-0.38888888888888895</v>
      </c>
      <c r="Q128">
        <f t="shared" ref="Q128" si="616">F128*P128</f>
        <v>-3505721.5744444449</v>
      </c>
      <c r="R128">
        <f t="shared" ref="R128" si="617">R129+Q128</f>
        <v>165423210.82999295</v>
      </c>
      <c r="S128">
        <f t="shared" ref="S128" si="618">R128/100000</f>
        <v>1654.2321082999295</v>
      </c>
      <c r="T128">
        <f t="shared" ref="T128" si="619">S128/1000</f>
        <v>1.6542321082999294</v>
      </c>
    </row>
    <row r="129" spans="1:20" x14ac:dyDescent="0.25">
      <c r="A129" s="5">
        <v>44464</v>
      </c>
      <c r="B129">
        <v>40.15</v>
      </c>
      <c r="C129">
        <v>40.880000000000003</v>
      </c>
      <c r="D129">
        <v>36.049999999999997</v>
      </c>
      <c r="E129">
        <v>37.869999999999997</v>
      </c>
      <c r="F129">
        <v>10372028.93</v>
      </c>
      <c r="G129">
        <v>37.869999999999997</v>
      </c>
      <c r="L129" t="s">
        <v>7</v>
      </c>
      <c r="M129" t="s">
        <v>8</v>
      </c>
      <c r="N129" t="s">
        <v>8</v>
      </c>
      <c r="P129">
        <f t="shared" ref="P129" si="620">IF(C129=D129,0,((E129-D129)-(C129-E129))/(C129-D129))</f>
        <v>-0.24637681159420363</v>
      </c>
      <c r="Q129">
        <f t="shared" ref="Q129" si="621">F129*P129</f>
        <v>-2555427.4175362396</v>
      </c>
      <c r="R129">
        <f t="shared" ref="R129" si="622">R130+Q129</f>
        <v>168928932.40443739</v>
      </c>
      <c r="S129">
        <f t="shared" ref="S129" si="623">R129/100000</f>
        <v>1689.2893240443739</v>
      </c>
      <c r="T129">
        <f t="shared" ref="T129" si="624">S129/1000</f>
        <v>1.6892893240443738</v>
      </c>
    </row>
    <row r="130" spans="1:20" x14ac:dyDescent="0.25">
      <c r="A130" s="5">
        <v>44463</v>
      </c>
      <c r="B130">
        <v>36.15</v>
      </c>
      <c r="C130">
        <v>41.28</v>
      </c>
      <c r="D130">
        <v>32.450000000000003</v>
      </c>
      <c r="E130">
        <v>40.159999999999997</v>
      </c>
      <c r="F130">
        <v>21039332.609999999</v>
      </c>
      <c r="G130">
        <v>40.159999999999997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0.7463193657984134</v>
      </c>
      <c r="Q130">
        <f t="shared" ref="Q130" si="626">F130*P130</f>
        <v>15702061.370317077</v>
      </c>
      <c r="R130">
        <f t="shared" ref="R130" si="627">R131+Q130</f>
        <v>171484359.82197362</v>
      </c>
      <c r="S130">
        <f t="shared" ref="S130" si="628">R130/100000</f>
        <v>1714.8435982197361</v>
      </c>
      <c r="T130">
        <f t="shared" ref="T130" si="629">S130/1000</f>
        <v>1.7148435982197361</v>
      </c>
    </row>
    <row r="131" spans="1:20" x14ac:dyDescent="0.25">
      <c r="A131" s="5">
        <v>44462</v>
      </c>
      <c r="B131">
        <v>33.159999999999997</v>
      </c>
      <c r="C131">
        <v>36.799999999999997</v>
      </c>
      <c r="D131">
        <v>32.340000000000003</v>
      </c>
      <c r="E131">
        <v>36.159999999999997</v>
      </c>
      <c r="F131">
        <v>10485040.08</v>
      </c>
      <c r="G131">
        <v>36.159999999999997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0.71300448430493213</v>
      </c>
      <c r="Q131">
        <f t="shared" ref="Q131" si="631">F131*P131</f>
        <v>7475880.5951569444</v>
      </c>
      <c r="R131">
        <f t="shared" ref="R131" si="632">R132+Q131</f>
        <v>155782298.45165655</v>
      </c>
      <c r="S131">
        <f t="shared" ref="S131" si="633">R131/100000</f>
        <v>1557.8229845165656</v>
      </c>
      <c r="T131">
        <f t="shared" ref="T131" si="634">S131/1000</f>
        <v>1.5578229845165656</v>
      </c>
    </row>
    <row r="132" spans="1:20" x14ac:dyDescent="0.25">
      <c r="A132" s="5">
        <v>44461</v>
      </c>
      <c r="B132">
        <v>25.15</v>
      </c>
      <c r="C132">
        <v>33.590000000000003</v>
      </c>
      <c r="D132">
        <v>25.05</v>
      </c>
      <c r="E132">
        <v>33.17</v>
      </c>
      <c r="F132">
        <v>10979477</v>
      </c>
      <c r="G132">
        <v>33.17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0.90163934426229475</v>
      </c>
      <c r="Q132">
        <f t="shared" ref="Q132" si="636">F132*P132</f>
        <v>9899528.4426229466</v>
      </c>
      <c r="R132">
        <f t="shared" ref="R132" si="637">R133+Q132</f>
        <v>148306417.85649961</v>
      </c>
      <c r="S132">
        <f t="shared" ref="S132" si="638">R132/100000</f>
        <v>1483.0641785649962</v>
      </c>
      <c r="T132">
        <f t="shared" ref="T132" si="639">S132/1000</f>
        <v>1.4830641785649961</v>
      </c>
    </row>
    <row r="133" spans="1:20" x14ac:dyDescent="0.25">
      <c r="A133" s="5">
        <v>44460</v>
      </c>
      <c r="B133">
        <v>27.52</v>
      </c>
      <c r="C133">
        <v>29.5</v>
      </c>
      <c r="D133">
        <v>23.95</v>
      </c>
      <c r="E133">
        <v>25.16</v>
      </c>
      <c r="F133">
        <v>13547038.77</v>
      </c>
      <c r="G133">
        <v>25.16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-0.56396396396396375</v>
      </c>
      <c r="Q133">
        <f t="shared" ref="Q133" si="641">F133*P133</f>
        <v>-7640041.6847027</v>
      </c>
      <c r="R133">
        <f t="shared" ref="R133" si="642">R134+Q133</f>
        <v>138406889.41387665</v>
      </c>
      <c r="S133">
        <f t="shared" ref="S133" si="643">R133/100000</f>
        <v>1384.0688941387666</v>
      </c>
      <c r="T133">
        <f t="shared" ref="T133" si="644">S133/1000</f>
        <v>1.3840688941387667</v>
      </c>
    </row>
    <row r="134" spans="1:20" x14ac:dyDescent="0.25">
      <c r="A134" s="5">
        <v>44459</v>
      </c>
      <c r="B134">
        <v>32.94</v>
      </c>
      <c r="C134">
        <v>33.04</v>
      </c>
      <c r="D134">
        <v>29.3</v>
      </c>
      <c r="E134">
        <v>30.23</v>
      </c>
      <c r="F134">
        <v>5084908.42</v>
      </c>
      <c r="G134">
        <v>30.23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-0.50267379679144375</v>
      </c>
      <c r="Q134">
        <f t="shared" ref="Q134" si="646">F134*P134</f>
        <v>-2556050.2218181812</v>
      </c>
      <c r="R134">
        <f t="shared" ref="R134" si="647">R135+Q134</f>
        <v>146046931.09857935</v>
      </c>
      <c r="S134">
        <f t="shared" ref="S134" si="648">R134/100000</f>
        <v>1460.4693109857935</v>
      </c>
      <c r="T134">
        <f t="shared" ref="T134" si="649">S134/1000</f>
        <v>1.4604693109857936</v>
      </c>
    </row>
    <row r="135" spans="1:20" x14ac:dyDescent="0.25">
      <c r="A135" s="5">
        <v>44458</v>
      </c>
      <c r="B135">
        <v>34.78</v>
      </c>
      <c r="C135">
        <v>36.47</v>
      </c>
      <c r="D135">
        <v>32.020000000000003</v>
      </c>
      <c r="E135">
        <v>32.92</v>
      </c>
      <c r="F135">
        <v>6884350.2999999998</v>
      </c>
      <c r="G135">
        <v>32.92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-0.59550561797752832</v>
      </c>
      <c r="Q135">
        <f t="shared" ref="Q135" si="651">F135*P135</f>
        <v>-4099669.2797752824</v>
      </c>
      <c r="R135">
        <f t="shared" ref="R135" si="652">R136+Q135</f>
        <v>148602981.32039753</v>
      </c>
      <c r="S135">
        <f t="shared" ref="S135" si="653">R135/100000</f>
        <v>1486.0298132039752</v>
      </c>
      <c r="T135">
        <f t="shared" ref="T135" si="654">S135/1000</f>
        <v>1.4860298132039753</v>
      </c>
    </row>
    <row r="136" spans="1:20" x14ac:dyDescent="0.25">
      <c r="A136" s="5">
        <v>44457</v>
      </c>
      <c r="B136">
        <v>34.46</v>
      </c>
      <c r="C136">
        <v>36.35</v>
      </c>
      <c r="D136">
        <v>34.1</v>
      </c>
      <c r="E136">
        <v>34.78</v>
      </c>
      <c r="F136">
        <v>4564732.29</v>
      </c>
      <c r="G136">
        <v>34.78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-0.39555555555555583</v>
      </c>
      <c r="Q136">
        <f t="shared" ref="Q136" si="656">F136*P136</f>
        <v>-1805605.2169333345</v>
      </c>
      <c r="R136">
        <f t="shared" ref="R136" si="657">R137+Q136</f>
        <v>152702650.60017282</v>
      </c>
      <c r="S136">
        <f t="shared" ref="S136" si="658">R136/100000</f>
        <v>1527.0265060017282</v>
      </c>
      <c r="T136">
        <f t="shared" ref="T136" si="659">S136/1000</f>
        <v>1.5270265060017283</v>
      </c>
    </row>
    <row r="137" spans="1:20" x14ac:dyDescent="0.25">
      <c r="A137" s="5">
        <v>44456</v>
      </c>
      <c r="B137">
        <v>37.44</v>
      </c>
      <c r="C137">
        <v>39.21</v>
      </c>
      <c r="D137">
        <v>34.049999999999997</v>
      </c>
      <c r="E137">
        <v>34.46</v>
      </c>
      <c r="F137">
        <v>6782357.4699999997</v>
      </c>
      <c r="G137">
        <v>34.46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-0.84108527131782818</v>
      </c>
      <c r="Q137">
        <f t="shared" ref="Q137" si="661">F137*P137</f>
        <v>-5704540.9728294481</v>
      </c>
      <c r="R137">
        <f t="shared" ref="R137" si="662">R138+Q137</f>
        <v>154508255.81710616</v>
      </c>
      <c r="S137">
        <f t="shared" ref="S137" si="663">R137/100000</f>
        <v>1545.0825581710615</v>
      </c>
      <c r="T137">
        <f t="shared" ref="T137" si="664">S137/1000</f>
        <v>1.5450825581710614</v>
      </c>
    </row>
    <row r="138" spans="1:20" x14ac:dyDescent="0.25">
      <c r="A138" s="5">
        <v>44455</v>
      </c>
      <c r="B138">
        <v>36.71</v>
      </c>
      <c r="C138">
        <v>39.770000000000003</v>
      </c>
      <c r="D138">
        <v>35.130000000000003</v>
      </c>
      <c r="E138">
        <v>37.450000000000003</v>
      </c>
      <c r="F138">
        <v>9389644.5099999998</v>
      </c>
      <c r="G138">
        <v>37.450000000000003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0</v>
      </c>
      <c r="Q138">
        <f t="shared" ref="Q138" si="666">F138*P138</f>
        <v>0</v>
      </c>
      <c r="R138">
        <f t="shared" ref="R138" si="667">R139+Q138</f>
        <v>160212796.78993562</v>
      </c>
      <c r="S138">
        <f t="shared" ref="S138" si="668">R138/100000</f>
        <v>1602.1279678993562</v>
      </c>
      <c r="T138">
        <f t="shared" ref="T138" si="669">S138/1000</f>
        <v>1.6021279678993563</v>
      </c>
    </row>
    <row r="139" spans="1:20" x14ac:dyDescent="0.25">
      <c r="A139" s="5">
        <v>44454</v>
      </c>
      <c r="B139">
        <v>35.69</v>
      </c>
      <c r="C139">
        <v>37.68</v>
      </c>
      <c r="D139">
        <v>34.909999999999997</v>
      </c>
      <c r="E139">
        <v>36.71</v>
      </c>
      <c r="F139">
        <v>5497656.1699999999</v>
      </c>
      <c r="G139">
        <v>36.71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0.29963898916967668</v>
      </c>
      <c r="Q139">
        <f t="shared" ref="Q139" si="671">F139*P139</f>
        <v>1647312.1375812362</v>
      </c>
      <c r="R139">
        <f t="shared" ref="R139" si="672">R140+Q139</f>
        <v>160212796.78993562</v>
      </c>
      <c r="S139">
        <f t="shared" ref="S139" si="673">R139/100000</f>
        <v>1602.1279678993562</v>
      </c>
      <c r="T139">
        <f t="shared" ref="T139" si="674">S139/1000</f>
        <v>1.6021279678993563</v>
      </c>
    </row>
    <row r="140" spans="1:20" x14ac:dyDescent="0.25">
      <c r="A140" s="5">
        <v>44453</v>
      </c>
      <c r="B140">
        <v>37.18</v>
      </c>
      <c r="C140">
        <v>38</v>
      </c>
      <c r="D140">
        <v>34.590000000000003</v>
      </c>
      <c r="E140">
        <v>35.69</v>
      </c>
      <c r="F140">
        <v>6284439.9800000004</v>
      </c>
      <c r="G140">
        <v>35.69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-0.35483870967742204</v>
      </c>
      <c r="Q140">
        <f t="shared" ref="Q140" si="676">F140*P140</f>
        <v>-2229962.573548404</v>
      </c>
      <c r="R140">
        <f t="shared" ref="R140" si="677">R141+Q140</f>
        <v>158565484.65235439</v>
      </c>
      <c r="S140">
        <f t="shared" ref="S140" si="678">R140/100000</f>
        <v>1585.6548465235439</v>
      </c>
      <c r="T140">
        <f t="shared" ref="T140" si="679">S140/1000</f>
        <v>1.585654846523544</v>
      </c>
    </row>
    <row r="141" spans="1:20" x14ac:dyDescent="0.25">
      <c r="A141" s="5">
        <v>44452</v>
      </c>
      <c r="B141">
        <v>39.26</v>
      </c>
      <c r="C141">
        <v>39.619999999999997</v>
      </c>
      <c r="D141">
        <v>33.619999999999997</v>
      </c>
      <c r="E141">
        <v>37.18</v>
      </c>
      <c r="F141">
        <v>10577692.310000001</v>
      </c>
      <c r="G141">
        <v>37.18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0.18666666666666742</v>
      </c>
      <c r="Q141">
        <f t="shared" ref="Q141" si="681">F141*P141</f>
        <v>1974502.5645333414</v>
      </c>
      <c r="R141">
        <f t="shared" ref="R141" si="682">R142+Q141</f>
        <v>160795447.2259028</v>
      </c>
      <c r="S141">
        <f t="shared" ref="S141" si="683">R141/100000</f>
        <v>1607.9544722590279</v>
      </c>
      <c r="T141">
        <f t="shared" ref="T141" si="684">S141/1000</f>
        <v>1.6079544722590278</v>
      </c>
    </row>
    <row r="142" spans="1:20" x14ac:dyDescent="0.25">
      <c r="A142" s="5">
        <v>44451</v>
      </c>
      <c r="B142">
        <v>39.18</v>
      </c>
      <c r="C142">
        <v>43.54</v>
      </c>
      <c r="D142">
        <v>37.799999999999997</v>
      </c>
      <c r="E142">
        <v>39.26</v>
      </c>
      <c r="F142">
        <v>10383965.33</v>
      </c>
      <c r="G142">
        <v>39.26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-0.49128919860627168</v>
      </c>
      <c r="Q142">
        <f t="shared" ref="Q142" si="686">F142*P142</f>
        <v>-5101530.0053310096</v>
      </c>
      <c r="R142">
        <f t="shared" ref="R142" si="687">R143+Q142</f>
        <v>158820944.66136944</v>
      </c>
      <c r="S142">
        <f t="shared" ref="S142" si="688">R142/100000</f>
        <v>1588.2094466136944</v>
      </c>
      <c r="T142">
        <f t="shared" ref="T142" si="689">S142/1000</f>
        <v>1.5882094466136945</v>
      </c>
    </row>
    <row r="143" spans="1:20" x14ac:dyDescent="0.25">
      <c r="A143" s="5">
        <v>44450</v>
      </c>
      <c r="B143">
        <v>43.35</v>
      </c>
      <c r="C143">
        <v>45.01</v>
      </c>
      <c r="D143">
        <v>37.5</v>
      </c>
      <c r="E143">
        <v>39.19</v>
      </c>
      <c r="F143">
        <v>14826198.219000001</v>
      </c>
      <c r="G143">
        <v>39.19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-0.54993342210386198</v>
      </c>
      <c r="Q143">
        <f t="shared" ref="Q143" si="691">F143*P143</f>
        <v>-8153421.9233648544</v>
      </c>
      <c r="R143">
        <f t="shared" ref="R143" si="692">R144+Q143</f>
        <v>163922474.66670045</v>
      </c>
      <c r="S143">
        <f t="shared" ref="S143" si="693">R143/100000</f>
        <v>1639.2247466670046</v>
      </c>
      <c r="T143">
        <f t="shared" ref="T143" si="694">S143/1000</f>
        <v>1.6392247466670047</v>
      </c>
    </row>
    <row r="144" spans="1:20" x14ac:dyDescent="0.25">
      <c r="A144" s="5">
        <v>44449</v>
      </c>
      <c r="B144">
        <v>30.59</v>
      </c>
      <c r="C144">
        <v>44</v>
      </c>
      <c r="D144">
        <v>30.56</v>
      </c>
      <c r="E144">
        <v>43.35</v>
      </c>
      <c r="F144">
        <v>29504108.375999998</v>
      </c>
      <c r="G144">
        <v>43.35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0.90327380952380976</v>
      </c>
      <c r="Q144">
        <f t="shared" ref="Q144" si="696">F144*P144</f>
        <v>26650288.369392861</v>
      </c>
      <c r="R144">
        <f t="shared" ref="R144" si="697">R145+Q144</f>
        <v>172075896.5900653</v>
      </c>
      <c r="S144">
        <f t="shared" ref="S144" si="698">R144/100000</f>
        <v>1720.758965900653</v>
      </c>
      <c r="T144">
        <f t="shared" ref="T144" si="699">S144/1000</f>
        <v>1.720758965900653</v>
      </c>
    </row>
    <row r="145" spans="1:20" x14ac:dyDescent="0.25">
      <c r="A145" s="5">
        <v>44448</v>
      </c>
      <c r="B145">
        <v>29.45</v>
      </c>
      <c r="C145">
        <v>31.5</v>
      </c>
      <c r="D145">
        <v>28.21</v>
      </c>
      <c r="E145">
        <v>30.6</v>
      </c>
      <c r="F145">
        <v>8269895.7699999996</v>
      </c>
      <c r="G145">
        <v>30.6</v>
      </c>
      <c r="L145" t="s">
        <v>7</v>
      </c>
      <c r="M145" t="s">
        <v>8</v>
      </c>
      <c r="N145" t="s">
        <v>8</v>
      </c>
      <c r="P145">
        <f t="shared" ref="P145" si="700">IF(C145=D145,0,((E145-D145)-(C145-E145))/(C145-D145))</f>
        <v>0.45288753799392167</v>
      </c>
      <c r="Q145">
        <f t="shared" ref="Q145" si="701">F145*P145</f>
        <v>3745332.7347416468</v>
      </c>
      <c r="R145">
        <f t="shared" ref="R145" si="702">R146+Q145</f>
        <v>145425608.22067243</v>
      </c>
      <c r="S145">
        <f t="shared" ref="S145" si="703">R145/100000</f>
        <v>1454.2560822067244</v>
      </c>
      <c r="T145">
        <f t="shared" ref="T145" si="704">S145/1000</f>
        <v>1.4542560822067243</v>
      </c>
    </row>
    <row r="146" spans="1:20" x14ac:dyDescent="0.25">
      <c r="A146" s="5">
        <v>44447</v>
      </c>
      <c r="B146">
        <v>27.92</v>
      </c>
      <c r="C146">
        <v>32.159999999999997</v>
      </c>
      <c r="D146">
        <v>24.88</v>
      </c>
      <c r="E146">
        <v>29.46</v>
      </c>
      <c r="F146">
        <v>11977439.671</v>
      </c>
      <c r="G146">
        <v>29.46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0.25824175824175916</v>
      </c>
      <c r="Q146">
        <f t="shared" ref="Q146" si="706">F146*P146</f>
        <v>3093075.0798736373</v>
      </c>
      <c r="R146">
        <f t="shared" ref="R146" si="707">R147+Q146</f>
        <v>141680275.48593077</v>
      </c>
      <c r="S146">
        <f t="shared" ref="S146" si="708">R146/100000</f>
        <v>1416.8027548593077</v>
      </c>
      <c r="T146">
        <f t="shared" ref="T146" si="709">S146/1000</f>
        <v>1.4168027548593076</v>
      </c>
    </row>
    <row r="147" spans="1:20" x14ac:dyDescent="0.25">
      <c r="A147" s="5">
        <v>44446</v>
      </c>
      <c r="B147">
        <v>32.32</v>
      </c>
      <c r="C147">
        <v>32.6</v>
      </c>
      <c r="D147">
        <v>22.95</v>
      </c>
      <c r="E147">
        <v>27.92</v>
      </c>
      <c r="F147">
        <v>14078466.266000001</v>
      </c>
      <c r="G147">
        <v>27.92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3.0051813471502865E-2</v>
      </c>
      <c r="Q147">
        <f t="shared" ref="Q147" si="711">F147*P147</f>
        <v>423083.44219067745</v>
      </c>
      <c r="R147">
        <f t="shared" ref="R147" si="712">R148+Q147</f>
        <v>138587200.40605712</v>
      </c>
      <c r="S147">
        <f t="shared" ref="S147" si="713">R147/100000</f>
        <v>1385.8720040605713</v>
      </c>
      <c r="T147">
        <f t="shared" ref="T147" si="714">S147/1000</f>
        <v>1.3858720040605712</v>
      </c>
    </row>
    <row r="148" spans="1:20" x14ac:dyDescent="0.25">
      <c r="A148" s="5">
        <v>44445</v>
      </c>
      <c r="B148">
        <v>34.450000000000003</v>
      </c>
      <c r="C148">
        <v>35.08</v>
      </c>
      <c r="D148">
        <v>30.03</v>
      </c>
      <c r="E148">
        <v>32.33</v>
      </c>
      <c r="F148">
        <v>6985052.4299999997</v>
      </c>
      <c r="G148">
        <v>32.33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-8.9108910891089715E-2</v>
      </c>
      <c r="Q148">
        <f t="shared" ref="Q148" si="716">F148*P148</f>
        <v>-622430.41455445962</v>
      </c>
      <c r="R148">
        <f t="shared" ref="R148" si="717">R149+Q148</f>
        <v>138164116.96386644</v>
      </c>
      <c r="S148">
        <f t="shared" ref="S148" si="718">R148/100000</f>
        <v>1381.6411696386645</v>
      </c>
      <c r="T148">
        <f t="shared" ref="T148" si="719">S148/1000</f>
        <v>1.3816411696386643</v>
      </c>
    </row>
    <row r="149" spans="1:20" x14ac:dyDescent="0.25">
      <c r="A149" s="5">
        <v>44444</v>
      </c>
      <c r="B149">
        <v>31.39</v>
      </c>
      <c r="C149">
        <v>35.35</v>
      </c>
      <c r="D149">
        <v>31.08</v>
      </c>
      <c r="E149">
        <v>34.450000000000003</v>
      </c>
      <c r="F149">
        <v>6080284.8799999999</v>
      </c>
      <c r="G149">
        <v>34.450000000000003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0.57845433255269418</v>
      </c>
      <c r="Q149">
        <f t="shared" ref="Q149" si="721">F149*P149</f>
        <v>3517167.1319906381</v>
      </c>
      <c r="R149">
        <f t="shared" ref="R149" si="722">R150+Q149</f>
        <v>138786547.37842089</v>
      </c>
      <c r="S149">
        <f t="shared" ref="S149" si="723">R149/100000</f>
        <v>1387.8654737842089</v>
      </c>
      <c r="T149">
        <f t="shared" ref="T149" si="724">S149/1000</f>
        <v>1.3878654737842089</v>
      </c>
    </row>
    <row r="150" spans="1:20" x14ac:dyDescent="0.25">
      <c r="A150" s="5">
        <v>44443</v>
      </c>
      <c r="B150">
        <v>31.73</v>
      </c>
      <c r="C150">
        <v>32.47</v>
      </c>
      <c r="D150">
        <v>30.97</v>
      </c>
      <c r="E150">
        <v>31.39</v>
      </c>
      <c r="F150">
        <v>3178756.97</v>
      </c>
      <c r="G150">
        <v>31.39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-0.43999999999999773</v>
      </c>
      <c r="Q150">
        <f t="shared" ref="Q150" si="726">F150*P150</f>
        <v>-1398653.0667999929</v>
      </c>
      <c r="R150">
        <f t="shared" ref="R150" si="727">R151+Q150</f>
        <v>135269380.24643025</v>
      </c>
      <c r="S150">
        <f t="shared" ref="S150" si="728">R150/100000</f>
        <v>1352.6938024643025</v>
      </c>
      <c r="T150">
        <f t="shared" ref="T150" si="729">S150/1000</f>
        <v>1.3526938024643025</v>
      </c>
    </row>
    <row r="151" spans="1:20" x14ac:dyDescent="0.25">
      <c r="A151" s="5">
        <v>44442</v>
      </c>
      <c r="B151">
        <v>32.79</v>
      </c>
      <c r="C151">
        <v>33.89</v>
      </c>
      <c r="D151">
        <v>30.95</v>
      </c>
      <c r="E151">
        <v>31.72</v>
      </c>
      <c r="F151">
        <v>6130038.0800000001</v>
      </c>
      <c r="G151">
        <v>31.72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-0.47619047619047672</v>
      </c>
      <c r="Q151">
        <f t="shared" ref="Q151" si="731">F151*P151</f>
        <v>-2919065.7523809555</v>
      </c>
      <c r="R151">
        <f t="shared" ref="R151" si="732">R152+Q151</f>
        <v>136668033.31323025</v>
      </c>
      <c r="S151">
        <f t="shared" ref="S151" si="733">R151/100000</f>
        <v>1366.6803331323024</v>
      </c>
      <c r="T151">
        <f t="shared" ref="T151" si="734">S151/1000</f>
        <v>1.3666803331323023</v>
      </c>
    </row>
    <row r="152" spans="1:20" x14ac:dyDescent="0.25">
      <c r="A152" s="5">
        <v>44441</v>
      </c>
      <c r="B152">
        <v>31.74</v>
      </c>
      <c r="C152">
        <v>33.869999999999997</v>
      </c>
      <c r="D152">
        <v>31.32</v>
      </c>
      <c r="E152">
        <v>32.79</v>
      </c>
      <c r="F152">
        <v>5672220.5099999998</v>
      </c>
      <c r="G152">
        <v>32.79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0.15294117647058864</v>
      </c>
      <c r="Q152">
        <f t="shared" ref="Q152" si="736">F152*P152</f>
        <v>867516.07800000219</v>
      </c>
      <c r="R152">
        <f t="shared" ref="R152" si="737">R153+Q152</f>
        <v>139587099.06561121</v>
      </c>
      <c r="S152">
        <f t="shared" ref="S152" si="738">R152/100000</f>
        <v>1395.8709906561121</v>
      </c>
      <c r="T152">
        <f t="shared" ref="T152" si="739">S152/1000</f>
        <v>1.3958709906561122</v>
      </c>
    </row>
    <row r="153" spans="1:20" x14ac:dyDescent="0.25">
      <c r="A153" s="5">
        <v>44440</v>
      </c>
      <c r="B153">
        <v>31.54</v>
      </c>
      <c r="C153">
        <v>32.520000000000003</v>
      </c>
      <c r="D153">
        <v>30.5</v>
      </c>
      <c r="E153">
        <v>31.75</v>
      </c>
      <c r="F153">
        <v>6896391.0599999996</v>
      </c>
      <c r="G153">
        <v>31.75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0.2376237623762357</v>
      </c>
      <c r="Q153">
        <f t="shared" ref="Q153" si="741">F153*P153</f>
        <v>1638746.390495036</v>
      </c>
      <c r="R153">
        <f t="shared" ref="R153" si="742">R154+Q153</f>
        <v>138719582.9876112</v>
      </c>
      <c r="S153">
        <f t="shared" ref="S153" si="743">R153/100000</f>
        <v>1387.1958298761122</v>
      </c>
      <c r="T153">
        <f t="shared" ref="T153" si="744">S153/1000</f>
        <v>1.3871958298761122</v>
      </c>
    </row>
    <row r="154" spans="1:20" x14ac:dyDescent="0.25">
      <c r="A154" s="5">
        <v>44439</v>
      </c>
      <c r="B154">
        <v>33.43</v>
      </c>
      <c r="C154">
        <v>34.47</v>
      </c>
      <c r="D154">
        <v>30.53</v>
      </c>
      <c r="E154">
        <v>31.57</v>
      </c>
      <c r="F154">
        <v>7583263.9000000004</v>
      </c>
      <c r="G154">
        <v>31.57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-0.47208121827411181</v>
      </c>
      <c r="Q154">
        <f t="shared" ref="Q154" si="746">F154*P154</f>
        <v>-3579916.4604060925</v>
      </c>
      <c r="R154">
        <f t="shared" ref="R154" si="747">R155+Q154</f>
        <v>137080836.59711617</v>
      </c>
      <c r="S154">
        <f t="shared" ref="S154" si="748">R154/100000</f>
        <v>1370.8083659711617</v>
      </c>
      <c r="T154">
        <f t="shared" ref="T154" si="749">S154/1000</f>
        <v>1.3708083659711616</v>
      </c>
    </row>
    <row r="155" spans="1:20" x14ac:dyDescent="0.25">
      <c r="A155" s="5">
        <v>44438</v>
      </c>
      <c r="B155">
        <v>33.28</v>
      </c>
      <c r="C155">
        <v>35.99</v>
      </c>
      <c r="D155">
        <v>32.020000000000003</v>
      </c>
      <c r="E155">
        <v>33.44</v>
      </c>
      <c r="F155">
        <v>10292874.65</v>
      </c>
      <c r="G155">
        <v>33.44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-0.2846347607052922</v>
      </c>
      <c r="Q155">
        <f t="shared" ref="Q155" si="751">F155*P155</f>
        <v>-2929709.9129723185</v>
      </c>
      <c r="R155">
        <f t="shared" ref="R155" si="752">R156+Q155</f>
        <v>140660753.05752227</v>
      </c>
      <c r="S155">
        <f t="shared" ref="S155" si="753">R155/100000</f>
        <v>1406.6075305752227</v>
      </c>
      <c r="T155">
        <f t="shared" ref="T155" si="754">S155/1000</f>
        <v>1.4066075305752226</v>
      </c>
    </row>
    <row r="156" spans="1:20" x14ac:dyDescent="0.25">
      <c r="A156" s="5">
        <v>44437</v>
      </c>
      <c r="B156">
        <v>35.049999999999997</v>
      </c>
      <c r="C156">
        <v>36.89</v>
      </c>
      <c r="D156">
        <v>33.17</v>
      </c>
      <c r="E156">
        <v>33.26</v>
      </c>
      <c r="F156">
        <v>7886586.6579999998</v>
      </c>
      <c r="G156">
        <v>33.26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-0.95161290322580838</v>
      </c>
      <c r="Q156">
        <f t="shared" ref="Q156" si="756">F156*P156</f>
        <v>-7504977.6261613052</v>
      </c>
      <c r="R156">
        <f t="shared" ref="R156" si="757">R157+Q156</f>
        <v>143590462.9704946</v>
      </c>
      <c r="S156">
        <f t="shared" ref="S156" si="758">R156/100000</f>
        <v>1435.904629704946</v>
      </c>
      <c r="T156">
        <f t="shared" ref="T156" si="759">S156/1000</f>
        <v>1.435904629704946</v>
      </c>
    </row>
    <row r="157" spans="1:20" x14ac:dyDescent="0.25">
      <c r="A157" s="5">
        <v>44436</v>
      </c>
      <c r="B157">
        <v>32.65</v>
      </c>
      <c r="C157">
        <v>35.86</v>
      </c>
      <c r="D157">
        <v>30.44</v>
      </c>
      <c r="E157">
        <v>35.049999999999997</v>
      </c>
      <c r="F157">
        <v>10889600.608999999</v>
      </c>
      <c r="G157">
        <v>35.049999999999997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0.70110701107010975</v>
      </c>
      <c r="Q157">
        <f t="shared" ref="Q157" si="761">F157*P157</f>
        <v>7634775.334723236</v>
      </c>
      <c r="R157">
        <f t="shared" ref="R157" si="762">R158+Q157</f>
        <v>151095440.59665591</v>
      </c>
      <c r="S157">
        <f t="shared" ref="S157" si="763">R157/100000</f>
        <v>1510.9544059665591</v>
      </c>
      <c r="T157">
        <f t="shared" ref="T157" si="764">S157/1000</f>
        <v>1.5109544059665592</v>
      </c>
    </row>
    <row r="158" spans="1:20" x14ac:dyDescent="0.25">
      <c r="A158" s="5">
        <v>44435</v>
      </c>
      <c r="B158">
        <v>26.96</v>
      </c>
      <c r="C158">
        <v>32.9</v>
      </c>
      <c r="D158">
        <v>26.37</v>
      </c>
      <c r="E158">
        <v>32.64</v>
      </c>
      <c r="F158">
        <v>10662989.424000001</v>
      </c>
      <c r="G158">
        <v>32.64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0.92036753445635588</v>
      </c>
      <c r="Q158">
        <f t="shared" ref="Q158" si="766">F158*P158</f>
        <v>9813869.2861010786</v>
      </c>
      <c r="R158">
        <f t="shared" ref="R158" si="767">R159+Q158</f>
        <v>143460665.26193267</v>
      </c>
      <c r="S158">
        <f t="shared" ref="S158" si="768">R158/100000</f>
        <v>1434.6066526193267</v>
      </c>
      <c r="T158">
        <f t="shared" ref="T158" si="769">S158/1000</f>
        <v>1.4346066526193266</v>
      </c>
    </row>
    <row r="159" spans="1:20" x14ac:dyDescent="0.25">
      <c r="A159" s="5">
        <v>44434</v>
      </c>
      <c r="B159">
        <v>30.04</v>
      </c>
      <c r="C159">
        <v>30.126999999999999</v>
      </c>
      <c r="D159">
        <v>25.88</v>
      </c>
      <c r="E159">
        <v>26.97</v>
      </c>
      <c r="F159">
        <v>8210545.6430000002</v>
      </c>
      <c r="G159">
        <v>26.97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-0.48669649164115852</v>
      </c>
      <c r="Q159">
        <f t="shared" ref="Q159" si="771">F159*P159</f>
        <v>-3996043.7589077</v>
      </c>
      <c r="R159">
        <f t="shared" ref="R159" si="772">R160+Q159</f>
        <v>133646795.9758316</v>
      </c>
      <c r="S159">
        <f t="shared" ref="S159" si="773">R159/100000</f>
        <v>1336.4679597583161</v>
      </c>
      <c r="T159">
        <f t="shared" ref="T159" si="774">S159/1000</f>
        <v>1.336467959758316</v>
      </c>
    </row>
    <row r="160" spans="1:20" x14ac:dyDescent="0.25">
      <c r="A160" s="5">
        <v>44433</v>
      </c>
      <c r="B160">
        <v>29.631</v>
      </c>
      <c r="C160">
        <v>31.23</v>
      </c>
      <c r="D160">
        <v>28.367999999999999</v>
      </c>
      <c r="E160">
        <v>30.041</v>
      </c>
      <c r="F160">
        <v>8728526.3269999996</v>
      </c>
      <c r="G160">
        <v>30.041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0.16911250873515074</v>
      </c>
      <c r="Q160">
        <f t="shared" ref="Q160" si="776">F160*P160</f>
        <v>1476102.9847197807</v>
      </c>
      <c r="R160">
        <f t="shared" ref="R160" si="777">R161+Q160</f>
        <v>137642839.7347393</v>
      </c>
      <c r="S160">
        <f t="shared" ref="S160" si="778">R160/100000</f>
        <v>1376.428397347393</v>
      </c>
      <c r="T160">
        <f t="shared" ref="T160" si="779">S160/1000</f>
        <v>1.376428397347393</v>
      </c>
    </row>
    <row r="161" spans="1:20" x14ac:dyDescent="0.25">
      <c r="A161" s="5">
        <v>44432</v>
      </c>
      <c r="B161">
        <v>29.937999999999999</v>
      </c>
      <c r="C161">
        <v>34.665999999999997</v>
      </c>
      <c r="D161">
        <v>29.503</v>
      </c>
      <c r="E161">
        <v>29.606999999999999</v>
      </c>
      <c r="F161">
        <v>18197335.340999998</v>
      </c>
      <c r="G161">
        <v>29.606999999999999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-0.95971334495448413</v>
      </c>
      <c r="Q161">
        <f t="shared" ref="Q161" si="781">F161*P161</f>
        <v>-17464225.569369555</v>
      </c>
      <c r="R161">
        <f t="shared" ref="R161" si="782">R162+Q161</f>
        <v>136166736.75001952</v>
      </c>
      <c r="S161">
        <f t="shared" ref="S161" si="783">R161/100000</f>
        <v>1361.6673675001953</v>
      </c>
      <c r="T161">
        <f t="shared" ref="T161" si="784">S161/1000</f>
        <v>1.3616673675001953</v>
      </c>
    </row>
    <row r="162" spans="1:20" x14ac:dyDescent="0.25">
      <c r="A162" s="5">
        <v>44431</v>
      </c>
      <c r="B162">
        <v>28</v>
      </c>
      <c r="C162">
        <v>30.359000000000002</v>
      </c>
      <c r="D162">
        <v>27.199000000000002</v>
      </c>
      <c r="E162">
        <v>29.92</v>
      </c>
      <c r="F162">
        <v>8271195.4230000004</v>
      </c>
      <c r="G162">
        <v>29.92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0.72215189873417718</v>
      </c>
      <c r="Q162">
        <f t="shared" ref="Q162" si="786">F162*P162</f>
        <v>5973059.4795208862</v>
      </c>
      <c r="R162">
        <f t="shared" ref="R162" si="787">R163+Q162</f>
        <v>153630962.31938908</v>
      </c>
      <c r="S162">
        <f t="shared" ref="S162" si="788">R162/100000</f>
        <v>1536.3096231938907</v>
      </c>
      <c r="T162">
        <f t="shared" ref="T162" si="789">S162/1000</f>
        <v>1.5363096231938906</v>
      </c>
    </row>
    <row r="163" spans="1:20" x14ac:dyDescent="0.25">
      <c r="A163" s="5">
        <v>44430</v>
      </c>
      <c r="B163">
        <v>27.530999999999999</v>
      </c>
      <c r="C163">
        <v>28.347000000000001</v>
      </c>
      <c r="D163">
        <v>26.53</v>
      </c>
      <c r="E163">
        <v>27.952000000000002</v>
      </c>
      <c r="F163">
        <v>1718948.047</v>
      </c>
      <c r="G163">
        <v>27.952000000000002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0.56521739130434834</v>
      </c>
      <c r="Q163">
        <f t="shared" ref="Q163" si="791">F163*P163</f>
        <v>971579.3309130444</v>
      </c>
      <c r="R163">
        <f t="shared" ref="R163" si="792">R164+Q163</f>
        <v>147657902.83986819</v>
      </c>
      <c r="S163">
        <f t="shared" ref="S163" si="793">R163/100000</f>
        <v>1476.5790283986819</v>
      </c>
      <c r="T163">
        <f t="shared" ref="T163" si="794">S163/1000</f>
        <v>1.4765790283986819</v>
      </c>
    </row>
    <row r="164" spans="1:20" x14ac:dyDescent="0.25">
      <c r="A164" s="5">
        <v>44429</v>
      </c>
      <c r="B164">
        <v>30.664000000000001</v>
      </c>
      <c r="C164">
        <v>30.693999999999999</v>
      </c>
      <c r="D164">
        <v>27.04</v>
      </c>
      <c r="E164">
        <v>27.529</v>
      </c>
      <c r="F164">
        <v>6558157.8380000005</v>
      </c>
      <c r="G164">
        <v>27.529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-0.73234811165845604</v>
      </c>
      <c r="Q164">
        <f t="shared" ref="Q164" si="796">F164*P164</f>
        <v>-4802854.508617403</v>
      </c>
      <c r="R164">
        <f t="shared" ref="R164" si="797">R165+Q164</f>
        <v>146686323.50895515</v>
      </c>
      <c r="S164">
        <f t="shared" ref="S164" si="798">R164/100000</f>
        <v>1466.8632350895516</v>
      </c>
      <c r="T164">
        <f t="shared" ref="T164" si="799">S164/1000</f>
        <v>1.4668632350895516</v>
      </c>
    </row>
    <row r="165" spans="1:20" x14ac:dyDescent="0.25">
      <c r="A165" s="5">
        <v>44428</v>
      </c>
      <c r="B165">
        <v>29.428999999999998</v>
      </c>
      <c r="C165">
        <v>31.45</v>
      </c>
      <c r="D165">
        <v>28.526</v>
      </c>
      <c r="E165">
        <v>30.658000000000001</v>
      </c>
      <c r="F165">
        <v>8872877.8200000003</v>
      </c>
      <c r="G165">
        <v>30.658000000000001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0.45827633378933091</v>
      </c>
      <c r="Q165">
        <f t="shared" ref="Q165" si="801">F165*P165</f>
        <v>4066229.9175102711</v>
      </c>
      <c r="R165">
        <f t="shared" ref="R165" si="802">R166+Q165</f>
        <v>151489178.01757255</v>
      </c>
      <c r="S165">
        <f t="shared" ref="S165" si="803">R165/100000</f>
        <v>1514.8917801757254</v>
      </c>
      <c r="T165">
        <f t="shared" ref="T165" si="804">S165/1000</f>
        <v>1.5148917801757253</v>
      </c>
    </row>
    <row r="166" spans="1:20" x14ac:dyDescent="0.25">
      <c r="A166" s="5">
        <v>44427</v>
      </c>
      <c r="B166">
        <v>30.728999999999999</v>
      </c>
      <c r="C166">
        <v>33.5</v>
      </c>
      <c r="D166">
        <v>28.62</v>
      </c>
      <c r="E166">
        <v>29.43</v>
      </c>
      <c r="F166">
        <v>15334852.607000001</v>
      </c>
      <c r="G166">
        <v>29.43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-0.66803278688524637</v>
      </c>
      <c r="Q166">
        <f t="shared" ref="Q166" si="806">F166*P166</f>
        <v>-10244184.323528696</v>
      </c>
      <c r="R166">
        <f t="shared" ref="R166" si="807">R167+Q166</f>
        <v>147422948.10006228</v>
      </c>
      <c r="S166">
        <f t="shared" ref="S166" si="808">R166/100000</f>
        <v>1474.2294810006229</v>
      </c>
      <c r="T166">
        <f t="shared" ref="T166" si="809">S166/1000</f>
        <v>1.4742294810006229</v>
      </c>
    </row>
    <row r="167" spans="1:20" x14ac:dyDescent="0.25">
      <c r="A167" s="5">
        <v>44426</v>
      </c>
      <c r="B167">
        <v>25.318999999999999</v>
      </c>
      <c r="C167">
        <v>31.884</v>
      </c>
      <c r="D167">
        <v>22.55</v>
      </c>
      <c r="E167">
        <v>30.715</v>
      </c>
      <c r="F167">
        <v>17912523.75</v>
      </c>
      <c r="G167">
        <v>30.715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0.74951789157917281</v>
      </c>
      <c r="Q167">
        <f t="shared" ref="Q167" si="811">F167*P167</f>
        <v>13425757.033961859</v>
      </c>
      <c r="R167">
        <f t="shared" ref="R167" si="812">R168+Q167</f>
        <v>157667132.42359099</v>
      </c>
      <c r="S167">
        <f t="shared" ref="S167" si="813">R167/100000</f>
        <v>1576.6713242359099</v>
      </c>
      <c r="T167">
        <f t="shared" ref="T167" si="814">S167/1000</f>
        <v>1.5766713242359098</v>
      </c>
    </row>
    <row r="168" spans="1:20" x14ac:dyDescent="0.25">
      <c r="A168" s="5">
        <v>44425</v>
      </c>
      <c r="B168">
        <v>21.904</v>
      </c>
      <c r="C168">
        <v>26.905999999999999</v>
      </c>
      <c r="D168">
        <v>20.81</v>
      </c>
      <c r="E168">
        <v>25.309000000000001</v>
      </c>
      <c r="F168">
        <v>17362698.030000001</v>
      </c>
      <c r="G168">
        <v>25.309000000000001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0.47604986876640493</v>
      </c>
      <c r="Q168">
        <f t="shared" ref="Q168" si="816">F168*P168</f>
        <v>8265510.1186122177</v>
      </c>
      <c r="R168">
        <f t="shared" ref="R168" si="817">R169+Q168</f>
        <v>144241375.38962913</v>
      </c>
      <c r="S168">
        <f t="shared" ref="S168" si="818">R168/100000</f>
        <v>1442.4137538962912</v>
      </c>
      <c r="T168">
        <f t="shared" ref="T168" si="819">S168/1000</f>
        <v>1.4424137538962911</v>
      </c>
    </row>
    <row r="169" spans="1:20" x14ac:dyDescent="0.25">
      <c r="A169" s="5">
        <v>44424</v>
      </c>
      <c r="B169">
        <v>19.265000000000001</v>
      </c>
      <c r="C169">
        <v>23.960999999999999</v>
      </c>
      <c r="D169">
        <v>19.152000000000001</v>
      </c>
      <c r="E169">
        <v>21.904</v>
      </c>
      <c r="F169">
        <v>13853981.313999999</v>
      </c>
      <c r="G169">
        <v>21.904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0.1445206903722189</v>
      </c>
      <c r="Q169">
        <f t="shared" ref="Q169" si="821">F169*P169</f>
        <v>2002186.9439031002</v>
      </c>
      <c r="R169">
        <f t="shared" ref="R169" si="822">R170+Q169</f>
        <v>135975865.2710169</v>
      </c>
      <c r="S169">
        <f t="shared" ref="S169" si="823">R169/100000</f>
        <v>1359.7586527101689</v>
      </c>
      <c r="T169">
        <f t="shared" ref="T169" si="824">S169/1000</f>
        <v>1.3597586527101688</v>
      </c>
    </row>
    <row r="170" spans="1:20" x14ac:dyDescent="0.25">
      <c r="A170" s="5">
        <v>44423</v>
      </c>
      <c r="B170">
        <v>17.378</v>
      </c>
      <c r="C170">
        <v>19.649999999999999</v>
      </c>
      <c r="D170">
        <v>16.5</v>
      </c>
      <c r="E170">
        <v>19.262</v>
      </c>
      <c r="F170">
        <v>5405093.8250000002</v>
      </c>
      <c r="G170">
        <v>19.262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0.75365079365079468</v>
      </c>
      <c r="Q170">
        <f t="shared" ref="Q170" si="826">F170*P170</f>
        <v>4073553.2509682598</v>
      </c>
      <c r="R170">
        <f t="shared" ref="R170" si="827">R171+Q170</f>
        <v>133973678.32711381</v>
      </c>
      <c r="S170">
        <f t="shared" ref="S170" si="828">R170/100000</f>
        <v>1339.7367832711382</v>
      </c>
      <c r="T170">
        <f t="shared" ref="T170" si="829">S170/1000</f>
        <v>1.3397367832711382</v>
      </c>
    </row>
    <row r="171" spans="1:20" x14ac:dyDescent="0.25">
      <c r="A171" s="5">
        <v>44422</v>
      </c>
      <c r="B171">
        <v>17.803000000000001</v>
      </c>
      <c r="C171">
        <v>17.844000000000001</v>
      </c>
      <c r="D171">
        <v>16.844999999999999</v>
      </c>
      <c r="E171">
        <v>17.388000000000002</v>
      </c>
      <c r="F171">
        <v>3058076.125</v>
      </c>
      <c r="G171">
        <v>17.388000000000002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8.708708708709019E-2</v>
      </c>
      <c r="Q171">
        <f t="shared" ref="Q171" si="831">F171*P171</f>
        <v>266318.94181682629</v>
      </c>
      <c r="R171">
        <f t="shared" ref="R171" si="832">R172+Q171</f>
        <v>129900125.07614554</v>
      </c>
      <c r="S171">
        <f t="shared" ref="S171" si="833">R171/100000</f>
        <v>1299.0012507614554</v>
      </c>
      <c r="T171">
        <f t="shared" ref="T171" si="834">S171/1000</f>
        <v>1.2990012507614555</v>
      </c>
    </row>
    <row r="172" spans="1:20" x14ac:dyDescent="0.25">
      <c r="A172" s="5">
        <v>44421</v>
      </c>
      <c r="B172">
        <v>16.600000000000001</v>
      </c>
      <c r="C172">
        <v>17.809999999999999</v>
      </c>
      <c r="D172">
        <v>16.567</v>
      </c>
      <c r="E172">
        <v>17.786999999999999</v>
      </c>
      <c r="F172">
        <v>3512487.7209999999</v>
      </c>
      <c r="G172">
        <v>17.786999999999999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0.96299275945293694</v>
      </c>
      <c r="Q172">
        <f t="shared" ref="Q172" si="836">F172*P172</f>
        <v>3382500.2429903476</v>
      </c>
      <c r="R172">
        <f t="shared" ref="R172" si="837">R173+Q172</f>
        <v>129633806.13432872</v>
      </c>
      <c r="S172">
        <f t="shared" ref="S172" si="838">R172/100000</f>
        <v>1296.3380613432873</v>
      </c>
      <c r="T172">
        <f t="shared" ref="T172" si="839">S172/1000</f>
        <v>1.2963380613432873</v>
      </c>
    </row>
    <row r="173" spans="1:20" x14ac:dyDescent="0.25">
      <c r="A173" s="5">
        <v>44420</v>
      </c>
      <c r="B173">
        <v>16.949000000000002</v>
      </c>
      <c r="C173">
        <v>17.164000000000001</v>
      </c>
      <c r="D173">
        <v>15.817</v>
      </c>
      <c r="E173">
        <v>16.599</v>
      </c>
      <c r="F173">
        <v>6430428.1299999999</v>
      </c>
      <c r="G173">
        <v>16.599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0.16109873793615334</v>
      </c>
      <c r="Q173">
        <f t="shared" ref="Q173" si="841">F173*P173</f>
        <v>1035933.8561321385</v>
      </c>
      <c r="R173">
        <f t="shared" ref="R173" si="842">R174+Q173</f>
        <v>126251305.89133838</v>
      </c>
      <c r="S173">
        <f t="shared" ref="S173" si="843">R173/100000</f>
        <v>1262.5130589133837</v>
      </c>
      <c r="T173">
        <f t="shared" ref="T173" si="844">S173/1000</f>
        <v>1.2625130589133837</v>
      </c>
    </row>
    <row r="174" spans="1:20" x14ac:dyDescent="0.25">
      <c r="A174" s="5">
        <v>44419</v>
      </c>
      <c r="B174">
        <v>16.706</v>
      </c>
      <c r="C174">
        <v>18.062000000000001</v>
      </c>
      <c r="D174">
        <v>16.507999999999999</v>
      </c>
      <c r="E174">
        <v>16.956</v>
      </c>
      <c r="F174">
        <v>7966073.9579999996</v>
      </c>
      <c r="G174">
        <v>16.956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-0.42342342342342365</v>
      </c>
      <c r="Q174">
        <f t="shared" ref="Q174" si="846">F174*P174</f>
        <v>-3373022.3065405423</v>
      </c>
      <c r="R174">
        <f t="shared" ref="R174" si="847">R175+Q174</f>
        <v>125215372.03520624</v>
      </c>
      <c r="S174">
        <f t="shared" ref="S174" si="848">R174/100000</f>
        <v>1252.1537203520625</v>
      </c>
      <c r="T174">
        <f t="shared" ref="T174" si="849">S174/1000</f>
        <v>1.2521537203520625</v>
      </c>
    </row>
    <row r="175" spans="1:20" x14ac:dyDescent="0.25">
      <c r="A175" s="5">
        <v>44418</v>
      </c>
      <c r="B175">
        <v>13.922000000000001</v>
      </c>
      <c r="C175">
        <v>16.908999999999999</v>
      </c>
      <c r="D175">
        <v>13.731</v>
      </c>
      <c r="E175">
        <v>16.7</v>
      </c>
      <c r="F175">
        <v>9556692.1089999992</v>
      </c>
      <c r="G175">
        <v>16.7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0.86847073631214622</v>
      </c>
      <c r="Q175">
        <f t="shared" ref="Q175" si="851">F175*P175</f>
        <v>8299707.4326117067</v>
      </c>
      <c r="R175">
        <f t="shared" ref="R175" si="852">R176+Q175</f>
        <v>128588394.34174679</v>
      </c>
      <c r="S175">
        <f t="shared" ref="S175" si="853">R175/100000</f>
        <v>1285.8839434174679</v>
      </c>
      <c r="T175">
        <f t="shared" ref="T175" si="854">S175/1000</f>
        <v>1.2858839434174678</v>
      </c>
    </row>
    <row r="176" spans="1:20" x14ac:dyDescent="0.25">
      <c r="A176" s="5">
        <v>44417</v>
      </c>
      <c r="B176">
        <v>13.407</v>
      </c>
      <c r="C176">
        <v>14.36</v>
      </c>
      <c r="D176">
        <v>12.965999999999999</v>
      </c>
      <c r="E176">
        <v>13.928000000000001</v>
      </c>
      <c r="F176">
        <v>7164094.7690000003</v>
      </c>
      <c r="G176">
        <v>13.928000000000001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0.38020086083213978</v>
      </c>
      <c r="Q176">
        <f t="shared" ref="Q176" si="856">F176*P176</f>
        <v>2723794.9982568296</v>
      </c>
      <c r="R176">
        <f t="shared" ref="R176" si="857">R177+Q176</f>
        <v>120288686.90913509</v>
      </c>
      <c r="S176">
        <f t="shared" ref="S176" si="858">R176/100000</f>
        <v>1202.8868690913509</v>
      </c>
      <c r="T176">
        <f t="shared" ref="T176" si="859">S176/1000</f>
        <v>1.202886869091351</v>
      </c>
    </row>
    <row r="177" spans="1:20" x14ac:dyDescent="0.25">
      <c r="A177" s="5">
        <v>44416</v>
      </c>
      <c r="B177">
        <v>14.621</v>
      </c>
      <c r="C177">
        <v>14.738</v>
      </c>
      <c r="D177">
        <v>13.109</v>
      </c>
      <c r="E177">
        <v>13.414999999999999</v>
      </c>
      <c r="F177">
        <v>6699721.5930000003</v>
      </c>
      <c r="G177">
        <v>13.414999999999999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-0.62430939226519433</v>
      </c>
      <c r="Q177">
        <f t="shared" ref="Q177" si="861">F177*P177</f>
        <v>-4182699.11607183</v>
      </c>
      <c r="R177">
        <f t="shared" ref="R177" si="862">R178+Q177</f>
        <v>117564891.91087826</v>
      </c>
      <c r="S177">
        <f t="shared" ref="S177" si="863">R177/100000</f>
        <v>1175.6489191087826</v>
      </c>
      <c r="T177">
        <f t="shared" ref="T177" si="864">S177/1000</f>
        <v>1.1756489191087827</v>
      </c>
    </row>
    <row r="178" spans="1:20" x14ac:dyDescent="0.25">
      <c r="A178" s="5">
        <v>44415</v>
      </c>
      <c r="B178">
        <v>14.512</v>
      </c>
      <c r="C178">
        <v>15.662000000000001</v>
      </c>
      <c r="D178">
        <v>13.911</v>
      </c>
      <c r="E178">
        <v>14.616</v>
      </c>
      <c r="F178">
        <v>9344410.5109999999</v>
      </c>
      <c r="G178">
        <v>14.616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-0.19474585950885256</v>
      </c>
      <c r="Q178">
        <f t="shared" ref="Q178" si="866">F178*P178</f>
        <v>-1819785.2565682512</v>
      </c>
      <c r="R178">
        <f t="shared" ref="R178" si="867">R179+Q178</f>
        <v>121747591.02695009</v>
      </c>
      <c r="S178">
        <f t="shared" ref="S178" si="868">R178/100000</f>
        <v>1217.4759102695009</v>
      </c>
      <c r="T178">
        <f t="shared" ref="T178" si="869">S178/1000</f>
        <v>1.217475910269501</v>
      </c>
    </row>
    <row r="179" spans="1:20" x14ac:dyDescent="0.25">
      <c r="A179" s="5">
        <v>44414</v>
      </c>
      <c r="B179">
        <v>14.554</v>
      </c>
      <c r="C179">
        <v>15.29</v>
      </c>
      <c r="D179">
        <v>14.141</v>
      </c>
      <c r="E179">
        <v>14.519</v>
      </c>
      <c r="F179">
        <v>8097824.7019999996</v>
      </c>
      <c r="G179">
        <v>14.519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-0.3420365535248035</v>
      </c>
      <c r="Q179">
        <f t="shared" ref="Q179" si="871">F179*P179</f>
        <v>-2769752.0521200988</v>
      </c>
      <c r="R179">
        <f t="shared" ref="R179" si="872">R180+Q179</f>
        <v>123567376.28351834</v>
      </c>
      <c r="S179">
        <f t="shared" ref="S179" si="873">R179/100000</f>
        <v>1235.6737628351834</v>
      </c>
      <c r="T179">
        <f t="shared" ref="T179" si="874">S179/1000</f>
        <v>1.2356737628351835</v>
      </c>
    </row>
    <row r="180" spans="1:20" x14ac:dyDescent="0.25">
      <c r="A180" s="5">
        <v>44413</v>
      </c>
      <c r="B180">
        <v>14.51</v>
      </c>
      <c r="C180">
        <v>15.148999999999999</v>
      </c>
      <c r="D180">
        <v>13.714</v>
      </c>
      <c r="E180">
        <v>14.558</v>
      </c>
      <c r="F180">
        <v>9704938.8330000006</v>
      </c>
      <c r="G180">
        <v>14.558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0.17630662020905946</v>
      </c>
      <c r="Q180">
        <f t="shared" ref="Q180" si="876">F180*P180</f>
        <v>1711044.9649818838</v>
      </c>
      <c r="R180">
        <f t="shared" ref="R180" si="877">R181+Q180</f>
        <v>126337128.33563845</v>
      </c>
      <c r="S180">
        <f t="shared" ref="S180" si="878">R180/100000</f>
        <v>1263.3712833563845</v>
      </c>
      <c r="T180">
        <f t="shared" ref="T180" si="879">S180/1000</f>
        <v>1.2633712833563846</v>
      </c>
    </row>
    <row r="181" spans="1:20" x14ac:dyDescent="0.25">
      <c r="A181" s="5">
        <v>44412</v>
      </c>
      <c r="B181">
        <v>14.771000000000001</v>
      </c>
      <c r="C181">
        <v>15.571999999999999</v>
      </c>
      <c r="D181">
        <v>13.541</v>
      </c>
      <c r="E181">
        <v>14.519</v>
      </c>
      <c r="F181">
        <v>13919750.67</v>
      </c>
      <c r="G181">
        <v>14.519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-3.692762186115181E-2</v>
      </c>
      <c r="Q181">
        <f t="shared" ref="Q181" si="881">F181*P181</f>
        <v>-514023.28914327454</v>
      </c>
      <c r="R181">
        <f t="shared" ref="R181" si="882">R182+Q181</f>
        <v>124626083.37065656</v>
      </c>
      <c r="S181">
        <f t="shared" ref="S181" si="883">R181/100000</f>
        <v>1246.2608337065656</v>
      </c>
      <c r="T181">
        <f t="shared" ref="T181" si="884">S181/1000</f>
        <v>1.2462608337065655</v>
      </c>
    </row>
    <row r="182" spans="1:20" x14ac:dyDescent="0.25">
      <c r="A182" s="5">
        <v>44411</v>
      </c>
      <c r="B182">
        <v>12.321</v>
      </c>
      <c r="C182">
        <v>14.89</v>
      </c>
      <c r="D182">
        <v>11.65</v>
      </c>
      <c r="E182">
        <v>14.771000000000001</v>
      </c>
      <c r="F182">
        <v>16032058.311000001</v>
      </c>
      <c r="G182">
        <v>14.771000000000001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0.92654320987654337</v>
      </c>
      <c r="Q182">
        <f t="shared" ref="Q182" si="886">F182*P182</f>
        <v>14854394.768401856</v>
      </c>
      <c r="R182">
        <f t="shared" ref="R182" si="887">R183+Q182</f>
        <v>125140106.65979984</v>
      </c>
      <c r="S182">
        <f t="shared" ref="S182" si="888">R182/100000</f>
        <v>1251.4010665979984</v>
      </c>
      <c r="T182">
        <f t="shared" ref="T182" si="889">S182/1000</f>
        <v>1.2514010665979984</v>
      </c>
    </row>
    <row r="183" spans="1:20" x14ac:dyDescent="0.25">
      <c r="A183" s="5">
        <v>44410</v>
      </c>
      <c r="B183">
        <v>11.974</v>
      </c>
      <c r="C183">
        <v>12.481</v>
      </c>
      <c r="D183">
        <v>11.14</v>
      </c>
      <c r="E183">
        <v>12.324999999999999</v>
      </c>
      <c r="F183">
        <v>8436957.4230000004</v>
      </c>
      <c r="G183">
        <v>12.324999999999999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0.76733780760626302</v>
      </c>
      <c r="Q183">
        <f t="shared" ref="Q183" si="891">F183*P183</f>
        <v>6473996.4118322069</v>
      </c>
      <c r="R183">
        <f t="shared" ref="R183" si="892">R184+Q183</f>
        <v>110285711.89139798</v>
      </c>
      <c r="S183">
        <f t="shared" ref="S183" si="893">R183/100000</f>
        <v>1102.8571189139798</v>
      </c>
      <c r="T183">
        <f t="shared" ref="T183" si="894">S183/1000</f>
        <v>1.1028571189139798</v>
      </c>
    </row>
    <row r="184" spans="1:20" x14ac:dyDescent="0.25">
      <c r="A184" s="5">
        <v>44409</v>
      </c>
      <c r="B184">
        <v>10.734</v>
      </c>
      <c r="C184">
        <v>12.2</v>
      </c>
      <c r="D184">
        <v>10.523</v>
      </c>
      <c r="E184">
        <v>11.965999999999999</v>
      </c>
      <c r="F184">
        <v>9378217.0979999993</v>
      </c>
      <c r="G184">
        <v>11.965999999999999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0.72093023255813948</v>
      </c>
      <c r="Q184">
        <f t="shared" ref="Q184" si="896">F184*P184</f>
        <v>6761040.2334418595</v>
      </c>
      <c r="R184">
        <f t="shared" ref="R184" si="897">R185+Q184</f>
        <v>103811715.47956577</v>
      </c>
      <c r="S184">
        <f t="shared" ref="S184" si="898">R184/100000</f>
        <v>1038.1171547956576</v>
      </c>
      <c r="T184">
        <f t="shared" ref="T184" si="899">S184/1000</f>
        <v>1.0381171547956576</v>
      </c>
    </row>
    <row r="185" spans="1:20" x14ac:dyDescent="0.25">
      <c r="A185" s="5">
        <v>44408</v>
      </c>
      <c r="B185">
        <v>10.846</v>
      </c>
      <c r="C185">
        <v>11.32</v>
      </c>
      <c r="D185">
        <v>10.537000000000001</v>
      </c>
      <c r="E185">
        <v>10.734999999999999</v>
      </c>
      <c r="F185">
        <v>6674175.898</v>
      </c>
      <c r="G185">
        <v>10.734999999999999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-0.49425287356322156</v>
      </c>
      <c r="Q185">
        <f t="shared" ref="Q185" si="901">F185*P185</f>
        <v>-3298730.616252895</v>
      </c>
      <c r="R185">
        <f t="shared" ref="R185" si="902">R186+Q185</f>
        <v>97050675.24612391</v>
      </c>
      <c r="S185">
        <f t="shared" ref="S185" si="903">R185/100000</f>
        <v>970.5067524612391</v>
      </c>
      <c r="T185">
        <f t="shared" ref="T185" si="904">S185/1000</f>
        <v>0.97050675246123908</v>
      </c>
    </row>
    <row r="186" spans="1:20" x14ac:dyDescent="0.25">
      <c r="A186" s="5">
        <v>44407</v>
      </c>
      <c r="B186">
        <v>11.045999999999999</v>
      </c>
      <c r="C186">
        <v>11.121</v>
      </c>
      <c r="D186">
        <v>10.031000000000001</v>
      </c>
      <c r="E186">
        <v>10.85</v>
      </c>
      <c r="F186">
        <v>11732728.987</v>
      </c>
      <c r="G186">
        <v>10.85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0.50275229357798012</v>
      </c>
      <c r="Q186">
        <f t="shared" ref="Q186" si="906">F186*P186</f>
        <v>5898656.4081431013</v>
      </c>
      <c r="R186">
        <f t="shared" ref="R186" si="907">R187+Q186</f>
        <v>100349405.86237681</v>
      </c>
      <c r="S186">
        <f t="shared" ref="S186" si="908">R186/100000</f>
        <v>1003.4940586237681</v>
      </c>
      <c r="T186">
        <f t="shared" ref="T186" si="909">S186/1000</f>
        <v>1.0034940586237682</v>
      </c>
    </row>
    <row r="187" spans="1:20" x14ac:dyDescent="0.25">
      <c r="A187" s="5">
        <v>44406</v>
      </c>
      <c r="B187">
        <v>10.986000000000001</v>
      </c>
      <c r="C187">
        <v>11.8</v>
      </c>
      <c r="D187">
        <v>10.651</v>
      </c>
      <c r="E187">
        <v>11.047000000000001</v>
      </c>
      <c r="F187">
        <v>12654374.885</v>
      </c>
      <c r="G187">
        <v>11.047000000000001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-0.3107049608355083</v>
      </c>
      <c r="Q187">
        <f t="shared" ref="Q187" si="911">F187*P187</f>
        <v>-3931777.053041765</v>
      </c>
      <c r="R187">
        <f t="shared" ref="R187" si="912">R188+Q187</f>
        <v>94450749.454233706</v>
      </c>
      <c r="S187">
        <f t="shared" ref="S187" si="913">R187/100000</f>
        <v>944.5074945423371</v>
      </c>
      <c r="T187">
        <f t="shared" ref="T187" si="914">S187/1000</f>
        <v>0.94450749454233707</v>
      </c>
    </row>
    <row r="188" spans="1:20" x14ac:dyDescent="0.25">
      <c r="A188" s="5">
        <v>44405</v>
      </c>
      <c r="B188">
        <v>9.516</v>
      </c>
      <c r="C188">
        <v>11.132999999999999</v>
      </c>
      <c r="D188">
        <v>9.1329999999999991</v>
      </c>
      <c r="E188">
        <v>10.981</v>
      </c>
      <c r="F188">
        <v>14833524.661</v>
      </c>
      <c r="G188">
        <v>10.981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0.84800000000000075</v>
      </c>
      <c r="Q188">
        <f t="shared" ref="Q188" si="916">F188*P188</f>
        <v>12578828.912528012</v>
      </c>
      <c r="R188">
        <f t="shared" ref="R188" si="917">R189+Q188</f>
        <v>98382526.507275477</v>
      </c>
      <c r="S188">
        <f t="shared" ref="S188" si="918">R188/100000</f>
        <v>983.82526507275475</v>
      </c>
      <c r="T188">
        <f t="shared" ref="T188" si="919">S188/1000</f>
        <v>0.9838252650727547</v>
      </c>
    </row>
    <row r="189" spans="1:20" x14ac:dyDescent="0.25">
      <c r="A189" s="5">
        <v>44404</v>
      </c>
      <c r="B189">
        <v>8.5039999999999996</v>
      </c>
      <c r="C189">
        <v>9.5920000000000005</v>
      </c>
      <c r="D189">
        <v>8.0559999999999992</v>
      </c>
      <c r="E189">
        <v>9.516</v>
      </c>
      <c r="F189">
        <v>12540199.217</v>
      </c>
      <c r="G189">
        <v>9.516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0.90104166666666607</v>
      </c>
      <c r="Q189">
        <f t="shared" ref="Q189" si="921">F189*P189</f>
        <v>11299242.002817702</v>
      </c>
      <c r="R189">
        <f t="shared" ref="R189" si="922">R190+Q189</f>
        <v>85803697.594747469</v>
      </c>
      <c r="S189">
        <f t="shared" ref="S189" si="923">R189/100000</f>
        <v>858.03697594747473</v>
      </c>
      <c r="T189">
        <f t="shared" ref="T189" si="924">S189/1000</f>
        <v>0.85803697594747474</v>
      </c>
    </row>
    <row r="190" spans="1:20" x14ac:dyDescent="0.25">
      <c r="A190" s="5">
        <v>44403</v>
      </c>
      <c r="B190">
        <v>8.2520000000000007</v>
      </c>
      <c r="C190">
        <v>9.7919999999999998</v>
      </c>
      <c r="D190">
        <v>8.1850000000000005</v>
      </c>
      <c r="E190">
        <v>8.5020000000000007</v>
      </c>
      <c r="F190">
        <v>16590614.236</v>
      </c>
      <c r="G190">
        <v>8.5020000000000007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-0.60547604231487206</v>
      </c>
      <c r="Q190">
        <f t="shared" ref="Q190" si="926">F190*P190</f>
        <v>-10045219.447186055</v>
      </c>
      <c r="R190">
        <f t="shared" ref="R190" si="927">R191+Q190</f>
        <v>74504455.591929764</v>
      </c>
      <c r="S190">
        <f t="shared" ref="S190" si="928">R190/100000</f>
        <v>745.04455591929764</v>
      </c>
      <c r="T190">
        <f t="shared" ref="T190" si="929">S190/1000</f>
        <v>0.74504455591929764</v>
      </c>
    </row>
    <row r="191" spans="1:20" x14ac:dyDescent="0.25">
      <c r="A191" s="5">
        <v>44402</v>
      </c>
      <c r="B191">
        <v>8.484</v>
      </c>
      <c r="C191">
        <v>8.5220000000000002</v>
      </c>
      <c r="D191">
        <v>7.7830000000000004</v>
      </c>
      <c r="E191">
        <v>8.2509999999999994</v>
      </c>
      <c r="F191">
        <v>8743741.6769999992</v>
      </c>
      <c r="G191">
        <v>8.2509999999999994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0.26657645466846863</v>
      </c>
      <c r="Q191">
        <f t="shared" ref="Q191" si="931">F191*P191</f>
        <v>2330875.6567915902</v>
      </c>
      <c r="R191">
        <f t="shared" ref="R191" si="932">R192+Q191</f>
        <v>84549675.039115816</v>
      </c>
      <c r="S191">
        <f t="shared" ref="S191" si="933">R191/100000</f>
        <v>845.49675039115812</v>
      </c>
      <c r="T191">
        <f t="shared" ref="T191:T197" si="934">S191/1000</f>
        <v>0.84549675039115813</v>
      </c>
    </row>
    <row r="192" spans="1:20" x14ac:dyDescent="0.25">
      <c r="A192" s="5">
        <v>44401</v>
      </c>
      <c r="B192">
        <v>7.8940000000000001</v>
      </c>
      <c r="C192">
        <v>8.5050000000000008</v>
      </c>
      <c r="D192">
        <v>7.4939999999999998</v>
      </c>
      <c r="E192">
        <v>8.4760000000000009</v>
      </c>
      <c r="F192">
        <v>11323595.123</v>
      </c>
      <c r="G192">
        <v>8.4760000000000009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0.9426310583580616</v>
      </c>
      <c r="Q192">
        <f t="shared" ref="Q192" si="936">F192*P192</f>
        <v>10673972.455211675</v>
      </c>
      <c r="R192">
        <f t="shared" ref="R192" si="937">R193+Q192</f>
        <v>82218799.382324234</v>
      </c>
      <c r="S192">
        <f t="shared" ref="S192" si="938">R192/100000</f>
        <v>822.18799382324232</v>
      </c>
      <c r="T192">
        <f t="shared" si="934"/>
        <v>0.82218799382324237</v>
      </c>
    </row>
    <row r="193" spans="1:20" x14ac:dyDescent="0.25">
      <c r="A193" s="5">
        <v>44400</v>
      </c>
      <c r="B193">
        <v>7.3360000000000003</v>
      </c>
      <c r="C193">
        <v>7.9329999999999998</v>
      </c>
      <c r="D193">
        <v>6.8789999999999996</v>
      </c>
      <c r="E193">
        <v>7.8860000000000001</v>
      </c>
      <c r="F193">
        <v>10117108.215</v>
      </c>
      <c r="G193">
        <v>7.8860000000000001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0.910815939278938</v>
      </c>
      <c r="Q193">
        <f t="shared" ref="Q193" si="940">F193*P193</f>
        <v>9214823.4216318838</v>
      </c>
      <c r="R193">
        <f t="shared" ref="R193" si="941">R194+Q193</f>
        <v>71544826.927112564</v>
      </c>
      <c r="S193">
        <f t="shared" ref="S193" si="942">R193/100000</f>
        <v>715.4482692711257</v>
      </c>
      <c r="T193">
        <f t="shared" si="934"/>
        <v>0.7154482692711257</v>
      </c>
    </row>
    <row r="194" spans="1:20" x14ac:dyDescent="0.25">
      <c r="A194" s="5">
        <v>44399</v>
      </c>
      <c r="B194">
        <v>6.6150000000000002</v>
      </c>
      <c r="C194">
        <v>7.4989999999999997</v>
      </c>
      <c r="D194">
        <v>6.569</v>
      </c>
      <c r="E194">
        <v>7.3339999999999996</v>
      </c>
      <c r="F194">
        <v>8525510.148</v>
      </c>
      <c r="G194">
        <v>7.3339999999999996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0.64516129032258041</v>
      </c>
      <c r="Q194">
        <f t="shared" ref="Q194" si="944">F194*P194</f>
        <v>5500329.1277419338</v>
      </c>
      <c r="R194">
        <f t="shared" ref="R194" si="945">R195+Q194</f>
        <v>62330003.505480684</v>
      </c>
      <c r="S194">
        <f t="shared" ref="S194" si="946">R194/100000</f>
        <v>623.30003505480681</v>
      </c>
      <c r="T194">
        <f t="shared" si="934"/>
        <v>0.6233000350548068</v>
      </c>
    </row>
    <row r="195" spans="1:20" x14ac:dyDescent="0.25">
      <c r="A195" s="5">
        <v>44398</v>
      </c>
      <c r="B195">
        <v>5.867</v>
      </c>
      <c r="C195">
        <v>6.7960000000000003</v>
      </c>
      <c r="D195">
        <v>5.6909999999999998</v>
      </c>
      <c r="E195">
        <v>6.6020000000000003</v>
      </c>
      <c r="F195">
        <v>8025391.8099999996</v>
      </c>
      <c r="G195">
        <v>6.6020000000000003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0.64886877828054323</v>
      </c>
      <c r="Q195">
        <f t="shared" ref="Q195" si="948">F195*P195</f>
        <v>5207426.1789773777</v>
      </c>
      <c r="R195">
        <f t="shared" ref="R195" si="949">R196+Q195</f>
        <v>56829674.377738751</v>
      </c>
      <c r="S195">
        <f t="shared" ref="S195" si="950">R195/100000</f>
        <v>568.29674377738752</v>
      </c>
      <c r="T195">
        <f t="shared" si="934"/>
        <v>0.56829674377738748</v>
      </c>
    </row>
    <row r="196" spans="1:20" x14ac:dyDescent="0.25">
      <c r="A196" s="5">
        <v>44397</v>
      </c>
      <c r="B196">
        <v>5.9740000000000002</v>
      </c>
      <c r="C196">
        <v>6.0570000000000004</v>
      </c>
      <c r="D196">
        <v>5.5890000000000004</v>
      </c>
      <c r="E196">
        <v>5.867</v>
      </c>
      <c r="F196">
        <v>5674011.602</v>
      </c>
      <c r="G196">
        <v>5.867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0.18803418803418631</v>
      </c>
      <c r="Q196">
        <f t="shared" ref="Q196" si="952">F196*P196</f>
        <v>1066908.1644786226</v>
      </c>
      <c r="R196">
        <f t="shared" ref="R196" si="953">R197+Q196</f>
        <v>51622248.198761374</v>
      </c>
      <c r="S196">
        <f t="shared" ref="S196" si="954">R196/100000</f>
        <v>516.22248198761372</v>
      </c>
      <c r="T196">
        <f t="shared" si="934"/>
        <v>0.51622248198761367</v>
      </c>
    </row>
    <row r="197" spans="1:20" x14ac:dyDescent="0.25">
      <c r="A197" s="5">
        <v>44396</v>
      </c>
      <c r="B197">
        <v>6.4889999999999999</v>
      </c>
      <c r="C197">
        <v>6.532</v>
      </c>
      <c r="D197">
        <v>5.9240000000000004</v>
      </c>
      <c r="E197">
        <v>5.97</v>
      </c>
      <c r="F197">
        <v>5354185.4060000004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-0.84868421052631771</v>
      </c>
      <c r="Q197">
        <f t="shared" ref="Q197" si="956">F197*P197</f>
        <v>-4544012.6143026426</v>
      </c>
      <c r="R197">
        <f t="shared" ref="R197" si="957">R198+Q197</f>
        <v>50555340.034282751</v>
      </c>
      <c r="S197">
        <f t="shared" ref="S197" si="958">R197/100000</f>
        <v>505.5534003428275</v>
      </c>
      <c r="T197">
        <f t="shared" si="934"/>
        <v>0.50555340034282747</v>
      </c>
    </row>
    <row r="198" spans="1:20" x14ac:dyDescent="0.25">
      <c r="A198" s="5">
        <v>44395</v>
      </c>
      <c r="B198">
        <v>6.492</v>
      </c>
      <c r="C198">
        <v>6.8920000000000003</v>
      </c>
      <c r="D198">
        <v>6.4640000000000004</v>
      </c>
      <c r="E198">
        <v>6.4829999999999997</v>
      </c>
      <c r="F198">
        <v>4442784.9289999995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-0.91121495327103152</v>
      </c>
      <c r="Q198">
        <f t="shared" ref="Q198:Q261" si="960">F198*P198</f>
        <v>-4048332.0614719777</v>
      </c>
      <c r="R198">
        <f t="shared" ref="R198:R261" si="961">R199+Q198</f>
        <v>55099352.648585394</v>
      </c>
      <c r="S198">
        <f t="shared" ref="S198:S261" si="962">R198/100000</f>
        <v>550.99352648585398</v>
      </c>
      <c r="T198">
        <f t="shared" ref="T198:T261" si="963">S198/1000</f>
        <v>0.55099352648585398</v>
      </c>
    </row>
    <row r="199" spans="1:20" x14ac:dyDescent="0.25">
      <c r="A199" s="5">
        <v>44394</v>
      </c>
      <c r="B199">
        <v>6.56</v>
      </c>
      <c r="C199">
        <v>6.7949999999999999</v>
      </c>
      <c r="D199">
        <v>6.26</v>
      </c>
      <c r="E199">
        <v>6.4950000000000001</v>
      </c>
      <c r="F199">
        <v>6087501.5379999997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-0.12149532710280278</v>
      </c>
      <c r="Q199">
        <f t="shared" si="960"/>
        <v>-739602.99059812492</v>
      </c>
      <c r="R199">
        <f t="shared" si="961"/>
        <v>59147684.71005737</v>
      </c>
      <c r="S199">
        <f t="shared" si="962"/>
        <v>591.47684710057365</v>
      </c>
      <c r="T199">
        <f t="shared" si="963"/>
        <v>0.59147684710057369</v>
      </c>
    </row>
    <row r="200" spans="1:20" x14ac:dyDescent="0.25">
      <c r="A200" s="5">
        <v>44393</v>
      </c>
      <c r="B200">
        <v>6.6669999999999998</v>
      </c>
      <c r="C200">
        <v>7.0090000000000003</v>
      </c>
      <c r="D200">
        <v>6.2140000000000004</v>
      </c>
      <c r="E200">
        <v>6.56</v>
      </c>
      <c r="F200">
        <v>8465474.6520000007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-0.1295597484276749</v>
      </c>
      <c r="Q200">
        <f t="shared" si="960"/>
        <v>-1096784.7662339788</v>
      </c>
      <c r="R200">
        <f t="shared" si="961"/>
        <v>59887287.700655498</v>
      </c>
      <c r="S200">
        <f t="shared" si="962"/>
        <v>598.87287700655497</v>
      </c>
      <c r="T200">
        <f t="shared" si="963"/>
        <v>0.598872877006555</v>
      </c>
    </row>
    <row r="201" spans="1:20" x14ac:dyDescent="0.25">
      <c r="A201" s="5">
        <v>44392</v>
      </c>
      <c r="B201">
        <v>6.9329999999999998</v>
      </c>
      <c r="C201">
        <v>7.2220000000000004</v>
      </c>
      <c r="D201">
        <v>6.4909999999999997</v>
      </c>
      <c r="E201">
        <v>6.665</v>
      </c>
      <c r="F201">
        <v>7521396.6909999996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-0.52393980848153165</v>
      </c>
      <c r="Q201">
        <f t="shared" si="960"/>
        <v>-3940759.1417961656</v>
      </c>
      <c r="R201">
        <f t="shared" si="961"/>
        <v>60984072.466889478</v>
      </c>
      <c r="S201">
        <f t="shared" si="962"/>
        <v>609.84072466889484</v>
      </c>
      <c r="T201">
        <f t="shared" si="963"/>
        <v>0.60984072466889483</v>
      </c>
    </row>
    <row r="202" spans="1:20" x14ac:dyDescent="0.25">
      <c r="A202" s="5">
        <v>44391</v>
      </c>
      <c r="B202">
        <v>7.1180000000000003</v>
      </c>
      <c r="C202">
        <v>7.4560000000000004</v>
      </c>
      <c r="D202">
        <v>6.5780000000000003</v>
      </c>
      <c r="E202">
        <v>6.9329999999999998</v>
      </c>
      <c r="F202">
        <v>14992845.592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-0.19134396355353192</v>
      </c>
      <c r="Q202">
        <f t="shared" si="960"/>
        <v>-2868790.50051938</v>
      </c>
      <c r="R202">
        <f t="shared" si="961"/>
        <v>64924831.608685642</v>
      </c>
      <c r="S202">
        <f t="shared" si="962"/>
        <v>649.24831608685645</v>
      </c>
      <c r="T202">
        <f t="shared" si="963"/>
        <v>0.6492483160868564</v>
      </c>
    </row>
    <row r="203" spans="1:20" x14ac:dyDescent="0.25">
      <c r="A203" s="5">
        <v>44390</v>
      </c>
      <c r="B203">
        <v>7.8639999999999999</v>
      </c>
      <c r="C203">
        <v>8.15</v>
      </c>
      <c r="D203">
        <v>6.9550000000000001</v>
      </c>
      <c r="E203">
        <v>7.1189999999999998</v>
      </c>
      <c r="F203">
        <v>8603893.0979999993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-0.72552301255230178</v>
      </c>
      <c r="Q203">
        <f t="shared" si="960"/>
        <v>-6242322.4401389165</v>
      </c>
      <c r="R203">
        <f t="shared" si="961"/>
        <v>67793622.109205022</v>
      </c>
      <c r="S203">
        <f t="shared" si="962"/>
        <v>677.93622109205023</v>
      </c>
      <c r="T203">
        <f t="shared" si="963"/>
        <v>0.67793622109205021</v>
      </c>
    </row>
    <row r="204" spans="1:20" x14ac:dyDescent="0.25">
      <c r="A204" s="5">
        <v>44389</v>
      </c>
      <c r="B204">
        <v>8.4450000000000003</v>
      </c>
      <c r="C204">
        <v>8.57</v>
      </c>
      <c r="D204">
        <v>7.5330000000000004</v>
      </c>
      <c r="E204">
        <v>7.8639999999999999</v>
      </c>
      <c r="F204">
        <v>9149241.8330000006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-0.36162005785921014</v>
      </c>
      <c r="Q204">
        <f t="shared" si="960"/>
        <v>-3308549.3610173659</v>
      </c>
      <c r="R204">
        <f t="shared" si="961"/>
        <v>74035944.549343944</v>
      </c>
      <c r="S204">
        <f t="shared" si="962"/>
        <v>740.35944549343947</v>
      </c>
      <c r="T204">
        <f t="shared" si="963"/>
        <v>0.74035944549343946</v>
      </c>
    </row>
    <row r="205" spans="1:20" x14ac:dyDescent="0.25">
      <c r="A205" s="5">
        <v>44388</v>
      </c>
      <c r="B205">
        <v>7.8929999999999998</v>
      </c>
      <c r="C205">
        <v>8.7279999999999998</v>
      </c>
      <c r="D205">
        <v>7.8860000000000001</v>
      </c>
      <c r="E205">
        <v>8.4440000000000008</v>
      </c>
      <c r="F205">
        <v>12097308.515000001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0.3254156769596222</v>
      </c>
      <c r="Q205">
        <f t="shared" si="960"/>
        <v>3936653.8397981273</v>
      </c>
      <c r="R205">
        <f t="shared" si="961"/>
        <v>77344493.910361305</v>
      </c>
      <c r="S205">
        <f t="shared" si="962"/>
        <v>773.44493910361302</v>
      </c>
      <c r="T205">
        <f t="shared" si="963"/>
        <v>0.77344493910361301</v>
      </c>
    </row>
    <row r="206" spans="1:20" x14ac:dyDescent="0.25">
      <c r="A206" s="5">
        <v>44387</v>
      </c>
      <c r="B206">
        <v>8.1020000000000003</v>
      </c>
      <c r="C206">
        <v>8.6</v>
      </c>
      <c r="D206">
        <v>7.4619999999999997</v>
      </c>
      <c r="E206">
        <v>7.8929999999999998</v>
      </c>
      <c r="F206">
        <v>13108450.952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-0.2425307557117749</v>
      </c>
      <c r="Q206">
        <f t="shared" si="960"/>
        <v>-3179202.515599295</v>
      </c>
      <c r="R206">
        <f t="shared" si="961"/>
        <v>73407840.070563182</v>
      </c>
      <c r="S206">
        <f t="shared" si="962"/>
        <v>734.07840070563179</v>
      </c>
      <c r="T206">
        <f t="shared" si="963"/>
        <v>0.7340784007056318</v>
      </c>
    </row>
    <row r="207" spans="1:20" x14ac:dyDescent="0.25">
      <c r="A207" s="5">
        <v>44386</v>
      </c>
      <c r="B207">
        <v>6.7080000000000002</v>
      </c>
      <c r="C207">
        <v>8.4499999999999993</v>
      </c>
      <c r="D207">
        <v>6.4390000000000001</v>
      </c>
      <c r="E207">
        <v>8.1029999999999998</v>
      </c>
      <c r="F207">
        <v>20640778.758000001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0.65489806066633549</v>
      </c>
      <c r="Q207">
        <f t="shared" si="960"/>
        <v>13517605.979257094</v>
      </c>
      <c r="R207">
        <f t="shared" si="961"/>
        <v>76587042.586162478</v>
      </c>
      <c r="S207">
        <f t="shared" si="962"/>
        <v>765.87042586162477</v>
      </c>
      <c r="T207">
        <f t="shared" si="963"/>
        <v>0.76587042586162479</v>
      </c>
    </row>
    <row r="208" spans="1:20" x14ac:dyDescent="0.25">
      <c r="A208" s="5">
        <v>44385</v>
      </c>
      <c r="B208">
        <v>7.1</v>
      </c>
      <c r="C208">
        <v>7.2140000000000004</v>
      </c>
      <c r="D208">
        <v>6.407</v>
      </c>
      <c r="E208">
        <v>6.7080000000000002</v>
      </c>
      <c r="F208">
        <v>12714171.665999999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-0.25402726146220567</v>
      </c>
      <c r="Q208">
        <f t="shared" si="960"/>
        <v>-3229746.2100743488</v>
      </c>
      <c r="R208">
        <f t="shared" si="961"/>
        <v>63069436.606905378</v>
      </c>
      <c r="S208">
        <f t="shared" si="962"/>
        <v>630.69436606905379</v>
      </c>
      <c r="T208">
        <f t="shared" si="963"/>
        <v>0.63069436606905382</v>
      </c>
    </row>
    <row r="209" spans="1:20" x14ac:dyDescent="0.25">
      <c r="A209" s="5">
        <v>44384</v>
      </c>
      <c r="B209">
        <v>6.5250000000000004</v>
      </c>
      <c r="C209">
        <v>7.7</v>
      </c>
      <c r="D209">
        <v>6.44</v>
      </c>
      <c r="E209">
        <v>7.1040000000000001</v>
      </c>
      <c r="F209">
        <v>17137934.022999998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5.3968253968253672E-2</v>
      </c>
      <c r="Q209">
        <f t="shared" si="960"/>
        <v>924904.37584443926</v>
      </c>
      <c r="R209">
        <f t="shared" si="961"/>
        <v>66299182.816979729</v>
      </c>
      <c r="S209">
        <f t="shared" si="962"/>
        <v>662.99182816979726</v>
      </c>
      <c r="T209">
        <f t="shared" si="963"/>
        <v>0.66299182816979729</v>
      </c>
    </row>
    <row r="210" spans="1:20" x14ac:dyDescent="0.25">
      <c r="A210" s="5">
        <v>44383</v>
      </c>
      <c r="B210">
        <v>6.0149999999999997</v>
      </c>
      <c r="C210">
        <v>6.5679999999999996</v>
      </c>
      <c r="D210">
        <v>5.9640000000000004</v>
      </c>
      <c r="E210">
        <v>6.5289999999999999</v>
      </c>
      <c r="F210">
        <v>9403857.8859999999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0.87086092715231866</v>
      </c>
      <c r="Q210">
        <f t="shared" si="960"/>
        <v>8189452.3974106032</v>
      </c>
      <c r="R210">
        <f t="shared" si="961"/>
        <v>65374278.441135287</v>
      </c>
      <c r="S210">
        <f t="shared" si="962"/>
        <v>653.74278441135289</v>
      </c>
      <c r="T210">
        <f t="shared" si="963"/>
        <v>0.65374278441135292</v>
      </c>
    </row>
    <row r="211" spans="1:20" x14ac:dyDescent="0.25">
      <c r="A211" s="5">
        <v>44382</v>
      </c>
      <c r="B211">
        <v>5.9569999999999999</v>
      </c>
      <c r="C211">
        <v>6.2</v>
      </c>
      <c r="D211">
        <v>5.6</v>
      </c>
      <c r="E211">
        <v>6.0149999999999997</v>
      </c>
      <c r="F211">
        <v>5216499.1619999995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0.38333333333333225</v>
      </c>
      <c r="Q211">
        <f t="shared" si="960"/>
        <v>1999658.0120999941</v>
      </c>
      <c r="R211">
        <f t="shared" si="961"/>
        <v>57184826.043724686</v>
      </c>
      <c r="S211">
        <f t="shared" si="962"/>
        <v>571.84826043724684</v>
      </c>
      <c r="T211">
        <f t="shared" si="963"/>
        <v>0.57184826043724679</v>
      </c>
    </row>
    <row r="212" spans="1:20" x14ac:dyDescent="0.25">
      <c r="A212" s="5">
        <v>44381</v>
      </c>
      <c r="B212">
        <v>5.8090000000000002</v>
      </c>
      <c r="C212">
        <v>6.23</v>
      </c>
      <c r="D212">
        <v>5.6609999999999996</v>
      </c>
      <c r="E212">
        <v>5.9589999999999996</v>
      </c>
      <c r="F212">
        <v>4892029.6310000001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4.7451669595780684E-2</v>
      </c>
      <c r="Q212">
        <f t="shared" si="960"/>
        <v>232134.9737029809</v>
      </c>
      <c r="R212">
        <f t="shared" si="961"/>
        <v>55185168.03162469</v>
      </c>
      <c r="S212">
        <f t="shared" si="962"/>
        <v>551.85168031624687</v>
      </c>
      <c r="T212">
        <f t="shared" si="963"/>
        <v>0.55185168031624687</v>
      </c>
    </row>
    <row r="213" spans="1:20" x14ac:dyDescent="0.25">
      <c r="A213" s="5">
        <v>44380</v>
      </c>
      <c r="B213">
        <v>5.7149999999999999</v>
      </c>
      <c r="C213">
        <v>5.984</v>
      </c>
      <c r="D213">
        <v>5.6130000000000004</v>
      </c>
      <c r="E213">
        <v>5.8070000000000004</v>
      </c>
      <c r="F213">
        <v>2875743.87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4.5822102425877004E-2</v>
      </c>
      <c r="Q213">
        <f t="shared" si="960"/>
        <v>131772.63016172792</v>
      </c>
      <c r="R213">
        <f t="shared" si="961"/>
        <v>54953033.057921708</v>
      </c>
      <c r="S213">
        <f t="shared" si="962"/>
        <v>549.53033057921709</v>
      </c>
      <c r="T213">
        <f t="shared" si="963"/>
        <v>0.54953033057921707</v>
      </c>
    </row>
    <row r="214" spans="1:20" x14ac:dyDescent="0.25">
      <c r="A214" s="5">
        <v>44379</v>
      </c>
      <c r="B214">
        <v>5.8810000000000002</v>
      </c>
      <c r="C214">
        <v>6.0869999999999997</v>
      </c>
      <c r="D214">
        <v>5.5030000000000001</v>
      </c>
      <c r="E214">
        <v>5.7110000000000003</v>
      </c>
      <c r="F214">
        <v>5173174.0870000003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-0.28767123287671126</v>
      </c>
      <c r="Q214">
        <f t="shared" si="960"/>
        <v>-1488173.3674931452</v>
      </c>
      <c r="R214">
        <f t="shared" si="961"/>
        <v>54821260.427759983</v>
      </c>
      <c r="S214">
        <f t="shared" si="962"/>
        <v>548.21260427759978</v>
      </c>
      <c r="T214">
        <f t="shared" si="963"/>
        <v>0.54821260427759977</v>
      </c>
    </row>
    <row r="215" spans="1:20" x14ac:dyDescent="0.25">
      <c r="A215" s="5">
        <v>44378</v>
      </c>
      <c r="B215">
        <v>6.5679999999999996</v>
      </c>
      <c r="C215">
        <v>6.57</v>
      </c>
      <c r="D215">
        <v>5.7119999999999997</v>
      </c>
      <c r="E215">
        <v>5.8819999999999997</v>
      </c>
      <c r="F215">
        <v>7788824.6840000004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-0.60372960372960416</v>
      </c>
      <c r="Q215">
        <f t="shared" si="960"/>
        <v>-4702344.0399906794</v>
      </c>
      <c r="R215">
        <f t="shared" si="961"/>
        <v>56309433.795253128</v>
      </c>
      <c r="S215">
        <f t="shared" si="962"/>
        <v>563.0943379525313</v>
      </c>
      <c r="T215">
        <f t="shared" si="963"/>
        <v>0.56309433795253128</v>
      </c>
    </row>
    <row r="216" spans="1:20" x14ac:dyDescent="0.25">
      <c r="A216" s="5">
        <v>44377</v>
      </c>
      <c r="B216">
        <v>6.008</v>
      </c>
      <c r="C216">
        <v>6.68</v>
      </c>
      <c r="D216">
        <v>5.6740000000000004</v>
      </c>
      <c r="E216">
        <v>6.5650000000000004</v>
      </c>
      <c r="F216">
        <v>10082204.005999999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0.771371769383699</v>
      </c>
      <c r="Q216">
        <f t="shared" si="960"/>
        <v>7777127.5433956375</v>
      </c>
      <c r="R216">
        <f t="shared" si="961"/>
        <v>61011777.835243806</v>
      </c>
      <c r="S216">
        <f t="shared" si="962"/>
        <v>610.11777835243811</v>
      </c>
      <c r="T216">
        <f t="shared" si="963"/>
        <v>0.61011777835243808</v>
      </c>
    </row>
    <row r="217" spans="1:20" x14ac:dyDescent="0.25">
      <c r="A217" s="5">
        <v>44376</v>
      </c>
      <c r="B217">
        <v>5.5369999999999999</v>
      </c>
      <c r="C217">
        <v>6.3250000000000002</v>
      </c>
      <c r="D217">
        <v>5.4050000000000002</v>
      </c>
      <c r="E217">
        <v>6.008</v>
      </c>
      <c r="F217">
        <v>8512833.5240000002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0.3108695652173909</v>
      </c>
      <c r="Q217">
        <f t="shared" si="960"/>
        <v>2646380.8563739099</v>
      </c>
      <c r="R217">
        <f t="shared" si="961"/>
        <v>53234650.291848168</v>
      </c>
      <c r="S217">
        <f t="shared" si="962"/>
        <v>532.34650291848163</v>
      </c>
      <c r="T217">
        <f t="shared" si="963"/>
        <v>0.53234650291848162</v>
      </c>
    </row>
    <row r="218" spans="1:20" x14ac:dyDescent="0.25">
      <c r="A218" s="5">
        <v>44375</v>
      </c>
      <c r="B218">
        <v>5.4160000000000004</v>
      </c>
      <c r="C218">
        <v>5.69</v>
      </c>
      <c r="D218">
        <v>5.1989999999999998</v>
      </c>
      <c r="E218">
        <v>5.5369999999999999</v>
      </c>
      <c r="F218">
        <v>5446198.6579999998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0.37678207739307412</v>
      </c>
      <c r="Q218">
        <f t="shared" si="960"/>
        <v>2052030.0442566124</v>
      </c>
      <c r="R218">
        <f t="shared" si="961"/>
        <v>50588269.435474262</v>
      </c>
      <c r="S218">
        <f t="shared" si="962"/>
        <v>505.88269435474263</v>
      </c>
      <c r="T218">
        <f t="shared" si="963"/>
        <v>0.50588269435474265</v>
      </c>
    </row>
    <row r="219" spans="1:20" x14ac:dyDescent="0.25">
      <c r="A219" s="5">
        <v>44374</v>
      </c>
      <c r="B219">
        <v>5.2050000000000001</v>
      </c>
      <c r="C219">
        <v>5.4409999999999998</v>
      </c>
      <c r="D219">
        <v>5.0730000000000004</v>
      </c>
      <c r="E219">
        <v>5.4169999999999998</v>
      </c>
      <c r="F219">
        <v>3054229.6209999998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0.86956521739130399</v>
      </c>
      <c r="Q219">
        <f t="shared" si="960"/>
        <v>2655851.8443478248</v>
      </c>
      <c r="R219">
        <f t="shared" si="961"/>
        <v>48536239.391217649</v>
      </c>
      <c r="S219">
        <f t="shared" si="962"/>
        <v>485.36239391217651</v>
      </c>
      <c r="T219">
        <f t="shared" si="963"/>
        <v>0.4853623939121765</v>
      </c>
    </row>
    <row r="220" spans="1:20" x14ac:dyDescent="0.25">
      <c r="A220" s="5">
        <v>44373</v>
      </c>
      <c r="B220">
        <v>5.05</v>
      </c>
      <c r="C220">
        <v>5.2960000000000003</v>
      </c>
      <c r="D220">
        <v>4.8940000000000001</v>
      </c>
      <c r="E220">
        <v>5.2009999999999996</v>
      </c>
      <c r="F220">
        <v>5144164.3389999997</v>
      </c>
      <c r="G220">
        <v>0</v>
      </c>
      <c r="L220" t="s">
        <v>8</v>
      </c>
      <c r="M220" t="s">
        <v>8</v>
      </c>
      <c r="N220" t="s">
        <v>7</v>
      </c>
      <c r="P220">
        <f t="shared" si="959"/>
        <v>0.52736318407959892</v>
      </c>
      <c r="Q220">
        <f t="shared" si="960"/>
        <v>2712842.8852437651</v>
      </c>
      <c r="R220">
        <f t="shared" si="961"/>
        <v>45880387.546869822</v>
      </c>
      <c r="S220">
        <f t="shared" si="962"/>
        <v>458.80387546869821</v>
      </c>
      <c r="T220">
        <f t="shared" si="963"/>
        <v>0.45880387546869822</v>
      </c>
    </row>
    <row r="221" spans="1:20" x14ac:dyDescent="0.25">
      <c r="A221" s="5">
        <v>44372</v>
      </c>
      <c r="B221">
        <v>5.4770000000000003</v>
      </c>
      <c r="C221">
        <v>5.593</v>
      </c>
      <c r="D221">
        <v>4.8470000000000004</v>
      </c>
      <c r="E221">
        <v>5.05</v>
      </c>
      <c r="F221">
        <v>7928720.5109999999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-0.45576407506702538</v>
      </c>
      <c r="Q221">
        <f t="shared" si="960"/>
        <v>-3613625.9701608676</v>
      </c>
      <c r="R221">
        <f t="shared" si="961"/>
        <v>43167544.661626056</v>
      </c>
      <c r="S221">
        <f t="shared" si="962"/>
        <v>431.67544661626056</v>
      </c>
      <c r="T221">
        <f t="shared" si="963"/>
        <v>0.43167544661626056</v>
      </c>
    </row>
    <row r="222" spans="1:20" x14ac:dyDescent="0.25">
      <c r="A222" s="5">
        <v>44371</v>
      </c>
      <c r="B222">
        <v>5.1980000000000004</v>
      </c>
      <c r="C222">
        <v>5.6070000000000002</v>
      </c>
      <c r="D222">
        <v>4.9950000000000001</v>
      </c>
      <c r="E222">
        <v>5.4770000000000003</v>
      </c>
      <c r="F222">
        <v>7187923.79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0.57516339869281086</v>
      </c>
      <c r="Q222">
        <f t="shared" si="960"/>
        <v>4134230.6766013103</v>
      </c>
      <c r="R222">
        <f t="shared" si="961"/>
        <v>46781170.63178692</v>
      </c>
      <c r="S222">
        <f t="shared" si="962"/>
        <v>467.81170631786921</v>
      </c>
      <c r="T222">
        <f t="shared" si="963"/>
        <v>0.46781170631786922</v>
      </c>
    </row>
    <row r="223" spans="1:20" x14ac:dyDescent="0.25">
      <c r="A223" s="5">
        <v>44370</v>
      </c>
      <c r="B223">
        <v>4.7270000000000003</v>
      </c>
      <c r="C223">
        <v>5.7750000000000004</v>
      </c>
      <c r="D223">
        <v>4.6050000000000004</v>
      </c>
      <c r="E223">
        <v>5.19</v>
      </c>
      <c r="F223">
        <v>13528112.907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</v>
      </c>
      <c r="Q223">
        <f t="shared" si="960"/>
        <v>0</v>
      </c>
      <c r="R223">
        <f t="shared" si="961"/>
        <v>42646939.955185607</v>
      </c>
      <c r="S223">
        <f t="shared" si="962"/>
        <v>426.46939955185604</v>
      </c>
      <c r="T223">
        <f t="shared" si="963"/>
        <v>0.42646939955185603</v>
      </c>
    </row>
    <row r="224" spans="1:20" x14ac:dyDescent="0.25">
      <c r="A224" s="5">
        <v>44369</v>
      </c>
      <c r="B224">
        <v>4.835</v>
      </c>
      <c r="C224">
        <v>5.47</v>
      </c>
      <c r="D224">
        <v>4.516</v>
      </c>
      <c r="E224">
        <v>4.7279999999999998</v>
      </c>
      <c r="F224">
        <v>16287915.606000001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-0.55555555555555602</v>
      </c>
      <c r="Q224">
        <f t="shared" si="960"/>
        <v>-9048842.0033333413</v>
      </c>
      <c r="R224">
        <f t="shared" si="961"/>
        <v>42646939.955185607</v>
      </c>
      <c r="S224">
        <f t="shared" si="962"/>
        <v>426.46939955185604</v>
      </c>
      <c r="T224">
        <f t="shared" si="963"/>
        <v>0.42646939955185603</v>
      </c>
    </row>
    <row r="225" spans="1:20" x14ac:dyDescent="0.25">
      <c r="A225" s="5">
        <v>44368</v>
      </c>
      <c r="B225">
        <v>5.8630000000000004</v>
      </c>
      <c r="C225">
        <v>5.9119999999999999</v>
      </c>
      <c r="D225">
        <v>4.7709999999999999</v>
      </c>
      <c r="E225">
        <v>4.8380000000000001</v>
      </c>
      <c r="F225">
        <v>10456612.437000001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-0.88255915863277801</v>
      </c>
      <c r="Q225">
        <f t="shared" si="960"/>
        <v>-9228579.0745477639</v>
      </c>
      <c r="R225">
        <f t="shared" si="961"/>
        <v>51695781.958518952</v>
      </c>
      <c r="S225">
        <f t="shared" si="962"/>
        <v>516.95781958518955</v>
      </c>
      <c r="T225">
        <f t="shared" si="963"/>
        <v>0.5169578195851896</v>
      </c>
    </row>
    <row r="226" spans="1:20" x14ac:dyDescent="0.25">
      <c r="A226" s="5">
        <v>44367</v>
      </c>
      <c r="B226">
        <v>5.726</v>
      </c>
      <c r="C226">
        <v>5.9</v>
      </c>
      <c r="D226">
        <v>5.375</v>
      </c>
      <c r="E226">
        <v>5.859</v>
      </c>
      <c r="F226">
        <v>5248222.5590000004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0.84380952380952245</v>
      </c>
      <c r="Q226">
        <f t="shared" si="960"/>
        <v>4428500.1783561837</v>
      </c>
      <c r="R226">
        <f t="shared" si="961"/>
        <v>60924361.03306672</v>
      </c>
      <c r="S226">
        <f t="shared" si="962"/>
        <v>609.24361033066725</v>
      </c>
      <c r="T226">
        <f t="shared" si="963"/>
        <v>0.60924361033066721</v>
      </c>
    </row>
    <row r="227" spans="1:20" x14ac:dyDescent="0.25">
      <c r="A227" s="5">
        <v>44366</v>
      </c>
      <c r="B227">
        <v>5.9539999999999997</v>
      </c>
      <c r="C227">
        <v>6.0419999999999998</v>
      </c>
      <c r="D227">
        <v>5.6440000000000001</v>
      </c>
      <c r="E227">
        <v>5.726</v>
      </c>
      <c r="F227">
        <v>4906834.1830000002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-0.58793969849246275</v>
      </c>
      <c r="Q227">
        <f t="shared" si="960"/>
        <v>-2884922.6101055299</v>
      </c>
      <c r="R227">
        <f t="shared" si="961"/>
        <v>56495860.854710534</v>
      </c>
      <c r="S227">
        <f t="shared" si="962"/>
        <v>564.95860854710531</v>
      </c>
      <c r="T227">
        <f t="shared" si="963"/>
        <v>0.56495860854710533</v>
      </c>
    </row>
    <row r="228" spans="1:20" x14ac:dyDescent="0.25">
      <c r="A228" s="5">
        <v>44365</v>
      </c>
      <c r="B228">
        <v>6.1589999999999998</v>
      </c>
      <c r="C228">
        <v>6.5949999999999998</v>
      </c>
      <c r="D228">
        <v>5.6840000000000002</v>
      </c>
      <c r="E228">
        <v>5.9539999999999997</v>
      </c>
      <c r="F228">
        <v>10943242.782</v>
      </c>
      <c r="G228">
        <v>0</v>
      </c>
      <c r="L228" t="s">
        <v>8</v>
      </c>
      <c r="M228" t="s">
        <v>7</v>
      </c>
      <c r="N228" t="s">
        <v>8</v>
      </c>
      <c r="P228">
        <f t="shared" si="959"/>
        <v>-0.40724478594950669</v>
      </c>
      <c r="Q228">
        <f t="shared" si="960"/>
        <v>-4456578.5643490739</v>
      </c>
      <c r="R228">
        <f t="shared" si="961"/>
        <v>59380783.464816064</v>
      </c>
      <c r="S228">
        <f t="shared" si="962"/>
        <v>593.80783464816068</v>
      </c>
      <c r="T228">
        <f t="shared" si="963"/>
        <v>0.59380783464816067</v>
      </c>
    </row>
    <row r="229" spans="1:20" x14ac:dyDescent="0.25">
      <c r="A229" s="5">
        <v>44364</v>
      </c>
      <c r="B229">
        <v>6.1760000000000002</v>
      </c>
      <c r="C229">
        <v>6.4379999999999997</v>
      </c>
      <c r="D229">
        <v>6.024</v>
      </c>
      <c r="E229">
        <v>6.1580000000000004</v>
      </c>
      <c r="F229">
        <v>5825129.9630000005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-0.35265700483091578</v>
      </c>
      <c r="Q229">
        <f t="shared" si="960"/>
        <v>-2054272.8855024034</v>
      </c>
      <c r="R229">
        <f t="shared" si="961"/>
        <v>63837362.029165141</v>
      </c>
      <c r="S229">
        <f t="shared" si="962"/>
        <v>638.37362029165138</v>
      </c>
      <c r="T229">
        <f t="shared" si="963"/>
        <v>0.63837362029165134</v>
      </c>
    </row>
    <row r="230" spans="1:20" x14ac:dyDescent="0.25">
      <c r="A230" s="5">
        <v>44363</v>
      </c>
      <c r="B230">
        <v>6.5780000000000003</v>
      </c>
      <c r="C230">
        <v>6.5810000000000004</v>
      </c>
      <c r="D230">
        <v>5.9619999999999997</v>
      </c>
      <c r="E230">
        <v>6.1749999999999998</v>
      </c>
      <c r="F230">
        <v>8840772.4149999991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-0.31179321486268224</v>
      </c>
      <c r="Q230">
        <f t="shared" si="960"/>
        <v>-2756492.8531421688</v>
      </c>
      <c r="R230">
        <f t="shared" si="961"/>
        <v>65891634.914667547</v>
      </c>
      <c r="S230">
        <f t="shared" si="962"/>
        <v>658.91634914667543</v>
      </c>
      <c r="T230">
        <f t="shared" si="963"/>
        <v>0.65891634914667541</v>
      </c>
    </row>
    <row r="231" spans="1:20" x14ac:dyDescent="0.25">
      <c r="A231" s="5">
        <v>44362</v>
      </c>
      <c r="B231">
        <v>6.1959999999999997</v>
      </c>
      <c r="C231">
        <v>6.8630000000000004</v>
      </c>
      <c r="D231">
        <v>6.056</v>
      </c>
      <c r="E231">
        <v>6.5810000000000004</v>
      </c>
      <c r="F231">
        <v>13175819.476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0.30111524163568798</v>
      </c>
      <c r="Q231">
        <f t="shared" si="960"/>
        <v>3967440.0652639437</v>
      </c>
      <c r="R231">
        <f t="shared" si="961"/>
        <v>68648127.767809719</v>
      </c>
      <c r="S231">
        <f t="shared" si="962"/>
        <v>686.48127767809717</v>
      </c>
      <c r="T231">
        <f t="shared" si="963"/>
        <v>0.68648127767809719</v>
      </c>
    </row>
    <row r="232" spans="1:20" x14ac:dyDescent="0.25">
      <c r="A232" s="5">
        <v>44361</v>
      </c>
      <c r="B232">
        <v>6.0510000000000002</v>
      </c>
      <c r="C232">
        <v>6.3319999999999999</v>
      </c>
      <c r="D232">
        <v>5.8209999999999997</v>
      </c>
      <c r="E232">
        <v>6.1980000000000004</v>
      </c>
      <c r="F232">
        <v>8428062.3650000002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0.47553816046966957</v>
      </c>
      <c r="Q232">
        <f t="shared" si="960"/>
        <v>4007865.2733757528</v>
      </c>
      <c r="R232">
        <f t="shared" si="961"/>
        <v>64680687.702545777</v>
      </c>
      <c r="S232">
        <f t="shared" si="962"/>
        <v>646.80687702545777</v>
      </c>
      <c r="T232">
        <f t="shared" si="963"/>
        <v>0.6468068770254578</v>
      </c>
    </row>
    <row r="233" spans="1:20" x14ac:dyDescent="0.25">
      <c r="A233" s="5">
        <v>44360</v>
      </c>
      <c r="B233">
        <v>5.4969999999999999</v>
      </c>
      <c r="C233">
        <v>6.14</v>
      </c>
      <c r="D233">
        <v>5.3490000000000002</v>
      </c>
      <c r="E233">
        <v>6.05</v>
      </c>
      <c r="F233">
        <v>7450567.0049999999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0.77243994943110006</v>
      </c>
      <c r="Q233">
        <f t="shared" si="960"/>
        <v>5755115.6005752226</v>
      </c>
      <c r="R233">
        <f t="shared" si="961"/>
        <v>60672822.429170027</v>
      </c>
      <c r="S233">
        <f t="shared" si="962"/>
        <v>606.72822429170026</v>
      </c>
      <c r="T233">
        <f t="shared" si="963"/>
        <v>0.60672822429170026</v>
      </c>
    </row>
    <row r="234" spans="1:20" x14ac:dyDescent="0.25">
      <c r="A234" s="5">
        <v>44359</v>
      </c>
      <c r="B234">
        <v>5.5620000000000003</v>
      </c>
      <c r="C234">
        <v>5.8819999999999997</v>
      </c>
      <c r="D234">
        <v>5.1559999999999997</v>
      </c>
      <c r="E234">
        <v>5.5</v>
      </c>
      <c r="F234">
        <v>11039933.963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-5.2341597796142378E-2</v>
      </c>
      <c r="Q234">
        <f t="shared" si="960"/>
        <v>-577847.78318731813</v>
      </c>
      <c r="R234">
        <f t="shared" si="961"/>
        <v>54917706.828594804</v>
      </c>
      <c r="S234">
        <f t="shared" si="962"/>
        <v>549.17706828594805</v>
      </c>
      <c r="T234">
        <f t="shared" si="963"/>
        <v>0.54917706828594803</v>
      </c>
    </row>
    <row r="235" spans="1:20" x14ac:dyDescent="0.25">
      <c r="A235" s="5">
        <v>44358</v>
      </c>
      <c r="B235">
        <v>6.1459999999999999</v>
      </c>
      <c r="C235">
        <v>6.35</v>
      </c>
      <c r="D235">
        <v>5.452</v>
      </c>
      <c r="E235">
        <v>5.5620000000000003</v>
      </c>
      <c r="F235">
        <v>12241250.267000001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-0.75501113585746027</v>
      </c>
      <c r="Q235">
        <f t="shared" si="960"/>
        <v>-9242280.2684031092</v>
      </c>
      <c r="R235">
        <f t="shared" si="961"/>
        <v>55495554.611782119</v>
      </c>
      <c r="S235">
        <f t="shared" si="962"/>
        <v>554.9555461178212</v>
      </c>
      <c r="T235">
        <f t="shared" si="963"/>
        <v>0.55495554611782116</v>
      </c>
    </row>
    <row r="236" spans="1:20" x14ac:dyDescent="0.25">
      <c r="A236" s="5">
        <v>44357</v>
      </c>
      <c r="B236">
        <v>6.0190000000000001</v>
      </c>
      <c r="C236">
        <v>6.5</v>
      </c>
      <c r="D236">
        <v>5.5620000000000003</v>
      </c>
      <c r="E236">
        <v>6.141</v>
      </c>
      <c r="F236">
        <v>18534538.359999999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0.23454157782515972</v>
      </c>
      <c r="Q236">
        <f t="shared" si="960"/>
        <v>4347119.8712153481</v>
      </c>
      <c r="R236">
        <f t="shared" si="961"/>
        <v>64737834.880185232</v>
      </c>
      <c r="S236">
        <f t="shared" si="962"/>
        <v>647.37834880185233</v>
      </c>
      <c r="T236">
        <f t="shared" si="963"/>
        <v>0.6473783488018523</v>
      </c>
    </row>
    <row r="237" spans="1:20" x14ac:dyDescent="0.25">
      <c r="A237" s="5">
        <v>44356</v>
      </c>
      <c r="B237">
        <v>5.5990000000000002</v>
      </c>
      <c r="C237">
        <v>6.0410000000000004</v>
      </c>
      <c r="D237">
        <v>5.25</v>
      </c>
      <c r="E237">
        <v>6.0209999999999999</v>
      </c>
      <c r="F237">
        <v>14214728.559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0.94943109987357666</v>
      </c>
      <c r="Q237">
        <f t="shared" si="960"/>
        <v>13495905.370175712</v>
      </c>
      <c r="R237">
        <f t="shared" si="961"/>
        <v>60390715.008969881</v>
      </c>
      <c r="S237">
        <f t="shared" si="962"/>
        <v>603.9071500896988</v>
      </c>
      <c r="T237">
        <f t="shared" si="963"/>
        <v>0.60390715008969875</v>
      </c>
    </row>
    <row r="238" spans="1:20" x14ac:dyDescent="0.25">
      <c r="A238" s="5">
        <v>44355</v>
      </c>
      <c r="B238">
        <v>5.5869999999999997</v>
      </c>
      <c r="C238">
        <v>5.7910000000000004</v>
      </c>
      <c r="D238">
        <v>4.8959999999999999</v>
      </c>
      <c r="E238">
        <v>5.5990000000000002</v>
      </c>
      <c r="F238">
        <v>18233516.169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0.57094972067039085</v>
      </c>
      <c r="Q238">
        <f t="shared" si="960"/>
        <v>10410420.963529605</v>
      </c>
      <c r="R238">
        <f t="shared" si="961"/>
        <v>46894809.638794169</v>
      </c>
      <c r="S238">
        <f t="shared" si="962"/>
        <v>468.94809638794169</v>
      </c>
      <c r="T238">
        <f t="shared" si="963"/>
        <v>0.46894809638794172</v>
      </c>
    </row>
    <row r="239" spans="1:20" x14ac:dyDescent="0.25">
      <c r="A239" s="5">
        <v>44354</v>
      </c>
      <c r="B239">
        <v>6.2530000000000001</v>
      </c>
      <c r="C239">
        <v>6.6589999999999998</v>
      </c>
      <c r="D239">
        <v>5.5</v>
      </c>
      <c r="E239">
        <v>5.59</v>
      </c>
      <c r="F239">
        <v>15598503.545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-0.84469370146678191</v>
      </c>
      <c r="Q239">
        <f t="shared" si="960"/>
        <v>-13175957.69676877</v>
      </c>
      <c r="R239">
        <f t="shared" si="961"/>
        <v>36484388.675264567</v>
      </c>
      <c r="S239">
        <f t="shared" si="962"/>
        <v>364.84388675264569</v>
      </c>
      <c r="T239">
        <f t="shared" si="963"/>
        <v>0.36484388675264567</v>
      </c>
    </row>
    <row r="240" spans="1:20" x14ac:dyDescent="0.25">
      <c r="A240" s="5">
        <v>44353</v>
      </c>
      <c r="B240">
        <v>6.04</v>
      </c>
      <c r="C240">
        <v>6.3380000000000001</v>
      </c>
      <c r="D240">
        <v>6.0220000000000002</v>
      </c>
      <c r="E240">
        <v>6.2519999999999998</v>
      </c>
      <c r="F240">
        <v>7783979.7949999999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0.45569620253164339</v>
      </c>
      <c r="Q240">
        <f t="shared" si="960"/>
        <v>3547130.0331645398</v>
      </c>
      <c r="R240">
        <f t="shared" si="961"/>
        <v>49660346.372033335</v>
      </c>
      <c r="S240">
        <f t="shared" si="962"/>
        <v>496.60346372033337</v>
      </c>
      <c r="T240">
        <f t="shared" si="963"/>
        <v>0.49660346372033337</v>
      </c>
    </row>
    <row r="241" spans="1:20" x14ac:dyDescent="0.25">
      <c r="A241" s="5">
        <v>44352</v>
      </c>
      <c r="B241">
        <v>6.3789999999999996</v>
      </c>
      <c r="C241">
        <v>6.907</v>
      </c>
      <c r="D241">
        <v>5.7409999999999997</v>
      </c>
      <c r="E241">
        <v>6.04</v>
      </c>
      <c r="F241">
        <v>19829980.173999999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-0.48713550600343003</v>
      </c>
      <c r="Q241">
        <f t="shared" si="960"/>
        <v>-9659887.4260994755</v>
      </c>
      <c r="R241">
        <f t="shared" si="961"/>
        <v>46113216.338868797</v>
      </c>
      <c r="S241">
        <f t="shared" si="962"/>
        <v>461.13216338868796</v>
      </c>
      <c r="T241">
        <f t="shared" si="963"/>
        <v>0.46113216338868795</v>
      </c>
    </row>
    <row r="242" spans="1:20" x14ac:dyDescent="0.25">
      <c r="A242" s="5">
        <v>44351</v>
      </c>
      <c r="B242">
        <v>7.6849999999999996</v>
      </c>
      <c r="C242">
        <v>7.6950000000000003</v>
      </c>
      <c r="D242">
        <v>5.8419999999999996</v>
      </c>
      <c r="E242">
        <v>6.3730000000000002</v>
      </c>
      <c r="F242">
        <v>33544762.581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-0.42687533729087923</v>
      </c>
      <c r="Q242">
        <f t="shared" si="960"/>
        <v>-14319431.841106839</v>
      </c>
      <c r="R242">
        <f t="shared" si="961"/>
        <v>55773103.764968269</v>
      </c>
      <c r="S242">
        <f t="shared" si="962"/>
        <v>557.73103764968266</v>
      </c>
      <c r="T242">
        <f t="shared" si="963"/>
        <v>0.55773103764968268</v>
      </c>
    </row>
    <row r="243" spans="1:20" x14ac:dyDescent="0.25">
      <c r="A243" s="5">
        <v>44350</v>
      </c>
      <c r="B243">
        <v>6.8319999999999999</v>
      </c>
      <c r="C243">
        <v>7.8689999999999998</v>
      </c>
      <c r="D243">
        <v>6.6840000000000002</v>
      </c>
      <c r="E243">
        <v>7.6769999999999996</v>
      </c>
      <c r="F243">
        <v>22974432.732000001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0.6759493670886072</v>
      </c>
      <c r="Q243">
        <f t="shared" si="960"/>
        <v>15529553.264415182</v>
      </c>
      <c r="R243">
        <f t="shared" si="961"/>
        <v>70092535.606075108</v>
      </c>
      <c r="S243">
        <f t="shared" si="962"/>
        <v>700.92535606075103</v>
      </c>
      <c r="T243">
        <f t="shared" si="963"/>
        <v>0.70092535606075101</v>
      </c>
    </row>
    <row r="244" spans="1:20" x14ac:dyDescent="0.25">
      <c r="A244" s="5">
        <v>44349</v>
      </c>
      <c r="B244">
        <v>6.2990000000000004</v>
      </c>
      <c r="C244">
        <v>7.25</v>
      </c>
      <c r="D244">
        <v>6.07</v>
      </c>
      <c r="E244">
        <v>6.8319999999999999</v>
      </c>
      <c r="F244">
        <v>15261389.825999999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0.29152542372881313</v>
      </c>
      <c r="Q244">
        <f t="shared" si="960"/>
        <v>4449083.1357152471</v>
      </c>
      <c r="R244">
        <f t="shared" si="961"/>
        <v>54562982.341659926</v>
      </c>
      <c r="S244">
        <f t="shared" si="962"/>
        <v>545.62982341659927</v>
      </c>
      <c r="T244">
        <f t="shared" si="963"/>
        <v>0.54562982341659927</v>
      </c>
    </row>
    <row r="245" spans="1:20" x14ac:dyDescent="0.25">
      <c r="A245" s="5">
        <v>44348</v>
      </c>
      <c r="B245">
        <v>6.5469999999999997</v>
      </c>
      <c r="C245">
        <v>6.6790000000000003</v>
      </c>
      <c r="D245">
        <v>6.077</v>
      </c>
      <c r="E245">
        <v>6.2939999999999996</v>
      </c>
      <c r="F245">
        <v>13788793.460999999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-0.27906976744186207</v>
      </c>
      <c r="Q245">
        <f t="shared" si="960"/>
        <v>-3848035.3844651384</v>
      </c>
      <c r="R245">
        <f t="shared" si="961"/>
        <v>50113899.20594468</v>
      </c>
      <c r="S245">
        <f t="shared" si="962"/>
        <v>501.13899205944682</v>
      </c>
      <c r="T245">
        <f t="shared" si="963"/>
        <v>0.50113899205944679</v>
      </c>
    </row>
    <row r="246" spans="1:20" x14ac:dyDescent="0.25">
      <c r="A246" s="5">
        <v>44347</v>
      </c>
      <c r="B246">
        <v>6.2</v>
      </c>
      <c r="C246">
        <v>6.6</v>
      </c>
      <c r="D246">
        <v>5.5839999999999996</v>
      </c>
      <c r="E246">
        <v>6.5460000000000003</v>
      </c>
      <c r="F246">
        <v>23680398.089000002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0.89370078740157599</v>
      </c>
      <c r="Q246">
        <f t="shared" si="960"/>
        <v>21163190.418122075</v>
      </c>
      <c r="R246">
        <f t="shared" si="961"/>
        <v>53961934.590409815</v>
      </c>
      <c r="S246">
        <f t="shared" si="962"/>
        <v>539.61934590409817</v>
      </c>
      <c r="T246">
        <f t="shared" si="963"/>
        <v>0.53961934590409821</v>
      </c>
    </row>
    <row r="247" spans="1:20" x14ac:dyDescent="0.25">
      <c r="A247" s="5">
        <v>44346</v>
      </c>
      <c r="B247">
        <v>5.5</v>
      </c>
      <c r="C247">
        <v>6.5990000000000002</v>
      </c>
      <c r="D247">
        <v>5.0830000000000002</v>
      </c>
      <c r="E247">
        <v>6.2030000000000003</v>
      </c>
      <c r="F247">
        <v>19840497.578000002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0.47757255936675475</v>
      </c>
      <c r="Q247">
        <f t="shared" si="960"/>
        <v>9475277.2074353602</v>
      </c>
      <c r="R247">
        <f t="shared" si="961"/>
        <v>32798744.17228774</v>
      </c>
      <c r="S247">
        <f t="shared" si="962"/>
        <v>327.98744172287741</v>
      </c>
      <c r="T247">
        <f t="shared" si="963"/>
        <v>0.32798744172287742</v>
      </c>
    </row>
    <row r="248" spans="1:20" x14ac:dyDescent="0.25">
      <c r="A248" s="5">
        <v>44345</v>
      </c>
      <c r="B248">
        <v>5.9009999999999998</v>
      </c>
      <c r="C248">
        <v>6.1449999999999996</v>
      </c>
      <c r="D248">
        <v>5.08</v>
      </c>
      <c r="E248">
        <v>5.4909999999999997</v>
      </c>
      <c r="F248">
        <v>15725520.097999999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-0.22816901408450746</v>
      </c>
      <c r="Q248">
        <f t="shared" si="960"/>
        <v>-3588076.4167267671</v>
      </c>
      <c r="R248">
        <f t="shared" si="961"/>
        <v>23323466.964852381</v>
      </c>
      <c r="S248">
        <f t="shared" si="962"/>
        <v>233.23466964852381</v>
      </c>
      <c r="T248">
        <f t="shared" si="963"/>
        <v>0.2332346696485238</v>
      </c>
    </row>
    <row r="249" spans="1:20" x14ac:dyDescent="0.25">
      <c r="A249" s="5">
        <v>44344</v>
      </c>
      <c r="B249">
        <v>6.7110000000000003</v>
      </c>
      <c r="C249">
        <v>6.8680000000000003</v>
      </c>
      <c r="D249">
        <v>5.3620000000000001</v>
      </c>
      <c r="E249">
        <v>5.9020000000000001</v>
      </c>
      <c r="F249">
        <v>29544278.248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-0.28286852589641442</v>
      </c>
      <c r="Q249">
        <f t="shared" si="960"/>
        <v>-8357146.4366852613</v>
      </c>
      <c r="R249">
        <f t="shared" si="961"/>
        <v>26911543.38157915</v>
      </c>
      <c r="S249">
        <f t="shared" si="962"/>
        <v>269.1154338157915</v>
      </c>
      <c r="T249">
        <f t="shared" si="963"/>
        <v>0.2691154338157915</v>
      </c>
    </row>
    <row r="250" spans="1:20" x14ac:dyDescent="0.25">
      <c r="A250" s="5">
        <v>44343</v>
      </c>
      <c r="B250">
        <v>7.335</v>
      </c>
      <c r="C250">
        <v>7.3630000000000004</v>
      </c>
      <c r="D250">
        <v>6.4009999999999998</v>
      </c>
      <c r="E250">
        <v>6.7110000000000003</v>
      </c>
      <c r="F250">
        <v>24916543.916999999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-0.35550935550935492</v>
      </c>
      <c r="Q250">
        <f t="shared" si="960"/>
        <v>-8858064.4694532081</v>
      </c>
      <c r="R250">
        <f t="shared" si="961"/>
        <v>35268689.81826441</v>
      </c>
      <c r="S250">
        <f t="shared" si="962"/>
        <v>352.68689818264409</v>
      </c>
      <c r="T250">
        <f t="shared" si="963"/>
        <v>0.35268689818264409</v>
      </c>
    </row>
    <row r="251" spans="1:20" x14ac:dyDescent="0.25">
      <c r="A251" s="5">
        <v>44342</v>
      </c>
      <c r="B251">
        <v>6.6559999999999997</v>
      </c>
      <c r="C251">
        <v>7.9649999999999999</v>
      </c>
      <c r="D251">
        <v>6.3570000000000002</v>
      </c>
      <c r="E251">
        <v>7.3369999999999997</v>
      </c>
      <c r="F251">
        <v>42004568.513999999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0.21890547263681562</v>
      </c>
      <c r="Q251">
        <f t="shared" si="960"/>
        <v>9195029.923462674</v>
      </c>
      <c r="R251">
        <f t="shared" si="961"/>
        <v>44126754.287717618</v>
      </c>
      <c r="S251">
        <f t="shared" si="962"/>
        <v>441.2675428771762</v>
      </c>
      <c r="T251">
        <f t="shared" si="963"/>
        <v>0.44126754287717618</v>
      </c>
    </row>
    <row r="252" spans="1:20" x14ac:dyDescent="0.25">
      <c r="A252" s="5">
        <v>44341</v>
      </c>
      <c r="B252">
        <v>6.6369999999999996</v>
      </c>
      <c r="C252">
        <v>7.0439999999999996</v>
      </c>
      <c r="D252">
        <v>5.173</v>
      </c>
      <c r="E252">
        <v>6.657</v>
      </c>
      <c r="F252">
        <v>52035956.193999998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0.58631747728487471</v>
      </c>
      <c r="Q252">
        <f t="shared" si="960"/>
        <v>30509590.563772328</v>
      </c>
      <c r="R252">
        <f t="shared" si="961"/>
        <v>34931724.364254944</v>
      </c>
      <c r="S252">
        <f t="shared" si="962"/>
        <v>349.31724364254944</v>
      </c>
      <c r="T252">
        <f t="shared" si="963"/>
        <v>0.34931724364254946</v>
      </c>
    </row>
    <row r="253" spans="1:20" x14ac:dyDescent="0.25">
      <c r="A253" s="5">
        <v>44340</v>
      </c>
      <c r="B253">
        <v>4.0880000000000001</v>
      </c>
      <c r="C253">
        <v>7.33</v>
      </c>
      <c r="D253">
        <v>4.08</v>
      </c>
      <c r="E253">
        <v>6.6360000000000001</v>
      </c>
      <c r="F253">
        <v>73542562.328999996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0.57292307692307698</v>
      </c>
      <c r="Q253">
        <f t="shared" si="960"/>
        <v>42134231.094337851</v>
      </c>
      <c r="R253">
        <f t="shared" si="961"/>
        <v>4422133.8004826158</v>
      </c>
      <c r="S253">
        <f t="shared" si="962"/>
        <v>44.221338004826158</v>
      </c>
      <c r="T253">
        <f t="shared" si="963"/>
        <v>4.4221338004826159E-2</v>
      </c>
    </row>
    <row r="254" spans="1:20" x14ac:dyDescent="0.25">
      <c r="A254" s="5">
        <v>44339</v>
      </c>
      <c r="B254">
        <v>6.5940000000000003</v>
      </c>
      <c r="C254">
        <v>7.1870000000000003</v>
      </c>
      <c r="D254">
        <v>3.91</v>
      </c>
      <c r="E254">
        <v>4.0860000000000003</v>
      </c>
      <c r="F254">
        <v>42577862.626999997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-0.89258468111077194</v>
      </c>
      <c r="Q254">
        <f t="shared" si="960"/>
        <v>-38004347.935299046</v>
      </c>
      <c r="R254">
        <f t="shared" si="961"/>
        <v>-37712097.293855235</v>
      </c>
      <c r="S254">
        <f t="shared" si="962"/>
        <v>-377.12097293855237</v>
      </c>
      <c r="T254">
        <f t="shared" si="963"/>
        <v>-0.37712097293855235</v>
      </c>
    </row>
    <row r="255" spans="1:20" x14ac:dyDescent="0.25">
      <c r="A255" s="5">
        <v>44338</v>
      </c>
      <c r="B255">
        <v>8.2620000000000005</v>
      </c>
      <c r="C255">
        <v>8.3160000000000007</v>
      </c>
      <c r="D255">
        <v>6.5140000000000002</v>
      </c>
      <c r="E255">
        <v>6.5940000000000003</v>
      </c>
      <c r="F255">
        <v>20492898.590999998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-0.91120976692563815</v>
      </c>
      <c r="Q255">
        <f t="shared" si="960"/>
        <v>-18673329.348735847</v>
      </c>
      <c r="R255">
        <f t="shared" si="961"/>
        <v>292250.64144381136</v>
      </c>
      <c r="S255">
        <f t="shared" si="962"/>
        <v>2.9225064144381134</v>
      </c>
      <c r="T255">
        <f t="shared" si="963"/>
        <v>2.9225064144381132E-3</v>
      </c>
    </row>
    <row r="256" spans="1:20" x14ac:dyDescent="0.25">
      <c r="A256" s="5">
        <v>44337</v>
      </c>
      <c r="B256">
        <v>10.365</v>
      </c>
      <c r="C256">
        <v>11.615</v>
      </c>
      <c r="D256">
        <v>7.165</v>
      </c>
      <c r="E256">
        <v>8.2620000000000005</v>
      </c>
      <c r="F256">
        <v>20325079.842999998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-0.50696629213483124</v>
      </c>
      <c r="Q256">
        <f t="shared" si="960"/>
        <v>-10304130.365350107</v>
      </c>
      <c r="R256">
        <f t="shared" si="961"/>
        <v>18965579.990179658</v>
      </c>
      <c r="S256">
        <f t="shared" si="962"/>
        <v>189.65579990179657</v>
      </c>
      <c r="T256">
        <f t="shared" si="963"/>
        <v>0.18965579990179657</v>
      </c>
    </row>
    <row r="257" spans="1:20" x14ac:dyDescent="0.25">
      <c r="A257" s="5">
        <v>44336</v>
      </c>
      <c r="B257">
        <v>9.49</v>
      </c>
      <c r="C257">
        <v>11.84</v>
      </c>
      <c r="D257">
        <v>8.0879999999999992</v>
      </c>
      <c r="E257">
        <v>10.35</v>
      </c>
      <c r="F257">
        <v>23145818.072999999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0.20575692963752668</v>
      </c>
      <c r="Q257">
        <f t="shared" si="960"/>
        <v>4762412.4606492538</v>
      </c>
      <c r="R257">
        <f t="shared" si="961"/>
        <v>29269710.355529763</v>
      </c>
      <c r="S257">
        <f t="shared" si="962"/>
        <v>292.69710355529764</v>
      </c>
      <c r="T257">
        <f t="shared" si="963"/>
        <v>0.29269710355529766</v>
      </c>
    </row>
    <row r="258" spans="1:20" x14ac:dyDescent="0.25">
      <c r="A258" s="5">
        <v>44335</v>
      </c>
      <c r="B258">
        <v>15.663</v>
      </c>
      <c r="C258">
        <v>15.930999999999999</v>
      </c>
      <c r="D258">
        <v>9.1</v>
      </c>
      <c r="E258">
        <v>9.4770000000000003</v>
      </c>
      <c r="F258">
        <v>24196506.572000001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-0.88962084614258508</v>
      </c>
      <c r="Q258">
        <f t="shared" si="960"/>
        <v>-21525716.650277261</v>
      </c>
      <c r="R258">
        <f t="shared" si="961"/>
        <v>24507297.894880507</v>
      </c>
      <c r="S258">
        <f t="shared" si="962"/>
        <v>245.07297894880506</v>
      </c>
      <c r="T258">
        <f t="shared" si="963"/>
        <v>0.24507297894880506</v>
      </c>
    </row>
    <row r="259" spans="1:20" x14ac:dyDescent="0.25">
      <c r="A259" s="5">
        <v>44334</v>
      </c>
      <c r="B259">
        <v>14.964</v>
      </c>
      <c r="C259">
        <v>16.8</v>
      </c>
      <c r="D259">
        <v>14.643000000000001</v>
      </c>
      <c r="E259">
        <v>15.657999999999999</v>
      </c>
      <c r="F259">
        <v>8825560.4560000002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-5.8878071395457789E-2</v>
      </c>
      <c r="Q259">
        <f t="shared" si="960"/>
        <v>-519631.97863329703</v>
      </c>
      <c r="R259">
        <f t="shared" si="961"/>
        <v>46033014.545157768</v>
      </c>
      <c r="S259">
        <f t="shared" si="962"/>
        <v>460.33014545157766</v>
      </c>
      <c r="T259">
        <f t="shared" si="963"/>
        <v>0.46033014545157769</v>
      </c>
    </row>
    <row r="260" spans="1:20" x14ac:dyDescent="0.25">
      <c r="A260" s="5">
        <v>44333</v>
      </c>
      <c r="B260">
        <v>16.172999999999998</v>
      </c>
      <c r="C260">
        <v>16.187999999999999</v>
      </c>
      <c r="D260">
        <v>14.688000000000001</v>
      </c>
      <c r="E260">
        <v>14.952999999999999</v>
      </c>
      <c r="F260">
        <v>8344786.9170000004</v>
      </c>
      <c r="G260">
        <v>0</v>
      </c>
      <c r="L260" t="s">
        <v>7</v>
      </c>
      <c r="M260" t="s">
        <v>8</v>
      </c>
      <c r="N260" t="s">
        <v>7</v>
      </c>
      <c r="P260">
        <f t="shared" si="959"/>
        <v>-0.64666666666666783</v>
      </c>
      <c r="Q260">
        <f t="shared" si="960"/>
        <v>-5396295.5396600096</v>
      </c>
      <c r="R260">
        <f t="shared" si="961"/>
        <v>46552646.523791067</v>
      </c>
      <c r="S260">
        <f t="shared" si="962"/>
        <v>465.52646523791066</v>
      </c>
      <c r="T260">
        <f t="shared" si="963"/>
        <v>0.46552646523791064</v>
      </c>
    </row>
    <row r="261" spans="1:20" x14ac:dyDescent="0.25">
      <c r="A261" s="5">
        <v>44332</v>
      </c>
      <c r="B261">
        <v>15.211</v>
      </c>
      <c r="C261">
        <v>17.411999999999999</v>
      </c>
      <c r="D261">
        <v>15.167999999999999</v>
      </c>
      <c r="E261">
        <v>16.167999999999999</v>
      </c>
      <c r="F261">
        <v>10580210.960000001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-0.10873440285204983</v>
      </c>
      <c r="Q261">
        <f t="shared" si="960"/>
        <v>-1150432.920784313</v>
      </c>
      <c r="R261">
        <f t="shared" si="961"/>
        <v>51948942.063451074</v>
      </c>
      <c r="S261">
        <f t="shared" si="962"/>
        <v>519.48942063451079</v>
      </c>
      <c r="T261">
        <f t="shared" si="963"/>
        <v>0.51948942063451076</v>
      </c>
    </row>
    <row r="262" spans="1:20" x14ac:dyDescent="0.25">
      <c r="A262" s="5">
        <v>44331</v>
      </c>
      <c r="B262">
        <v>16.399000000000001</v>
      </c>
      <c r="C262">
        <v>16.617000000000001</v>
      </c>
      <c r="D262">
        <v>15.151999999999999</v>
      </c>
      <c r="E262">
        <v>15.21</v>
      </c>
      <c r="F262">
        <v>5984644.3080000002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-0.92081911262798422</v>
      </c>
      <c r="Q262">
        <f t="shared" ref="Q262:Q325" si="965">F262*P262</f>
        <v>-5510774.8610866768</v>
      </c>
      <c r="R262">
        <f t="shared" ref="R262:R325" si="966">R263+Q262</f>
        <v>53099374.984235384</v>
      </c>
      <c r="S262">
        <f t="shared" ref="S262:S325" si="967">R262/100000</f>
        <v>530.99374984235385</v>
      </c>
      <c r="T262">
        <f t="shared" ref="T262:T325" si="968">S262/1000</f>
        <v>0.53099374984235381</v>
      </c>
    </row>
    <row r="263" spans="1:20" x14ac:dyDescent="0.25">
      <c r="A263" s="5">
        <v>44330</v>
      </c>
      <c r="B263">
        <v>15.911</v>
      </c>
      <c r="C263">
        <v>16.962</v>
      </c>
      <c r="D263">
        <v>15.180999999999999</v>
      </c>
      <c r="E263">
        <v>16.402999999999999</v>
      </c>
      <c r="F263">
        <v>6424376.9110000003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0.37226277372262678</v>
      </c>
      <c r="Q263">
        <f t="shared" si="965"/>
        <v>2391556.368328461</v>
      </c>
      <c r="R263">
        <f t="shared" si="966"/>
        <v>58610149.845322058</v>
      </c>
      <c r="S263">
        <f t="shared" si="967"/>
        <v>586.10149845322053</v>
      </c>
      <c r="T263">
        <f t="shared" si="968"/>
        <v>0.58610149845322057</v>
      </c>
    </row>
    <row r="264" spans="1:20" x14ac:dyDescent="0.25">
      <c r="A264" s="5">
        <v>44329</v>
      </c>
      <c r="B264">
        <v>14.645</v>
      </c>
      <c r="C264">
        <v>17.024999999999999</v>
      </c>
      <c r="D264">
        <v>13.526</v>
      </c>
      <c r="E264">
        <v>15.911</v>
      </c>
      <c r="F264">
        <v>13802002.388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0.36324664189768541</v>
      </c>
      <c r="Q264">
        <f t="shared" si="965"/>
        <v>5013531.018904835</v>
      </c>
      <c r="R264">
        <f t="shared" si="966"/>
        <v>56218593.476993598</v>
      </c>
      <c r="S264">
        <f t="shared" si="967"/>
        <v>562.18593476993601</v>
      </c>
      <c r="T264">
        <f t="shared" si="968"/>
        <v>0.56218593476993606</v>
      </c>
    </row>
    <row r="265" spans="1:20" x14ac:dyDescent="0.25">
      <c r="A265" s="5">
        <v>44328</v>
      </c>
      <c r="B265">
        <v>16.308</v>
      </c>
      <c r="C265">
        <v>17.914000000000001</v>
      </c>
      <c r="D265">
        <v>14.419</v>
      </c>
      <c r="E265">
        <v>14.619</v>
      </c>
      <c r="F265">
        <v>12240061.804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-0.88555078683834088</v>
      </c>
      <c r="Q265">
        <f t="shared" si="965"/>
        <v>-10839196.361482121</v>
      </c>
      <c r="R265">
        <f t="shared" si="966"/>
        <v>51205062.458088763</v>
      </c>
      <c r="S265">
        <f t="shared" si="967"/>
        <v>512.05062458088764</v>
      </c>
      <c r="T265">
        <f t="shared" si="968"/>
        <v>0.51205062458088768</v>
      </c>
    </row>
    <row r="266" spans="1:20" x14ac:dyDescent="0.25">
      <c r="A266" s="5">
        <v>44327</v>
      </c>
      <c r="B266">
        <v>15.840999999999999</v>
      </c>
      <c r="C266">
        <v>16.442</v>
      </c>
      <c r="D266">
        <v>15.222</v>
      </c>
      <c r="E266">
        <v>16.309999999999999</v>
      </c>
      <c r="F266">
        <v>5635023.2359999996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0.78360655737704688</v>
      </c>
      <c r="Q266">
        <f t="shared" si="965"/>
        <v>4415641.1587016257</v>
      </c>
      <c r="R266">
        <f t="shared" si="966"/>
        <v>62044258.819570884</v>
      </c>
      <c r="S266">
        <f t="shared" si="967"/>
        <v>620.44258819570882</v>
      </c>
      <c r="T266">
        <f t="shared" si="968"/>
        <v>0.62044258819570886</v>
      </c>
    </row>
    <row r="267" spans="1:20" x14ac:dyDescent="0.25">
      <c r="A267" s="5">
        <v>44326</v>
      </c>
      <c r="B267">
        <v>16.991</v>
      </c>
      <c r="C267">
        <v>18.225999999999999</v>
      </c>
      <c r="D267">
        <v>15.4</v>
      </c>
      <c r="E267">
        <v>15.85</v>
      </c>
      <c r="F267">
        <v>10346730.069</v>
      </c>
      <c r="G267">
        <v>0</v>
      </c>
      <c r="L267" t="s">
        <v>8</v>
      </c>
      <c r="M267" t="s">
        <v>7</v>
      </c>
      <c r="N267" t="s">
        <v>8</v>
      </c>
      <c r="P267">
        <f t="shared" si="964"/>
        <v>-0.68152866242038257</v>
      </c>
      <c r="Q267">
        <f t="shared" si="965"/>
        <v>-7051593.1043503229</v>
      </c>
      <c r="R267">
        <f t="shared" si="966"/>
        <v>57628617.660869256</v>
      </c>
      <c r="S267">
        <f t="shared" si="967"/>
        <v>576.28617660869259</v>
      </c>
      <c r="T267">
        <f t="shared" si="968"/>
        <v>0.57628617660869264</v>
      </c>
    </row>
    <row r="268" spans="1:20" x14ac:dyDescent="0.25">
      <c r="A268" s="5">
        <v>44325</v>
      </c>
      <c r="B268">
        <v>16.991</v>
      </c>
      <c r="C268">
        <v>17.489999999999998</v>
      </c>
      <c r="D268">
        <v>16.683</v>
      </c>
      <c r="E268">
        <v>16.992000000000001</v>
      </c>
      <c r="F268">
        <v>5449983.0520000001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-0.23420074349441986</v>
      </c>
      <c r="Q268">
        <f t="shared" si="965"/>
        <v>-1276390.0828103875</v>
      </c>
      <c r="R268">
        <f t="shared" si="966"/>
        <v>64680210.765219577</v>
      </c>
      <c r="S268">
        <f t="shared" si="967"/>
        <v>646.80210765219579</v>
      </c>
      <c r="T268">
        <f t="shared" si="968"/>
        <v>0.64680210765219581</v>
      </c>
    </row>
    <row r="269" spans="1:20" x14ac:dyDescent="0.25">
      <c r="A269" s="5">
        <v>44324</v>
      </c>
      <c r="B269">
        <v>16.545000000000002</v>
      </c>
      <c r="C269">
        <v>17.145</v>
      </c>
      <c r="D269">
        <v>16.510000000000002</v>
      </c>
      <c r="E269">
        <v>16.991</v>
      </c>
      <c r="F269">
        <v>4705262.9170000004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0.51496062992125857</v>
      </c>
      <c r="Q269">
        <f t="shared" si="965"/>
        <v>2423025.1556834588</v>
      </c>
      <c r="R269">
        <f t="shared" si="966"/>
        <v>65956600.848029964</v>
      </c>
      <c r="S269">
        <f t="shared" si="967"/>
        <v>659.56600848029962</v>
      </c>
      <c r="T269">
        <f t="shared" si="968"/>
        <v>0.65956600848029967</v>
      </c>
    </row>
    <row r="270" spans="1:20" x14ac:dyDescent="0.25">
      <c r="A270" s="5">
        <v>44323</v>
      </c>
      <c r="B270">
        <v>16.774999999999999</v>
      </c>
      <c r="C270">
        <v>16.954999999999998</v>
      </c>
      <c r="D270">
        <v>16.440000000000001</v>
      </c>
      <c r="E270">
        <v>16.545000000000002</v>
      </c>
      <c r="F270">
        <v>5157442.9910000004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-0.59223300970873383</v>
      </c>
      <c r="Q270">
        <f t="shared" si="965"/>
        <v>-3054407.9849611446</v>
      </c>
      <c r="R270">
        <f t="shared" si="966"/>
        <v>63533575.692346506</v>
      </c>
      <c r="S270">
        <f t="shared" si="967"/>
        <v>635.33575692346506</v>
      </c>
      <c r="T270">
        <f t="shared" si="968"/>
        <v>0.635335756923465</v>
      </c>
    </row>
    <row r="271" spans="1:20" x14ac:dyDescent="0.25">
      <c r="A271" s="5">
        <v>44322</v>
      </c>
      <c r="B271">
        <v>17.02</v>
      </c>
      <c r="C271">
        <v>17.445</v>
      </c>
      <c r="D271">
        <v>16.311</v>
      </c>
      <c r="E271">
        <v>16.776</v>
      </c>
      <c r="F271">
        <v>8970875.6889999993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-0.17989417989418038</v>
      </c>
      <c r="Q271">
        <f t="shared" si="965"/>
        <v>-1613808.3250052952</v>
      </c>
      <c r="R271">
        <f t="shared" si="966"/>
        <v>66587983.67730765</v>
      </c>
      <c r="S271">
        <f t="shared" si="967"/>
        <v>665.87983677307648</v>
      </c>
      <c r="T271">
        <f t="shared" si="968"/>
        <v>0.66587983677307649</v>
      </c>
    </row>
    <row r="272" spans="1:20" x14ac:dyDescent="0.25">
      <c r="A272" s="5">
        <v>44321</v>
      </c>
      <c r="B272">
        <v>16.29</v>
      </c>
      <c r="C272">
        <v>17.52</v>
      </c>
      <c r="D272">
        <v>16.254000000000001</v>
      </c>
      <c r="E272">
        <v>17.023</v>
      </c>
      <c r="F272">
        <v>8630435.6239999998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0.21484992101105754</v>
      </c>
      <c r="Q272">
        <f t="shared" si="965"/>
        <v>1854248.4121074171</v>
      </c>
      <c r="R272">
        <f t="shared" si="966"/>
        <v>68201792.002312943</v>
      </c>
      <c r="S272">
        <f t="shared" si="967"/>
        <v>682.01792002312948</v>
      </c>
      <c r="T272">
        <f t="shared" si="968"/>
        <v>0.68201792002312944</v>
      </c>
    </row>
    <row r="273" spans="1:20" x14ac:dyDescent="0.25">
      <c r="A273" s="5">
        <v>44320</v>
      </c>
      <c r="B273">
        <v>17.251000000000001</v>
      </c>
      <c r="C273">
        <v>17.449000000000002</v>
      </c>
      <c r="D273">
        <v>15.641999999999999</v>
      </c>
      <c r="E273">
        <v>16.286000000000001</v>
      </c>
      <c r="F273">
        <v>9581459.1940000001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-0.28721638074155936</v>
      </c>
      <c r="Q273">
        <f t="shared" si="965"/>
        <v>-2751952.0319236186</v>
      </c>
      <c r="R273">
        <f t="shared" si="966"/>
        <v>66347543.59020552</v>
      </c>
      <c r="S273">
        <f t="shared" si="967"/>
        <v>663.47543590205521</v>
      </c>
      <c r="T273">
        <f t="shared" si="968"/>
        <v>0.66347543590205516</v>
      </c>
    </row>
    <row r="274" spans="1:20" x14ac:dyDescent="0.25">
      <c r="A274" s="5">
        <v>44319</v>
      </c>
      <c r="B274">
        <v>17.137</v>
      </c>
      <c r="C274">
        <v>19.199000000000002</v>
      </c>
      <c r="D274">
        <v>17.068999999999999</v>
      </c>
      <c r="E274">
        <v>17.244</v>
      </c>
      <c r="F274">
        <v>13379470.893999999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-0.83568075117370844</v>
      </c>
      <c r="Q274">
        <f t="shared" si="965"/>
        <v>-11180966.287004689</v>
      </c>
      <c r="R274">
        <f t="shared" si="966"/>
        <v>69099495.622129142</v>
      </c>
      <c r="S274">
        <f t="shared" si="967"/>
        <v>690.99495622129143</v>
      </c>
      <c r="T274">
        <f t="shared" si="968"/>
        <v>0.69099495622129148</v>
      </c>
    </row>
    <row r="275" spans="1:20" x14ac:dyDescent="0.25">
      <c r="A275" s="5">
        <v>44318</v>
      </c>
      <c r="B275">
        <v>16.553000000000001</v>
      </c>
      <c r="C275">
        <v>17.593</v>
      </c>
      <c r="D275">
        <v>16.423999999999999</v>
      </c>
      <c r="E275">
        <v>17.143999999999998</v>
      </c>
      <c r="F275">
        <v>6262426.5930000003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0.23182207014542097</v>
      </c>
      <c r="Q275">
        <f t="shared" si="965"/>
        <v>1451768.6969229958</v>
      </c>
      <c r="R275">
        <f t="shared" si="966"/>
        <v>80280461.909133837</v>
      </c>
      <c r="S275">
        <f t="shared" si="967"/>
        <v>802.8046190913384</v>
      </c>
      <c r="T275">
        <f t="shared" si="968"/>
        <v>0.80280461909133838</v>
      </c>
    </row>
    <row r="276" spans="1:20" x14ac:dyDescent="0.25">
      <c r="A276" s="5">
        <v>44317</v>
      </c>
      <c r="B276">
        <v>16.689</v>
      </c>
      <c r="C276">
        <v>16.812999999999999</v>
      </c>
      <c r="D276">
        <v>16.321999999999999</v>
      </c>
      <c r="E276">
        <v>16.547999999999998</v>
      </c>
      <c r="F276">
        <v>3334150.6979999999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-7.9429735234218951E-2</v>
      </c>
      <c r="Q276">
        <f t="shared" si="965"/>
        <v>-264830.70717312628</v>
      </c>
      <c r="R276">
        <f t="shared" si="966"/>
        <v>78828693.212210834</v>
      </c>
      <c r="S276">
        <f t="shared" si="967"/>
        <v>788.2869321221084</v>
      </c>
      <c r="T276">
        <f t="shared" si="968"/>
        <v>0.78828693212210843</v>
      </c>
    </row>
    <row r="277" spans="1:20" x14ac:dyDescent="0.25">
      <c r="A277" s="5">
        <v>44316</v>
      </c>
      <c r="B277">
        <v>16.242000000000001</v>
      </c>
      <c r="C277">
        <v>16.956</v>
      </c>
      <c r="D277">
        <v>15.775</v>
      </c>
      <c r="E277">
        <v>16.689</v>
      </c>
      <c r="F277">
        <v>5040164.0930000003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0.54784081287044939</v>
      </c>
      <c r="Q277">
        <f t="shared" si="965"/>
        <v>2761207.5937095713</v>
      </c>
      <c r="R277">
        <f t="shared" si="966"/>
        <v>79093523.919383958</v>
      </c>
      <c r="S277">
        <f t="shared" si="967"/>
        <v>790.93523919383961</v>
      </c>
      <c r="T277">
        <f t="shared" si="968"/>
        <v>0.79093523919383957</v>
      </c>
    </row>
    <row r="278" spans="1:20" x14ac:dyDescent="0.25">
      <c r="A278" s="5">
        <v>44315</v>
      </c>
      <c r="B278">
        <v>16.824999999999999</v>
      </c>
      <c r="C278">
        <v>16.946999999999999</v>
      </c>
      <c r="D278">
        <v>15.85</v>
      </c>
      <c r="E278">
        <v>16.241</v>
      </c>
      <c r="F278">
        <v>6281587.9749999996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-0.28714676390154936</v>
      </c>
      <c r="Q278">
        <f t="shared" si="965"/>
        <v>-1803737.6591841364</v>
      </c>
      <c r="R278">
        <f t="shared" si="966"/>
        <v>76332316.325674385</v>
      </c>
      <c r="S278">
        <f t="shared" si="967"/>
        <v>763.3231632567439</v>
      </c>
      <c r="T278">
        <f t="shared" si="968"/>
        <v>0.76332316325674388</v>
      </c>
    </row>
    <row r="279" spans="1:20" x14ac:dyDescent="0.25">
      <c r="A279" s="5">
        <v>44314</v>
      </c>
      <c r="B279">
        <v>17.686</v>
      </c>
      <c r="C279">
        <v>17.945</v>
      </c>
      <c r="D279">
        <v>16.460999999999999</v>
      </c>
      <c r="E279">
        <v>16.824999999999999</v>
      </c>
      <c r="F279">
        <v>8808985.6989999991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-0.5094339622641505</v>
      </c>
      <c r="Q279">
        <f t="shared" si="965"/>
        <v>-4487596.488169807</v>
      </c>
      <c r="R279">
        <f t="shared" si="966"/>
        <v>78136053.984858528</v>
      </c>
      <c r="S279">
        <f t="shared" si="967"/>
        <v>781.36053984858529</v>
      </c>
      <c r="T279">
        <f t="shared" si="968"/>
        <v>0.78136053984858533</v>
      </c>
    </row>
    <row r="280" spans="1:20" x14ac:dyDescent="0.25">
      <c r="A280" s="5">
        <v>44313</v>
      </c>
      <c r="B280">
        <v>17.626000000000001</v>
      </c>
      <c r="C280">
        <v>19.609400000000001</v>
      </c>
      <c r="D280">
        <v>17.181000000000001</v>
      </c>
      <c r="E280">
        <v>17.684999999999999</v>
      </c>
      <c r="F280">
        <v>11339513.729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-0.58491187613243467</v>
      </c>
      <c r="Q280">
        <f t="shared" si="965"/>
        <v>-6632616.249658891</v>
      </c>
      <c r="R280">
        <f t="shared" si="966"/>
        <v>82623650.473028332</v>
      </c>
      <c r="S280">
        <f t="shared" si="967"/>
        <v>826.23650473028329</v>
      </c>
      <c r="T280">
        <f t="shared" si="968"/>
        <v>0.82623650473028332</v>
      </c>
    </row>
    <row r="281" spans="1:20" x14ac:dyDescent="0.25">
      <c r="A281" s="5">
        <v>44312</v>
      </c>
      <c r="B281">
        <v>17.713000000000001</v>
      </c>
      <c r="C281">
        <v>18.053000000000001</v>
      </c>
      <c r="D281">
        <v>16.861000000000001</v>
      </c>
      <c r="E281">
        <v>17.626000000000001</v>
      </c>
      <c r="F281">
        <v>9439373.9969999995</v>
      </c>
      <c r="G281">
        <v>0</v>
      </c>
      <c r="L281" t="s">
        <v>7</v>
      </c>
      <c r="M281" t="s">
        <v>8</v>
      </c>
      <c r="N281" t="s">
        <v>8</v>
      </c>
      <c r="P281">
        <f t="shared" si="964"/>
        <v>0.28355704697986656</v>
      </c>
      <c r="Q281">
        <f t="shared" si="965"/>
        <v>2676601.0159278596</v>
      </c>
      <c r="R281">
        <f t="shared" si="966"/>
        <v>89256266.72268723</v>
      </c>
      <c r="S281">
        <f t="shared" si="967"/>
        <v>892.56266722687235</v>
      </c>
      <c r="T281">
        <f t="shared" si="968"/>
        <v>0.89256266722687239</v>
      </c>
    </row>
    <row r="282" spans="1:20" x14ac:dyDescent="0.25">
      <c r="A282" s="5">
        <v>44311</v>
      </c>
      <c r="B282">
        <v>15.5847</v>
      </c>
      <c r="C282">
        <v>18.981000000000002</v>
      </c>
      <c r="D282">
        <v>15.542</v>
      </c>
      <c r="E282">
        <v>17.713000000000001</v>
      </c>
      <c r="F282">
        <v>12482303.335999999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0.26257633032858391</v>
      </c>
      <c r="Q282">
        <f t="shared" si="965"/>
        <v>3277557.4040151206</v>
      </c>
      <c r="R282">
        <f t="shared" si="966"/>
        <v>86579665.706759363</v>
      </c>
      <c r="S282">
        <f t="shared" si="967"/>
        <v>865.79665706759363</v>
      </c>
      <c r="T282">
        <f t="shared" si="968"/>
        <v>0.86579665706759368</v>
      </c>
    </row>
    <row r="283" spans="1:20" x14ac:dyDescent="0.25">
      <c r="A283" s="5">
        <v>44310</v>
      </c>
      <c r="B283">
        <v>14.1</v>
      </c>
      <c r="C283">
        <v>16.581800000000001</v>
      </c>
      <c r="D283">
        <v>13.61</v>
      </c>
      <c r="E283">
        <v>15.5905</v>
      </c>
      <c r="F283">
        <v>9572773.0099999998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0.33286223837404932</v>
      </c>
      <c r="Q283">
        <f t="shared" si="965"/>
        <v>3186414.6515552858</v>
      </c>
      <c r="R283">
        <f t="shared" si="966"/>
        <v>83302108.30274424</v>
      </c>
      <c r="S283">
        <f t="shared" si="967"/>
        <v>833.02108302744239</v>
      </c>
      <c r="T283">
        <f t="shared" si="968"/>
        <v>0.83302108302744238</v>
      </c>
    </row>
    <row r="284" spans="1:20" x14ac:dyDescent="0.25">
      <c r="A284" s="5">
        <v>44309</v>
      </c>
      <c r="B284">
        <v>13.627700000000001</v>
      </c>
      <c r="C284">
        <v>14.428000000000001</v>
      </c>
      <c r="D284">
        <v>12.667</v>
      </c>
      <c r="E284">
        <v>14.1</v>
      </c>
      <c r="F284">
        <v>10468808.57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0.62748438387279837</v>
      </c>
      <c r="Q284">
        <f t="shared" si="965"/>
        <v>6569013.8954287218</v>
      </c>
      <c r="R284">
        <f t="shared" si="966"/>
        <v>80115693.651188955</v>
      </c>
      <c r="S284">
        <f t="shared" si="967"/>
        <v>801.15693651188951</v>
      </c>
      <c r="T284">
        <f t="shared" si="968"/>
        <v>0.80115693651188946</v>
      </c>
    </row>
    <row r="285" spans="1:20" x14ac:dyDescent="0.25">
      <c r="A285" s="5">
        <v>44308</v>
      </c>
      <c r="B285">
        <v>13.252700000000001</v>
      </c>
      <c r="C285">
        <v>15.595800000000001</v>
      </c>
      <c r="D285">
        <v>12.934900000000001</v>
      </c>
      <c r="E285">
        <v>13.627700000000001</v>
      </c>
      <c r="F285">
        <v>11448654.140000001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-0.47927392987335105</v>
      </c>
      <c r="Q285">
        <f t="shared" si="965"/>
        <v>-5487041.4614386102</v>
      </c>
      <c r="R285">
        <f t="shared" si="966"/>
        <v>73546679.755760238</v>
      </c>
      <c r="S285">
        <f t="shared" si="967"/>
        <v>735.46679755760238</v>
      </c>
      <c r="T285">
        <f t="shared" si="968"/>
        <v>0.73546679755760236</v>
      </c>
    </row>
    <row r="286" spans="1:20" x14ac:dyDescent="0.25">
      <c r="A286" s="5">
        <v>44307</v>
      </c>
      <c r="B286">
        <v>13.421099999999999</v>
      </c>
      <c r="C286">
        <v>14.4415</v>
      </c>
      <c r="D286">
        <v>13.1539</v>
      </c>
      <c r="E286">
        <v>13.243600000000001</v>
      </c>
      <c r="F286">
        <v>7251304.1100000003</v>
      </c>
      <c r="G286">
        <v>0</v>
      </c>
      <c r="L286" t="s">
        <v>8</v>
      </c>
      <c r="M286" t="s">
        <v>7</v>
      </c>
      <c r="N286" t="s">
        <v>8</v>
      </c>
      <c r="P286">
        <f t="shared" si="964"/>
        <v>-0.86067101584342875</v>
      </c>
      <c r="Q286">
        <f t="shared" si="965"/>
        <v>-6240987.2745433301</v>
      </c>
      <c r="R286">
        <f t="shared" si="966"/>
        <v>79033721.217198849</v>
      </c>
      <c r="S286">
        <f t="shared" si="967"/>
        <v>790.33721217198854</v>
      </c>
      <c r="T286">
        <f t="shared" si="968"/>
        <v>0.79033721217198849</v>
      </c>
    </row>
    <row r="287" spans="1:20" x14ac:dyDescent="0.25">
      <c r="A287" s="5">
        <v>44306</v>
      </c>
      <c r="B287">
        <v>13.8604</v>
      </c>
      <c r="C287">
        <v>13.8703</v>
      </c>
      <c r="D287">
        <v>12.598599999999999</v>
      </c>
      <c r="E287">
        <v>13.426600000000001</v>
      </c>
      <c r="F287">
        <v>6296979.6200000001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0.30219391365888271</v>
      </c>
      <c r="Q287">
        <f t="shared" si="965"/>
        <v>1902908.9155980241</v>
      </c>
      <c r="R287">
        <f t="shared" si="966"/>
        <v>85274708.491742179</v>
      </c>
      <c r="S287">
        <f t="shared" si="967"/>
        <v>852.74708491742183</v>
      </c>
      <c r="T287">
        <f t="shared" si="968"/>
        <v>0.85274708491742179</v>
      </c>
    </row>
    <row r="288" spans="1:20" x14ac:dyDescent="0.25">
      <c r="A288" s="5">
        <v>44305</v>
      </c>
      <c r="B288">
        <v>13.390499999999999</v>
      </c>
      <c r="C288">
        <v>16.350000000000001</v>
      </c>
      <c r="D288">
        <v>13.1465</v>
      </c>
      <c r="E288">
        <v>13.8406</v>
      </c>
      <c r="F288">
        <v>11845150.75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-0.56666146402372397</v>
      </c>
      <c r="Q288">
        <f t="shared" si="965"/>
        <v>-6712190.465576712</v>
      </c>
      <c r="R288">
        <f t="shared" si="966"/>
        <v>83371799.576144159</v>
      </c>
      <c r="S288">
        <f t="shared" si="967"/>
        <v>833.71799576144156</v>
      </c>
      <c r="T288">
        <f t="shared" si="968"/>
        <v>0.83371799576144157</v>
      </c>
    </row>
    <row r="289" spans="1:20" x14ac:dyDescent="0.25">
      <c r="A289" s="5">
        <v>44304</v>
      </c>
      <c r="B289">
        <v>15.183</v>
      </c>
      <c r="C289">
        <v>15.2456</v>
      </c>
      <c r="D289">
        <v>11.6501</v>
      </c>
      <c r="E289">
        <v>13.382400000000001</v>
      </c>
      <c r="F289">
        <v>9652853.0500000007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-3.6406619385342426E-2</v>
      </c>
      <c r="Q289">
        <f t="shared" si="965"/>
        <v>-351427.7469739918</v>
      </c>
      <c r="R289">
        <f t="shared" si="966"/>
        <v>90083990.041720867</v>
      </c>
      <c r="S289">
        <f t="shared" si="967"/>
        <v>900.8399004172087</v>
      </c>
      <c r="T289">
        <f t="shared" si="968"/>
        <v>0.90083990041720874</v>
      </c>
    </row>
    <row r="290" spans="1:20" x14ac:dyDescent="0.25">
      <c r="A290" s="5">
        <v>44303</v>
      </c>
      <c r="B290">
        <v>15.740600000000001</v>
      </c>
      <c r="C290">
        <v>16.331</v>
      </c>
      <c r="D290">
        <v>15.05</v>
      </c>
      <c r="E290">
        <v>15.183</v>
      </c>
      <c r="F290">
        <v>4779754.6500000004</v>
      </c>
      <c r="G290">
        <v>0</v>
      </c>
      <c r="L290" t="s">
        <v>7</v>
      </c>
      <c r="M290" t="s">
        <v>8</v>
      </c>
      <c r="N290" t="s">
        <v>7</v>
      </c>
      <c r="P290">
        <f t="shared" si="964"/>
        <v>-0.7923497267759575</v>
      </c>
      <c r="Q290">
        <f t="shared" si="965"/>
        <v>-3787237.2909836126</v>
      </c>
      <c r="R290">
        <f t="shared" si="966"/>
        <v>90435417.788694859</v>
      </c>
      <c r="S290">
        <f t="shared" si="967"/>
        <v>904.35417788694861</v>
      </c>
      <c r="T290">
        <f t="shared" si="968"/>
        <v>0.90435417788694861</v>
      </c>
    </row>
    <row r="291" spans="1:20" x14ac:dyDescent="0.25">
      <c r="A291" s="5">
        <v>44302</v>
      </c>
      <c r="B291">
        <v>16.8569</v>
      </c>
      <c r="C291">
        <v>17.100000000000001</v>
      </c>
      <c r="D291">
        <v>15.5044</v>
      </c>
      <c r="E291">
        <v>15.740600000000001</v>
      </c>
      <c r="F291">
        <v>6572565.3799999999</v>
      </c>
      <c r="G291">
        <v>0</v>
      </c>
      <c r="L291" t="s">
        <v>8</v>
      </c>
      <c r="M291" t="s">
        <v>8</v>
      </c>
      <c r="N291" t="s">
        <v>7</v>
      </c>
      <c r="P291">
        <f t="shared" si="964"/>
        <v>-0.70393582351466533</v>
      </c>
      <c r="Q291">
        <f t="shared" si="965"/>
        <v>-4626664.2233742792</v>
      </c>
      <c r="R291">
        <f t="shared" si="966"/>
        <v>94222655.079678476</v>
      </c>
      <c r="S291">
        <f t="shared" si="967"/>
        <v>942.22655079678475</v>
      </c>
      <c r="T291">
        <f t="shared" si="968"/>
        <v>0.94222655079678475</v>
      </c>
    </row>
    <row r="292" spans="1:20" x14ac:dyDescent="0.25">
      <c r="A292" s="5">
        <v>44301</v>
      </c>
      <c r="B292">
        <v>15.2813</v>
      </c>
      <c r="C292">
        <v>17.425799999999999</v>
      </c>
      <c r="D292">
        <v>14.9994</v>
      </c>
      <c r="E292">
        <v>16.8568</v>
      </c>
      <c r="F292">
        <v>5764243.0199999996</v>
      </c>
      <c r="G292">
        <v>0</v>
      </c>
      <c r="L292" t="s">
        <v>7</v>
      </c>
      <c r="M292" t="s">
        <v>8</v>
      </c>
      <c r="N292" t="s">
        <v>7</v>
      </c>
      <c r="P292">
        <f t="shared" si="964"/>
        <v>0.53099241674909392</v>
      </c>
      <c r="Q292">
        <f t="shared" si="965"/>
        <v>3060769.3319188957</v>
      </c>
      <c r="R292">
        <f t="shared" si="966"/>
        <v>98849319.303052753</v>
      </c>
      <c r="S292">
        <f t="shared" si="967"/>
        <v>988.49319303052755</v>
      </c>
      <c r="T292">
        <f t="shared" si="968"/>
        <v>0.98849319303052752</v>
      </c>
    </row>
    <row r="293" spans="1:20" x14ac:dyDescent="0.25">
      <c r="A293" s="5">
        <v>44300</v>
      </c>
      <c r="B293">
        <v>15.6158</v>
      </c>
      <c r="C293">
        <v>16.460100000000001</v>
      </c>
      <c r="D293">
        <v>15.0778</v>
      </c>
      <c r="E293">
        <v>15.280799999999999</v>
      </c>
      <c r="F293">
        <v>6371734.9199999999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-0.70628662374303797</v>
      </c>
      <c r="Q293">
        <f t="shared" si="965"/>
        <v>-4500271.1440324159</v>
      </c>
      <c r="R293">
        <f t="shared" si="966"/>
        <v>95788549.971133858</v>
      </c>
      <c r="S293">
        <f t="shared" si="967"/>
        <v>957.88549971133853</v>
      </c>
      <c r="T293">
        <f t="shared" si="968"/>
        <v>0.95788549971133852</v>
      </c>
    </row>
    <row r="294" spans="1:20" x14ac:dyDescent="0.25">
      <c r="A294" s="5">
        <v>44299</v>
      </c>
      <c r="B294">
        <v>14.6311</v>
      </c>
      <c r="C294">
        <v>16.9178</v>
      </c>
      <c r="D294">
        <v>14.6311</v>
      </c>
      <c r="E294">
        <v>15.630599999999999</v>
      </c>
      <c r="F294">
        <v>7928687.9000000004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-0.12581449250010976</v>
      </c>
      <c r="Q294">
        <f t="shared" si="965"/>
        <v>-997543.844330261</v>
      </c>
      <c r="R294">
        <f t="shared" si="966"/>
        <v>100288821.11516628</v>
      </c>
      <c r="S294">
        <f t="shared" si="967"/>
        <v>1002.8882111516627</v>
      </c>
      <c r="T294">
        <f t="shared" si="968"/>
        <v>1.0028882111516628</v>
      </c>
    </row>
    <row r="295" spans="1:20" x14ac:dyDescent="0.25">
      <c r="A295" s="5">
        <v>44298</v>
      </c>
      <c r="B295">
        <v>15.114699999999999</v>
      </c>
      <c r="C295">
        <v>15.22</v>
      </c>
      <c r="D295">
        <v>14.25</v>
      </c>
      <c r="E295">
        <v>14.6219</v>
      </c>
      <c r="F295">
        <v>3918809.61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-0.23319587628866006</v>
      </c>
      <c r="Q295">
        <f t="shared" si="965"/>
        <v>-913850.24101237219</v>
      </c>
      <c r="R295">
        <f t="shared" si="966"/>
        <v>101286364.95949654</v>
      </c>
      <c r="S295">
        <f t="shared" si="967"/>
        <v>1012.8636495949654</v>
      </c>
      <c r="T295">
        <f t="shared" si="968"/>
        <v>1.0128636495949654</v>
      </c>
    </row>
    <row r="296" spans="1:20" x14ac:dyDescent="0.25">
      <c r="A296" s="5">
        <v>44297</v>
      </c>
      <c r="B296">
        <v>15.482200000000001</v>
      </c>
      <c r="C296">
        <v>15.5547</v>
      </c>
      <c r="D296">
        <v>14.988200000000001</v>
      </c>
      <c r="E296">
        <v>15.114699999999999</v>
      </c>
      <c r="F296">
        <v>2521498.1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-0.55339805825243293</v>
      </c>
      <c r="Q296">
        <f t="shared" si="965"/>
        <v>-1395392.1524271991</v>
      </c>
      <c r="R296">
        <f t="shared" si="966"/>
        <v>102200215.20050892</v>
      </c>
      <c r="S296">
        <f t="shared" si="967"/>
        <v>1022.0021520050892</v>
      </c>
      <c r="T296">
        <f t="shared" si="968"/>
        <v>1.0220021520050893</v>
      </c>
    </row>
    <row r="297" spans="1:20" x14ac:dyDescent="0.25">
      <c r="A297" s="5">
        <v>44296</v>
      </c>
      <c r="B297">
        <v>15.668200000000001</v>
      </c>
      <c r="C297">
        <v>15.9396</v>
      </c>
      <c r="D297">
        <v>14.776999999999999</v>
      </c>
      <c r="E297">
        <v>15.4779</v>
      </c>
      <c r="F297">
        <v>3693014.91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0.20574574230173753</v>
      </c>
      <c r="Q297">
        <f t="shared" si="965"/>
        <v>759822.09398933442</v>
      </c>
      <c r="R297">
        <f t="shared" si="966"/>
        <v>103595607.35293612</v>
      </c>
      <c r="S297">
        <f t="shared" si="967"/>
        <v>1035.9560735293612</v>
      </c>
      <c r="T297">
        <f t="shared" si="968"/>
        <v>1.0359560735293611</v>
      </c>
    </row>
    <row r="298" spans="1:20" x14ac:dyDescent="0.25">
      <c r="A298" s="5">
        <v>44295</v>
      </c>
      <c r="B298">
        <v>15.7562</v>
      </c>
      <c r="C298">
        <v>16.988199999999999</v>
      </c>
      <c r="D298">
        <v>15.53</v>
      </c>
      <c r="E298">
        <v>15.658300000000001</v>
      </c>
      <c r="F298">
        <v>4724065.17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-0.82402962556576431</v>
      </c>
      <c r="Q298">
        <f t="shared" si="965"/>
        <v>-3892769.6531833685</v>
      </c>
      <c r="R298">
        <f t="shared" si="966"/>
        <v>102835785.25894679</v>
      </c>
      <c r="S298">
        <f t="shared" si="967"/>
        <v>1028.3578525894679</v>
      </c>
      <c r="T298">
        <f t="shared" si="968"/>
        <v>1.0283578525894679</v>
      </c>
    </row>
    <row r="299" spans="1:20" x14ac:dyDescent="0.25">
      <c r="A299" s="5">
        <v>44294</v>
      </c>
      <c r="B299">
        <v>15.428699999999999</v>
      </c>
      <c r="C299">
        <v>16.130700000000001</v>
      </c>
      <c r="D299">
        <v>15.184200000000001</v>
      </c>
      <c r="E299">
        <v>15.754799999999999</v>
      </c>
      <c r="F299">
        <v>3710644.55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0.20570522979397501</v>
      </c>
      <c r="Q299">
        <f t="shared" si="965"/>
        <v>763298.98984151101</v>
      </c>
      <c r="R299">
        <f t="shared" si="966"/>
        <v>106728554.91213016</v>
      </c>
      <c r="S299">
        <f t="shared" si="967"/>
        <v>1067.2855491213015</v>
      </c>
      <c r="T299">
        <f t="shared" si="968"/>
        <v>1.0672855491213016</v>
      </c>
    </row>
    <row r="300" spans="1:20" x14ac:dyDescent="0.25">
      <c r="A300" s="5">
        <v>44293</v>
      </c>
      <c r="B300">
        <v>16.702400000000001</v>
      </c>
      <c r="C300">
        <v>16.764299999999999</v>
      </c>
      <c r="D300">
        <v>14.7555</v>
      </c>
      <c r="E300">
        <v>15.427300000000001</v>
      </c>
      <c r="F300">
        <v>6575771.2000000002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-0.33114297092791578</v>
      </c>
      <c r="Q300">
        <f t="shared" si="965"/>
        <v>-2177520.4113102257</v>
      </c>
      <c r="R300">
        <f t="shared" si="966"/>
        <v>105965255.92228866</v>
      </c>
      <c r="S300">
        <f t="shared" si="967"/>
        <v>1059.6525592228866</v>
      </c>
      <c r="T300">
        <f t="shared" si="968"/>
        <v>1.0596525592228865</v>
      </c>
    </row>
    <row r="301" spans="1:20" x14ac:dyDescent="0.25">
      <c r="A301" s="5">
        <v>44292</v>
      </c>
      <c r="B301">
        <v>17.55</v>
      </c>
      <c r="C301">
        <v>17.724299999999999</v>
      </c>
      <c r="D301">
        <v>16.435500000000001</v>
      </c>
      <c r="E301">
        <v>16.702400000000001</v>
      </c>
      <c r="F301">
        <v>5347658.97</v>
      </c>
      <c r="G301">
        <v>0</v>
      </c>
      <c r="L301" t="s">
        <v>7</v>
      </c>
      <c r="M301" t="s">
        <v>8</v>
      </c>
      <c r="N301" t="s">
        <v>7</v>
      </c>
      <c r="P301">
        <f t="shared" si="964"/>
        <v>-0.58581626319056479</v>
      </c>
      <c r="Q301">
        <f t="shared" si="965"/>
        <v>-3132745.5946229044</v>
      </c>
      <c r="R301">
        <f t="shared" si="966"/>
        <v>108142776.33359888</v>
      </c>
      <c r="S301">
        <f t="shared" si="967"/>
        <v>1081.4277633359889</v>
      </c>
      <c r="T301">
        <f t="shared" si="968"/>
        <v>1.0814277633359888</v>
      </c>
    </row>
    <row r="302" spans="1:20" x14ac:dyDescent="0.25">
      <c r="A302" s="5">
        <v>44291</v>
      </c>
      <c r="B302">
        <v>18.1754</v>
      </c>
      <c r="C302">
        <v>18.388999999999999</v>
      </c>
      <c r="D302">
        <v>17.2165</v>
      </c>
      <c r="E302">
        <v>17.55</v>
      </c>
      <c r="F302">
        <v>3386614.17</v>
      </c>
      <c r="G302">
        <v>0</v>
      </c>
      <c r="L302" t="s">
        <v>7</v>
      </c>
      <c r="M302" t="s">
        <v>8</v>
      </c>
      <c r="N302" t="s">
        <v>7</v>
      </c>
      <c r="P302">
        <f t="shared" si="964"/>
        <v>-0.43113006396588321</v>
      </c>
      <c r="Q302">
        <f t="shared" si="965"/>
        <v>-1460071.1837398664</v>
      </c>
      <c r="R302">
        <f t="shared" si="966"/>
        <v>111275521.92822179</v>
      </c>
      <c r="S302">
        <f t="shared" si="967"/>
        <v>1112.7552192822179</v>
      </c>
      <c r="T302">
        <f t="shared" si="968"/>
        <v>1.1127552192822179</v>
      </c>
    </row>
    <row r="303" spans="1:20" x14ac:dyDescent="0.25">
      <c r="A303" s="5">
        <v>44290</v>
      </c>
      <c r="B303">
        <v>17.993400000000001</v>
      </c>
      <c r="C303">
        <v>18.5029</v>
      </c>
      <c r="D303">
        <v>17.875900000000001</v>
      </c>
      <c r="E303">
        <v>18.1678</v>
      </c>
      <c r="F303">
        <v>1893256.7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-6.8899521531104346E-2</v>
      </c>
      <c r="Q303">
        <f t="shared" si="965"/>
        <v>-130444.48076555756</v>
      </c>
      <c r="R303">
        <f t="shared" si="966"/>
        <v>112735593.11196166</v>
      </c>
      <c r="S303">
        <f t="shared" si="967"/>
        <v>1127.3559311196166</v>
      </c>
      <c r="T303">
        <f t="shared" si="968"/>
        <v>1.1273559311196166</v>
      </c>
    </row>
    <row r="304" spans="1:20" x14ac:dyDescent="0.25">
      <c r="A304" s="5">
        <v>44289</v>
      </c>
      <c r="B304">
        <v>18.469200000000001</v>
      </c>
      <c r="C304">
        <v>18.86</v>
      </c>
      <c r="D304">
        <v>17.885100000000001</v>
      </c>
      <c r="E304">
        <v>17.996099999999998</v>
      </c>
      <c r="F304">
        <v>2432935.54</v>
      </c>
      <c r="G304">
        <v>0</v>
      </c>
      <c r="L304" t="s">
        <v>7</v>
      </c>
      <c r="M304" t="s">
        <v>8</v>
      </c>
      <c r="N304" t="s">
        <v>7</v>
      </c>
      <c r="P304">
        <f t="shared" si="964"/>
        <v>-0.77228433685506759</v>
      </c>
      <c r="Q304">
        <f t="shared" si="965"/>
        <v>-1878918.0101200258</v>
      </c>
      <c r="R304">
        <f t="shared" si="966"/>
        <v>112866037.59272721</v>
      </c>
      <c r="S304">
        <f t="shared" si="967"/>
        <v>1128.6603759272721</v>
      </c>
      <c r="T304">
        <f t="shared" si="968"/>
        <v>1.128660375927272</v>
      </c>
    </row>
    <row r="305" spans="1:20" x14ac:dyDescent="0.25">
      <c r="A305" s="5">
        <v>44288</v>
      </c>
      <c r="B305">
        <v>18.438700000000001</v>
      </c>
      <c r="C305">
        <v>19.5</v>
      </c>
      <c r="D305">
        <v>18.326599999999999</v>
      </c>
      <c r="E305">
        <v>18.465</v>
      </c>
      <c r="F305">
        <v>4205748.0599999996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-0.76410431225498443</v>
      </c>
      <c r="Q305">
        <f t="shared" si="965"/>
        <v>-3213630.2289040345</v>
      </c>
      <c r="R305">
        <f t="shared" si="966"/>
        <v>114744955.60284723</v>
      </c>
      <c r="S305">
        <f t="shared" si="967"/>
        <v>1147.4495560284724</v>
      </c>
      <c r="T305">
        <f t="shared" si="968"/>
        <v>1.1474495560284725</v>
      </c>
    </row>
    <row r="306" spans="1:20" x14ac:dyDescent="0.25">
      <c r="A306" s="5">
        <v>44287</v>
      </c>
      <c r="B306">
        <v>18.6709</v>
      </c>
      <c r="C306">
        <v>19.075900000000001</v>
      </c>
      <c r="D306">
        <v>17.984100000000002</v>
      </c>
      <c r="E306">
        <v>18.420400000000001</v>
      </c>
      <c r="F306">
        <v>4853934.2</v>
      </c>
      <c r="G306">
        <v>0</v>
      </c>
      <c r="L306" t="s">
        <v>7</v>
      </c>
      <c r="M306" t="s">
        <v>8</v>
      </c>
      <c r="N306" t="s">
        <v>7</v>
      </c>
      <c r="P306">
        <f t="shared" si="964"/>
        <v>-0.20076937167979564</v>
      </c>
      <c r="Q306">
        <f t="shared" si="965"/>
        <v>-974521.31950907153</v>
      </c>
      <c r="R306">
        <f t="shared" si="966"/>
        <v>117958585.83175127</v>
      </c>
      <c r="S306">
        <f t="shared" si="967"/>
        <v>1179.5858583175127</v>
      </c>
      <c r="T306">
        <f t="shared" si="968"/>
        <v>1.1795858583175127</v>
      </c>
    </row>
    <row r="307" spans="1:20" x14ac:dyDescent="0.25">
      <c r="A307" s="5">
        <v>44286</v>
      </c>
      <c r="B307">
        <v>18.614799999999999</v>
      </c>
      <c r="C307">
        <v>19.541399999999999</v>
      </c>
      <c r="D307">
        <v>17.665900000000001</v>
      </c>
      <c r="E307">
        <v>18.6631</v>
      </c>
      <c r="F307">
        <v>7303032.3600000003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6.339642761930156E-2</v>
      </c>
      <c r="Q307">
        <f t="shared" si="965"/>
        <v>462986.16241215705</v>
      </c>
      <c r="R307">
        <f t="shared" si="966"/>
        <v>118933107.15126035</v>
      </c>
      <c r="S307">
        <f t="shared" si="967"/>
        <v>1189.3310715126036</v>
      </c>
      <c r="T307">
        <f t="shared" si="968"/>
        <v>1.1893310715126035</v>
      </c>
    </row>
    <row r="308" spans="1:20" x14ac:dyDescent="0.25">
      <c r="A308" s="5">
        <v>44285</v>
      </c>
      <c r="B308">
        <v>18.873999999999999</v>
      </c>
      <c r="C308">
        <v>19.173400000000001</v>
      </c>
      <c r="D308">
        <v>18.128</v>
      </c>
      <c r="E308">
        <v>18.614799999999999</v>
      </c>
      <c r="F308">
        <v>3528578.44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-6.8681844270138834E-2</v>
      </c>
      <c r="Q308">
        <f t="shared" si="965"/>
        <v>-242349.27491104943</v>
      </c>
      <c r="R308">
        <f t="shared" si="966"/>
        <v>118470120.98884819</v>
      </c>
      <c r="S308">
        <f t="shared" si="967"/>
        <v>1184.701209888482</v>
      </c>
      <c r="T308">
        <f t="shared" si="968"/>
        <v>1.1847012098884819</v>
      </c>
    </row>
    <row r="309" spans="1:20" x14ac:dyDescent="0.25">
      <c r="A309" s="5">
        <v>44284</v>
      </c>
      <c r="B309">
        <v>18.530999999999999</v>
      </c>
      <c r="C309">
        <v>19.5</v>
      </c>
      <c r="D309">
        <v>18.1706</v>
      </c>
      <c r="E309">
        <v>18.8812</v>
      </c>
      <c r="F309">
        <v>3201736.68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6.9053708439897124E-2</v>
      </c>
      <c r="Q309">
        <f t="shared" si="965"/>
        <v>221091.7912020442</v>
      </c>
      <c r="R309">
        <f t="shared" si="966"/>
        <v>118712470.26375924</v>
      </c>
      <c r="S309">
        <f t="shared" si="967"/>
        <v>1187.1247026375925</v>
      </c>
      <c r="T309">
        <f t="shared" si="968"/>
        <v>1.1871247026375924</v>
      </c>
    </row>
    <row r="310" spans="1:20" x14ac:dyDescent="0.25">
      <c r="A310" s="5">
        <v>44283</v>
      </c>
      <c r="B310">
        <v>18.6553</v>
      </c>
      <c r="C310">
        <v>19.2498</v>
      </c>
      <c r="D310">
        <v>18.0062</v>
      </c>
      <c r="E310">
        <v>18.5337</v>
      </c>
      <c r="F310">
        <v>2663938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-0.15165648118366104</v>
      </c>
      <c r="Q310">
        <f t="shared" si="965"/>
        <v>-404003.46317143965</v>
      </c>
      <c r="R310">
        <f t="shared" si="966"/>
        <v>118491378.4725572</v>
      </c>
      <c r="S310">
        <f t="shared" si="967"/>
        <v>1184.913784725572</v>
      </c>
      <c r="T310">
        <f t="shared" si="968"/>
        <v>1.184913784725572</v>
      </c>
    </row>
    <row r="311" spans="1:20" x14ac:dyDescent="0.25">
      <c r="A311" s="5">
        <v>44282</v>
      </c>
      <c r="B311">
        <v>18.3749</v>
      </c>
      <c r="C311">
        <v>19.2181</v>
      </c>
      <c r="D311">
        <v>17.997299999999999</v>
      </c>
      <c r="E311">
        <v>18.6553</v>
      </c>
      <c r="F311">
        <v>3102482.2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7.7981651376148348E-2</v>
      </c>
      <c r="Q311">
        <f t="shared" si="965"/>
        <v>241936.68532110576</v>
      </c>
      <c r="R311">
        <f t="shared" si="966"/>
        <v>118895381.93572864</v>
      </c>
      <c r="S311">
        <f t="shared" si="967"/>
        <v>1188.9538193572864</v>
      </c>
      <c r="T311">
        <f t="shared" si="968"/>
        <v>1.1889538193572864</v>
      </c>
    </row>
    <row r="312" spans="1:20" x14ac:dyDescent="0.25">
      <c r="A312" s="5">
        <v>44281</v>
      </c>
      <c r="B312">
        <v>16.382400000000001</v>
      </c>
      <c r="C312">
        <v>18.975899999999999</v>
      </c>
      <c r="D312">
        <v>16.32</v>
      </c>
      <c r="E312">
        <v>18.374099999999999</v>
      </c>
      <c r="F312">
        <v>6259000.1799999997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0.54682028690839191</v>
      </c>
      <c r="Q312">
        <f t="shared" si="965"/>
        <v>3422548.2741872766</v>
      </c>
      <c r="R312">
        <f t="shared" si="966"/>
        <v>118653445.25040753</v>
      </c>
      <c r="S312">
        <f t="shared" si="967"/>
        <v>1186.5344525040753</v>
      </c>
      <c r="T312">
        <f t="shared" si="968"/>
        <v>1.1865344525040753</v>
      </c>
    </row>
    <row r="313" spans="1:20" x14ac:dyDescent="0.25">
      <c r="A313" s="5">
        <v>44280</v>
      </c>
      <c r="B313">
        <v>16.5182</v>
      </c>
      <c r="C313">
        <v>17.1602</v>
      </c>
      <c r="D313">
        <v>15.9382</v>
      </c>
      <c r="E313">
        <v>16.368300000000001</v>
      </c>
      <c r="F313">
        <v>7017339.54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-0.29607201309328735</v>
      </c>
      <c r="Q313">
        <f t="shared" si="965"/>
        <v>-2077637.8441669231</v>
      </c>
      <c r="R313">
        <f t="shared" si="966"/>
        <v>115230896.97622025</v>
      </c>
      <c r="S313">
        <f t="shared" si="967"/>
        <v>1152.3089697622024</v>
      </c>
      <c r="T313">
        <f t="shared" si="968"/>
        <v>1.1523089697622024</v>
      </c>
    </row>
    <row r="314" spans="1:20" x14ac:dyDescent="0.25">
      <c r="A314" s="5">
        <v>44279</v>
      </c>
      <c r="B314">
        <v>16.942799999999998</v>
      </c>
      <c r="C314">
        <v>18.740600000000001</v>
      </c>
      <c r="D314">
        <v>15.7111</v>
      </c>
      <c r="E314">
        <v>16.5182</v>
      </c>
      <c r="F314">
        <v>12671181.9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-0.46717280079220991</v>
      </c>
      <c r="Q314">
        <f t="shared" si="965"/>
        <v>-5919631.5375705557</v>
      </c>
      <c r="R314">
        <f t="shared" si="966"/>
        <v>117308534.82038717</v>
      </c>
      <c r="S314">
        <f t="shared" si="967"/>
        <v>1173.0853482038717</v>
      </c>
      <c r="T314">
        <f t="shared" si="968"/>
        <v>1.1730853482038717</v>
      </c>
    </row>
    <row r="315" spans="1:20" x14ac:dyDescent="0.25">
      <c r="A315" s="5">
        <v>44278</v>
      </c>
      <c r="B315">
        <v>19.311499999999999</v>
      </c>
      <c r="C315">
        <v>19.724900000000002</v>
      </c>
      <c r="D315">
        <v>16.680299999999999</v>
      </c>
      <c r="E315">
        <v>16.9419</v>
      </c>
      <c r="F315">
        <v>7776572.96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-0.82815476581488456</v>
      </c>
      <c r="Q315">
        <f t="shared" si="965"/>
        <v>-6440205.9585311636</v>
      </c>
      <c r="R315">
        <f t="shared" si="966"/>
        <v>123228166.35795772</v>
      </c>
      <c r="S315">
        <f t="shared" si="967"/>
        <v>1232.2816635795773</v>
      </c>
      <c r="T315">
        <f t="shared" si="968"/>
        <v>1.2322816635795772</v>
      </c>
    </row>
    <row r="316" spans="1:20" x14ac:dyDescent="0.25">
      <c r="A316" s="5">
        <v>44277</v>
      </c>
      <c r="B316">
        <v>21.910900000000002</v>
      </c>
      <c r="C316">
        <v>21.9922</v>
      </c>
      <c r="D316">
        <v>18.75</v>
      </c>
      <c r="E316">
        <v>19.316600000000001</v>
      </c>
      <c r="F316">
        <v>6911516.0899999999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-0.65048423909690889</v>
      </c>
      <c r="Q316">
        <f t="shared" si="965"/>
        <v>-4495832.2848096928</v>
      </c>
      <c r="R316">
        <f t="shared" si="966"/>
        <v>129668372.31648889</v>
      </c>
      <c r="S316">
        <f t="shared" si="967"/>
        <v>1296.683723164889</v>
      </c>
      <c r="T316">
        <f t="shared" si="968"/>
        <v>1.2966837231648889</v>
      </c>
    </row>
    <row r="317" spans="1:20" x14ac:dyDescent="0.25">
      <c r="A317" s="5">
        <v>44276</v>
      </c>
      <c r="B317">
        <v>20.837499999999999</v>
      </c>
      <c r="C317">
        <v>22.4</v>
      </c>
      <c r="D317">
        <v>20.7301</v>
      </c>
      <c r="E317">
        <v>21.9</v>
      </c>
      <c r="F317">
        <v>7034161.3399999999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0.40116174621234746</v>
      </c>
      <c r="Q317">
        <f t="shared" si="965"/>
        <v>2821836.4462937857</v>
      </c>
      <c r="R317">
        <f t="shared" si="966"/>
        <v>134164204.60129859</v>
      </c>
      <c r="S317">
        <f t="shared" si="967"/>
        <v>1341.6420460129859</v>
      </c>
      <c r="T317">
        <f t="shared" si="968"/>
        <v>1.3416420460129859</v>
      </c>
    </row>
    <row r="318" spans="1:20" x14ac:dyDescent="0.25">
      <c r="A318" s="5">
        <v>44275</v>
      </c>
      <c r="B318">
        <v>19.8444</v>
      </c>
      <c r="C318">
        <v>21.3095</v>
      </c>
      <c r="D318">
        <v>19.600000000000001</v>
      </c>
      <c r="E318">
        <v>20.838200000000001</v>
      </c>
      <c r="F318">
        <v>4921778.88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0.44861070488446936</v>
      </c>
      <c r="Q318">
        <f t="shared" si="965"/>
        <v>2207962.6926422939</v>
      </c>
      <c r="R318">
        <f t="shared" si="966"/>
        <v>131342368.1550048</v>
      </c>
      <c r="S318">
        <f t="shared" si="967"/>
        <v>1313.4236815500481</v>
      </c>
      <c r="T318">
        <f t="shared" si="968"/>
        <v>1.313423681550048</v>
      </c>
    </row>
    <row r="319" spans="1:20" x14ac:dyDescent="0.25">
      <c r="A319" s="5">
        <v>44274</v>
      </c>
      <c r="B319">
        <v>18.924700000000001</v>
      </c>
      <c r="C319">
        <v>21.856300000000001</v>
      </c>
      <c r="D319">
        <v>18.511800000000001</v>
      </c>
      <c r="E319">
        <v>19.8444</v>
      </c>
      <c r="F319">
        <v>10902506.369999999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-0.20310958289729447</v>
      </c>
      <c r="Q319">
        <f t="shared" si="965"/>
        <v>-2214403.5213457961</v>
      </c>
      <c r="R319">
        <f t="shared" si="966"/>
        <v>129134405.46236251</v>
      </c>
      <c r="S319">
        <f t="shared" si="967"/>
        <v>1291.3440546236252</v>
      </c>
      <c r="T319">
        <f t="shared" si="968"/>
        <v>1.2913440546236252</v>
      </c>
    </row>
    <row r="320" spans="1:20" x14ac:dyDescent="0.25">
      <c r="A320" s="5">
        <v>44273</v>
      </c>
      <c r="B320">
        <v>18.5092</v>
      </c>
      <c r="C320">
        <v>19.310700000000001</v>
      </c>
      <c r="D320">
        <v>17.668299999999999</v>
      </c>
      <c r="E320">
        <v>18.921099999999999</v>
      </c>
      <c r="F320">
        <v>7415666.2800000003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0.52557233317096808</v>
      </c>
      <c r="Q320">
        <f t="shared" si="965"/>
        <v>3897469.0287968735</v>
      </c>
      <c r="R320">
        <f t="shared" si="966"/>
        <v>131348808.98370831</v>
      </c>
      <c r="S320">
        <f t="shared" si="967"/>
        <v>1313.4880898370832</v>
      </c>
      <c r="T320">
        <f t="shared" si="968"/>
        <v>1.3134880898370831</v>
      </c>
    </row>
    <row r="321" spans="1:20" x14ac:dyDescent="0.25">
      <c r="A321" s="5">
        <v>44272</v>
      </c>
      <c r="B321">
        <v>19.8812</v>
      </c>
      <c r="C321">
        <v>19.913499999999999</v>
      </c>
      <c r="D321">
        <v>17.0258</v>
      </c>
      <c r="E321">
        <v>18.5092</v>
      </c>
      <c r="F321">
        <v>15207564.01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2.7392042109637575E-2</v>
      </c>
      <c r="Q321">
        <f t="shared" si="965"/>
        <v>416566.23374692886</v>
      </c>
      <c r="R321">
        <f t="shared" si="966"/>
        <v>127451339.95491144</v>
      </c>
      <c r="S321">
        <f t="shared" si="967"/>
        <v>1274.5133995491144</v>
      </c>
      <c r="T321">
        <f t="shared" si="968"/>
        <v>1.2745133995491145</v>
      </c>
    </row>
    <row r="322" spans="1:20" x14ac:dyDescent="0.25">
      <c r="A322" s="5">
        <v>44271</v>
      </c>
      <c r="B322">
        <v>16.2593</v>
      </c>
      <c r="C322">
        <v>20.823599999999999</v>
      </c>
      <c r="D322">
        <v>16</v>
      </c>
      <c r="E322">
        <v>19.8812</v>
      </c>
      <c r="F322">
        <v>22648741.41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0.6092544987146532</v>
      </c>
      <c r="Q322">
        <f t="shared" si="965"/>
        <v>13798847.594267357</v>
      </c>
      <c r="R322">
        <f t="shared" si="966"/>
        <v>127034773.72116451</v>
      </c>
      <c r="S322">
        <f t="shared" si="967"/>
        <v>1270.3477372116452</v>
      </c>
      <c r="T322">
        <f t="shared" si="968"/>
        <v>1.2703477372116452</v>
      </c>
    </row>
    <row r="323" spans="1:20" x14ac:dyDescent="0.25">
      <c r="A323" s="5">
        <v>44270</v>
      </c>
      <c r="B323">
        <v>15.8245</v>
      </c>
      <c r="C323">
        <v>16.736899999999999</v>
      </c>
      <c r="D323">
        <v>14.6013</v>
      </c>
      <c r="E323">
        <v>16.268899999999999</v>
      </c>
      <c r="F323">
        <v>10208160.83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0.56171567709308834</v>
      </c>
      <c r="Q323">
        <f t="shared" si="965"/>
        <v>5734083.9724985929</v>
      </c>
      <c r="R323">
        <f t="shared" si="966"/>
        <v>113235926.12689716</v>
      </c>
      <c r="S323">
        <f t="shared" si="967"/>
        <v>1132.3592612689715</v>
      </c>
      <c r="T323">
        <f t="shared" si="968"/>
        <v>1.1323592612689715</v>
      </c>
    </row>
    <row r="324" spans="1:20" x14ac:dyDescent="0.25">
      <c r="A324" s="5">
        <v>44269</v>
      </c>
      <c r="B324">
        <v>14.5937</v>
      </c>
      <c r="C324">
        <v>17.5</v>
      </c>
      <c r="D324">
        <v>13.8</v>
      </c>
      <c r="E324">
        <v>15.8063</v>
      </c>
      <c r="F324">
        <v>12990496.539999999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8.4486486486486434E-2</v>
      </c>
      <c r="Q324">
        <f t="shared" si="965"/>
        <v>1097521.4103794587</v>
      </c>
      <c r="R324">
        <f t="shared" si="966"/>
        <v>107501842.15439856</v>
      </c>
      <c r="S324">
        <f t="shared" si="967"/>
        <v>1075.0184215439856</v>
      </c>
      <c r="T324">
        <f t="shared" si="968"/>
        <v>1.0750184215439855</v>
      </c>
    </row>
    <row r="325" spans="1:20" x14ac:dyDescent="0.25">
      <c r="A325" s="5">
        <v>44268</v>
      </c>
      <c r="B325">
        <v>14.141500000000001</v>
      </c>
      <c r="C325">
        <v>14.9</v>
      </c>
      <c r="D325">
        <v>12.66</v>
      </c>
      <c r="E325">
        <v>14.5939</v>
      </c>
      <c r="F325">
        <v>8280811.9400000004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0.72669642857142802</v>
      </c>
      <c r="Q325">
        <f t="shared" si="965"/>
        <v>6017636.4624696383</v>
      </c>
      <c r="R325">
        <f t="shared" si="966"/>
        <v>106404320.74401911</v>
      </c>
      <c r="S325">
        <f t="shared" si="967"/>
        <v>1064.0432074401911</v>
      </c>
      <c r="T325">
        <f t="shared" si="968"/>
        <v>1.0640432074401911</v>
      </c>
    </row>
    <row r="326" spans="1:20" x14ac:dyDescent="0.25">
      <c r="A326" s="5">
        <v>44267</v>
      </c>
      <c r="B326">
        <v>10.8184</v>
      </c>
      <c r="C326">
        <v>14.382199999999999</v>
      </c>
      <c r="D326">
        <v>10.574299999999999</v>
      </c>
      <c r="E326">
        <v>14.1396</v>
      </c>
      <c r="F326">
        <v>16467371.630000001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0.87258068751805484</v>
      </c>
      <c r="Q326">
        <f t="shared" ref="Q326:Q389" si="970">F326*P326</f>
        <v>14369110.458520712</v>
      </c>
      <c r="R326">
        <f t="shared" ref="R326:R389" si="971">R327+Q326</f>
        <v>100386684.28154947</v>
      </c>
      <c r="S326">
        <f t="shared" ref="S326:S389" si="972">R326/100000</f>
        <v>1003.8668428154947</v>
      </c>
      <c r="T326">
        <f t="shared" ref="T326:T389" si="973">S326/1000</f>
        <v>1.0038668428154947</v>
      </c>
    </row>
    <row r="327" spans="1:20" x14ac:dyDescent="0.25">
      <c r="A327" s="5">
        <v>44266</v>
      </c>
      <c r="B327">
        <v>11.1187</v>
      </c>
      <c r="C327">
        <v>11.389799999999999</v>
      </c>
      <c r="D327">
        <v>10.3888</v>
      </c>
      <c r="E327">
        <v>10.8116</v>
      </c>
      <c r="F327">
        <v>9729821.6300000008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-0.15524475524475376</v>
      </c>
      <c r="Q327">
        <f t="shared" si="970"/>
        <v>-1510503.7775244613</v>
      </c>
      <c r="R327">
        <f t="shared" si="971"/>
        <v>86017573.823028758</v>
      </c>
      <c r="S327">
        <f t="shared" si="972"/>
        <v>860.17573823028761</v>
      </c>
      <c r="T327">
        <f t="shared" si="973"/>
        <v>0.86017573823028759</v>
      </c>
    </row>
    <row r="328" spans="1:20" x14ac:dyDescent="0.25">
      <c r="A328" s="5">
        <v>44265</v>
      </c>
      <c r="B328">
        <v>11.6516</v>
      </c>
      <c r="C328">
        <v>11.75</v>
      </c>
      <c r="D328">
        <v>10.8719</v>
      </c>
      <c r="E328">
        <v>11.117599999999999</v>
      </c>
      <c r="F328">
        <v>9925669.2300000004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-0.44038264434574786</v>
      </c>
      <c r="Q328">
        <f t="shared" si="970"/>
        <v>-4371092.4624086237</v>
      </c>
      <c r="R328">
        <f t="shared" si="971"/>
        <v>87528077.600553215</v>
      </c>
      <c r="S328">
        <f t="shared" si="972"/>
        <v>875.28077600553218</v>
      </c>
      <c r="T328">
        <f t="shared" si="973"/>
        <v>0.87528077600553222</v>
      </c>
    </row>
    <row r="329" spans="1:20" x14ac:dyDescent="0.25">
      <c r="A329" s="5">
        <v>44264</v>
      </c>
      <c r="B329">
        <v>9.6831999999999994</v>
      </c>
      <c r="C329">
        <v>12.124000000000001</v>
      </c>
      <c r="D329">
        <v>9.5950000000000006</v>
      </c>
      <c r="E329">
        <v>11.636200000000001</v>
      </c>
      <c r="F329">
        <v>21764327.77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0.61423487544483979</v>
      </c>
      <c r="Q329">
        <f t="shared" si="970"/>
        <v>13368409.156946618</v>
      </c>
      <c r="R329">
        <f t="shared" si="971"/>
        <v>91899170.062961832</v>
      </c>
      <c r="S329">
        <f t="shared" si="972"/>
        <v>918.99170062961832</v>
      </c>
      <c r="T329">
        <f t="shared" si="973"/>
        <v>0.91899170062961832</v>
      </c>
    </row>
    <row r="330" spans="1:20" x14ac:dyDescent="0.25">
      <c r="A330" s="5">
        <v>44263</v>
      </c>
      <c r="B330">
        <v>8.2505000000000006</v>
      </c>
      <c r="C330">
        <v>9.7795000000000005</v>
      </c>
      <c r="D330">
        <v>8.0861000000000001</v>
      </c>
      <c r="E330">
        <v>9.6832999999999991</v>
      </c>
      <c r="F330">
        <v>12400879.49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0.88638242588874294</v>
      </c>
      <c r="Q330">
        <f t="shared" si="970"/>
        <v>10991921.645500157</v>
      </c>
      <c r="R330">
        <f t="shared" si="971"/>
        <v>78530760.906015217</v>
      </c>
      <c r="S330">
        <f t="shared" si="972"/>
        <v>785.30760906015212</v>
      </c>
      <c r="T330">
        <f t="shared" si="973"/>
        <v>0.78530760906015207</v>
      </c>
    </row>
    <row r="331" spans="1:20" x14ac:dyDescent="0.25">
      <c r="A331" s="5">
        <v>44262</v>
      </c>
      <c r="B331">
        <v>8.2529000000000003</v>
      </c>
      <c r="C331">
        <v>8.3073999999999995</v>
      </c>
      <c r="D331">
        <v>7.7</v>
      </c>
      <c r="E331">
        <v>8.2405000000000008</v>
      </c>
      <c r="F331">
        <v>6184494.2400000002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0.77971682581495327</v>
      </c>
      <c r="Q331">
        <f t="shared" si="970"/>
        <v>4822154.218083662</v>
      </c>
      <c r="R331">
        <f t="shared" si="971"/>
        <v>67538839.260515064</v>
      </c>
      <c r="S331">
        <f t="shared" si="972"/>
        <v>675.38839260515067</v>
      </c>
      <c r="T331">
        <f t="shared" si="973"/>
        <v>0.67538839260515071</v>
      </c>
    </row>
    <row r="332" spans="1:20" x14ac:dyDescent="0.25">
      <c r="A332" s="5">
        <v>44261</v>
      </c>
      <c r="B332">
        <v>8.4507999999999992</v>
      </c>
      <c r="C332">
        <v>9</v>
      </c>
      <c r="D332">
        <v>8.1</v>
      </c>
      <c r="E332">
        <v>8.2421000000000006</v>
      </c>
      <c r="F332">
        <v>12651262.32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-0.68422222222222007</v>
      </c>
      <c r="Q332">
        <f t="shared" si="970"/>
        <v>-8656274.8185066395</v>
      </c>
      <c r="R332">
        <f t="shared" si="971"/>
        <v>62716685.042431399</v>
      </c>
      <c r="S332">
        <f t="shared" si="972"/>
        <v>627.16685042431402</v>
      </c>
      <c r="T332">
        <f t="shared" si="973"/>
        <v>0.62716685042431397</v>
      </c>
    </row>
    <row r="333" spans="1:20" x14ac:dyDescent="0.25">
      <c r="A333" s="5">
        <v>44260</v>
      </c>
      <c r="B333">
        <v>7.4730999999999996</v>
      </c>
      <c r="C333">
        <v>8.7666000000000004</v>
      </c>
      <c r="D333">
        <v>6.9798</v>
      </c>
      <c r="E333">
        <v>8.4619</v>
      </c>
      <c r="F333">
        <v>20141113.510000002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0.65894336243563878</v>
      </c>
      <c r="Q333">
        <f t="shared" si="970"/>
        <v>13271853.059477272</v>
      </c>
      <c r="R333">
        <f t="shared" si="971"/>
        <v>71372959.860938042</v>
      </c>
      <c r="S333">
        <f t="shared" si="972"/>
        <v>713.72959860938045</v>
      </c>
      <c r="T333">
        <f t="shared" si="973"/>
        <v>0.71372959860938046</v>
      </c>
    </row>
    <row r="334" spans="1:20" x14ac:dyDescent="0.25">
      <c r="A334" s="5">
        <v>44259</v>
      </c>
      <c r="B334">
        <v>7.2012999999999998</v>
      </c>
      <c r="C334">
        <v>8.1435999999999993</v>
      </c>
      <c r="D334">
        <v>7.0671999999999997</v>
      </c>
      <c r="E334">
        <v>7.4730999999999996</v>
      </c>
      <c r="F334">
        <v>15773216.800000001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-0.24581939799331087</v>
      </c>
      <c r="Q334">
        <f t="shared" si="970"/>
        <v>-3877362.6581939775</v>
      </c>
      <c r="R334">
        <f t="shared" si="971"/>
        <v>58101106.801460773</v>
      </c>
      <c r="S334">
        <f t="shared" si="972"/>
        <v>581.01106801460776</v>
      </c>
      <c r="T334">
        <f t="shared" si="973"/>
        <v>0.58101106801460778</v>
      </c>
    </row>
    <row r="335" spans="1:20" x14ac:dyDescent="0.25">
      <c r="A335" s="5">
        <v>44258</v>
      </c>
      <c r="B335">
        <v>6.4679000000000002</v>
      </c>
      <c r="C335">
        <v>8.2211999999999996</v>
      </c>
      <c r="D335">
        <v>6.4200999999999997</v>
      </c>
      <c r="E335">
        <v>7.2027000000000001</v>
      </c>
      <c r="F335">
        <v>18032318.93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-0.13097551496307763</v>
      </c>
      <c r="Q335">
        <f t="shared" si="970"/>
        <v>-2361792.2578352029</v>
      </c>
      <c r="R335">
        <f t="shared" si="971"/>
        <v>61978469.459654748</v>
      </c>
      <c r="S335">
        <f t="shared" si="972"/>
        <v>619.78469459654752</v>
      </c>
      <c r="T335">
        <f t="shared" si="973"/>
        <v>0.6197846945965475</v>
      </c>
    </row>
    <row r="336" spans="1:20" x14ac:dyDescent="0.25">
      <c r="A336" s="5">
        <v>44257</v>
      </c>
      <c r="B336">
        <v>6.7481</v>
      </c>
      <c r="C336">
        <v>6.78</v>
      </c>
      <c r="D336">
        <v>6.1947000000000001</v>
      </c>
      <c r="E336">
        <v>6.4726999999999997</v>
      </c>
      <c r="F336">
        <v>7433824.04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-5.0059798393987671E-2</v>
      </c>
      <c r="Q336">
        <f t="shared" si="970"/>
        <v>-372135.73273877893</v>
      </c>
      <c r="R336">
        <f t="shared" si="971"/>
        <v>64340261.71748995</v>
      </c>
      <c r="S336">
        <f t="shared" si="972"/>
        <v>643.40261717489955</v>
      </c>
      <c r="T336">
        <f t="shared" si="973"/>
        <v>0.64340261717489955</v>
      </c>
    </row>
    <row r="337" spans="1:20" x14ac:dyDescent="0.25">
      <c r="A337" s="5">
        <v>44256</v>
      </c>
      <c r="B337">
        <v>5.3510999999999997</v>
      </c>
      <c r="C337">
        <v>6.7706</v>
      </c>
      <c r="D337">
        <v>5.3280000000000003</v>
      </c>
      <c r="E337">
        <v>6.7453000000000003</v>
      </c>
      <c r="F337">
        <v>10942390.119999999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0.96492444197975924</v>
      </c>
      <c r="Q337">
        <f t="shared" si="970"/>
        <v>10558579.68046583</v>
      </c>
      <c r="R337">
        <f t="shared" si="971"/>
        <v>64712397.450228728</v>
      </c>
      <c r="S337">
        <f t="shared" si="972"/>
        <v>647.1239745022873</v>
      </c>
      <c r="T337">
        <f t="shared" si="973"/>
        <v>0.64712397450228731</v>
      </c>
    </row>
    <row r="338" spans="1:20" x14ac:dyDescent="0.25">
      <c r="A338" s="5">
        <v>44255</v>
      </c>
      <c r="B338">
        <v>5.9082999999999997</v>
      </c>
      <c r="C338">
        <v>6.0082000000000004</v>
      </c>
      <c r="D338">
        <v>4.9764999999999997</v>
      </c>
      <c r="E338">
        <v>5.3531000000000004</v>
      </c>
      <c r="F338">
        <v>7021503.5499999998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-0.26994281283318705</v>
      </c>
      <c r="Q338">
        <f t="shared" si="970"/>
        <v>-1895404.4186052084</v>
      </c>
      <c r="R338">
        <f t="shared" si="971"/>
        <v>54153817.769762896</v>
      </c>
      <c r="S338">
        <f t="shared" si="972"/>
        <v>541.53817769762895</v>
      </c>
      <c r="T338">
        <f t="shared" si="973"/>
        <v>0.54153817769762891</v>
      </c>
    </row>
    <row r="339" spans="1:20" x14ac:dyDescent="0.25">
      <c r="A339" s="5">
        <v>44254</v>
      </c>
      <c r="B339">
        <v>5.8880999999999997</v>
      </c>
      <c r="C339">
        <v>6.3689</v>
      </c>
      <c r="D339">
        <v>5.68</v>
      </c>
      <c r="E339">
        <v>5.9</v>
      </c>
      <c r="F339">
        <v>5581206.3700000001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-0.3613006241834793</v>
      </c>
      <c r="Q339">
        <f t="shared" si="970"/>
        <v>-2016493.3451778109</v>
      </c>
      <c r="R339">
        <f t="shared" si="971"/>
        <v>56049222.188368104</v>
      </c>
      <c r="S339">
        <f t="shared" si="972"/>
        <v>560.49222188368105</v>
      </c>
      <c r="T339">
        <f t="shared" si="973"/>
        <v>0.56049222188368109</v>
      </c>
    </row>
    <row r="340" spans="1:20" x14ac:dyDescent="0.25">
      <c r="A340" s="5">
        <v>44253</v>
      </c>
      <c r="B340">
        <v>5.9888000000000003</v>
      </c>
      <c r="C340">
        <v>6.4147999999999996</v>
      </c>
      <c r="D340">
        <v>5.5662000000000003</v>
      </c>
      <c r="E340">
        <v>5.8955000000000002</v>
      </c>
      <c r="F340">
        <v>7976815.2300000004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-0.2238981852462876</v>
      </c>
      <c r="Q340">
        <f t="shared" si="970"/>
        <v>-1785994.4540419483</v>
      </c>
      <c r="R340">
        <f t="shared" si="971"/>
        <v>58065715.533545919</v>
      </c>
      <c r="S340">
        <f t="shared" si="972"/>
        <v>580.65715533545915</v>
      </c>
      <c r="T340">
        <f t="shared" si="973"/>
        <v>0.58065715533545914</v>
      </c>
    </row>
    <row r="341" spans="1:20" x14ac:dyDescent="0.25">
      <c r="A341" s="5">
        <v>44252</v>
      </c>
      <c r="B341">
        <v>6.6649000000000003</v>
      </c>
      <c r="C341">
        <v>7.2164000000000001</v>
      </c>
      <c r="D341">
        <v>5.9401999999999999</v>
      </c>
      <c r="E341">
        <v>5.9804000000000004</v>
      </c>
      <c r="F341">
        <v>11918826.58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-0.9370004701457445</v>
      </c>
      <c r="Q341">
        <f t="shared" si="970"/>
        <v>-11167946.109045597</v>
      </c>
      <c r="R341">
        <f t="shared" si="971"/>
        <v>59851709.987587869</v>
      </c>
      <c r="S341">
        <f t="shared" si="972"/>
        <v>598.51709987587867</v>
      </c>
      <c r="T341">
        <f t="shared" si="973"/>
        <v>0.59851709987587864</v>
      </c>
    </row>
    <row r="342" spans="1:20" x14ac:dyDescent="0.25">
      <c r="A342" s="5">
        <v>44251</v>
      </c>
      <c r="B342">
        <v>6.7270000000000003</v>
      </c>
      <c r="C342">
        <v>7.6879</v>
      </c>
      <c r="D342">
        <v>6.4005999999999998</v>
      </c>
      <c r="E342">
        <v>6.6649000000000003</v>
      </c>
      <c r="F342">
        <v>15613671.49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-0.58937310650198027</v>
      </c>
      <c r="Q342">
        <f t="shared" si="970"/>
        <v>-9202278.0699627027</v>
      </c>
      <c r="R342">
        <f t="shared" si="971"/>
        <v>71019656.096633464</v>
      </c>
      <c r="S342">
        <f t="shared" si="972"/>
        <v>710.19656096633469</v>
      </c>
      <c r="T342">
        <f t="shared" si="973"/>
        <v>0.71019656096633466</v>
      </c>
    </row>
    <row r="343" spans="1:20" x14ac:dyDescent="0.25">
      <c r="A343" s="5">
        <v>44250</v>
      </c>
      <c r="B343">
        <v>7.0791000000000004</v>
      </c>
      <c r="C343">
        <v>7.15</v>
      </c>
      <c r="D343">
        <v>5.4349999999999996</v>
      </c>
      <c r="E343">
        <v>6.7359</v>
      </c>
      <c r="F343">
        <v>28169294.440000001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0.51708454810495608</v>
      </c>
      <c r="Q343">
        <f t="shared" si="970"/>
        <v>14565906.885942852</v>
      </c>
      <c r="R343">
        <f t="shared" si="971"/>
        <v>80221934.166596174</v>
      </c>
      <c r="S343">
        <f t="shared" si="972"/>
        <v>802.21934166596179</v>
      </c>
      <c r="T343">
        <f t="shared" si="973"/>
        <v>0.80221934166596176</v>
      </c>
    </row>
    <row r="344" spans="1:20" x14ac:dyDescent="0.25">
      <c r="A344" s="5">
        <v>44249</v>
      </c>
      <c r="B344">
        <v>6.1205999999999996</v>
      </c>
      <c r="C344">
        <v>8.4700000000000006</v>
      </c>
      <c r="D344">
        <v>5.9477000000000002</v>
      </c>
      <c r="E344">
        <v>7.0715000000000003</v>
      </c>
      <c r="F344">
        <v>38768546.539999999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-0.10890853586012771</v>
      </c>
      <c r="Q344">
        <f t="shared" si="970"/>
        <v>-4222225.6410966199</v>
      </c>
      <c r="R344">
        <f t="shared" si="971"/>
        <v>65656027.280653328</v>
      </c>
      <c r="S344">
        <f t="shared" si="972"/>
        <v>656.56027280653325</v>
      </c>
      <c r="T344">
        <f t="shared" si="973"/>
        <v>0.65656027280653328</v>
      </c>
    </row>
    <row r="345" spans="1:20" x14ac:dyDescent="0.25">
      <c r="A345" s="5">
        <v>44248</v>
      </c>
      <c r="B345">
        <v>5.9462999999999999</v>
      </c>
      <c r="C345">
        <v>6.3666</v>
      </c>
      <c r="D345">
        <v>5.7988999999999997</v>
      </c>
      <c r="E345">
        <v>6.1207000000000003</v>
      </c>
      <c r="F345">
        <v>7781188.8700000001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0.13369737537431867</v>
      </c>
      <c r="Q345">
        <f t="shared" si="970"/>
        <v>1040324.5292108605</v>
      </c>
      <c r="R345">
        <f t="shared" si="971"/>
        <v>69878252.921749949</v>
      </c>
      <c r="S345">
        <f t="shared" si="972"/>
        <v>698.78252921749947</v>
      </c>
      <c r="T345">
        <f t="shared" si="973"/>
        <v>0.6987825292174995</v>
      </c>
    </row>
    <row r="346" spans="1:20" x14ac:dyDescent="0.25">
      <c r="A346" s="5">
        <v>44247</v>
      </c>
      <c r="B346">
        <v>6.3101000000000003</v>
      </c>
      <c r="C346">
        <v>6.7500999999999998</v>
      </c>
      <c r="D346">
        <v>5.6832000000000003</v>
      </c>
      <c r="E346">
        <v>5.9410999999999996</v>
      </c>
      <c r="F346">
        <v>10080940.460000001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-0.51654325616271535</v>
      </c>
      <c r="Q346">
        <f t="shared" si="970"/>
        <v>-5207241.8103908617</v>
      </c>
      <c r="R346">
        <f t="shared" si="971"/>
        <v>68837928.392539084</v>
      </c>
      <c r="S346">
        <f t="shared" si="972"/>
        <v>688.37928392539084</v>
      </c>
      <c r="T346">
        <f t="shared" si="973"/>
        <v>0.68837928392539083</v>
      </c>
    </row>
    <row r="347" spans="1:20" x14ac:dyDescent="0.25">
      <c r="A347" s="5">
        <v>44246</v>
      </c>
      <c r="B347">
        <v>6.6939000000000002</v>
      </c>
      <c r="C347">
        <v>6.9</v>
      </c>
      <c r="D347">
        <v>6.1555999999999997</v>
      </c>
      <c r="E347">
        <v>6.3101000000000003</v>
      </c>
      <c r="F347">
        <v>10846138.23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-0.58490059108006343</v>
      </c>
      <c r="Q347">
        <f t="shared" si="970"/>
        <v>-6343912.6616630731</v>
      </c>
      <c r="R347">
        <f t="shared" si="971"/>
        <v>74045170.202929944</v>
      </c>
      <c r="S347">
        <f t="shared" si="972"/>
        <v>740.45170202929944</v>
      </c>
      <c r="T347">
        <f t="shared" si="973"/>
        <v>0.74045170202929944</v>
      </c>
    </row>
    <row r="348" spans="1:20" x14ac:dyDescent="0.25">
      <c r="A348" s="5">
        <v>44245</v>
      </c>
      <c r="B348">
        <v>7.2793000000000001</v>
      </c>
      <c r="C348">
        <v>7.5358000000000001</v>
      </c>
      <c r="D348">
        <v>6.4</v>
      </c>
      <c r="E348">
        <v>6.6966000000000001</v>
      </c>
      <c r="F348">
        <v>14068865.49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-0.47772495157598199</v>
      </c>
      <c r="Q348">
        <f t="shared" si="970"/>
        <v>-6721048.0849392544</v>
      </c>
      <c r="R348">
        <f t="shared" si="971"/>
        <v>80389082.864593014</v>
      </c>
      <c r="S348">
        <f t="shared" si="972"/>
        <v>803.89082864593013</v>
      </c>
      <c r="T348">
        <f t="shared" si="973"/>
        <v>0.80389082864593009</v>
      </c>
    </row>
    <row r="349" spans="1:20" x14ac:dyDescent="0.25">
      <c r="A349" s="5">
        <v>44244</v>
      </c>
      <c r="B349">
        <v>6.5223000000000004</v>
      </c>
      <c r="C349">
        <v>7.48</v>
      </c>
      <c r="D349">
        <v>5.8102999999999998</v>
      </c>
      <c r="E349">
        <v>7.2723000000000004</v>
      </c>
      <c r="F349">
        <v>28283777.77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0.75121279271725472</v>
      </c>
      <c r="Q349">
        <f t="shared" si="970"/>
        <v>21247135.687195908</v>
      </c>
      <c r="R349">
        <f t="shared" si="971"/>
        <v>87110130.94953227</v>
      </c>
      <c r="S349">
        <f t="shared" si="972"/>
        <v>871.10130949532265</v>
      </c>
      <c r="T349">
        <f t="shared" si="973"/>
        <v>0.87110130949532261</v>
      </c>
    </row>
    <row r="350" spans="1:20" x14ac:dyDescent="0.25">
      <c r="A350" s="5">
        <v>44243</v>
      </c>
      <c r="B350">
        <v>5.4535</v>
      </c>
      <c r="C350">
        <v>6.75</v>
      </c>
      <c r="D350">
        <v>5.2794999999999996</v>
      </c>
      <c r="E350">
        <v>6.5204000000000004</v>
      </c>
      <c r="F350">
        <v>24070491.98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0.68772526351581165</v>
      </c>
      <c r="Q350">
        <f t="shared" si="970"/>
        <v>16553885.439900732</v>
      </c>
      <c r="R350">
        <f t="shared" si="971"/>
        <v>65862995.262336358</v>
      </c>
      <c r="S350">
        <f t="shared" si="972"/>
        <v>658.62995262336358</v>
      </c>
      <c r="T350">
        <f t="shared" si="973"/>
        <v>0.65862995262336355</v>
      </c>
    </row>
    <row r="351" spans="1:20" x14ac:dyDescent="0.25">
      <c r="A351" s="5">
        <v>44242</v>
      </c>
      <c r="B351">
        <v>5.6375000000000002</v>
      </c>
      <c r="C351">
        <v>6.1</v>
      </c>
      <c r="D351">
        <v>4.96</v>
      </c>
      <c r="E351">
        <v>5.4547999999999996</v>
      </c>
      <c r="F351">
        <v>17564032.050000001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-0.13192982456140381</v>
      </c>
      <c r="Q351">
        <f t="shared" si="970"/>
        <v>-2317219.6669473737</v>
      </c>
      <c r="R351">
        <f t="shared" si="971"/>
        <v>49309109.822435625</v>
      </c>
      <c r="S351">
        <f t="shared" si="972"/>
        <v>493.09109822435624</v>
      </c>
      <c r="T351">
        <f t="shared" si="973"/>
        <v>0.49309109822435626</v>
      </c>
    </row>
    <row r="352" spans="1:20" x14ac:dyDescent="0.25">
      <c r="A352" s="5">
        <v>44241</v>
      </c>
      <c r="B352">
        <v>5.5952000000000002</v>
      </c>
      <c r="C352">
        <v>6.1802999999999999</v>
      </c>
      <c r="D352">
        <v>5.3281999999999998</v>
      </c>
      <c r="E352">
        <v>5.6367000000000003</v>
      </c>
      <c r="F352">
        <v>13331261.42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-0.27590658373430255</v>
      </c>
      <c r="Q352">
        <f t="shared" si="970"/>
        <v>-3678182.7952611069</v>
      </c>
      <c r="R352">
        <f t="shared" si="971"/>
        <v>51626329.489382997</v>
      </c>
      <c r="S352">
        <f t="shared" si="972"/>
        <v>516.26329489382999</v>
      </c>
      <c r="T352">
        <f t="shared" si="973"/>
        <v>0.51626329489382994</v>
      </c>
    </row>
    <row r="353" spans="1:20" x14ac:dyDescent="0.25">
      <c r="A353" s="5">
        <v>44240</v>
      </c>
      <c r="B353">
        <v>5.7302999999999997</v>
      </c>
      <c r="C353">
        <v>5.9997999999999996</v>
      </c>
      <c r="D353">
        <v>5.3893000000000004</v>
      </c>
      <c r="E353">
        <v>5.5986000000000002</v>
      </c>
      <c r="F353">
        <v>11026456.779999999</v>
      </c>
      <c r="G353">
        <v>0</v>
      </c>
      <c r="L353" t="s">
        <v>7</v>
      </c>
      <c r="M353" t="s">
        <v>7</v>
      </c>
      <c r="N353" t="s">
        <v>7</v>
      </c>
      <c r="P353">
        <f t="shared" si="969"/>
        <v>-0.31433251433251397</v>
      </c>
      <c r="Q353">
        <f t="shared" si="970"/>
        <v>-3465973.8838361958</v>
      </c>
      <c r="R353">
        <f t="shared" si="971"/>
        <v>55304512.284644105</v>
      </c>
      <c r="S353">
        <f t="shared" si="972"/>
        <v>553.04512284644102</v>
      </c>
      <c r="T353">
        <f t="shared" si="973"/>
        <v>0.55304512284644103</v>
      </c>
    </row>
    <row r="354" spans="1:20" x14ac:dyDescent="0.25">
      <c r="A354" s="5">
        <v>44239</v>
      </c>
      <c r="B354">
        <v>5.4954999999999998</v>
      </c>
      <c r="C354">
        <v>6.1635999999999997</v>
      </c>
      <c r="D354">
        <v>5.4</v>
      </c>
      <c r="E354">
        <v>5.7329999999999997</v>
      </c>
      <c r="F354">
        <v>20251126.82</v>
      </c>
      <c r="G354">
        <v>0</v>
      </c>
      <c r="L354" t="s">
        <v>8</v>
      </c>
      <c r="M354" t="s">
        <v>7</v>
      </c>
      <c r="N354" t="s">
        <v>7</v>
      </c>
      <c r="P354">
        <f t="shared" si="969"/>
        <v>-0.12781561026715674</v>
      </c>
      <c r="Q354">
        <f t="shared" si="970"/>
        <v>-2588410.1330958852</v>
      </c>
      <c r="R354">
        <f t="shared" si="971"/>
        <v>58770486.168480299</v>
      </c>
      <c r="S354">
        <f t="shared" si="972"/>
        <v>587.70486168480295</v>
      </c>
      <c r="T354">
        <f t="shared" si="973"/>
        <v>0.58770486168480296</v>
      </c>
    </row>
    <row r="355" spans="1:20" x14ac:dyDescent="0.25">
      <c r="A355" s="5">
        <v>44238</v>
      </c>
      <c r="B355">
        <v>6.0918000000000001</v>
      </c>
      <c r="C355">
        <v>6.5183999999999997</v>
      </c>
      <c r="D355">
        <v>5.4198000000000004</v>
      </c>
      <c r="E355">
        <v>5.4898999999999996</v>
      </c>
      <c r="F355">
        <v>17811151.59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-0.87238303295103004</v>
      </c>
      <c r="Q355">
        <f t="shared" si="970"/>
        <v>-15538146.44443476</v>
      </c>
      <c r="R355">
        <f t="shared" si="971"/>
        <v>61358896.301576182</v>
      </c>
      <c r="S355">
        <f t="shared" si="972"/>
        <v>613.58896301576181</v>
      </c>
      <c r="T355">
        <f t="shared" si="973"/>
        <v>0.61358896301576182</v>
      </c>
    </row>
    <row r="356" spans="1:20" x14ac:dyDescent="0.25">
      <c r="A356" s="5">
        <v>44237</v>
      </c>
      <c r="B356">
        <v>6.4640000000000004</v>
      </c>
      <c r="C356">
        <v>7</v>
      </c>
      <c r="D356">
        <v>5.7</v>
      </c>
      <c r="E356">
        <v>6.0925000000000002</v>
      </c>
      <c r="F356">
        <v>25227853.050000001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-0.39615384615384597</v>
      </c>
      <c r="Q356">
        <f t="shared" si="970"/>
        <v>-9994111.0159615334</v>
      </c>
      <c r="R356">
        <f t="shared" si="971"/>
        <v>76897042.746010944</v>
      </c>
      <c r="S356">
        <f t="shared" si="972"/>
        <v>768.97042746010948</v>
      </c>
      <c r="T356">
        <f t="shared" si="973"/>
        <v>0.76897042746010946</v>
      </c>
    </row>
    <row r="357" spans="1:20" x14ac:dyDescent="0.25">
      <c r="A357" s="5">
        <v>44236</v>
      </c>
      <c r="B357">
        <v>5.7670000000000003</v>
      </c>
      <c r="C357">
        <v>8.4448000000000008</v>
      </c>
      <c r="D357">
        <v>4.8326000000000002</v>
      </c>
      <c r="E357">
        <v>6.4663000000000004</v>
      </c>
      <c r="F357">
        <v>66425086.130000003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-9.5454293782182648E-2</v>
      </c>
      <c r="Q357">
        <f t="shared" si="970"/>
        <v>-6340559.6859598057</v>
      </c>
      <c r="R357">
        <f t="shared" si="971"/>
        <v>86891153.761972472</v>
      </c>
      <c r="S357">
        <f t="shared" si="972"/>
        <v>868.91153761972475</v>
      </c>
      <c r="T357">
        <f t="shared" si="973"/>
        <v>0.86891153761972473</v>
      </c>
    </row>
    <row r="358" spans="1:20" x14ac:dyDescent="0.25">
      <c r="A358" s="5">
        <v>44235</v>
      </c>
      <c r="B358">
        <v>3.0819999999999999</v>
      </c>
      <c r="C358">
        <v>6.2</v>
      </c>
      <c r="D358">
        <v>3.0609999999999999</v>
      </c>
      <c r="E358">
        <v>5.7743000000000002</v>
      </c>
      <c r="F358">
        <v>58737936.390000001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0.72876712328767124</v>
      </c>
      <c r="Q358">
        <f t="shared" si="970"/>
        <v>42806276.930794522</v>
      </c>
      <c r="R358">
        <f t="shared" si="971"/>
        <v>93231713.447932273</v>
      </c>
      <c r="S358">
        <f t="shared" si="972"/>
        <v>932.3171344793227</v>
      </c>
      <c r="T358">
        <f t="shared" si="973"/>
        <v>0.93231713447932274</v>
      </c>
    </row>
    <row r="359" spans="1:20" x14ac:dyDescent="0.25">
      <c r="A359" s="5">
        <v>44234</v>
      </c>
      <c r="B359">
        <v>2.6924999999999999</v>
      </c>
      <c r="C359">
        <v>3.15</v>
      </c>
      <c r="D359">
        <v>2.4689999999999999</v>
      </c>
      <c r="E359">
        <v>3.0819999999999999</v>
      </c>
      <c r="F359">
        <v>22438890.100000001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0.80029368575624071</v>
      </c>
      <c r="Q359">
        <f t="shared" si="970"/>
        <v>17957702.062408224</v>
      </c>
      <c r="R359">
        <f t="shared" si="971"/>
        <v>50425436.517137744</v>
      </c>
      <c r="S359">
        <f t="shared" si="972"/>
        <v>504.25436517137746</v>
      </c>
      <c r="T359">
        <f t="shared" si="973"/>
        <v>0.50425436517137745</v>
      </c>
    </row>
    <row r="360" spans="1:20" x14ac:dyDescent="0.25">
      <c r="A360" s="5">
        <v>44233</v>
      </c>
      <c r="B360">
        <v>2.879</v>
      </c>
      <c r="C360">
        <v>2.9813000000000001</v>
      </c>
      <c r="D360">
        <v>2.5333000000000001</v>
      </c>
      <c r="E360">
        <v>2.6928000000000001</v>
      </c>
      <c r="F360">
        <v>12746214.83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-0.2879464285714286</v>
      </c>
      <c r="Q360">
        <f t="shared" si="970"/>
        <v>-3670227.038102679</v>
      </c>
      <c r="R360">
        <f t="shared" si="971"/>
        <v>32467734.45472952</v>
      </c>
      <c r="S360">
        <f t="shared" si="972"/>
        <v>324.67734454729521</v>
      </c>
      <c r="T360">
        <f t="shared" si="973"/>
        <v>0.32467734454729519</v>
      </c>
    </row>
    <row r="361" spans="1:20" x14ac:dyDescent="0.25">
      <c r="A361" s="5">
        <v>44232</v>
      </c>
      <c r="B361">
        <v>2.6680000000000001</v>
      </c>
      <c r="C361">
        <v>3.0301999999999998</v>
      </c>
      <c r="D361">
        <v>2.6545000000000001</v>
      </c>
      <c r="E361">
        <v>2.879</v>
      </c>
      <c r="F361">
        <v>20501508.34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0.19510247537929251</v>
      </c>
      <c r="Q361">
        <f t="shared" si="970"/>
        <v>3999895.02614321</v>
      </c>
      <c r="R361">
        <f t="shared" si="971"/>
        <v>36137961.492832199</v>
      </c>
      <c r="S361">
        <f t="shared" si="972"/>
        <v>361.37961492832198</v>
      </c>
      <c r="T361">
        <f t="shared" si="973"/>
        <v>0.36137961492832199</v>
      </c>
    </row>
    <row r="362" spans="1:20" x14ac:dyDescent="0.25">
      <c r="A362" s="5">
        <v>44231</v>
      </c>
      <c r="B362">
        <v>2.1105</v>
      </c>
      <c r="C362">
        <v>2.8744999999999998</v>
      </c>
      <c r="D362">
        <v>1.9826999999999999</v>
      </c>
      <c r="E362">
        <v>2.6665000000000001</v>
      </c>
      <c r="F362">
        <v>43438171.57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0.53352769679300349</v>
      </c>
      <c r="Q362">
        <f t="shared" si="970"/>
        <v>23175467.630641423</v>
      </c>
      <c r="R362">
        <f t="shared" si="971"/>
        <v>32138066.466688987</v>
      </c>
      <c r="S362">
        <f t="shared" si="972"/>
        <v>321.38066466688986</v>
      </c>
      <c r="T362">
        <f t="shared" si="973"/>
        <v>0.32138066466688986</v>
      </c>
    </row>
    <row r="363" spans="1:20" x14ac:dyDescent="0.25">
      <c r="A363" s="5">
        <v>44230</v>
      </c>
      <c r="B363">
        <v>2.3555000000000001</v>
      </c>
      <c r="C363">
        <v>2.5</v>
      </c>
      <c r="D363">
        <v>2.0099999999999998</v>
      </c>
      <c r="E363">
        <v>2.1114000000000002</v>
      </c>
      <c r="F363">
        <v>41685641.82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-0.58612244897959043</v>
      </c>
      <c r="Q363">
        <f t="shared" si="970"/>
        <v>-24432890.470824432</v>
      </c>
      <c r="R363">
        <f t="shared" si="971"/>
        <v>8962598.8360475637</v>
      </c>
      <c r="S363">
        <f t="shared" si="972"/>
        <v>89.625988360475631</v>
      </c>
      <c r="T363">
        <f t="shared" si="973"/>
        <v>8.9625988360475625E-2</v>
      </c>
    </row>
    <row r="364" spans="1:20" x14ac:dyDescent="0.25">
      <c r="A364" s="5">
        <v>44229</v>
      </c>
      <c r="B364">
        <v>1.7999000000000001</v>
      </c>
      <c r="C364">
        <v>2.3569</v>
      </c>
      <c r="D364">
        <v>1.7988</v>
      </c>
      <c r="E364">
        <v>2.3569</v>
      </c>
      <c r="F364">
        <v>38910424.649999999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1</v>
      </c>
      <c r="Q364">
        <f t="shared" si="970"/>
        <v>38910424.649999999</v>
      </c>
      <c r="R364">
        <f t="shared" si="971"/>
        <v>33395489.306871995</v>
      </c>
      <c r="S364">
        <f t="shared" si="972"/>
        <v>333.95489306871997</v>
      </c>
      <c r="T364">
        <f t="shared" si="973"/>
        <v>0.33395489306871995</v>
      </c>
    </row>
    <row r="365" spans="1:20" x14ac:dyDescent="0.25">
      <c r="A365" s="5">
        <v>44228</v>
      </c>
      <c r="B365">
        <v>1.4578</v>
      </c>
      <c r="C365">
        <v>1.94</v>
      </c>
      <c r="D365">
        <v>1.4159999999999999</v>
      </c>
      <c r="E365">
        <v>1.7999000000000001</v>
      </c>
      <c r="F365">
        <v>38334820.93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0.46526717557251951</v>
      </c>
      <c r="Q365">
        <f t="shared" si="970"/>
        <v>17835933.860179406</v>
      </c>
      <c r="R365">
        <f t="shared" si="971"/>
        <v>-5514935.3431280032</v>
      </c>
      <c r="S365">
        <f t="shared" si="972"/>
        <v>-55.149353431280034</v>
      </c>
      <c r="T365">
        <f t="shared" si="973"/>
        <v>-5.5149353431280031E-2</v>
      </c>
    </row>
    <row r="366" spans="1:20" x14ac:dyDescent="0.25">
      <c r="A366" s="5">
        <v>44227</v>
      </c>
      <c r="B366">
        <v>1.4346000000000001</v>
      </c>
      <c r="C366">
        <v>1.54</v>
      </c>
      <c r="D366">
        <v>1.3675999999999999</v>
      </c>
      <c r="E366">
        <v>1.458</v>
      </c>
      <c r="F366">
        <v>25029885.100000001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4.8723897911832702E-2</v>
      </c>
      <c r="Q366">
        <f t="shared" si="970"/>
        <v>1219553.5663573025</v>
      </c>
      <c r="R366">
        <f t="shared" si="971"/>
        <v>-23350869.203307409</v>
      </c>
      <c r="S366">
        <f t="shared" si="972"/>
        <v>-233.50869203307408</v>
      </c>
      <c r="T366">
        <f t="shared" si="973"/>
        <v>-0.23350869203307409</v>
      </c>
    </row>
    <row r="367" spans="1:20" x14ac:dyDescent="0.25">
      <c r="A367" s="5">
        <v>44226</v>
      </c>
      <c r="B367">
        <v>1.4742</v>
      </c>
      <c r="C367">
        <v>1.5797000000000001</v>
      </c>
      <c r="D367">
        <v>1.3993</v>
      </c>
      <c r="E367">
        <v>1.4347000000000001</v>
      </c>
      <c r="F367">
        <v>21660315.620000001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-0.607538802660753</v>
      </c>
      <c r="Q367">
        <f t="shared" si="970"/>
        <v>-13159482.217028806</v>
      </c>
      <c r="R367">
        <f t="shared" si="971"/>
        <v>-24570422.769664712</v>
      </c>
      <c r="S367">
        <f t="shared" si="972"/>
        <v>-245.70422769664711</v>
      </c>
      <c r="T367">
        <f t="shared" si="973"/>
        <v>-0.2457042276966471</v>
      </c>
    </row>
    <row r="368" spans="1:20" x14ac:dyDescent="0.25">
      <c r="A368" s="5">
        <v>44225</v>
      </c>
      <c r="B368">
        <v>1.4524999999999999</v>
      </c>
      <c r="C368">
        <v>1.71</v>
      </c>
      <c r="D368">
        <v>1.4470000000000001</v>
      </c>
      <c r="E368">
        <v>1.4736</v>
      </c>
      <c r="F368">
        <v>39120384.659999996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-0.79771863117870745</v>
      </c>
      <c r="Q368">
        <f t="shared" si="970"/>
        <v>-31207059.702159703</v>
      </c>
      <c r="R368">
        <f t="shared" si="971"/>
        <v>-11410940.552635904</v>
      </c>
      <c r="S368">
        <f t="shared" si="972"/>
        <v>-114.10940552635904</v>
      </c>
      <c r="T368">
        <f t="shared" si="973"/>
        <v>-0.11410940552635904</v>
      </c>
    </row>
    <row r="369" spans="1:20" x14ac:dyDescent="0.25">
      <c r="A369" s="5">
        <v>44224</v>
      </c>
      <c r="B369">
        <v>1.1206</v>
      </c>
      <c r="C369">
        <v>1.585</v>
      </c>
      <c r="D369">
        <v>1.1087</v>
      </c>
      <c r="E369">
        <v>1.4528000000000001</v>
      </c>
      <c r="F369">
        <v>60659454.689999998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0.44488767583455852</v>
      </c>
      <c r="Q369">
        <f t="shared" si="970"/>
        <v>26986643.814425807</v>
      </c>
      <c r="R369">
        <f t="shared" si="971"/>
        <v>19796119.149523798</v>
      </c>
      <c r="S369">
        <f t="shared" si="972"/>
        <v>197.96119149523798</v>
      </c>
      <c r="T369">
        <f t="shared" si="973"/>
        <v>0.19796119149523797</v>
      </c>
    </row>
    <row r="370" spans="1:20" x14ac:dyDescent="0.25">
      <c r="A370" s="5">
        <v>44223</v>
      </c>
      <c r="B370">
        <v>1.2646999999999999</v>
      </c>
      <c r="C370">
        <v>1.2949999999999999</v>
      </c>
      <c r="D370">
        <v>1.1066</v>
      </c>
      <c r="E370">
        <v>1.1204000000000001</v>
      </c>
      <c r="F370">
        <v>38276533.93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-0.85350318471337538</v>
      </c>
      <c r="Q370">
        <f t="shared" si="970"/>
        <v>-32669143.60904457</v>
      </c>
      <c r="R370">
        <f t="shared" si="971"/>
        <v>-7190524.6649020091</v>
      </c>
      <c r="S370">
        <f t="shared" si="972"/>
        <v>-71.905246649020086</v>
      </c>
      <c r="T370">
        <f t="shared" si="973"/>
        <v>-7.190524664902008E-2</v>
      </c>
    </row>
    <row r="371" spans="1:20" x14ac:dyDescent="0.25">
      <c r="A371" s="5">
        <v>44222</v>
      </c>
      <c r="B371">
        <v>0.86990000000000001</v>
      </c>
      <c r="C371">
        <v>1.37</v>
      </c>
      <c r="D371">
        <v>0.86509999999999998</v>
      </c>
      <c r="E371">
        <v>1.264</v>
      </c>
      <c r="F371">
        <v>80404308.920000002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0.58011487423252106</v>
      </c>
      <c r="Q371">
        <f t="shared" si="970"/>
        <v>46643735.556878574</v>
      </c>
      <c r="R371">
        <f t="shared" si="971"/>
        <v>25478618.944142561</v>
      </c>
      <c r="S371">
        <f t="shared" si="972"/>
        <v>254.78618944142562</v>
      </c>
      <c r="T371">
        <f t="shared" si="973"/>
        <v>0.25478618944142561</v>
      </c>
    </row>
    <row r="372" spans="1:20" x14ac:dyDescent="0.25">
      <c r="A372" s="5">
        <v>44221</v>
      </c>
      <c r="B372">
        <v>0.90759999999999996</v>
      </c>
      <c r="C372">
        <v>0.94199999999999995</v>
      </c>
      <c r="D372">
        <v>0.86819999999999997</v>
      </c>
      <c r="E372">
        <v>0.86970000000000003</v>
      </c>
      <c r="F372">
        <v>7606952.6100000003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-0.95934959349593341</v>
      </c>
      <c r="Q372">
        <f t="shared" si="970"/>
        <v>-7297726.8941463297</v>
      </c>
      <c r="R372">
        <f t="shared" si="971"/>
        <v>-21165116.612736013</v>
      </c>
      <c r="S372">
        <f t="shared" si="972"/>
        <v>-211.65116612736014</v>
      </c>
      <c r="T372">
        <f t="shared" si="973"/>
        <v>-0.21165116612736015</v>
      </c>
    </row>
    <row r="373" spans="1:20" x14ac:dyDescent="0.25">
      <c r="A373" s="5">
        <v>44220</v>
      </c>
      <c r="B373">
        <v>0.90249999999999997</v>
      </c>
      <c r="C373">
        <v>0.92349999999999999</v>
      </c>
      <c r="D373">
        <v>0.8569</v>
      </c>
      <c r="E373">
        <v>0.90759999999999996</v>
      </c>
      <c r="F373">
        <v>8293572.3799999999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0.52252252252252174</v>
      </c>
      <c r="Q373">
        <f t="shared" si="970"/>
        <v>4333578.3607207146</v>
      </c>
      <c r="R373">
        <f t="shared" si="971"/>
        <v>-13867389.718589684</v>
      </c>
      <c r="S373">
        <f t="shared" si="972"/>
        <v>-138.67389718589683</v>
      </c>
      <c r="T373">
        <f t="shared" si="973"/>
        <v>-0.13867389718589684</v>
      </c>
    </row>
    <row r="374" spans="1:20" x14ac:dyDescent="0.25">
      <c r="A374" s="5">
        <v>44219</v>
      </c>
      <c r="B374">
        <v>0.81210000000000004</v>
      </c>
      <c r="C374">
        <v>0.90249999999999997</v>
      </c>
      <c r="D374">
        <v>0.80469999999999997</v>
      </c>
      <c r="E374">
        <v>0.90229999999999999</v>
      </c>
      <c r="F374">
        <v>6505711.0899999999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0.99591002044989818</v>
      </c>
      <c r="Q374">
        <f t="shared" si="970"/>
        <v>6479102.8646830292</v>
      </c>
      <c r="R374">
        <f t="shared" si="971"/>
        <v>-18200968.079310399</v>
      </c>
      <c r="S374">
        <f t="shared" si="972"/>
        <v>-182.009680793104</v>
      </c>
      <c r="T374">
        <f t="shared" si="973"/>
        <v>-0.18200968079310401</v>
      </c>
    </row>
    <row r="375" spans="1:20" x14ac:dyDescent="0.25">
      <c r="A375" s="5">
        <v>44218</v>
      </c>
      <c r="B375">
        <v>0.79410000000000003</v>
      </c>
      <c r="C375">
        <v>0.86350000000000005</v>
      </c>
      <c r="D375">
        <v>0.7702</v>
      </c>
      <c r="E375">
        <v>0.81220000000000003</v>
      </c>
      <c r="F375">
        <v>8413795.2200000007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-9.9678456591639555E-2</v>
      </c>
      <c r="Q375">
        <f t="shared" si="970"/>
        <v>-838674.12160771445</v>
      </c>
      <c r="R375">
        <f t="shared" si="971"/>
        <v>-24680070.943993427</v>
      </c>
      <c r="S375">
        <f t="shared" si="972"/>
        <v>-246.80070943993428</v>
      </c>
      <c r="T375">
        <f t="shared" si="973"/>
        <v>-0.24680070943993429</v>
      </c>
    </row>
    <row r="376" spans="1:20" x14ac:dyDescent="0.25">
      <c r="A376" s="5">
        <v>44217</v>
      </c>
      <c r="B376">
        <v>0.90410000000000001</v>
      </c>
      <c r="C376">
        <v>0.90610000000000002</v>
      </c>
      <c r="D376">
        <v>0.79290000000000005</v>
      </c>
      <c r="E376">
        <v>0.79330000000000001</v>
      </c>
      <c r="F376">
        <v>6464858.7300000004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-0.99293286219081345</v>
      </c>
      <c r="Q376">
        <f t="shared" si="970"/>
        <v>-6419170.6824381677</v>
      </c>
      <c r="R376">
        <f t="shared" si="971"/>
        <v>-23841396.822385713</v>
      </c>
      <c r="S376">
        <f t="shared" si="972"/>
        <v>-238.41396822385713</v>
      </c>
      <c r="T376">
        <f t="shared" si="973"/>
        <v>-0.23841396822385713</v>
      </c>
    </row>
    <row r="377" spans="1:20" x14ac:dyDescent="0.25">
      <c r="A377" s="5">
        <v>44216</v>
      </c>
      <c r="B377">
        <v>0.9113</v>
      </c>
      <c r="C377">
        <v>0.94010000000000005</v>
      </c>
      <c r="D377">
        <v>0.86629999999999996</v>
      </c>
      <c r="E377">
        <v>0.90329999999999999</v>
      </c>
      <c r="F377">
        <v>8122580.75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2.7100271002707009E-3</v>
      </c>
      <c r="Q377">
        <f t="shared" si="970"/>
        <v>22012.413956637116</v>
      </c>
      <c r="R377">
        <f t="shared" si="971"/>
        <v>-17422226.139947545</v>
      </c>
      <c r="S377">
        <f t="shared" si="972"/>
        <v>-174.22226139947546</v>
      </c>
      <c r="T377">
        <f t="shared" si="973"/>
        <v>-0.17422226139947547</v>
      </c>
    </row>
    <row r="378" spans="1:20" x14ac:dyDescent="0.25">
      <c r="A378" s="5">
        <v>44215</v>
      </c>
      <c r="B378">
        <v>0.80089999999999995</v>
      </c>
      <c r="C378">
        <v>1.0031000000000001</v>
      </c>
      <c r="D378">
        <v>0.79249999999999998</v>
      </c>
      <c r="E378">
        <v>0.91020000000000001</v>
      </c>
      <c r="F378">
        <v>23354170.039999999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0.11775878442545071</v>
      </c>
      <c r="Q378">
        <f t="shared" si="970"/>
        <v>2750158.6751756794</v>
      </c>
      <c r="R378">
        <f t="shared" si="971"/>
        <v>-17444238.553904183</v>
      </c>
      <c r="S378">
        <f t="shared" si="972"/>
        <v>-174.44238553904182</v>
      </c>
      <c r="T378">
        <f t="shared" si="973"/>
        <v>-0.17444238553904182</v>
      </c>
    </row>
    <row r="379" spans="1:20" x14ac:dyDescent="0.25">
      <c r="A379" s="5">
        <v>44214</v>
      </c>
      <c r="B379">
        <v>0.8075</v>
      </c>
      <c r="C379">
        <v>0.82050000000000001</v>
      </c>
      <c r="D379">
        <v>0.78869999999999996</v>
      </c>
      <c r="E379">
        <v>0.80100000000000005</v>
      </c>
      <c r="F379">
        <v>4110835.89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-0.22641509433961829</v>
      </c>
      <c r="Q379">
        <f t="shared" si="970"/>
        <v>-930755.29584903875</v>
      </c>
      <c r="R379">
        <f t="shared" si="971"/>
        <v>-20194397.229079861</v>
      </c>
      <c r="S379">
        <f t="shared" si="972"/>
        <v>-201.9439722907986</v>
      </c>
      <c r="T379">
        <f t="shared" si="973"/>
        <v>-0.20194397229079861</v>
      </c>
    </row>
    <row r="380" spans="1:20" x14ac:dyDescent="0.25">
      <c r="A380" s="5">
        <v>44213</v>
      </c>
      <c r="B380">
        <v>0.75939999999999996</v>
      </c>
      <c r="C380">
        <v>0.82930000000000004</v>
      </c>
      <c r="D380">
        <v>0.74760000000000004</v>
      </c>
      <c r="E380">
        <v>0.80740000000000001</v>
      </c>
      <c r="F380">
        <v>9156754.4100000001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0.46389228886168832</v>
      </c>
      <c r="Q380">
        <f t="shared" si="970"/>
        <v>4247747.7617992582</v>
      </c>
      <c r="R380">
        <f t="shared" si="971"/>
        <v>-19263641.933230821</v>
      </c>
      <c r="S380">
        <f t="shared" si="972"/>
        <v>-192.63641933230821</v>
      </c>
      <c r="T380">
        <f t="shared" si="973"/>
        <v>-0.19263641933230821</v>
      </c>
    </row>
    <row r="381" spans="1:20" x14ac:dyDescent="0.25">
      <c r="A381" s="5">
        <v>44212</v>
      </c>
      <c r="B381">
        <v>0.79220000000000002</v>
      </c>
      <c r="C381">
        <v>0.81420000000000003</v>
      </c>
      <c r="D381">
        <v>0.75609999999999999</v>
      </c>
      <c r="E381">
        <v>0.76049999999999995</v>
      </c>
      <c r="F381">
        <v>5165627.88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-0.84853700516351271</v>
      </c>
      <c r="Q381">
        <f t="shared" si="970"/>
        <v>-4383226.4110843455</v>
      </c>
      <c r="R381">
        <f t="shared" si="971"/>
        <v>-23511389.695030078</v>
      </c>
      <c r="S381">
        <f t="shared" si="972"/>
        <v>-235.11389695030078</v>
      </c>
      <c r="T381">
        <f t="shared" si="973"/>
        <v>-0.23511389695030077</v>
      </c>
    </row>
    <row r="382" spans="1:20" x14ac:dyDescent="0.25">
      <c r="A382" s="5">
        <v>44211</v>
      </c>
      <c r="B382">
        <v>0.83320000000000005</v>
      </c>
      <c r="C382">
        <v>0.85370000000000001</v>
      </c>
      <c r="D382">
        <v>0.75700000000000001</v>
      </c>
      <c r="E382">
        <v>0.79200000000000004</v>
      </c>
      <c r="F382">
        <v>7596047.54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-0.27611168562564575</v>
      </c>
      <c r="Q382">
        <f t="shared" si="970"/>
        <v>-2097357.4903619397</v>
      </c>
      <c r="R382">
        <f t="shared" si="971"/>
        <v>-19128163.283945732</v>
      </c>
      <c r="S382">
        <f t="shared" si="972"/>
        <v>-191.28163283945733</v>
      </c>
      <c r="T382">
        <f t="shared" si="973"/>
        <v>-0.19128163283945734</v>
      </c>
    </row>
    <row r="383" spans="1:20" x14ac:dyDescent="0.25">
      <c r="A383" s="5">
        <v>44210</v>
      </c>
      <c r="B383">
        <v>0.82130000000000003</v>
      </c>
      <c r="C383">
        <v>0.90380000000000005</v>
      </c>
      <c r="D383">
        <v>0.80420000000000003</v>
      </c>
      <c r="E383">
        <v>0.83260000000000001</v>
      </c>
      <c r="F383">
        <v>12660847.460000001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-0.42971887550200855</v>
      </c>
      <c r="Q383">
        <f t="shared" si="970"/>
        <v>-5440605.1334136613</v>
      </c>
      <c r="R383">
        <f t="shared" si="971"/>
        <v>-17030805.793583792</v>
      </c>
      <c r="S383">
        <f t="shared" si="972"/>
        <v>-170.30805793583792</v>
      </c>
      <c r="T383">
        <f t="shared" si="973"/>
        <v>-0.17030805793583792</v>
      </c>
    </row>
    <row r="384" spans="1:20" x14ac:dyDescent="0.25">
      <c r="A384" s="5">
        <v>44209</v>
      </c>
      <c r="B384">
        <v>0.74719999999999998</v>
      </c>
      <c r="C384">
        <v>0.84830000000000005</v>
      </c>
      <c r="D384">
        <v>0.7218</v>
      </c>
      <c r="E384">
        <v>0.82130000000000003</v>
      </c>
      <c r="F384">
        <v>10642760.25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0.57312252964426857</v>
      </c>
      <c r="Q384">
        <f t="shared" si="970"/>
        <v>6099605.6768774679</v>
      </c>
      <c r="R384">
        <f t="shared" si="971"/>
        <v>-11590200.66017013</v>
      </c>
      <c r="S384">
        <f t="shared" si="972"/>
        <v>-115.9020066017013</v>
      </c>
      <c r="T384">
        <f t="shared" si="973"/>
        <v>-0.1159020066017013</v>
      </c>
    </row>
    <row r="385" spans="1:20" x14ac:dyDescent="0.25">
      <c r="A385" s="5">
        <v>44208</v>
      </c>
      <c r="B385">
        <v>0.73740000000000006</v>
      </c>
      <c r="C385">
        <v>0.83930000000000005</v>
      </c>
      <c r="D385">
        <v>0.71230000000000004</v>
      </c>
      <c r="E385">
        <v>0.74809999999999999</v>
      </c>
      <c r="F385">
        <v>12796741.25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-0.43622047244094581</v>
      </c>
      <c r="Q385">
        <f t="shared" si="970"/>
        <v>-5582200.5137795396</v>
      </c>
      <c r="R385">
        <f t="shared" si="971"/>
        <v>-17689806.337047599</v>
      </c>
      <c r="S385">
        <f t="shared" si="972"/>
        <v>-176.898063370476</v>
      </c>
      <c r="T385">
        <f t="shared" si="973"/>
        <v>-0.17689806337047601</v>
      </c>
    </row>
    <row r="386" spans="1:20" x14ac:dyDescent="0.25">
      <c r="A386" s="5">
        <v>44207</v>
      </c>
      <c r="B386">
        <v>0.84360000000000002</v>
      </c>
      <c r="C386">
        <v>0.84460000000000002</v>
      </c>
      <c r="D386">
        <v>0.69740000000000002</v>
      </c>
      <c r="E386">
        <v>0.73709999999999998</v>
      </c>
      <c r="F386">
        <v>16830825.059999999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-0.4605978260869571</v>
      </c>
      <c r="Q386">
        <f t="shared" si="970"/>
        <v>-7752241.4338858789</v>
      </c>
      <c r="R386">
        <f t="shared" si="971"/>
        <v>-12107605.82326806</v>
      </c>
      <c r="S386">
        <f t="shared" si="972"/>
        <v>-121.07605823268059</v>
      </c>
      <c r="T386">
        <f t="shared" si="973"/>
        <v>-0.1210760582326806</v>
      </c>
    </row>
    <row r="387" spans="1:20" x14ac:dyDescent="0.25">
      <c r="A387" s="5">
        <v>44206</v>
      </c>
      <c r="B387">
        <v>0.81359999999999999</v>
      </c>
      <c r="C387">
        <v>0.8871</v>
      </c>
      <c r="D387">
        <v>0.81079999999999997</v>
      </c>
      <c r="E387">
        <v>0.84350000000000003</v>
      </c>
      <c r="F387">
        <v>11112482.9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-0.1428571428571416</v>
      </c>
      <c r="Q387">
        <f t="shared" si="970"/>
        <v>-1587497.5571428433</v>
      </c>
      <c r="R387">
        <f t="shared" si="971"/>
        <v>-4355364.3893821808</v>
      </c>
      <c r="S387">
        <f t="shared" si="972"/>
        <v>-43.553643893821807</v>
      </c>
      <c r="T387">
        <f t="shared" si="973"/>
        <v>-4.3553643893821804E-2</v>
      </c>
    </row>
    <row r="388" spans="1:20" x14ac:dyDescent="0.25">
      <c r="A388" s="5">
        <v>44205</v>
      </c>
      <c r="B388">
        <v>0.84840000000000004</v>
      </c>
      <c r="C388">
        <v>0.85</v>
      </c>
      <c r="D388">
        <v>0.79800000000000004</v>
      </c>
      <c r="E388">
        <v>0.81369999999999998</v>
      </c>
      <c r="F388">
        <v>5982533.5599999996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-0.39615384615384786</v>
      </c>
      <c r="Q388">
        <f t="shared" si="970"/>
        <v>-2370003.6795384716</v>
      </c>
      <c r="R388">
        <f t="shared" si="971"/>
        <v>-2767866.8322393373</v>
      </c>
      <c r="S388">
        <f t="shared" si="972"/>
        <v>-27.678668322393374</v>
      </c>
      <c r="T388">
        <f t="shared" si="973"/>
        <v>-2.7678668322393376E-2</v>
      </c>
    </row>
    <row r="389" spans="1:20" x14ac:dyDescent="0.25">
      <c r="A389" s="5">
        <v>44204</v>
      </c>
      <c r="B389">
        <v>0.85719999999999996</v>
      </c>
      <c r="C389">
        <v>0.89700000000000002</v>
      </c>
      <c r="D389">
        <v>0.82499999999999996</v>
      </c>
      <c r="E389">
        <v>0.84789999999999999</v>
      </c>
      <c r="F389">
        <v>11787310.07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-0.3638888888888886</v>
      </c>
      <c r="Q389">
        <f t="shared" si="970"/>
        <v>-4289271.1643611081</v>
      </c>
      <c r="R389">
        <f t="shared" si="971"/>
        <v>-397863.15270086564</v>
      </c>
      <c r="S389">
        <f t="shared" si="972"/>
        <v>-3.9786315270086563</v>
      </c>
      <c r="T389">
        <f t="shared" si="973"/>
        <v>-3.9786315270086562E-3</v>
      </c>
    </row>
    <row r="390" spans="1:20" x14ac:dyDescent="0.25">
      <c r="A390" s="5">
        <v>44203</v>
      </c>
      <c r="B390">
        <v>0.71350000000000002</v>
      </c>
      <c r="C390">
        <v>0.95650000000000002</v>
      </c>
      <c r="D390">
        <v>0.70750000000000002</v>
      </c>
      <c r="E390">
        <v>0.85719999999999996</v>
      </c>
      <c r="F390">
        <v>25856425.52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0.20240963855421643</v>
      </c>
      <c r="Q390">
        <f t="shared" ref="Q390:Q453" si="975">F390*P390</f>
        <v>5233589.7438072171</v>
      </c>
      <c r="R390">
        <f t="shared" ref="R390:R453" si="976">R391+Q390</f>
        <v>3891408.0116602425</v>
      </c>
      <c r="S390">
        <f t="shared" ref="S390:S453" si="977">R390/100000</f>
        <v>38.914080116602427</v>
      </c>
      <c r="T390">
        <f t="shared" ref="T390:T453" si="978">S390/1000</f>
        <v>3.8914080116602426E-2</v>
      </c>
    </row>
    <row r="391" spans="1:20" x14ac:dyDescent="0.25">
      <c r="A391" s="5">
        <v>44202</v>
      </c>
      <c r="B391">
        <v>0.71440000000000003</v>
      </c>
      <c r="C391">
        <v>0.72160000000000002</v>
      </c>
      <c r="D391">
        <v>0.6986</v>
      </c>
      <c r="E391">
        <v>0.71350000000000002</v>
      </c>
      <c r="F391">
        <v>5367868.4000000004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0.29565217391304444</v>
      </c>
      <c r="Q391">
        <f t="shared" si="975"/>
        <v>1587021.9617391357</v>
      </c>
      <c r="R391">
        <f t="shared" si="976"/>
        <v>-1342181.7321469749</v>
      </c>
      <c r="S391">
        <f t="shared" si="977"/>
        <v>-13.421817321469749</v>
      </c>
      <c r="T391">
        <f t="shared" si="978"/>
        <v>-1.3421817321469749E-2</v>
      </c>
    </row>
    <row r="392" spans="1:20" x14ac:dyDescent="0.25">
      <c r="A392" s="5">
        <v>44201</v>
      </c>
      <c r="B392">
        <v>0.66820000000000002</v>
      </c>
      <c r="C392">
        <v>0.71850000000000003</v>
      </c>
      <c r="D392">
        <v>0.64539999999999997</v>
      </c>
      <c r="E392">
        <v>0.71430000000000005</v>
      </c>
      <c r="F392">
        <v>12962229.050000001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0.8850889192886463</v>
      </c>
      <c r="Q392">
        <f t="shared" si="975"/>
        <v>11472725.301436396</v>
      </c>
      <c r="R392">
        <f t="shared" si="976"/>
        <v>-2929203.6938861106</v>
      </c>
      <c r="S392">
        <f t="shared" si="977"/>
        <v>-29.292036938861106</v>
      </c>
      <c r="T392">
        <f t="shared" si="978"/>
        <v>-2.9292036938861107E-2</v>
      </c>
    </row>
    <row r="393" spans="1:20" x14ac:dyDescent="0.25">
      <c r="A393" s="5">
        <v>44200</v>
      </c>
      <c r="B393">
        <v>0.65859999999999996</v>
      </c>
      <c r="C393">
        <v>0.72209999999999996</v>
      </c>
      <c r="D393">
        <v>0.62939999999999996</v>
      </c>
      <c r="E393">
        <v>0.66720000000000002</v>
      </c>
      <c r="F393">
        <v>16107163.9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-0.18446601941747456</v>
      </c>
      <c r="Q393">
        <f t="shared" si="975"/>
        <v>-2971224.4087378453</v>
      </c>
      <c r="R393">
        <f t="shared" si="976"/>
        <v>-14401928.995322507</v>
      </c>
      <c r="S393">
        <f t="shared" si="977"/>
        <v>-144.01928995322507</v>
      </c>
      <c r="T393">
        <f t="shared" si="978"/>
        <v>-0.14401928995322508</v>
      </c>
    </row>
    <row r="394" spans="1:20" x14ac:dyDescent="0.25">
      <c r="A394" s="5">
        <v>44199</v>
      </c>
      <c r="B394">
        <v>0.63019999999999998</v>
      </c>
      <c r="C394">
        <v>0.6784</v>
      </c>
      <c r="D394">
        <v>0.62450000000000006</v>
      </c>
      <c r="E394">
        <v>0.6583</v>
      </c>
      <c r="F394">
        <v>10490641.109999999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0.25417439703153893</v>
      </c>
      <c r="Q394">
        <f t="shared" si="975"/>
        <v>2666452.3786085243</v>
      </c>
      <c r="R394">
        <f t="shared" si="976"/>
        <v>-11430704.586584661</v>
      </c>
      <c r="S394">
        <f t="shared" si="977"/>
        <v>-114.30704586584662</v>
      </c>
      <c r="T394">
        <f t="shared" si="978"/>
        <v>-0.11430704586584661</v>
      </c>
    </row>
    <row r="395" spans="1:20" x14ac:dyDescent="0.25">
      <c r="A395" s="5">
        <v>44198</v>
      </c>
      <c r="B395">
        <v>0.64770000000000005</v>
      </c>
      <c r="C395">
        <v>0.64780000000000004</v>
      </c>
      <c r="D395">
        <v>0.61499999999999999</v>
      </c>
      <c r="E395">
        <v>0.62990000000000002</v>
      </c>
      <c r="F395">
        <v>4138788.46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-9.1463414634146284E-2</v>
      </c>
      <c r="Q395">
        <f t="shared" si="975"/>
        <v>-378547.72499999974</v>
      </c>
      <c r="R395">
        <f t="shared" si="976"/>
        <v>-14097156.965193186</v>
      </c>
      <c r="S395">
        <f t="shared" si="977"/>
        <v>-140.97156965193187</v>
      </c>
      <c r="T395">
        <f t="shared" si="978"/>
        <v>-0.14097156965193186</v>
      </c>
    </row>
    <row r="396" spans="1:20" x14ac:dyDescent="0.25">
      <c r="A396" s="5">
        <v>44197</v>
      </c>
      <c r="B396">
        <v>0.65390000000000004</v>
      </c>
      <c r="C396">
        <v>0.67369999999999997</v>
      </c>
      <c r="D396">
        <v>0.62980000000000003</v>
      </c>
      <c r="E396">
        <v>0.64800000000000002</v>
      </c>
      <c r="F396">
        <v>4478724.25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-0.17084282460136588</v>
      </c>
      <c r="Q396">
        <f t="shared" si="975"/>
        <v>-765157.901480634</v>
      </c>
      <c r="R396">
        <f t="shared" si="976"/>
        <v>-13718609.240193186</v>
      </c>
      <c r="S396">
        <f t="shared" si="977"/>
        <v>-137.18609240193186</v>
      </c>
      <c r="T396">
        <f t="shared" si="978"/>
        <v>-0.13718609240193186</v>
      </c>
    </row>
    <row r="397" spans="1:20" x14ac:dyDescent="0.25">
      <c r="A397" s="5">
        <v>44196</v>
      </c>
      <c r="B397">
        <v>0.66749999999999998</v>
      </c>
      <c r="C397">
        <v>0.68979999999999997</v>
      </c>
      <c r="D397">
        <v>0.62680000000000002</v>
      </c>
      <c r="E397">
        <v>0.65400000000000003</v>
      </c>
      <c r="F397">
        <v>5728195.9900000002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-0.13650793650793569</v>
      </c>
      <c r="Q397">
        <f t="shared" si="975"/>
        <v>-781944.21450793184</v>
      </c>
      <c r="R397">
        <f t="shared" si="976"/>
        <v>-12953451.338712553</v>
      </c>
      <c r="S397">
        <f t="shared" si="977"/>
        <v>-129.53451338712551</v>
      </c>
      <c r="T397">
        <f t="shared" si="978"/>
        <v>-0.12953451338712552</v>
      </c>
    </row>
    <row r="398" spans="1:20" x14ac:dyDescent="0.25">
      <c r="A398" s="5">
        <v>44195</v>
      </c>
      <c r="B398">
        <v>0.64810000000000001</v>
      </c>
      <c r="C398">
        <v>0.70899999999999996</v>
      </c>
      <c r="D398">
        <v>0.64190000000000003</v>
      </c>
      <c r="E398">
        <v>0.66749999999999998</v>
      </c>
      <c r="F398">
        <v>10848092.77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-0.23695976154992607</v>
      </c>
      <c r="Q398">
        <f t="shared" si="975"/>
        <v>-2570561.4760506768</v>
      </c>
      <c r="R398">
        <f t="shared" si="976"/>
        <v>-12171507.124204621</v>
      </c>
      <c r="S398">
        <f t="shared" si="977"/>
        <v>-121.71507124204621</v>
      </c>
      <c r="T398">
        <f t="shared" si="978"/>
        <v>-0.12171507124204621</v>
      </c>
    </row>
    <row r="399" spans="1:20" x14ac:dyDescent="0.25">
      <c r="A399" s="5">
        <v>44194</v>
      </c>
      <c r="B399">
        <v>0.61970000000000003</v>
      </c>
      <c r="C399">
        <v>0.7</v>
      </c>
      <c r="D399">
        <v>0.60540000000000005</v>
      </c>
      <c r="E399">
        <v>0.64800000000000002</v>
      </c>
      <c r="F399">
        <v>14580067.93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-9.936575052854095E-2</v>
      </c>
      <c r="Q399">
        <f t="shared" si="975"/>
        <v>-1448759.3926215605</v>
      </c>
      <c r="R399">
        <f t="shared" si="976"/>
        <v>-9600945.6481539439</v>
      </c>
      <c r="S399">
        <f t="shared" si="977"/>
        <v>-96.009456481539445</v>
      </c>
      <c r="T399">
        <f t="shared" si="978"/>
        <v>-9.600945648153944E-2</v>
      </c>
    </row>
    <row r="400" spans="1:20" x14ac:dyDescent="0.25">
      <c r="A400" s="5">
        <v>44193</v>
      </c>
      <c r="B400">
        <v>0.55179999999999996</v>
      </c>
      <c r="C400">
        <v>0.65449999999999997</v>
      </c>
      <c r="D400">
        <v>0.54700000000000004</v>
      </c>
      <c r="E400">
        <v>0.61950000000000005</v>
      </c>
      <c r="F400">
        <v>15349877.800000001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0.34883720930232665</v>
      </c>
      <c r="Q400">
        <f t="shared" si="975"/>
        <v>5354608.5348837376</v>
      </c>
      <c r="R400">
        <f t="shared" si="976"/>
        <v>-8152186.2555323839</v>
      </c>
      <c r="S400">
        <f t="shared" si="977"/>
        <v>-81.521862555323835</v>
      </c>
      <c r="T400">
        <f t="shared" si="978"/>
        <v>-8.1521862555323829E-2</v>
      </c>
    </row>
    <row r="401" spans="1:20" x14ac:dyDescent="0.25">
      <c r="A401" s="5">
        <v>44192</v>
      </c>
      <c r="B401">
        <v>0.54139999999999999</v>
      </c>
      <c r="C401">
        <v>0.57050000000000001</v>
      </c>
      <c r="D401">
        <v>0.52439999999999998</v>
      </c>
      <c r="E401">
        <v>0.55179999999999996</v>
      </c>
      <c r="F401">
        <v>9430101.2300000004</v>
      </c>
      <c r="G401">
        <v>0</v>
      </c>
      <c r="L401" t="s">
        <v>7</v>
      </c>
      <c r="M401" t="s">
        <v>8</v>
      </c>
      <c r="N401" t="s">
        <v>8</v>
      </c>
      <c r="P401">
        <f t="shared" si="974"/>
        <v>0.18872017353579013</v>
      </c>
      <c r="Q401">
        <f t="shared" si="975"/>
        <v>1779650.3405856681</v>
      </c>
      <c r="R401">
        <f t="shared" si="976"/>
        <v>-13506794.790416121</v>
      </c>
      <c r="S401">
        <f t="shared" si="977"/>
        <v>-135.0679479041612</v>
      </c>
      <c r="T401">
        <f t="shared" si="978"/>
        <v>-0.13506794790416121</v>
      </c>
    </row>
    <row r="402" spans="1:20" x14ac:dyDescent="0.25">
      <c r="A402" s="5">
        <v>44191</v>
      </c>
      <c r="B402">
        <v>0.53849999999999998</v>
      </c>
      <c r="C402">
        <v>0.57389999999999997</v>
      </c>
      <c r="D402">
        <v>0.53779999999999994</v>
      </c>
      <c r="E402">
        <v>0.5413</v>
      </c>
      <c r="F402">
        <v>5939375.8499999996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-0.80609418282548162</v>
      </c>
      <c r="Q402">
        <f t="shared" si="975"/>
        <v>-4787696.3222991498</v>
      </c>
      <c r="R402">
        <f t="shared" si="976"/>
        <v>-15286445.131001789</v>
      </c>
      <c r="S402">
        <f t="shared" si="977"/>
        <v>-152.8644513100179</v>
      </c>
      <c r="T402">
        <f t="shared" si="978"/>
        <v>-0.15286445131001788</v>
      </c>
    </row>
    <row r="403" spans="1:20" x14ac:dyDescent="0.25">
      <c r="A403" s="5">
        <v>44190</v>
      </c>
      <c r="B403">
        <v>0.51859999999999995</v>
      </c>
      <c r="C403">
        <v>0.56399999999999995</v>
      </c>
      <c r="D403">
        <v>0.51339999999999997</v>
      </c>
      <c r="E403">
        <v>0.53869999999999996</v>
      </c>
      <c r="F403">
        <v>5323966.38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</v>
      </c>
      <c r="Q403">
        <f t="shared" si="975"/>
        <v>0</v>
      </c>
      <c r="R403">
        <f t="shared" si="976"/>
        <v>-10498748.808702638</v>
      </c>
      <c r="S403">
        <f t="shared" si="977"/>
        <v>-104.98748808702638</v>
      </c>
      <c r="T403">
        <f t="shared" si="978"/>
        <v>-0.10498748808702638</v>
      </c>
    </row>
    <row r="404" spans="1:20" x14ac:dyDescent="0.25">
      <c r="A404" s="5">
        <v>44189</v>
      </c>
      <c r="B404">
        <v>0.45950000000000002</v>
      </c>
      <c r="C404">
        <v>0.53659999999999997</v>
      </c>
      <c r="D404">
        <v>0.45</v>
      </c>
      <c r="E404">
        <v>0.51859999999999995</v>
      </c>
      <c r="F404">
        <v>14694100.810000001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0.5842956120092373</v>
      </c>
      <c r="Q404">
        <f t="shared" si="975"/>
        <v>8585698.6257043798</v>
      </c>
      <c r="R404">
        <f t="shared" si="976"/>
        <v>-10498748.808702638</v>
      </c>
      <c r="S404">
        <f t="shared" si="977"/>
        <v>-104.98748808702638</v>
      </c>
      <c r="T404">
        <f t="shared" si="978"/>
        <v>-0.10498748808702638</v>
      </c>
    </row>
    <row r="405" spans="1:20" x14ac:dyDescent="0.25">
      <c r="A405" s="5">
        <v>44188</v>
      </c>
      <c r="B405">
        <v>0.50870000000000004</v>
      </c>
      <c r="C405">
        <v>0.51359999999999995</v>
      </c>
      <c r="D405">
        <v>0.4516</v>
      </c>
      <c r="E405">
        <v>0.45950000000000002</v>
      </c>
      <c r="F405">
        <v>5011117.8600000003</v>
      </c>
      <c r="G405">
        <v>0</v>
      </c>
      <c r="L405" t="s">
        <v>8</v>
      </c>
      <c r="M405" t="s">
        <v>7</v>
      </c>
      <c r="N405" t="s">
        <v>8</v>
      </c>
      <c r="P405">
        <f t="shared" si="974"/>
        <v>-0.74516129032257983</v>
      </c>
      <c r="Q405">
        <f t="shared" si="975"/>
        <v>-3734091.0505161253</v>
      </c>
      <c r="R405">
        <f t="shared" si="976"/>
        <v>-19084447.434407018</v>
      </c>
      <c r="S405">
        <f t="shared" si="977"/>
        <v>-190.84447434407019</v>
      </c>
      <c r="T405">
        <f t="shared" si="978"/>
        <v>-0.1908444743440702</v>
      </c>
    </row>
    <row r="406" spans="1:20" x14ac:dyDescent="0.25">
      <c r="A406" s="5">
        <v>44187</v>
      </c>
      <c r="B406">
        <v>0.46750000000000003</v>
      </c>
      <c r="C406">
        <v>0.50919999999999999</v>
      </c>
      <c r="D406">
        <v>0.46110000000000001</v>
      </c>
      <c r="E406">
        <v>0.50870000000000004</v>
      </c>
      <c r="F406">
        <v>6444602.4400000004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0.97920997920998154</v>
      </c>
      <c r="Q406">
        <f t="shared" si="975"/>
        <v>6310619.0212889966</v>
      </c>
      <c r="R406">
        <f t="shared" si="976"/>
        <v>-15350356.383890891</v>
      </c>
      <c r="S406">
        <f t="shared" si="977"/>
        <v>-153.50356383890892</v>
      </c>
      <c r="T406">
        <f t="shared" si="978"/>
        <v>-0.15350356383890892</v>
      </c>
    </row>
    <row r="407" spans="1:20" x14ac:dyDescent="0.25">
      <c r="A407" s="5">
        <v>44186</v>
      </c>
      <c r="B407">
        <v>0.4889</v>
      </c>
      <c r="C407">
        <v>0.5202</v>
      </c>
      <c r="D407">
        <v>0.44669999999999999</v>
      </c>
      <c r="E407">
        <v>0.46789999999999998</v>
      </c>
      <c r="F407">
        <v>9520434.75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-0.42312925170068044</v>
      </c>
      <c r="Q407">
        <f t="shared" si="975"/>
        <v>-4028374.4316326547</v>
      </c>
      <c r="R407">
        <f t="shared" si="976"/>
        <v>-21660975.405179888</v>
      </c>
      <c r="S407">
        <f t="shared" si="977"/>
        <v>-216.60975405179889</v>
      </c>
      <c r="T407">
        <f t="shared" si="978"/>
        <v>-0.21660975405179889</v>
      </c>
    </row>
    <row r="408" spans="1:20" x14ac:dyDescent="0.25">
      <c r="A408" s="5">
        <v>44185</v>
      </c>
      <c r="B408">
        <v>0.53779999999999994</v>
      </c>
      <c r="C408">
        <v>0.53779999999999994</v>
      </c>
      <c r="D408">
        <v>0.47849999999999998</v>
      </c>
      <c r="E408">
        <v>0.48880000000000001</v>
      </c>
      <c r="F408">
        <v>6517073.4500000002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-0.6526138279932534</v>
      </c>
      <c r="Q408">
        <f t="shared" si="975"/>
        <v>-4253132.2515176991</v>
      </c>
      <c r="R408">
        <f t="shared" si="976"/>
        <v>-17632600.973547235</v>
      </c>
      <c r="S408">
        <f t="shared" si="977"/>
        <v>-176.32600973547235</v>
      </c>
      <c r="T408">
        <f t="shared" si="978"/>
        <v>-0.17632600973547236</v>
      </c>
    </row>
    <row r="409" spans="1:20" x14ac:dyDescent="0.25">
      <c r="A409" s="5">
        <v>44184</v>
      </c>
      <c r="B409">
        <v>0.53220000000000001</v>
      </c>
      <c r="C409">
        <v>0.54459999999999997</v>
      </c>
      <c r="D409">
        <v>0.52439999999999998</v>
      </c>
      <c r="E409">
        <v>0.53779999999999994</v>
      </c>
      <c r="F409">
        <v>2951208.22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0.3267326732673238</v>
      </c>
      <c r="Q409">
        <f t="shared" si="975"/>
        <v>964256.15108910028</v>
      </c>
      <c r="R409">
        <f t="shared" si="976"/>
        <v>-13379468.722029537</v>
      </c>
      <c r="S409">
        <f t="shared" si="977"/>
        <v>-133.79468722029537</v>
      </c>
      <c r="T409">
        <f t="shared" si="978"/>
        <v>-0.13379468722029536</v>
      </c>
    </row>
    <row r="410" spans="1:20" x14ac:dyDescent="0.25">
      <c r="A410" s="5">
        <v>44183</v>
      </c>
      <c r="B410">
        <v>0.48409999999999997</v>
      </c>
      <c r="C410">
        <v>0.53680000000000005</v>
      </c>
      <c r="D410">
        <v>0.47889999999999999</v>
      </c>
      <c r="E410">
        <v>0.53259999999999996</v>
      </c>
      <c r="F410">
        <v>7392548.6399999997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0.85492227979274305</v>
      </c>
      <c r="Q410">
        <f t="shared" si="975"/>
        <v>6320054.5367875416</v>
      </c>
      <c r="R410">
        <f t="shared" si="976"/>
        <v>-14343724.873118637</v>
      </c>
      <c r="S410">
        <f t="shared" si="977"/>
        <v>-143.43724873118637</v>
      </c>
      <c r="T410">
        <f t="shared" si="978"/>
        <v>-0.14343724873118638</v>
      </c>
    </row>
    <row r="411" spans="1:20" x14ac:dyDescent="0.25">
      <c r="A411" s="5">
        <v>44182</v>
      </c>
      <c r="B411">
        <v>0.505</v>
      </c>
      <c r="C411">
        <v>0.53549999999999998</v>
      </c>
      <c r="D411">
        <v>0.4713</v>
      </c>
      <c r="E411">
        <v>0.48399999999999999</v>
      </c>
      <c r="F411">
        <v>9729016.7699999996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-0.60436137071651108</v>
      </c>
      <c r="Q411">
        <f t="shared" si="975"/>
        <v>-5879841.9108411232</v>
      </c>
      <c r="R411">
        <f t="shared" si="976"/>
        <v>-20663779.409906179</v>
      </c>
      <c r="S411">
        <f t="shared" si="977"/>
        <v>-206.63779409906178</v>
      </c>
      <c r="T411">
        <f t="shared" si="978"/>
        <v>-0.20663779409906177</v>
      </c>
    </row>
    <row r="412" spans="1:20" x14ac:dyDescent="0.25">
      <c r="A412" s="5">
        <v>44181</v>
      </c>
      <c r="B412">
        <v>0.47960000000000003</v>
      </c>
      <c r="C412">
        <v>0.53420000000000001</v>
      </c>
      <c r="D412">
        <v>0.47870000000000001</v>
      </c>
      <c r="E412">
        <v>0.50539999999999996</v>
      </c>
      <c r="F412">
        <v>9022569.1799999997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-3.7837837837839679E-2</v>
      </c>
      <c r="Q412">
        <f t="shared" si="975"/>
        <v>-341394.50951353012</v>
      </c>
      <c r="R412">
        <f t="shared" si="976"/>
        <v>-14783937.499065055</v>
      </c>
      <c r="S412">
        <f t="shared" si="977"/>
        <v>-147.83937499065055</v>
      </c>
      <c r="T412">
        <f t="shared" si="978"/>
        <v>-0.14783937499065056</v>
      </c>
    </row>
    <row r="413" spans="1:20" x14ac:dyDescent="0.25">
      <c r="A413" s="5">
        <v>44180</v>
      </c>
      <c r="B413">
        <v>0.47260000000000002</v>
      </c>
      <c r="C413">
        <v>0.47960000000000003</v>
      </c>
      <c r="D413">
        <v>0.46660000000000001</v>
      </c>
      <c r="E413">
        <v>0.47960000000000003</v>
      </c>
      <c r="F413">
        <v>1253793.53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1</v>
      </c>
      <c r="Q413">
        <f t="shared" si="975"/>
        <v>1253793.53</v>
      </c>
      <c r="R413">
        <f t="shared" si="976"/>
        <v>-14442542.989551524</v>
      </c>
      <c r="S413">
        <f t="shared" si="977"/>
        <v>-144.42542989551524</v>
      </c>
      <c r="T413">
        <f t="shared" si="978"/>
        <v>-0.14442542989551524</v>
      </c>
    </row>
    <row r="414" spans="1:20" x14ac:dyDescent="0.25">
      <c r="A414" s="5">
        <v>44179</v>
      </c>
      <c r="B414">
        <v>0.48070000000000002</v>
      </c>
      <c r="C414">
        <v>0.48170000000000002</v>
      </c>
      <c r="D414">
        <v>0.46910000000000002</v>
      </c>
      <c r="E414">
        <v>0.4728</v>
      </c>
      <c r="F414">
        <v>2099309.1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-0.41269841269841573</v>
      </c>
      <c r="Q414">
        <f t="shared" si="975"/>
        <v>-866381.53333333973</v>
      </c>
      <c r="R414">
        <f t="shared" si="976"/>
        <v>-15696336.519551523</v>
      </c>
      <c r="S414">
        <f t="shared" si="977"/>
        <v>-156.96336519551522</v>
      </c>
      <c r="T414">
        <f t="shared" si="978"/>
        <v>-0.15696336519551524</v>
      </c>
    </row>
    <row r="415" spans="1:20" x14ac:dyDescent="0.25">
      <c r="A415" s="5">
        <v>44178</v>
      </c>
      <c r="B415">
        <v>0.48259999999999997</v>
      </c>
      <c r="C415">
        <v>0.495</v>
      </c>
      <c r="D415">
        <v>0.47460000000000002</v>
      </c>
      <c r="E415">
        <v>0.4803</v>
      </c>
      <c r="F415">
        <v>2241273.48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-0.44117647058823628</v>
      </c>
      <c r="Q415">
        <f t="shared" si="975"/>
        <v>-988797.12352941395</v>
      </c>
      <c r="R415">
        <f t="shared" si="976"/>
        <v>-14829954.986218184</v>
      </c>
      <c r="S415">
        <f t="shared" si="977"/>
        <v>-148.29954986218183</v>
      </c>
      <c r="T415">
        <f t="shared" si="978"/>
        <v>-0.14829954986218183</v>
      </c>
    </row>
    <row r="416" spans="1:20" x14ac:dyDescent="0.25">
      <c r="A416" s="5">
        <v>44177</v>
      </c>
      <c r="B416">
        <v>0.46379999999999999</v>
      </c>
      <c r="C416">
        <v>0.48899999999999999</v>
      </c>
      <c r="D416">
        <v>0.46150000000000002</v>
      </c>
      <c r="E416">
        <v>0.4824</v>
      </c>
      <c r="F416">
        <v>2323522.9900000002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0.5199999999999998</v>
      </c>
      <c r="Q416">
        <f t="shared" si="975"/>
        <v>1208231.9547999997</v>
      </c>
      <c r="R416">
        <f t="shared" si="976"/>
        <v>-13841157.862688771</v>
      </c>
      <c r="S416">
        <f t="shared" si="977"/>
        <v>-138.41157862688772</v>
      </c>
      <c r="T416">
        <f t="shared" si="978"/>
        <v>-0.13841157862688772</v>
      </c>
    </row>
    <row r="417" spans="1:20" x14ac:dyDescent="0.25">
      <c r="A417" s="5">
        <v>44176</v>
      </c>
      <c r="B417">
        <v>0.4753</v>
      </c>
      <c r="C417">
        <v>0.48870000000000002</v>
      </c>
      <c r="D417">
        <v>0.45529999999999998</v>
      </c>
      <c r="E417">
        <v>0.46400000000000002</v>
      </c>
      <c r="F417">
        <v>4646634.8899999997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-0.47904191616766284</v>
      </c>
      <c r="Q417">
        <f t="shared" si="975"/>
        <v>-2225932.8814371172</v>
      </c>
      <c r="R417">
        <f t="shared" si="976"/>
        <v>-15049389.817488771</v>
      </c>
      <c r="S417">
        <f t="shared" si="977"/>
        <v>-150.4938981748877</v>
      </c>
      <c r="T417">
        <f t="shared" si="978"/>
        <v>-0.1504938981748877</v>
      </c>
    </row>
    <row r="418" spans="1:20" x14ac:dyDescent="0.25">
      <c r="A418" s="5">
        <v>44175</v>
      </c>
      <c r="B418">
        <v>0.49199999999999999</v>
      </c>
      <c r="C418">
        <v>0.50129999999999997</v>
      </c>
      <c r="D418">
        <v>0.47</v>
      </c>
      <c r="E418">
        <v>0.47510000000000002</v>
      </c>
      <c r="F418">
        <v>3995254.52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-0.67412140575079549</v>
      </c>
      <c r="Q418">
        <f t="shared" si="975"/>
        <v>-2693286.5933546196</v>
      </c>
      <c r="R418">
        <f t="shared" si="976"/>
        <v>-12823456.936051654</v>
      </c>
      <c r="S418">
        <f t="shared" si="977"/>
        <v>-128.23456936051653</v>
      </c>
      <c r="T418">
        <f t="shared" si="978"/>
        <v>-0.12823456936051653</v>
      </c>
    </row>
    <row r="419" spans="1:20" x14ac:dyDescent="0.25">
      <c r="A419" s="5">
        <v>44174</v>
      </c>
      <c r="B419">
        <v>0.47239999999999999</v>
      </c>
      <c r="C419">
        <v>0.52229999999999999</v>
      </c>
      <c r="D419">
        <v>0.46460000000000001</v>
      </c>
      <c r="E419">
        <v>0.4914</v>
      </c>
      <c r="F419">
        <v>7825525.5099999998</v>
      </c>
      <c r="G419">
        <v>0</v>
      </c>
      <c r="L419" t="s">
        <v>7</v>
      </c>
      <c r="M419" t="s">
        <v>8</v>
      </c>
      <c r="N419" t="s">
        <v>8</v>
      </c>
      <c r="P419">
        <f t="shared" si="974"/>
        <v>-7.1057192374349987E-2</v>
      </c>
      <c r="Q419">
        <f t="shared" si="975"/>
        <v>-556059.87159445323</v>
      </c>
      <c r="R419">
        <f t="shared" si="976"/>
        <v>-10130170.342697034</v>
      </c>
      <c r="S419">
        <f t="shared" si="977"/>
        <v>-101.30170342697033</v>
      </c>
      <c r="T419">
        <f t="shared" si="978"/>
        <v>-0.10130170342697034</v>
      </c>
    </row>
    <row r="420" spans="1:20" x14ac:dyDescent="0.25">
      <c r="A420" s="5">
        <v>44173</v>
      </c>
      <c r="B420">
        <v>0.50780000000000003</v>
      </c>
      <c r="C420">
        <v>0.53129999999999999</v>
      </c>
      <c r="D420">
        <v>0.4662</v>
      </c>
      <c r="E420">
        <v>0.47260000000000002</v>
      </c>
      <c r="F420">
        <v>8031214.0700000003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-0.80337941628264153</v>
      </c>
      <c r="Q420">
        <f t="shared" si="975"/>
        <v>-6452112.071597538</v>
      </c>
      <c r="R420">
        <f t="shared" si="976"/>
        <v>-9574110.4711025804</v>
      </c>
      <c r="S420">
        <f t="shared" si="977"/>
        <v>-95.741104711025798</v>
      </c>
      <c r="T420">
        <f t="shared" si="978"/>
        <v>-9.5741104711025801E-2</v>
      </c>
    </row>
    <row r="421" spans="1:20" x14ac:dyDescent="0.25">
      <c r="A421" s="5">
        <v>44172</v>
      </c>
      <c r="B421">
        <v>0.50190000000000001</v>
      </c>
      <c r="C421">
        <v>0.51659999999999995</v>
      </c>
      <c r="D421">
        <v>0.49009999999999998</v>
      </c>
      <c r="E421">
        <v>0.50780000000000003</v>
      </c>
      <c r="F421">
        <v>4618352.2699999996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0.33584905660377889</v>
      </c>
      <c r="Q421">
        <f t="shared" si="975"/>
        <v>1551069.2529434205</v>
      </c>
      <c r="R421">
        <f t="shared" si="976"/>
        <v>-3121998.3995050434</v>
      </c>
      <c r="S421">
        <f t="shared" si="977"/>
        <v>-31.219983995050434</v>
      </c>
      <c r="T421">
        <f t="shared" si="978"/>
        <v>-3.1219983995050434E-2</v>
      </c>
    </row>
    <row r="422" spans="1:20" x14ac:dyDescent="0.25">
      <c r="A422" s="5">
        <v>44171</v>
      </c>
      <c r="B422">
        <v>0.50939999999999996</v>
      </c>
      <c r="C422">
        <v>0.51049999999999995</v>
      </c>
      <c r="D422">
        <v>0.48370000000000002</v>
      </c>
      <c r="E422">
        <v>0.50180000000000002</v>
      </c>
      <c r="F422">
        <v>4381363.3899999997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0.35074626865672004</v>
      </c>
      <c r="Q422">
        <f t="shared" si="975"/>
        <v>1536746.8606716576</v>
      </c>
      <c r="R422">
        <f t="shared" si="976"/>
        <v>-4673067.6524484642</v>
      </c>
      <c r="S422">
        <f t="shared" si="977"/>
        <v>-46.730676524484643</v>
      </c>
      <c r="T422">
        <f t="shared" si="978"/>
        <v>-4.6730676524484642E-2</v>
      </c>
    </row>
    <row r="423" spans="1:20" x14ac:dyDescent="0.25">
      <c r="A423" s="5">
        <v>44170</v>
      </c>
      <c r="B423">
        <v>0.4501</v>
      </c>
      <c r="C423">
        <v>0.51300000000000001</v>
      </c>
      <c r="D423">
        <v>0.44600000000000001</v>
      </c>
      <c r="E423">
        <v>0.51029999999999998</v>
      </c>
      <c r="F423">
        <v>10326197.17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0.91940298507462581</v>
      </c>
      <c r="Q423">
        <f t="shared" si="975"/>
        <v>9493936.5025671534</v>
      </c>
      <c r="R423">
        <f t="shared" si="976"/>
        <v>-6209814.5131201223</v>
      </c>
      <c r="S423">
        <f t="shared" si="977"/>
        <v>-62.098145131201221</v>
      </c>
      <c r="T423">
        <f t="shared" si="978"/>
        <v>-6.2098145131201224E-2</v>
      </c>
    </row>
    <row r="424" spans="1:20" x14ac:dyDescent="0.25">
      <c r="A424" s="5">
        <v>44169</v>
      </c>
      <c r="B424">
        <v>0.50270000000000004</v>
      </c>
      <c r="C424">
        <v>0.51049999999999995</v>
      </c>
      <c r="D424">
        <v>0.44929999999999998</v>
      </c>
      <c r="E424">
        <v>0.45050000000000001</v>
      </c>
      <c r="F424">
        <v>15767219.08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-0.960784313725489</v>
      </c>
      <c r="Q424">
        <f t="shared" si="975"/>
        <v>-15148896.763137236</v>
      </c>
      <c r="R424">
        <f t="shared" si="976"/>
        <v>-15703751.015687276</v>
      </c>
      <c r="S424">
        <f t="shared" si="977"/>
        <v>-157.03751015687277</v>
      </c>
      <c r="T424">
        <f t="shared" si="978"/>
        <v>-0.15703751015687278</v>
      </c>
    </row>
    <row r="425" spans="1:20" x14ac:dyDescent="0.25">
      <c r="A425" s="5">
        <v>44168</v>
      </c>
      <c r="B425">
        <v>0.4088</v>
      </c>
      <c r="C425">
        <v>0.50309999999999999</v>
      </c>
      <c r="D425">
        <v>0.4088</v>
      </c>
      <c r="E425">
        <v>0.50270000000000004</v>
      </c>
      <c r="F425">
        <v>18222642.350000001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0.99151643690350044</v>
      </c>
      <c r="Q425">
        <f t="shared" si="975"/>
        <v>18068049.41383883</v>
      </c>
      <c r="R425">
        <f t="shared" si="976"/>
        <v>-554854.25255003944</v>
      </c>
      <c r="S425">
        <f t="shared" si="977"/>
        <v>-5.5485425255003946</v>
      </c>
      <c r="T425">
        <f t="shared" si="978"/>
        <v>-5.548542525500395E-3</v>
      </c>
    </row>
    <row r="426" spans="1:20" x14ac:dyDescent="0.25">
      <c r="A426" s="5">
        <v>44167</v>
      </c>
      <c r="B426">
        <v>0.38829999999999998</v>
      </c>
      <c r="C426">
        <v>0.41</v>
      </c>
      <c r="D426">
        <v>0.38109999999999999</v>
      </c>
      <c r="E426">
        <v>0.40899999999999997</v>
      </c>
      <c r="F426">
        <v>4298623.76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0.93079584775086499</v>
      </c>
      <c r="Q426">
        <f t="shared" si="975"/>
        <v>4001141.1468512104</v>
      </c>
      <c r="R426">
        <f t="shared" si="976"/>
        <v>-18622903.666388869</v>
      </c>
      <c r="S426">
        <f t="shared" si="977"/>
        <v>-186.22903666388871</v>
      </c>
      <c r="T426">
        <f t="shared" si="978"/>
        <v>-0.18622903666388871</v>
      </c>
    </row>
    <row r="427" spans="1:20" x14ac:dyDescent="0.25">
      <c r="A427" s="5">
        <v>44166</v>
      </c>
      <c r="B427">
        <v>0.39989999999999998</v>
      </c>
      <c r="C427">
        <v>0.42959999999999998</v>
      </c>
      <c r="D427">
        <v>0.38069999999999998</v>
      </c>
      <c r="E427">
        <v>0.38869999999999999</v>
      </c>
      <c r="F427">
        <v>7714730.0499999998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-0.67280163599181975</v>
      </c>
      <c r="Q427">
        <f t="shared" si="975"/>
        <v>-5190482.9988752529</v>
      </c>
      <c r="R427">
        <f t="shared" si="976"/>
        <v>-22624044.813240081</v>
      </c>
      <c r="S427">
        <f t="shared" si="977"/>
        <v>-226.24044813240081</v>
      </c>
      <c r="T427">
        <f t="shared" si="978"/>
        <v>-0.22624044813240082</v>
      </c>
    </row>
    <row r="428" spans="1:20" x14ac:dyDescent="0.25">
      <c r="A428" s="5">
        <v>44165</v>
      </c>
      <c r="B428">
        <v>0.38019999999999998</v>
      </c>
      <c r="C428">
        <v>0.42459999999999998</v>
      </c>
      <c r="D428">
        <v>0.38019999999999998</v>
      </c>
      <c r="E428">
        <v>0.39979999999999999</v>
      </c>
      <c r="F428">
        <v>8769699.5899999999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-0.11711711711711674</v>
      </c>
      <c r="Q428">
        <f t="shared" si="975"/>
        <v>-1027081.9339639606</v>
      </c>
      <c r="R428">
        <f t="shared" si="976"/>
        <v>-17433561.814364828</v>
      </c>
      <c r="S428">
        <f t="shared" si="977"/>
        <v>-174.33561814364828</v>
      </c>
      <c r="T428">
        <f t="shared" si="978"/>
        <v>-0.17433561814364829</v>
      </c>
    </row>
    <row r="429" spans="1:20" x14ac:dyDescent="0.25">
      <c r="A429" s="5">
        <v>44164</v>
      </c>
      <c r="B429">
        <v>0.38479999999999998</v>
      </c>
      <c r="C429">
        <v>0.38529999999999998</v>
      </c>
      <c r="D429">
        <v>0.37469999999999998</v>
      </c>
      <c r="E429">
        <v>0.38069999999999998</v>
      </c>
      <c r="F429">
        <v>1264232.72</v>
      </c>
      <c r="G429">
        <v>0</v>
      </c>
      <c r="L429" t="s">
        <v>7</v>
      </c>
      <c r="M429" t="s">
        <v>8</v>
      </c>
      <c r="N429" t="s">
        <v>8</v>
      </c>
      <c r="P429">
        <f t="shared" si="974"/>
        <v>0.1320754716981144</v>
      </c>
      <c r="Q429">
        <f t="shared" si="975"/>
        <v>166974.13283019018</v>
      </c>
      <c r="R429">
        <f t="shared" si="976"/>
        <v>-16406479.880400866</v>
      </c>
      <c r="S429">
        <f t="shared" si="977"/>
        <v>-164.06479880400866</v>
      </c>
      <c r="T429">
        <f t="shared" si="978"/>
        <v>-0.16406479880400865</v>
      </c>
    </row>
    <row r="430" spans="1:20" x14ac:dyDescent="0.25">
      <c r="A430" s="5">
        <v>44163</v>
      </c>
      <c r="B430">
        <v>0.38340000000000002</v>
      </c>
      <c r="C430">
        <v>0.39090000000000003</v>
      </c>
      <c r="D430">
        <v>0.37669999999999998</v>
      </c>
      <c r="E430">
        <v>0.3851</v>
      </c>
      <c r="F430">
        <v>1133937.25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0.18309859154929456</v>
      </c>
      <c r="Q430">
        <f t="shared" si="975"/>
        <v>207622.31338028031</v>
      </c>
      <c r="R430">
        <f t="shared" si="976"/>
        <v>-16573454.013231056</v>
      </c>
      <c r="S430">
        <f t="shared" si="977"/>
        <v>-165.73454013231057</v>
      </c>
      <c r="T430">
        <f t="shared" si="978"/>
        <v>-0.16573454013231056</v>
      </c>
    </row>
    <row r="431" spans="1:20" x14ac:dyDescent="0.25">
      <c r="A431" s="5">
        <v>44162</v>
      </c>
      <c r="B431">
        <v>0.34899999999999998</v>
      </c>
      <c r="C431">
        <v>0.40770000000000001</v>
      </c>
      <c r="D431">
        <v>0.34789999999999999</v>
      </c>
      <c r="E431">
        <v>0.38319999999999999</v>
      </c>
      <c r="F431">
        <v>5505333.9500000002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0.18060200668896276</v>
      </c>
      <c r="Q431">
        <f t="shared" si="975"/>
        <v>994274.35886287375</v>
      </c>
      <c r="R431">
        <f t="shared" si="976"/>
        <v>-16781076.326611336</v>
      </c>
      <c r="S431">
        <f t="shared" si="977"/>
        <v>-167.81076326611336</v>
      </c>
      <c r="T431">
        <f t="shared" si="978"/>
        <v>-0.16781076326611336</v>
      </c>
    </row>
    <row r="432" spans="1:20" x14ac:dyDescent="0.25">
      <c r="A432" s="5">
        <v>44161</v>
      </c>
      <c r="B432">
        <v>0.40629999999999999</v>
      </c>
      <c r="C432">
        <v>0.4073</v>
      </c>
      <c r="D432">
        <v>0.3382</v>
      </c>
      <c r="E432">
        <v>0.34889999999999999</v>
      </c>
      <c r="F432">
        <v>6832997.1600000001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-0.69030390738060821</v>
      </c>
      <c r="Q432">
        <f t="shared" si="975"/>
        <v>-4716844.6386685986</v>
      </c>
      <c r="R432">
        <f t="shared" si="976"/>
        <v>-17775350.685474209</v>
      </c>
      <c r="S432">
        <f t="shared" si="977"/>
        <v>-177.75350685474208</v>
      </c>
      <c r="T432">
        <f t="shared" si="978"/>
        <v>-0.17775350685474209</v>
      </c>
    </row>
    <row r="433" spans="1:20" x14ac:dyDescent="0.25">
      <c r="A433" s="5">
        <v>44160</v>
      </c>
      <c r="B433">
        <v>0.41310000000000002</v>
      </c>
      <c r="C433">
        <v>0.43290000000000001</v>
      </c>
      <c r="D433">
        <v>0.3911</v>
      </c>
      <c r="E433">
        <v>0.40629999999999999</v>
      </c>
      <c r="F433">
        <v>8117559.6200000001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-0.27272727272727321</v>
      </c>
      <c r="Q433">
        <f t="shared" si="975"/>
        <v>-2213879.8963636402</v>
      </c>
      <c r="R433">
        <f t="shared" si="976"/>
        <v>-13058506.046805611</v>
      </c>
      <c r="S433">
        <f t="shared" si="977"/>
        <v>-130.5850604680561</v>
      </c>
      <c r="T433">
        <f t="shared" si="978"/>
        <v>-0.1305850604680561</v>
      </c>
    </row>
    <row r="434" spans="1:20" x14ac:dyDescent="0.25">
      <c r="A434" s="5">
        <v>44159</v>
      </c>
      <c r="B434">
        <v>0.3795</v>
      </c>
      <c r="C434">
        <v>0.42609999999999998</v>
      </c>
      <c r="D434">
        <v>0.37059999999999998</v>
      </c>
      <c r="E434">
        <v>0.41310000000000002</v>
      </c>
      <c r="F434">
        <v>10134787.92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0.5315315315315331</v>
      </c>
      <c r="Q434">
        <f t="shared" si="975"/>
        <v>5386959.3448648807</v>
      </c>
      <c r="R434">
        <f t="shared" si="976"/>
        <v>-10844626.150441971</v>
      </c>
      <c r="S434">
        <f t="shared" si="977"/>
        <v>-108.44626150441971</v>
      </c>
      <c r="T434">
        <f t="shared" si="978"/>
        <v>-0.1084462615044197</v>
      </c>
    </row>
    <row r="435" spans="1:20" x14ac:dyDescent="0.25">
      <c r="A435" s="5">
        <v>44158</v>
      </c>
      <c r="B435">
        <v>0.34920000000000001</v>
      </c>
      <c r="C435">
        <v>0.40360000000000001</v>
      </c>
      <c r="D435">
        <v>0.34260000000000002</v>
      </c>
      <c r="E435">
        <v>0.3795</v>
      </c>
      <c r="F435">
        <v>10681925.800000001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0.20983606557377013</v>
      </c>
      <c r="Q435">
        <f t="shared" si="975"/>
        <v>2241453.2826229469</v>
      </c>
      <c r="R435">
        <f t="shared" si="976"/>
        <v>-16231585.495306851</v>
      </c>
      <c r="S435">
        <f t="shared" si="977"/>
        <v>-162.31585495306851</v>
      </c>
      <c r="T435">
        <f t="shared" si="978"/>
        <v>-0.16231585495306852</v>
      </c>
    </row>
    <row r="436" spans="1:20" x14ac:dyDescent="0.25">
      <c r="A436" s="5">
        <v>44157</v>
      </c>
      <c r="B436">
        <v>0.34770000000000001</v>
      </c>
      <c r="C436">
        <v>0.38</v>
      </c>
      <c r="D436">
        <v>0.33610000000000001</v>
      </c>
      <c r="E436">
        <v>0.34920000000000001</v>
      </c>
      <c r="F436">
        <v>6937175.5899999999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-0.40318906605922539</v>
      </c>
      <c r="Q436">
        <f t="shared" si="975"/>
        <v>-2796993.3472209559</v>
      </c>
      <c r="R436">
        <f t="shared" si="976"/>
        <v>-18473038.777929798</v>
      </c>
      <c r="S436">
        <f t="shared" si="977"/>
        <v>-184.73038777929798</v>
      </c>
      <c r="T436">
        <f t="shared" si="978"/>
        <v>-0.18473038777929798</v>
      </c>
    </row>
    <row r="437" spans="1:20" x14ac:dyDescent="0.25">
      <c r="A437" s="5">
        <v>44156</v>
      </c>
      <c r="B437">
        <v>0.34350000000000003</v>
      </c>
      <c r="C437">
        <v>0.35220000000000001</v>
      </c>
      <c r="D437">
        <v>0.33710000000000001</v>
      </c>
      <c r="E437">
        <v>0.34770000000000001</v>
      </c>
      <c r="F437">
        <v>2667210.54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0.4039735099337744</v>
      </c>
      <c r="Q437">
        <f t="shared" si="975"/>
        <v>1077482.4035761578</v>
      </c>
      <c r="R437">
        <f t="shared" si="976"/>
        <v>-15676045.430708842</v>
      </c>
      <c r="S437">
        <f t="shared" si="977"/>
        <v>-156.76045430708842</v>
      </c>
      <c r="T437">
        <f t="shared" si="978"/>
        <v>-0.15676045430708843</v>
      </c>
    </row>
    <row r="438" spans="1:20" x14ac:dyDescent="0.25">
      <c r="A438" s="5">
        <v>44155</v>
      </c>
      <c r="B438">
        <v>0.32379999999999998</v>
      </c>
      <c r="C438">
        <v>0.36</v>
      </c>
      <c r="D438">
        <v>0.3231</v>
      </c>
      <c r="E438">
        <v>0.34360000000000002</v>
      </c>
      <c r="F438">
        <v>4559266.3099999996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0.11111111111111245</v>
      </c>
      <c r="Q438">
        <f t="shared" si="975"/>
        <v>506585.14555556164</v>
      </c>
      <c r="R438">
        <f t="shared" si="976"/>
        <v>-16753527.834285</v>
      </c>
      <c r="S438">
        <f t="shared" si="977"/>
        <v>-167.53527834285001</v>
      </c>
      <c r="T438">
        <f t="shared" si="978"/>
        <v>-0.16753527834285001</v>
      </c>
    </row>
    <row r="439" spans="1:20" x14ac:dyDescent="0.25">
      <c r="A439" s="5">
        <v>44154</v>
      </c>
      <c r="B439">
        <v>0.31609999999999999</v>
      </c>
      <c r="C439">
        <v>0.33069999999999999</v>
      </c>
      <c r="D439">
        <v>0.31330000000000002</v>
      </c>
      <c r="E439">
        <v>0.32369999999999999</v>
      </c>
      <c r="F439">
        <v>3786258.57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0.19540229885057267</v>
      </c>
      <c r="Q439">
        <f t="shared" si="975"/>
        <v>739843.62862068193</v>
      </c>
      <c r="R439">
        <f t="shared" si="976"/>
        <v>-17260112.979840562</v>
      </c>
      <c r="S439">
        <f t="shared" si="977"/>
        <v>-172.60112979840562</v>
      </c>
      <c r="T439">
        <f t="shared" si="978"/>
        <v>-0.17260112979840561</v>
      </c>
    </row>
    <row r="440" spans="1:20" x14ac:dyDescent="0.25">
      <c r="A440" s="5">
        <v>44153</v>
      </c>
      <c r="B440">
        <v>0.312</v>
      </c>
      <c r="C440">
        <v>0.32340000000000002</v>
      </c>
      <c r="D440">
        <v>0.30520000000000003</v>
      </c>
      <c r="E440">
        <v>0.31630000000000003</v>
      </c>
      <c r="F440">
        <v>4152526.05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0.21978021978022005</v>
      </c>
      <c r="Q440">
        <f t="shared" si="975"/>
        <v>912643.08791208896</v>
      </c>
      <c r="R440">
        <f t="shared" si="976"/>
        <v>-17999956.608461242</v>
      </c>
      <c r="S440">
        <f t="shared" si="977"/>
        <v>-179.99956608461241</v>
      </c>
      <c r="T440">
        <f t="shared" si="978"/>
        <v>-0.1799995660846124</v>
      </c>
    </row>
    <row r="441" spans="1:20" x14ac:dyDescent="0.25">
      <c r="A441" s="5">
        <v>44152</v>
      </c>
      <c r="B441">
        <v>0.313</v>
      </c>
      <c r="C441">
        <v>0.32929999999999998</v>
      </c>
      <c r="D441">
        <v>0.30880000000000002</v>
      </c>
      <c r="E441">
        <v>0.31230000000000002</v>
      </c>
      <c r="F441">
        <v>2647222.0499999998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-0.65853658536585269</v>
      </c>
      <c r="Q441">
        <f t="shared" si="975"/>
        <v>-1743292.5695121924</v>
      </c>
      <c r="R441">
        <f t="shared" si="976"/>
        <v>-18912599.696373332</v>
      </c>
      <c r="S441">
        <f t="shared" si="977"/>
        <v>-189.12599696373331</v>
      </c>
      <c r="T441">
        <f t="shared" si="978"/>
        <v>-0.18912599696373331</v>
      </c>
    </row>
    <row r="442" spans="1:20" x14ac:dyDescent="0.25">
      <c r="A442" s="5">
        <v>44151</v>
      </c>
      <c r="B442">
        <v>0.30769999999999997</v>
      </c>
      <c r="C442">
        <v>0.31819999999999998</v>
      </c>
      <c r="D442">
        <v>0.2923</v>
      </c>
      <c r="E442">
        <v>0.3125</v>
      </c>
      <c r="F442">
        <v>5105917.5599999996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0.55984555984556084</v>
      </c>
      <c r="Q442">
        <f t="shared" si="975"/>
        <v>2858525.27490348</v>
      </c>
      <c r="R442">
        <f t="shared" si="976"/>
        <v>-17169307.12686114</v>
      </c>
      <c r="S442">
        <f t="shared" si="977"/>
        <v>-171.69307126861139</v>
      </c>
      <c r="T442">
        <f t="shared" si="978"/>
        <v>-0.17169307126861139</v>
      </c>
    </row>
    <row r="443" spans="1:20" x14ac:dyDescent="0.25">
      <c r="A443" s="5">
        <v>44150</v>
      </c>
      <c r="B443">
        <v>0.30530000000000002</v>
      </c>
      <c r="C443">
        <v>0.31240000000000001</v>
      </c>
      <c r="D443">
        <v>0.2944</v>
      </c>
      <c r="E443">
        <v>0.30780000000000002</v>
      </c>
      <c r="F443">
        <v>3450601.75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0.48888888888889015</v>
      </c>
      <c r="Q443">
        <f t="shared" si="975"/>
        <v>1686960.85555556</v>
      </c>
      <c r="R443">
        <f t="shared" si="976"/>
        <v>-20027832.40176462</v>
      </c>
      <c r="S443">
        <f t="shared" si="977"/>
        <v>-200.27832401764621</v>
      </c>
      <c r="T443">
        <f t="shared" si="978"/>
        <v>-0.20027832401764623</v>
      </c>
    </row>
    <row r="444" spans="1:20" x14ac:dyDescent="0.25">
      <c r="A444" s="5">
        <v>44149</v>
      </c>
      <c r="B444">
        <v>0.31929999999999997</v>
      </c>
      <c r="C444">
        <v>0.32029999999999997</v>
      </c>
      <c r="D444">
        <v>0.30330000000000001</v>
      </c>
      <c r="E444">
        <v>0.30530000000000002</v>
      </c>
      <c r="F444">
        <v>1851722.89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-0.76470588235294046</v>
      </c>
      <c r="Q444">
        <f t="shared" si="975"/>
        <v>-1416023.3864705868</v>
      </c>
      <c r="R444">
        <f t="shared" si="976"/>
        <v>-21714793.257320181</v>
      </c>
      <c r="S444">
        <f t="shared" si="977"/>
        <v>-217.14793257320181</v>
      </c>
      <c r="T444">
        <f t="shared" si="978"/>
        <v>-0.21714793257320181</v>
      </c>
    </row>
    <row r="445" spans="1:20" x14ac:dyDescent="0.25">
      <c r="A445" s="5">
        <v>44148</v>
      </c>
      <c r="B445">
        <v>0.31719999999999998</v>
      </c>
      <c r="C445">
        <v>0.32850000000000001</v>
      </c>
      <c r="D445">
        <v>0.3145</v>
      </c>
      <c r="E445">
        <v>0.31929999999999997</v>
      </c>
      <c r="F445">
        <v>2070467.38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-0.31428571428571905</v>
      </c>
      <c r="Q445">
        <f t="shared" si="975"/>
        <v>-650718.31942858128</v>
      </c>
      <c r="R445">
        <f t="shared" si="976"/>
        <v>-20298769.870849594</v>
      </c>
      <c r="S445">
        <f t="shared" si="977"/>
        <v>-202.98769870849594</v>
      </c>
      <c r="T445">
        <f t="shared" si="978"/>
        <v>-0.20298769870849595</v>
      </c>
    </row>
    <row r="446" spans="1:20" x14ac:dyDescent="0.25">
      <c r="A446" s="5">
        <v>44147</v>
      </c>
      <c r="B446">
        <v>0.32069999999999999</v>
      </c>
      <c r="C446">
        <v>0.32750000000000001</v>
      </c>
      <c r="D446">
        <v>0.30790000000000001</v>
      </c>
      <c r="E446">
        <v>0.31730000000000003</v>
      </c>
      <c r="F446">
        <v>5465476.04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-4.0816326530610569E-2</v>
      </c>
      <c r="Q446">
        <f t="shared" si="975"/>
        <v>-223080.65469386839</v>
      </c>
      <c r="R446">
        <f t="shared" si="976"/>
        <v>-19648051.551421013</v>
      </c>
      <c r="S446">
        <f t="shared" si="977"/>
        <v>-196.48051551421014</v>
      </c>
      <c r="T446">
        <f t="shared" si="978"/>
        <v>-0.19648051551421014</v>
      </c>
    </row>
    <row r="447" spans="1:20" x14ac:dyDescent="0.25">
      <c r="A447" s="5">
        <v>44146</v>
      </c>
      <c r="B447">
        <v>0.30880000000000002</v>
      </c>
      <c r="C447">
        <v>0.33600000000000002</v>
      </c>
      <c r="D447">
        <v>0.3085</v>
      </c>
      <c r="E447">
        <v>0.32019999999999998</v>
      </c>
      <c r="F447">
        <v>4945725.9400000004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-0.14909090909091072</v>
      </c>
      <c r="Q447">
        <f t="shared" si="975"/>
        <v>-737362.77650909906</v>
      </c>
      <c r="R447">
        <f t="shared" si="976"/>
        <v>-19424970.896727145</v>
      </c>
      <c r="S447">
        <f t="shared" si="977"/>
        <v>-194.24970896727146</v>
      </c>
      <c r="T447">
        <f t="shared" si="978"/>
        <v>-0.19424970896727145</v>
      </c>
    </row>
    <row r="448" spans="1:20" x14ac:dyDescent="0.25">
      <c r="A448" s="5">
        <v>44145</v>
      </c>
      <c r="B448">
        <v>0.29759999999999998</v>
      </c>
      <c r="C448">
        <v>0.31140000000000001</v>
      </c>
      <c r="D448">
        <v>0.29349999999999998</v>
      </c>
      <c r="E448">
        <v>0.30859999999999999</v>
      </c>
      <c r="F448">
        <v>1570244.75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0.68715083798882448</v>
      </c>
      <c r="Q448">
        <f t="shared" si="975"/>
        <v>1078994.9958100521</v>
      </c>
      <c r="R448">
        <f t="shared" si="976"/>
        <v>-18687608.120218046</v>
      </c>
      <c r="S448">
        <f t="shared" si="977"/>
        <v>-186.87608120218047</v>
      </c>
      <c r="T448">
        <f t="shared" si="978"/>
        <v>-0.18687608120218047</v>
      </c>
    </row>
    <row r="449" spans="1:20" x14ac:dyDescent="0.25">
      <c r="A449" s="5">
        <v>44144</v>
      </c>
      <c r="B449">
        <v>0.30349999999999999</v>
      </c>
      <c r="C449">
        <v>0.30620000000000003</v>
      </c>
      <c r="D449">
        <v>0.29620000000000002</v>
      </c>
      <c r="E449">
        <v>0.29780000000000001</v>
      </c>
      <c r="F449">
        <v>1076793.68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-0.68000000000000227</v>
      </c>
      <c r="Q449">
        <f t="shared" si="975"/>
        <v>-732219.7024000024</v>
      </c>
      <c r="R449">
        <f t="shared" si="976"/>
        <v>-19766603.116028097</v>
      </c>
      <c r="S449">
        <f t="shared" si="977"/>
        <v>-197.66603116028097</v>
      </c>
      <c r="T449">
        <f t="shared" si="978"/>
        <v>-0.19766603116028097</v>
      </c>
    </row>
    <row r="450" spans="1:20" x14ac:dyDescent="0.25">
      <c r="A450" s="5">
        <v>44143</v>
      </c>
      <c r="B450">
        <v>0.29120000000000001</v>
      </c>
      <c r="C450">
        <v>0.30809999999999998</v>
      </c>
      <c r="D450">
        <v>0.29099999999999998</v>
      </c>
      <c r="E450">
        <v>0.30359999999999998</v>
      </c>
      <c r="F450">
        <v>869000.14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0.47368421052631543</v>
      </c>
      <c r="Q450">
        <f t="shared" si="975"/>
        <v>411631.64526315761</v>
      </c>
      <c r="R450">
        <f t="shared" si="976"/>
        <v>-19034383.413628094</v>
      </c>
      <c r="S450">
        <f t="shared" si="977"/>
        <v>-190.34383413628095</v>
      </c>
      <c r="T450">
        <f t="shared" si="978"/>
        <v>-0.19034383413628095</v>
      </c>
    </row>
    <row r="451" spans="1:20" x14ac:dyDescent="0.25">
      <c r="A451" s="5">
        <v>44142</v>
      </c>
      <c r="B451">
        <v>0.30630000000000002</v>
      </c>
      <c r="C451">
        <v>0.31330000000000002</v>
      </c>
      <c r="D451">
        <v>0.28989999999999999</v>
      </c>
      <c r="E451">
        <v>0.29120000000000001</v>
      </c>
      <c r="F451">
        <v>2031776.21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-0.88888888888888706</v>
      </c>
      <c r="Q451">
        <f t="shared" si="975"/>
        <v>-1806023.297777774</v>
      </c>
      <c r="R451">
        <f t="shared" si="976"/>
        <v>-19446015.058891252</v>
      </c>
      <c r="S451">
        <f t="shared" si="977"/>
        <v>-194.46015058891251</v>
      </c>
      <c r="T451">
        <f t="shared" si="978"/>
        <v>-0.1944601505889125</v>
      </c>
    </row>
    <row r="452" spans="1:20" x14ac:dyDescent="0.25">
      <c r="A452" s="5">
        <v>44141</v>
      </c>
      <c r="B452">
        <v>0.29530000000000001</v>
      </c>
      <c r="C452">
        <v>0.308</v>
      </c>
      <c r="D452">
        <v>0.29399999999999998</v>
      </c>
      <c r="E452">
        <v>0.30630000000000002</v>
      </c>
      <c r="F452">
        <v>1347519.31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0.75714285714286034</v>
      </c>
      <c r="Q452">
        <f t="shared" si="975"/>
        <v>1020264.6204285758</v>
      </c>
      <c r="R452">
        <f t="shared" si="976"/>
        <v>-17639991.761113476</v>
      </c>
      <c r="S452">
        <f t="shared" si="977"/>
        <v>-176.39991761113475</v>
      </c>
      <c r="T452">
        <f t="shared" si="978"/>
        <v>-0.17639991761113474</v>
      </c>
    </row>
    <row r="453" spans="1:20" x14ac:dyDescent="0.25">
      <c r="A453" s="5">
        <v>44140</v>
      </c>
      <c r="B453">
        <v>0.28489999999999999</v>
      </c>
      <c r="C453">
        <v>0.29499999999999998</v>
      </c>
      <c r="D453">
        <v>0.28060000000000002</v>
      </c>
      <c r="E453">
        <v>0.2949</v>
      </c>
      <c r="F453">
        <v>823299.06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0.9861111111111126</v>
      </c>
      <c r="Q453">
        <f t="shared" si="975"/>
        <v>811864.35083333461</v>
      </c>
      <c r="R453">
        <f t="shared" si="976"/>
        <v>-18660256.381542053</v>
      </c>
      <c r="S453">
        <f t="shared" si="977"/>
        <v>-186.60256381542052</v>
      </c>
      <c r="T453">
        <f t="shared" si="978"/>
        <v>-0.18660256381542054</v>
      </c>
    </row>
    <row r="454" spans="1:20" x14ac:dyDescent="0.25">
      <c r="A454" s="5">
        <v>44139</v>
      </c>
      <c r="B454">
        <v>0.29070000000000001</v>
      </c>
      <c r="C454">
        <v>0.2913</v>
      </c>
      <c r="D454">
        <v>0.27860000000000001</v>
      </c>
      <c r="E454">
        <v>0.28460000000000002</v>
      </c>
      <c r="F454">
        <v>640882.18000000005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-5.511811023621882E-2</v>
      </c>
      <c r="Q454">
        <f t="shared" ref="Q454:Q517" si="980">F454*P454</f>
        <v>-35324.214645668239</v>
      </c>
      <c r="R454">
        <f t="shared" ref="R454:R517" si="981">R455+Q454</f>
        <v>-19472120.732375387</v>
      </c>
      <c r="S454">
        <f t="shared" ref="S454:S517" si="982">R454/100000</f>
        <v>-194.72120732375387</v>
      </c>
      <c r="T454">
        <f t="shared" ref="T454:T517" si="983">S454/1000</f>
        <v>-0.19472120732375386</v>
      </c>
    </row>
    <row r="455" spans="1:20" x14ac:dyDescent="0.25">
      <c r="A455" s="5">
        <v>44138</v>
      </c>
      <c r="B455">
        <v>0.28649999999999998</v>
      </c>
      <c r="C455">
        <v>0.2913</v>
      </c>
      <c r="D455">
        <v>0.27329999999999999</v>
      </c>
      <c r="E455">
        <v>0.29060000000000002</v>
      </c>
      <c r="F455">
        <v>1497226.78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0.92222222222222472</v>
      </c>
      <c r="Q455">
        <f t="shared" si="980"/>
        <v>1380775.8082222261</v>
      </c>
      <c r="R455">
        <f t="shared" si="981"/>
        <v>-19436796.517729718</v>
      </c>
      <c r="S455">
        <f t="shared" si="982"/>
        <v>-194.36796517729718</v>
      </c>
      <c r="T455">
        <f t="shared" si="983"/>
        <v>-0.19436796517729718</v>
      </c>
    </row>
    <row r="456" spans="1:20" x14ac:dyDescent="0.25">
      <c r="A456" s="5">
        <v>44137</v>
      </c>
      <c r="B456">
        <v>0.30049999999999999</v>
      </c>
      <c r="C456">
        <v>0.30249999999999999</v>
      </c>
      <c r="D456">
        <v>0.2848</v>
      </c>
      <c r="E456">
        <v>0.28660000000000002</v>
      </c>
      <c r="F456">
        <v>1667622.87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-0.79661016949152263</v>
      </c>
      <c r="Q456">
        <f t="shared" si="980"/>
        <v>-1328445.3371186396</v>
      </c>
      <c r="R456">
        <f t="shared" si="981"/>
        <v>-20817572.325951945</v>
      </c>
      <c r="S456">
        <f t="shared" si="982"/>
        <v>-208.17572325951946</v>
      </c>
      <c r="T456">
        <f t="shared" si="983"/>
        <v>-0.20817572325951947</v>
      </c>
    </row>
    <row r="457" spans="1:20" x14ac:dyDescent="0.25">
      <c r="A457" s="5">
        <v>44136</v>
      </c>
      <c r="B457">
        <v>0.30309999999999998</v>
      </c>
      <c r="C457">
        <v>0.30430000000000001</v>
      </c>
      <c r="D457">
        <v>0.29799999999999999</v>
      </c>
      <c r="E457">
        <v>0.30030000000000001</v>
      </c>
      <c r="F457">
        <v>758515.79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-0.26984126984126539</v>
      </c>
      <c r="Q457">
        <f t="shared" si="980"/>
        <v>-204678.8639682506</v>
      </c>
      <c r="R457">
        <f t="shared" si="981"/>
        <v>-19489126.988833304</v>
      </c>
      <c r="S457">
        <f t="shared" si="982"/>
        <v>-194.89126988833306</v>
      </c>
      <c r="T457">
        <f t="shared" si="983"/>
        <v>-0.19489126988833305</v>
      </c>
    </row>
    <row r="458" spans="1:20" x14ac:dyDescent="0.25">
      <c r="A458" s="5">
        <v>44135</v>
      </c>
      <c r="B458">
        <v>0.30370000000000003</v>
      </c>
      <c r="C458">
        <v>0.3105</v>
      </c>
      <c r="D458">
        <v>0.30270000000000002</v>
      </c>
      <c r="E458">
        <v>0.30320000000000003</v>
      </c>
      <c r="F458">
        <v>562474.79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-0.87179487179487125</v>
      </c>
      <c r="Q458">
        <f t="shared" si="980"/>
        <v>-490362.63743589714</v>
      </c>
      <c r="R458">
        <f t="shared" si="981"/>
        <v>-19284448.124865055</v>
      </c>
      <c r="S458">
        <f t="shared" si="982"/>
        <v>-192.84448124865054</v>
      </c>
      <c r="T458">
        <f t="shared" si="983"/>
        <v>-0.19284448124865053</v>
      </c>
    </row>
    <row r="459" spans="1:20" x14ac:dyDescent="0.25">
      <c r="A459" s="5">
        <v>44134</v>
      </c>
      <c r="B459">
        <v>0.3014</v>
      </c>
      <c r="C459">
        <v>0.31</v>
      </c>
      <c r="D459">
        <v>0.29959999999999998</v>
      </c>
      <c r="E459">
        <v>0.30420000000000003</v>
      </c>
      <c r="F459">
        <v>1104291.46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-0.11538461538460779</v>
      </c>
      <c r="Q459">
        <f t="shared" si="980"/>
        <v>-127418.24538460698</v>
      </c>
      <c r="R459">
        <f t="shared" si="981"/>
        <v>-18794085.487429157</v>
      </c>
      <c r="S459">
        <f t="shared" si="982"/>
        <v>-187.94085487429157</v>
      </c>
      <c r="T459">
        <f t="shared" si="983"/>
        <v>-0.18794085487429157</v>
      </c>
    </row>
    <row r="460" spans="1:20" x14ac:dyDescent="0.25">
      <c r="A460" s="5">
        <v>44133</v>
      </c>
      <c r="B460">
        <v>0.30890000000000001</v>
      </c>
      <c r="C460">
        <v>0.31219999999999998</v>
      </c>
      <c r="D460">
        <v>0.2999</v>
      </c>
      <c r="E460">
        <v>0.30149999999999999</v>
      </c>
      <c r="F460">
        <v>676085.17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-0.73983739837398488</v>
      </c>
      <c r="Q460">
        <f t="shared" si="980"/>
        <v>-500193.09325203334</v>
      </c>
      <c r="R460">
        <f t="shared" si="981"/>
        <v>-18666667.242044549</v>
      </c>
      <c r="S460">
        <f t="shared" si="982"/>
        <v>-186.66667242044551</v>
      </c>
      <c r="T460">
        <f t="shared" si="983"/>
        <v>-0.18666667242044552</v>
      </c>
    </row>
    <row r="461" spans="1:20" x14ac:dyDescent="0.25">
      <c r="A461" s="5">
        <v>44132</v>
      </c>
      <c r="B461">
        <v>0.31</v>
      </c>
      <c r="C461">
        <v>0.32100000000000001</v>
      </c>
      <c r="D461">
        <v>0.30399999999999999</v>
      </c>
      <c r="E461">
        <v>0.30890000000000001</v>
      </c>
      <c r="F461">
        <v>2925330.02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-0.4235294117647046</v>
      </c>
      <c r="Q461">
        <f t="shared" si="980"/>
        <v>-1238963.3025882316</v>
      </c>
      <c r="R461">
        <f t="shared" si="981"/>
        <v>-18166474.148792516</v>
      </c>
      <c r="S461">
        <f t="shared" si="982"/>
        <v>-181.66474148792517</v>
      </c>
      <c r="T461">
        <f t="shared" si="983"/>
        <v>-0.18166474148792516</v>
      </c>
    </row>
    <row r="462" spans="1:20" x14ac:dyDescent="0.25">
      <c r="A462" s="5">
        <v>44131</v>
      </c>
      <c r="B462">
        <v>0.3044</v>
      </c>
      <c r="C462">
        <v>0.32050000000000001</v>
      </c>
      <c r="D462">
        <v>0.30359999999999998</v>
      </c>
      <c r="E462">
        <v>0.31</v>
      </c>
      <c r="F462">
        <v>1476239.72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-0.24260355029585717</v>
      </c>
      <c r="Q462">
        <f t="shared" si="980"/>
        <v>-358140.99715976208</v>
      </c>
      <c r="R462">
        <f t="shared" si="981"/>
        <v>-16927510.846204285</v>
      </c>
      <c r="S462">
        <f t="shared" si="982"/>
        <v>-169.27510846204285</v>
      </c>
      <c r="T462">
        <f t="shared" si="983"/>
        <v>-0.16927510846204286</v>
      </c>
    </row>
    <row r="463" spans="1:20" x14ac:dyDescent="0.25">
      <c r="A463" s="5">
        <v>44130</v>
      </c>
      <c r="B463">
        <v>0.30759999999999998</v>
      </c>
      <c r="C463">
        <v>0.3206</v>
      </c>
      <c r="D463">
        <v>0.29970000000000002</v>
      </c>
      <c r="E463">
        <v>0.30470000000000003</v>
      </c>
      <c r="F463">
        <v>1213067.17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-0.52153110047846785</v>
      </c>
      <c r="Q463">
        <f t="shared" si="980"/>
        <v>-632652.25612440065</v>
      </c>
      <c r="R463">
        <f t="shared" si="981"/>
        <v>-16569369.849044524</v>
      </c>
      <c r="S463">
        <f t="shared" si="982"/>
        <v>-165.69369849044523</v>
      </c>
      <c r="T463">
        <f t="shared" si="983"/>
        <v>-0.16569369849044524</v>
      </c>
    </row>
    <row r="464" spans="1:20" x14ac:dyDescent="0.25">
      <c r="A464" s="5">
        <v>44129</v>
      </c>
      <c r="B464">
        <v>0.3115</v>
      </c>
      <c r="C464">
        <v>0.31309999999999999</v>
      </c>
      <c r="D464">
        <v>0.30590000000000001</v>
      </c>
      <c r="E464">
        <v>0.30809999999999998</v>
      </c>
      <c r="F464">
        <v>434541.7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-0.38888888888889317</v>
      </c>
      <c r="Q464">
        <f t="shared" si="980"/>
        <v>-168988.43888889076</v>
      </c>
      <c r="R464">
        <f t="shared" si="981"/>
        <v>-15936717.592920123</v>
      </c>
      <c r="S464">
        <f t="shared" si="982"/>
        <v>-159.36717592920124</v>
      </c>
      <c r="T464">
        <f t="shared" si="983"/>
        <v>-0.15936717592920124</v>
      </c>
    </row>
    <row r="465" spans="1:20" x14ac:dyDescent="0.25">
      <c r="A465" s="5">
        <v>44128</v>
      </c>
      <c r="B465">
        <v>0.31630000000000003</v>
      </c>
      <c r="C465">
        <v>0.32119999999999999</v>
      </c>
      <c r="D465">
        <v>0.30969999999999998</v>
      </c>
      <c r="E465">
        <v>0.31180000000000002</v>
      </c>
      <c r="F465">
        <v>777736.2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-0.6347826086956444</v>
      </c>
      <c r="Q465">
        <f t="shared" si="980"/>
        <v>-493693.4139130374</v>
      </c>
      <c r="R465">
        <f t="shared" si="981"/>
        <v>-15767729.154031232</v>
      </c>
      <c r="S465">
        <f t="shared" si="982"/>
        <v>-157.67729154031232</v>
      </c>
      <c r="T465">
        <f t="shared" si="983"/>
        <v>-0.15767729154031232</v>
      </c>
    </row>
    <row r="466" spans="1:20" x14ac:dyDescent="0.25">
      <c r="A466" s="5">
        <v>44127</v>
      </c>
      <c r="B466">
        <v>0.315</v>
      </c>
      <c r="C466">
        <v>0.33</v>
      </c>
      <c r="D466">
        <v>0.31119999999999998</v>
      </c>
      <c r="E466">
        <v>0.31630000000000003</v>
      </c>
      <c r="F466">
        <v>2117258.2400000002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-0.45744680851063424</v>
      </c>
      <c r="Q466">
        <f t="shared" si="980"/>
        <v>-968533.02468084253</v>
      </c>
      <c r="R466">
        <f t="shared" si="981"/>
        <v>-15274035.740118194</v>
      </c>
      <c r="S466">
        <f t="shared" si="982"/>
        <v>-152.74035740118194</v>
      </c>
      <c r="T466">
        <f t="shared" si="983"/>
        <v>-0.15274035740118194</v>
      </c>
    </row>
    <row r="467" spans="1:20" x14ac:dyDescent="0.25">
      <c r="A467" s="5">
        <v>44126</v>
      </c>
      <c r="B467">
        <v>0.31280000000000002</v>
      </c>
      <c r="C467">
        <v>0.31790000000000002</v>
      </c>
      <c r="D467">
        <v>0.31040000000000001</v>
      </c>
      <c r="E467">
        <v>0.31509999999999999</v>
      </c>
      <c r="F467">
        <v>645897.30000000005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0.25333333333332742</v>
      </c>
      <c r="Q467">
        <f t="shared" si="980"/>
        <v>163627.31599999618</v>
      </c>
      <c r="R467">
        <f t="shared" si="981"/>
        <v>-14305502.715437353</v>
      </c>
      <c r="S467">
        <f t="shared" si="982"/>
        <v>-143.05502715437353</v>
      </c>
      <c r="T467">
        <f t="shared" si="983"/>
        <v>-0.14305502715437354</v>
      </c>
    </row>
    <row r="468" spans="1:20" x14ac:dyDescent="0.25">
      <c r="A468" s="5">
        <v>44125</v>
      </c>
      <c r="B468">
        <v>0.30940000000000001</v>
      </c>
      <c r="C468">
        <v>0.31909999999999999</v>
      </c>
      <c r="D468">
        <v>0.30740000000000001</v>
      </c>
      <c r="E468">
        <v>0.31269999999999998</v>
      </c>
      <c r="F468">
        <v>679283.88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-9.4017094017097985E-2</v>
      </c>
      <c r="Q468">
        <f t="shared" si="980"/>
        <v>-63864.296410259107</v>
      </c>
      <c r="R468">
        <f t="shared" si="981"/>
        <v>-14469130.031437349</v>
      </c>
      <c r="S468">
        <f t="shared" si="982"/>
        <v>-144.69130031437348</v>
      </c>
      <c r="T468">
        <f t="shared" si="983"/>
        <v>-0.14469130031437347</v>
      </c>
    </row>
    <row r="469" spans="1:20" x14ac:dyDescent="0.25">
      <c r="A469" s="5">
        <v>44124</v>
      </c>
      <c r="B469">
        <v>0.32050000000000001</v>
      </c>
      <c r="C469">
        <v>0.32069999999999999</v>
      </c>
      <c r="D469">
        <v>0.30719999999999997</v>
      </c>
      <c r="E469">
        <v>0.30940000000000001</v>
      </c>
      <c r="F469">
        <v>968751.85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-0.67407407407406916</v>
      </c>
      <c r="Q469">
        <f t="shared" si="980"/>
        <v>-653010.50629629148</v>
      </c>
      <c r="R469">
        <f t="shared" si="981"/>
        <v>-14405265.73502709</v>
      </c>
      <c r="S469">
        <f t="shared" si="982"/>
        <v>-144.05265735027089</v>
      </c>
      <c r="T469">
        <f t="shared" si="983"/>
        <v>-0.1440526573502709</v>
      </c>
    </row>
    <row r="470" spans="1:20" x14ac:dyDescent="0.25">
      <c r="A470" s="5">
        <v>44123</v>
      </c>
      <c r="B470">
        <v>0.31330000000000002</v>
      </c>
      <c r="C470">
        <v>0.33050000000000002</v>
      </c>
      <c r="D470">
        <v>0.30919999999999997</v>
      </c>
      <c r="E470">
        <v>0.3206</v>
      </c>
      <c r="F470">
        <v>1915930.79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7.0422535211267526E-2</v>
      </c>
      <c r="Q470">
        <f t="shared" si="980"/>
        <v>134924.70352112662</v>
      </c>
      <c r="R470">
        <f t="shared" si="981"/>
        <v>-13752255.228730798</v>
      </c>
      <c r="S470">
        <f t="shared" si="982"/>
        <v>-137.52255228730797</v>
      </c>
      <c r="T470">
        <f t="shared" si="983"/>
        <v>-0.13752255228730798</v>
      </c>
    </row>
    <row r="471" spans="1:20" x14ac:dyDescent="0.25">
      <c r="A471" s="5">
        <v>44122</v>
      </c>
      <c r="B471">
        <v>0.31740000000000002</v>
      </c>
      <c r="C471">
        <v>0.31909999999999999</v>
      </c>
      <c r="D471">
        <v>0.31159999999999999</v>
      </c>
      <c r="E471">
        <v>0.31330000000000002</v>
      </c>
      <c r="F471">
        <v>306103.84000000003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-0.54666666666665775</v>
      </c>
      <c r="Q471">
        <f t="shared" si="980"/>
        <v>-167336.76586666395</v>
      </c>
      <c r="R471">
        <f t="shared" si="981"/>
        <v>-13887179.932251925</v>
      </c>
      <c r="S471">
        <f t="shared" si="982"/>
        <v>-138.87179932251925</v>
      </c>
      <c r="T471">
        <f t="shared" si="983"/>
        <v>-0.13887179932251925</v>
      </c>
    </row>
    <row r="472" spans="1:20" x14ac:dyDescent="0.25">
      <c r="A472" s="5">
        <v>44121</v>
      </c>
      <c r="B472">
        <v>0.31869999999999998</v>
      </c>
      <c r="C472">
        <v>0.31869999999999998</v>
      </c>
      <c r="D472">
        <v>0.314</v>
      </c>
      <c r="E472">
        <v>0.31780000000000003</v>
      </c>
      <c r="F472">
        <v>397370.78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0.61702127659576178</v>
      </c>
      <c r="Q472">
        <f t="shared" si="980"/>
        <v>245186.22595745363</v>
      </c>
      <c r="R472">
        <f t="shared" si="981"/>
        <v>-13719843.166385261</v>
      </c>
      <c r="S472">
        <f t="shared" si="982"/>
        <v>-137.1984316638526</v>
      </c>
      <c r="T472">
        <f t="shared" si="983"/>
        <v>-0.13719843166385259</v>
      </c>
    </row>
    <row r="473" spans="1:20" x14ac:dyDescent="0.25">
      <c r="A473" s="5">
        <v>44120</v>
      </c>
      <c r="B473">
        <v>0.32490000000000002</v>
      </c>
      <c r="C473">
        <v>0.32550000000000001</v>
      </c>
      <c r="D473">
        <v>0.30740000000000001</v>
      </c>
      <c r="E473">
        <v>0.31900000000000001</v>
      </c>
      <c r="F473">
        <v>1259728.4099999999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0.28176795580110453</v>
      </c>
      <c r="Q473">
        <f t="shared" si="980"/>
        <v>354951.09895027569</v>
      </c>
      <c r="R473">
        <f t="shared" si="981"/>
        <v>-13965029.392342715</v>
      </c>
      <c r="S473">
        <f t="shared" si="982"/>
        <v>-139.65029392342714</v>
      </c>
      <c r="T473">
        <f t="shared" si="983"/>
        <v>-0.13965029392342715</v>
      </c>
    </row>
    <row r="474" spans="1:20" x14ac:dyDescent="0.25">
      <c r="A474" s="5">
        <v>44119</v>
      </c>
      <c r="B474">
        <v>0.3201</v>
      </c>
      <c r="C474">
        <v>0.3286</v>
      </c>
      <c r="D474">
        <v>0.316</v>
      </c>
      <c r="E474">
        <v>0.32490000000000002</v>
      </c>
      <c r="F474">
        <v>1271434.55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0.41269841269841573</v>
      </c>
      <c r="Q474">
        <f t="shared" si="980"/>
        <v>524719.02063492453</v>
      </c>
      <c r="R474">
        <f t="shared" si="981"/>
        <v>-14319980.491292991</v>
      </c>
      <c r="S474">
        <f t="shared" si="982"/>
        <v>-143.19980491292992</v>
      </c>
      <c r="T474">
        <f t="shared" si="983"/>
        <v>-0.14319980491292991</v>
      </c>
    </row>
    <row r="475" spans="1:20" x14ac:dyDescent="0.25">
      <c r="A475" s="5">
        <v>44118</v>
      </c>
      <c r="B475">
        <v>0.317</v>
      </c>
      <c r="C475">
        <v>0.33579999999999999</v>
      </c>
      <c r="D475">
        <v>0.31659999999999999</v>
      </c>
      <c r="E475">
        <v>0.3201</v>
      </c>
      <c r="F475">
        <v>2236569.81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-0.6354166666666663</v>
      </c>
      <c r="Q475">
        <f t="shared" si="980"/>
        <v>-1421153.7334374993</v>
      </c>
      <c r="R475">
        <f t="shared" si="981"/>
        <v>-14844699.511927916</v>
      </c>
      <c r="S475">
        <f t="shared" si="982"/>
        <v>-148.44699511927917</v>
      </c>
      <c r="T475">
        <f t="shared" si="983"/>
        <v>-0.14844699511927917</v>
      </c>
    </row>
    <row r="476" spans="1:20" x14ac:dyDescent="0.25">
      <c r="A476" s="5">
        <v>44117</v>
      </c>
      <c r="B476">
        <v>0.32740000000000002</v>
      </c>
      <c r="C476">
        <v>0.33950000000000002</v>
      </c>
      <c r="D476">
        <v>0.31140000000000001</v>
      </c>
      <c r="E476">
        <v>0.31709999999999999</v>
      </c>
      <c r="F476">
        <v>1348979.58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-0.59430604982206547</v>
      </c>
      <c r="Q476">
        <f t="shared" si="980"/>
        <v>-801706.72548042901</v>
      </c>
      <c r="R476">
        <f t="shared" si="981"/>
        <v>-13423545.778490417</v>
      </c>
      <c r="S476">
        <f t="shared" si="982"/>
        <v>-134.23545778490416</v>
      </c>
      <c r="T476">
        <f t="shared" si="983"/>
        <v>-0.13423545778490414</v>
      </c>
    </row>
    <row r="477" spans="1:20" x14ac:dyDescent="0.25">
      <c r="A477" s="5">
        <v>44116</v>
      </c>
      <c r="B477">
        <v>0.32200000000000001</v>
      </c>
      <c r="C477">
        <v>0.33310000000000001</v>
      </c>
      <c r="D477">
        <v>0.31140000000000001</v>
      </c>
      <c r="E477">
        <v>0.32740000000000002</v>
      </c>
      <c r="F477">
        <v>1291992.77</v>
      </c>
      <c r="G477">
        <v>0</v>
      </c>
      <c r="L477" t="s">
        <v>7</v>
      </c>
      <c r="M477" t="s">
        <v>7</v>
      </c>
      <c r="N477" t="s">
        <v>7</v>
      </c>
      <c r="P477">
        <f t="shared" si="979"/>
        <v>0.47465437788018583</v>
      </c>
      <c r="Q477">
        <f t="shared" si="980"/>
        <v>613250.02447004803</v>
      </c>
      <c r="R477">
        <f t="shared" si="981"/>
        <v>-12621839.053009987</v>
      </c>
      <c r="S477">
        <f t="shared" si="982"/>
        <v>-126.21839053009987</v>
      </c>
      <c r="T477">
        <f t="shared" si="983"/>
        <v>-0.12621839053009987</v>
      </c>
    </row>
    <row r="478" spans="1:20" x14ac:dyDescent="0.25">
      <c r="A478" s="5">
        <v>44115</v>
      </c>
      <c r="B478">
        <v>0.30809999999999998</v>
      </c>
      <c r="C478">
        <v>0.33800000000000002</v>
      </c>
      <c r="D478">
        <v>0.3024</v>
      </c>
      <c r="E478">
        <v>0.32200000000000001</v>
      </c>
      <c r="F478">
        <v>2032821.5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0.1011235955056177</v>
      </c>
      <c r="Q478">
        <f t="shared" si="980"/>
        <v>205566.21910112302</v>
      </c>
      <c r="R478">
        <f t="shared" si="981"/>
        <v>-13235089.077480035</v>
      </c>
      <c r="S478">
        <f t="shared" si="982"/>
        <v>-132.35089077480035</v>
      </c>
      <c r="T478">
        <f t="shared" si="983"/>
        <v>-0.13235089077480036</v>
      </c>
    </row>
    <row r="479" spans="1:20" x14ac:dyDescent="0.25">
      <c r="A479" s="5">
        <v>44114</v>
      </c>
      <c r="B479">
        <v>0.31840000000000002</v>
      </c>
      <c r="C479">
        <v>0.3206</v>
      </c>
      <c r="D479">
        <v>0.3</v>
      </c>
      <c r="E479">
        <v>0.30819999999999997</v>
      </c>
      <c r="F479">
        <v>1966877.33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-0.20388349514563278</v>
      </c>
      <c r="Q479">
        <f t="shared" si="980"/>
        <v>-401013.82456311019</v>
      </c>
      <c r="R479">
        <f t="shared" si="981"/>
        <v>-13440655.296581158</v>
      </c>
      <c r="S479">
        <f t="shared" si="982"/>
        <v>-134.40655296581158</v>
      </c>
      <c r="T479">
        <f t="shared" si="983"/>
        <v>-0.13440655296581158</v>
      </c>
    </row>
    <row r="480" spans="1:20" x14ac:dyDescent="0.25">
      <c r="A480" s="5">
        <v>44113</v>
      </c>
      <c r="B480">
        <v>0.30099999999999999</v>
      </c>
      <c r="C480">
        <v>0.31929999999999997</v>
      </c>
      <c r="D480">
        <v>0.30099999999999999</v>
      </c>
      <c r="E480">
        <v>0.31830000000000003</v>
      </c>
      <c r="F480">
        <v>1188578.23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0.89071038251366708</v>
      </c>
      <c r="Q480">
        <f t="shared" si="980"/>
        <v>1058678.9698907174</v>
      </c>
      <c r="R480">
        <f t="shared" si="981"/>
        <v>-13039641.472018048</v>
      </c>
      <c r="S480">
        <f t="shared" si="982"/>
        <v>-130.39641472018047</v>
      </c>
      <c r="T480">
        <f t="shared" si="983"/>
        <v>-0.13039641472018049</v>
      </c>
    </row>
    <row r="481" spans="1:20" x14ac:dyDescent="0.25">
      <c r="A481" s="5">
        <v>44112</v>
      </c>
      <c r="B481">
        <v>0.30409999999999998</v>
      </c>
      <c r="C481">
        <v>0.30499999999999999</v>
      </c>
      <c r="D481">
        <v>0.29289999999999999</v>
      </c>
      <c r="E481">
        <v>0.30099999999999999</v>
      </c>
      <c r="F481">
        <v>926544.36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0.33884297520661094</v>
      </c>
      <c r="Q481">
        <f t="shared" si="980"/>
        <v>313953.0476033052</v>
      </c>
      <c r="R481">
        <f t="shared" si="981"/>
        <v>-14098320.441908766</v>
      </c>
      <c r="S481">
        <f t="shared" si="982"/>
        <v>-140.98320441908766</v>
      </c>
      <c r="T481">
        <f t="shared" si="983"/>
        <v>-0.14098320441908765</v>
      </c>
    </row>
    <row r="482" spans="1:20" x14ac:dyDescent="0.25">
      <c r="A482" s="5">
        <v>44111</v>
      </c>
      <c r="B482">
        <v>0.29399999999999998</v>
      </c>
      <c r="C482">
        <v>0.30449999999999999</v>
      </c>
      <c r="D482">
        <v>0.28699999999999998</v>
      </c>
      <c r="E482">
        <v>0.30399999999999999</v>
      </c>
      <c r="F482">
        <v>752055.15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0.94285714285714284</v>
      </c>
      <c r="Q482">
        <f t="shared" si="980"/>
        <v>709080.57000000007</v>
      </c>
      <c r="R482">
        <f t="shared" si="981"/>
        <v>-14412273.489512071</v>
      </c>
      <c r="S482">
        <f t="shared" si="982"/>
        <v>-144.12273489512071</v>
      </c>
      <c r="T482">
        <f t="shared" si="983"/>
        <v>-0.1441227348951207</v>
      </c>
    </row>
    <row r="483" spans="1:20" x14ac:dyDescent="0.25">
      <c r="A483" s="5">
        <v>44110</v>
      </c>
      <c r="B483">
        <v>0.31069999999999998</v>
      </c>
      <c r="C483">
        <v>0.32079999999999997</v>
      </c>
      <c r="D483">
        <v>0.29110000000000003</v>
      </c>
      <c r="E483">
        <v>0.29409999999999997</v>
      </c>
      <c r="F483">
        <v>1394959.67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-0.79797979797980123</v>
      </c>
      <c r="Q483">
        <f t="shared" si="980"/>
        <v>-1113149.6356565701</v>
      </c>
      <c r="R483">
        <f t="shared" si="981"/>
        <v>-15121354.059512071</v>
      </c>
      <c r="S483">
        <f t="shared" si="982"/>
        <v>-151.21354059512072</v>
      </c>
      <c r="T483">
        <f t="shared" si="983"/>
        <v>-0.15121354059512071</v>
      </c>
    </row>
    <row r="484" spans="1:20" x14ac:dyDescent="0.25">
      <c r="A484" s="5">
        <v>44109</v>
      </c>
      <c r="B484">
        <v>0.30099999999999999</v>
      </c>
      <c r="C484">
        <v>0.32879999999999998</v>
      </c>
      <c r="D484">
        <v>0.30020000000000002</v>
      </c>
      <c r="E484">
        <v>0.31069999999999998</v>
      </c>
      <c r="F484">
        <v>2472714.84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-0.26573426573426789</v>
      </c>
      <c r="Q484">
        <f t="shared" si="980"/>
        <v>-657085.06237762771</v>
      </c>
      <c r="R484">
        <f t="shared" si="981"/>
        <v>-14008204.4238555</v>
      </c>
      <c r="S484">
        <f t="shared" si="982"/>
        <v>-140.082044238555</v>
      </c>
      <c r="T484">
        <f t="shared" si="983"/>
        <v>-0.140082044238555</v>
      </c>
    </row>
    <row r="485" spans="1:20" x14ac:dyDescent="0.25">
      <c r="A485" s="5">
        <v>44108</v>
      </c>
      <c r="B485">
        <v>0.31</v>
      </c>
      <c r="C485">
        <v>0.31109999999999999</v>
      </c>
      <c r="D485">
        <v>0.29970000000000002</v>
      </c>
      <c r="E485">
        <v>0.30130000000000001</v>
      </c>
      <c r="F485">
        <v>644186.76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-0.71929824561403599</v>
      </c>
      <c r="Q485">
        <f t="shared" si="980"/>
        <v>-463362.40631579008</v>
      </c>
      <c r="R485">
        <f t="shared" si="981"/>
        <v>-13351119.361477872</v>
      </c>
      <c r="S485">
        <f t="shared" si="982"/>
        <v>-133.51119361477873</v>
      </c>
      <c r="T485">
        <f t="shared" si="983"/>
        <v>-0.13351119361477873</v>
      </c>
    </row>
    <row r="486" spans="1:20" x14ac:dyDescent="0.25">
      <c r="A486" s="5">
        <v>44107</v>
      </c>
      <c r="B486">
        <v>0.32879999999999998</v>
      </c>
      <c r="C486">
        <v>0.33239999999999997</v>
      </c>
      <c r="D486">
        <v>0.30830000000000002</v>
      </c>
      <c r="E486">
        <v>0.31009999999999999</v>
      </c>
      <c r="F486">
        <v>2381038.29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-0.85062240663900646</v>
      </c>
      <c r="Q486">
        <f t="shared" si="980"/>
        <v>-2025364.5205394246</v>
      </c>
      <c r="R486">
        <f t="shared" si="981"/>
        <v>-12887756.955162082</v>
      </c>
      <c r="S486">
        <f t="shared" si="982"/>
        <v>-128.87756955162081</v>
      </c>
      <c r="T486">
        <f t="shared" si="983"/>
        <v>-0.1288775695516208</v>
      </c>
    </row>
    <row r="487" spans="1:20" x14ac:dyDescent="0.25">
      <c r="A487" s="5">
        <v>44106</v>
      </c>
      <c r="B487">
        <v>0.31740000000000002</v>
      </c>
      <c r="C487">
        <v>0.33950000000000002</v>
      </c>
      <c r="D487">
        <v>0.28939999999999999</v>
      </c>
      <c r="E487">
        <v>0.32890000000000003</v>
      </c>
      <c r="F487">
        <v>3217498.12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0.57684630738522991</v>
      </c>
      <c r="Q487">
        <f t="shared" si="980"/>
        <v>1856001.9095409194</v>
      </c>
      <c r="R487">
        <f t="shared" si="981"/>
        <v>-10862392.434622657</v>
      </c>
      <c r="S487">
        <f t="shared" si="982"/>
        <v>-108.62392434622656</v>
      </c>
      <c r="T487">
        <f t="shared" si="983"/>
        <v>-0.10862392434622656</v>
      </c>
    </row>
    <row r="488" spans="1:20" x14ac:dyDescent="0.25">
      <c r="A488" s="5">
        <v>44105</v>
      </c>
      <c r="B488">
        <v>0.33460000000000001</v>
      </c>
      <c r="C488">
        <v>0.3402</v>
      </c>
      <c r="D488">
        <v>0.30980000000000002</v>
      </c>
      <c r="E488">
        <v>0.31740000000000002</v>
      </c>
      <c r="F488">
        <v>1894328.22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-0.5</v>
      </c>
      <c r="Q488">
        <f t="shared" si="980"/>
        <v>-947164.11</v>
      </c>
      <c r="R488">
        <f t="shared" si="981"/>
        <v>-12718394.344163576</v>
      </c>
      <c r="S488">
        <f t="shared" si="982"/>
        <v>-127.18394344163576</v>
      </c>
      <c r="T488">
        <f t="shared" si="983"/>
        <v>-0.12718394344163575</v>
      </c>
    </row>
    <row r="489" spans="1:20" x14ac:dyDescent="0.25">
      <c r="A489" s="5">
        <v>44104</v>
      </c>
      <c r="B489">
        <v>0.3347</v>
      </c>
      <c r="C489">
        <v>0.3427</v>
      </c>
      <c r="D489">
        <v>0.32700000000000001</v>
      </c>
      <c r="E489">
        <v>0.33479999999999999</v>
      </c>
      <c r="F489">
        <v>1845947.92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-6.3694267515951941E-3</v>
      </c>
      <c r="Q489">
        <f t="shared" si="980"/>
        <v>-11757.630063699506</v>
      </c>
      <c r="R489">
        <f t="shared" si="981"/>
        <v>-11771230.234163577</v>
      </c>
      <c r="S489">
        <f t="shared" si="982"/>
        <v>-117.71230234163576</v>
      </c>
      <c r="T489">
        <f t="shared" si="983"/>
        <v>-0.11771230234163577</v>
      </c>
    </row>
    <row r="490" spans="1:20" x14ac:dyDescent="0.25">
      <c r="A490" s="5">
        <v>44103</v>
      </c>
      <c r="B490">
        <v>0.3221</v>
      </c>
      <c r="C490">
        <v>0.3579</v>
      </c>
      <c r="D490">
        <v>0.32179999999999997</v>
      </c>
      <c r="E490">
        <v>0.33439999999999998</v>
      </c>
      <c r="F490">
        <v>3732916.57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-0.30193905817174554</v>
      </c>
      <c r="Q490">
        <f t="shared" si="980"/>
        <v>-1127113.3133795029</v>
      </c>
      <c r="R490">
        <f t="shared" si="981"/>
        <v>-11759472.604099877</v>
      </c>
      <c r="S490">
        <f t="shared" si="982"/>
        <v>-117.59472604099876</v>
      </c>
      <c r="T490">
        <f t="shared" si="983"/>
        <v>-0.11759472604099877</v>
      </c>
    </row>
    <row r="491" spans="1:20" x14ac:dyDescent="0.25">
      <c r="A491" s="5">
        <v>44102</v>
      </c>
      <c r="B491">
        <v>0.31340000000000001</v>
      </c>
      <c r="C491">
        <v>0.34989999999999999</v>
      </c>
      <c r="D491">
        <v>0.31340000000000001</v>
      </c>
      <c r="E491">
        <v>0.32229999999999998</v>
      </c>
      <c r="F491">
        <v>2509797.04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-0.51232876712328934</v>
      </c>
      <c r="Q491">
        <f t="shared" si="980"/>
        <v>-1285841.2232328809</v>
      </c>
      <c r="R491">
        <f t="shared" si="981"/>
        <v>-10632359.290720373</v>
      </c>
      <c r="S491">
        <f t="shared" si="982"/>
        <v>-106.32359290720373</v>
      </c>
      <c r="T491">
        <f t="shared" si="983"/>
        <v>-0.10632359290720374</v>
      </c>
    </row>
    <row r="492" spans="1:20" x14ac:dyDescent="0.25">
      <c r="A492" s="5">
        <v>44101</v>
      </c>
      <c r="B492">
        <v>0.31480000000000002</v>
      </c>
      <c r="C492">
        <v>0.31840000000000002</v>
      </c>
      <c r="D492">
        <v>0.30930000000000002</v>
      </c>
      <c r="E492">
        <v>0.31330000000000002</v>
      </c>
      <c r="F492">
        <v>789126.33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-0.12087912087911981</v>
      </c>
      <c r="Q492">
        <f t="shared" si="980"/>
        <v>-95388.897032966182</v>
      </c>
      <c r="R492">
        <f t="shared" si="981"/>
        <v>-9346518.0674874932</v>
      </c>
      <c r="S492">
        <f t="shared" si="982"/>
        <v>-93.465180674874929</v>
      </c>
      <c r="T492">
        <f t="shared" si="983"/>
        <v>-9.3465180674874929E-2</v>
      </c>
    </row>
    <row r="493" spans="1:20" x14ac:dyDescent="0.25">
      <c r="A493" s="5">
        <v>44100</v>
      </c>
      <c r="B493">
        <v>0.32400000000000001</v>
      </c>
      <c r="C493">
        <v>0.33</v>
      </c>
      <c r="D493">
        <v>0.31</v>
      </c>
      <c r="E493">
        <v>0.31540000000000001</v>
      </c>
      <c r="F493">
        <v>1556314.86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-0.45999999999999891</v>
      </c>
      <c r="Q493">
        <f t="shared" si="980"/>
        <v>-715904.83559999836</v>
      </c>
      <c r="R493">
        <f t="shared" si="981"/>
        <v>-9251129.1704545263</v>
      </c>
      <c r="S493">
        <f t="shared" si="982"/>
        <v>-92.511291704545258</v>
      </c>
      <c r="T493">
        <f t="shared" si="983"/>
        <v>-9.2511291704545251E-2</v>
      </c>
    </row>
    <row r="494" spans="1:20" x14ac:dyDescent="0.25">
      <c r="A494" s="5">
        <v>44099</v>
      </c>
      <c r="B494">
        <v>0.3034</v>
      </c>
      <c r="C494">
        <v>0.34110000000000001</v>
      </c>
      <c r="D494">
        <v>0.2898</v>
      </c>
      <c r="E494">
        <v>0.32400000000000001</v>
      </c>
      <c r="F494">
        <v>4969756.62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0.33333333333333331</v>
      </c>
      <c r="Q494">
        <f t="shared" si="980"/>
        <v>1656585.54</v>
      </c>
      <c r="R494">
        <f t="shared" si="981"/>
        <v>-8535224.3348545283</v>
      </c>
      <c r="S494">
        <f t="shared" si="982"/>
        <v>-85.352243348545286</v>
      </c>
      <c r="T494">
        <f t="shared" si="983"/>
        <v>-8.5352243348545284E-2</v>
      </c>
    </row>
    <row r="495" spans="1:20" x14ac:dyDescent="0.25">
      <c r="A495" s="5">
        <v>44098</v>
      </c>
      <c r="B495">
        <v>0.29089999999999999</v>
      </c>
      <c r="C495">
        <v>0.30359999999999998</v>
      </c>
      <c r="D495">
        <v>0.28789999999999999</v>
      </c>
      <c r="E495">
        <v>0.3029</v>
      </c>
      <c r="F495">
        <v>1367873.82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0.91082802547770969</v>
      </c>
      <c r="Q495">
        <f t="shared" si="980"/>
        <v>1245897.8105732522</v>
      </c>
      <c r="R495">
        <f t="shared" si="981"/>
        <v>-10191809.874854529</v>
      </c>
      <c r="S495">
        <f t="shared" si="982"/>
        <v>-101.91809874854529</v>
      </c>
      <c r="T495">
        <f t="shared" si="983"/>
        <v>-0.10191809874854529</v>
      </c>
    </row>
    <row r="496" spans="1:20" x14ac:dyDescent="0.25">
      <c r="A496" s="5">
        <v>44097</v>
      </c>
      <c r="B496">
        <v>0.30049999999999999</v>
      </c>
      <c r="C496">
        <v>0.30380000000000001</v>
      </c>
      <c r="D496">
        <v>0.28989999999999999</v>
      </c>
      <c r="E496">
        <v>0.29089999999999999</v>
      </c>
      <c r="F496">
        <v>640287.05000000005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-0.85611510791366918</v>
      </c>
      <c r="Q496">
        <f t="shared" si="980"/>
        <v>-548159.41690647497</v>
      </c>
      <c r="R496">
        <f t="shared" si="981"/>
        <v>-11437707.685427781</v>
      </c>
      <c r="S496">
        <f t="shared" si="982"/>
        <v>-114.37707685427782</v>
      </c>
      <c r="T496">
        <f t="shared" si="983"/>
        <v>-0.11437707685427782</v>
      </c>
    </row>
    <row r="497" spans="1:20" x14ac:dyDescent="0.25">
      <c r="A497" s="5">
        <v>44096</v>
      </c>
      <c r="B497">
        <v>0.28910000000000002</v>
      </c>
      <c r="C497">
        <v>0.30409999999999998</v>
      </c>
      <c r="D497">
        <v>0.28810000000000002</v>
      </c>
      <c r="E497">
        <v>0.30030000000000001</v>
      </c>
      <c r="F497">
        <v>1095021.6100000001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0.52500000000000246</v>
      </c>
      <c r="Q497">
        <f t="shared" si="980"/>
        <v>574886.34525000281</v>
      </c>
      <c r="R497">
        <f t="shared" si="981"/>
        <v>-10889548.268521307</v>
      </c>
      <c r="S497">
        <f t="shared" si="982"/>
        <v>-108.89548268521307</v>
      </c>
      <c r="T497">
        <f t="shared" si="983"/>
        <v>-0.10889548268521307</v>
      </c>
    </row>
    <row r="498" spans="1:20" x14ac:dyDescent="0.25">
      <c r="A498" s="5">
        <v>44095</v>
      </c>
      <c r="B498">
        <v>0.30930000000000002</v>
      </c>
      <c r="C498">
        <v>0.31609999999999999</v>
      </c>
      <c r="D498">
        <v>0.28799999999999998</v>
      </c>
      <c r="E498">
        <v>0.28839999999999999</v>
      </c>
      <c r="F498">
        <v>2278558.04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-0.97153024911031949</v>
      </c>
      <c r="Q498">
        <f t="shared" si="980"/>
        <v>-2213688.0602135211</v>
      </c>
      <c r="R498">
        <f t="shared" si="981"/>
        <v>-11464434.61377131</v>
      </c>
      <c r="S498">
        <f t="shared" si="982"/>
        <v>-114.6443461377131</v>
      </c>
      <c r="T498">
        <f t="shared" si="983"/>
        <v>-0.1146443461377131</v>
      </c>
    </row>
    <row r="499" spans="1:20" x14ac:dyDescent="0.25">
      <c r="A499" s="5">
        <v>44094</v>
      </c>
      <c r="B499">
        <v>0.3175</v>
      </c>
      <c r="C499">
        <v>0.32500000000000001</v>
      </c>
      <c r="D499">
        <v>0.30280000000000001</v>
      </c>
      <c r="E499">
        <v>0.30940000000000001</v>
      </c>
      <c r="F499">
        <v>1619967.79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-0.40540540540540582</v>
      </c>
      <c r="Q499">
        <f t="shared" si="980"/>
        <v>-656743.69864864938</v>
      </c>
      <c r="R499">
        <f t="shared" si="981"/>
        <v>-9250746.553557789</v>
      </c>
      <c r="S499">
        <f t="shared" si="982"/>
        <v>-92.507465535577893</v>
      </c>
      <c r="T499">
        <f t="shared" si="983"/>
        <v>-9.2507465535577899E-2</v>
      </c>
    </row>
    <row r="500" spans="1:20" x14ac:dyDescent="0.25">
      <c r="A500" s="5">
        <v>44093</v>
      </c>
      <c r="B500">
        <v>0.3196</v>
      </c>
      <c r="C500">
        <v>0.3226</v>
      </c>
      <c r="D500">
        <v>0.30580000000000002</v>
      </c>
      <c r="E500">
        <v>0.31790000000000002</v>
      </c>
      <c r="F500">
        <v>1752924.5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0.44047619047619202</v>
      </c>
      <c r="Q500">
        <f t="shared" si="980"/>
        <v>772121.50595238362</v>
      </c>
      <c r="R500">
        <f t="shared" si="981"/>
        <v>-8594002.8549091388</v>
      </c>
      <c r="S500">
        <f t="shared" si="982"/>
        <v>-85.940028549091394</v>
      </c>
      <c r="T500">
        <f t="shared" si="983"/>
        <v>-8.5940028549091399E-2</v>
      </c>
    </row>
    <row r="501" spans="1:20" x14ac:dyDescent="0.25">
      <c r="A501" s="5">
        <v>44092</v>
      </c>
      <c r="B501">
        <v>0.31159999999999999</v>
      </c>
      <c r="C501">
        <v>0.33069999999999999</v>
      </c>
      <c r="D501">
        <v>0.30890000000000001</v>
      </c>
      <c r="E501">
        <v>0.3196</v>
      </c>
      <c r="F501">
        <v>4156463.87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-1.8348623853211548E-2</v>
      </c>
      <c r="Q501">
        <f t="shared" si="980"/>
        <v>-76265.392110093992</v>
      </c>
      <c r="R501">
        <f t="shared" si="981"/>
        <v>-9366124.3608615231</v>
      </c>
      <c r="S501">
        <f t="shared" si="982"/>
        <v>-93.661243608615237</v>
      </c>
      <c r="T501">
        <f t="shared" si="983"/>
        <v>-9.3661243608615233E-2</v>
      </c>
    </row>
    <row r="502" spans="1:20" x14ac:dyDescent="0.25">
      <c r="A502" s="5">
        <v>44091</v>
      </c>
      <c r="B502">
        <v>0.32019999999999998</v>
      </c>
      <c r="C502">
        <v>0.33090000000000003</v>
      </c>
      <c r="D502">
        <v>0.31</v>
      </c>
      <c r="E502">
        <v>0.31190000000000001</v>
      </c>
      <c r="F502">
        <v>4116296.53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-0.81818181818181723</v>
      </c>
      <c r="Q502">
        <f t="shared" si="980"/>
        <v>-3367878.9790909048</v>
      </c>
      <c r="R502">
        <f t="shared" si="981"/>
        <v>-9289858.9687514286</v>
      </c>
      <c r="S502">
        <f t="shared" si="982"/>
        <v>-92.898589687514288</v>
      </c>
      <c r="T502">
        <f t="shared" si="983"/>
        <v>-9.2898589687514285E-2</v>
      </c>
    </row>
    <row r="503" spans="1:20" x14ac:dyDescent="0.25">
      <c r="A503" s="5">
        <v>44090</v>
      </c>
      <c r="B503">
        <v>0.33450000000000002</v>
      </c>
      <c r="C503">
        <v>0.36120000000000002</v>
      </c>
      <c r="D503">
        <v>0.31830000000000003</v>
      </c>
      <c r="E503">
        <v>0.3206</v>
      </c>
      <c r="F503">
        <v>6922022.9299999997</v>
      </c>
      <c r="G503">
        <v>0</v>
      </c>
      <c r="L503" t="s">
        <v>8</v>
      </c>
      <c r="M503" t="s">
        <v>8</v>
      </c>
      <c r="N503" t="s">
        <v>7</v>
      </c>
      <c r="P503">
        <f t="shared" si="979"/>
        <v>-0.89277389277389418</v>
      </c>
      <c r="Q503">
        <f t="shared" si="980"/>
        <v>-6179801.3570862561</v>
      </c>
      <c r="R503">
        <f t="shared" si="981"/>
        <v>-5921979.9896605238</v>
      </c>
      <c r="S503">
        <f t="shared" si="982"/>
        <v>-59.219799896605238</v>
      </c>
      <c r="T503">
        <f t="shared" si="983"/>
        <v>-5.9219799896605238E-2</v>
      </c>
    </row>
    <row r="504" spans="1:20" x14ac:dyDescent="0.25">
      <c r="A504" s="5">
        <v>44089</v>
      </c>
      <c r="B504">
        <v>0.31929999999999997</v>
      </c>
      <c r="C504">
        <v>0.35499999999999998</v>
      </c>
      <c r="D504">
        <v>0.30530000000000002</v>
      </c>
      <c r="E504">
        <v>0.33500000000000002</v>
      </c>
      <c r="F504">
        <v>6603185.3399999999</v>
      </c>
      <c r="G504">
        <v>0</v>
      </c>
      <c r="L504" t="s">
        <v>8</v>
      </c>
      <c r="M504" t="s">
        <v>7</v>
      </c>
      <c r="N504" t="s">
        <v>7</v>
      </c>
      <c r="P504">
        <f t="shared" si="979"/>
        <v>0.19517102615694262</v>
      </c>
      <c r="Q504">
        <f t="shared" si="980"/>
        <v>1288750.45871228</v>
      </c>
      <c r="R504">
        <f t="shared" si="981"/>
        <v>257821.36742573185</v>
      </c>
      <c r="S504">
        <f t="shared" si="982"/>
        <v>2.5782136742573183</v>
      </c>
      <c r="T504">
        <f t="shared" si="983"/>
        <v>2.5782136742573182E-3</v>
      </c>
    </row>
    <row r="505" spans="1:20" x14ac:dyDescent="0.25">
      <c r="A505" s="5">
        <v>44088</v>
      </c>
      <c r="B505">
        <v>0.30869999999999997</v>
      </c>
      <c r="C505">
        <v>0.32469999999999999</v>
      </c>
      <c r="D505">
        <v>0.30609999999999998</v>
      </c>
      <c r="E505">
        <v>0.31940000000000002</v>
      </c>
      <c r="F505">
        <v>1786079.78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0.43010752688172366</v>
      </c>
      <c r="Q505">
        <f t="shared" si="980"/>
        <v>768206.35698925308</v>
      </c>
      <c r="R505">
        <f t="shared" si="981"/>
        <v>-1030929.0912865482</v>
      </c>
      <c r="S505">
        <f t="shared" si="982"/>
        <v>-10.309290912865482</v>
      </c>
      <c r="T505">
        <f t="shared" si="983"/>
        <v>-1.0309290912865482E-2</v>
      </c>
    </row>
    <row r="506" spans="1:20" x14ac:dyDescent="0.25">
      <c r="A506" s="5">
        <v>44087</v>
      </c>
      <c r="B506">
        <v>0.3291</v>
      </c>
      <c r="C506">
        <v>0.3483</v>
      </c>
      <c r="D506">
        <v>0.30009999999999998</v>
      </c>
      <c r="E506">
        <v>0.30880000000000002</v>
      </c>
      <c r="F506">
        <v>3657468.6</v>
      </c>
      <c r="G506">
        <v>0</v>
      </c>
      <c r="L506" t="s">
        <v>8</v>
      </c>
      <c r="M506" t="s">
        <v>7</v>
      </c>
      <c r="N506" t="s">
        <v>7</v>
      </c>
      <c r="P506">
        <f t="shared" si="979"/>
        <v>-0.63900414937759187</v>
      </c>
      <c r="Q506">
        <f t="shared" si="980"/>
        <v>-2337137.611618252</v>
      </c>
      <c r="R506">
        <f t="shared" si="981"/>
        <v>-1799135.4482758013</v>
      </c>
      <c r="S506">
        <f t="shared" si="982"/>
        <v>-17.991354482758013</v>
      </c>
      <c r="T506">
        <f t="shared" si="983"/>
        <v>-1.7991354482758012E-2</v>
      </c>
    </row>
    <row r="507" spans="1:20" x14ac:dyDescent="0.25">
      <c r="A507" s="5">
        <v>44086</v>
      </c>
      <c r="B507">
        <v>0.33829999999999999</v>
      </c>
      <c r="C507">
        <v>0.33910000000000001</v>
      </c>
      <c r="D507">
        <v>0.318</v>
      </c>
      <c r="E507">
        <v>0.32940000000000003</v>
      </c>
      <c r="F507">
        <v>5214097.92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8.0568720379148542E-2</v>
      </c>
      <c r="Q507">
        <f t="shared" si="980"/>
        <v>420093.19734598004</v>
      </c>
      <c r="R507">
        <f t="shared" si="981"/>
        <v>538002.16334245075</v>
      </c>
      <c r="S507">
        <f t="shared" si="982"/>
        <v>5.3800216334245077</v>
      </c>
      <c r="T507">
        <f t="shared" si="983"/>
        <v>5.3800216334245077E-3</v>
      </c>
    </row>
    <row r="508" spans="1:20" x14ac:dyDescent="0.25">
      <c r="A508" s="5">
        <v>44085</v>
      </c>
      <c r="B508">
        <v>0.34970000000000001</v>
      </c>
      <c r="C508">
        <v>0.35699999999999998</v>
      </c>
      <c r="D508">
        <v>0.31409999999999999</v>
      </c>
      <c r="E508">
        <v>0.33839999999999998</v>
      </c>
      <c r="F508">
        <v>4030025.95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0.13286713286713248</v>
      </c>
      <c r="Q508">
        <f t="shared" si="980"/>
        <v>535457.99335664185</v>
      </c>
      <c r="R508">
        <f t="shared" si="981"/>
        <v>117908.96599647071</v>
      </c>
      <c r="S508">
        <f t="shared" si="982"/>
        <v>1.1790896599647072</v>
      </c>
      <c r="T508">
        <f t="shared" si="983"/>
        <v>1.1790896599647072E-3</v>
      </c>
    </row>
    <row r="509" spans="1:20" x14ac:dyDescent="0.25">
      <c r="A509" s="5">
        <v>44084</v>
      </c>
      <c r="B509">
        <v>0.31669999999999998</v>
      </c>
      <c r="C509">
        <v>0.38679999999999998</v>
      </c>
      <c r="D509">
        <v>0.31630000000000003</v>
      </c>
      <c r="E509">
        <v>0.3498</v>
      </c>
      <c r="F509">
        <v>4329407.6900000004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-4.9645390070922064E-2</v>
      </c>
      <c r="Q509">
        <f t="shared" si="980"/>
        <v>-214935.13354609965</v>
      </c>
      <c r="R509">
        <f t="shared" si="981"/>
        <v>-417549.02736017114</v>
      </c>
      <c r="S509">
        <f t="shared" si="982"/>
        <v>-4.175490273601711</v>
      </c>
      <c r="T509">
        <f t="shared" si="983"/>
        <v>-4.1754902736017112E-3</v>
      </c>
    </row>
    <row r="510" spans="1:20" x14ac:dyDescent="0.25">
      <c r="A510" s="5">
        <v>44083</v>
      </c>
      <c r="B510">
        <v>0.31619999999999998</v>
      </c>
      <c r="C510">
        <v>0.3291</v>
      </c>
      <c r="D510">
        <v>0.30840000000000001</v>
      </c>
      <c r="E510">
        <v>0.31669999999999998</v>
      </c>
      <c r="F510">
        <v>1831995.91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-0.1980676328502439</v>
      </c>
      <c r="Q510">
        <f t="shared" si="980"/>
        <v>-362859.09328502842</v>
      </c>
      <c r="R510">
        <f t="shared" si="981"/>
        <v>-202613.89381407149</v>
      </c>
      <c r="S510">
        <f t="shared" si="982"/>
        <v>-2.0261389381407149</v>
      </c>
      <c r="T510">
        <f t="shared" si="983"/>
        <v>-2.0261389381407151E-3</v>
      </c>
    </row>
    <row r="511" spans="1:20" x14ac:dyDescent="0.25">
      <c r="A511" s="5">
        <v>44082</v>
      </c>
      <c r="B511">
        <v>0.32579999999999998</v>
      </c>
      <c r="C511">
        <v>0.32869999999999999</v>
      </c>
      <c r="D511">
        <v>0.30780000000000002</v>
      </c>
      <c r="E511">
        <v>0.3165</v>
      </c>
      <c r="F511">
        <v>2027110.78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-0.16746411483253623</v>
      </c>
      <c r="Q511">
        <f t="shared" si="980"/>
        <v>-339468.31244019209</v>
      </c>
      <c r="R511">
        <f t="shared" si="981"/>
        <v>160245.19947095693</v>
      </c>
      <c r="S511">
        <f t="shared" si="982"/>
        <v>1.6024519947095692</v>
      </c>
      <c r="T511">
        <f t="shared" si="983"/>
        <v>1.6024519947095692E-3</v>
      </c>
    </row>
    <row r="512" spans="1:20" x14ac:dyDescent="0.25">
      <c r="A512" s="5">
        <v>44081</v>
      </c>
      <c r="B512">
        <v>0.33250000000000002</v>
      </c>
      <c r="C512">
        <v>0.33779999999999999</v>
      </c>
      <c r="D512">
        <v>0.30709999999999998</v>
      </c>
      <c r="E512">
        <v>0.32569999999999999</v>
      </c>
      <c r="F512">
        <v>2699267.69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0.211726384364821</v>
      </c>
      <c r="Q512">
        <f t="shared" si="980"/>
        <v>571506.18843648245</v>
      </c>
      <c r="R512">
        <f t="shared" si="981"/>
        <v>499713.51191114902</v>
      </c>
      <c r="S512">
        <f t="shared" si="982"/>
        <v>4.9971351191114906</v>
      </c>
      <c r="T512">
        <f t="shared" si="983"/>
        <v>4.9971351191114904E-3</v>
      </c>
    </row>
    <row r="513" spans="1:20" x14ac:dyDescent="0.25">
      <c r="A513" s="5">
        <v>44080</v>
      </c>
      <c r="B513">
        <v>0.3261</v>
      </c>
      <c r="C513">
        <v>0.33629999999999999</v>
      </c>
      <c r="D513">
        <v>0.31040000000000001</v>
      </c>
      <c r="E513">
        <v>0.33250000000000002</v>
      </c>
      <c r="F513">
        <v>3122558.17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0.70656370656370859</v>
      </c>
      <c r="Q513">
        <f t="shared" si="980"/>
        <v>2206286.2745559909</v>
      </c>
      <c r="R513">
        <f t="shared" si="981"/>
        <v>-71792.676525333431</v>
      </c>
      <c r="S513">
        <f t="shared" si="982"/>
        <v>-0.71792676525333432</v>
      </c>
      <c r="T513">
        <f t="shared" si="983"/>
        <v>-7.1792676525333436E-4</v>
      </c>
    </row>
    <row r="514" spans="1:20" x14ac:dyDescent="0.25">
      <c r="A514" s="5">
        <v>44079</v>
      </c>
      <c r="B514">
        <v>0.36890000000000001</v>
      </c>
      <c r="C514">
        <v>0.37769999999999998</v>
      </c>
      <c r="D514">
        <v>0.31830000000000003</v>
      </c>
      <c r="E514">
        <v>0.32640000000000002</v>
      </c>
      <c r="F514">
        <v>2996620.05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-0.72727272727272718</v>
      </c>
      <c r="Q514">
        <f t="shared" si="980"/>
        <v>-2179360.0363636361</v>
      </c>
      <c r="R514">
        <f t="shared" si="981"/>
        <v>-2278078.9510813244</v>
      </c>
      <c r="S514">
        <f t="shared" si="982"/>
        <v>-22.780789510813243</v>
      </c>
      <c r="T514">
        <f t="shared" si="983"/>
        <v>-2.2780789510813242E-2</v>
      </c>
    </row>
    <row r="515" spans="1:20" x14ac:dyDescent="0.25">
      <c r="A515" s="5">
        <v>44078</v>
      </c>
      <c r="B515">
        <v>0.37480000000000002</v>
      </c>
      <c r="C515">
        <v>0.38129999999999997</v>
      </c>
      <c r="D515">
        <v>0.35980000000000001</v>
      </c>
      <c r="E515">
        <v>0.36849999999999999</v>
      </c>
      <c r="F515">
        <v>3338968.01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-0.19069767441860463</v>
      </c>
      <c r="Q515">
        <f t="shared" si="980"/>
        <v>-636733.43446511624</v>
      </c>
      <c r="R515">
        <f t="shared" si="981"/>
        <v>-98718.914717688109</v>
      </c>
      <c r="S515">
        <f t="shared" si="982"/>
        <v>-0.98718914717688111</v>
      </c>
      <c r="T515">
        <f t="shared" si="983"/>
        <v>-9.87189147176881E-4</v>
      </c>
    </row>
    <row r="516" spans="1:20" x14ac:dyDescent="0.25">
      <c r="A516" s="5">
        <v>44077</v>
      </c>
      <c r="B516">
        <v>0.44280000000000003</v>
      </c>
      <c r="C516">
        <v>0.45</v>
      </c>
      <c r="D516">
        <v>0.37</v>
      </c>
      <c r="E516">
        <v>0.37780000000000002</v>
      </c>
      <c r="F516">
        <v>4072613.69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-0.80499999999999927</v>
      </c>
      <c r="Q516">
        <f t="shared" si="980"/>
        <v>-3278454.0204499969</v>
      </c>
      <c r="R516">
        <f t="shared" si="981"/>
        <v>538014.51974742813</v>
      </c>
      <c r="S516">
        <f t="shared" si="982"/>
        <v>5.3801451974742811</v>
      </c>
      <c r="T516">
        <f t="shared" si="983"/>
        <v>5.3801451974742811E-3</v>
      </c>
    </row>
    <row r="517" spans="1:20" x14ac:dyDescent="0.25">
      <c r="A517" s="5">
        <v>44076</v>
      </c>
      <c r="B517">
        <v>0.48060000000000003</v>
      </c>
      <c r="C517">
        <v>0.48139999999999999</v>
      </c>
      <c r="D517">
        <v>0.41849999999999998</v>
      </c>
      <c r="E517">
        <v>0.44280000000000003</v>
      </c>
      <c r="F517">
        <v>3695631.01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-0.22734499205087316</v>
      </c>
      <c r="Q517">
        <f t="shared" si="980"/>
        <v>-840183.20259141026</v>
      </c>
      <c r="R517">
        <f t="shared" si="981"/>
        <v>3816468.5401974251</v>
      </c>
      <c r="S517">
        <f t="shared" si="982"/>
        <v>38.164685401974253</v>
      </c>
      <c r="T517">
        <f t="shared" si="983"/>
        <v>3.8164685401974256E-2</v>
      </c>
    </row>
    <row r="518" spans="1:20" x14ac:dyDescent="0.25">
      <c r="A518" s="5">
        <v>44075</v>
      </c>
      <c r="B518">
        <v>0.51049999999999995</v>
      </c>
      <c r="C518">
        <v>0.51060000000000005</v>
      </c>
      <c r="D518">
        <v>0.47449999999999998</v>
      </c>
      <c r="E518">
        <v>0.48080000000000001</v>
      </c>
      <c r="F518">
        <v>3953475.68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-0.6509695290858718</v>
      </c>
      <c r="Q518">
        <f t="shared" ref="Q518:Q581" si="985">F518*P518</f>
        <v>-2573592.2016620468</v>
      </c>
      <c r="R518">
        <f t="shared" ref="R518:R581" si="986">R519+Q518</f>
        <v>4656651.7427888354</v>
      </c>
      <c r="S518">
        <f t="shared" ref="S518:S581" si="987">R518/100000</f>
        <v>46.566517427888357</v>
      </c>
      <c r="T518">
        <f t="shared" ref="T518:T581" si="988">S518/1000</f>
        <v>4.6566517427888358E-2</v>
      </c>
    </row>
    <row r="519" spans="1:20" x14ac:dyDescent="0.25">
      <c r="A519" s="5">
        <v>44074</v>
      </c>
      <c r="B519">
        <v>0.5333</v>
      </c>
      <c r="C519">
        <v>0.53500000000000003</v>
      </c>
      <c r="D519">
        <v>0.50780000000000003</v>
      </c>
      <c r="E519">
        <v>0.50970000000000004</v>
      </c>
      <c r="F519">
        <v>2704706.1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-0.86029411764705788</v>
      </c>
      <c r="Q519">
        <f t="shared" si="985"/>
        <v>-2326842.747794115</v>
      </c>
      <c r="R519">
        <f t="shared" si="986"/>
        <v>7230243.9444508823</v>
      </c>
      <c r="S519">
        <f t="shared" si="987"/>
        <v>72.302439444508821</v>
      </c>
      <c r="T519">
        <f t="shared" si="988"/>
        <v>7.2302439444508815E-2</v>
      </c>
    </row>
    <row r="520" spans="1:20" x14ac:dyDescent="0.25">
      <c r="A520" s="5">
        <v>44073</v>
      </c>
      <c r="B520">
        <v>0.53800000000000003</v>
      </c>
      <c r="C520">
        <v>0.56299999999999994</v>
      </c>
      <c r="D520">
        <v>0.5222</v>
      </c>
      <c r="E520">
        <v>0.53259999999999996</v>
      </c>
      <c r="F520">
        <v>2697793.49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-0.49019607843137364</v>
      </c>
      <c r="Q520">
        <f t="shared" si="985"/>
        <v>-1322447.7892156893</v>
      </c>
      <c r="R520">
        <f t="shared" si="986"/>
        <v>9557086.6922449972</v>
      </c>
      <c r="S520">
        <f t="shared" si="987"/>
        <v>95.570866922449966</v>
      </c>
      <c r="T520">
        <f t="shared" si="988"/>
        <v>9.5570866922449968E-2</v>
      </c>
    </row>
    <row r="521" spans="1:20" x14ac:dyDescent="0.25">
      <c r="A521" s="5">
        <v>44072</v>
      </c>
      <c r="B521">
        <v>0.56620000000000004</v>
      </c>
      <c r="C521">
        <v>0.56910000000000005</v>
      </c>
      <c r="D521">
        <v>0.51649999999999996</v>
      </c>
      <c r="E521">
        <v>0.53800000000000003</v>
      </c>
      <c r="F521">
        <v>2172028.16</v>
      </c>
      <c r="G521">
        <v>0</v>
      </c>
      <c r="L521" t="s">
        <v>7</v>
      </c>
      <c r="M521" t="s">
        <v>8</v>
      </c>
      <c r="N521" t="s">
        <v>8</v>
      </c>
      <c r="P521">
        <f t="shared" si="984"/>
        <v>-0.18250950570342064</v>
      </c>
      <c r="Q521">
        <f t="shared" si="985"/>
        <v>-396415.78585551027</v>
      </c>
      <c r="R521">
        <f t="shared" si="986"/>
        <v>10879534.481460687</v>
      </c>
      <c r="S521">
        <f t="shared" si="987"/>
        <v>108.79534481460686</v>
      </c>
      <c r="T521">
        <f t="shared" si="988"/>
        <v>0.10879534481460687</v>
      </c>
    </row>
    <row r="522" spans="1:20" x14ac:dyDescent="0.25">
      <c r="A522" s="5">
        <v>44071</v>
      </c>
      <c r="B522">
        <v>0.50329999999999997</v>
      </c>
      <c r="C522">
        <v>0.56999999999999995</v>
      </c>
      <c r="D522">
        <v>0.50170000000000003</v>
      </c>
      <c r="E522">
        <v>0.56620000000000004</v>
      </c>
      <c r="F522">
        <v>3694034.11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0.88872620790629808</v>
      </c>
      <c r="Q522">
        <f t="shared" si="985"/>
        <v>3282984.9264568165</v>
      </c>
      <c r="R522">
        <f t="shared" si="986"/>
        <v>11275950.267316196</v>
      </c>
      <c r="S522">
        <f t="shared" si="987"/>
        <v>112.75950267316196</v>
      </c>
      <c r="T522">
        <f t="shared" si="988"/>
        <v>0.11275950267316195</v>
      </c>
    </row>
    <row r="523" spans="1:20" x14ac:dyDescent="0.25">
      <c r="A523" s="5">
        <v>44070</v>
      </c>
      <c r="B523">
        <v>0.49830000000000002</v>
      </c>
      <c r="C523">
        <v>0.51819999999999999</v>
      </c>
      <c r="D523">
        <v>0.47010000000000002</v>
      </c>
      <c r="E523">
        <v>0.50460000000000005</v>
      </c>
      <c r="F523">
        <v>3018123.53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0.43451143451143648</v>
      </c>
      <c r="Q523">
        <f t="shared" si="985"/>
        <v>1311409.1845530204</v>
      </c>
      <c r="R523">
        <f t="shared" si="986"/>
        <v>7992965.3408593787</v>
      </c>
      <c r="S523">
        <f t="shared" si="987"/>
        <v>79.929653408593794</v>
      </c>
      <c r="T523">
        <f t="shared" si="988"/>
        <v>7.9929653408593787E-2</v>
      </c>
    </row>
    <row r="524" spans="1:20" x14ac:dyDescent="0.25">
      <c r="A524" s="5">
        <v>44069</v>
      </c>
      <c r="B524">
        <v>0.46189999999999998</v>
      </c>
      <c r="C524">
        <v>0.49830000000000002</v>
      </c>
      <c r="D524">
        <v>0.46029999999999999</v>
      </c>
      <c r="E524">
        <v>0.498</v>
      </c>
      <c r="F524">
        <v>1831323.23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0.98421052631578831</v>
      </c>
      <c r="Q524">
        <f t="shared" si="985"/>
        <v>1802407.6000526294</v>
      </c>
      <c r="R524">
        <f t="shared" si="986"/>
        <v>6681556.1563063581</v>
      </c>
      <c r="S524">
        <f t="shared" si="987"/>
        <v>66.815561563063582</v>
      </c>
      <c r="T524">
        <f t="shared" si="988"/>
        <v>6.6815561563063577E-2</v>
      </c>
    </row>
    <row r="525" spans="1:20" x14ac:dyDescent="0.25">
      <c r="A525" s="5">
        <v>44068</v>
      </c>
      <c r="B525">
        <v>0.5323</v>
      </c>
      <c r="C525">
        <v>0.53239999999999998</v>
      </c>
      <c r="D525">
        <v>0.44779999999999998</v>
      </c>
      <c r="E525">
        <v>0.46189999999999998</v>
      </c>
      <c r="F525">
        <v>2608675.14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-0.66666666666666663</v>
      </c>
      <c r="Q525">
        <f t="shared" si="985"/>
        <v>-1739116.76</v>
      </c>
      <c r="R525">
        <f t="shared" si="986"/>
        <v>4879148.5562537285</v>
      </c>
      <c r="S525">
        <f t="shared" si="987"/>
        <v>48.791485562537282</v>
      </c>
      <c r="T525">
        <f t="shared" si="988"/>
        <v>4.8791485562537283E-2</v>
      </c>
    </row>
    <row r="526" spans="1:20" x14ac:dyDescent="0.25">
      <c r="A526" s="5">
        <v>44067</v>
      </c>
      <c r="B526">
        <v>0.48209999999999997</v>
      </c>
      <c r="C526">
        <v>0.53339999999999999</v>
      </c>
      <c r="D526">
        <v>0.47920000000000001</v>
      </c>
      <c r="E526">
        <v>0.53149999999999997</v>
      </c>
      <c r="F526">
        <v>2243774.75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0.92988929889298844</v>
      </c>
      <c r="Q526">
        <f t="shared" si="985"/>
        <v>2086462.1291512905</v>
      </c>
      <c r="R526">
        <f t="shared" si="986"/>
        <v>6618265.3162537282</v>
      </c>
      <c r="S526">
        <f t="shared" si="987"/>
        <v>66.182653162537278</v>
      </c>
      <c r="T526">
        <f t="shared" si="988"/>
        <v>6.6182653162537283E-2</v>
      </c>
    </row>
    <row r="527" spans="1:20" x14ac:dyDescent="0.25">
      <c r="A527" s="5">
        <v>44066</v>
      </c>
      <c r="B527">
        <v>0.46899999999999997</v>
      </c>
      <c r="C527">
        <v>0.49399999999999999</v>
      </c>
      <c r="D527">
        <v>0.45229999999999998</v>
      </c>
      <c r="E527">
        <v>0.48209999999999997</v>
      </c>
      <c r="F527">
        <v>10755011.029999999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0.42925659472421979</v>
      </c>
      <c r="Q527">
        <f t="shared" si="985"/>
        <v>4616659.4109592233</v>
      </c>
      <c r="R527">
        <f t="shared" si="986"/>
        <v>4531803.187102438</v>
      </c>
      <c r="S527">
        <f t="shared" si="987"/>
        <v>45.318031871024381</v>
      </c>
      <c r="T527">
        <f t="shared" si="988"/>
        <v>4.5318031871024379E-2</v>
      </c>
    </row>
    <row r="528" spans="1:20" x14ac:dyDescent="0.25">
      <c r="A528" s="5">
        <v>44065</v>
      </c>
      <c r="B528">
        <v>0.43169999999999997</v>
      </c>
      <c r="C528">
        <v>0.49869999999999998</v>
      </c>
      <c r="D528">
        <v>0.41199999999999998</v>
      </c>
      <c r="E528">
        <v>0.47120000000000001</v>
      </c>
      <c r="F528">
        <v>4198278.4400000004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0.36562860438293038</v>
      </c>
      <c r="Q528">
        <f t="shared" si="985"/>
        <v>1535010.6868281462</v>
      </c>
      <c r="R528">
        <f t="shared" si="986"/>
        <v>-84856.223856785335</v>
      </c>
      <c r="S528">
        <f t="shared" si="987"/>
        <v>-0.8485622385678534</v>
      </c>
      <c r="T528">
        <f t="shared" si="988"/>
        <v>-8.4856223856785338E-4</v>
      </c>
    </row>
    <row r="529" spans="1:20" x14ac:dyDescent="0.25">
      <c r="A529" s="5">
        <v>44064</v>
      </c>
      <c r="B529">
        <v>0.53969999999999996</v>
      </c>
      <c r="C529">
        <v>0.53969999999999996</v>
      </c>
      <c r="D529">
        <v>0.40100000000000002</v>
      </c>
      <c r="E529">
        <v>0.43140000000000001</v>
      </c>
      <c r="F529">
        <v>2884153.28</v>
      </c>
      <c r="G529">
        <v>0</v>
      </c>
      <c r="P529">
        <f t="shared" si="984"/>
        <v>-0.56164383561643838</v>
      </c>
      <c r="Q529">
        <f t="shared" si="985"/>
        <v>-1619866.9106849316</v>
      </c>
      <c r="R529">
        <f t="shared" si="986"/>
        <v>-1619866.9106849316</v>
      </c>
      <c r="S529">
        <f t="shared" si="987"/>
        <v>-16.198669106849316</v>
      </c>
      <c r="T529">
        <f t="shared" si="988"/>
        <v>-1.6198669106849316E-2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X382" sqref="IX38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$A$381</v>
      </c>
      <c r="D111" s="1" t="str">
        <f>ADDRESS(C121-1,D121,1,1)</f>
        <v>$IX$381</v>
      </c>
      <c r="E111"/>
    </row>
    <row r="112" spans="1:5" x14ac:dyDescent="0.25">
      <c r="A112" s="7">
        <v>12164.144957890772</v>
      </c>
      <c r="C112" s="1" t="str">
        <f>ADDRESS(C121,1,1,1)</f>
        <v>$A$382</v>
      </c>
      <c r="D112" s="1" t="str">
        <f>ADDRESS(C121,D121-1,1,1)</f>
        <v>$IW$382</v>
      </c>
      <c r="E112"/>
    </row>
    <row r="113" spans="1:5" x14ac:dyDescent="0.25">
      <c r="A113" s="7">
        <v>11925.63231165762</v>
      </c>
      <c r="C113" s="1" t="str">
        <f>ADDRESS(C121+1,1,1,1)</f>
        <v>$A$383</v>
      </c>
      <c r="D113" s="1" t="str">
        <f>ADDRESS(C121-1,D121+1,1,1)</f>
        <v>$IY$381</v>
      </c>
    </row>
    <row r="114" spans="1:5" x14ac:dyDescent="0.25">
      <c r="A114" s="7">
        <v>11691.796383978059</v>
      </c>
      <c r="C114" s="1" t="str">
        <f>ADDRESS(C121,D121,1,1)</f>
        <v>$IX$382</v>
      </c>
      <c r="D114" s="1" t="str">
        <f>ADDRESS(C121+1,D121+1,1,1)</f>
        <v>$IY$383</v>
      </c>
    </row>
    <row r="115" spans="1:5" x14ac:dyDescent="0.25">
      <c r="A115" s="7">
        <v>11462.545474488292</v>
      </c>
      <c r="C115" s="1" t="str">
        <f>ADDRESS(C121+1,D121,1,1)</f>
        <v>$IX$383</v>
      </c>
    </row>
    <row r="116" spans="1:5" x14ac:dyDescent="0.25">
      <c r="A116" s="7">
        <v>11237.789680870874</v>
      </c>
      <c r="C116" s="1">
        <f>C117-1</f>
        <v>381</v>
      </c>
    </row>
    <row r="117" spans="1:5" x14ac:dyDescent="0.25">
      <c r="A117" s="7">
        <v>11017.440863598895</v>
      </c>
      <c r="C117" s="1">
        <f>C121</f>
        <v>382</v>
      </c>
      <c r="D117" s="1">
        <f>D121</f>
        <v>258</v>
      </c>
    </row>
    <row r="118" spans="1:5" x14ac:dyDescent="0.25">
      <c r="A118" s="7">
        <v>10801.412611371465</v>
      </c>
      <c r="C118" s="1">
        <f>C117+1</f>
        <v>383</v>
      </c>
      <c r="D118" s="1">
        <f>D117+1</f>
        <v>259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382</v>
      </c>
      <c r="D121" s="19">
        <v>258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R382</v>
      </c>
      <c r="D123" s="1" t="str">
        <f>"C"&amp;D121</f>
        <v>C258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57.947567653754362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254" x14ac:dyDescent="0.25">
      <c r="A353" s="7">
        <v>102.90588033356946</v>
      </c>
      <c r="B353"/>
      <c r="C353"/>
      <c r="D353"/>
      <c r="E353"/>
      <c r="IG353" s="27" t="s">
        <v>8</v>
      </c>
    </row>
    <row r="354" spans="1:254" x14ac:dyDescent="0.25">
      <c r="A354" s="7">
        <v>100.88811797408771</v>
      </c>
      <c r="B354"/>
      <c r="C354"/>
      <c r="D354"/>
      <c r="E354"/>
      <c r="IG354" s="27" t="s">
        <v>8</v>
      </c>
      <c r="IH354" s="27" t="s">
        <v>7</v>
      </c>
    </row>
    <row r="355" spans="1:254" x14ac:dyDescent="0.25">
      <c r="A355" s="7">
        <v>98.909919582438931</v>
      </c>
      <c r="B355"/>
      <c r="C355"/>
      <c r="D355"/>
      <c r="E355"/>
      <c r="IG355" s="27" t="s">
        <v>8</v>
      </c>
      <c r="IH355" s="27" t="s">
        <v>7</v>
      </c>
    </row>
    <row r="356" spans="1:254" x14ac:dyDescent="0.25">
      <c r="A356" s="7">
        <v>96.970509394547975</v>
      </c>
      <c r="B356"/>
      <c r="C356"/>
      <c r="D356"/>
      <c r="E356"/>
      <c r="IE356" s="27" t="s">
        <v>8</v>
      </c>
      <c r="IG356" s="27" t="s">
        <v>8</v>
      </c>
      <c r="IH356" s="27" t="s">
        <v>7</v>
      </c>
    </row>
    <row r="357" spans="1:254" x14ac:dyDescent="0.25">
      <c r="A357" s="7">
        <v>95.069126857399979</v>
      </c>
      <c r="B357"/>
      <c r="C357"/>
      <c r="D357"/>
      <c r="E357"/>
      <c r="IE357" s="27" t="s">
        <v>8</v>
      </c>
      <c r="IF357" s="27" t="s">
        <v>7</v>
      </c>
      <c r="IG357" s="27" t="s">
        <v>8</v>
      </c>
      <c r="IH357" s="27" t="s">
        <v>7</v>
      </c>
    </row>
    <row r="358" spans="1:254" x14ac:dyDescent="0.25">
      <c r="A358" s="7">
        <v>93.205026330784293</v>
      </c>
      <c r="B358"/>
      <c r="C358"/>
      <c r="D358"/>
      <c r="E358"/>
      <c r="IE358" s="27" t="s">
        <v>8</v>
      </c>
      <c r="IF358" s="27" t="s">
        <v>7</v>
      </c>
      <c r="IG358" s="27" t="s">
        <v>8</v>
      </c>
      <c r="IH358" s="27" t="s">
        <v>7</v>
      </c>
      <c r="II358" s="27" t="s">
        <v>8</v>
      </c>
    </row>
    <row r="359" spans="1:254" x14ac:dyDescent="0.25">
      <c r="A359" s="7">
        <v>91.377476794886562</v>
      </c>
      <c r="B359"/>
      <c r="C359"/>
      <c r="D359"/>
      <c r="E359"/>
      <c r="IE359" s="27" t="s">
        <v>8</v>
      </c>
      <c r="IF359" s="27" t="s">
        <v>7</v>
      </c>
      <c r="IG359" s="27" t="s">
        <v>8</v>
      </c>
      <c r="IH359" s="27" t="s">
        <v>7</v>
      </c>
      <c r="II359" s="27" t="s">
        <v>8</v>
      </c>
      <c r="IJ359" s="27" t="s">
        <v>7</v>
      </c>
    </row>
    <row r="360" spans="1:254" x14ac:dyDescent="0.25">
      <c r="A360" s="7">
        <v>89.58576156361427</v>
      </c>
      <c r="B360"/>
      <c r="C360"/>
      <c r="D360"/>
      <c r="E360"/>
      <c r="IE360" s="27" t="s">
        <v>8</v>
      </c>
      <c r="IF360" s="27" t="s">
        <v>7</v>
      </c>
      <c r="IG360" s="27" t="s">
        <v>8</v>
      </c>
      <c r="IH360" s="27" t="s">
        <v>7</v>
      </c>
      <c r="II360" s="27" t="s">
        <v>8</v>
      </c>
      <c r="IJ360" s="27" t="s">
        <v>7</v>
      </c>
    </row>
    <row r="361" spans="1:254" x14ac:dyDescent="0.25">
      <c r="A361" s="7">
        <v>87.829178003543404</v>
      </c>
      <c r="B361"/>
      <c r="C361"/>
      <c r="D361"/>
      <c r="E361"/>
      <c r="IE361" s="27" t="s">
        <v>8</v>
      </c>
      <c r="IF361" s="27" t="s">
        <v>7</v>
      </c>
      <c r="IG361" s="27" t="s">
        <v>8</v>
      </c>
      <c r="IH361" s="27" t="s">
        <v>7</v>
      </c>
      <c r="II361" s="27" t="s">
        <v>8</v>
      </c>
      <c r="IJ361" s="27" t="s">
        <v>7</v>
      </c>
      <c r="IQ361" s="27" t="s">
        <v>8</v>
      </c>
    </row>
    <row r="362" spans="1:254" x14ac:dyDescent="0.25">
      <c r="A362" s="7">
        <v>86.107037258375883</v>
      </c>
      <c r="B362"/>
      <c r="C362"/>
      <c r="D362"/>
      <c r="E362"/>
      <c r="IE362" s="27" t="s">
        <v>8</v>
      </c>
      <c r="IF362" s="27" t="s">
        <v>7</v>
      </c>
      <c r="IG362" s="27" t="s">
        <v>8</v>
      </c>
      <c r="IH362" s="27" t="s">
        <v>7</v>
      </c>
      <c r="II362" s="27" t="s">
        <v>8</v>
      </c>
      <c r="IJ362" s="27" t="s">
        <v>7</v>
      </c>
      <c r="IQ362" s="27" t="s">
        <v>8</v>
      </c>
      <c r="IR362" s="27" t="s">
        <v>7</v>
      </c>
    </row>
    <row r="363" spans="1:254" x14ac:dyDescent="0.25">
      <c r="A363" s="7">
        <v>84.418663978799884</v>
      </c>
      <c r="B363"/>
      <c r="C363"/>
      <c r="D363"/>
      <c r="E363"/>
      <c r="IE363" s="27" t="s">
        <v>8</v>
      </c>
      <c r="IF363" s="27" t="s">
        <v>7</v>
      </c>
      <c r="IH363" s="27" t="s">
        <v>7</v>
      </c>
      <c r="II363" s="27" t="s">
        <v>8</v>
      </c>
      <c r="IJ363" s="27" t="s">
        <v>7</v>
      </c>
      <c r="IQ363" s="27" t="s">
        <v>8</v>
      </c>
      <c r="IR363" s="27" t="s">
        <v>7</v>
      </c>
      <c r="IS363" s="27" t="s">
        <v>8</v>
      </c>
    </row>
    <row r="364" spans="1:254" x14ac:dyDescent="0.25">
      <c r="A364" s="7">
        <v>82.763396057646943</v>
      </c>
      <c r="B364"/>
      <c r="C364"/>
      <c r="D364"/>
      <c r="E364"/>
      <c r="IE364" s="27" t="s">
        <v>8</v>
      </c>
      <c r="IH364" s="27" t="s">
        <v>7</v>
      </c>
      <c r="II364" s="27" t="s">
        <v>8</v>
      </c>
      <c r="IJ364" s="27" t="s">
        <v>7</v>
      </c>
      <c r="IO364" s="27" t="s">
        <v>8</v>
      </c>
      <c r="IQ364" s="27" t="s">
        <v>8</v>
      </c>
      <c r="IR364" s="27" t="s">
        <v>7</v>
      </c>
      <c r="IS364" s="27" t="s">
        <v>8</v>
      </c>
      <c r="IT364" s="27" t="s">
        <v>7</v>
      </c>
    </row>
    <row r="365" spans="1:254" x14ac:dyDescent="0.25">
      <c r="A365" s="7">
        <v>81.140584370242095</v>
      </c>
      <c r="B365"/>
      <c r="C365"/>
      <c r="D365"/>
      <c r="E365"/>
      <c r="IE365" s="27" t="s">
        <v>8</v>
      </c>
      <c r="IH365" s="27" t="s">
        <v>7</v>
      </c>
      <c r="IJ365" s="27" t="s">
        <v>7</v>
      </c>
      <c r="IO365" s="27" t="s">
        <v>8</v>
      </c>
      <c r="IP365" s="27" t="s">
        <v>7</v>
      </c>
      <c r="IQ365" s="27" t="s">
        <v>8</v>
      </c>
      <c r="IR365" s="27" t="s">
        <v>7</v>
      </c>
      <c r="IS365" s="27" t="s">
        <v>8</v>
      </c>
      <c r="IT365" s="27" t="s">
        <v>7</v>
      </c>
    </row>
    <row r="366" spans="1:254" x14ac:dyDescent="0.25">
      <c r="A366" s="7">
        <v>79.549592519845191</v>
      </c>
      <c r="B366"/>
      <c r="C366"/>
      <c r="D366"/>
      <c r="E366"/>
      <c r="IE366" s="27" t="s">
        <v>8</v>
      </c>
      <c r="IJ366" s="27" t="s">
        <v>7</v>
      </c>
      <c r="IK366" s="27" t="s">
        <v>8</v>
      </c>
      <c r="IO366" s="27" t="s">
        <v>8</v>
      </c>
      <c r="IP366" s="27" t="s">
        <v>7</v>
      </c>
      <c r="IQ366" s="27" t="s">
        <v>8</v>
      </c>
      <c r="IR366" s="27" t="s">
        <v>7</v>
      </c>
      <c r="IS366" s="27" t="s">
        <v>8</v>
      </c>
      <c r="IT366" s="27" t="s">
        <v>7</v>
      </c>
    </row>
    <row r="367" spans="1:254" x14ac:dyDescent="0.25">
      <c r="A367" s="7">
        <v>77.989796588083522</v>
      </c>
      <c r="B367"/>
      <c r="C367"/>
      <c r="D367"/>
      <c r="E367"/>
      <c r="HY367" s="27" t="s">
        <v>8</v>
      </c>
      <c r="IE367" s="27" t="s">
        <v>8</v>
      </c>
      <c r="IJ367" s="27" t="s">
        <v>7</v>
      </c>
      <c r="IK367" s="27" t="s">
        <v>8</v>
      </c>
      <c r="IL367" s="27" t="s">
        <v>7</v>
      </c>
      <c r="IO367" s="27" t="s">
        <v>8</v>
      </c>
      <c r="IP367" s="27" t="s">
        <v>7</v>
      </c>
      <c r="IQ367" s="27" t="s">
        <v>8</v>
      </c>
      <c r="IR367" s="27" t="s">
        <v>7</v>
      </c>
      <c r="IS367" s="27" t="s">
        <v>8</v>
      </c>
      <c r="IT367" s="27" t="s">
        <v>7</v>
      </c>
    </row>
    <row r="368" spans="1:254" x14ac:dyDescent="0.25">
      <c r="A368" s="7">
        <v>76.460584890277957</v>
      </c>
      <c r="B368"/>
      <c r="C368"/>
      <c r="D368"/>
      <c r="E368"/>
      <c r="HY368" s="27" t="s">
        <v>8</v>
      </c>
      <c r="HZ368" s="27" t="s">
        <v>7</v>
      </c>
      <c r="IA368" s="27" t="s">
        <v>8</v>
      </c>
      <c r="IE368" s="27" t="s">
        <v>8</v>
      </c>
      <c r="IJ368" s="27" t="s">
        <v>7</v>
      </c>
      <c r="IK368" s="27" t="s">
        <v>8</v>
      </c>
      <c r="IL368" s="27" t="s">
        <v>7</v>
      </c>
      <c r="IO368" s="27" t="s">
        <v>8</v>
      </c>
      <c r="IP368" s="27" t="s">
        <v>7</v>
      </c>
      <c r="IR368" s="27" t="s">
        <v>7</v>
      </c>
      <c r="IS368" s="27" t="s">
        <v>8</v>
      </c>
      <c r="IT368" s="27" t="s">
        <v>7</v>
      </c>
    </row>
    <row r="369" spans="1:258" x14ac:dyDescent="0.25">
      <c r="A369" s="7">
        <v>74.961357735566622</v>
      </c>
      <c r="B369"/>
      <c r="C369"/>
      <c r="D369"/>
      <c r="E369"/>
      <c r="HY369" s="27" t="s">
        <v>8</v>
      </c>
      <c r="HZ369" s="27" t="s">
        <v>7</v>
      </c>
      <c r="IA369" s="27" t="s">
        <v>8</v>
      </c>
      <c r="IB369" s="27" t="s">
        <v>7</v>
      </c>
      <c r="IE369" s="27" t="s">
        <v>8</v>
      </c>
      <c r="IJ369" s="27" t="s">
        <v>7</v>
      </c>
      <c r="IK369" s="27" t="s">
        <v>8</v>
      </c>
      <c r="IL369" s="27" t="s">
        <v>7</v>
      </c>
      <c r="IM369" s="27" t="s">
        <v>8</v>
      </c>
      <c r="IO369" s="27" t="s">
        <v>8</v>
      </c>
      <c r="IR369" s="27" t="s">
        <v>7</v>
      </c>
      <c r="IT369" s="27" t="s">
        <v>7</v>
      </c>
    </row>
    <row r="370" spans="1:258" x14ac:dyDescent="0.25">
      <c r="A370" s="7">
        <v>73.491527191731976</v>
      </c>
      <c r="B370"/>
      <c r="C370"/>
      <c r="D370"/>
      <c r="E370"/>
      <c r="HY370" s="27" t="s">
        <v>8</v>
      </c>
      <c r="HZ370" s="27" t="s">
        <v>7</v>
      </c>
      <c r="IA370" s="27" t="s">
        <v>8</v>
      </c>
      <c r="IB370" s="27" t="s">
        <v>7</v>
      </c>
      <c r="IE370" s="27" t="s">
        <v>8</v>
      </c>
      <c r="IJ370" s="27" t="s">
        <v>7</v>
      </c>
      <c r="IL370" s="27" t="s">
        <v>7</v>
      </c>
      <c r="IM370" s="27" t="s">
        <v>8</v>
      </c>
      <c r="IN370" s="27" t="s">
        <v>7</v>
      </c>
      <c r="IO370" s="27" t="s">
        <v>8</v>
      </c>
      <c r="IT370" s="27" t="s">
        <v>7</v>
      </c>
    </row>
    <row r="371" spans="1:258" x14ac:dyDescent="0.25">
      <c r="A371" s="7">
        <v>72.050516854639184</v>
      </c>
      <c r="B371"/>
      <c r="C371"/>
      <c r="D371"/>
      <c r="E371"/>
      <c r="HY371" s="27" t="s">
        <v>8</v>
      </c>
      <c r="HZ371" s="27" t="s">
        <v>7</v>
      </c>
      <c r="IA371" s="27" t="s">
        <v>8</v>
      </c>
      <c r="IB371" s="27" t="s">
        <v>7</v>
      </c>
      <c r="IE371" s="27" t="s">
        <v>8</v>
      </c>
      <c r="IL371" s="27" t="s">
        <v>7</v>
      </c>
      <c r="IM371" s="27" t="s">
        <v>8</v>
      </c>
      <c r="IN371" s="27" t="s">
        <v>7</v>
      </c>
      <c r="IO371" s="27" t="s">
        <v>8</v>
      </c>
      <c r="IT371" s="27" t="s">
        <v>7</v>
      </c>
    </row>
    <row r="372" spans="1:258" x14ac:dyDescent="0.25">
      <c r="A372" s="7">
        <v>70.637761622195271</v>
      </c>
      <c r="B372"/>
      <c r="C372"/>
      <c r="D372"/>
      <c r="E372"/>
      <c r="HY372" s="27" t="s">
        <v>8</v>
      </c>
      <c r="HZ372" s="27" t="s">
        <v>7</v>
      </c>
      <c r="IA372" s="27" t="s">
        <v>8</v>
      </c>
      <c r="IB372" s="27" t="s">
        <v>7</v>
      </c>
      <c r="IE372" s="27" t="s">
        <v>8</v>
      </c>
      <c r="IL372" s="27" t="s">
        <v>7</v>
      </c>
      <c r="IM372" s="27" t="s">
        <v>8</v>
      </c>
      <c r="IN372" s="27" t="s">
        <v>7</v>
      </c>
      <c r="IO372" s="27" t="s">
        <v>8</v>
      </c>
      <c r="IT372" s="27" t="s">
        <v>7</v>
      </c>
    </row>
    <row r="373" spans="1:258" x14ac:dyDescent="0.25">
      <c r="A373" s="7">
        <v>69.252707472740454</v>
      </c>
      <c r="B373"/>
      <c r="C373"/>
      <c r="D373"/>
      <c r="E373"/>
      <c r="HY373" s="27" t="s">
        <v>8</v>
      </c>
      <c r="HZ373" s="27" t="s">
        <v>7</v>
      </c>
      <c r="IA373" s="27" t="s">
        <v>8</v>
      </c>
      <c r="IB373" s="27" t="s">
        <v>7</v>
      </c>
      <c r="IE373" s="27" t="s">
        <v>8</v>
      </c>
      <c r="IL373" s="27" t="s">
        <v>7</v>
      </c>
      <c r="IM373" s="27" t="s">
        <v>8</v>
      </c>
      <c r="IN373" s="27" t="s">
        <v>7</v>
      </c>
      <c r="IO373" s="27" t="s">
        <v>8</v>
      </c>
      <c r="IT373" s="27" t="s">
        <v>7</v>
      </c>
      <c r="IU373" s="27" t="s">
        <v>8</v>
      </c>
    </row>
    <row r="374" spans="1:258" x14ac:dyDescent="0.25">
      <c r="A374" s="7">
        <v>67.894811247784759</v>
      </c>
      <c r="B374"/>
      <c r="C374"/>
      <c r="D374"/>
      <c r="E374"/>
      <c r="HY374" s="27" t="s">
        <v>8</v>
      </c>
      <c r="HZ374" s="27" t="s">
        <v>7</v>
      </c>
      <c r="IA374" s="27" t="s">
        <v>8</v>
      </c>
      <c r="IB374" s="27" t="s">
        <v>7</v>
      </c>
      <c r="IC374" s="27" t="s">
        <v>8</v>
      </c>
      <c r="IE374" s="27" t="s">
        <v>8</v>
      </c>
      <c r="IL374" s="27" t="s">
        <v>7</v>
      </c>
      <c r="IM374" s="27" t="s">
        <v>8</v>
      </c>
      <c r="IN374" s="27" t="s">
        <v>7</v>
      </c>
      <c r="IO374" s="27" t="s">
        <v>8</v>
      </c>
      <c r="IT374" s="27" t="s">
        <v>7</v>
      </c>
      <c r="IU374" s="27" t="s">
        <v>8</v>
      </c>
      <c r="IV374" s="27" t="s">
        <v>7</v>
      </c>
    </row>
    <row r="375" spans="1:258" x14ac:dyDescent="0.25">
      <c r="A375" s="7">
        <v>66.563540439004669</v>
      </c>
      <c r="B375"/>
      <c r="C375"/>
      <c r="D375"/>
      <c r="E375"/>
      <c r="HY375" s="27" t="s">
        <v>8</v>
      </c>
      <c r="HZ375" s="27" t="s">
        <v>7</v>
      </c>
      <c r="IA375" s="27" t="s">
        <v>8</v>
      </c>
      <c r="IB375" s="27" t="s">
        <v>7</v>
      </c>
      <c r="IC375" s="27" t="s">
        <v>8</v>
      </c>
      <c r="ID375" s="27" t="s">
        <v>7</v>
      </c>
      <c r="IE375" s="27" t="s">
        <v>8</v>
      </c>
      <c r="IL375" s="27" t="s">
        <v>7</v>
      </c>
      <c r="IM375" s="27" t="s">
        <v>8</v>
      </c>
      <c r="IN375" s="27" t="s">
        <v>7</v>
      </c>
      <c r="IO375" s="27" t="s">
        <v>8</v>
      </c>
      <c r="IT375" s="27" t="s">
        <v>7</v>
      </c>
      <c r="IU375" s="27" t="s">
        <v>8</v>
      </c>
      <c r="IV375" s="27" t="s">
        <v>7</v>
      </c>
      <c r="IW375" s="27" t="s">
        <v>8</v>
      </c>
    </row>
    <row r="376" spans="1:258" x14ac:dyDescent="0.25">
      <c r="A376" s="7">
        <v>65.258372979416336</v>
      </c>
      <c r="B376"/>
      <c r="C376"/>
      <c r="D376"/>
      <c r="E376"/>
      <c r="HY376" s="27" t="s">
        <v>8</v>
      </c>
      <c r="HZ376" s="27" t="s">
        <v>7</v>
      </c>
      <c r="IA376" s="27" t="s">
        <v>8</v>
      </c>
      <c r="IB376" s="27" t="s">
        <v>7</v>
      </c>
      <c r="IC376" s="27" t="s">
        <v>8</v>
      </c>
      <c r="ID376" s="27" t="s">
        <v>7</v>
      </c>
      <c r="IE376" s="27" t="s">
        <v>8</v>
      </c>
      <c r="IL376" s="27" t="s">
        <v>7</v>
      </c>
      <c r="IM376" s="27" t="s">
        <v>8</v>
      </c>
      <c r="IN376" s="27" t="s">
        <v>7</v>
      </c>
      <c r="IT376" s="27" t="s">
        <v>7</v>
      </c>
      <c r="IU376" s="27" t="s">
        <v>8</v>
      </c>
      <c r="IV376" s="27" t="s">
        <v>7</v>
      </c>
      <c r="IW376" s="27" t="s">
        <v>8</v>
      </c>
      <c r="IX376" s="27" t="s">
        <v>7</v>
      </c>
    </row>
    <row r="377" spans="1:258" x14ac:dyDescent="0.25">
      <c r="A377" s="7">
        <v>63.978797038643471</v>
      </c>
      <c r="B377"/>
      <c r="C377"/>
      <c r="D377"/>
      <c r="E377"/>
      <c r="HY377" s="27" t="s">
        <v>8</v>
      </c>
      <c r="HZ377" s="27" t="s">
        <v>7</v>
      </c>
      <c r="IA377" s="27" t="s">
        <v>8</v>
      </c>
      <c r="IB377" s="27" t="s">
        <v>7</v>
      </c>
      <c r="IC377" s="27" t="s">
        <v>8</v>
      </c>
      <c r="ID377" s="27" t="s">
        <v>7</v>
      </c>
      <c r="IE377" s="27" t="s">
        <v>8</v>
      </c>
      <c r="IL377" s="27" t="s">
        <v>7</v>
      </c>
      <c r="IM377" s="27" t="s">
        <v>8</v>
      </c>
      <c r="IT377" s="27" t="s">
        <v>7</v>
      </c>
      <c r="IU377" s="27" t="s">
        <v>8</v>
      </c>
      <c r="IV377" s="27" t="s">
        <v>7</v>
      </c>
      <c r="IW377" s="27" t="s">
        <v>8</v>
      </c>
      <c r="IX377" s="27" t="s">
        <v>7</v>
      </c>
    </row>
    <row r="378" spans="1:258" x14ac:dyDescent="0.25">
      <c r="A378" s="7">
        <v>62.724310822199477</v>
      </c>
      <c r="B378"/>
      <c r="C378"/>
      <c r="D378"/>
      <c r="E378"/>
      <c r="HY378" s="27" t="s">
        <v>8</v>
      </c>
      <c r="HZ378" s="27" t="s">
        <v>7</v>
      </c>
      <c r="IA378" s="27" t="s">
        <v>8</v>
      </c>
      <c r="IB378" s="27" t="s">
        <v>7</v>
      </c>
      <c r="IC378" s="27" t="s">
        <v>8</v>
      </c>
      <c r="ID378" s="27" t="s">
        <v>7</v>
      </c>
      <c r="IE378" s="27" t="s">
        <v>8</v>
      </c>
      <c r="IL378" s="27" t="s">
        <v>7</v>
      </c>
      <c r="IT378" s="27" t="s">
        <v>7</v>
      </c>
      <c r="IU378" s="27" t="s">
        <v>8</v>
      </c>
      <c r="IV378" s="27" t="s">
        <v>7</v>
      </c>
      <c r="IW378" s="27" t="s">
        <v>8</v>
      </c>
      <c r="IX378" s="27" t="s">
        <v>7</v>
      </c>
    </row>
    <row r="379" spans="1:258" x14ac:dyDescent="0.25">
      <c r="A379" s="7">
        <v>61.494422374705366</v>
      </c>
      <c r="B379"/>
      <c r="C379"/>
      <c r="D379"/>
      <c r="E379"/>
      <c r="HY379" s="27" t="s">
        <v>8</v>
      </c>
      <c r="HZ379" s="27" t="s">
        <v>7</v>
      </c>
      <c r="IA379" s="27" t="s">
        <v>8</v>
      </c>
      <c r="IB379" s="27" t="s">
        <v>7</v>
      </c>
      <c r="IC379" s="27" t="s">
        <v>8</v>
      </c>
      <c r="ID379" s="27" t="s">
        <v>7</v>
      </c>
      <c r="IT379" s="27" t="s">
        <v>7</v>
      </c>
      <c r="IU379" s="27" t="s">
        <v>8</v>
      </c>
      <c r="IV379" s="27" t="s">
        <v>7</v>
      </c>
      <c r="IW379" s="27" t="s">
        <v>8</v>
      </c>
      <c r="IX379" s="27" t="s">
        <v>7</v>
      </c>
    </row>
    <row r="380" spans="1:258" x14ac:dyDescent="0.25">
      <c r="A380" s="7">
        <v>60.288649386966043</v>
      </c>
      <c r="B380"/>
      <c r="C380"/>
      <c r="D380"/>
      <c r="E380"/>
      <c r="HY380" s="27" t="s">
        <v>8</v>
      </c>
      <c r="HZ380" s="27" t="s">
        <v>7</v>
      </c>
      <c r="IB380" s="27" t="s">
        <v>7</v>
      </c>
      <c r="IC380" s="27" t="s">
        <v>8</v>
      </c>
      <c r="IT380" s="27" t="s">
        <v>7</v>
      </c>
      <c r="IU380" s="27" t="s">
        <v>8</v>
      </c>
      <c r="IV380" s="27" t="s">
        <v>7</v>
      </c>
      <c r="IX380" s="27" t="s">
        <v>7</v>
      </c>
    </row>
    <row r="381" spans="1:258" x14ac:dyDescent="0.25">
      <c r="A381" s="7">
        <v>59.106519006829451</v>
      </c>
      <c r="B381"/>
      <c r="C381"/>
      <c r="D381"/>
      <c r="E381"/>
      <c r="HY381" s="27" t="s">
        <v>8</v>
      </c>
      <c r="IB381" s="27" t="s">
        <v>7</v>
      </c>
      <c r="IC381" s="27" t="s">
        <v>8</v>
      </c>
      <c r="IT381" s="27" t="s">
        <v>7</v>
      </c>
      <c r="IU381" s="27" t="s">
        <v>8</v>
      </c>
      <c r="IX381" s="27" t="s">
        <v>7</v>
      </c>
    </row>
    <row r="382" spans="1:258" x14ac:dyDescent="0.25">
      <c r="A382" s="7">
        <v>57.947567653754362</v>
      </c>
      <c r="B382"/>
      <c r="C382"/>
      <c r="D382"/>
      <c r="E382"/>
      <c r="HY382" s="27" t="s">
        <v>8</v>
      </c>
      <c r="IB382" s="27" t="s">
        <v>7</v>
      </c>
      <c r="IC382" s="27" t="s">
        <v>8</v>
      </c>
      <c r="IT382" s="27" t="s">
        <v>7</v>
      </c>
      <c r="IU382" s="27" t="s">
        <v>8</v>
      </c>
      <c r="IX382" s="27" t="s">
        <v>7</v>
      </c>
    </row>
    <row r="383" spans="1:258" x14ac:dyDescent="0.25">
      <c r="A383" s="7">
        <v>56.811340837014079</v>
      </c>
      <c r="B383"/>
      <c r="C383"/>
      <c r="D383"/>
      <c r="E383"/>
      <c r="HY383" s="27" t="s">
        <v>8</v>
      </c>
      <c r="IB383" s="27" t="s">
        <v>7</v>
      </c>
      <c r="IC383" s="27" t="s">
        <v>8</v>
      </c>
      <c r="IT383" s="27" t="s">
        <v>7</v>
      </c>
      <c r="IU383" s="27" t="s">
        <v>8</v>
      </c>
    </row>
    <row r="384" spans="1:258" x14ac:dyDescent="0.25">
      <c r="A384" s="7">
        <v>55.69739297746478</v>
      </c>
      <c r="B384"/>
      <c r="C384"/>
      <c r="D384"/>
      <c r="E384"/>
      <c r="HY384" s="27" t="s">
        <v>8</v>
      </c>
      <c r="IB384" s="27" t="s">
        <v>7</v>
      </c>
      <c r="IC384" s="27" t="s">
        <v>8</v>
      </c>
      <c r="IT384" s="27" t="s">
        <v>7</v>
      </c>
      <c r="IU384" s="27" t="s">
        <v>8</v>
      </c>
    </row>
    <row r="385" spans="1:255" x14ac:dyDescent="0.25">
      <c r="A385" s="7">
        <v>54.605287232808607</v>
      </c>
      <c r="B385"/>
      <c r="C385"/>
      <c r="D385"/>
      <c r="E385"/>
      <c r="HO385" s="27" t="s">
        <v>8</v>
      </c>
      <c r="HY385" s="27" t="s">
        <v>8</v>
      </c>
      <c r="IB385" s="27" t="s">
        <v>7</v>
      </c>
      <c r="IC385" s="27" t="s">
        <v>8</v>
      </c>
      <c r="IT385" s="27" t="s">
        <v>7</v>
      </c>
      <c r="IU385" s="27" t="s">
        <v>8</v>
      </c>
    </row>
    <row r="386" spans="1:255" x14ac:dyDescent="0.25">
      <c r="A386" s="7">
        <v>53.534595326282947</v>
      </c>
      <c r="B386"/>
      <c r="C386"/>
      <c r="D386"/>
      <c r="E386"/>
      <c r="HO386" s="27" t="s">
        <v>8</v>
      </c>
      <c r="HP386" s="27" t="s">
        <v>7</v>
      </c>
      <c r="HY386" s="27" t="s">
        <v>8</v>
      </c>
      <c r="IB386" s="27" t="s">
        <v>7</v>
      </c>
      <c r="IC386" s="27" t="s">
        <v>8</v>
      </c>
      <c r="IT386" s="27" t="s">
        <v>7</v>
      </c>
    </row>
    <row r="387" spans="1:255" x14ac:dyDescent="0.25">
      <c r="A387" s="7">
        <v>52.484897378708773</v>
      </c>
      <c r="B387"/>
      <c r="C387"/>
      <c r="D387"/>
      <c r="E387"/>
      <c r="HM387" s="27" t="s">
        <v>8</v>
      </c>
      <c r="HO387" s="27" t="s">
        <v>8</v>
      </c>
      <c r="HP387" s="27" t="s">
        <v>7</v>
      </c>
      <c r="HS387" s="27" t="s">
        <v>8</v>
      </c>
      <c r="HY387" s="27" t="s">
        <v>8</v>
      </c>
      <c r="IB387" s="27" t="s">
        <v>7</v>
      </c>
    </row>
    <row r="388" spans="1:255" x14ac:dyDescent="0.25">
      <c r="A388" s="7">
        <v>51.455781743832127</v>
      </c>
      <c r="B388"/>
      <c r="C388"/>
      <c r="D388"/>
      <c r="E388"/>
      <c r="HM388" s="27" t="s">
        <v>8</v>
      </c>
      <c r="HN388" s="27" t="s">
        <v>7</v>
      </c>
      <c r="HO388" s="27" t="s">
        <v>8</v>
      </c>
      <c r="HP388" s="27" t="s">
        <v>7</v>
      </c>
      <c r="HQ388" s="27" t="s">
        <v>8</v>
      </c>
      <c r="HS388" s="27" t="s">
        <v>8</v>
      </c>
      <c r="HT388" s="27" t="s">
        <v>7</v>
      </c>
      <c r="HY388" s="27" t="s">
        <v>8</v>
      </c>
    </row>
    <row r="389" spans="1:255" x14ac:dyDescent="0.25">
      <c r="A389" s="7">
        <v>50.446844846894244</v>
      </c>
      <c r="B389"/>
      <c r="C389"/>
      <c r="D389"/>
      <c r="E389"/>
      <c r="HM389" s="27" t="s">
        <v>8</v>
      </c>
      <c r="HN389" s="27" t="s">
        <v>7</v>
      </c>
      <c r="HO389" s="27" t="s">
        <v>8</v>
      </c>
      <c r="HP389" s="27" t="s">
        <v>7</v>
      </c>
      <c r="HQ389" s="27" t="s">
        <v>8</v>
      </c>
      <c r="HR389" s="27" t="s">
        <v>7</v>
      </c>
      <c r="HS389" s="27" t="s">
        <v>8</v>
      </c>
      <c r="HT389" s="27" t="s">
        <v>7</v>
      </c>
      <c r="HY389" s="27" t="s">
        <v>8</v>
      </c>
    </row>
    <row r="390" spans="1:255" x14ac:dyDescent="0.25">
      <c r="A390" s="7">
        <v>49.457691026366902</v>
      </c>
      <c r="B390"/>
      <c r="C390"/>
      <c r="D390"/>
      <c r="E390"/>
      <c r="GW390" s="27" t="s">
        <v>8</v>
      </c>
      <c r="HM390" s="27" t="s">
        <v>8</v>
      </c>
      <c r="HN390" s="27" t="s">
        <v>7</v>
      </c>
      <c r="HO390" s="27" t="s">
        <v>8</v>
      </c>
      <c r="HP390" s="27" t="s">
        <v>7</v>
      </c>
      <c r="HQ390" s="27" t="s">
        <v>8</v>
      </c>
      <c r="HR390" s="27" t="s">
        <v>7</v>
      </c>
      <c r="HS390" s="27" t="s">
        <v>8</v>
      </c>
      <c r="HT390" s="27" t="s">
        <v>7</v>
      </c>
      <c r="HY390" s="27" t="s">
        <v>8</v>
      </c>
    </row>
    <row r="391" spans="1:255" x14ac:dyDescent="0.25">
      <c r="A391" s="7">
        <v>48.487932378791079</v>
      </c>
      <c r="B391"/>
      <c r="C391"/>
      <c r="D391"/>
      <c r="E391"/>
      <c r="GW391" s="27" t="s">
        <v>8</v>
      </c>
      <c r="GX391" s="27" t="s">
        <v>7</v>
      </c>
      <c r="GY391" s="27" t="s">
        <v>8</v>
      </c>
      <c r="HM391" s="27" t="s">
        <v>8</v>
      </c>
      <c r="HN391" s="27" t="s">
        <v>7</v>
      </c>
      <c r="HO391" s="27" t="s">
        <v>8</v>
      </c>
      <c r="HP391" s="27" t="s">
        <v>7</v>
      </c>
      <c r="HQ391" s="27" t="s">
        <v>8</v>
      </c>
      <c r="HR391" s="27" t="s">
        <v>7</v>
      </c>
      <c r="HS391" s="27" t="s">
        <v>8</v>
      </c>
      <c r="HT391" s="27" t="s">
        <v>7</v>
      </c>
      <c r="HY391" s="27" t="s">
        <v>8</v>
      </c>
    </row>
    <row r="392" spans="1:255" x14ac:dyDescent="0.25">
      <c r="A392" s="7">
        <v>47.537188606657921</v>
      </c>
      <c r="B392"/>
      <c r="C392"/>
      <c r="D392"/>
      <c r="E392"/>
      <c r="GW392" s="27" t="s">
        <v>8</v>
      </c>
      <c r="GX392" s="27" t="s">
        <v>7</v>
      </c>
      <c r="GY392" s="27" t="s">
        <v>8</v>
      </c>
      <c r="GZ392" s="27" t="s">
        <v>7</v>
      </c>
      <c r="HM392" s="27" t="s">
        <v>8</v>
      </c>
      <c r="HN392" s="27" t="s">
        <v>7</v>
      </c>
      <c r="HP392" s="27" t="s">
        <v>7</v>
      </c>
      <c r="HQ392" s="27" t="s">
        <v>8</v>
      </c>
      <c r="HR392" s="27" t="s">
        <v>7</v>
      </c>
      <c r="HT392" s="27" t="s">
        <v>7</v>
      </c>
      <c r="HY392" s="27" t="s">
        <v>8</v>
      </c>
    </row>
    <row r="393" spans="1:255" x14ac:dyDescent="0.25">
      <c r="A393" s="7">
        <v>46.605086869272469</v>
      </c>
      <c r="B393"/>
      <c r="C393"/>
      <c r="D393"/>
      <c r="E393"/>
      <c r="GW393" s="27" t="s">
        <v>8</v>
      </c>
      <c r="GX393" s="27" t="s">
        <v>7</v>
      </c>
      <c r="GY393" s="27" t="s">
        <v>8</v>
      </c>
      <c r="GZ393" s="27" t="s">
        <v>7</v>
      </c>
      <c r="HI393" s="27" t="s">
        <v>8</v>
      </c>
      <c r="HM393" s="27" t="s">
        <v>8</v>
      </c>
      <c r="HP393" s="27" t="s">
        <v>7</v>
      </c>
      <c r="HQ393" s="27" t="s">
        <v>8</v>
      </c>
      <c r="HT393" s="27" t="s">
        <v>7</v>
      </c>
      <c r="HY393" s="27" t="s">
        <v>8</v>
      </c>
    </row>
    <row r="394" spans="1:255" x14ac:dyDescent="0.25">
      <c r="A394" s="7">
        <v>45.691261636541633</v>
      </c>
      <c r="B394"/>
      <c r="C394"/>
      <c r="D394"/>
      <c r="E394"/>
      <c r="GW394" s="27" t="s">
        <v>8</v>
      </c>
      <c r="GX394" s="27" t="s">
        <v>7</v>
      </c>
      <c r="GY394" s="27" t="s">
        <v>8</v>
      </c>
      <c r="GZ394" s="27" t="s">
        <v>7</v>
      </c>
      <c r="HI394" s="27" t="s">
        <v>8</v>
      </c>
      <c r="HJ394" s="27" t="s">
        <v>7</v>
      </c>
      <c r="HK394" s="27" t="s">
        <v>8</v>
      </c>
      <c r="HM394" s="27" t="s">
        <v>8</v>
      </c>
      <c r="HP394" s="27" t="s">
        <v>7</v>
      </c>
      <c r="HQ394" s="27" t="s">
        <v>8</v>
      </c>
      <c r="HT394" s="27" t="s">
        <v>7</v>
      </c>
      <c r="HY394" s="27" t="s">
        <v>8</v>
      </c>
    </row>
    <row r="395" spans="1:255" x14ac:dyDescent="0.25">
      <c r="A395" s="7">
        <v>44.795354545629053</v>
      </c>
      <c r="B395"/>
      <c r="C395"/>
      <c r="D395"/>
      <c r="E395"/>
      <c r="GM395" s="27" t="s">
        <v>8</v>
      </c>
      <c r="GW395" s="27" t="s">
        <v>8</v>
      </c>
      <c r="GX395" s="27" t="s">
        <v>7</v>
      </c>
      <c r="GY395" s="27" t="s">
        <v>8</v>
      </c>
      <c r="GZ395" s="27" t="s">
        <v>7</v>
      </c>
      <c r="HG395" s="27" t="s">
        <v>8</v>
      </c>
      <c r="HI395" s="27" t="s">
        <v>8</v>
      </c>
      <c r="HJ395" s="27" t="s">
        <v>7</v>
      </c>
      <c r="HK395" s="27" t="s">
        <v>8</v>
      </c>
      <c r="HL395" s="27" t="s">
        <v>7</v>
      </c>
      <c r="HM395" s="27" t="s">
        <v>8</v>
      </c>
      <c r="HP395" s="27" t="s">
        <v>7</v>
      </c>
      <c r="HT395" s="27" t="s">
        <v>7</v>
      </c>
      <c r="HU395" s="27" t="s">
        <v>8</v>
      </c>
      <c r="HW395" s="27" t="s">
        <v>8</v>
      </c>
      <c r="HY395" s="27" t="s">
        <v>8</v>
      </c>
    </row>
    <row r="396" spans="1:255" x14ac:dyDescent="0.25">
      <c r="A396" s="7">
        <v>43.917014260420636</v>
      </c>
      <c r="B396"/>
      <c r="C396"/>
      <c r="D396"/>
      <c r="E396"/>
      <c r="GM396" s="27" t="s">
        <v>8</v>
      </c>
      <c r="GN396" s="27" t="s">
        <v>7</v>
      </c>
      <c r="GW396" s="27" t="s">
        <v>8</v>
      </c>
      <c r="GX396" s="27" t="s">
        <v>7</v>
      </c>
      <c r="GY396" s="27" t="s">
        <v>8</v>
      </c>
      <c r="GZ396" s="27" t="s">
        <v>7</v>
      </c>
      <c r="HE396" s="27" t="s">
        <v>8</v>
      </c>
      <c r="HG396" s="27" t="s">
        <v>8</v>
      </c>
      <c r="HH396" s="27" t="s">
        <v>7</v>
      </c>
      <c r="HI396" s="27" t="s">
        <v>8</v>
      </c>
      <c r="HJ396" s="27" t="s">
        <v>7</v>
      </c>
      <c r="HK396" s="27" t="s">
        <v>8</v>
      </c>
      <c r="HL396" s="27" t="s">
        <v>7</v>
      </c>
      <c r="HM396" s="27" t="s">
        <v>8</v>
      </c>
      <c r="HT396" s="27" t="s">
        <v>7</v>
      </c>
      <c r="HU396" s="27" t="s">
        <v>8</v>
      </c>
      <c r="HV396" s="27" t="s">
        <v>7</v>
      </c>
      <c r="HW396" s="27" t="s">
        <v>8</v>
      </c>
      <c r="HX396" s="27" t="s">
        <v>7</v>
      </c>
      <c r="HY396" s="27" t="s">
        <v>8</v>
      </c>
    </row>
    <row r="397" spans="1:255" x14ac:dyDescent="0.25">
      <c r="A397" s="7">
        <v>43.055896333745721</v>
      </c>
      <c r="B397"/>
      <c r="C397"/>
      <c r="D397"/>
      <c r="E397"/>
      <c r="GM397" s="27" t="s">
        <v>8</v>
      </c>
      <c r="GN397" s="27" t="s">
        <v>7</v>
      </c>
      <c r="GW397" s="27" t="s">
        <v>8</v>
      </c>
      <c r="GX397" s="27" t="s">
        <v>7</v>
      </c>
      <c r="GY397" s="27" t="s">
        <v>8</v>
      </c>
      <c r="GZ397" s="27" t="s">
        <v>7</v>
      </c>
      <c r="HE397" s="27" t="s">
        <v>8</v>
      </c>
      <c r="HF397" s="27" t="s">
        <v>7</v>
      </c>
      <c r="HG397" s="27" t="s">
        <v>8</v>
      </c>
      <c r="HH397" s="27" t="s">
        <v>7</v>
      </c>
      <c r="HI397" s="27" t="s">
        <v>8</v>
      </c>
      <c r="HJ397" s="27" t="s">
        <v>7</v>
      </c>
      <c r="HK397" s="27" t="s">
        <v>8</v>
      </c>
      <c r="HL397" s="27" t="s">
        <v>7</v>
      </c>
      <c r="HM397" s="27" t="s">
        <v>8</v>
      </c>
      <c r="HT397" s="27" t="s">
        <v>7</v>
      </c>
      <c r="HU397" s="27" t="s">
        <v>8</v>
      </c>
      <c r="HV397" s="27" t="s">
        <v>7</v>
      </c>
      <c r="HW397" s="27" t="s">
        <v>8</v>
      </c>
      <c r="HX397" s="27" t="s">
        <v>7</v>
      </c>
      <c r="HY397" s="27" t="s">
        <v>8</v>
      </c>
    </row>
    <row r="398" spans="1:255" x14ac:dyDescent="0.25">
      <c r="A398" s="7">
        <v>42.211663072299729</v>
      </c>
      <c r="B398"/>
      <c r="C398"/>
      <c r="D398"/>
      <c r="E398"/>
      <c r="GM398" s="27" t="s">
        <v>8</v>
      </c>
      <c r="GN398" s="27" t="s">
        <v>7</v>
      </c>
      <c r="GW398" s="27" t="s">
        <v>8</v>
      </c>
      <c r="GX398" s="27" t="s">
        <v>7</v>
      </c>
      <c r="GY398" s="27" t="s">
        <v>8</v>
      </c>
      <c r="GZ398" s="27" t="s">
        <v>7</v>
      </c>
      <c r="HE398" s="27" t="s">
        <v>8</v>
      </c>
      <c r="HF398" s="27" t="s">
        <v>7</v>
      </c>
      <c r="HG398" s="27" t="s">
        <v>8</v>
      </c>
      <c r="HH398" s="27" t="s">
        <v>7</v>
      </c>
      <c r="HI398" s="27" t="s">
        <v>8</v>
      </c>
      <c r="HJ398" s="27" t="s">
        <v>7</v>
      </c>
      <c r="HK398" s="27" t="s">
        <v>8</v>
      </c>
      <c r="HL398" s="27" t="s">
        <v>7</v>
      </c>
      <c r="HM398" s="27" t="s">
        <v>8</v>
      </c>
      <c r="HT398" s="27" t="s">
        <v>7</v>
      </c>
      <c r="HU398" s="27" t="s">
        <v>8</v>
      </c>
      <c r="HV398" s="27" t="s">
        <v>7</v>
      </c>
      <c r="HW398" s="27" t="s">
        <v>8</v>
      </c>
      <c r="HX398" s="27" t="s">
        <v>7</v>
      </c>
      <c r="HY398" s="27" t="s">
        <v>8</v>
      </c>
    </row>
    <row r="399" spans="1:255" x14ac:dyDescent="0.25">
      <c r="A399" s="7">
        <v>41.383983404215421</v>
      </c>
      <c r="B399"/>
      <c r="C399"/>
      <c r="D399"/>
      <c r="E399"/>
      <c r="GM399" s="27" t="s">
        <v>8</v>
      </c>
      <c r="GN399" s="27" t="s">
        <v>7</v>
      </c>
      <c r="GW399" s="27" t="s">
        <v>8</v>
      </c>
      <c r="GX399" s="27" t="s">
        <v>7</v>
      </c>
      <c r="GY399" s="27" t="s">
        <v>8</v>
      </c>
      <c r="GZ399" s="27" t="s">
        <v>7</v>
      </c>
      <c r="HE399" s="27" t="s">
        <v>8</v>
      </c>
      <c r="HF399" s="27" t="s">
        <v>7</v>
      </c>
      <c r="HG399" s="27" t="s">
        <v>8</v>
      </c>
      <c r="HH399" s="27" t="s">
        <v>7</v>
      </c>
      <c r="HI399" s="27" t="s">
        <v>8</v>
      </c>
      <c r="HJ399" s="27" t="s">
        <v>7</v>
      </c>
      <c r="HK399" s="27" t="s">
        <v>8</v>
      </c>
      <c r="HL399" s="27" t="s">
        <v>7</v>
      </c>
      <c r="HT399" s="27" t="s">
        <v>7</v>
      </c>
      <c r="HU399" s="27" t="s">
        <v>8</v>
      </c>
      <c r="HV399" s="27" t="s">
        <v>7</v>
      </c>
      <c r="HW399" s="27" t="s">
        <v>8</v>
      </c>
      <c r="HX399" s="27" t="s">
        <v>7</v>
      </c>
    </row>
    <row r="400" spans="1:255" x14ac:dyDescent="0.25">
      <c r="A400" s="7">
        <v>40.572532749230803</v>
      </c>
      <c r="B400"/>
      <c r="C400"/>
      <c r="D400"/>
      <c r="E400"/>
      <c r="GM400" s="27" t="s">
        <v>8</v>
      </c>
      <c r="GN400" s="27" t="s">
        <v>7</v>
      </c>
      <c r="GS400" s="27" t="s">
        <v>8</v>
      </c>
      <c r="GW400" s="27" t="s">
        <v>8</v>
      </c>
      <c r="GX400" s="27" t="s">
        <v>7</v>
      </c>
      <c r="GZ400" s="27" t="s">
        <v>7</v>
      </c>
      <c r="HE400" s="27" t="s">
        <v>8</v>
      </c>
      <c r="HF400" s="27" t="s">
        <v>7</v>
      </c>
      <c r="HG400" s="27" t="s">
        <v>8</v>
      </c>
      <c r="HH400" s="27" t="s">
        <v>7</v>
      </c>
      <c r="HJ400" s="27" t="s">
        <v>7</v>
      </c>
      <c r="HK400" s="27" t="s">
        <v>8</v>
      </c>
      <c r="HT400" s="27" t="s">
        <v>7</v>
      </c>
      <c r="HU400" s="27" t="s">
        <v>8</v>
      </c>
      <c r="HV400" s="27" t="s">
        <v>7</v>
      </c>
      <c r="HW400" s="27" t="s">
        <v>8</v>
      </c>
    </row>
    <row r="401" spans="1:230" x14ac:dyDescent="0.25">
      <c r="A401" s="7">
        <v>39.776992891402749</v>
      </c>
      <c r="B401"/>
      <c r="C401"/>
      <c r="D401"/>
      <c r="E401"/>
      <c r="GM401" s="27" t="s">
        <v>8</v>
      </c>
      <c r="GN401" s="27" t="s">
        <v>7</v>
      </c>
      <c r="GS401" s="27" t="s">
        <v>8</v>
      </c>
      <c r="GT401" s="27" t="s">
        <v>7</v>
      </c>
      <c r="GW401" s="27" t="s">
        <v>8</v>
      </c>
      <c r="GZ401" s="27" t="s">
        <v>7</v>
      </c>
      <c r="HE401" s="27" t="s">
        <v>8</v>
      </c>
      <c r="HF401" s="27" t="s">
        <v>7</v>
      </c>
      <c r="HG401" s="27" t="s">
        <v>8</v>
      </c>
      <c r="HJ401" s="27" t="s">
        <v>7</v>
      </c>
      <c r="HK401" s="27" t="s">
        <v>8</v>
      </c>
      <c r="HT401" s="27" t="s">
        <v>7</v>
      </c>
      <c r="HU401" s="27" t="s">
        <v>8</v>
      </c>
      <c r="HV401" s="27" t="s">
        <v>7</v>
      </c>
    </row>
    <row r="402" spans="1:230" x14ac:dyDescent="0.25">
      <c r="A402" s="7">
        <v>38.997051854316418</v>
      </c>
      <c r="B402"/>
      <c r="C402"/>
      <c r="D402"/>
      <c r="E402"/>
      <c r="GM402" s="27" t="s">
        <v>8</v>
      </c>
      <c r="GN402" s="27" t="s">
        <v>7</v>
      </c>
      <c r="GQ402" s="27" t="s">
        <v>8</v>
      </c>
      <c r="GS402" s="27" t="s">
        <v>8</v>
      </c>
      <c r="GT402" s="27" t="s">
        <v>7</v>
      </c>
      <c r="GU402" s="27" t="s">
        <v>8</v>
      </c>
      <c r="GW402" s="27" t="s">
        <v>8</v>
      </c>
      <c r="GZ402" s="27" t="s">
        <v>7</v>
      </c>
      <c r="HA402" s="27" t="s">
        <v>8</v>
      </c>
      <c r="HE402" s="27" t="s">
        <v>8</v>
      </c>
      <c r="HF402" s="27" t="s">
        <v>7</v>
      </c>
      <c r="HJ402" s="27" t="s">
        <v>7</v>
      </c>
      <c r="HK402" s="27" t="s">
        <v>8</v>
      </c>
      <c r="HT402" s="27" t="s">
        <v>7</v>
      </c>
    </row>
    <row r="403" spans="1:230" x14ac:dyDescent="0.25">
      <c r="A403" s="7">
        <v>38.232403778741585</v>
      </c>
      <c r="B403"/>
      <c r="C403"/>
      <c r="D403"/>
      <c r="E403"/>
      <c r="GM403" s="27" t="s">
        <v>8</v>
      </c>
      <c r="GN403" s="27" t="s">
        <v>7</v>
      </c>
      <c r="GQ403" s="27" t="s">
        <v>8</v>
      </c>
      <c r="GR403" s="27" t="s">
        <v>7</v>
      </c>
      <c r="GS403" s="27" t="s">
        <v>8</v>
      </c>
      <c r="GT403" s="27" t="s">
        <v>7</v>
      </c>
      <c r="GU403" s="27" t="s">
        <v>8</v>
      </c>
      <c r="GV403" s="27" t="s">
        <v>7</v>
      </c>
      <c r="GW403" s="27" t="s">
        <v>8</v>
      </c>
      <c r="GZ403" s="27" t="s">
        <v>7</v>
      </c>
      <c r="HA403" s="27" t="s">
        <v>8</v>
      </c>
      <c r="HB403" s="27" t="s">
        <v>7</v>
      </c>
      <c r="HC403" s="27" t="s">
        <v>8</v>
      </c>
      <c r="HE403" s="27" t="s">
        <v>8</v>
      </c>
      <c r="HJ403" s="27" t="s">
        <v>7</v>
      </c>
    </row>
    <row r="404" spans="1:230" x14ac:dyDescent="0.25">
      <c r="A404" s="7">
        <v>37.48274880268783</v>
      </c>
      <c r="B404"/>
      <c r="C404"/>
      <c r="D404"/>
      <c r="E404"/>
      <c r="GM404" s="27" t="s">
        <v>8</v>
      </c>
      <c r="GN404" s="27" t="s">
        <v>7</v>
      </c>
      <c r="GO404" s="27" t="s">
        <v>8</v>
      </c>
      <c r="GQ404" s="27" t="s">
        <v>8</v>
      </c>
      <c r="GR404" s="27" t="s">
        <v>7</v>
      </c>
      <c r="GS404" s="27" t="s">
        <v>8</v>
      </c>
      <c r="GT404" s="27" t="s">
        <v>7</v>
      </c>
      <c r="GU404" s="27" t="s">
        <v>8</v>
      </c>
      <c r="GV404" s="27" t="s">
        <v>7</v>
      </c>
      <c r="GW404" s="27" t="s">
        <v>8</v>
      </c>
      <c r="GZ404" s="27" t="s">
        <v>7</v>
      </c>
      <c r="HA404" s="27" t="s">
        <v>8</v>
      </c>
      <c r="HB404" s="27" t="s">
        <v>7</v>
      </c>
      <c r="HC404" s="27" t="s">
        <v>8</v>
      </c>
      <c r="HD404" s="27" t="s">
        <v>7</v>
      </c>
      <c r="HE404" s="27" t="s">
        <v>8</v>
      </c>
    </row>
    <row r="405" spans="1:230" x14ac:dyDescent="0.25">
      <c r="A405" s="7">
        <v>36.747792943811596</v>
      </c>
      <c r="B405"/>
      <c r="C405"/>
      <c r="D405"/>
      <c r="E405"/>
      <c r="GE405" s="27" t="s">
        <v>8</v>
      </c>
      <c r="GM405" s="27" t="s">
        <v>8</v>
      </c>
      <c r="GN405" s="27" t="s">
        <v>7</v>
      </c>
      <c r="GO405" s="27" t="s">
        <v>8</v>
      </c>
      <c r="GP405" s="27" t="s">
        <v>7</v>
      </c>
      <c r="GQ405" s="27" t="s">
        <v>8</v>
      </c>
      <c r="GR405" s="27" t="s">
        <v>7</v>
      </c>
      <c r="GS405" s="27" t="s">
        <v>8</v>
      </c>
      <c r="GT405" s="27" t="s">
        <v>7</v>
      </c>
      <c r="GU405" s="27" t="s">
        <v>8</v>
      </c>
      <c r="GV405" s="27" t="s">
        <v>7</v>
      </c>
      <c r="GW405" s="27" t="s">
        <v>8</v>
      </c>
      <c r="GZ405" s="27" t="s">
        <v>7</v>
      </c>
      <c r="HA405" s="27" t="s">
        <v>8</v>
      </c>
      <c r="HB405" s="27" t="s">
        <v>7</v>
      </c>
      <c r="HC405" s="27" t="s">
        <v>8</v>
      </c>
      <c r="HD405" s="27" t="s">
        <v>7</v>
      </c>
      <c r="HE405" s="27" t="s">
        <v>8</v>
      </c>
    </row>
    <row r="406" spans="1:230" x14ac:dyDescent="0.25">
      <c r="A406" s="7">
        <v>36.027247984129012</v>
      </c>
      <c r="B406"/>
      <c r="C406"/>
      <c r="D406"/>
      <c r="E406"/>
      <c r="GE406" s="27" t="s">
        <v>8</v>
      </c>
      <c r="GF406" s="27" t="s">
        <v>7</v>
      </c>
      <c r="GM406" s="27" t="s">
        <v>8</v>
      </c>
      <c r="GN406" s="27" t="s">
        <v>7</v>
      </c>
      <c r="GO406" s="27" t="s">
        <v>8</v>
      </c>
      <c r="GP406" s="27" t="s">
        <v>7</v>
      </c>
      <c r="GQ406" s="27" t="s">
        <v>8</v>
      </c>
      <c r="GR406" s="27" t="s">
        <v>7</v>
      </c>
      <c r="GS406" s="27" t="s">
        <v>8</v>
      </c>
      <c r="GT406" s="27" t="s">
        <v>7</v>
      </c>
      <c r="GU406" s="27" t="s">
        <v>8</v>
      </c>
      <c r="GV406" s="27" t="s">
        <v>7</v>
      </c>
      <c r="GW406" s="27" t="s">
        <v>8</v>
      </c>
      <c r="GZ406" s="27" t="s">
        <v>7</v>
      </c>
      <c r="HA406" s="27" t="s">
        <v>8</v>
      </c>
      <c r="HB406" s="27" t="s">
        <v>7</v>
      </c>
      <c r="HD406" s="27" t="s">
        <v>7</v>
      </c>
      <c r="HE406" s="27" t="s">
        <v>8</v>
      </c>
    </row>
    <row r="407" spans="1:230" x14ac:dyDescent="0.25">
      <c r="A407" s="7">
        <v>35.320831356989224</v>
      </c>
      <c r="B407"/>
      <c r="C407"/>
      <c r="D407"/>
      <c r="E407"/>
      <c r="GE407" s="27" t="s">
        <v>8</v>
      </c>
      <c r="GF407" s="27" t="s">
        <v>7</v>
      </c>
      <c r="GI407" s="27" t="s">
        <v>8</v>
      </c>
      <c r="GM407" s="27" t="s">
        <v>8</v>
      </c>
      <c r="GN407" s="27" t="s">
        <v>7</v>
      </c>
      <c r="GO407" s="27" t="s">
        <v>8</v>
      </c>
      <c r="GP407" s="27" t="s">
        <v>7</v>
      </c>
      <c r="GR407" s="27" t="s">
        <v>7</v>
      </c>
      <c r="GS407" s="27" t="s">
        <v>8</v>
      </c>
      <c r="GT407" s="27" t="s">
        <v>7</v>
      </c>
      <c r="GU407" s="27" t="s">
        <v>8</v>
      </c>
      <c r="GV407" s="27" t="s">
        <v>7</v>
      </c>
      <c r="GW407" s="27" t="s">
        <v>8</v>
      </c>
      <c r="GZ407" s="27" t="s">
        <v>7</v>
      </c>
      <c r="HD407" s="27" t="s">
        <v>7</v>
      </c>
    </row>
    <row r="408" spans="1:230" x14ac:dyDescent="0.25">
      <c r="A408" s="7">
        <v>34.628266036263945</v>
      </c>
      <c r="B408"/>
      <c r="C408"/>
      <c r="D408"/>
      <c r="E408"/>
      <c r="GC408" s="27" t="s">
        <v>8</v>
      </c>
      <c r="GE408" s="27" t="s">
        <v>8</v>
      </c>
      <c r="GF408" s="27" t="s">
        <v>7</v>
      </c>
      <c r="GI408" s="27" t="s">
        <v>8</v>
      </c>
      <c r="GJ408" s="27" t="s">
        <v>7</v>
      </c>
      <c r="GM408" s="27" t="s">
        <v>8</v>
      </c>
      <c r="GN408" s="27" t="s">
        <v>7</v>
      </c>
      <c r="GO408" s="27" t="s">
        <v>8</v>
      </c>
      <c r="GR408" s="27" t="s">
        <v>7</v>
      </c>
      <c r="GS408" s="27" t="s">
        <v>8</v>
      </c>
      <c r="GT408" s="27" t="s">
        <v>7</v>
      </c>
      <c r="GU408" s="27" t="s">
        <v>8</v>
      </c>
      <c r="GV408" s="27" t="s">
        <v>7</v>
      </c>
      <c r="GW408" s="27" t="s">
        <v>8</v>
      </c>
    </row>
    <row r="409" spans="1:230" x14ac:dyDescent="0.25">
      <c r="A409" s="7">
        <v>33.949280427709752</v>
      </c>
      <c r="B409"/>
      <c r="C409"/>
      <c r="D409"/>
      <c r="E409"/>
      <c r="GC409" s="27" t="s">
        <v>8</v>
      </c>
      <c r="GD409" s="27" t="s">
        <v>7</v>
      </c>
      <c r="GE409" s="27" t="s">
        <v>8</v>
      </c>
      <c r="GF409" s="27" t="s">
        <v>7</v>
      </c>
      <c r="GI409" s="27" t="s">
        <v>8</v>
      </c>
      <c r="GJ409" s="27" t="s">
        <v>7</v>
      </c>
      <c r="GM409" s="27" t="s">
        <v>8</v>
      </c>
      <c r="GN409" s="27" t="s">
        <v>7</v>
      </c>
      <c r="GR409" s="27" t="s">
        <v>7</v>
      </c>
      <c r="GS409" s="27" t="s">
        <v>8</v>
      </c>
      <c r="GT409" s="27" t="s">
        <v>7</v>
      </c>
      <c r="GU409" s="27" t="s">
        <v>8</v>
      </c>
      <c r="GV409" s="27" t="s">
        <v>7</v>
      </c>
      <c r="GW409" s="27" t="s">
        <v>8</v>
      </c>
    </row>
    <row r="410" spans="1:230" x14ac:dyDescent="0.25">
      <c r="A410" s="7">
        <v>33.28360826246054</v>
      </c>
      <c r="B410"/>
      <c r="C410"/>
      <c r="D410"/>
      <c r="E410"/>
      <c r="GA410" s="27" t="s">
        <v>8</v>
      </c>
      <c r="GC410" s="27" t="s">
        <v>8</v>
      </c>
      <c r="GD410" s="27" t="s">
        <v>7</v>
      </c>
      <c r="GE410" s="27" t="s">
        <v>8</v>
      </c>
      <c r="GF410" s="27" t="s">
        <v>7</v>
      </c>
      <c r="GG410" s="27" t="s">
        <v>8</v>
      </c>
      <c r="GI410" s="27" t="s">
        <v>8</v>
      </c>
      <c r="GJ410" s="27" t="s">
        <v>7</v>
      </c>
      <c r="GM410" s="27" t="s">
        <v>8</v>
      </c>
      <c r="GR410" s="27" t="s">
        <v>7</v>
      </c>
      <c r="GS410" s="27" t="s">
        <v>8</v>
      </c>
      <c r="GT410" s="27" t="s">
        <v>7</v>
      </c>
      <c r="GV410" s="27" t="s">
        <v>7</v>
      </c>
    </row>
    <row r="411" spans="1:230" x14ac:dyDescent="0.25">
      <c r="A411" s="7">
        <v>32.630988492608374</v>
      </c>
      <c r="B411"/>
      <c r="C411"/>
      <c r="D411"/>
      <c r="E411"/>
      <c r="GA411" s="27" t="s">
        <v>8</v>
      </c>
      <c r="GB411" s="27" t="s">
        <v>7</v>
      </c>
      <c r="GC411" s="27" t="s">
        <v>8</v>
      </c>
      <c r="GD411" s="27" t="s">
        <v>7</v>
      </c>
      <c r="GE411" s="27" t="s">
        <v>8</v>
      </c>
      <c r="GF411" s="27" t="s">
        <v>7</v>
      </c>
      <c r="GG411" s="27" t="s">
        <v>8</v>
      </c>
      <c r="GH411" s="27" t="s">
        <v>7</v>
      </c>
      <c r="GI411" s="27" t="s">
        <v>8</v>
      </c>
      <c r="GJ411" s="27" t="s">
        <v>7</v>
      </c>
      <c r="GM411" s="27" t="s">
        <v>8</v>
      </c>
      <c r="GR411" s="27" t="s">
        <v>7</v>
      </c>
      <c r="GS411" s="27" t="s">
        <v>8</v>
      </c>
    </row>
    <row r="412" spans="1:230" x14ac:dyDescent="0.25">
      <c r="A412" s="7">
        <v>31.99116518883174</v>
      </c>
      <c r="B412"/>
      <c r="C412"/>
      <c r="D412"/>
      <c r="E412"/>
      <c r="GA412" s="27" t="s">
        <v>8</v>
      </c>
      <c r="GB412" s="27" t="s">
        <v>7</v>
      </c>
      <c r="GC412" s="27" t="s">
        <v>8</v>
      </c>
      <c r="GD412" s="27" t="s">
        <v>7</v>
      </c>
      <c r="GE412" s="27" t="s">
        <v>8</v>
      </c>
      <c r="GF412" s="27" t="s">
        <v>7</v>
      </c>
      <c r="GG412" s="27" t="s">
        <v>8</v>
      </c>
      <c r="GH412" s="27" t="s">
        <v>7</v>
      </c>
      <c r="GI412" s="27" t="s">
        <v>8</v>
      </c>
      <c r="GJ412" s="27" t="s">
        <v>7</v>
      </c>
      <c r="GK412" s="27" t="s">
        <v>8</v>
      </c>
      <c r="GM412" s="27" t="s">
        <v>8</v>
      </c>
      <c r="GR412" s="27" t="s">
        <v>7</v>
      </c>
      <c r="GS412" s="27" t="s">
        <v>8</v>
      </c>
    </row>
    <row r="413" spans="1:230" x14ac:dyDescent="0.25">
      <c r="A413" s="7">
        <v>31.363887440031117</v>
      </c>
      <c r="B413"/>
      <c r="C413"/>
      <c r="D413"/>
      <c r="E413"/>
      <c r="GA413" s="27" t="s">
        <v>8</v>
      </c>
      <c r="GB413" s="27" t="s">
        <v>7</v>
      </c>
      <c r="GC413" s="27" t="s">
        <v>8</v>
      </c>
      <c r="GD413" s="27" t="s">
        <v>7</v>
      </c>
      <c r="GE413" s="27" t="s">
        <v>8</v>
      </c>
      <c r="GF413" s="27" t="s">
        <v>7</v>
      </c>
      <c r="GG413" s="27" t="s">
        <v>8</v>
      </c>
      <c r="GH413" s="27" t="s">
        <v>7</v>
      </c>
      <c r="GJ413" s="27" t="s">
        <v>7</v>
      </c>
      <c r="GK413" s="27" t="s">
        <v>8</v>
      </c>
      <c r="GL413" s="27" t="s">
        <v>7</v>
      </c>
      <c r="GM413" s="27" t="s">
        <v>8</v>
      </c>
      <c r="GR413" s="27" t="s">
        <v>7</v>
      </c>
      <c r="GS413" s="27" t="s">
        <v>8</v>
      </c>
    </row>
    <row r="414" spans="1:230" x14ac:dyDescent="0.25">
      <c r="A414" s="7">
        <v>30.748909254932467</v>
      </c>
      <c r="B414"/>
      <c r="C414"/>
      <c r="D414"/>
      <c r="E414"/>
      <c r="GA414" s="27" t="s">
        <v>8</v>
      </c>
      <c r="GB414" s="27" t="s">
        <v>7</v>
      </c>
      <c r="GC414" s="27" t="s">
        <v>8</v>
      </c>
      <c r="GD414" s="27" t="s">
        <v>7</v>
      </c>
      <c r="GE414" s="27" t="s">
        <v>8</v>
      </c>
      <c r="GF414" s="27" t="s">
        <v>7</v>
      </c>
      <c r="GJ414" s="27" t="s">
        <v>7</v>
      </c>
      <c r="GK414" s="27" t="s">
        <v>8</v>
      </c>
      <c r="GL414" s="27" t="s">
        <v>7</v>
      </c>
      <c r="GM414" s="27" t="s">
        <v>8</v>
      </c>
      <c r="GR414" s="27" t="s">
        <v>7</v>
      </c>
      <c r="GS414" s="27" t="s">
        <v>8</v>
      </c>
    </row>
    <row r="415" spans="1:230" x14ac:dyDescent="0.25">
      <c r="A415" s="7">
        <v>30.145989465620065</v>
      </c>
      <c r="B415"/>
      <c r="C415"/>
      <c r="D415"/>
      <c r="E415"/>
      <c r="GA415" s="27" t="s">
        <v>8</v>
      </c>
      <c r="GB415" s="27" t="s">
        <v>7</v>
      </c>
      <c r="GC415" s="27" t="s">
        <v>8</v>
      </c>
      <c r="GD415" s="27" t="s">
        <v>7</v>
      </c>
      <c r="GE415" s="27" t="s">
        <v>8</v>
      </c>
      <c r="GJ415" s="27" t="s">
        <v>7</v>
      </c>
      <c r="GK415" s="27" t="s">
        <v>8</v>
      </c>
      <c r="GL415" s="27" t="s">
        <v>7</v>
      </c>
      <c r="GM415" s="27" t="s">
        <v>8</v>
      </c>
      <c r="GR415" s="27" t="s">
        <v>7</v>
      </c>
      <c r="GS415" s="27" t="s">
        <v>8</v>
      </c>
    </row>
    <row r="416" spans="1:230" x14ac:dyDescent="0.25">
      <c r="A416" s="7">
        <v>29.55489163296085</v>
      </c>
      <c r="B416"/>
      <c r="C416"/>
      <c r="D416"/>
      <c r="E416"/>
      <c r="GA416" s="27" t="s">
        <v>8</v>
      </c>
      <c r="GB416" s="27" t="s">
        <v>7</v>
      </c>
      <c r="GC416" s="27" t="s">
        <v>8</v>
      </c>
      <c r="GD416" s="27" t="s">
        <v>7</v>
      </c>
      <c r="GE416" s="27" t="s">
        <v>8</v>
      </c>
      <c r="GJ416" s="27" t="s">
        <v>7</v>
      </c>
      <c r="GK416" s="27" t="s">
        <v>8</v>
      </c>
      <c r="GL416" s="27" t="s">
        <v>7</v>
      </c>
      <c r="GM416" s="27" t="s">
        <v>8</v>
      </c>
      <c r="GR416" s="27" t="s">
        <v>7</v>
      </c>
      <c r="GS416" s="27" t="s">
        <v>8</v>
      </c>
    </row>
    <row r="417" spans="1:201" x14ac:dyDescent="0.25">
      <c r="A417" s="7">
        <v>28.975383953883185</v>
      </c>
      <c r="B417"/>
      <c r="C417"/>
      <c r="D417"/>
      <c r="E417"/>
      <c r="GA417" s="27" t="s">
        <v>8</v>
      </c>
      <c r="GB417" s="27" t="s">
        <v>7</v>
      </c>
      <c r="GC417" s="27" t="s">
        <v>8</v>
      </c>
      <c r="GD417" s="27" t="s">
        <v>7</v>
      </c>
      <c r="GE417" s="27" t="s">
        <v>8</v>
      </c>
      <c r="GJ417" s="27" t="s">
        <v>7</v>
      </c>
      <c r="GK417" s="27" t="s">
        <v>8</v>
      </c>
      <c r="GL417" s="27" t="s">
        <v>7</v>
      </c>
      <c r="GM417" s="27" t="s">
        <v>8</v>
      </c>
      <c r="GR417" s="27" t="s">
        <v>7</v>
      </c>
      <c r="GS417" s="27" t="s">
        <v>8</v>
      </c>
    </row>
    <row r="418" spans="1:201" x14ac:dyDescent="0.25">
      <c r="A418" s="7">
        <v>28.407239170473709</v>
      </c>
      <c r="B418"/>
      <c r="C418"/>
      <c r="D418"/>
      <c r="E418"/>
      <c r="GA418" s="27" t="s">
        <v>8</v>
      </c>
      <c r="GB418" s="27" t="s">
        <v>7</v>
      </c>
      <c r="GC418" s="27" t="s">
        <v>8</v>
      </c>
      <c r="GD418" s="27" t="s">
        <v>7</v>
      </c>
      <c r="GE418" s="27" t="s">
        <v>8</v>
      </c>
      <c r="GJ418" s="27" t="s">
        <v>7</v>
      </c>
      <c r="GK418" s="27" t="s">
        <v>8</v>
      </c>
      <c r="GL418" s="27" t="s">
        <v>7</v>
      </c>
      <c r="GR418" s="27" t="s">
        <v>7</v>
      </c>
      <c r="GS418" s="27" t="s">
        <v>8</v>
      </c>
    </row>
    <row r="419" spans="1:201" x14ac:dyDescent="0.25">
      <c r="A419" s="7">
        <v>27.850234480856578</v>
      </c>
      <c r="B419"/>
      <c r="C419"/>
      <c r="D419"/>
      <c r="E419"/>
      <c r="GA419" s="27" t="s">
        <v>8</v>
      </c>
      <c r="GB419" s="27" t="s">
        <v>7</v>
      </c>
      <c r="GC419" s="27" t="s">
        <v>8</v>
      </c>
      <c r="GD419" s="27" t="s">
        <v>7</v>
      </c>
      <c r="GE419" s="27" t="s">
        <v>8</v>
      </c>
      <c r="GJ419" s="27" t="s">
        <v>7</v>
      </c>
      <c r="GK419" s="27" t="s">
        <v>8</v>
      </c>
      <c r="GR419" s="27" t="s">
        <v>7</v>
      </c>
      <c r="GS419" s="27" t="s">
        <v>8</v>
      </c>
    </row>
    <row r="420" spans="1:201" x14ac:dyDescent="0.25">
      <c r="A420" s="7">
        <v>27.304151451820175</v>
      </c>
      <c r="B420"/>
      <c r="C420"/>
      <c r="D420"/>
      <c r="E420"/>
      <c r="GA420" s="27" t="s">
        <v>8</v>
      </c>
      <c r="GB420" s="27" t="s">
        <v>7</v>
      </c>
      <c r="GC420" s="27" t="s">
        <v>8</v>
      </c>
      <c r="GD420" s="27" t="s">
        <v>7</v>
      </c>
      <c r="GE420" s="27" t="s">
        <v>8</v>
      </c>
      <c r="GJ420" s="27" t="s">
        <v>7</v>
      </c>
      <c r="GK420" s="27" t="s">
        <v>8</v>
      </c>
      <c r="GR420" s="27" t="s">
        <v>7</v>
      </c>
      <c r="GS420" s="27" t="s">
        <v>8</v>
      </c>
    </row>
    <row r="421" spans="1:201" x14ac:dyDescent="0.25">
      <c r="A421" s="7">
        <v>26.768775933157034</v>
      </c>
      <c r="B421"/>
      <c r="C421"/>
      <c r="D421"/>
      <c r="E421"/>
      <c r="GA421" s="27" t="s">
        <v>8</v>
      </c>
      <c r="GB421" s="27" t="s">
        <v>7</v>
      </c>
      <c r="GD421" s="27" t="s">
        <v>7</v>
      </c>
      <c r="GE421" s="27" t="s">
        <v>8</v>
      </c>
      <c r="GJ421" s="27" t="s">
        <v>7</v>
      </c>
      <c r="GK421" s="27" t="s">
        <v>8</v>
      </c>
      <c r="GR421" s="27" t="s">
        <v>7</v>
      </c>
      <c r="GS421" s="27" t="s">
        <v>8</v>
      </c>
    </row>
    <row r="422" spans="1:201" x14ac:dyDescent="0.25">
      <c r="A422" s="7">
        <v>26.243897973683367</v>
      </c>
      <c r="B422"/>
      <c r="C422"/>
      <c r="D422"/>
      <c r="E422"/>
      <c r="GA422" s="27" t="s">
        <v>8</v>
      </c>
      <c r="GD422" s="27" t="s">
        <v>7</v>
      </c>
      <c r="GJ422" s="27" t="s">
        <v>7</v>
      </c>
      <c r="GK422" s="27" t="s">
        <v>8</v>
      </c>
      <c r="GR422" s="27" t="s">
        <v>7</v>
      </c>
      <c r="GS422" s="27" t="s">
        <v>8</v>
      </c>
    </row>
    <row r="423" spans="1:201" x14ac:dyDescent="0.25">
      <c r="A423" s="7">
        <v>25.729311738905263</v>
      </c>
      <c r="B423"/>
      <c r="C423"/>
      <c r="D423"/>
      <c r="E423"/>
      <c r="GA423" s="27" t="s">
        <v>8</v>
      </c>
      <c r="GJ423" s="27" t="s">
        <v>7</v>
      </c>
      <c r="GK423" s="27" t="s">
        <v>8</v>
      </c>
      <c r="GR423" s="27" t="s">
        <v>7</v>
      </c>
      <c r="GS423" s="27" t="s">
        <v>8</v>
      </c>
    </row>
    <row r="424" spans="1:201" x14ac:dyDescent="0.25">
      <c r="A424" s="7">
        <v>25.224815430299277</v>
      </c>
      <c r="B424"/>
      <c r="C424"/>
      <c r="D424"/>
      <c r="E424"/>
      <c r="GA424" s="27" t="s">
        <v>8</v>
      </c>
      <c r="GJ424" s="27" t="s">
        <v>7</v>
      </c>
      <c r="GK424" s="27" t="s">
        <v>8</v>
      </c>
      <c r="GR424" s="27" t="s">
        <v>7</v>
      </c>
      <c r="GS424" s="27" t="s">
        <v>8</v>
      </c>
    </row>
    <row r="425" spans="1:201" x14ac:dyDescent="0.25">
      <c r="A425" s="7">
        <v>24.73021120617576</v>
      </c>
      <c r="B425"/>
      <c r="C425"/>
      <c r="D425"/>
      <c r="E425"/>
      <c r="GA425" s="27" t="s">
        <v>8</v>
      </c>
      <c r="GJ425" s="27" t="s">
        <v>7</v>
      </c>
      <c r="GK425" s="27" t="s">
        <v>8</v>
      </c>
      <c r="GR425" s="27" t="s">
        <v>7</v>
      </c>
      <c r="GS425" s="27" t="s">
        <v>8</v>
      </c>
    </row>
    <row r="426" spans="1:201" x14ac:dyDescent="0.25">
      <c r="A426" s="7">
        <v>24.24530510409388</v>
      </c>
      <c r="B426"/>
      <c r="C426"/>
      <c r="D426"/>
      <c r="E426"/>
      <c r="GA426" s="27" t="s">
        <v>8</v>
      </c>
      <c r="GJ426" s="27" t="s">
        <v>7</v>
      </c>
      <c r="GK426" s="27" t="s">
        <v>8</v>
      </c>
      <c r="GR426" s="27" t="s">
        <v>7</v>
      </c>
    </row>
    <row r="427" spans="1:201" x14ac:dyDescent="0.25">
      <c r="A427" s="7">
        <v>23.769906964797922</v>
      </c>
      <c r="B427"/>
      <c r="C427"/>
      <c r="D427"/>
      <c r="E427"/>
      <c r="GA427" s="27" t="s">
        <v>8</v>
      </c>
      <c r="GJ427" s="27" t="s">
        <v>7</v>
      </c>
      <c r="GK427" s="27" t="s">
        <v>8</v>
      </c>
    </row>
    <row r="428" spans="1:201" x14ac:dyDescent="0.25">
      <c r="A428" s="7">
        <v>23.303830357645023</v>
      </c>
      <c r="B428"/>
      <c r="C428"/>
      <c r="D428"/>
      <c r="E428"/>
      <c r="GA428" s="27" t="s">
        <v>8</v>
      </c>
      <c r="GJ428" s="27" t="s">
        <v>7</v>
      </c>
    </row>
    <row r="429" spans="1:201" x14ac:dyDescent="0.25">
      <c r="A429" s="7">
        <v>22.84689250749512</v>
      </c>
      <c r="B429"/>
      <c r="C429"/>
      <c r="D429"/>
      <c r="E429"/>
      <c r="GA429" s="27" t="s">
        <v>8</v>
      </c>
    </row>
    <row r="430" spans="1:201" x14ac:dyDescent="0.25">
      <c r="A430" s="7">
        <v>22.398914223034431</v>
      </c>
      <c r="B430"/>
      <c r="C430"/>
      <c r="D430"/>
      <c r="E430"/>
      <c r="DE430" s="27" t="s">
        <v>8</v>
      </c>
      <c r="GA430" s="27" t="s">
        <v>8</v>
      </c>
    </row>
    <row r="431" spans="1:201" x14ac:dyDescent="0.25">
      <c r="A431" s="7">
        <v>21.959719826504344</v>
      </c>
      <c r="B431"/>
      <c r="C431"/>
      <c r="D431"/>
      <c r="E431"/>
      <c r="DE431" s="27" t="s">
        <v>8</v>
      </c>
      <c r="DF431" s="27" t="s">
        <v>7</v>
      </c>
      <c r="GA431" s="27" t="s">
        <v>8</v>
      </c>
    </row>
    <row r="432" spans="1:201" x14ac:dyDescent="0.25">
      <c r="A432" s="7">
        <v>21.52913708480818</v>
      </c>
      <c r="B432"/>
      <c r="C432"/>
      <c r="D432"/>
      <c r="E432"/>
      <c r="DC432" s="27" t="s">
        <v>8</v>
      </c>
      <c r="DE432" s="27" t="s">
        <v>8</v>
      </c>
      <c r="DF432" s="27" t="s">
        <v>7</v>
      </c>
      <c r="GA432" s="27" t="s">
        <v>8</v>
      </c>
    </row>
    <row r="433" spans="1:183" x14ac:dyDescent="0.25">
      <c r="A433" s="7">
        <v>21.106997141968804</v>
      </c>
      <c r="B433"/>
      <c r="C433"/>
      <c r="D433"/>
      <c r="E433"/>
      <c r="DC433" s="27" t="s">
        <v>8</v>
      </c>
      <c r="DD433" s="27" t="s">
        <v>7</v>
      </c>
      <c r="DE433" s="27" t="s">
        <v>8</v>
      </c>
      <c r="DF433" s="27" t="s">
        <v>7</v>
      </c>
      <c r="GA433" s="27" t="s">
        <v>8</v>
      </c>
    </row>
    <row r="434" spans="1:183" x14ac:dyDescent="0.25">
      <c r="A434" s="7">
        <v>20.693134452910591</v>
      </c>
      <c r="B434"/>
      <c r="C434"/>
      <c r="D434"/>
      <c r="E434"/>
      <c r="DA434" s="27" t="s">
        <v>8</v>
      </c>
      <c r="DC434" s="27" t="s">
        <v>8</v>
      </c>
      <c r="DD434" s="27" t="s">
        <v>7</v>
      </c>
      <c r="DE434" s="27" t="s">
        <v>8</v>
      </c>
      <c r="DF434" s="27" t="s">
        <v>7</v>
      </c>
      <c r="GA434" s="27" t="s">
        <v>8</v>
      </c>
    </row>
    <row r="435" spans="1:183" x14ac:dyDescent="0.25">
      <c r="A435" s="7">
        <v>20.287386718539796</v>
      </c>
      <c r="B435"/>
      <c r="C435"/>
      <c r="D435"/>
      <c r="E435"/>
      <c r="DA435" s="27" t="s">
        <v>8</v>
      </c>
      <c r="DB435" s="27" t="s">
        <v>7</v>
      </c>
      <c r="DC435" s="27" t="s">
        <v>8</v>
      </c>
      <c r="DD435" s="27" t="s">
        <v>7</v>
      </c>
      <c r="DE435" s="27" t="s">
        <v>8</v>
      </c>
      <c r="DF435" s="27" t="s">
        <v>7</v>
      </c>
      <c r="GA435" s="27" t="s">
        <v>8</v>
      </c>
    </row>
    <row r="436" spans="1:183" x14ac:dyDescent="0.25">
      <c r="A436" s="7">
        <v>19.889594822097838</v>
      </c>
      <c r="B436"/>
      <c r="C436"/>
      <c r="D436"/>
      <c r="E436"/>
      <c r="DA436" s="27" t="s">
        <v>8</v>
      </c>
      <c r="DB436" s="27" t="s">
        <v>7</v>
      </c>
      <c r="DC436" s="27" t="s">
        <v>8</v>
      </c>
      <c r="DD436" s="27" t="s">
        <v>7</v>
      </c>
      <c r="DF436" s="27" t="s">
        <v>7</v>
      </c>
      <c r="GA436" s="27" t="s">
        <v>8</v>
      </c>
    </row>
    <row r="437" spans="1:183" x14ac:dyDescent="0.25">
      <c r="A437" s="7">
        <v>19.499602766762585</v>
      </c>
      <c r="B437"/>
      <c r="C437"/>
      <c r="D437"/>
      <c r="E437"/>
      <c r="DA437" s="27" t="s">
        <v>8</v>
      </c>
      <c r="DB437" s="27" t="s">
        <v>7</v>
      </c>
      <c r="DC437" s="27" t="s">
        <v>8</v>
      </c>
      <c r="DF437" s="27" t="s">
        <v>7</v>
      </c>
      <c r="DI437" s="27" t="s">
        <v>8</v>
      </c>
      <c r="DK437" s="27" t="s">
        <v>8</v>
      </c>
      <c r="DY437" s="27" t="s">
        <v>8</v>
      </c>
      <c r="GA437" s="27" t="s">
        <v>8</v>
      </c>
    </row>
    <row r="438" spans="1:183" x14ac:dyDescent="0.25">
      <c r="A438" s="7">
        <v>19.117257614473122</v>
      </c>
      <c r="B438"/>
      <c r="C438"/>
      <c r="D438"/>
      <c r="E438"/>
      <c r="DA438" s="27" t="s">
        <v>8</v>
      </c>
      <c r="DB438" s="27" t="s">
        <v>7</v>
      </c>
      <c r="DC438" s="27" t="s">
        <v>8</v>
      </c>
      <c r="DF438" s="27" t="s">
        <v>7</v>
      </c>
      <c r="DG438" s="27" t="s">
        <v>8</v>
      </c>
      <c r="DI438" s="27" t="s">
        <v>8</v>
      </c>
      <c r="DJ438" s="27" t="s">
        <v>7</v>
      </c>
      <c r="DK438" s="27" t="s">
        <v>8</v>
      </c>
      <c r="DL438" s="27" t="s">
        <v>7</v>
      </c>
      <c r="DY438" s="27" t="s">
        <v>8</v>
      </c>
      <c r="DZ438" s="27" t="s">
        <v>7</v>
      </c>
      <c r="EA438" s="27" t="s">
        <v>8</v>
      </c>
      <c r="GA438" s="27" t="s">
        <v>8</v>
      </c>
    </row>
    <row r="439" spans="1:183" x14ac:dyDescent="0.25">
      <c r="A439" s="7">
        <v>18.74240942595404</v>
      </c>
      <c r="B439"/>
      <c r="C439"/>
      <c r="D439"/>
      <c r="E439"/>
      <c r="DA439" s="27" t="s">
        <v>8</v>
      </c>
      <c r="DB439" s="27" t="s">
        <v>7</v>
      </c>
      <c r="DC439" s="27" t="s">
        <v>8</v>
      </c>
      <c r="DF439" s="27" t="s">
        <v>7</v>
      </c>
      <c r="DG439" s="27" t="s">
        <v>8</v>
      </c>
      <c r="DH439" s="27" t="s">
        <v>7</v>
      </c>
      <c r="DI439" s="27" t="s">
        <v>8</v>
      </c>
      <c r="DJ439" s="27" t="s">
        <v>7</v>
      </c>
      <c r="DK439" s="27" t="s">
        <v>8</v>
      </c>
      <c r="DL439" s="27" t="s">
        <v>7</v>
      </c>
      <c r="DW439" s="27" t="s">
        <v>8</v>
      </c>
      <c r="DY439" s="27" t="s">
        <v>8</v>
      </c>
      <c r="DZ439" s="27" t="s">
        <v>7</v>
      </c>
      <c r="EA439" s="27" t="s">
        <v>8</v>
      </c>
      <c r="EB439" s="27" t="s">
        <v>7</v>
      </c>
      <c r="GA439" s="27" t="s">
        <v>8</v>
      </c>
    </row>
    <row r="440" spans="1:183" x14ac:dyDescent="0.25">
      <c r="A440" s="7">
        <v>18.374911201915726</v>
      </c>
      <c r="B440"/>
      <c r="C440"/>
      <c r="D440"/>
      <c r="E440"/>
      <c r="DA440" s="27" t="s">
        <v>8</v>
      </c>
      <c r="DB440" s="27" t="s">
        <v>7</v>
      </c>
      <c r="DC440" s="27" t="s">
        <v>8</v>
      </c>
      <c r="DF440" s="27" t="s">
        <v>7</v>
      </c>
      <c r="DG440" s="27" t="s">
        <v>8</v>
      </c>
      <c r="DH440" s="27" t="s">
        <v>7</v>
      </c>
      <c r="DI440" s="27" t="s">
        <v>8</v>
      </c>
      <c r="DJ440" s="27" t="s">
        <v>7</v>
      </c>
      <c r="DK440" s="27" t="s">
        <v>8</v>
      </c>
      <c r="DL440" s="27" t="s">
        <v>7</v>
      </c>
      <c r="DW440" s="27" t="s">
        <v>8</v>
      </c>
      <c r="DX440" s="27" t="s">
        <v>7</v>
      </c>
      <c r="DY440" s="27" t="s">
        <v>8</v>
      </c>
      <c r="DZ440" s="27" t="s">
        <v>7</v>
      </c>
      <c r="EA440" s="27" t="s">
        <v>8</v>
      </c>
      <c r="EB440" s="27" t="s">
        <v>7</v>
      </c>
      <c r="GA440" s="27" t="s">
        <v>8</v>
      </c>
    </row>
    <row r="441" spans="1:183" x14ac:dyDescent="0.25">
      <c r="A441" s="7">
        <v>18.014618825407574</v>
      </c>
      <c r="B441"/>
      <c r="C441"/>
      <c r="D441"/>
      <c r="E441"/>
      <c r="DA441" s="27" t="s">
        <v>8</v>
      </c>
      <c r="DB441" s="27" t="s">
        <v>7</v>
      </c>
      <c r="DC441" s="27" t="s">
        <v>8</v>
      </c>
      <c r="DF441" s="27" t="s">
        <v>7</v>
      </c>
      <c r="DG441" s="27" t="s">
        <v>8</v>
      </c>
      <c r="DH441" s="27" t="s">
        <v>7</v>
      </c>
      <c r="DJ441" s="27" t="s">
        <v>7</v>
      </c>
      <c r="DL441" s="27" t="s">
        <v>7</v>
      </c>
      <c r="DW441" s="27" t="s">
        <v>8</v>
      </c>
      <c r="DX441" s="27" t="s">
        <v>7</v>
      </c>
      <c r="DY441" s="27" t="s">
        <v>8</v>
      </c>
      <c r="DZ441" s="27" t="s">
        <v>7</v>
      </c>
      <c r="EA441" s="27" t="s">
        <v>8</v>
      </c>
      <c r="EB441" s="27" t="s">
        <v>7</v>
      </c>
      <c r="EE441" s="27" t="s">
        <v>8</v>
      </c>
      <c r="FY441" s="27" t="s">
        <v>8</v>
      </c>
      <c r="GA441" s="27" t="s">
        <v>8</v>
      </c>
    </row>
    <row r="442" spans="1:183" x14ac:dyDescent="0.25">
      <c r="A442" s="7">
        <v>17.661391005301542</v>
      </c>
      <c r="B442"/>
      <c r="C442"/>
      <c r="D442"/>
      <c r="E442"/>
      <c r="DA442" s="27" t="s">
        <v>8</v>
      </c>
      <c r="DB442" s="27" t="s">
        <v>7</v>
      </c>
      <c r="DC442" s="27" t="s">
        <v>8</v>
      </c>
      <c r="DF442" s="27" t="s">
        <v>7</v>
      </c>
      <c r="DG442" s="27" t="s">
        <v>8</v>
      </c>
      <c r="DL442" s="27" t="s">
        <v>7</v>
      </c>
      <c r="DW442" s="27" t="s">
        <v>8</v>
      </c>
      <c r="DX442" s="27" t="s">
        <v>7</v>
      </c>
      <c r="DY442" s="27" t="s">
        <v>8</v>
      </c>
      <c r="DZ442" s="27" t="s">
        <v>7</v>
      </c>
      <c r="EA442" s="27" t="s">
        <v>8</v>
      </c>
      <c r="EB442" s="27" t="s">
        <v>7</v>
      </c>
      <c r="EE442" s="27" t="s">
        <v>8</v>
      </c>
      <c r="EF442" s="27" t="s">
        <v>7</v>
      </c>
      <c r="FY442" s="27" t="s">
        <v>8</v>
      </c>
      <c r="FZ442" s="27" t="s">
        <v>7</v>
      </c>
      <c r="GA442" s="27" t="s">
        <v>8</v>
      </c>
    </row>
    <row r="443" spans="1:183" x14ac:dyDescent="0.25">
      <c r="A443" s="7">
        <v>17.315089220883866</v>
      </c>
      <c r="B443"/>
      <c r="C443"/>
      <c r="D443"/>
      <c r="E443"/>
      <c r="CY443" s="27" t="s">
        <v>8</v>
      </c>
      <c r="DA443" s="27" t="s">
        <v>8</v>
      </c>
      <c r="DB443" s="27" t="s">
        <v>7</v>
      </c>
      <c r="DF443" s="27" t="s">
        <v>7</v>
      </c>
      <c r="DG443" s="27" t="s">
        <v>8</v>
      </c>
      <c r="DL443" s="27" t="s">
        <v>7</v>
      </c>
      <c r="DW443" s="27" t="s">
        <v>8</v>
      </c>
      <c r="DX443" s="27" t="s">
        <v>7</v>
      </c>
      <c r="DY443" s="27" t="s">
        <v>8</v>
      </c>
      <c r="DZ443" s="27" t="s">
        <v>7</v>
      </c>
      <c r="EA443" s="27" t="s">
        <v>8</v>
      </c>
      <c r="EB443" s="27" t="s">
        <v>7</v>
      </c>
      <c r="EC443" s="27" t="s">
        <v>8</v>
      </c>
      <c r="EE443" s="27" t="s">
        <v>8</v>
      </c>
      <c r="EF443" s="27" t="s">
        <v>7</v>
      </c>
      <c r="EI443" s="27" t="s">
        <v>8</v>
      </c>
      <c r="FY443" s="27" t="s">
        <v>8</v>
      </c>
      <c r="FZ443" s="27" t="s">
        <v>7</v>
      </c>
      <c r="GA443" s="27" t="s">
        <v>8</v>
      </c>
    </row>
    <row r="444" spans="1:183" x14ac:dyDescent="0.25">
      <c r="A444" s="7">
        <v>16.975577667533202</v>
      </c>
      <c r="B444"/>
      <c r="C444"/>
      <c r="D444"/>
      <c r="E444"/>
      <c r="CY444" s="27" t="s">
        <v>8</v>
      </c>
      <c r="CZ444" s="27" t="s">
        <v>7</v>
      </c>
      <c r="DA444" s="27" t="s">
        <v>8</v>
      </c>
      <c r="DF444" s="27" t="s">
        <v>7</v>
      </c>
      <c r="DG444" s="27" t="s">
        <v>8</v>
      </c>
      <c r="DL444" s="27" t="s">
        <v>7</v>
      </c>
      <c r="DM444" s="27" t="s">
        <v>8</v>
      </c>
      <c r="DQ444" s="27" t="s">
        <v>8</v>
      </c>
      <c r="DW444" s="27" t="s">
        <v>8</v>
      </c>
      <c r="DX444" s="27" t="s">
        <v>7</v>
      </c>
      <c r="DZ444" s="27" t="s">
        <v>7</v>
      </c>
      <c r="EA444" s="27" t="s">
        <v>8</v>
      </c>
      <c r="EB444" s="27" t="s">
        <v>7</v>
      </c>
      <c r="EC444" s="27" t="s">
        <v>8</v>
      </c>
      <c r="ED444" s="27" t="s">
        <v>7</v>
      </c>
      <c r="EE444" s="27" t="s">
        <v>8</v>
      </c>
      <c r="EF444" s="27" t="s">
        <v>7</v>
      </c>
      <c r="EI444" s="27" t="s">
        <v>8</v>
      </c>
      <c r="EJ444" s="27" t="s">
        <v>7</v>
      </c>
      <c r="FY444" s="27" t="s">
        <v>8</v>
      </c>
      <c r="FZ444" s="27" t="s">
        <v>7</v>
      </c>
      <c r="GA444" s="27" t="s">
        <v>8</v>
      </c>
    </row>
    <row r="445" spans="1:183" x14ac:dyDescent="0.25">
      <c r="A445" s="7">
        <v>16.642723203463923</v>
      </c>
      <c r="B445"/>
      <c r="C445"/>
      <c r="D445"/>
      <c r="E445"/>
      <c r="CY445" s="27" t="s">
        <v>8</v>
      </c>
      <c r="CZ445" s="27" t="s">
        <v>7</v>
      </c>
      <c r="DA445" s="27" t="s">
        <v>8</v>
      </c>
      <c r="DF445" s="27" t="s">
        <v>7</v>
      </c>
      <c r="DG445" s="27" t="s">
        <v>8</v>
      </c>
      <c r="DL445" s="27" t="s">
        <v>7</v>
      </c>
      <c r="DM445" s="27" t="s">
        <v>8</v>
      </c>
      <c r="DN445" s="27" t="s">
        <v>7</v>
      </c>
      <c r="DO445" s="27" t="s">
        <v>8</v>
      </c>
      <c r="DQ445" s="27" t="s">
        <v>8</v>
      </c>
      <c r="DR445" s="27" t="s">
        <v>7</v>
      </c>
      <c r="DW445" s="27" t="s">
        <v>8</v>
      </c>
      <c r="DZ445" s="27" t="s">
        <v>7</v>
      </c>
      <c r="EA445" s="27" t="s">
        <v>8</v>
      </c>
      <c r="EB445" s="27" t="s">
        <v>7</v>
      </c>
      <c r="EC445" s="27" t="s">
        <v>8</v>
      </c>
      <c r="ED445" s="27" t="s">
        <v>7</v>
      </c>
      <c r="EE445" s="27" t="s">
        <v>8</v>
      </c>
      <c r="EF445" s="27" t="s">
        <v>7</v>
      </c>
      <c r="EG445" s="27" t="s">
        <v>8</v>
      </c>
      <c r="EI445" s="27" t="s">
        <v>8</v>
      </c>
      <c r="EJ445" s="27" t="s">
        <v>7</v>
      </c>
      <c r="EK445" s="27" t="s">
        <v>8</v>
      </c>
      <c r="FY445" s="27" t="s">
        <v>8</v>
      </c>
      <c r="FZ445" s="27" t="s">
        <v>7</v>
      </c>
      <c r="GA445" s="27" t="s">
        <v>8</v>
      </c>
    </row>
    <row r="446" spans="1:183" x14ac:dyDescent="0.25">
      <c r="A446" s="7">
        <v>16.316395297513651</v>
      </c>
      <c r="B446"/>
      <c r="C446"/>
      <c r="D446"/>
      <c r="E446"/>
      <c r="CY446" s="27" t="s">
        <v>8</v>
      </c>
      <c r="CZ446" s="27" t="s">
        <v>7</v>
      </c>
      <c r="DA446" s="27" t="s">
        <v>8</v>
      </c>
      <c r="DF446" s="27" t="s">
        <v>7</v>
      </c>
      <c r="DG446" s="27" t="s">
        <v>8</v>
      </c>
      <c r="DL446" s="27" t="s">
        <v>7</v>
      </c>
      <c r="DM446" s="27" t="s">
        <v>8</v>
      </c>
      <c r="DN446" s="27" t="s">
        <v>7</v>
      </c>
      <c r="DO446" s="27" t="s">
        <v>8</v>
      </c>
      <c r="DP446" s="27" t="s">
        <v>7</v>
      </c>
      <c r="DQ446" s="27" t="s">
        <v>8</v>
      </c>
      <c r="DR446" s="27" t="s">
        <v>7</v>
      </c>
      <c r="DS446" s="27" t="s">
        <v>8</v>
      </c>
      <c r="DW446" s="27" t="s">
        <v>8</v>
      </c>
      <c r="DZ446" s="27" t="s">
        <v>7</v>
      </c>
      <c r="EA446" s="27" t="s">
        <v>8</v>
      </c>
      <c r="EB446" s="27" t="s">
        <v>7</v>
      </c>
      <c r="EC446" s="27" t="s">
        <v>8</v>
      </c>
      <c r="ED446" s="27" t="s">
        <v>7</v>
      </c>
      <c r="EF446" s="27" t="s">
        <v>7</v>
      </c>
      <c r="EG446" s="27" t="s">
        <v>8</v>
      </c>
      <c r="EH446" s="27" t="s">
        <v>7</v>
      </c>
      <c r="EI446" s="27" t="s">
        <v>8</v>
      </c>
      <c r="EJ446" s="27" t="s">
        <v>7</v>
      </c>
      <c r="EK446" s="27" t="s">
        <v>8</v>
      </c>
      <c r="EL446" s="27" t="s">
        <v>7</v>
      </c>
      <c r="FY446" s="27" t="s">
        <v>8</v>
      </c>
      <c r="FZ446" s="27" t="s">
        <v>7</v>
      </c>
      <c r="GA446" s="27" t="s">
        <v>8</v>
      </c>
    </row>
    <row r="447" spans="1:183" x14ac:dyDescent="0.25">
      <c r="A447" s="7">
        <v>15.996465977954561</v>
      </c>
      <c r="B447"/>
      <c r="C447"/>
      <c r="D447"/>
      <c r="E447"/>
      <c r="CY447" s="27" t="s">
        <v>8</v>
      </c>
      <c r="CZ447" s="27" t="s">
        <v>7</v>
      </c>
      <c r="DA447" s="27" t="s">
        <v>8</v>
      </c>
      <c r="DF447" s="27" t="s">
        <v>7</v>
      </c>
      <c r="DL447" s="27" t="s">
        <v>7</v>
      </c>
      <c r="DM447" s="27" t="s">
        <v>8</v>
      </c>
      <c r="DN447" s="27" t="s">
        <v>7</v>
      </c>
      <c r="DO447" s="27" t="s">
        <v>8</v>
      </c>
      <c r="DP447" s="27" t="s">
        <v>7</v>
      </c>
      <c r="DQ447" s="27" t="s">
        <v>8</v>
      </c>
      <c r="DR447" s="27" t="s">
        <v>7</v>
      </c>
      <c r="DS447" s="27" t="s">
        <v>8</v>
      </c>
      <c r="DT447" s="27" t="s">
        <v>7</v>
      </c>
      <c r="DW447" s="27" t="s">
        <v>8</v>
      </c>
      <c r="DZ447" s="27" t="s">
        <v>7</v>
      </c>
      <c r="EB447" s="27" t="s">
        <v>7</v>
      </c>
      <c r="EC447" s="27" t="s">
        <v>8</v>
      </c>
      <c r="EF447" s="27" t="s">
        <v>7</v>
      </c>
      <c r="EG447" s="27" t="s">
        <v>8</v>
      </c>
      <c r="EH447" s="27" t="s">
        <v>7</v>
      </c>
      <c r="EI447" s="27" t="s">
        <v>8</v>
      </c>
      <c r="EJ447" s="27" t="s">
        <v>7</v>
      </c>
      <c r="EK447" s="27" t="s">
        <v>8</v>
      </c>
      <c r="EL447" s="27" t="s">
        <v>7</v>
      </c>
      <c r="FY447" s="27" t="s">
        <v>8</v>
      </c>
      <c r="FZ447" s="27" t="s">
        <v>7</v>
      </c>
    </row>
    <row r="448" spans="1:183" x14ac:dyDescent="0.25">
      <c r="A448" s="7">
        <v>15.682809782308393</v>
      </c>
      <c r="B448"/>
      <c r="C448"/>
      <c r="D448"/>
      <c r="E448"/>
      <c r="CY448" s="27" t="s">
        <v>8</v>
      </c>
      <c r="CZ448" s="27" t="s">
        <v>7</v>
      </c>
      <c r="DA448" s="27" t="s">
        <v>8</v>
      </c>
      <c r="DL448" s="27" t="s">
        <v>7</v>
      </c>
      <c r="DM448" s="27" t="s">
        <v>8</v>
      </c>
      <c r="DN448" s="27" t="s">
        <v>7</v>
      </c>
      <c r="DO448" s="27" t="s">
        <v>8</v>
      </c>
      <c r="DP448" s="27" t="s">
        <v>7</v>
      </c>
      <c r="DQ448" s="27" t="s">
        <v>8</v>
      </c>
      <c r="DR448" s="27" t="s">
        <v>7</v>
      </c>
      <c r="DS448" s="27" t="s">
        <v>8</v>
      </c>
      <c r="DT448" s="27" t="s">
        <v>7</v>
      </c>
      <c r="DW448" s="27" t="s">
        <v>8</v>
      </c>
      <c r="EB448" s="27" t="s">
        <v>7</v>
      </c>
      <c r="EF448" s="27" t="s">
        <v>7</v>
      </c>
      <c r="EG448" s="27" t="s">
        <v>8</v>
      </c>
      <c r="EH448" s="27" t="s">
        <v>7</v>
      </c>
      <c r="EI448" s="27" t="s">
        <v>8</v>
      </c>
      <c r="EJ448" s="27" t="s">
        <v>7</v>
      </c>
      <c r="EK448" s="27" t="s">
        <v>8</v>
      </c>
      <c r="EL448" s="27" t="s">
        <v>7</v>
      </c>
      <c r="FY448" s="27" t="s">
        <v>8</v>
      </c>
    </row>
    <row r="449" spans="1:181" x14ac:dyDescent="0.25">
      <c r="A449" s="7">
        <v>15.375303708145482</v>
      </c>
      <c r="B449"/>
      <c r="C449"/>
      <c r="D449"/>
      <c r="E449"/>
      <c r="CY449" s="27" t="s">
        <v>8</v>
      </c>
      <c r="CZ449" s="27" t="s">
        <v>7</v>
      </c>
      <c r="DA449" s="27" t="s">
        <v>8</v>
      </c>
      <c r="DL449" s="27" t="s">
        <v>7</v>
      </c>
      <c r="DM449" s="27" t="s">
        <v>8</v>
      </c>
      <c r="DN449" s="27" t="s">
        <v>7</v>
      </c>
      <c r="DO449" s="27" t="s">
        <v>8</v>
      </c>
      <c r="DP449" s="27" t="s">
        <v>7</v>
      </c>
      <c r="DQ449" s="27" t="s">
        <v>8</v>
      </c>
      <c r="DR449" s="27" t="s">
        <v>7</v>
      </c>
      <c r="DS449" s="27" t="s">
        <v>8</v>
      </c>
      <c r="DT449" s="27" t="s">
        <v>7</v>
      </c>
      <c r="DU449" s="27" t="s">
        <v>8</v>
      </c>
      <c r="DW449" s="27" t="s">
        <v>8</v>
      </c>
      <c r="EF449" s="27" t="s">
        <v>7</v>
      </c>
      <c r="EG449" s="27" t="s">
        <v>8</v>
      </c>
      <c r="EH449" s="27" t="s">
        <v>7</v>
      </c>
      <c r="EJ449" s="27" t="s">
        <v>7</v>
      </c>
      <c r="EK449" s="27" t="s">
        <v>8</v>
      </c>
      <c r="EL449" s="27" t="s">
        <v>7</v>
      </c>
      <c r="FU449" s="27" t="s">
        <v>8</v>
      </c>
      <c r="FW449" s="27" t="s">
        <v>8</v>
      </c>
      <c r="FY449" s="27" t="s">
        <v>8</v>
      </c>
    </row>
    <row r="450" spans="1:181" x14ac:dyDescent="0.25">
      <c r="A450" s="7">
        <v>15.073827164848511</v>
      </c>
      <c r="B450"/>
      <c r="C450"/>
      <c r="D450"/>
      <c r="E450"/>
      <c r="CY450" s="27" t="s">
        <v>8</v>
      </c>
      <c r="CZ450" s="27" t="s">
        <v>7</v>
      </c>
      <c r="DA450" s="27" t="s">
        <v>8</v>
      </c>
      <c r="DL450" s="27" t="s">
        <v>7</v>
      </c>
      <c r="DM450" s="27" t="s">
        <v>8</v>
      </c>
      <c r="DN450" s="27" t="s">
        <v>7</v>
      </c>
      <c r="DO450" s="27" t="s">
        <v>8</v>
      </c>
      <c r="DP450" s="27" t="s">
        <v>7</v>
      </c>
      <c r="DR450" s="27" t="s">
        <v>7</v>
      </c>
      <c r="DS450" s="27" t="s">
        <v>8</v>
      </c>
      <c r="DT450" s="27" t="s">
        <v>7</v>
      </c>
      <c r="DU450" s="27" t="s">
        <v>8</v>
      </c>
      <c r="DV450" s="27" t="s">
        <v>7</v>
      </c>
      <c r="DW450" s="27" t="s">
        <v>8</v>
      </c>
      <c r="EF450" s="27" t="s">
        <v>7</v>
      </c>
      <c r="EG450" s="27" t="s">
        <v>8</v>
      </c>
      <c r="EJ450" s="27" t="s">
        <v>7</v>
      </c>
      <c r="EK450" s="27" t="s">
        <v>8</v>
      </c>
      <c r="EL450" s="27" t="s">
        <v>7</v>
      </c>
      <c r="FU450" s="27" t="s">
        <v>8</v>
      </c>
      <c r="FV450" s="27" t="s">
        <v>7</v>
      </c>
      <c r="FW450" s="27" t="s">
        <v>8</v>
      </c>
      <c r="FX450" s="27" t="s">
        <v>7</v>
      </c>
      <c r="FY450" s="27" t="s">
        <v>8</v>
      </c>
    </row>
    <row r="451" spans="1:181" x14ac:dyDescent="0.25">
      <c r="A451" s="7">
        <v>14.77826192632207</v>
      </c>
      <c r="B451"/>
      <c r="C451"/>
      <c r="D451"/>
      <c r="E451"/>
      <c r="CY451" s="27" t="s">
        <v>8</v>
      </c>
      <c r="CZ451" s="27" t="s">
        <v>7</v>
      </c>
      <c r="DL451" s="27" t="s">
        <v>7</v>
      </c>
      <c r="DN451" s="27" t="s">
        <v>7</v>
      </c>
      <c r="DO451" s="27" t="s">
        <v>8</v>
      </c>
      <c r="DR451" s="27" t="s">
        <v>7</v>
      </c>
      <c r="DS451" s="27" t="s">
        <v>8</v>
      </c>
      <c r="DT451" s="27" t="s">
        <v>7</v>
      </c>
      <c r="DU451" s="27" t="s">
        <v>8</v>
      </c>
      <c r="DV451" s="27" t="s">
        <v>7</v>
      </c>
      <c r="DW451" s="27" t="s">
        <v>8</v>
      </c>
      <c r="EF451" s="27" t="s">
        <v>7</v>
      </c>
      <c r="EG451" s="27" t="s">
        <v>8</v>
      </c>
      <c r="EJ451" s="27" t="s">
        <v>7</v>
      </c>
      <c r="EL451" s="27" t="s">
        <v>7</v>
      </c>
      <c r="FU451" s="27" t="s">
        <v>8</v>
      </c>
      <c r="FV451" s="27" t="s">
        <v>7</v>
      </c>
      <c r="FW451" s="27" t="s">
        <v>8</v>
      </c>
      <c r="FX451" s="27" t="s">
        <v>7</v>
      </c>
      <c r="FY451" s="27" t="s">
        <v>8</v>
      </c>
    </row>
    <row r="452" spans="1:181" x14ac:dyDescent="0.25">
      <c r="A452" s="7">
        <v>14.488492084629481</v>
      </c>
      <c r="B452"/>
      <c r="C452"/>
      <c r="D452"/>
      <c r="E452"/>
      <c r="CY452" s="27" t="s">
        <v>8</v>
      </c>
      <c r="DN452" s="27" t="s">
        <v>7</v>
      </c>
      <c r="DR452" s="27" t="s">
        <v>7</v>
      </c>
      <c r="DS452" s="27" t="s">
        <v>8</v>
      </c>
      <c r="DT452" s="27" t="s">
        <v>7</v>
      </c>
      <c r="DU452" s="27" t="s">
        <v>8</v>
      </c>
      <c r="DV452" s="27" t="s">
        <v>7</v>
      </c>
      <c r="DW452" s="27" t="s">
        <v>8</v>
      </c>
      <c r="EF452" s="27" t="s">
        <v>7</v>
      </c>
      <c r="EG452" s="27" t="s">
        <v>8</v>
      </c>
      <c r="EL452" s="27" t="s">
        <v>7</v>
      </c>
      <c r="FU452" s="27" t="s">
        <v>8</v>
      </c>
      <c r="FV452" s="27" t="s">
        <v>7</v>
      </c>
      <c r="FW452" s="27" t="s">
        <v>8</v>
      </c>
      <c r="FX452" s="27" t="s">
        <v>7</v>
      </c>
      <c r="FY452" s="27" t="s">
        <v>8</v>
      </c>
    </row>
    <row r="453" spans="1:181" x14ac:dyDescent="0.25">
      <c r="A453" s="7">
        <v>14.204404004538707</v>
      </c>
      <c r="B453"/>
      <c r="C453"/>
      <c r="D453"/>
      <c r="E453"/>
      <c r="CY453" s="27" t="s">
        <v>8</v>
      </c>
      <c r="DR453" s="27" t="s">
        <v>7</v>
      </c>
      <c r="DS453" s="27" t="s">
        <v>8</v>
      </c>
      <c r="DT453" s="27" t="s">
        <v>7</v>
      </c>
      <c r="DU453" s="27" t="s">
        <v>8</v>
      </c>
      <c r="DV453" s="27" t="s">
        <v>7</v>
      </c>
      <c r="DW453" s="27" t="s">
        <v>8</v>
      </c>
      <c r="EF453" s="27" t="s">
        <v>7</v>
      </c>
      <c r="EG453" s="27" t="s">
        <v>8</v>
      </c>
      <c r="EL453" s="27" t="s">
        <v>7</v>
      </c>
      <c r="FU453" s="27" t="s">
        <v>8</v>
      </c>
      <c r="FV453" s="27" t="s">
        <v>7</v>
      </c>
      <c r="FW453" s="27" t="s">
        <v>8</v>
      </c>
      <c r="FX453" s="27" t="s">
        <v>7</v>
      </c>
      <c r="FY453" s="27" t="s">
        <v>8</v>
      </c>
    </row>
    <row r="454" spans="1:181" x14ac:dyDescent="0.25">
      <c r="A454" s="7">
        <v>13.925886278959517</v>
      </c>
      <c r="B454"/>
      <c r="C454"/>
      <c r="D454"/>
      <c r="E454"/>
      <c r="CY454" s="27" t="s">
        <v>8</v>
      </c>
      <c r="DR454" s="27" t="s">
        <v>7</v>
      </c>
      <c r="DS454" s="27" t="s">
        <v>8</v>
      </c>
      <c r="DT454" s="27" t="s">
        <v>7</v>
      </c>
      <c r="DU454" s="27" t="s">
        <v>8</v>
      </c>
      <c r="DV454" s="27" t="s">
        <v>7</v>
      </c>
      <c r="DW454" s="27" t="s">
        <v>8</v>
      </c>
      <c r="EF454" s="27" t="s">
        <v>7</v>
      </c>
      <c r="EG454" s="27" t="s">
        <v>8</v>
      </c>
      <c r="EL454" s="27" t="s">
        <v>7</v>
      </c>
      <c r="FU454" s="27" t="s">
        <v>8</v>
      </c>
      <c r="FV454" s="27" t="s">
        <v>7</v>
      </c>
      <c r="FX454" s="27" t="s">
        <v>7</v>
      </c>
      <c r="FY454" s="27" t="s">
        <v>8</v>
      </c>
    </row>
    <row r="455" spans="1:181" x14ac:dyDescent="0.25">
      <c r="A455" s="7">
        <v>13.652829685254428</v>
      </c>
      <c r="B455"/>
      <c r="C455"/>
      <c r="D455"/>
      <c r="E455"/>
      <c r="CY455" s="27" t="s">
        <v>8</v>
      </c>
      <c r="DR455" s="27" t="s">
        <v>7</v>
      </c>
      <c r="DS455" s="27" t="s">
        <v>8</v>
      </c>
      <c r="DT455" s="27" t="s">
        <v>7</v>
      </c>
      <c r="DU455" s="27" t="s">
        <v>8</v>
      </c>
      <c r="DV455" s="27" t="s">
        <v>7</v>
      </c>
      <c r="DW455" s="27" t="s">
        <v>8</v>
      </c>
      <c r="EF455" s="27" t="s">
        <v>7</v>
      </c>
      <c r="EL455" s="27" t="s">
        <v>7</v>
      </c>
      <c r="FU455" s="27" t="s">
        <v>8</v>
      </c>
      <c r="FX455" s="27" t="s">
        <v>7</v>
      </c>
      <c r="FY455" s="27" t="s">
        <v>8</v>
      </c>
    </row>
    <row r="456" spans="1:181" x14ac:dyDescent="0.25">
      <c r="A456" s="7">
        <v>13.385127142406303</v>
      </c>
      <c r="B456"/>
      <c r="C456"/>
      <c r="D456"/>
      <c r="E456"/>
      <c r="CY456" s="27" t="s">
        <v>8</v>
      </c>
      <c r="DR456" s="27" t="s">
        <v>7</v>
      </c>
      <c r="DS456" s="27" t="s">
        <v>8</v>
      </c>
      <c r="DT456" s="27" t="s">
        <v>7</v>
      </c>
      <c r="DU456" s="27" t="s">
        <v>8</v>
      </c>
      <c r="DV456" s="27" t="s">
        <v>7</v>
      </c>
      <c r="DW456" s="27" t="s">
        <v>8</v>
      </c>
      <c r="EL456" s="27" t="s">
        <v>7</v>
      </c>
      <c r="FU456" s="27" t="s">
        <v>8</v>
      </c>
      <c r="FX456" s="27" t="s">
        <v>7</v>
      </c>
      <c r="FY456" s="27" t="s">
        <v>8</v>
      </c>
    </row>
    <row r="457" spans="1:181" x14ac:dyDescent="0.25">
      <c r="A457" s="7">
        <v>13.122673669025787</v>
      </c>
      <c r="B457"/>
      <c r="C457"/>
      <c r="D457"/>
      <c r="E457"/>
      <c r="CY457" s="27" t="s">
        <v>8</v>
      </c>
      <c r="DR457" s="27" t="s">
        <v>7</v>
      </c>
      <c r="DS457" s="27" t="s">
        <v>8</v>
      </c>
      <c r="DT457" s="27" t="s">
        <v>7</v>
      </c>
      <c r="DU457" s="27" t="s">
        <v>8</v>
      </c>
      <c r="DV457" s="27" t="s">
        <v>7</v>
      </c>
      <c r="DW457" s="27" t="s">
        <v>8</v>
      </c>
      <c r="EL457" s="27" t="s">
        <v>7</v>
      </c>
      <c r="FU457" s="27" t="s">
        <v>8</v>
      </c>
      <c r="FX457" s="27" t="s">
        <v>7</v>
      </c>
    </row>
    <row r="458" spans="1:181" x14ac:dyDescent="0.25">
      <c r="A458" s="7">
        <v>12.865366342182144</v>
      </c>
      <c r="B458"/>
      <c r="C458"/>
      <c r="D458"/>
      <c r="E458"/>
      <c r="CY458" s="27" t="s">
        <v>8</v>
      </c>
      <c r="DR458" s="27" t="s">
        <v>7</v>
      </c>
      <c r="DS458" s="27" t="s">
        <v>8</v>
      </c>
      <c r="DT458" s="27" t="s">
        <v>7</v>
      </c>
      <c r="DU458" s="27" t="s">
        <v>8</v>
      </c>
      <c r="DV458" s="27" t="s">
        <v>7</v>
      </c>
      <c r="EL458" s="27" t="s">
        <v>7</v>
      </c>
      <c r="FU458" s="27" t="s">
        <v>8</v>
      </c>
    </row>
    <row r="459" spans="1:181" x14ac:dyDescent="0.25">
      <c r="A459" s="7">
        <v>12.613104257041318</v>
      </c>
      <c r="B459"/>
      <c r="C459"/>
      <c r="D459"/>
      <c r="E459"/>
      <c r="CY459" s="27" t="s">
        <v>8</v>
      </c>
      <c r="DR459" s="27" t="s">
        <v>7</v>
      </c>
      <c r="DS459" s="27" t="s">
        <v>8</v>
      </c>
      <c r="DT459" s="27" t="s">
        <v>7</v>
      </c>
      <c r="EL459" s="27" t="s">
        <v>7</v>
      </c>
      <c r="FU459" s="27" t="s">
        <v>8</v>
      </c>
    </row>
    <row r="460" spans="1:181" x14ac:dyDescent="0.25">
      <c r="A460" s="7">
        <v>12.36578848729541</v>
      </c>
      <c r="B460"/>
      <c r="C460"/>
      <c r="D460"/>
      <c r="E460"/>
      <c r="CY460" s="27" t="s">
        <v>8</v>
      </c>
      <c r="DR460" s="27" t="s">
        <v>7</v>
      </c>
      <c r="DS460" s="27" t="s">
        <v>8</v>
      </c>
      <c r="EL460" s="27" t="s">
        <v>7</v>
      </c>
      <c r="FU460" s="27" t="s">
        <v>8</v>
      </c>
    </row>
    <row r="461" spans="1:181" x14ac:dyDescent="0.25">
      <c r="A461" s="7">
        <v>12.123322046368049</v>
      </c>
      <c r="B461"/>
      <c r="C461"/>
      <c r="D461"/>
      <c r="E461"/>
      <c r="CW461" s="27" t="s">
        <v>8</v>
      </c>
      <c r="CY461" s="27" t="s">
        <v>8</v>
      </c>
      <c r="DR461" s="27" t="s">
        <v>7</v>
      </c>
      <c r="DS461" s="27" t="s">
        <v>8</v>
      </c>
      <c r="EL461" s="27" t="s">
        <v>7</v>
      </c>
      <c r="FU461" s="27" t="s">
        <v>8</v>
      </c>
    </row>
    <row r="462" spans="1:181" x14ac:dyDescent="0.25">
      <c r="A462" s="7">
        <v>11.88560984938044</v>
      </c>
      <c r="B462"/>
      <c r="C462"/>
      <c r="D462"/>
      <c r="E462"/>
      <c r="CW462" s="27" t="s">
        <v>8</v>
      </c>
      <c r="CX462" s="27" t="s">
        <v>7</v>
      </c>
      <c r="CY462" s="27" t="s">
        <v>8</v>
      </c>
      <c r="DR462" s="27" t="s">
        <v>7</v>
      </c>
      <c r="DS462" s="27" t="s">
        <v>8</v>
      </c>
      <c r="EL462" s="27" t="s">
        <v>7</v>
      </c>
      <c r="FU462" s="27" t="s">
        <v>8</v>
      </c>
    </row>
    <row r="463" spans="1:181" x14ac:dyDescent="0.25">
      <c r="A463" s="7">
        <v>11.652558675863176</v>
      </c>
      <c r="B463"/>
      <c r="C463"/>
      <c r="D463"/>
      <c r="E463"/>
      <c r="CW463" s="27" t="s">
        <v>8</v>
      </c>
      <c r="CX463" s="27" t="s">
        <v>7</v>
      </c>
      <c r="CY463" s="27" t="s">
        <v>8</v>
      </c>
      <c r="DR463" s="27" t="s">
        <v>7</v>
      </c>
      <c r="EL463" s="27" t="s">
        <v>7</v>
      </c>
      <c r="FS463" s="27" t="s">
        <v>8</v>
      </c>
      <c r="FU463" s="27" t="s">
        <v>8</v>
      </c>
    </row>
    <row r="464" spans="1:181" x14ac:dyDescent="0.25">
      <c r="A464" s="7">
        <v>11.424077133199193</v>
      </c>
      <c r="B464"/>
      <c r="C464"/>
      <c r="D464"/>
      <c r="E464"/>
      <c r="CW464" s="27" t="s">
        <v>8</v>
      </c>
      <c r="CX464" s="27" t="s">
        <v>7</v>
      </c>
      <c r="CY464" s="27" t="s">
        <v>8</v>
      </c>
      <c r="EL464" s="27" t="s">
        <v>7</v>
      </c>
      <c r="FS464" s="27" t="s">
        <v>8</v>
      </c>
      <c r="FT464" s="27" t="s">
        <v>7</v>
      </c>
      <c r="FU464" s="27" t="s">
        <v>8</v>
      </c>
    </row>
    <row r="465" spans="1:177" x14ac:dyDescent="0.25">
      <c r="A465" s="7">
        <v>11.200075620783522</v>
      </c>
      <c r="B465"/>
      <c r="C465"/>
      <c r="D465"/>
      <c r="E465"/>
      <c r="CW465" s="27" t="s">
        <v>8</v>
      </c>
      <c r="CX465" s="27" t="s">
        <v>7</v>
      </c>
      <c r="CY465" s="27" t="s">
        <v>8</v>
      </c>
      <c r="EL465" s="27" t="s">
        <v>7</v>
      </c>
      <c r="FS465" s="27" t="s">
        <v>8</v>
      </c>
      <c r="FT465" s="27" t="s">
        <v>7</v>
      </c>
      <c r="FU465" s="27" t="s">
        <v>8</v>
      </c>
    </row>
    <row r="466" spans="1:177" x14ac:dyDescent="0.25">
      <c r="A466" s="7">
        <v>10.980466294885806</v>
      </c>
      <c r="B466"/>
      <c r="C466"/>
      <c r="D466"/>
      <c r="E466"/>
      <c r="CW466" s="27" t="s">
        <v>8</v>
      </c>
      <c r="CX466" s="27" t="s">
        <v>7</v>
      </c>
      <c r="CY466" s="27" t="s">
        <v>8</v>
      </c>
      <c r="EL466" s="27" t="s">
        <v>7</v>
      </c>
      <c r="FS466" s="27" t="s">
        <v>8</v>
      </c>
      <c r="FT466" s="27" t="s">
        <v>7</v>
      </c>
      <c r="FU466" s="27" t="s">
        <v>8</v>
      </c>
    </row>
    <row r="467" spans="1:177" x14ac:dyDescent="0.25">
      <c r="A467" s="7">
        <v>10.765163034201771</v>
      </c>
      <c r="B467"/>
      <c r="C467"/>
      <c r="D467"/>
      <c r="E467"/>
      <c r="CW467" s="27" t="s">
        <v>8</v>
      </c>
      <c r="CX467" s="27" t="s">
        <v>7</v>
      </c>
      <c r="CY467" s="27" t="s">
        <v>8</v>
      </c>
      <c r="EL467" s="27" t="s">
        <v>7</v>
      </c>
      <c r="FS467" s="27" t="s">
        <v>8</v>
      </c>
      <c r="FT467" s="27" t="s">
        <v>7</v>
      </c>
      <c r="FU467" s="27" t="s">
        <v>8</v>
      </c>
    </row>
    <row r="468" spans="1:177" x14ac:dyDescent="0.25">
      <c r="A468" s="7">
        <v>10.554081406080169</v>
      </c>
      <c r="B468"/>
      <c r="C468"/>
      <c r="D468"/>
      <c r="E468"/>
      <c r="CW468" s="27" t="s">
        <v>8</v>
      </c>
      <c r="CX468" s="27" t="s">
        <v>7</v>
      </c>
      <c r="EL468" s="27" t="s">
        <v>7</v>
      </c>
      <c r="FS468" s="27" t="s">
        <v>8</v>
      </c>
      <c r="FT468" s="27" t="s">
        <v>7</v>
      </c>
      <c r="FU468" s="27" t="s">
        <v>8</v>
      </c>
    </row>
    <row r="469" spans="1:177" x14ac:dyDescent="0.25">
      <c r="A469" s="7">
        <v>10.34713863341193</v>
      </c>
      <c r="B469"/>
      <c r="C469"/>
      <c r="D469"/>
      <c r="E469"/>
      <c r="CW469" s="27" t="s">
        <v>8</v>
      </c>
      <c r="EL469" s="27" t="s">
        <v>7</v>
      </c>
      <c r="FS469" s="27" t="s">
        <v>8</v>
      </c>
      <c r="FT469" s="27" t="s">
        <v>7</v>
      </c>
      <c r="FU469" s="27" t="s">
        <v>8</v>
      </c>
    </row>
    <row r="470" spans="1:177" x14ac:dyDescent="0.25">
      <c r="A470" s="7">
        <v>10.14425356216856</v>
      </c>
      <c r="B470"/>
      <c r="C470"/>
      <c r="D470"/>
      <c r="E470"/>
      <c r="CW470" s="27" t="s">
        <v>8</v>
      </c>
      <c r="EL470" s="27" t="s">
        <v>7</v>
      </c>
      <c r="FS470" s="27" t="s">
        <v>8</v>
      </c>
      <c r="FT470" s="27" t="s">
        <v>7</v>
      </c>
    </row>
    <row r="471" spans="1:177" x14ac:dyDescent="0.25">
      <c r="A471" s="7">
        <v>9.9453466295770188</v>
      </c>
      <c r="B471"/>
      <c r="C471"/>
      <c r="D471"/>
      <c r="E471"/>
      <c r="CW471" s="27" t="s">
        <v>8</v>
      </c>
      <c r="EL471" s="27" t="s">
        <v>7</v>
      </c>
      <c r="FS471" s="27" t="s">
        <v>8</v>
      </c>
    </row>
    <row r="472" spans="1:177" x14ac:dyDescent="0.25">
      <c r="A472" s="7">
        <v>9.7503398329186464</v>
      </c>
      <c r="B472"/>
      <c r="C472"/>
      <c r="D472"/>
      <c r="E472"/>
      <c r="CW472" s="27" t="s">
        <v>8</v>
      </c>
      <c r="EL472" s="27" t="s">
        <v>7</v>
      </c>
      <c r="FQ472" s="27" t="s">
        <v>8</v>
      </c>
      <c r="FS472" s="27" t="s">
        <v>8</v>
      </c>
    </row>
    <row r="473" spans="1:177" x14ac:dyDescent="0.25">
      <c r="A473" s="7">
        <v>9.5591566989398498</v>
      </c>
      <c r="B473"/>
      <c r="C473"/>
      <c r="D473"/>
      <c r="E473"/>
      <c r="CW473" s="27" t="s">
        <v>8</v>
      </c>
      <c r="EL473" s="27" t="s">
        <v>7</v>
      </c>
      <c r="FQ473" s="27" t="s">
        <v>8</v>
      </c>
      <c r="FR473" s="27" t="s">
        <v>7</v>
      </c>
      <c r="FS473" s="27" t="s">
        <v>8</v>
      </c>
    </row>
    <row r="474" spans="1:177" x14ac:dyDescent="0.25">
      <c r="A474" s="7">
        <v>9.3717222538625968</v>
      </c>
      <c r="B474"/>
      <c r="C474"/>
      <c r="D474"/>
      <c r="E474"/>
      <c r="CW474" s="27" t="s">
        <v>8</v>
      </c>
      <c r="EL474" s="27" t="s">
        <v>7</v>
      </c>
      <c r="FQ474" s="27" t="s">
        <v>8</v>
      </c>
      <c r="FR474" s="27" t="s">
        <v>7</v>
      </c>
      <c r="FS474" s="27" t="s">
        <v>8</v>
      </c>
    </row>
    <row r="475" spans="1:177" x14ac:dyDescent="0.25">
      <c r="A475" s="7">
        <v>9.1879629939829375</v>
      </c>
      <c r="B475"/>
      <c r="C475"/>
      <c r="D475"/>
      <c r="E475"/>
      <c r="CW475" s="27" t="s">
        <v>8</v>
      </c>
      <c r="EL475" s="27" t="s">
        <v>7</v>
      </c>
      <c r="FQ475" s="27" t="s">
        <v>8</v>
      </c>
      <c r="FR475" s="27" t="s">
        <v>7</v>
      </c>
      <c r="FS475" s="27" t="s">
        <v>8</v>
      </c>
    </row>
    <row r="476" spans="1:177" x14ac:dyDescent="0.25">
      <c r="A476" s="7">
        <v>9.0078068568460168</v>
      </c>
      <c r="B476"/>
      <c r="C476"/>
      <c r="D476"/>
      <c r="E476"/>
      <c r="CW476" s="27" t="s">
        <v>8</v>
      </c>
      <c r="EL476" s="27" t="s">
        <v>7</v>
      </c>
      <c r="FQ476" s="27" t="s">
        <v>8</v>
      </c>
      <c r="FR476" s="27" t="s">
        <v>7</v>
      </c>
      <c r="FS476" s="27" t="s">
        <v>8</v>
      </c>
    </row>
    <row r="477" spans="1:177" x14ac:dyDescent="0.25">
      <c r="A477" s="7">
        <v>8.8311831929862912</v>
      </c>
      <c r="B477"/>
      <c r="C477"/>
      <c r="D477"/>
      <c r="E477"/>
      <c r="CU477" s="27" t="s">
        <v>8</v>
      </c>
      <c r="CW477" s="27" t="s">
        <v>8</v>
      </c>
      <c r="EL477" s="27" t="s">
        <v>7</v>
      </c>
      <c r="FQ477" s="27" t="s">
        <v>8</v>
      </c>
      <c r="FR477" s="27" t="s">
        <v>7</v>
      </c>
      <c r="FS477" s="27" t="s">
        <v>8</v>
      </c>
    </row>
    <row r="478" spans="1:177" x14ac:dyDescent="0.25">
      <c r="A478" s="7">
        <v>8.6580227382218542</v>
      </c>
      <c r="B478"/>
      <c r="C478"/>
      <c r="D478"/>
      <c r="E478"/>
      <c r="CU478" s="27" t="s">
        <v>8</v>
      </c>
      <c r="CV478" s="27" t="s">
        <v>7</v>
      </c>
      <c r="CW478" s="27" t="s">
        <v>8</v>
      </c>
      <c r="EL478" s="27" t="s">
        <v>7</v>
      </c>
      <c r="FK478" s="27" t="s">
        <v>8</v>
      </c>
      <c r="FQ478" s="27" t="s">
        <v>8</v>
      </c>
      <c r="FR478" s="27" t="s">
        <v>7</v>
      </c>
      <c r="FS478" s="27" t="s">
        <v>8</v>
      </c>
    </row>
    <row r="479" spans="1:177" x14ac:dyDescent="0.25">
      <c r="A479" s="7">
        <v>8.4882575864920131</v>
      </c>
      <c r="B479"/>
      <c r="C479"/>
      <c r="D479"/>
      <c r="E479"/>
      <c r="CU479" s="27" t="s">
        <v>8</v>
      </c>
      <c r="CV479" s="27" t="s">
        <v>7</v>
      </c>
      <c r="CW479" s="27" t="s">
        <v>8</v>
      </c>
      <c r="EL479" s="27" t="s">
        <v>7</v>
      </c>
      <c r="FK479" s="27" t="s">
        <v>8</v>
      </c>
      <c r="FL479" s="27" t="s">
        <v>7</v>
      </c>
      <c r="FO479" s="27" t="s">
        <v>8</v>
      </c>
      <c r="FQ479" s="27" t="s">
        <v>8</v>
      </c>
      <c r="FR479" s="27" t="s">
        <v>7</v>
      </c>
      <c r="FS479" s="27" t="s">
        <v>8</v>
      </c>
    </row>
    <row r="480" spans="1:177" x14ac:dyDescent="0.25">
      <c r="A480" s="7">
        <v>8.3218211632274635</v>
      </c>
      <c r="B480"/>
      <c r="C480"/>
      <c r="D480"/>
      <c r="E480"/>
      <c r="CE480" s="27" t="s">
        <v>8</v>
      </c>
      <c r="CK480" s="27" t="s">
        <v>8</v>
      </c>
      <c r="CU480" s="27" t="s">
        <v>8</v>
      </c>
      <c r="CV480" s="27" t="s">
        <v>7</v>
      </c>
      <c r="CW480" s="27" t="s">
        <v>8</v>
      </c>
      <c r="EL480" s="27" t="s">
        <v>7</v>
      </c>
      <c r="FK480" s="27" t="s">
        <v>8</v>
      </c>
      <c r="FL480" s="27" t="s">
        <v>7</v>
      </c>
      <c r="FO480" s="27" t="s">
        <v>8</v>
      </c>
      <c r="FP480" s="27" t="s">
        <v>7</v>
      </c>
      <c r="FQ480" s="27" t="s">
        <v>8</v>
      </c>
      <c r="FR480" s="27" t="s">
        <v>7</v>
      </c>
      <c r="FS480" s="27" t="s">
        <v>8</v>
      </c>
    </row>
    <row r="481" spans="1:174" x14ac:dyDescent="0.25">
      <c r="A481" s="7">
        <v>8.1586481992426112</v>
      </c>
      <c r="B481"/>
      <c r="C481"/>
      <c r="D481"/>
      <c r="E481"/>
      <c r="CE481" s="27" t="s">
        <v>8</v>
      </c>
      <c r="CF481" s="27" t="s">
        <v>7</v>
      </c>
      <c r="CK481" s="27" t="s">
        <v>8</v>
      </c>
      <c r="CL481" s="27" t="s">
        <v>7</v>
      </c>
      <c r="CS481" s="27" t="s">
        <v>8</v>
      </c>
      <c r="CU481" s="27" t="s">
        <v>8</v>
      </c>
      <c r="CV481" s="27" t="s">
        <v>7</v>
      </c>
      <c r="CW481" s="27" t="s">
        <v>8</v>
      </c>
      <c r="EL481" s="27" t="s">
        <v>7</v>
      </c>
      <c r="FK481" s="27" t="s">
        <v>8</v>
      </c>
      <c r="FL481" s="27" t="s">
        <v>7</v>
      </c>
      <c r="FO481" s="27" t="s">
        <v>8</v>
      </c>
      <c r="FP481" s="27" t="s">
        <v>7</v>
      </c>
      <c r="FQ481" s="27" t="s">
        <v>8</v>
      </c>
      <c r="FR481" s="27" t="s">
        <v>7</v>
      </c>
    </row>
    <row r="482" spans="1:174" x14ac:dyDescent="0.25">
      <c r="A482" s="7">
        <v>7.9986747051398144</v>
      </c>
      <c r="B482"/>
      <c r="C482"/>
      <c r="D482"/>
      <c r="E482"/>
      <c r="CE482" s="27" t="s">
        <v>8</v>
      </c>
      <c r="CF482" s="27" t="s">
        <v>7</v>
      </c>
      <c r="CK482" s="27" t="s">
        <v>8</v>
      </c>
      <c r="CL482" s="27" t="s">
        <v>7</v>
      </c>
      <c r="CS482" s="27" t="s">
        <v>8</v>
      </c>
      <c r="CT482" s="27" t="s">
        <v>7</v>
      </c>
      <c r="CU482" s="27" t="s">
        <v>8</v>
      </c>
      <c r="CV482" s="27" t="s">
        <v>7</v>
      </c>
      <c r="CW482" s="27" t="s">
        <v>8</v>
      </c>
      <c r="EL482" s="27" t="s">
        <v>7</v>
      </c>
      <c r="FK482" s="27" t="s">
        <v>8</v>
      </c>
      <c r="FL482" s="27" t="s">
        <v>7</v>
      </c>
      <c r="FO482" s="27" t="s">
        <v>8</v>
      </c>
      <c r="FP482" s="27" t="s">
        <v>7</v>
      </c>
      <c r="FQ482" s="27" t="s">
        <v>8</v>
      </c>
    </row>
    <row r="483" spans="1:174" x14ac:dyDescent="0.25">
      <c r="A483" s="7">
        <v>7.8418379462155041</v>
      </c>
      <c r="B483"/>
      <c r="C483"/>
      <c r="D483"/>
      <c r="E483"/>
      <c r="CE483" s="27" t="s">
        <v>8</v>
      </c>
      <c r="CF483" s="27" t="s">
        <v>7</v>
      </c>
      <c r="CK483" s="27" t="s">
        <v>8</v>
      </c>
      <c r="CL483" s="27" t="s">
        <v>7</v>
      </c>
      <c r="CS483" s="27" t="s">
        <v>8</v>
      </c>
      <c r="CT483" s="27" t="s">
        <v>7</v>
      </c>
      <c r="CU483" s="27" t="s">
        <v>8</v>
      </c>
      <c r="CV483" s="27" t="s">
        <v>7</v>
      </c>
      <c r="EL483" s="27" t="s">
        <v>7</v>
      </c>
      <c r="EO483" s="27" t="s">
        <v>8</v>
      </c>
      <c r="ES483" s="27" t="s">
        <v>8</v>
      </c>
      <c r="FK483" s="27" t="s">
        <v>8</v>
      </c>
      <c r="FL483" s="27" t="s">
        <v>7</v>
      </c>
      <c r="FO483" s="27" t="s">
        <v>8</v>
      </c>
      <c r="FP483" s="27" t="s">
        <v>7</v>
      </c>
    </row>
    <row r="484" spans="1:174" x14ac:dyDescent="0.25">
      <c r="A484" s="7">
        <v>7.688076417858337</v>
      </c>
      <c r="B484"/>
      <c r="C484"/>
      <c r="D484"/>
      <c r="E484"/>
      <c r="CE484" s="27" t="s">
        <v>8</v>
      </c>
      <c r="CF484" s="27" t="s">
        <v>7</v>
      </c>
      <c r="CK484" s="27" t="s">
        <v>8</v>
      </c>
      <c r="CL484" s="27" t="s">
        <v>7</v>
      </c>
      <c r="CS484" s="27" t="s">
        <v>8</v>
      </c>
      <c r="CT484" s="27" t="s">
        <v>7</v>
      </c>
      <c r="CU484" s="27" t="s">
        <v>8</v>
      </c>
      <c r="EL484" s="27" t="s">
        <v>7</v>
      </c>
      <c r="EO484" s="27" t="s">
        <v>8</v>
      </c>
      <c r="EP484" s="27" t="s">
        <v>7</v>
      </c>
      <c r="ES484" s="27" t="s">
        <v>8</v>
      </c>
      <c r="ET484" s="27" t="s">
        <v>7</v>
      </c>
      <c r="FI484" s="27" t="s">
        <v>8</v>
      </c>
      <c r="FK484" s="27" t="s">
        <v>8</v>
      </c>
      <c r="FL484" s="27" t="s">
        <v>7</v>
      </c>
      <c r="FO484" s="27" t="s">
        <v>8</v>
      </c>
    </row>
    <row r="485" spans="1:174" x14ac:dyDescent="0.25">
      <c r="A485" s="7">
        <v>7.5373298214297417</v>
      </c>
      <c r="B485"/>
      <c r="C485"/>
      <c r="D485"/>
      <c r="E485"/>
      <c r="CE485" s="27" t="s">
        <v>8</v>
      </c>
      <c r="CF485" s="27" t="s">
        <v>7</v>
      </c>
      <c r="CK485" s="27" t="s">
        <v>8</v>
      </c>
      <c r="CL485" s="27" t="s">
        <v>7</v>
      </c>
      <c r="CM485" s="27" t="s">
        <v>8</v>
      </c>
      <c r="CS485" s="27" t="s">
        <v>8</v>
      </c>
      <c r="CT485" s="27" t="s">
        <v>7</v>
      </c>
      <c r="CU485" s="27" t="s">
        <v>8</v>
      </c>
      <c r="EL485" s="27" t="s">
        <v>7</v>
      </c>
      <c r="EO485" s="27" t="s">
        <v>8</v>
      </c>
      <c r="EP485" s="27" t="s">
        <v>7</v>
      </c>
      <c r="ES485" s="27" t="s">
        <v>8</v>
      </c>
      <c r="ET485" s="27" t="s">
        <v>7</v>
      </c>
      <c r="FI485" s="27" t="s">
        <v>8</v>
      </c>
      <c r="FJ485" s="27" t="s">
        <v>7</v>
      </c>
      <c r="FK485" s="27" t="s">
        <v>8</v>
      </c>
      <c r="FL485" s="27" t="s">
        <v>7</v>
      </c>
      <c r="FO485" s="27" t="s">
        <v>8</v>
      </c>
    </row>
    <row r="486" spans="1:174" x14ac:dyDescent="0.25">
      <c r="A486" s="7">
        <v>7.389539040617394</v>
      </c>
      <c r="B486"/>
      <c r="C486"/>
      <c r="D486"/>
      <c r="E486"/>
      <c r="CE486" s="27" t="s">
        <v>8</v>
      </c>
      <c r="CF486" s="27" t="s">
        <v>7</v>
      </c>
      <c r="CI486" s="27" t="s">
        <v>8</v>
      </c>
      <c r="CK486" s="27" t="s">
        <v>8</v>
      </c>
      <c r="CL486" s="27" t="s">
        <v>7</v>
      </c>
      <c r="CM486" s="27" t="s">
        <v>8</v>
      </c>
      <c r="CN486" s="27" t="s">
        <v>7</v>
      </c>
      <c r="CS486" s="27" t="s">
        <v>8</v>
      </c>
      <c r="CT486" s="27" t="s">
        <v>7</v>
      </c>
      <c r="CU486" s="27" t="s">
        <v>8</v>
      </c>
      <c r="EL486" s="27" t="s">
        <v>7</v>
      </c>
      <c r="EO486" s="27" t="s">
        <v>8</v>
      </c>
      <c r="EP486" s="27" t="s">
        <v>7</v>
      </c>
      <c r="ES486" s="27" t="s">
        <v>8</v>
      </c>
      <c r="ET486" s="27" t="s">
        <v>7</v>
      </c>
      <c r="FI486" s="27" t="s">
        <v>8</v>
      </c>
      <c r="FJ486" s="27" t="s">
        <v>7</v>
      </c>
      <c r="FK486" s="27" t="s">
        <v>8</v>
      </c>
      <c r="FL486" s="27" t="s">
        <v>7</v>
      </c>
      <c r="FO486" s="27" t="s">
        <v>8</v>
      </c>
    </row>
    <row r="487" spans="1:174" x14ac:dyDescent="0.25">
      <c r="A487" s="7">
        <v>7.2446461182523469</v>
      </c>
      <c r="B487"/>
      <c r="C487"/>
      <c r="D487"/>
      <c r="E487"/>
      <c r="CE487" s="27" t="s">
        <v>8</v>
      </c>
      <c r="CF487" s="27" t="s">
        <v>7</v>
      </c>
      <c r="CI487" s="27" t="s">
        <v>8</v>
      </c>
      <c r="CJ487" s="27" t="s">
        <v>7</v>
      </c>
      <c r="CK487" s="27" t="s">
        <v>8</v>
      </c>
      <c r="CL487" s="27" t="s">
        <v>7</v>
      </c>
      <c r="CM487" s="27" t="s">
        <v>8</v>
      </c>
      <c r="CN487" s="27" t="s">
        <v>7</v>
      </c>
      <c r="CS487" s="27" t="s">
        <v>8</v>
      </c>
      <c r="CT487" s="27" t="s">
        <v>7</v>
      </c>
      <c r="CU487" s="27" t="s">
        <v>8</v>
      </c>
      <c r="EL487" s="27" t="s">
        <v>7</v>
      </c>
      <c r="EM487" s="27" t="s">
        <v>8</v>
      </c>
      <c r="EO487" s="27" t="s">
        <v>8</v>
      </c>
      <c r="EP487" s="27" t="s">
        <v>7</v>
      </c>
      <c r="ES487" s="27" t="s">
        <v>8</v>
      </c>
      <c r="ET487" s="27" t="s">
        <v>7</v>
      </c>
      <c r="FI487" s="27" t="s">
        <v>8</v>
      </c>
      <c r="FJ487" s="27" t="s">
        <v>7</v>
      </c>
      <c r="FK487" s="27" t="s">
        <v>8</v>
      </c>
      <c r="FL487" s="27" t="s">
        <v>7</v>
      </c>
      <c r="FO487" s="27" t="s">
        <v>8</v>
      </c>
    </row>
    <row r="488" spans="1:174" x14ac:dyDescent="0.25">
      <c r="A488" s="7">
        <v>7.1025942335807324</v>
      </c>
      <c r="B488"/>
      <c r="C488"/>
      <c r="D488"/>
      <c r="E488"/>
      <c r="CE488" s="27" t="s">
        <v>8</v>
      </c>
      <c r="CF488" s="27" t="s">
        <v>7</v>
      </c>
      <c r="CI488" s="27" t="s">
        <v>8</v>
      </c>
      <c r="CJ488" s="27" t="s">
        <v>7</v>
      </c>
      <c r="CK488" s="27" t="s">
        <v>8</v>
      </c>
      <c r="CL488" s="27" t="s">
        <v>7</v>
      </c>
      <c r="CM488" s="27" t="s">
        <v>8</v>
      </c>
      <c r="CN488" s="27" t="s">
        <v>7</v>
      </c>
      <c r="CS488" s="27" t="s">
        <v>8</v>
      </c>
      <c r="CT488" s="27" t="s">
        <v>7</v>
      </c>
      <c r="EL488" s="27" t="s">
        <v>7</v>
      </c>
      <c r="EM488" s="27" t="s">
        <v>8</v>
      </c>
      <c r="EN488" s="27" t="s">
        <v>7</v>
      </c>
      <c r="EO488" s="27" t="s">
        <v>8</v>
      </c>
      <c r="EP488" s="27" t="s">
        <v>7</v>
      </c>
      <c r="ES488" s="27" t="s">
        <v>8</v>
      </c>
      <c r="ET488" s="27" t="s">
        <v>7</v>
      </c>
      <c r="FI488" s="27" t="s">
        <v>8</v>
      </c>
      <c r="FJ488" s="27" t="s">
        <v>7</v>
      </c>
      <c r="FK488" s="27" t="s">
        <v>8</v>
      </c>
      <c r="FL488" s="27" t="s">
        <v>7</v>
      </c>
      <c r="FO488" s="27" t="s">
        <v>8</v>
      </c>
    </row>
    <row r="489" spans="1:174" x14ac:dyDescent="0.25">
      <c r="A489" s="7">
        <v>6.9633276799811101</v>
      </c>
      <c r="B489"/>
      <c r="C489"/>
      <c r="D489"/>
      <c r="E489"/>
      <c r="CE489" s="27" t="s">
        <v>8</v>
      </c>
      <c r="CF489" s="27" t="s">
        <v>7</v>
      </c>
      <c r="CI489" s="27" t="s">
        <v>8</v>
      </c>
      <c r="CJ489" s="27" t="s">
        <v>7</v>
      </c>
      <c r="CK489" s="27" t="s">
        <v>8</v>
      </c>
      <c r="CL489" s="27" t="s">
        <v>7</v>
      </c>
      <c r="CM489" s="27" t="s">
        <v>8</v>
      </c>
      <c r="CN489" s="27" t="s">
        <v>7</v>
      </c>
      <c r="CS489" s="27" t="s">
        <v>8</v>
      </c>
      <c r="EL489" s="27" t="s">
        <v>7</v>
      </c>
      <c r="EM489" s="27" t="s">
        <v>8</v>
      </c>
      <c r="EN489" s="27" t="s">
        <v>7</v>
      </c>
      <c r="EO489" s="27" t="s">
        <v>8</v>
      </c>
      <c r="EP489" s="27" t="s">
        <v>7</v>
      </c>
      <c r="ES489" s="27" t="s">
        <v>8</v>
      </c>
      <c r="ET489" s="27" t="s">
        <v>7</v>
      </c>
      <c r="FI489" s="27" t="s">
        <v>8</v>
      </c>
      <c r="FJ489" s="27" t="s">
        <v>7</v>
      </c>
      <c r="FK489" s="27" t="s">
        <v>8</v>
      </c>
      <c r="FL489" s="27" t="s">
        <v>7</v>
      </c>
      <c r="FO489" s="27" t="s">
        <v>8</v>
      </c>
    </row>
    <row r="490" spans="1:174" x14ac:dyDescent="0.25">
      <c r="A490" s="7">
        <v>6.8267918431187349</v>
      </c>
      <c r="B490"/>
      <c r="C490"/>
      <c r="D490"/>
      <c r="E490"/>
      <c r="CE490" s="27" t="s">
        <v>8</v>
      </c>
      <c r="CF490" s="27" t="s">
        <v>7</v>
      </c>
      <c r="CI490" s="27" t="s">
        <v>8</v>
      </c>
      <c r="CJ490" s="27" t="s">
        <v>7</v>
      </c>
      <c r="CK490" s="27" t="s">
        <v>8</v>
      </c>
      <c r="CL490" s="27" t="s">
        <v>7</v>
      </c>
      <c r="CM490" s="27" t="s">
        <v>8</v>
      </c>
      <c r="CN490" s="27" t="s">
        <v>7</v>
      </c>
      <c r="CS490" s="27" t="s">
        <v>8</v>
      </c>
      <c r="EL490" s="27" t="s">
        <v>7</v>
      </c>
      <c r="EM490" s="27" t="s">
        <v>8</v>
      </c>
      <c r="EN490" s="27" t="s">
        <v>7</v>
      </c>
      <c r="EO490" s="27" t="s">
        <v>8</v>
      </c>
      <c r="EP490" s="27" t="s">
        <v>7</v>
      </c>
      <c r="ES490" s="27" t="s">
        <v>8</v>
      </c>
      <c r="ET490" s="27" t="s">
        <v>7</v>
      </c>
      <c r="EY490" s="27" t="s">
        <v>8</v>
      </c>
      <c r="FI490" s="27" t="s">
        <v>8</v>
      </c>
      <c r="FJ490" s="27" t="s">
        <v>7</v>
      </c>
      <c r="FK490" s="27" t="s">
        <v>8</v>
      </c>
      <c r="FL490" s="27" t="s">
        <v>7</v>
      </c>
      <c r="FM490" s="27" t="s">
        <v>8</v>
      </c>
      <c r="FO490" s="27" t="s">
        <v>8</v>
      </c>
    </row>
    <row r="491" spans="1:174" x14ac:dyDescent="0.25">
      <c r="A491" s="7">
        <v>6.692933179528171</v>
      </c>
      <c r="B491"/>
      <c r="C491"/>
      <c r="D491"/>
      <c r="E491"/>
      <c r="CE491" s="27" t="s">
        <v>8</v>
      </c>
      <c r="CF491" s="27" t="s">
        <v>7</v>
      </c>
      <c r="CI491" s="27" t="s">
        <v>8</v>
      </c>
      <c r="CJ491" s="27" t="s">
        <v>7</v>
      </c>
      <c r="CK491" s="27" t="s">
        <v>8</v>
      </c>
      <c r="CL491" s="27" t="s">
        <v>7</v>
      </c>
      <c r="CM491" s="27" t="s">
        <v>8</v>
      </c>
      <c r="CN491" s="27" t="s">
        <v>7</v>
      </c>
      <c r="CQ491" s="27" t="s">
        <v>8</v>
      </c>
      <c r="CS491" s="27" t="s">
        <v>8</v>
      </c>
      <c r="EL491" s="27" t="s">
        <v>7</v>
      </c>
      <c r="EM491" s="27" t="s">
        <v>8</v>
      </c>
      <c r="EN491" s="27" t="s">
        <v>7</v>
      </c>
      <c r="EO491" s="27" t="s">
        <v>8</v>
      </c>
      <c r="EP491" s="27" t="s">
        <v>7</v>
      </c>
      <c r="ES491" s="27" t="s">
        <v>8</v>
      </c>
      <c r="ET491" s="27" t="s">
        <v>7</v>
      </c>
      <c r="EY491" s="27" t="s">
        <v>8</v>
      </c>
      <c r="EZ491" s="27" t="s">
        <v>7</v>
      </c>
      <c r="FI491" s="27" t="s">
        <v>8</v>
      </c>
      <c r="FJ491" s="27" t="s">
        <v>7</v>
      </c>
      <c r="FK491" s="27" t="s">
        <v>8</v>
      </c>
      <c r="FL491" s="27" t="s">
        <v>7</v>
      </c>
      <c r="FM491" s="27" t="s">
        <v>8</v>
      </c>
      <c r="FN491" s="27" t="s">
        <v>7</v>
      </c>
      <c r="FO491" s="27" t="s">
        <v>8</v>
      </c>
    </row>
    <row r="492" spans="1:174" x14ac:dyDescent="0.25">
      <c r="A492" s="7">
        <v>6.5616991956158541</v>
      </c>
      <c r="B492"/>
      <c r="C492"/>
      <c r="D492"/>
      <c r="E492"/>
      <c r="CE492" s="27" t="s">
        <v>8</v>
      </c>
      <c r="CF492" s="27" t="s">
        <v>7</v>
      </c>
      <c r="CI492" s="27" t="s">
        <v>8</v>
      </c>
      <c r="CJ492" s="27" t="s">
        <v>7</v>
      </c>
      <c r="CK492" s="27" t="s">
        <v>8</v>
      </c>
      <c r="CL492" s="27" t="s">
        <v>7</v>
      </c>
      <c r="CM492" s="27" t="s">
        <v>8</v>
      </c>
      <c r="CN492" s="27" t="s">
        <v>7</v>
      </c>
      <c r="CQ492" s="27" t="s">
        <v>8</v>
      </c>
      <c r="CR492" s="27" t="s">
        <v>7</v>
      </c>
      <c r="CS492" s="27" t="s">
        <v>8</v>
      </c>
      <c r="EL492" s="27" t="s">
        <v>7</v>
      </c>
      <c r="EM492" s="27" t="s">
        <v>8</v>
      </c>
      <c r="EN492" s="27" t="s">
        <v>7</v>
      </c>
      <c r="EO492" s="27" t="s">
        <v>8</v>
      </c>
      <c r="EP492" s="27" t="s">
        <v>7</v>
      </c>
      <c r="EQ492" s="27" t="s">
        <v>8</v>
      </c>
      <c r="ES492" s="27" t="s">
        <v>8</v>
      </c>
      <c r="ET492" s="27" t="s">
        <v>7</v>
      </c>
      <c r="EU492" s="27" t="s">
        <v>8</v>
      </c>
      <c r="EY492" s="27" t="s">
        <v>8</v>
      </c>
      <c r="EZ492" s="27" t="s">
        <v>7</v>
      </c>
      <c r="FA492" s="27" t="s">
        <v>8</v>
      </c>
      <c r="FE492" s="27" t="s">
        <v>8</v>
      </c>
      <c r="FI492" s="27" t="s">
        <v>8</v>
      </c>
      <c r="FJ492" s="27" t="s">
        <v>7</v>
      </c>
      <c r="FK492" s="27" t="s">
        <v>8</v>
      </c>
      <c r="FL492" s="27" t="s">
        <v>7</v>
      </c>
      <c r="FM492" s="27" t="s">
        <v>8</v>
      </c>
      <c r="FN492" s="27" t="s">
        <v>7</v>
      </c>
      <c r="FO492" s="27" t="s">
        <v>8</v>
      </c>
    </row>
    <row r="493" spans="1:174" x14ac:dyDescent="0.25">
      <c r="A493" s="7">
        <v>6.4330384270743668</v>
      </c>
      <c r="B493"/>
      <c r="C493"/>
      <c r="D493"/>
      <c r="E493"/>
      <c r="CE493" s="27" t="s">
        <v>8</v>
      </c>
      <c r="CF493" s="27" t="s">
        <v>7</v>
      </c>
      <c r="CI493" s="27" t="s">
        <v>8</v>
      </c>
      <c r="CJ493" s="27" t="s">
        <v>7</v>
      </c>
      <c r="CK493" s="27" t="s">
        <v>8</v>
      </c>
      <c r="CL493" s="27" t="s">
        <v>7</v>
      </c>
      <c r="CM493" s="27" t="s">
        <v>8</v>
      </c>
      <c r="CN493" s="27" t="s">
        <v>7</v>
      </c>
      <c r="CQ493" s="27" t="s">
        <v>8</v>
      </c>
      <c r="CR493" s="27" t="s">
        <v>7</v>
      </c>
      <c r="CS493" s="27" t="s">
        <v>8</v>
      </c>
      <c r="EL493" s="27" t="s">
        <v>7</v>
      </c>
      <c r="EM493" s="27" t="s">
        <v>8</v>
      </c>
      <c r="EN493" s="27" t="s">
        <v>7</v>
      </c>
      <c r="EO493" s="27" t="s">
        <v>8</v>
      </c>
      <c r="EP493" s="27" t="s">
        <v>7</v>
      </c>
      <c r="EQ493" s="27" t="s">
        <v>8</v>
      </c>
      <c r="ER493" s="27" t="s">
        <v>7</v>
      </c>
      <c r="ES493" s="27" t="s">
        <v>8</v>
      </c>
      <c r="ET493" s="27" t="s">
        <v>7</v>
      </c>
      <c r="EU493" s="27" t="s">
        <v>8</v>
      </c>
      <c r="EV493" s="27" t="s">
        <v>7</v>
      </c>
      <c r="EW493" s="27" t="s">
        <v>8</v>
      </c>
      <c r="EY493" s="27" t="s">
        <v>8</v>
      </c>
      <c r="EZ493" s="27" t="s">
        <v>7</v>
      </c>
      <c r="FA493" s="27" t="s">
        <v>8</v>
      </c>
      <c r="FB493" s="27" t="s">
        <v>7</v>
      </c>
      <c r="FE493" s="27" t="s">
        <v>8</v>
      </c>
      <c r="FF493" s="27" t="s">
        <v>7</v>
      </c>
      <c r="FI493" s="27" t="s">
        <v>8</v>
      </c>
      <c r="FJ493" s="27" t="s">
        <v>7</v>
      </c>
      <c r="FL493" s="27" t="s">
        <v>7</v>
      </c>
      <c r="FM493" s="27" t="s">
        <v>8</v>
      </c>
      <c r="FN493" s="27" t="s">
        <v>7</v>
      </c>
      <c r="FO493" s="27" t="s">
        <v>8</v>
      </c>
    </row>
    <row r="494" spans="1:174" x14ac:dyDescent="0.25">
      <c r="A494" s="7">
        <v>6.3069004187003594</v>
      </c>
      <c r="B494"/>
      <c r="C494"/>
      <c r="D494"/>
      <c r="E494"/>
      <c r="CE494" s="27" t="s">
        <v>8</v>
      </c>
      <c r="CF494" s="27" t="s">
        <v>7</v>
      </c>
      <c r="CI494" s="27" t="s">
        <v>8</v>
      </c>
      <c r="CJ494" s="27" t="s">
        <v>7</v>
      </c>
      <c r="CK494" s="27" t="s">
        <v>8</v>
      </c>
      <c r="CL494" s="27" t="s">
        <v>7</v>
      </c>
      <c r="CM494" s="27" t="s">
        <v>8</v>
      </c>
      <c r="CN494" s="27" t="s">
        <v>7</v>
      </c>
      <c r="CO494" s="27" t="s">
        <v>8</v>
      </c>
      <c r="CQ494" s="27" t="s">
        <v>8</v>
      </c>
      <c r="CR494" s="27" t="s">
        <v>7</v>
      </c>
      <c r="EL494" s="27" t="s">
        <v>7</v>
      </c>
      <c r="EM494" s="27" t="s">
        <v>8</v>
      </c>
      <c r="EN494" s="27" t="s">
        <v>7</v>
      </c>
      <c r="EO494" s="27" t="s">
        <v>8</v>
      </c>
      <c r="EP494" s="27" t="s">
        <v>7</v>
      </c>
      <c r="EQ494" s="27" t="s">
        <v>8</v>
      </c>
      <c r="ER494" s="27" t="s">
        <v>7</v>
      </c>
      <c r="ES494" s="27" t="s">
        <v>8</v>
      </c>
      <c r="ET494" s="27" t="s">
        <v>7</v>
      </c>
      <c r="EU494" s="27" t="s">
        <v>8</v>
      </c>
      <c r="EV494" s="27" t="s">
        <v>7</v>
      </c>
      <c r="EW494" s="27" t="s">
        <v>8</v>
      </c>
      <c r="EX494" s="27" t="s">
        <v>7</v>
      </c>
      <c r="EY494" s="27" t="s">
        <v>8</v>
      </c>
      <c r="EZ494" s="27" t="s">
        <v>7</v>
      </c>
      <c r="FA494" s="27" t="s">
        <v>8</v>
      </c>
      <c r="FB494" s="27" t="s">
        <v>7</v>
      </c>
      <c r="FE494" s="27" t="s">
        <v>8</v>
      </c>
      <c r="FF494" s="27" t="s">
        <v>7</v>
      </c>
      <c r="FI494" s="27" t="s">
        <v>8</v>
      </c>
      <c r="FL494" s="27" t="s">
        <v>7</v>
      </c>
      <c r="FN494" s="27" t="s">
        <v>7</v>
      </c>
      <c r="FO494" s="27" t="s">
        <v>8</v>
      </c>
    </row>
    <row r="495" spans="1:174" x14ac:dyDescent="0.25">
      <c r="A495" s="7">
        <v>6.1832357046081956</v>
      </c>
      <c r="B495"/>
      <c r="C495"/>
      <c r="D495"/>
      <c r="E495"/>
      <c r="CE495" s="27" t="s">
        <v>8</v>
      </c>
      <c r="CF495" s="27" t="s">
        <v>7</v>
      </c>
      <c r="CI495" s="27" t="s">
        <v>8</v>
      </c>
      <c r="CJ495" s="27" t="s">
        <v>7</v>
      </c>
      <c r="CK495" s="27" t="s">
        <v>8</v>
      </c>
      <c r="CL495" s="27" t="s">
        <v>7</v>
      </c>
      <c r="CM495" s="27" t="s">
        <v>8</v>
      </c>
      <c r="CN495" s="27" t="s">
        <v>7</v>
      </c>
      <c r="CO495" s="27" t="s">
        <v>8</v>
      </c>
      <c r="CP495" s="27" t="s">
        <v>7</v>
      </c>
      <c r="CQ495" s="27" t="s">
        <v>8</v>
      </c>
      <c r="EL495" s="27" t="s">
        <v>7</v>
      </c>
      <c r="EM495" s="27" t="s">
        <v>8</v>
      </c>
      <c r="EN495" s="27" t="s">
        <v>7</v>
      </c>
      <c r="EO495" s="27" t="s">
        <v>8</v>
      </c>
      <c r="EP495" s="27" t="s">
        <v>7</v>
      </c>
      <c r="EQ495" s="27" t="s">
        <v>8</v>
      </c>
      <c r="ER495" s="27" t="s">
        <v>7</v>
      </c>
      <c r="ES495" s="27" t="s">
        <v>8</v>
      </c>
      <c r="ET495" s="27" t="s">
        <v>7</v>
      </c>
      <c r="EU495" s="27" t="s">
        <v>8</v>
      </c>
      <c r="EV495" s="27" t="s">
        <v>7</v>
      </c>
      <c r="EW495" s="27" t="s">
        <v>8</v>
      </c>
      <c r="EX495" s="27" t="s">
        <v>7</v>
      </c>
      <c r="EY495" s="27" t="s">
        <v>8</v>
      </c>
      <c r="EZ495" s="27" t="s">
        <v>7</v>
      </c>
      <c r="FA495" s="27" t="s">
        <v>8</v>
      </c>
      <c r="FB495" s="27" t="s">
        <v>7</v>
      </c>
      <c r="FE495" s="27" t="s">
        <v>8</v>
      </c>
      <c r="FF495" s="27" t="s">
        <v>7</v>
      </c>
      <c r="FG495" s="27" t="s">
        <v>8</v>
      </c>
      <c r="FI495" s="27" t="s">
        <v>8</v>
      </c>
      <c r="FN495" s="27" t="s">
        <v>7</v>
      </c>
      <c r="FO495" s="27" t="s">
        <v>8</v>
      </c>
    </row>
    <row r="496" spans="1:174" x14ac:dyDescent="0.25">
      <c r="A496" s="7">
        <v>6.0619957888315641</v>
      </c>
      <c r="B496"/>
      <c r="C496"/>
      <c r="D496"/>
      <c r="E496"/>
      <c r="CE496" s="27" t="s">
        <v>8</v>
      </c>
      <c r="CF496" s="27" t="s">
        <v>7</v>
      </c>
      <c r="CG496" s="27" t="s">
        <v>8</v>
      </c>
      <c r="CI496" s="27" t="s">
        <v>8</v>
      </c>
      <c r="CJ496" s="27" t="s">
        <v>7</v>
      </c>
      <c r="CK496" s="27" t="s">
        <v>8</v>
      </c>
      <c r="CL496" s="27" t="s">
        <v>7</v>
      </c>
      <c r="CM496" s="27" t="s">
        <v>8</v>
      </c>
      <c r="CN496" s="27" t="s">
        <v>7</v>
      </c>
      <c r="CO496" s="27" t="s">
        <v>8</v>
      </c>
      <c r="CP496" s="27" t="s">
        <v>7</v>
      </c>
      <c r="CQ496" s="27" t="s">
        <v>8</v>
      </c>
      <c r="EL496" s="27" t="s">
        <v>7</v>
      </c>
      <c r="EM496" s="27" t="s">
        <v>8</v>
      </c>
      <c r="EN496" s="27" t="s">
        <v>7</v>
      </c>
      <c r="EO496" s="27" t="s">
        <v>8</v>
      </c>
      <c r="EP496" s="27" t="s">
        <v>7</v>
      </c>
      <c r="EQ496" s="27" t="s">
        <v>8</v>
      </c>
      <c r="ER496" s="27" t="s">
        <v>7</v>
      </c>
      <c r="ES496" s="27" t="s">
        <v>8</v>
      </c>
      <c r="ET496" s="27" t="s">
        <v>7</v>
      </c>
      <c r="EU496" s="27" t="s">
        <v>8</v>
      </c>
      <c r="EV496" s="27" t="s">
        <v>7</v>
      </c>
      <c r="EW496" s="27" t="s">
        <v>8</v>
      </c>
      <c r="EX496" s="27" t="s">
        <v>7</v>
      </c>
      <c r="EY496" s="27" t="s">
        <v>8</v>
      </c>
      <c r="EZ496" s="27" t="s">
        <v>7</v>
      </c>
      <c r="FB496" s="27" t="s">
        <v>7</v>
      </c>
      <c r="FE496" s="27" t="s">
        <v>8</v>
      </c>
      <c r="FF496" s="27" t="s">
        <v>7</v>
      </c>
      <c r="FG496" s="27" t="s">
        <v>8</v>
      </c>
      <c r="FH496" s="27" t="s">
        <v>7</v>
      </c>
      <c r="FI496" s="27" t="s">
        <v>8</v>
      </c>
      <c r="FN496" s="27" t="s">
        <v>7</v>
      </c>
      <c r="FO496" s="27" t="s">
        <v>8</v>
      </c>
    </row>
    <row r="497" spans="1:171" x14ac:dyDescent="0.25">
      <c r="A497" s="7">
        <v>5.9431331263054545</v>
      </c>
      <c r="B497"/>
      <c r="C497"/>
      <c r="D497"/>
      <c r="E497"/>
      <c r="CE497" s="27" t="s">
        <v>8</v>
      </c>
      <c r="CF497" s="27" t="s">
        <v>7</v>
      </c>
      <c r="CG497" s="27" t="s">
        <v>8</v>
      </c>
      <c r="CH497" s="27" t="s">
        <v>7</v>
      </c>
      <c r="CI497" s="27" t="s">
        <v>8</v>
      </c>
      <c r="CJ497" s="27" t="s">
        <v>7</v>
      </c>
      <c r="CK497" s="27" t="s">
        <v>8</v>
      </c>
      <c r="CL497" s="27" t="s">
        <v>7</v>
      </c>
      <c r="CM497" s="27" t="s">
        <v>8</v>
      </c>
      <c r="CN497" s="27" t="s">
        <v>7</v>
      </c>
      <c r="CO497" s="27" t="s">
        <v>8</v>
      </c>
      <c r="CP497" s="27" t="s">
        <v>7</v>
      </c>
      <c r="CQ497" s="27" t="s">
        <v>8</v>
      </c>
      <c r="EL497" s="27" t="s">
        <v>7</v>
      </c>
      <c r="EM497" s="27" t="s">
        <v>8</v>
      </c>
      <c r="EN497" s="27" t="s">
        <v>7</v>
      </c>
      <c r="EO497" s="27" t="s">
        <v>8</v>
      </c>
      <c r="EP497" s="27" t="s">
        <v>7</v>
      </c>
      <c r="EQ497" s="27" t="s">
        <v>8</v>
      </c>
      <c r="ER497" s="27" t="s">
        <v>7</v>
      </c>
      <c r="ES497" s="27" t="s">
        <v>8</v>
      </c>
      <c r="ET497" s="27" t="s">
        <v>7</v>
      </c>
      <c r="EU497" s="27" t="s">
        <v>8</v>
      </c>
      <c r="EV497" s="27" t="s">
        <v>7</v>
      </c>
      <c r="EW497" s="27" t="s">
        <v>8</v>
      </c>
      <c r="EX497" s="27" t="s">
        <v>7</v>
      </c>
      <c r="EY497" s="27" t="s">
        <v>8</v>
      </c>
      <c r="FB497" s="27" t="s">
        <v>7</v>
      </c>
      <c r="FE497" s="27" t="s">
        <v>8</v>
      </c>
      <c r="FF497" s="27" t="s">
        <v>7</v>
      </c>
      <c r="FG497" s="27" t="s">
        <v>8</v>
      </c>
      <c r="FH497" s="27" t="s">
        <v>7</v>
      </c>
      <c r="FI497" s="27" t="s">
        <v>8</v>
      </c>
      <c r="FN497" s="18" t="s">
        <v>7</v>
      </c>
      <c r="FO497" s="27" t="s">
        <v>8</v>
      </c>
    </row>
    <row r="498" spans="1:171" x14ac:dyDescent="0.25">
      <c r="A498" s="7">
        <v>5.8266011042210337</v>
      </c>
      <c r="B498"/>
      <c r="C498"/>
      <c r="D498"/>
      <c r="E498"/>
      <c r="CE498" s="27" t="s">
        <v>8</v>
      </c>
      <c r="CF498" s="27" t="s">
        <v>7</v>
      </c>
      <c r="CG498" s="27" t="s">
        <v>8</v>
      </c>
      <c r="CH498" s="27" t="s">
        <v>7</v>
      </c>
      <c r="CI498" s="27" t="s">
        <v>8</v>
      </c>
      <c r="CJ498" s="27" t="s">
        <v>7</v>
      </c>
      <c r="CK498" s="27" t="s">
        <v>8</v>
      </c>
      <c r="CL498" s="27" t="s">
        <v>7</v>
      </c>
      <c r="CM498" s="27" t="s">
        <v>8</v>
      </c>
      <c r="CN498" s="27" t="s">
        <v>7</v>
      </c>
      <c r="CO498" s="27" t="s">
        <v>8</v>
      </c>
      <c r="CP498" s="27" t="s">
        <v>7</v>
      </c>
      <c r="CQ498" s="27" t="s">
        <v>8</v>
      </c>
      <c r="EL498" s="27" t="s">
        <v>7</v>
      </c>
      <c r="EM498" s="27" t="s">
        <v>8</v>
      </c>
      <c r="EN498" s="27" t="s">
        <v>7</v>
      </c>
      <c r="EO498" s="27" t="s">
        <v>8</v>
      </c>
      <c r="EP498" s="27" t="s">
        <v>7</v>
      </c>
      <c r="EQ498" s="27" t="s">
        <v>8</v>
      </c>
      <c r="ER498" s="27" t="s">
        <v>7</v>
      </c>
      <c r="ES498" s="27" t="s">
        <v>8</v>
      </c>
      <c r="ET498" s="27" t="s">
        <v>7</v>
      </c>
      <c r="EV498" s="27" t="s">
        <v>7</v>
      </c>
      <c r="EW498" s="27" t="s">
        <v>8</v>
      </c>
      <c r="EX498" s="27" t="s">
        <v>7</v>
      </c>
      <c r="EY498" s="27" t="s">
        <v>8</v>
      </c>
      <c r="FB498" s="27" t="s">
        <v>7</v>
      </c>
      <c r="FE498" s="27" t="s">
        <v>8</v>
      </c>
      <c r="FF498" s="27" t="s">
        <v>7</v>
      </c>
      <c r="FG498" s="27" t="s">
        <v>8</v>
      </c>
      <c r="FH498" s="27" t="s">
        <v>7</v>
      </c>
      <c r="FI498" s="27" t="s">
        <v>8</v>
      </c>
      <c r="FN498" s="27" t="s">
        <v>7</v>
      </c>
      <c r="FO498" s="27" t="s">
        <v>8</v>
      </c>
    </row>
    <row r="499" spans="1:171" x14ac:dyDescent="0.25">
      <c r="A499" s="7">
        <v>5.7123540237461112</v>
      </c>
      <c r="B499"/>
      <c r="C499"/>
      <c r="D499"/>
      <c r="E499"/>
      <c r="CE499" s="27" t="s">
        <v>8</v>
      </c>
      <c r="CF499" s="27" t="s">
        <v>7</v>
      </c>
      <c r="CG499" s="27" t="s">
        <v>8</v>
      </c>
      <c r="CH499" s="27" t="s">
        <v>7</v>
      </c>
      <c r="CI499" s="27" t="s">
        <v>8</v>
      </c>
      <c r="CJ499" s="27" t="s">
        <v>7</v>
      </c>
      <c r="CL499" s="27" t="s">
        <v>7</v>
      </c>
      <c r="CM499" s="27" t="s">
        <v>8</v>
      </c>
      <c r="CN499" s="27" t="s">
        <v>7</v>
      </c>
      <c r="CO499" s="27" t="s">
        <v>8</v>
      </c>
      <c r="CP499" s="27" t="s">
        <v>7</v>
      </c>
      <c r="CQ499" s="27" t="s">
        <v>8</v>
      </c>
      <c r="EL499" s="27" t="s">
        <v>7</v>
      </c>
      <c r="EM499" s="27" t="s">
        <v>8</v>
      </c>
      <c r="EN499" s="27" t="s">
        <v>7</v>
      </c>
      <c r="EO499" s="27" t="s">
        <v>8</v>
      </c>
      <c r="EP499" s="27" t="s">
        <v>7</v>
      </c>
      <c r="EQ499" s="27" t="s">
        <v>8</v>
      </c>
      <c r="ER499" s="27" t="s">
        <v>7</v>
      </c>
      <c r="ES499" s="27" t="s">
        <v>8</v>
      </c>
      <c r="EV499" s="27" t="s">
        <v>7</v>
      </c>
      <c r="EW499" s="27" t="s">
        <v>8</v>
      </c>
      <c r="EX499" s="27" t="s">
        <v>7</v>
      </c>
      <c r="EY499" s="27" t="s">
        <v>8</v>
      </c>
      <c r="FB499" s="27" t="s">
        <v>7</v>
      </c>
      <c r="FC499" s="27" t="s">
        <v>8</v>
      </c>
      <c r="FE499" s="27" t="s">
        <v>8</v>
      </c>
      <c r="FF499" s="27" t="s">
        <v>7</v>
      </c>
      <c r="FG499" s="27" t="s">
        <v>8</v>
      </c>
      <c r="FH499" s="27" t="s">
        <v>7</v>
      </c>
      <c r="FI499" s="27" t="s">
        <v>8</v>
      </c>
      <c r="FN499" s="27" t="s">
        <v>7</v>
      </c>
      <c r="FO499" s="27" t="s">
        <v>8</v>
      </c>
    </row>
    <row r="500" spans="1:171" x14ac:dyDescent="0.25">
      <c r="A500" s="7">
        <v>5.6003470821040304</v>
      </c>
      <c r="B500"/>
      <c r="C500"/>
      <c r="D500"/>
      <c r="E500"/>
      <c r="CE500" s="27" t="s">
        <v>8</v>
      </c>
      <c r="CF500" s="27" t="s">
        <v>7</v>
      </c>
      <c r="CG500" s="27" t="s">
        <v>8</v>
      </c>
      <c r="CH500" s="27" t="s">
        <v>7</v>
      </c>
      <c r="CI500" s="27" t="s">
        <v>8</v>
      </c>
      <c r="CL500" s="27" t="s">
        <v>7</v>
      </c>
      <c r="CM500" s="27" t="s">
        <v>8</v>
      </c>
      <c r="CN500" s="27" t="s">
        <v>7</v>
      </c>
      <c r="CP500" s="27" t="s">
        <v>7</v>
      </c>
      <c r="CQ500" s="27" t="s">
        <v>8</v>
      </c>
      <c r="EL500" s="27" t="s">
        <v>7</v>
      </c>
      <c r="EM500" s="27" t="s">
        <v>8</v>
      </c>
      <c r="EN500" s="27" t="s">
        <v>7</v>
      </c>
      <c r="EO500" s="27" t="s">
        <v>8</v>
      </c>
      <c r="EP500" s="27" t="s">
        <v>7</v>
      </c>
      <c r="EQ500" s="27" t="s">
        <v>8</v>
      </c>
      <c r="ER500" s="27" t="s">
        <v>7</v>
      </c>
      <c r="EV500" s="27" t="s">
        <v>7</v>
      </c>
      <c r="EW500" s="27" t="s">
        <v>8</v>
      </c>
      <c r="EX500" s="27" t="s">
        <v>7</v>
      </c>
      <c r="EY500" s="27" t="s">
        <v>8</v>
      </c>
      <c r="FB500" s="27" t="s">
        <v>7</v>
      </c>
      <c r="FC500" s="27" t="s">
        <v>8</v>
      </c>
      <c r="FD500" s="27" t="s">
        <v>7</v>
      </c>
      <c r="FE500" s="27" t="s">
        <v>8</v>
      </c>
      <c r="FF500" s="27" t="s">
        <v>7</v>
      </c>
      <c r="FH500" s="27" t="s">
        <v>7</v>
      </c>
      <c r="FN500" s="27" t="s">
        <v>7</v>
      </c>
    </row>
    <row r="501" spans="1:171" x14ac:dyDescent="0.25">
      <c r="A501" s="7">
        <v>5.4905363550039512</v>
      </c>
      <c r="B501"/>
      <c r="C501"/>
      <c r="D501"/>
      <c r="E501"/>
      <c r="CE501" s="27" t="s">
        <v>8</v>
      </c>
      <c r="CF501" s="27" t="s">
        <v>7</v>
      </c>
      <c r="CH501" s="27" t="s">
        <v>7</v>
      </c>
      <c r="CI501" s="27" t="s">
        <v>8</v>
      </c>
      <c r="CL501" s="27" t="s">
        <v>7</v>
      </c>
      <c r="CP501" s="27" t="s">
        <v>7</v>
      </c>
      <c r="CQ501" s="27" t="s">
        <v>8</v>
      </c>
      <c r="EL501" s="27" t="s">
        <v>7</v>
      </c>
      <c r="EM501" s="27" t="s">
        <v>8</v>
      </c>
      <c r="EN501" s="27" t="s">
        <v>7</v>
      </c>
      <c r="EO501" s="27" t="s">
        <v>8</v>
      </c>
      <c r="EP501" s="27" t="s">
        <v>7</v>
      </c>
      <c r="EQ501" s="27" t="s">
        <v>8</v>
      </c>
      <c r="EV501" s="27" t="s">
        <v>7</v>
      </c>
      <c r="EW501" s="27" t="s">
        <v>8</v>
      </c>
      <c r="EX501" s="27" t="s">
        <v>7</v>
      </c>
      <c r="EY501" s="27" t="s">
        <v>8</v>
      </c>
      <c r="FB501" s="27" t="s">
        <v>7</v>
      </c>
      <c r="FC501" s="27" t="s">
        <v>8</v>
      </c>
      <c r="FD501" s="27" t="s">
        <v>7</v>
      </c>
      <c r="FE501" s="27" t="s">
        <v>8</v>
      </c>
    </row>
    <row r="502" spans="1:171" x14ac:dyDescent="0.25">
      <c r="A502" s="7">
        <v>5.3828787794156385</v>
      </c>
      <c r="B502"/>
      <c r="C502"/>
      <c r="D502"/>
      <c r="E502"/>
      <c r="CE502" s="27" t="s">
        <v>8</v>
      </c>
      <c r="CH502" s="27" t="s">
        <v>7</v>
      </c>
      <c r="CI502" s="27" t="s">
        <v>8</v>
      </c>
      <c r="CP502" s="27" t="s">
        <v>7</v>
      </c>
      <c r="CQ502" s="27" t="s">
        <v>8</v>
      </c>
      <c r="EL502" s="27" t="s">
        <v>7</v>
      </c>
      <c r="EM502" s="27" t="s">
        <v>8</v>
      </c>
      <c r="EN502" s="27" t="s">
        <v>7</v>
      </c>
      <c r="EO502" s="27" t="s">
        <v>8</v>
      </c>
      <c r="EP502" s="27" t="s">
        <v>7</v>
      </c>
      <c r="EQ502" s="27" t="s">
        <v>8</v>
      </c>
      <c r="EV502" s="27" t="s">
        <v>7</v>
      </c>
      <c r="EW502" s="27" t="s">
        <v>8</v>
      </c>
      <c r="EX502" s="27" t="s">
        <v>7</v>
      </c>
      <c r="EY502" s="27" t="s">
        <v>8</v>
      </c>
      <c r="FB502" s="27" t="s">
        <v>7</v>
      </c>
      <c r="FC502" s="27" t="s">
        <v>8</v>
      </c>
      <c r="FD502" s="27" t="s">
        <v>7</v>
      </c>
      <c r="FE502" s="27" t="s">
        <v>8</v>
      </c>
    </row>
    <row r="503" spans="1:171" x14ac:dyDescent="0.25">
      <c r="A503" s="7">
        <v>5.2773321366819985</v>
      </c>
      <c r="B503"/>
      <c r="C503"/>
      <c r="D503"/>
      <c r="E503"/>
      <c r="CE503" s="27" t="s">
        <v>8</v>
      </c>
      <c r="CH503" s="27" t="s">
        <v>7</v>
      </c>
      <c r="CI503" s="27" t="s">
        <v>8</v>
      </c>
      <c r="CP503" s="27" t="s">
        <v>7</v>
      </c>
      <c r="CQ503" s="27" t="s">
        <v>8</v>
      </c>
      <c r="EL503" s="27" t="s">
        <v>7</v>
      </c>
      <c r="EM503" s="27" t="s">
        <v>8</v>
      </c>
      <c r="EN503" s="27" t="s">
        <v>7</v>
      </c>
      <c r="EO503" s="27" t="s">
        <v>8</v>
      </c>
      <c r="EP503" s="27" t="s">
        <v>7</v>
      </c>
      <c r="EQ503" s="27" t="s">
        <v>8</v>
      </c>
      <c r="EV503" s="27" t="s">
        <v>7</v>
      </c>
      <c r="EW503" s="27" t="s">
        <v>8</v>
      </c>
      <c r="EX503" s="27" t="s">
        <v>7</v>
      </c>
      <c r="EY503" s="27" t="s">
        <v>8</v>
      </c>
      <c r="FB503" s="27" t="s">
        <v>7</v>
      </c>
      <c r="FC503" s="27" t="s">
        <v>8</v>
      </c>
      <c r="FD503" s="27" t="s">
        <v>7</v>
      </c>
      <c r="FE503" s="27" t="s">
        <v>8</v>
      </c>
    </row>
    <row r="504" spans="1:171" x14ac:dyDescent="0.25">
      <c r="A504" s="7">
        <v>5.1738550359627435</v>
      </c>
      <c r="B504"/>
      <c r="C504"/>
      <c r="D504"/>
      <c r="E504"/>
      <c r="CE504" s="27" t="s">
        <v>8</v>
      </c>
      <c r="CH504" s="27" t="s">
        <v>7</v>
      </c>
      <c r="CI504" s="27" t="s">
        <v>8</v>
      </c>
      <c r="CP504" s="27" t="s">
        <v>7</v>
      </c>
      <c r="CQ504" s="27" t="s">
        <v>8</v>
      </c>
      <c r="EL504" s="27" t="s">
        <v>7</v>
      </c>
      <c r="EM504" s="27" t="s">
        <v>8</v>
      </c>
      <c r="EN504" s="27" t="s">
        <v>7</v>
      </c>
      <c r="EP504" s="27" t="s">
        <v>7</v>
      </c>
      <c r="EV504" s="27" t="s">
        <v>7</v>
      </c>
      <c r="EW504" s="27" t="s">
        <v>8</v>
      </c>
      <c r="EX504" s="27" t="s">
        <v>7</v>
      </c>
      <c r="FB504" s="27" t="s">
        <v>7</v>
      </c>
      <c r="FC504" s="27" t="s">
        <v>8</v>
      </c>
      <c r="FD504" s="27" t="s">
        <v>7</v>
      </c>
      <c r="FE504" s="27" t="s">
        <v>8</v>
      </c>
    </row>
    <row r="505" spans="1:171" x14ac:dyDescent="0.25">
      <c r="A505" s="7">
        <v>5.07240689800269</v>
      </c>
      <c r="B505"/>
      <c r="C505"/>
      <c r="D505"/>
      <c r="E505"/>
      <c r="CE505" s="27" t="s">
        <v>8</v>
      </c>
      <c r="CH505" s="27" t="s">
        <v>7</v>
      </c>
      <c r="CI505" s="27" t="s">
        <v>8</v>
      </c>
      <c r="CP505" s="27" t="s">
        <v>7</v>
      </c>
      <c r="EL505" s="27" t="s">
        <v>7</v>
      </c>
      <c r="EM505" s="27" t="s">
        <v>8</v>
      </c>
      <c r="EV505" s="27" t="s">
        <v>7</v>
      </c>
      <c r="EW505" s="27" t="s">
        <v>8</v>
      </c>
      <c r="FB505" s="27" t="s">
        <v>7</v>
      </c>
      <c r="FC505" s="27" t="s">
        <v>8</v>
      </c>
      <c r="FD505" s="27" t="s">
        <v>7</v>
      </c>
      <c r="FE505" s="27" t="s">
        <v>8</v>
      </c>
    </row>
    <row r="506" spans="1:171" x14ac:dyDescent="0.25">
      <c r="A506" s="7">
        <v>4.9729479392183231</v>
      </c>
      <c r="B506"/>
      <c r="C506"/>
      <c r="D506"/>
      <c r="E506"/>
      <c r="CE506" s="27" t="s">
        <v>8</v>
      </c>
      <c r="CH506" s="27" t="s">
        <v>7</v>
      </c>
      <c r="EL506" s="27" t="s">
        <v>7</v>
      </c>
      <c r="EM506" s="27" t="s">
        <v>8</v>
      </c>
      <c r="EV506" s="27" t="s">
        <v>7</v>
      </c>
      <c r="FB506" s="27" t="s">
        <v>7</v>
      </c>
      <c r="FC506" s="27" t="s">
        <v>8</v>
      </c>
      <c r="FD506" s="27" t="s">
        <v>7</v>
      </c>
      <c r="FE506" s="27" t="s">
        <v>8</v>
      </c>
    </row>
    <row r="507" spans="1:171" x14ac:dyDescent="0.25">
      <c r="A507" s="7">
        <v>4.8754391560963954</v>
      </c>
      <c r="B507"/>
      <c r="C507"/>
      <c r="D507"/>
      <c r="E507"/>
      <c r="CE507" s="27" t="s">
        <v>8</v>
      </c>
      <c r="EL507" s="27" t="s">
        <v>7</v>
      </c>
      <c r="EM507" s="27" t="s">
        <v>8</v>
      </c>
      <c r="FB507" s="27" t="s">
        <v>7</v>
      </c>
      <c r="FC507" s="27" t="s">
        <v>8</v>
      </c>
      <c r="FD507" s="27" t="s">
        <v>7</v>
      </c>
    </row>
    <row r="508" spans="1:171" x14ac:dyDescent="0.25">
      <c r="A508" s="7">
        <v>4.7798423098984264</v>
      </c>
      <c r="B508"/>
      <c r="C508"/>
      <c r="D508"/>
      <c r="E508"/>
      <c r="CE508" s="27" t="s">
        <v>8</v>
      </c>
      <c r="EL508" s="27" t="s">
        <v>7</v>
      </c>
      <c r="EM508" s="27" t="s">
        <v>8</v>
      </c>
      <c r="FB508" s="27" t="s">
        <v>7</v>
      </c>
      <c r="FC508" s="27" t="s">
        <v>8</v>
      </c>
    </row>
    <row r="509" spans="1:171" x14ac:dyDescent="0.25">
      <c r="A509" s="7">
        <v>4.6861199116651235</v>
      </c>
      <c r="B509"/>
      <c r="C509"/>
      <c r="D509"/>
      <c r="E509"/>
      <c r="CE509" s="27" t="s">
        <v>8</v>
      </c>
      <c r="EL509" s="27" t="s">
        <v>7</v>
      </c>
      <c r="EM509" s="27" t="s">
        <v>8</v>
      </c>
      <c r="FB509" s="27" t="s">
        <v>7</v>
      </c>
      <c r="FC509" s="27" t="s">
        <v>8</v>
      </c>
    </row>
    <row r="510" spans="1:171" x14ac:dyDescent="0.25">
      <c r="A510" s="7">
        <v>4.5942352075148269</v>
      </c>
      <c r="B510"/>
      <c r="C510"/>
      <c r="D510"/>
      <c r="E510"/>
      <c r="CE510" s="27" t="s">
        <v>8</v>
      </c>
      <c r="EL510" s="27" t="s">
        <v>7</v>
      </c>
      <c r="EM510" s="27" t="s">
        <v>8</v>
      </c>
      <c r="FB510" s="27" t="s">
        <v>7</v>
      </c>
    </row>
    <row r="511" spans="1:171" x14ac:dyDescent="0.25">
      <c r="A511" s="7">
        <v>4.5041521642302227</v>
      </c>
      <c r="B511"/>
      <c r="C511"/>
      <c r="D511"/>
      <c r="E511"/>
      <c r="CE511" s="27" t="s">
        <v>8</v>
      </c>
      <c r="EL511" s="27" t="s">
        <v>7</v>
      </c>
      <c r="EM511" s="27" t="s">
        <v>8</v>
      </c>
    </row>
    <row r="512" spans="1:171" x14ac:dyDescent="0.25">
      <c r="A512" s="7">
        <v>4.4158354551276693</v>
      </c>
      <c r="B512"/>
      <c r="C512"/>
      <c r="D512"/>
      <c r="E512"/>
      <c r="CE512" s="27" t="s">
        <v>8</v>
      </c>
      <c r="EL512" s="27" t="s">
        <v>7</v>
      </c>
      <c r="EM512" s="27" t="s">
        <v>8</v>
      </c>
    </row>
    <row r="513" spans="1:143" x14ac:dyDescent="0.25">
      <c r="A513" s="7">
        <v>4.3292504462035977</v>
      </c>
      <c r="B513"/>
      <c r="C513"/>
      <c r="D513"/>
      <c r="E513"/>
      <c r="CE513" s="27" t="s">
        <v>8</v>
      </c>
      <c r="EL513" s="27" t="s">
        <v>7</v>
      </c>
      <c r="EM513" s="27" t="s">
        <v>8</v>
      </c>
    </row>
    <row r="514" spans="1:143" x14ac:dyDescent="0.25">
      <c r="A514" s="7">
        <v>4.2443631825525463</v>
      </c>
      <c r="B514"/>
      <c r="C514"/>
      <c r="D514"/>
      <c r="E514"/>
      <c r="CE514" s="27" t="s">
        <v>8</v>
      </c>
      <c r="EL514" s="27" t="s">
        <v>7</v>
      </c>
      <c r="EM514" s="27" t="s">
        <v>8</v>
      </c>
    </row>
    <row r="515" spans="1:143" x14ac:dyDescent="0.25">
      <c r="A515" s="7">
        <v>4.1611403750515157</v>
      </c>
      <c r="B515"/>
      <c r="C515"/>
      <c r="D515"/>
      <c r="E515"/>
      <c r="CE515" s="27" t="s">
        <v>8</v>
      </c>
      <c r="EL515" s="27" t="s">
        <v>7</v>
      </c>
      <c r="EM515" s="27" t="s">
        <v>8</v>
      </c>
    </row>
    <row r="516" spans="1:143" x14ac:dyDescent="0.25">
      <c r="A516" s="7">
        <v>4.0795493873054074</v>
      </c>
      <c r="B516"/>
      <c r="C516"/>
      <c r="D516"/>
      <c r="E516"/>
      <c r="CE516" s="27" t="s">
        <v>8</v>
      </c>
      <c r="EL516" s="27" t="s">
        <v>7</v>
      </c>
      <c r="EM516" s="27" t="s">
        <v>8</v>
      </c>
    </row>
    <row r="517" spans="1:143" x14ac:dyDescent="0.25">
      <c r="A517" s="7">
        <v>3.9995582228484383</v>
      </c>
      <c r="B517"/>
      <c r="C517"/>
      <c r="D517"/>
      <c r="E517"/>
      <c r="CE517" s="27" t="s">
        <v>8</v>
      </c>
      <c r="EL517" s="27" t="s">
        <v>7</v>
      </c>
      <c r="EM517" s="27" t="s">
        <v>8</v>
      </c>
    </row>
    <row r="518" spans="1:143" x14ac:dyDescent="0.25">
      <c r="A518" s="7">
        <v>3.9211355125965079</v>
      </c>
      <c r="B518"/>
      <c r="C518"/>
      <c r="D518"/>
      <c r="E518"/>
      <c r="CE518" s="27" t="s">
        <v>8</v>
      </c>
      <c r="EL518" s="27" t="s">
        <v>7</v>
      </c>
    </row>
    <row r="519" spans="1:143" x14ac:dyDescent="0.25">
      <c r="A519" s="7">
        <v>3.844250502545596</v>
      </c>
      <c r="B519"/>
      <c r="C519"/>
      <c r="D519"/>
      <c r="E519"/>
      <c r="CE519" s="27" t="s">
        <v>8</v>
      </c>
    </row>
    <row r="520" spans="1:143" x14ac:dyDescent="0.25">
      <c r="A520" s="7">
        <v>3.7688730417113687</v>
      </c>
      <c r="B520"/>
      <c r="C520"/>
      <c r="D520"/>
      <c r="E520"/>
      <c r="CE520" s="27" t="s">
        <v>8</v>
      </c>
    </row>
    <row r="521" spans="1:143" x14ac:dyDescent="0.25">
      <c r="A521" s="7">
        <v>3.6949735703052635</v>
      </c>
      <c r="B521"/>
      <c r="C521"/>
      <c r="D521"/>
      <c r="E521"/>
      <c r="CE521" s="27" t="s">
        <v>8</v>
      </c>
    </row>
    <row r="522" spans="1:143" x14ac:dyDescent="0.25">
      <c r="A522" s="7">
        <v>3.6225231081424152</v>
      </c>
      <c r="B522"/>
      <c r="C522"/>
      <c r="D522"/>
      <c r="E522"/>
      <c r="CE522" s="27" t="s">
        <v>8</v>
      </c>
    </row>
    <row r="523" spans="1:143" x14ac:dyDescent="0.25">
      <c r="A523" s="7">
        <v>3.5514932432768775</v>
      </c>
      <c r="B523"/>
      <c r="C523"/>
      <c r="D523"/>
      <c r="E523"/>
      <c r="CE523" s="27" t="s">
        <v>8</v>
      </c>
    </row>
    <row r="524" spans="1:143" x14ac:dyDescent="0.25">
      <c r="A524" s="7">
        <v>3.4818561208596837</v>
      </c>
      <c r="B524"/>
      <c r="C524"/>
      <c r="D524"/>
      <c r="E524"/>
      <c r="CE524" s="27" t="s">
        <v>8</v>
      </c>
    </row>
    <row r="525" spans="1:143" x14ac:dyDescent="0.25">
      <c r="A525" s="7">
        <v>3.4135844322153761</v>
      </c>
      <c r="B525"/>
      <c r="C525"/>
      <c r="D525"/>
      <c r="E525"/>
      <c r="CE525" s="27" t="s">
        <v>8</v>
      </c>
    </row>
    <row r="526" spans="1:143" x14ac:dyDescent="0.25">
      <c r="A526" s="7">
        <v>3.3466514041327216</v>
      </c>
      <c r="B526"/>
      <c r="C526"/>
      <c r="D526"/>
      <c r="E526"/>
      <c r="CE526" s="27" t="s">
        <v>8</v>
      </c>
    </row>
    <row r="527" spans="1:143" x14ac:dyDescent="0.25">
      <c r="A527" s="7">
        <v>3.2810307883654133</v>
      </c>
      <c r="B527"/>
      <c r="C527"/>
      <c r="D527"/>
      <c r="E527"/>
      <c r="CE527" s="27" t="s">
        <v>8</v>
      </c>
    </row>
    <row r="528" spans="1:143" x14ac:dyDescent="0.25">
      <c r="A528" s="7">
        <v>3.2166968513386403</v>
      </c>
      <c r="B528"/>
      <c r="C528"/>
      <c r="D528"/>
      <c r="E528"/>
      <c r="CE528" s="27" t="s">
        <v>8</v>
      </c>
    </row>
    <row r="529" spans="1:83" x14ac:dyDescent="0.25">
      <c r="A529" s="7">
        <v>3.1536243640574906</v>
      </c>
      <c r="B529"/>
      <c r="C529"/>
      <c r="D529"/>
      <c r="E529"/>
      <c r="CE529" s="27" t="s">
        <v>8</v>
      </c>
    </row>
    <row r="530" spans="1:83" x14ac:dyDescent="0.25">
      <c r="A530" s="7">
        <v>3.0917885922132262</v>
      </c>
      <c r="B530"/>
      <c r="C530"/>
      <c r="D530"/>
      <c r="E530"/>
      <c r="CE530" s="27" t="s">
        <v>8</v>
      </c>
    </row>
    <row r="531" spans="1:83" x14ac:dyDescent="0.25">
      <c r="A531" s="7">
        <v>3.0311652864835552</v>
      </c>
      <c r="B531"/>
      <c r="C531"/>
      <c r="D531"/>
      <c r="E531"/>
      <c r="CE531" s="27" t="s">
        <v>8</v>
      </c>
    </row>
    <row r="532" spans="1:83" x14ac:dyDescent="0.25">
      <c r="A532" s="7">
        <v>2.9717306730230932</v>
      </c>
      <c r="B532"/>
      <c r="C532"/>
      <c r="D532"/>
      <c r="E532"/>
      <c r="CC532" s="27" t="s">
        <v>8</v>
      </c>
      <c r="CE532" s="27" t="s">
        <v>8</v>
      </c>
    </row>
    <row r="533" spans="1:83" x14ac:dyDescent="0.25">
      <c r="A533" s="7">
        <v>2.9134614441402875</v>
      </c>
      <c r="B533"/>
      <c r="C533"/>
      <c r="D533"/>
      <c r="E533"/>
      <c r="CC533" s="27" t="s">
        <v>8</v>
      </c>
      <c r="CD533" s="27" t="s">
        <v>7</v>
      </c>
      <c r="CE533" s="27" t="s">
        <v>8</v>
      </c>
    </row>
    <row r="534" spans="1:83" x14ac:dyDescent="0.25">
      <c r="A534" s="7">
        <v>2.8563347491571447</v>
      </c>
      <c r="B534"/>
      <c r="C534"/>
      <c r="D534"/>
      <c r="E534"/>
      <c r="CC534" s="27" t="s">
        <v>8</v>
      </c>
      <c r="CD534" s="27" t="s">
        <v>7</v>
      </c>
      <c r="CE534" s="27" t="s">
        <v>8</v>
      </c>
    </row>
    <row r="535" spans="1:83" x14ac:dyDescent="0.25">
      <c r="A535" s="7">
        <v>2.8003281854481812</v>
      </c>
      <c r="B535"/>
      <c r="C535"/>
      <c r="D535"/>
      <c r="E535"/>
      <c r="CC535" s="27" t="s">
        <v>8</v>
      </c>
      <c r="CD535" s="27" t="s">
        <v>7</v>
      </c>
      <c r="CE535" s="27" t="s">
        <v>8</v>
      </c>
    </row>
    <row r="536" spans="1:83" x14ac:dyDescent="0.25">
      <c r="A536" s="7">
        <v>2.7454197896550796</v>
      </c>
      <c r="B536"/>
      <c r="C536"/>
      <c r="D536"/>
      <c r="E536"/>
      <c r="CC536" s="27" t="s">
        <v>8</v>
      </c>
      <c r="CD536" s="27" t="s">
        <v>7</v>
      </c>
      <c r="CE536" s="27" t="s">
        <v>8</v>
      </c>
    </row>
    <row r="537" spans="1:83" x14ac:dyDescent="0.25">
      <c r="A537" s="7">
        <v>2.6915880290736074</v>
      </c>
      <c r="B537"/>
      <c r="C537"/>
      <c r="D537"/>
      <c r="E537"/>
      <c r="CC537" s="27" t="s">
        <v>8</v>
      </c>
      <c r="CD537" s="27" t="s">
        <v>7</v>
      </c>
      <c r="CE537" s="27" t="s">
        <v>8</v>
      </c>
    </row>
    <row r="538" spans="1:83" x14ac:dyDescent="0.25">
      <c r="A538" s="7">
        <v>2.6388117932094191</v>
      </c>
      <c r="B538"/>
      <c r="C538"/>
      <c r="D538"/>
      <c r="E538"/>
      <c r="CC538" s="27" t="s">
        <v>8</v>
      </c>
      <c r="CD538" s="27" t="s">
        <v>7</v>
      </c>
      <c r="CE538" s="27" t="s">
        <v>8</v>
      </c>
    </row>
    <row r="539" spans="1:83" x14ac:dyDescent="0.25">
      <c r="A539" s="7">
        <v>2.5870703854994304</v>
      </c>
      <c r="B539"/>
      <c r="C539"/>
      <c r="D539"/>
      <c r="E539"/>
      <c r="CC539" s="27" t="s">
        <v>8</v>
      </c>
      <c r="CD539" s="27" t="s">
        <v>7</v>
      </c>
      <c r="CE539" s="27" t="s">
        <v>8</v>
      </c>
    </row>
    <row r="540" spans="1:83" x14ac:dyDescent="0.25">
      <c r="A540" s="7">
        <v>2.53634351519552</v>
      </c>
      <c r="B540"/>
      <c r="C540"/>
      <c r="D540"/>
      <c r="E540"/>
      <c r="CC540" s="27" t="s">
        <v>8</v>
      </c>
      <c r="CD540" s="27" t="s">
        <v>7</v>
      </c>
      <c r="CE540" s="27" t="s">
        <v>8</v>
      </c>
    </row>
    <row r="541" spans="1:83" x14ac:dyDescent="0.25">
      <c r="A541" s="7">
        <v>2.4866112894073726</v>
      </c>
      <c r="B541"/>
      <c r="C541"/>
      <c r="D541"/>
      <c r="E541"/>
      <c r="CC541" s="27" t="s">
        <v>8</v>
      </c>
      <c r="CD541" s="27" t="s">
        <v>7</v>
      </c>
    </row>
    <row r="542" spans="1:83" x14ac:dyDescent="0.25">
      <c r="A542" s="7">
        <v>2.4378542053013459</v>
      </c>
      <c r="B542"/>
      <c r="C542"/>
      <c r="D542"/>
      <c r="E542"/>
      <c r="CC542" s="27" t="s">
        <v>8</v>
      </c>
    </row>
    <row r="543" spans="1:83" x14ac:dyDescent="0.25">
      <c r="A543" s="7">
        <v>2.3900531424522997</v>
      </c>
      <c r="B543"/>
      <c r="C543"/>
      <c r="D543"/>
      <c r="E543"/>
      <c r="CC543" s="27" t="s">
        <v>8</v>
      </c>
    </row>
    <row r="544" spans="1:83" x14ac:dyDescent="0.25">
      <c r="A544" s="7">
        <v>2.343189355345392</v>
      </c>
      <c r="B544"/>
      <c r="C544"/>
      <c r="D544"/>
      <c r="E544"/>
      <c r="CC544" s="27" t="s">
        <v>8</v>
      </c>
    </row>
    <row r="545" spans="1:81" x14ac:dyDescent="0.25">
      <c r="A545" s="7">
        <v>2.2972444660248938</v>
      </c>
      <c r="B545"/>
      <c r="C545"/>
      <c r="D545"/>
      <c r="E545"/>
      <c r="CC545" s="27" t="s">
        <v>8</v>
      </c>
    </row>
    <row r="546" spans="1:81" x14ac:dyDescent="0.25">
      <c r="A546" s="7">
        <v>2.252200456887151</v>
      </c>
      <c r="B546"/>
      <c r="C546"/>
      <c r="D546"/>
      <c r="E546"/>
      <c r="CC546" s="27" t="s">
        <v>8</v>
      </c>
    </row>
    <row r="547" spans="1:81" x14ac:dyDescent="0.25">
      <c r="A547" s="7">
        <v>2.208039663614854</v>
      </c>
      <c r="B547"/>
      <c r="C547"/>
      <c r="D547"/>
      <c r="E547"/>
      <c r="CC547" s="27" t="s">
        <v>8</v>
      </c>
    </row>
    <row r="548" spans="1:81" x14ac:dyDescent="0.25">
      <c r="A548" s="7">
        <v>2.1647447682498568</v>
      </c>
      <c r="B548"/>
      <c r="C548"/>
      <c r="D548"/>
      <c r="E548"/>
      <c r="CC548" s="27" t="s">
        <v>8</v>
      </c>
    </row>
    <row r="549" spans="1:81" x14ac:dyDescent="0.25">
      <c r="A549" s="7">
        <v>2.1222987924018204</v>
      </c>
      <c r="B549"/>
      <c r="C549"/>
      <c r="D549"/>
      <c r="E549"/>
      <c r="CC549" s="27" t="s">
        <v>8</v>
      </c>
    </row>
    <row r="550" spans="1:81" x14ac:dyDescent="0.25">
      <c r="A550" s="7">
        <v>2.0806850905900198</v>
      </c>
      <c r="B550"/>
      <c r="C550"/>
      <c r="D550"/>
      <c r="E550"/>
      <c r="CC550" s="27" t="s">
        <v>8</v>
      </c>
    </row>
    <row r="551" spans="1:81" x14ac:dyDescent="0.25">
      <c r="A551" s="7">
        <v>2.0398873437157055</v>
      </c>
      <c r="B551"/>
      <c r="C551"/>
      <c r="D551"/>
      <c r="E551"/>
      <c r="CC551" s="27" t="s">
        <v>8</v>
      </c>
    </row>
    <row r="552" spans="1:81" x14ac:dyDescent="0.25">
      <c r="A552" s="7">
        <v>1.9998895526624565</v>
      </c>
      <c r="B552"/>
      <c r="C552"/>
      <c r="D552"/>
      <c r="E552"/>
      <c r="CC552" s="27" t="s">
        <v>8</v>
      </c>
    </row>
    <row r="553" spans="1:81" x14ac:dyDescent="0.25">
      <c r="A553" s="7">
        <v>1.9606760320220162</v>
      </c>
      <c r="B553"/>
      <c r="C553"/>
      <c r="D553"/>
      <c r="E553"/>
      <c r="CC553" s="27" t="s">
        <v>8</v>
      </c>
    </row>
    <row r="554" spans="1:81" x14ac:dyDescent="0.25">
      <c r="A554" s="7">
        <v>1.9222314039431532</v>
      </c>
      <c r="B554"/>
      <c r="C554"/>
      <c r="D554"/>
      <c r="E554"/>
      <c r="CC554" s="27" t="s">
        <v>8</v>
      </c>
    </row>
    <row r="555" spans="1:81" x14ac:dyDescent="0.25">
      <c r="A555" s="7">
        <v>1.8845405921011305</v>
      </c>
      <c r="B555"/>
      <c r="C555"/>
      <c r="D555"/>
      <c r="E555"/>
      <c r="CC555" s="27" t="s">
        <v>8</v>
      </c>
    </row>
    <row r="556" spans="1:81" x14ac:dyDescent="0.25">
      <c r="A556" s="7">
        <v>1.8475888157854219</v>
      </c>
      <c r="B556"/>
      <c r="C556"/>
      <c r="D556"/>
      <c r="E556"/>
      <c r="CC556" s="27" t="s">
        <v>8</v>
      </c>
    </row>
    <row r="557" spans="1:81" x14ac:dyDescent="0.25">
      <c r="A557" s="7">
        <v>1.8113615841033548</v>
      </c>
      <c r="B557"/>
      <c r="C557"/>
      <c r="D557"/>
      <c r="E557"/>
      <c r="CC557" s="27" t="s">
        <v>8</v>
      </c>
    </row>
    <row r="558" spans="1:81" x14ac:dyDescent="0.25">
      <c r="A558" s="7">
        <v>1.7758446902974065</v>
      </c>
      <c r="B558"/>
      <c r="C558"/>
      <c r="D558"/>
      <c r="E558"/>
      <c r="CC558" s="27" t="s">
        <v>8</v>
      </c>
    </row>
    <row r="559" spans="1:81" x14ac:dyDescent="0.25">
      <c r="A559" s="7">
        <v>1.7410242061739281</v>
      </c>
      <c r="B559"/>
      <c r="C559"/>
      <c r="D559"/>
      <c r="E559"/>
      <c r="CC559" s="27" t="s">
        <v>8</v>
      </c>
    </row>
    <row r="560" spans="1:81" x14ac:dyDescent="0.25">
      <c r="A560" s="7">
        <v>1.7068864766411058</v>
      </c>
      <c r="B560"/>
      <c r="C560"/>
      <c r="D560"/>
      <c r="E560"/>
      <c r="CA560" s="27" t="s">
        <v>8</v>
      </c>
      <c r="CC560" s="27" t="s">
        <v>8</v>
      </c>
    </row>
    <row r="561" spans="1:81" x14ac:dyDescent="0.25">
      <c r="A561" s="7">
        <v>1.6734181143540252</v>
      </c>
      <c r="B561"/>
      <c r="C561"/>
      <c r="D561"/>
      <c r="E561"/>
      <c r="CA561" s="27" t="s">
        <v>8</v>
      </c>
      <c r="CB561" s="27" t="s">
        <v>7</v>
      </c>
      <c r="CC561" s="27" t="s">
        <v>8</v>
      </c>
    </row>
    <row r="562" spans="1:81" x14ac:dyDescent="0.25">
      <c r="A562" s="7">
        <v>1.6406059944647307</v>
      </c>
      <c r="B562"/>
      <c r="C562"/>
      <c r="D562"/>
      <c r="E562"/>
      <c r="CA562" s="27" t="s">
        <v>8</v>
      </c>
      <c r="CB562" s="27" t="s">
        <v>7</v>
      </c>
      <c r="CC562" s="27" t="s">
        <v>8</v>
      </c>
    </row>
    <row r="563" spans="1:81" x14ac:dyDescent="0.25">
      <c r="A563" s="7">
        <v>1.6084372494752261</v>
      </c>
      <c r="B563"/>
      <c r="C563"/>
      <c r="D563"/>
      <c r="E563"/>
      <c r="CA563" s="27" t="s">
        <v>8</v>
      </c>
      <c r="CB563" s="27" t="s">
        <v>7</v>
      </c>
      <c r="CC563" s="27" t="s">
        <v>8</v>
      </c>
    </row>
    <row r="564" spans="1:81" x14ac:dyDescent="0.25">
      <c r="A564" s="7">
        <v>1.5768992641913981</v>
      </c>
      <c r="B564"/>
      <c r="C564"/>
      <c r="D564"/>
      <c r="E564"/>
      <c r="CA564" s="27" t="s">
        <v>8</v>
      </c>
      <c r="CB564" s="27" t="s">
        <v>7</v>
      </c>
      <c r="CC564" s="27" t="s">
        <v>8</v>
      </c>
    </row>
    <row r="565" spans="1:81" x14ac:dyDescent="0.25">
      <c r="A565" s="7">
        <v>1.5459796707758806</v>
      </c>
      <c r="B565"/>
      <c r="C565"/>
      <c r="D565"/>
      <c r="E565"/>
      <c r="CA565" s="27" t="s">
        <v>8</v>
      </c>
      <c r="CB565" s="27" t="s">
        <v>7</v>
      </c>
      <c r="CC565" s="27" t="s">
        <v>8</v>
      </c>
    </row>
    <row r="566" spans="1:81" x14ac:dyDescent="0.25">
      <c r="A566" s="7">
        <v>1.5156663438979221</v>
      </c>
      <c r="B566"/>
      <c r="C566"/>
      <c r="D566"/>
      <c r="E566"/>
      <c r="CA566" s="27" t="s">
        <v>8</v>
      </c>
      <c r="CB566" s="27" t="s">
        <v>7</v>
      </c>
      <c r="CC566" s="27" t="s">
        <v>8</v>
      </c>
    </row>
    <row r="567" spans="1:81" x14ac:dyDescent="0.25">
      <c r="A567" s="7">
        <v>1.4859473959783549</v>
      </c>
      <c r="B567"/>
      <c r="C567"/>
      <c r="D567"/>
      <c r="E567"/>
      <c r="CA567" s="27" t="s">
        <v>8</v>
      </c>
      <c r="CB567" s="27" t="s">
        <v>7</v>
      </c>
      <c r="CC567" s="27" t="s">
        <v>8</v>
      </c>
    </row>
    <row r="568" spans="1:81" x14ac:dyDescent="0.25">
      <c r="A568" s="7">
        <v>1.4568111725277988</v>
      </c>
      <c r="B568"/>
      <c r="C568"/>
      <c r="D568"/>
      <c r="E568"/>
      <c r="CA568" s="27" t="s">
        <v>8</v>
      </c>
      <c r="CB568" s="27" t="s">
        <v>7</v>
      </c>
      <c r="CC568" s="27" t="s">
        <v>8</v>
      </c>
    </row>
    <row r="569" spans="1:81" x14ac:dyDescent="0.25">
      <c r="A569" s="7">
        <v>1.4282462475762734</v>
      </c>
      <c r="B569"/>
      <c r="C569"/>
      <c r="D569"/>
      <c r="E569"/>
      <c r="CA569" s="27" t="s">
        <v>8</v>
      </c>
      <c r="CB569" s="27" t="s">
        <v>7</v>
      </c>
      <c r="CC569" s="27" t="s">
        <v>8</v>
      </c>
    </row>
    <row r="570" spans="1:81" x14ac:dyDescent="0.25">
      <c r="A570" s="7">
        <v>1.4002414191924248</v>
      </c>
      <c r="B570"/>
      <c r="C570"/>
      <c r="D570"/>
      <c r="E570"/>
      <c r="CA570" s="27" t="s">
        <v>8</v>
      </c>
      <c r="CB570" s="27" t="s">
        <v>7</v>
      </c>
      <c r="CC570" s="27" t="s">
        <v>8</v>
      </c>
    </row>
    <row r="571" spans="1:81" x14ac:dyDescent="0.25">
      <c r="A571" s="7">
        <v>1.3727857050906125</v>
      </c>
      <c r="B571"/>
      <c r="C571"/>
      <c r="D571"/>
      <c r="E571"/>
      <c r="CA571" s="27" t="s">
        <v>8</v>
      </c>
      <c r="CB571" s="27" t="s">
        <v>7</v>
      </c>
    </row>
    <row r="572" spans="1:81" x14ac:dyDescent="0.25">
      <c r="A572" s="7">
        <v>1.3458683383241299</v>
      </c>
      <c r="B572"/>
      <c r="C572"/>
      <c r="D572"/>
      <c r="E572"/>
      <c r="BY572" s="27" t="s">
        <v>8</v>
      </c>
      <c r="CA572" s="27" t="s">
        <v>8</v>
      </c>
    </row>
    <row r="573" spans="1:81" x14ac:dyDescent="0.25">
      <c r="A573" s="7">
        <v>1.3194787630628724</v>
      </c>
      <c r="B573"/>
      <c r="C573"/>
      <c r="D573"/>
      <c r="E573"/>
      <c r="BY573" s="27" t="s">
        <v>8</v>
      </c>
      <c r="BZ573" s="27" t="s">
        <v>7</v>
      </c>
      <c r="CA573" s="27" t="s">
        <v>8</v>
      </c>
    </row>
    <row r="574" spans="1:81" x14ac:dyDescent="0.25">
      <c r="A574" s="7">
        <v>1.2936066304537963</v>
      </c>
      <c r="B574"/>
      <c r="C574"/>
      <c r="D574"/>
      <c r="E574"/>
      <c r="BY574" s="27" t="s">
        <v>8</v>
      </c>
      <c r="BZ574" s="27" t="s">
        <v>7</v>
      </c>
      <c r="CA574" s="27" t="s">
        <v>8</v>
      </c>
    </row>
    <row r="575" spans="1:81" x14ac:dyDescent="0.25">
      <c r="A575" s="7">
        <v>1.2682417945625455</v>
      </c>
      <c r="B575"/>
      <c r="C575"/>
      <c r="D575"/>
      <c r="E575"/>
      <c r="BY575" s="27" t="s">
        <v>8</v>
      </c>
      <c r="BZ575" s="27" t="s">
        <v>7</v>
      </c>
      <c r="CA575" s="27" t="s">
        <v>8</v>
      </c>
    </row>
    <row r="576" spans="1:81" x14ac:dyDescent="0.25">
      <c r="A576" s="7">
        <v>1.2433743083946525</v>
      </c>
      <c r="B576"/>
      <c r="C576"/>
      <c r="D576"/>
      <c r="E576"/>
      <c r="BY576" s="27" t="s">
        <v>8</v>
      </c>
      <c r="BZ576" s="27" t="s">
        <v>7</v>
      </c>
      <c r="CA576" s="27" t="s">
        <v>8</v>
      </c>
    </row>
    <row r="577" spans="1:79" x14ac:dyDescent="0.25">
      <c r="A577" s="7">
        <v>1.2189944199947573</v>
      </c>
      <c r="B577"/>
      <c r="C577"/>
      <c r="D577"/>
      <c r="E577"/>
      <c r="BY577" s="27" t="s">
        <v>8</v>
      </c>
      <c r="BZ577" s="27" t="s">
        <v>7</v>
      </c>
      <c r="CA577" s="27" t="s">
        <v>8</v>
      </c>
    </row>
    <row r="578" spans="1:79" x14ac:dyDescent="0.25">
      <c r="A578" s="7">
        <v>1.1950925686223111</v>
      </c>
      <c r="B578"/>
      <c r="C578"/>
      <c r="D578"/>
      <c r="E578"/>
      <c r="BY578" s="27" t="s">
        <v>8</v>
      </c>
      <c r="BZ578" s="27" t="s">
        <v>7</v>
      </c>
      <c r="CA578" s="27" t="s">
        <v>8</v>
      </c>
    </row>
    <row r="579" spans="1:79" x14ac:dyDescent="0.25">
      <c r="A579" s="7">
        <v>1.1716593810022657</v>
      </c>
      <c r="B579"/>
      <c r="C579"/>
      <c r="D579"/>
      <c r="E579"/>
      <c r="BY579" s="27" t="s">
        <v>8</v>
      </c>
      <c r="BZ579" s="27" t="s">
        <v>7</v>
      </c>
      <c r="CA579" s="27" t="s">
        <v>8</v>
      </c>
    </row>
    <row r="580" spans="1:79" x14ac:dyDescent="0.25">
      <c r="A580" s="7">
        <v>1.14868566764928</v>
      </c>
      <c r="B580"/>
      <c r="C580"/>
      <c r="D580"/>
      <c r="E580"/>
      <c r="BY580" s="27" t="s">
        <v>8</v>
      </c>
      <c r="BZ580" s="27" t="s">
        <v>7</v>
      </c>
      <c r="CA580" s="27" t="s">
        <v>8</v>
      </c>
    </row>
    <row r="581" spans="1:79" x14ac:dyDescent="0.25">
      <c r="A581" s="7">
        <v>1.1261624192640001</v>
      </c>
      <c r="B581"/>
      <c r="C581"/>
      <c r="D581"/>
      <c r="E581"/>
      <c r="BY581" s="27" t="s">
        <v>8</v>
      </c>
      <c r="BZ581" s="27" t="s">
        <v>7</v>
      </c>
    </row>
    <row r="582" spans="1:79" x14ac:dyDescent="0.25">
      <c r="A582" s="7">
        <v>1.1040808032</v>
      </c>
      <c r="B582"/>
      <c r="C582"/>
      <c r="D582"/>
      <c r="E582"/>
      <c r="BY582" s="27" t="s">
        <v>8</v>
      </c>
    </row>
    <row r="583" spans="1:79" x14ac:dyDescent="0.25">
      <c r="A583" s="7">
        <v>1.08243216</v>
      </c>
      <c r="B583"/>
      <c r="C583"/>
      <c r="D583"/>
      <c r="E583"/>
      <c r="BY583" s="27" t="s">
        <v>8</v>
      </c>
    </row>
    <row r="584" spans="1:79" x14ac:dyDescent="0.25">
      <c r="A584" s="7">
        <v>1.0612079999999999</v>
      </c>
      <c r="B584"/>
      <c r="C584"/>
      <c r="D584"/>
      <c r="E584"/>
      <c r="BY584" s="27" t="s">
        <v>8</v>
      </c>
    </row>
    <row r="585" spans="1:79" x14ac:dyDescent="0.25">
      <c r="A585" s="7">
        <v>1.0404</v>
      </c>
      <c r="B585"/>
      <c r="C585"/>
      <c r="D585"/>
      <c r="E585"/>
      <c r="BY585" s="27" t="s">
        <v>8</v>
      </c>
    </row>
    <row r="586" spans="1:79" x14ac:dyDescent="0.25">
      <c r="A586" s="7">
        <v>1.02</v>
      </c>
      <c r="B586"/>
      <c r="C586"/>
      <c r="D586"/>
      <c r="E586"/>
      <c r="BY586" s="27" t="s">
        <v>8</v>
      </c>
    </row>
    <row r="587" spans="1:79" x14ac:dyDescent="0.25">
      <c r="A587" s="7">
        <v>1</v>
      </c>
      <c r="B587"/>
      <c r="C587"/>
      <c r="D587"/>
      <c r="E587" s="29" t="s">
        <v>8</v>
      </c>
      <c r="BW587" s="27" t="s">
        <v>8</v>
      </c>
      <c r="BY587" s="27" t="s">
        <v>8</v>
      </c>
    </row>
    <row r="588" spans="1:79" x14ac:dyDescent="0.25">
      <c r="A588" s="7">
        <v>0.98039215686274506</v>
      </c>
      <c r="B588"/>
      <c r="C588"/>
      <c r="D588"/>
      <c r="E588"/>
      <c r="F588" s="27" t="s">
        <v>7</v>
      </c>
      <c r="BW588" s="27" t="s">
        <v>8</v>
      </c>
      <c r="BX588" s="27" t="s">
        <v>7</v>
      </c>
      <c r="BY588" s="27" t="s">
        <v>8</v>
      </c>
    </row>
    <row r="589" spans="1:79" x14ac:dyDescent="0.25">
      <c r="A589" s="7">
        <v>0.96116878123798544</v>
      </c>
      <c r="B589"/>
      <c r="C589"/>
      <c r="D589"/>
      <c r="E589"/>
      <c r="F589" s="27" t="s">
        <v>7</v>
      </c>
      <c r="BW589" s="27" t="s">
        <v>8</v>
      </c>
      <c r="BX589" s="27" t="s">
        <v>7</v>
      </c>
      <c r="BY589" s="27" t="s">
        <v>8</v>
      </c>
    </row>
    <row r="590" spans="1:79" x14ac:dyDescent="0.25">
      <c r="A590" s="7">
        <v>0.94232233454704462</v>
      </c>
      <c r="B590"/>
      <c r="C590"/>
      <c r="D590"/>
      <c r="E590"/>
      <c r="F590" s="27" t="s">
        <v>7</v>
      </c>
      <c r="BO590" s="27" t="s">
        <v>8</v>
      </c>
      <c r="BW590" s="27" t="s">
        <v>8</v>
      </c>
      <c r="BX590" s="27" t="s">
        <v>7</v>
      </c>
      <c r="BY590" s="27" t="s">
        <v>8</v>
      </c>
    </row>
    <row r="591" spans="1:79" x14ac:dyDescent="0.25">
      <c r="A591" s="7">
        <v>0.92384542602651432</v>
      </c>
      <c r="B591"/>
      <c r="C591"/>
      <c r="D591"/>
      <c r="E591"/>
      <c r="F591" s="27" t="s">
        <v>7</v>
      </c>
      <c r="BO591" s="27" t="s">
        <v>8</v>
      </c>
      <c r="BP591" s="27" t="s">
        <v>7</v>
      </c>
      <c r="BW591" s="27" t="s">
        <v>8</v>
      </c>
      <c r="BX591" s="27" t="s">
        <v>7</v>
      </c>
      <c r="BY591" s="27" t="s">
        <v>8</v>
      </c>
    </row>
    <row r="592" spans="1:79" x14ac:dyDescent="0.25">
      <c r="A592" s="7">
        <v>0.90573080982991594</v>
      </c>
      <c r="B592"/>
      <c r="C592"/>
      <c r="D592"/>
      <c r="E592"/>
      <c r="F592" s="27" t="s">
        <v>7</v>
      </c>
      <c r="BO592" s="27" t="s">
        <v>8</v>
      </c>
      <c r="BP592" s="27" t="s">
        <v>7</v>
      </c>
      <c r="BW592" s="27" t="s">
        <v>8</v>
      </c>
      <c r="BX592" s="27" t="s">
        <v>7</v>
      </c>
      <c r="BY592" s="27" t="s">
        <v>8</v>
      </c>
    </row>
    <row r="593" spans="1:77" x14ac:dyDescent="0.25">
      <c r="A593" s="7">
        <v>0.8879713821861922</v>
      </c>
      <c r="B593"/>
      <c r="C593"/>
      <c r="D593"/>
      <c r="E593"/>
      <c r="F593" s="27" t="s">
        <v>7</v>
      </c>
      <c r="BO593" s="27" t="s">
        <v>8</v>
      </c>
      <c r="BP593" s="27" t="s">
        <v>7</v>
      </c>
      <c r="BU593" s="27" t="s">
        <v>8</v>
      </c>
      <c r="BW593" s="27" t="s">
        <v>8</v>
      </c>
      <c r="BX593" s="27" t="s">
        <v>7</v>
      </c>
      <c r="BY593" s="27" t="s">
        <v>8</v>
      </c>
    </row>
    <row r="594" spans="1:77" x14ac:dyDescent="0.25">
      <c r="A594" s="7">
        <v>0.87056017861391399</v>
      </c>
      <c r="B594"/>
      <c r="C594"/>
      <c r="D594"/>
      <c r="E594"/>
      <c r="F594" s="27" t="s">
        <v>7</v>
      </c>
      <c r="BO594" s="27" t="s">
        <v>8</v>
      </c>
      <c r="BP594" s="27" t="s">
        <v>7</v>
      </c>
      <c r="BQ594" s="27" t="s">
        <v>8</v>
      </c>
      <c r="BU594" s="27" t="s">
        <v>8</v>
      </c>
      <c r="BV594" s="27" t="s">
        <v>7</v>
      </c>
      <c r="BW594" s="27" t="s">
        <v>8</v>
      </c>
      <c r="BX594" s="27" t="s">
        <v>7</v>
      </c>
      <c r="BY594" s="27" t="s">
        <v>8</v>
      </c>
    </row>
    <row r="595" spans="1:77" x14ac:dyDescent="0.25">
      <c r="A595" s="7">
        <v>0.85349037119011173</v>
      </c>
      <c r="B595"/>
      <c r="C595"/>
      <c r="D595"/>
      <c r="E595"/>
      <c r="F595" s="27" t="s">
        <v>7</v>
      </c>
      <c r="BO595" s="27" t="s">
        <v>8</v>
      </c>
      <c r="BP595" s="27" t="s">
        <v>7</v>
      </c>
      <c r="BQ595" s="27" t="s">
        <v>8</v>
      </c>
      <c r="BR595" s="27" t="s">
        <v>7</v>
      </c>
      <c r="BU595" s="27" t="s">
        <v>8</v>
      </c>
      <c r="BV595" s="27" t="s">
        <v>7</v>
      </c>
      <c r="BW595" s="27" t="s">
        <v>8</v>
      </c>
      <c r="BX595" s="27" t="s">
        <v>7</v>
      </c>
      <c r="BY595" s="27" t="s">
        <v>8</v>
      </c>
    </row>
    <row r="596" spans="1:77" x14ac:dyDescent="0.25">
      <c r="A596" s="7">
        <v>0.83675526587265858</v>
      </c>
      <c r="B596"/>
      <c r="C596"/>
      <c r="D596"/>
      <c r="E596"/>
      <c r="F596" s="27" t="s">
        <v>7</v>
      </c>
      <c r="BO596" s="27" t="s">
        <v>8</v>
      </c>
      <c r="BP596" s="27" t="s">
        <v>7</v>
      </c>
      <c r="BQ596" s="27" t="s">
        <v>8</v>
      </c>
      <c r="BR596" s="27" t="s">
        <v>7</v>
      </c>
      <c r="BS596" s="27" t="s">
        <v>8</v>
      </c>
      <c r="BU596" s="27" t="s">
        <v>8</v>
      </c>
      <c r="BV596" s="27" t="s">
        <v>7</v>
      </c>
      <c r="BW596" s="27" t="s">
        <v>8</v>
      </c>
      <c r="BX596" s="27" t="s">
        <v>7</v>
      </c>
      <c r="BY596" s="27" t="s">
        <v>8</v>
      </c>
    </row>
    <row r="597" spans="1:77" x14ac:dyDescent="0.25">
      <c r="A597" s="7">
        <v>0.82034829987515545</v>
      </c>
      <c r="B597"/>
      <c r="C597"/>
      <c r="D597"/>
      <c r="E597"/>
      <c r="F597" s="27" t="s">
        <v>7</v>
      </c>
      <c r="BO597" s="27" t="s">
        <v>8</v>
      </c>
      <c r="BP597" s="27" t="s">
        <v>7</v>
      </c>
      <c r="BQ597" s="27" t="s">
        <v>8</v>
      </c>
      <c r="BR597" s="27" t="s">
        <v>7</v>
      </c>
      <c r="BS597" s="27" t="s">
        <v>8</v>
      </c>
      <c r="BT597" s="27" t="s">
        <v>7</v>
      </c>
      <c r="BU597" s="27" t="s">
        <v>8</v>
      </c>
      <c r="BV597" s="27" t="s">
        <v>7</v>
      </c>
      <c r="BW597" s="27" t="s">
        <v>8</v>
      </c>
      <c r="BX597" s="27" t="s">
        <v>7</v>
      </c>
      <c r="BY597" s="27" t="s">
        <v>8</v>
      </c>
    </row>
    <row r="598" spans="1:77" x14ac:dyDescent="0.25">
      <c r="A598" s="7">
        <v>0.80426303909328967</v>
      </c>
      <c r="B598"/>
      <c r="C598"/>
      <c r="D598"/>
      <c r="E598"/>
      <c r="F598" s="27" t="s">
        <v>7</v>
      </c>
      <c r="BO598" s="27" t="s">
        <v>8</v>
      </c>
      <c r="BP598" s="27" t="s">
        <v>7</v>
      </c>
      <c r="BR598" s="27" t="s">
        <v>7</v>
      </c>
      <c r="BS598" s="27" t="s">
        <v>8</v>
      </c>
      <c r="BT598" s="27" t="s">
        <v>7</v>
      </c>
      <c r="BU598" s="27" t="s">
        <v>8</v>
      </c>
      <c r="BV598" s="27" t="s">
        <v>7</v>
      </c>
      <c r="BW598" s="27" t="s">
        <v>8</v>
      </c>
      <c r="BX598" s="27" t="s">
        <v>7</v>
      </c>
      <c r="BY598" s="27" t="s">
        <v>8</v>
      </c>
    </row>
    <row r="599" spans="1:77" x14ac:dyDescent="0.25">
      <c r="A599" s="7">
        <v>0.78849317558165644</v>
      </c>
      <c r="B599"/>
      <c r="C599"/>
      <c r="D599"/>
      <c r="E599"/>
      <c r="F599" s="27" t="s">
        <v>7</v>
      </c>
      <c r="BO599" s="27" t="s">
        <v>8</v>
      </c>
      <c r="BR599" s="27" t="s">
        <v>7</v>
      </c>
      <c r="BS599" s="27" t="s">
        <v>8</v>
      </c>
      <c r="BT599" s="27" t="s">
        <v>7</v>
      </c>
      <c r="BU599" s="27" t="s">
        <v>8</v>
      </c>
      <c r="BV599" s="27" t="s">
        <v>7</v>
      </c>
      <c r="BW599" s="27" t="s">
        <v>8</v>
      </c>
      <c r="BX599" s="27" t="s">
        <v>7</v>
      </c>
      <c r="BY599" s="27" t="s">
        <v>8</v>
      </c>
    </row>
    <row r="600" spans="1:77" x14ac:dyDescent="0.25">
      <c r="A600" s="7">
        <v>0.77303252508005538</v>
      </c>
      <c r="B600"/>
      <c r="C600"/>
      <c r="D600"/>
      <c r="E600"/>
      <c r="F600" s="27" t="s">
        <v>7</v>
      </c>
      <c r="BO600" s="27" t="s">
        <v>8</v>
      </c>
      <c r="BR600" s="27" t="s">
        <v>7</v>
      </c>
      <c r="BS600" s="27" t="s">
        <v>8</v>
      </c>
      <c r="BT600" s="27" t="s">
        <v>7</v>
      </c>
      <c r="BU600" s="27" t="s">
        <v>8</v>
      </c>
      <c r="BV600" s="27" t="s">
        <v>7</v>
      </c>
      <c r="BW600" s="27" t="s">
        <v>8</v>
      </c>
      <c r="BX600" s="27" t="s">
        <v>7</v>
      </c>
    </row>
    <row r="601" spans="1:77" x14ac:dyDescent="0.25">
      <c r="A601" s="7">
        <v>0.75787502458828959</v>
      </c>
      <c r="B601"/>
      <c r="C601"/>
      <c r="D601"/>
      <c r="E601"/>
      <c r="F601" s="27" t="s">
        <v>7</v>
      </c>
      <c r="BO601" s="27" t="s">
        <v>8</v>
      </c>
      <c r="BR601" s="27" t="s">
        <v>7</v>
      </c>
      <c r="BS601" s="27" t="s">
        <v>8</v>
      </c>
      <c r="BT601" s="27" t="s">
        <v>7</v>
      </c>
      <c r="BU601" s="27" t="s">
        <v>8</v>
      </c>
      <c r="BV601" s="27" t="s">
        <v>7</v>
      </c>
    </row>
    <row r="602" spans="1:77" x14ac:dyDescent="0.25">
      <c r="A602" s="7">
        <v>0.74301472998851925</v>
      </c>
      <c r="B602"/>
      <c r="C602"/>
      <c r="D602"/>
      <c r="E602"/>
      <c r="F602" s="27" t="s">
        <v>7</v>
      </c>
      <c r="BO602" s="27" t="s">
        <v>8</v>
      </c>
      <c r="BR602" s="27" t="s">
        <v>7</v>
      </c>
      <c r="BS602" s="27" t="s">
        <v>8</v>
      </c>
      <c r="BT602" s="27" t="s">
        <v>7</v>
      </c>
      <c r="BU602" s="27" t="s">
        <v>8</v>
      </c>
    </row>
    <row r="603" spans="1:77" x14ac:dyDescent="0.25">
      <c r="A603" s="7">
        <v>0.72844581371423456</v>
      </c>
      <c r="B603"/>
      <c r="C603"/>
      <c r="D603"/>
      <c r="E603"/>
      <c r="F603" s="27" t="s">
        <v>7</v>
      </c>
      <c r="BO603" s="27" t="s">
        <v>8</v>
      </c>
      <c r="BR603" s="27" t="s">
        <v>7</v>
      </c>
      <c r="BS603" s="27" t="s">
        <v>8</v>
      </c>
      <c r="BT603" s="27" t="s">
        <v>7</v>
      </c>
    </row>
    <row r="604" spans="1:77" x14ac:dyDescent="0.25">
      <c r="A604" s="7">
        <v>0.71416256246493581</v>
      </c>
      <c r="B604"/>
      <c r="C604"/>
      <c r="D604"/>
      <c r="E604"/>
      <c r="F604" s="27" t="s">
        <v>7</v>
      </c>
      <c r="BM604" s="27" t="s">
        <v>8</v>
      </c>
      <c r="BO604" s="27" t="s">
        <v>8</v>
      </c>
      <c r="BR604" s="27" t="s">
        <v>7</v>
      </c>
      <c r="BS604" s="27" t="s">
        <v>8</v>
      </c>
    </row>
    <row r="605" spans="1:77" x14ac:dyDescent="0.25">
      <c r="A605" s="7">
        <v>0.7001593749656233</v>
      </c>
      <c r="B605"/>
      <c r="C605"/>
      <c r="D605"/>
      <c r="E605"/>
      <c r="F605" s="27" t="s">
        <v>7</v>
      </c>
      <c r="BI605" s="27" t="s">
        <v>8</v>
      </c>
      <c r="BM605" s="27" t="s">
        <v>8</v>
      </c>
      <c r="BN605" s="27" t="s">
        <v>7</v>
      </c>
      <c r="BO605" s="27" t="s">
        <v>8</v>
      </c>
      <c r="BR605" s="27" t="s">
        <v>7</v>
      </c>
    </row>
    <row r="606" spans="1:77" x14ac:dyDescent="0.25">
      <c r="A606" s="7">
        <v>0.68643075977021883</v>
      </c>
      <c r="B606"/>
      <c r="C606"/>
      <c r="D606"/>
      <c r="E606"/>
      <c r="F606" s="27" t="s">
        <v>7</v>
      </c>
      <c r="BI606" s="27" t="s">
        <v>8</v>
      </c>
      <c r="BJ606" s="27" t="s">
        <v>7</v>
      </c>
      <c r="BM606" s="27" t="s">
        <v>8</v>
      </c>
      <c r="BN606" s="27" t="s">
        <v>7</v>
      </c>
      <c r="BO606" s="27" t="s">
        <v>8</v>
      </c>
    </row>
    <row r="607" spans="1:77" x14ac:dyDescent="0.25">
      <c r="A607" s="7">
        <v>0.67297133310805768</v>
      </c>
      <c r="B607"/>
      <c r="C607"/>
      <c r="D607"/>
      <c r="E607"/>
      <c r="F607" s="27" t="s">
        <v>7</v>
      </c>
      <c r="BI607" s="27" t="s">
        <v>8</v>
      </c>
      <c r="BJ607" s="27" t="s">
        <v>7</v>
      </c>
      <c r="BK607" s="27" t="s">
        <v>8</v>
      </c>
      <c r="BM607" s="27" t="s">
        <v>8</v>
      </c>
      <c r="BN607" s="27" t="s">
        <v>7</v>
      </c>
      <c r="BO607" s="27" t="s">
        <v>8</v>
      </c>
    </row>
    <row r="608" spans="1:77" x14ac:dyDescent="0.25">
      <c r="A608" s="7">
        <v>0.65977581677260566</v>
      </c>
      <c r="B608"/>
      <c r="C608"/>
      <c r="D608"/>
      <c r="E608"/>
      <c r="F608" s="27" t="s">
        <v>7</v>
      </c>
      <c r="BI608" s="27" t="s">
        <v>8</v>
      </c>
      <c r="BJ608" s="27" t="s">
        <v>7</v>
      </c>
      <c r="BK608" s="27" t="s">
        <v>8</v>
      </c>
      <c r="BL608" s="27" t="s">
        <v>7</v>
      </c>
      <c r="BM608" s="27" t="s">
        <v>8</v>
      </c>
      <c r="BN608" s="27" t="s">
        <v>7</v>
      </c>
      <c r="BO608" s="27" t="s">
        <v>8</v>
      </c>
    </row>
    <row r="609" spans="1:66" x14ac:dyDescent="0.25">
      <c r="A609" s="7">
        <v>0.64683903605157422</v>
      </c>
      <c r="B609"/>
      <c r="C609"/>
      <c r="D609"/>
      <c r="E609"/>
      <c r="F609" s="27" t="s">
        <v>7</v>
      </c>
      <c r="BI609" s="27" t="s">
        <v>8</v>
      </c>
      <c r="BJ609" s="27" t="s">
        <v>7</v>
      </c>
      <c r="BK609" s="27" t="s">
        <v>8</v>
      </c>
      <c r="BL609" s="27" t="s">
        <v>7</v>
      </c>
      <c r="BM609" s="27" t="s">
        <v>8</v>
      </c>
      <c r="BN609" s="27" t="s">
        <v>7</v>
      </c>
    </row>
    <row r="610" spans="1:66" x14ac:dyDescent="0.25">
      <c r="A610" s="7">
        <v>0.63415591769762181</v>
      </c>
      <c r="B610"/>
      <c r="C610"/>
      <c r="D610"/>
      <c r="E610"/>
      <c r="F610" s="27" t="s">
        <v>7</v>
      </c>
      <c r="BI610" s="27" t="s">
        <v>8</v>
      </c>
      <c r="BJ610" s="27" t="s">
        <v>7</v>
      </c>
      <c r="BL610" s="27" t="s">
        <v>7</v>
      </c>
      <c r="BM610" s="27" t="s">
        <v>8</v>
      </c>
    </row>
    <row r="611" spans="1:66" x14ac:dyDescent="0.25">
      <c r="A611" s="7">
        <v>0.62172148793884496</v>
      </c>
      <c r="B611"/>
      <c r="C611"/>
      <c r="D611"/>
      <c r="E611"/>
      <c r="F611" s="27" t="s">
        <v>7</v>
      </c>
      <c r="BI611" s="27" t="s">
        <v>8</v>
      </c>
      <c r="BL611" s="27" t="s">
        <v>7</v>
      </c>
    </row>
    <row r="612" spans="1:66" x14ac:dyDescent="0.25">
      <c r="A612" s="7">
        <v>0.60953087052827937</v>
      </c>
      <c r="B612"/>
      <c r="C612"/>
      <c r="D612"/>
      <c r="E612"/>
      <c r="F612" s="27" t="s">
        <v>7</v>
      </c>
      <c r="BI612" s="27" t="s">
        <v>8</v>
      </c>
    </row>
    <row r="613" spans="1:66" x14ac:dyDescent="0.25">
      <c r="A613" s="7">
        <v>0.59757928483164646</v>
      </c>
      <c r="B613"/>
      <c r="C613"/>
      <c r="D613"/>
      <c r="E613"/>
      <c r="F613" s="27" t="s">
        <v>7</v>
      </c>
      <c r="BI613" s="27" t="s">
        <v>8</v>
      </c>
    </row>
    <row r="614" spans="1:66" x14ac:dyDescent="0.25">
      <c r="A614" s="7">
        <v>0.58586204395259456</v>
      </c>
      <c r="B614"/>
      <c r="C614"/>
      <c r="D614"/>
      <c r="E614"/>
      <c r="F614" s="27" t="s">
        <v>7</v>
      </c>
      <c r="BI614" s="27" t="s">
        <v>8</v>
      </c>
    </row>
    <row r="615" spans="1:66" x14ac:dyDescent="0.25">
      <c r="A615" s="7">
        <v>0.57437455289470052</v>
      </c>
      <c r="B615"/>
      <c r="C615"/>
      <c r="D615"/>
      <c r="E615"/>
      <c r="F615" s="27" t="s">
        <v>7</v>
      </c>
      <c r="BI615" s="27" t="s">
        <v>8</v>
      </c>
    </row>
    <row r="616" spans="1:66" x14ac:dyDescent="0.25">
      <c r="A616" s="7">
        <v>0.56311230675951029</v>
      </c>
      <c r="B616"/>
      <c r="C616"/>
      <c r="D616"/>
      <c r="E616"/>
      <c r="F616" s="27" t="s">
        <v>7</v>
      </c>
      <c r="I616" s="27" t="s">
        <v>8</v>
      </c>
      <c r="BG616" s="27" t="s">
        <v>8</v>
      </c>
      <c r="BI616" s="27" t="s">
        <v>8</v>
      </c>
    </row>
    <row r="617" spans="1:66" x14ac:dyDescent="0.25">
      <c r="A617" s="7">
        <v>0.55207088897991208</v>
      </c>
      <c r="B617"/>
      <c r="C617"/>
      <c r="D617"/>
      <c r="E617"/>
      <c r="F617" s="27" t="s">
        <v>7</v>
      </c>
      <c r="I617" s="27" t="s">
        <v>8</v>
      </c>
      <c r="J617" s="27" t="s">
        <v>7</v>
      </c>
      <c r="K617" s="27" t="s">
        <v>8</v>
      </c>
      <c r="BG617" s="27" t="s">
        <v>8</v>
      </c>
      <c r="BH617" s="27" t="s">
        <v>7</v>
      </c>
      <c r="BI617" s="27" t="s">
        <v>8</v>
      </c>
    </row>
    <row r="618" spans="1:66" x14ac:dyDescent="0.25">
      <c r="A618" s="7">
        <v>0.54124596958814908</v>
      </c>
      <c r="B618"/>
      <c r="C618"/>
      <c r="D618"/>
      <c r="E618"/>
      <c r="F618" s="27" t="s">
        <v>7</v>
      </c>
      <c r="I618" s="27" t="s">
        <v>8</v>
      </c>
      <c r="J618" s="27" t="s">
        <v>7</v>
      </c>
      <c r="K618" s="27" t="s">
        <v>8</v>
      </c>
      <c r="L618" s="27" t="s">
        <v>7</v>
      </c>
      <c r="BE618" s="27" t="s">
        <v>8</v>
      </c>
      <c r="BG618" s="27" t="s">
        <v>8</v>
      </c>
      <c r="BH618" s="27" t="s">
        <v>7</v>
      </c>
      <c r="BI618" s="27" t="s">
        <v>8</v>
      </c>
    </row>
    <row r="619" spans="1:66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I619" s="27" t="s">
        <v>8</v>
      </c>
      <c r="J619" s="27" t="s">
        <v>7</v>
      </c>
      <c r="K619" s="27" t="s">
        <v>8</v>
      </c>
      <c r="L619" s="27" t="s">
        <v>7</v>
      </c>
      <c r="AY619" s="27" t="s">
        <v>8</v>
      </c>
      <c r="BC619" s="27" t="s">
        <v>8</v>
      </c>
      <c r="BE619" s="27" t="s">
        <v>8</v>
      </c>
      <c r="BF619" s="27" t="s">
        <v>7</v>
      </c>
      <c r="BG619" s="27" t="s">
        <v>8</v>
      </c>
      <c r="BH619" s="27" t="s">
        <v>7</v>
      </c>
    </row>
    <row r="620" spans="1:66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I620" s="27" t="s">
        <v>8</v>
      </c>
      <c r="J620" s="27" t="s">
        <v>7</v>
      </c>
      <c r="L620" s="27" t="s">
        <v>7</v>
      </c>
      <c r="AY620" s="27" t="s">
        <v>8</v>
      </c>
      <c r="AZ620" s="27" t="s">
        <v>7</v>
      </c>
      <c r="BC620" s="27" t="s">
        <v>8</v>
      </c>
      <c r="BD620" s="27" t="s">
        <v>7</v>
      </c>
      <c r="BE620" s="27" t="s">
        <v>8</v>
      </c>
      <c r="BF620" s="27" t="s">
        <v>7</v>
      </c>
      <c r="BG620" s="27" t="s">
        <v>8</v>
      </c>
    </row>
    <row r="621" spans="1:66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I621" s="27" t="s">
        <v>8</v>
      </c>
      <c r="L621" s="27" t="s">
        <v>7</v>
      </c>
      <c r="AW621" s="27" t="s">
        <v>8</v>
      </c>
      <c r="AY621" s="27" t="s">
        <v>8</v>
      </c>
      <c r="AZ621" s="27" t="s">
        <v>7</v>
      </c>
      <c r="BC621" s="27" t="s">
        <v>8</v>
      </c>
      <c r="BD621" s="27" t="s">
        <v>7</v>
      </c>
      <c r="BE621" s="27" t="s">
        <v>8</v>
      </c>
      <c r="BF621" s="27" t="s">
        <v>7</v>
      </c>
      <c r="BG621" s="27" t="s">
        <v>8</v>
      </c>
    </row>
    <row r="622" spans="1:66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I622" s="27" t="s">
        <v>8</v>
      </c>
      <c r="L622" s="27" t="s">
        <v>7</v>
      </c>
      <c r="AW622" s="27" t="s">
        <v>8</v>
      </c>
      <c r="AX622" s="27" t="s">
        <v>7</v>
      </c>
      <c r="AY622" s="27" t="s">
        <v>8</v>
      </c>
      <c r="AZ622" s="27" t="s">
        <v>7</v>
      </c>
      <c r="BA622" s="27" t="s">
        <v>8</v>
      </c>
      <c r="BC622" s="27" t="s">
        <v>8</v>
      </c>
      <c r="BD622" s="27" t="s">
        <v>7</v>
      </c>
      <c r="BE622" s="27" t="s">
        <v>8</v>
      </c>
      <c r="BF622" s="27" t="s">
        <v>7</v>
      </c>
      <c r="BG622" s="27" t="s">
        <v>8</v>
      </c>
    </row>
    <row r="623" spans="1:66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I623" s="27" t="s">
        <v>8</v>
      </c>
      <c r="L623" s="27" t="s">
        <v>7</v>
      </c>
      <c r="AW623" s="27" t="s">
        <v>8</v>
      </c>
      <c r="AX623" s="27" t="s">
        <v>7</v>
      </c>
      <c r="AY623" s="27" t="s">
        <v>8</v>
      </c>
      <c r="AZ623" s="27" t="s">
        <v>7</v>
      </c>
      <c r="BA623" s="27" t="s">
        <v>8</v>
      </c>
      <c r="BB623" s="27" t="s">
        <v>7</v>
      </c>
      <c r="BC623" s="27" t="s">
        <v>8</v>
      </c>
      <c r="BD623" s="27" t="s">
        <v>7</v>
      </c>
      <c r="BE623" s="27" t="s">
        <v>8</v>
      </c>
      <c r="BF623" s="27" t="s">
        <v>7</v>
      </c>
      <c r="BG623" s="27" t="s">
        <v>8</v>
      </c>
    </row>
    <row r="624" spans="1:66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I624" s="27" t="s">
        <v>8</v>
      </c>
      <c r="L624" s="27" t="s">
        <v>7</v>
      </c>
      <c r="AW624" s="27" t="s">
        <v>8</v>
      </c>
      <c r="AX624" s="27" t="s">
        <v>7</v>
      </c>
      <c r="AY624" s="27" t="s">
        <v>8</v>
      </c>
      <c r="AZ624" s="27" t="s">
        <v>7</v>
      </c>
      <c r="BA624" s="27" t="s">
        <v>8</v>
      </c>
      <c r="BB624" s="27" t="s">
        <v>7</v>
      </c>
      <c r="BC624" s="27" t="s">
        <v>8</v>
      </c>
      <c r="BD624" s="27" t="s">
        <v>7</v>
      </c>
      <c r="BF624" s="27" t="s">
        <v>7</v>
      </c>
      <c r="BG624" s="27" t="s">
        <v>8</v>
      </c>
    </row>
    <row r="625" spans="1:59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I625" s="27" t="s">
        <v>8</v>
      </c>
      <c r="L625" s="27" t="s">
        <v>7</v>
      </c>
      <c r="AW625" s="27" t="s">
        <v>8</v>
      </c>
      <c r="AX625" s="27" t="s">
        <v>7</v>
      </c>
      <c r="AY625" s="27" t="s">
        <v>8</v>
      </c>
      <c r="AZ625" s="27" t="s">
        <v>7</v>
      </c>
      <c r="BB625" s="27" t="s">
        <v>7</v>
      </c>
      <c r="BC625" s="27" t="s">
        <v>8</v>
      </c>
      <c r="BF625" s="27" t="s">
        <v>7</v>
      </c>
      <c r="BG625" s="27" t="s">
        <v>8</v>
      </c>
    </row>
    <row r="626" spans="1:59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I626" s="27" t="s">
        <v>8</v>
      </c>
      <c r="L626" s="27" t="s">
        <v>7</v>
      </c>
      <c r="AW626" s="27" t="s">
        <v>8</v>
      </c>
      <c r="AX626" s="27" t="s">
        <v>7</v>
      </c>
      <c r="AY626" s="27" t="s">
        <v>8</v>
      </c>
      <c r="BB626" s="27" t="s">
        <v>7</v>
      </c>
      <c r="BF626" s="27" t="s">
        <v>7</v>
      </c>
      <c r="BG626" s="27" t="s">
        <v>8</v>
      </c>
    </row>
    <row r="627" spans="1:59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L627" s="27" t="s">
        <v>7</v>
      </c>
      <c r="AW627" s="27" t="s">
        <v>8</v>
      </c>
      <c r="AX627" s="27" t="s">
        <v>7</v>
      </c>
      <c r="BF627" s="27" t="s">
        <v>7</v>
      </c>
    </row>
    <row r="628" spans="1:59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L628" s="27" t="s">
        <v>7</v>
      </c>
      <c r="AW628" s="27" t="s">
        <v>8</v>
      </c>
    </row>
    <row r="629" spans="1:59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L629" s="27" t="s">
        <v>7</v>
      </c>
      <c r="AW629" s="27" t="s">
        <v>8</v>
      </c>
    </row>
    <row r="630" spans="1:59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L630" s="27" t="s">
        <v>7</v>
      </c>
      <c r="AQ630" s="27" t="s">
        <v>8</v>
      </c>
      <c r="AU630" s="27" t="s">
        <v>8</v>
      </c>
      <c r="AW630" s="27" t="s">
        <v>8</v>
      </c>
    </row>
    <row r="631" spans="1:59" x14ac:dyDescent="0.25">
      <c r="A631" s="7">
        <v>0.41840073856012971</v>
      </c>
      <c r="B631"/>
      <c r="C631"/>
      <c r="D631"/>
      <c r="E631"/>
      <c r="F631" s="27" t="s">
        <v>7</v>
      </c>
      <c r="L631" s="27" t="s">
        <v>7</v>
      </c>
      <c r="AQ631" s="27" t="s">
        <v>8</v>
      </c>
      <c r="AR631" s="27" t="s">
        <v>7</v>
      </c>
      <c r="AU631" s="27" t="s">
        <v>8</v>
      </c>
      <c r="AV631" s="27" t="s">
        <v>7</v>
      </c>
      <c r="AW631" s="27" t="s">
        <v>8</v>
      </c>
    </row>
    <row r="632" spans="1:59" x14ac:dyDescent="0.25">
      <c r="A632" s="7">
        <v>0.41019680250993112</v>
      </c>
      <c r="B632"/>
      <c r="C632"/>
      <c r="D632"/>
      <c r="E632"/>
      <c r="L632" s="27" t="s">
        <v>7</v>
      </c>
      <c r="AQ632" s="27" t="s">
        <v>8</v>
      </c>
      <c r="AR632" s="27" t="s">
        <v>7</v>
      </c>
      <c r="AU632" s="27" t="s">
        <v>8</v>
      </c>
      <c r="AV632" s="27" t="s">
        <v>7</v>
      </c>
      <c r="AW632" s="27" t="s">
        <v>8</v>
      </c>
    </row>
    <row r="633" spans="1:59" x14ac:dyDescent="0.25">
      <c r="A633" s="7">
        <v>0.40215372795091286</v>
      </c>
      <c r="B633"/>
      <c r="C633"/>
      <c r="D633"/>
      <c r="E633"/>
      <c r="L633" s="27" t="s">
        <v>7</v>
      </c>
      <c r="AQ633" s="27" t="s">
        <v>8</v>
      </c>
      <c r="AR633" s="27" t="s">
        <v>7</v>
      </c>
      <c r="AS633" s="27" t="s">
        <v>8</v>
      </c>
      <c r="AU633" s="27" t="s">
        <v>8</v>
      </c>
      <c r="AV633" s="27" t="s">
        <v>7</v>
      </c>
      <c r="AW633" s="27" t="s">
        <v>8</v>
      </c>
    </row>
    <row r="634" spans="1:59" x14ac:dyDescent="0.25">
      <c r="A634" s="7">
        <v>0.39426836073618904</v>
      </c>
      <c r="B634"/>
      <c r="C634"/>
      <c r="D634"/>
      <c r="E634"/>
      <c r="L634" s="27" t="s">
        <v>7</v>
      </c>
      <c r="AQ634" s="27" t="s">
        <v>8</v>
      </c>
      <c r="AR634" s="27" t="s">
        <v>7</v>
      </c>
      <c r="AS634" s="27" t="s">
        <v>8</v>
      </c>
      <c r="AT634" s="27" t="s">
        <v>7</v>
      </c>
      <c r="AU634" s="27" t="s">
        <v>8</v>
      </c>
      <c r="AV634" s="27" t="s">
        <v>7</v>
      </c>
      <c r="AW634" s="27" t="s">
        <v>8</v>
      </c>
    </row>
    <row r="635" spans="1:59" x14ac:dyDescent="0.25">
      <c r="A635" s="7">
        <v>0.38653760856489122</v>
      </c>
      <c r="B635"/>
      <c r="C635"/>
      <c r="D635"/>
      <c r="E635"/>
      <c r="L635" s="27" t="s">
        <v>7</v>
      </c>
      <c r="O635" s="27" t="s">
        <v>8</v>
      </c>
      <c r="AQ635" s="27" t="s">
        <v>8</v>
      </c>
      <c r="AR635" s="27" t="s">
        <v>7</v>
      </c>
      <c r="AS635" s="27" t="s">
        <v>8</v>
      </c>
      <c r="AT635" s="27" t="s">
        <v>7</v>
      </c>
      <c r="AU635" s="27" t="s">
        <v>8</v>
      </c>
      <c r="AV635" s="27" t="s">
        <v>7</v>
      </c>
    </row>
    <row r="636" spans="1:59" x14ac:dyDescent="0.25">
      <c r="A636" s="7">
        <v>0.37895843976950117</v>
      </c>
      <c r="B636"/>
      <c r="C636"/>
      <c r="D636"/>
      <c r="E636"/>
      <c r="L636" s="27" t="s">
        <v>7</v>
      </c>
      <c r="O636" s="27" t="s">
        <v>8</v>
      </c>
      <c r="P636" s="27" t="s">
        <v>7</v>
      </c>
      <c r="AQ636" s="27" t="s">
        <v>8</v>
      </c>
      <c r="AR636" s="27" t="s">
        <v>7</v>
      </c>
      <c r="AS636" s="27" t="s">
        <v>8</v>
      </c>
      <c r="AT636" s="27" t="s">
        <v>7</v>
      </c>
    </row>
    <row r="637" spans="1:59" x14ac:dyDescent="0.25">
      <c r="A637" s="7">
        <v>0.37152788212696197</v>
      </c>
      <c r="B637"/>
      <c r="C637"/>
      <c r="D637"/>
      <c r="E637"/>
      <c r="L637" s="27" t="s">
        <v>7</v>
      </c>
      <c r="O637" s="27" t="s">
        <v>8</v>
      </c>
      <c r="P637" s="27" t="s">
        <v>7</v>
      </c>
      <c r="AQ637" s="27" t="s">
        <v>8</v>
      </c>
      <c r="AR637" s="27" t="s">
        <v>7</v>
      </c>
      <c r="AS637" s="27" t="s">
        <v>8</v>
      </c>
    </row>
    <row r="638" spans="1:59" x14ac:dyDescent="0.25">
      <c r="A638" s="7">
        <v>0.36424302169310002</v>
      </c>
      <c r="B638"/>
      <c r="C638"/>
      <c r="D638"/>
      <c r="E638"/>
      <c r="L638" s="27" t="s">
        <v>7</v>
      </c>
      <c r="O638" s="27" t="s">
        <v>8</v>
      </c>
      <c r="P638" s="27" t="s">
        <v>7</v>
      </c>
      <c r="AQ638" s="27" t="s">
        <v>8</v>
      </c>
      <c r="AR638" s="27" t="s">
        <v>7</v>
      </c>
      <c r="AS638" s="27" t="s">
        <v>8</v>
      </c>
    </row>
    <row r="639" spans="1:59" x14ac:dyDescent="0.25">
      <c r="A639" s="7">
        <v>0.35710100165990194</v>
      </c>
      <c r="B639"/>
      <c r="C639"/>
      <c r="D639"/>
      <c r="E639"/>
      <c r="L639" s="27" t="s">
        <v>7</v>
      </c>
      <c r="O639" s="27" t="s">
        <v>8</v>
      </c>
      <c r="P639" s="27" t="s">
        <v>7</v>
      </c>
      <c r="S639" s="27" t="s">
        <v>8</v>
      </c>
      <c r="Y639" s="27" t="s">
        <v>8</v>
      </c>
      <c r="AQ639" s="27" t="s">
        <v>8</v>
      </c>
      <c r="AR639" s="27" t="s">
        <v>7</v>
      </c>
      <c r="AS639" s="27" t="s">
        <v>8</v>
      </c>
    </row>
    <row r="640" spans="1:59" x14ac:dyDescent="0.25">
      <c r="A640" s="7">
        <v>0.35009902123519804</v>
      </c>
      <c r="B640"/>
      <c r="C640"/>
      <c r="D640"/>
      <c r="E640"/>
      <c r="L640" s="27" t="s">
        <v>7</v>
      </c>
      <c r="O640" s="27" t="s">
        <v>8</v>
      </c>
      <c r="P640" s="27" t="s">
        <v>7</v>
      </c>
      <c r="S640" s="27" t="s">
        <v>8</v>
      </c>
      <c r="T640" s="27" t="s">
        <v>7</v>
      </c>
      <c r="Y640" s="27" t="s">
        <v>8</v>
      </c>
      <c r="Z640" s="27" t="s">
        <v>7</v>
      </c>
      <c r="AQ640" s="27" t="s">
        <v>8</v>
      </c>
      <c r="AR640" s="27" t="s">
        <v>7</v>
      </c>
      <c r="AS640" s="27" t="s">
        <v>8</v>
      </c>
    </row>
    <row r="641" spans="1:44" x14ac:dyDescent="0.25">
      <c r="A641" s="7">
        <v>0.34323433454431179</v>
      </c>
      <c r="B641"/>
      <c r="C641"/>
      <c r="D641"/>
      <c r="E641"/>
      <c r="L641" s="27" t="s">
        <v>7</v>
      </c>
      <c r="O641" s="27" t="s">
        <v>8</v>
      </c>
      <c r="P641" s="27" t="s">
        <v>7</v>
      </c>
      <c r="Q641" s="27" t="s">
        <v>8</v>
      </c>
      <c r="S641" s="27" t="s">
        <v>8</v>
      </c>
      <c r="T641" s="27" t="s">
        <v>7</v>
      </c>
      <c r="Y641" s="27" t="s">
        <v>8</v>
      </c>
      <c r="Z641" s="27" t="s">
        <v>7</v>
      </c>
      <c r="AQ641" s="27" t="s">
        <v>8</v>
      </c>
      <c r="AR641" s="27" t="s">
        <v>7</v>
      </c>
    </row>
    <row r="642" spans="1:44" x14ac:dyDescent="0.25">
      <c r="A642" s="7">
        <v>0.33650424955324681</v>
      </c>
      <c r="B642"/>
      <c r="C642"/>
      <c r="D642"/>
      <c r="E642"/>
      <c r="L642" s="27" t="s">
        <v>7</v>
      </c>
      <c r="M642" s="27" t="s">
        <v>8</v>
      </c>
      <c r="O642" s="27" t="s">
        <v>8</v>
      </c>
      <c r="P642" s="27" t="s">
        <v>7</v>
      </c>
      <c r="Q642" s="27" t="s">
        <v>8</v>
      </c>
      <c r="R642" s="27" t="s">
        <v>7</v>
      </c>
      <c r="S642" s="27" t="s">
        <v>8</v>
      </c>
      <c r="T642" s="27" t="s">
        <v>7</v>
      </c>
      <c r="W642" s="27" t="s">
        <v>8</v>
      </c>
      <c r="Y642" s="27" t="s">
        <v>8</v>
      </c>
      <c r="Z642" s="27" t="s">
        <v>7</v>
      </c>
      <c r="AE642" s="27" t="s">
        <v>8</v>
      </c>
      <c r="AG642" s="27" t="s">
        <v>8</v>
      </c>
      <c r="AQ642" s="27" t="s">
        <v>8</v>
      </c>
    </row>
    <row r="643" spans="1:44" x14ac:dyDescent="0.25">
      <c r="A643" s="7">
        <v>0.3299061270129871</v>
      </c>
      <c r="B643"/>
      <c r="C643"/>
      <c r="D643"/>
      <c r="E643"/>
      <c r="L643" s="27" t="s">
        <v>7</v>
      </c>
      <c r="M643" s="27" t="s">
        <v>8</v>
      </c>
      <c r="N643" s="27" t="s">
        <v>7</v>
      </c>
      <c r="O643" s="27" t="s">
        <v>8</v>
      </c>
      <c r="P643" s="27" t="s">
        <v>7</v>
      </c>
      <c r="Q643" s="27" t="s">
        <v>8</v>
      </c>
      <c r="R643" s="27" t="s">
        <v>7</v>
      </c>
      <c r="S643" s="27" t="s">
        <v>8</v>
      </c>
      <c r="T643" s="27" t="s">
        <v>7</v>
      </c>
      <c r="U643" s="27" t="s">
        <v>8</v>
      </c>
      <c r="W643" s="27" t="s">
        <v>8</v>
      </c>
      <c r="X643" s="27" t="s">
        <v>7</v>
      </c>
      <c r="Y643" s="27" t="s">
        <v>8</v>
      </c>
      <c r="Z643" s="27" t="s">
        <v>7</v>
      </c>
      <c r="AA643" s="27" t="s">
        <v>8</v>
      </c>
      <c r="AE643" s="27" t="s">
        <v>8</v>
      </c>
      <c r="AF643" s="27" t="s">
        <v>7</v>
      </c>
      <c r="AG643" s="27" t="s">
        <v>8</v>
      </c>
      <c r="AH643" s="27" t="s">
        <v>7</v>
      </c>
      <c r="AI643" s="27" t="s">
        <v>8</v>
      </c>
      <c r="AK643" s="27" t="s">
        <v>8</v>
      </c>
      <c r="AO643" s="27" t="s">
        <v>8</v>
      </c>
      <c r="AQ643" s="27" t="s">
        <v>8</v>
      </c>
    </row>
    <row r="644" spans="1:44" x14ac:dyDescent="0.25">
      <c r="A644" s="7">
        <v>0.32343737942449713</v>
      </c>
      <c r="B644"/>
      <c r="C644"/>
      <c r="D644"/>
      <c r="E644"/>
      <c r="L644" s="27" t="s">
        <v>7</v>
      </c>
      <c r="M644" s="27" t="s">
        <v>8</v>
      </c>
      <c r="N644" s="27" t="s">
        <v>7</v>
      </c>
      <c r="O644" s="27" t="s">
        <v>8</v>
      </c>
      <c r="P644" s="27" t="s">
        <v>7</v>
      </c>
      <c r="Q644" s="27" t="s">
        <v>8</v>
      </c>
      <c r="R644" s="27" t="s">
        <v>7</v>
      </c>
      <c r="S644" s="27" t="s">
        <v>8</v>
      </c>
      <c r="T644" s="27" t="s">
        <v>7</v>
      </c>
      <c r="U644" s="27" t="s">
        <v>8</v>
      </c>
      <c r="V644" s="27" t="s">
        <v>7</v>
      </c>
      <c r="W644" s="27" t="s">
        <v>8</v>
      </c>
      <c r="X644" s="27" t="s">
        <v>7</v>
      </c>
      <c r="Y644" s="27" t="s">
        <v>8</v>
      </c>
      <c r="Z644" s="27" t="s">
        <v>7</v>
      </c>
      <c r="AA644" s="27" t="s">
        <v>8</v>
      </c>
      <c r="AB644" s="27" t="s">
        <v>7</v>
      </c>
      <c r="AC644" s="27" t="s">
        <v>8</v>
      </c>
      <c r="AE644" s="27" t="s">
        <v>8</v>
      </c>
      <c r="AF644" s="27" t="s">
        <v>7</v>
      </c>
      <c r="AG644" s="27" t="s">
        <v>8</v>
      </c>
      <c r="AH644" s="27" t="s">
        <v>7</v>
      </c>
      <c r="AI644" s="27" t="s">
        <v>8</v>
      </c>
      <c r="AJ644" s="27" t="s">
        <v>7</v>
      </c>
      <c r="AK644" s="27" t="s">
        <v>8</v>
      </c>
      <c r="AL644" s="27" t="s">
        <v>7</v>
      </c>
      <c r="AO644" s="27" t="s">
        <v>8</v>
      </c>
      <c r="AP644" s="27" t="s">
        <v>7</v>
      </c>
      <c r="AQ644" s="27" t="s">
        <v>8</v>
      </c>
    </row>
    <row r="645" spans="1:44" x14ac:dyDescent="0.25">
      <c r="A645" s="7">
        <v>0.31709547002401678</v>
      </c>
      <c r="B645"/>
      <c r="C645"/>
      <c r="D645"/>
      <c r="E645"/>
      <c r="L645" s="27" t="s">
        <v>7</v>
      </c>
      <c r="M645" s="27" t="s">
        <v>8</v>
      </c>
      <c r="N645" s="27" t="s">
        <v>7</v>
      </c>
      <c r="O645" s="27" t="s">
        <v>8</v>
      </c>
      <c r="P645" s="27" t="s">
        <v>7</v>
      </c>
      <c r="R645" s="27" t="s">
        <v>7</v>
      </c>
      <c r="S645" s="27" t="s">
        <v>8</v>
      </c>
      <c r="T645" s="27" t="s">
        <v>7</v>
      </c>
      <c r="U645" s="27" t="s">
        <v>8</v>
      </c>
      <c r="V645" s="27" t="s">
        <v>7</v>
      </c>
      <c r="W645" s="27" t="s">
        <v>8</v>
      </c>
      <c r="X645" s="27" t="s">
        <v>7</v>
      </c>
      <c r="Y645" s="27" t="s">
        <v>8</v>
      </c>
      <c r="Z645" s="27" t="s">
        <v>7</v>
      </c>
      <c r="AA645" s="27" t="s">
        <v>8</v>
      </c>
      <c r="AB645" s="27" t="s">
        <v>7</v>
      </c>
      <c r="AC645" s="27" t="s">
        <v>8</v>
      </c>
      <c r="AD645" s="27" t="s">
        <v>7</v>
      </c>
      <c r="AE645" s="27" t="s">
        <v>8</v>
      </c>
      <c r="AF645" s="27" t="s">
        <v>7</v>
      </c>
      <c r="AH645" s="27" t="s">
        <v>7</v>
      </c>
      <c r="AI645" s="27" t="s">
        <v>8</v>
      </c>
      <c r="AJ645" s="27" t="s">
        <v>7</v>
      </c>
      <c r="AK645" s="27" t="s">
        <v>8</v>
      </c>
      <c r="AL645" s="27" t="s">
        <v>7</v>
      </c>
      <c r="AO645" s="27" t="s">
        <v>8</v>
      </c>
      <c r="AP645" s="27" t="s">
        <v>7</v>
      </c>
      <c r="AQ645" s="27" t="s">
        <v>8</v>
      </c>
    </row>
    <row r="646" spans="1:44" x14ac:dyDescent="0.25">
      <c r="A646" s="7">
        <v>0.31087791178825175</v>
      </c>
      <c r="B646"/>
      <c r="C646"/>
      <c r="D646"/>
      <c r="E646"/>
      <c r="L646" s="27" t="s">
        <v>7</v>
      </c>
      <c r="N646" s="27" t="s">
        <v>7</v>
      </c>
      <c r="R646" s="27" t="s">
        <v>7</v>
      </c>
      <c r="T646" s="27" t="s">
        <v>7</v>
      </c>
      <c r="V646" s="27" t="s">
        <v>7</v>
      </c>
      <c r="W646" s="27" t="s">
        <v>8</v>
      </c>
      <c r="X646" s="27" t="s">
        <v>7</v>
      </c>
      <c r="Z646" s="27" t="s">
        <v>7</v>
      </c>
      <c r="AA646" s="27" t="s">
        <v>8</v>
      </c>
      <c r="AB646" s="27" t="s">
        <v>7</v>
      </c>
      <c r="AC646" s="27" t="s">
        <v>8</v>
      </c>
      <c r="AD646" s="27" t="s">
        <v>7</v>
      </c>
      <c r="AE646" s="27" t="s">
        <v>8</v>
      </c>
      <c r="AH646" s="27" t="s">
        <v>7</v>
      </c>
      <c r="AJ646" s="27" t="s">
        <v>7</v>
      </c>
      <c r="AL646" s="27" t="s">
        <v>7</v>
      </c>
      <c r="AM646" s="27" t="s">
        <v>8</v>
      </c>
      <c r="AO646" s="27" t="s">
        <v>8</v>
      </c>
      <c r="AP646" s="27" t="s">
        <v>7</v>
      </c>
      <c r="AQ646" s="27" t="s">
        <v>8</v>
      </c>
    </row>
    <row r="647" spans="1:44" x14ac:dyDescent="0.25">
      <c r="A647" s="7">
        <v>0.30478226645907036</v>
      </c>
      <c r="B647"/>
      <c r="C647"/>
      <c r="D647"/>
      <c r="E647"/>
      <c r="V647" s="27" t="s">
        <v>7</v>
      </c>
      <c r="W647" s="27" t="s">
        <v>8</v>
      </c>
      <c r="Z647" s="27" t="s">
        <v>7</v>
      </c>
      <c r="AA647" s="27" t="s">
        <v>8</v>
      </c>
      <c r="AB647" s="27" t="s">
        <v>7</v>
      </c>
      <c r="AD647" s="27" t="s">
        <v>7</v>
      </c>
      <c r="AE647" s="27" t="s">
        <v>8</v>
      </c>
      <c r="AL647" s="27" t="s">
        <v>7</v>
      </c>
      <c r="AM647" s="27" t="s">
        <v>8</v>
      </c>
      <c r="AN647" s="27" t="s">
        <v>7</v>
      </c>
      <c r="AO647" s="27" t="s">
        <v>8</v>
      </c>
      <c r="AP647" s="27" t="s">
        <v>7</v>
      </c>
      <c r="AQ647" s="27" t="s">
        <v>8</v>
      </c>
    </row>
    <row r="648" spans="1:44" x14ac:dyDescent="0.25">
      <c r="A648" s="7">
        <v>0.29880614358732388</v>
      </c>
      <c r="B648"/>
      <c r="C648"/>
      <c r="D648"/>
      <c r="E648"/>
      <c r="V648" s="27" t="s">
        <v>7</v>
      </c>
      <c r="W648" s="27" t="s">
        <v>8</v>
      </c>
      <c r="Z648" s="27" t="s">
        <v>7</v>
      </c>
      <c r="AA648" s="27" t="s">
        <v>8</v>
      </c>
      <c r="AD648" s="27" t="s">
        <v>7</v>
      </c>
      <c r="AE648" s="27" t="s">
        <v>8</v>
      </c>
      <c r="AL648" s="27" t="s">
        <v>7</v>
      </c>
      <c r="AM648" s="27" t="s">
        <v>8</v>
      </c>
      <c r="AN648" s="27" t="s">
        <v>7</v>
      </c>
      <c r="AO648" s="27" t="s">
        <v>8</v>
      </c>
      <c r="AP648" s="27" t="s">
        <v>7</v>
      </c>
      <c r="AQ648" s="27" t="s">
        <v>8</v>
      </c>
    </row>
    <row r="649" spans="1:44" x14ac:dyDescent="0.25">
      <c r="A649" s="7">
        <v>0.2929471995954156</v>
      </c>
      <c r="B649"/>
      <c r="C649"/>
      <c r="D649"/>
      <c r="E649"/>
      <c r="V649" s="27" t="s">
        <v>7</v>
      </c>
      <c r="Z649" s="27" t="s">
        <v>7</v>
      </c>
      <c r="AD649" s="27" t="s">
        <v>7</v>
      </c>
      <c r="AE649" s="27" t="s">
        <v>8</v>
      </c>
      <c r="AL649" s="27" t="s">
        <v>7</v>
      </c>
      <c r="AM649" s="27" t="s">
        <v>8</v>
      </c>
      <c r="AN649" s="27" t="s">
        <v>7</v>
      </c>
      <c r="AP649" s="27" t="s">
        <v>7</v>
      </c>
    </row>
    <row r="650" spans="1:44" x14ac:dyDescent="0.25">
      <c r="A650" s="7">
        <v>0.28720313685825055</v>
      </c>
      <c r="B650"/>
      <c r="C650"/>
      <c r="D650"/>
      <c r="E650"/>
      <c r="AD650" s="27" t="s">
        <v>7</v>
      </c>
      <c r="AL650" s="27" t="s">
        <v>7</v>
      </c>
      <c r="AM650" s="27" t="s">
        <v>8</v>
      </c>
    </row>
    <row r="651" spans="1:44" x14ac:dyDescent="0.25">
      <c r="A651" s="7">
        <v>0.28157170280220645</v>
      </c>
      <c r="B651"/>
      <c r="C651"/>
      <c r="D651"/>
      <c r="E651"/>
      <c r="AL651" s="27" t="s">
        <v>7</v>
      </c>
      <c r="AM651" s="27" t="s">
        <v>8</v>
      </c>
    </row>
    <row r="652" spans="1:44" x14ac:dyDescent="0.25">
      <c r="A652" s="7">
        <v>0.27605068902177105</v>
      </c>
      <c r="B652"/>
      <c r="C652"/>
      <c r="D652"/>
      <c r="E652"/>
      <c r="AL652" s="27" t="s">
        <v>7</v>
      </c>
    </row>
    <row r="653" spans="1:44" x14ac:dyDescent="0.25">
      <c r="A653" s="7">
        <v>0.27063793041350104</v>
      </c>
      <c r="B653"/>
      <c r="C653"/>
      <c r="D653"/>
      <c r="E653"/>
    </row>
    <row r="654" spans="1:44" x14ac:dyDescent="0.25">
      <c r="A654" s="7">
        <v>0.26533130432696184</v>
      </c>
      <c r="B654"/>
      <c r="C654"/>
      <c r="D654"/>
      <c r="E654"/>
    </row>
    <row r="655" spans="1:44" x14ac:dyDescent="0.25">
      <c r="A655" s="7">
        <v>0.26012872973231554</v>
      </c>
      <c r="B655"/>
      <c r="C655"/>
      <c r="D655"/>
      <c r="E655"/>
    </row>
    <row r="656" spans="1:44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30" operator="equal">
      <formula>$U$1</formula>
    </cfRule>
    <cfRule type="cellIs" dxfId="89" priority="931" operator="equal">
      <formula>$S$1</formula>
    </cfRule>
  </conditionalFormatting>
  <conditionalFormatting sqref="D27">
    <cfRule type="cellIs" dxfId="88" priority="928" operator="equal">
      <formula>$S$1</formula>
    </cfRule>
    <cfRule type="cellIs" dxfId="87" priority="929" operator="equal">
      <formula>$U$1</formula>
    </cfRule>
  </conditionalFormatting>
  <conditionalFormatting sqref="C164">
    <cfRule type="cellIs" dxfId="86" priority="926" operator="equal">
      <formula>$U$1</formula>
    </cfRule>
    <cfRule type="cellIs" dxfId="85" priority="927" operator="equal">
      <formula>$S$1</formula>
    </cfRule>
  </conditionalFormatting>
  <conditionalFormatting sqref="D164">
    <cfRule type="cellIs" dxfId="84" priority="924" operator="equal">
      <formula>$S$1</formula>
    </cfRule>
    <cfRule type="cellIs" dxfId="83" priority="925" operator="equal">
      <formula>$U$1</formula>
    </cfRule>
  </conditionalFormatting>
  <conditionalFormatting sqref="C55">
    <cfRule type="cellIs" dxfId="82" priority="922" operator="equal">
      <formula>$U$1</formula>
    </cfRule>
    <cfRule type="cellIs" dxfId="81" priority="923" operator="equal">
      <formula>$S$1</formula>
    </cfRule>
  </conditionalFormatting>
  <conditionalFormatting sqref="D55">
    <cfRule type="cellIs" dxfId="80" priority="920" operator="equal">
      <formula>$S$1</formula>
    </cfRule>
    <cfRule type="cellIs" dxfId="79" priority="921" operator="equal">
      <formula>$U$1</formula>
    </cfRule>
  </conditionalFormatting>
  <conditionalFormatting sqref="C89">
    <cfRule type="cellIs" dxfId="78" priority="918" operator="equal">
      <formula>$U$1</formula>
    </cfRule>
    <cfRule type="cellIs" dxfId="77" priority="919" operator="equal">
      <formula>$S$1</formula>
    </cfRule>
  </conditionalFormatting>
  <conditionalFormatting sqref="D89">
    <cfRule type="cellIs" dxfId="76" priority="916" operator="equal">
      <formula>$S$1</formula>
    </cfRule>
    <cfRule type="cellIs" dxfId="75" priority="917" operator="equal">
      <formula>$U$1</formula>
    </cfRule>
  </conditionalFormatting>
  <conditionalFormatting sqref="C136">
    <cfRule type="cellIs" dxfId="74" priority="914" operator="equal">
      <formula>$U$1</formula>
    </cfRule>
    <cfRule type="cellIs" dxfId="73" priority="915" operator="equal">
      <formula>$S$1</formula>
    </cfRule>
  </conditionalFormatting>
  <conditionalFormatting sqref="D136">
    <cfRule type="cellIs" dxfId="72" priority="912" operator="equal">
      <formula>$S$1</formula>
    </cfRule>
    <cfRule type="cellIs" dxfId="71" priority="913" operator="equal">
      <formula>$U$1</formula>
    </cfRule>
  </conditionalFormatting>
  <conditionalFormatting sqref="C1">
    <cfRule type="cellIs" dxfId="70" priority="91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32" zoomScale="90" zoomScaleNormal="90" workbookViewId="0">
      <pane xSplit="4" topLeftCell="BL1" activePane="topRight" state="frozen"/>
      <selection activeCell="A109" sqref="A109"/>
      <selection pane="topRight" activeCell="DL157" sqref="DL15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$A$156</v>
      </c>
      <c r="D111" s="1" t="str">
        <f>ADDRESS(C121-1,D121,1,1)</f>
        <v>$DL$156</v>
      </c>
      <c r="E111"/>
    </row>
    <row r="112" spans="1:5" x14ac:dyDescent="0.25">
      <c r="A112" s="30">
        <v>515.50191262726139</v>
      </c>
      <c r="C112" s="1" t="str">
        <f>ADDRESS(C121,1,1,1)</f>
        <v>$A$157</v>
      </c>
      <c r="D112" s="1" t="str">
        <f>ADDRESS(C121,D121-1,1,1)</f>
        <v>$DK$157</v>
      </c>
      <c r="E112"/>
    </row>
    <row r="113" spans="1:5" x14ac:dyDescent="0.25">
      <c r="A113" s="30">
        <v>490.95420250215363</v>
      </c>
      <c r="C113" s="1" t="str">
        <f>ADDRESS(C121+1,1,1,1)</f>
        <v>$A$158</v>
      </c>
      <c r="D113" s="1" t="str">
        <f>ADDRESS(C121-1,D121+1,1,1)</f>
        <v>$DM$156</v>
      </c>
    </row>
    <row r="114" spans="1:5" x14ac:dyDescent="0.25">
      <c r="A114" s="30">
        <v>467.57543095443202</v>
      </c>
      <c r="C114" s="1" t="str">
        <f>ADDRESS(C121,D121,1,1)</f>
        <v>$DL$157</v>
      </c>
      <c r="D114" s="1" t="str">
        <f>ADDRESS(C121+1,D121+1,1,1)</f>
        <v>$DM$158</v>
      </c>
    </row>
    <row r="115" spans="1:5" x14ac:dyDescent="0.25">
      <c r="A115" s="30">
        <v>445.30993424231622</v>
      </c>
      <c r="C115" s="1" t="str">
        <f>ADDRESS(C121+1,D121,1,1)</f>
        <v>$DL$158</v>
      </c>
    </row>
    <row r="116" spans="1:5" x14ac:dyDescent="0.25">
      <c r="A116" s="30">
        <v>424.10469927839637</v>
      </c>
      <c r="C116" s="1">
        <f>C117-1</f>
        <v>156</v>
      </c>
    </row>
    <row r="117" spans="1:5" x14ac:dyDescent="0.25">
      <c r="A117" s="30">
        <v>403.9092374079965</v>
      </c>
      <c r="C117" s="1">
        <f>C121</f>
        <v>157</v>
      </c>
      <c r="D117" s="1">
        <f>D121</f>
        <v>116</v>
      </c>
    </row>
    <row r="118" spans="1:5" x14ac:dyDescent="0.25">
      <c r="A118" s="30">
        <v>384.6754641980919</v>
      </c>
      <c r="C118" s="1">
        <f>C117+1</f>
        <v>158</v>
      </c>
      <c r="D118" s="1">
        <f>D117+1</f>
        <v>117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157</v>
      </c>
      <c r="D121" s="19">
        <v>116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R157</v>
      </c>
      <c r="D123" s="1" t="str">
        <f>"C"&amp;D121</f>
        <v>C116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57.373563215003678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116" x14ac:dyDescent="0.25">
      <c r="A145" s="30">
        <v>103.03467644609493</v>
      </c>
      <c r="E145"/>
      <c r="DG145" s="27" t="s">
        <v>8</v>
      </c>
    </row>
    <row r="146" spans="1:116" x14ac:dyDescent="0.25">
      <c r="A146" s="30">
        <v>98.128263281995174</v>
      </c>
      <c r="E146"/>
      <c r="DE146" s="27" t="s">
        <v>8</v>
      </c>
      <c r="DG146" s="27" t="s">
        <v>8</v>
      </c>
      <c r="DH146" s="27" t="s">
        <v>7</v>
      </c>
    </row>
    <row r="147" spans="1:116" x14ac:dyDescent="0.25">
      <c r="A147" s="30">
        <v>93.455488839995397</v>
      </c>
      <c r="E147"/>
      <c r="DE147" s="27" t="s">
        <v>8</v>
      </c>
      <c r="DF147" s="27" t="s">
        <v>7</v>
      </c>
      <c r="DG147" s="27" t="s">
        <v>8</v>
      </c>
      <c r="DH147" s="27" t="s">
        <v>7</v>
      </c>
    </row>
    <row r="148" spans="1:116" x14ac:dyDescent="0.25">
      <c r="A148" s="30">
        <v>89.005227466662276</v>
      </c>
      <c r="E148"/>
      <c r="DE148" s="27" t="s">
        <v>8</v>
      </c>
      <c r="DF148" s="27" t="s">
        <v>7</v>
      </c>
      <c r="DG148" s="27" t="s">
        <v>8</v>
      </c>
      <c r="DH148" s="27" t="s">
        <v>7</v>
      </c>
    </row>
    <row r="149" spans="1:116" x14ac:dyDescent="0.25">
      <c r="A149" s="30">
        <v>84.766883301583121</v>
      </c>
      <c r="E149"/>
      <c r="DE149" s="27" t="s">
        <v>8</v>
      </c>
      <c r="DF149" s="27" t="s">
        <v>7</v>
      </c>
      <c r="DH149" s="27" t="s">
        <v>7</v>
      </c>
      <c r="DI149" s="27" t="s">
        <v>8</v>
      </c>
    </row>
    <row r="150" spans="1:116" x14ac:dyDescent="0.25">
      <c r="A150" s="30">
        <v>80.730365049126775</v>
      </c>
      <c r="E150"/>
      <c r="DE150" s="27" t="s">
        <v>8</v>
      </c>
      <c r="DH150" s="27" t="s">
        <v>7</v>
      </c>
      <c r="DI150" s="27" t="s">
        <v>8</v>
      </c>
      <c r="DJ150" s="27" t="s">
        <v>7</v>
      </c>
    </row>
    <row r="151" spans="1:116" x14ac:dyDescent="0.25">
      <c r="A151" s="30">
        <v>76.886061951549308</v>
      </c>
      <c r="E151"/>
      <c r="DA151" s="27" t="s">
        <v>8</v>
      </c>
      <c r="DE151" s="27" t="s">
        <v>8</v>
      </c>
      <c r="DH151" s="27" t="s">
        <v>7</v>
      </c>
      <c r="DI151" s="27" t="s">
        <v>8</v>
      </c>
      <c r="DJ151" s="27" t="s">
        <v>7</v>
      </c>
    </row>
    <row r="152" spans="1:116" x14ac:dyDescent="0.25">
      <c r="A152" s="30">
        <v>73.22482090623744</v>
      </c>
      <c r="E152"/>
      <c r="DA152" s="27" t="s">
        <v>8</v>
      </c>
      <c r="DB152" s="27" t="s">
        <v>7</v>
      </c>
      <c r="DC152" s="27" t="s">
        <v>8</v>
      </c>
      <c r="DE152" s="27" t="s">
        <v>8</v>
      </c>
      <c r="DH152" s="27" t="s">
        <v>7</v>
      </c>
      <c r="DI152" s="27" t="s">
        <v>8</v>
      </c>
      <c r="DJ152" s="27" t="s">
        <v>7</v>
      </c>
    </row>
    <row r="153" spans="1:116" x14ac:dyDescent="0.25">
      <c r="A153" s="30">
        <v>69.737924672607079</v>
      </c>
      <c r="C153" s="7"/>
      <c r="D153"/>
      <c r="E153"/>
      <c r="DA153" s="27" t="s">
        <v>8</v>
      </c>
      <c r="DB153" s="27" t="s">
        <v>7</v>
      </c>
      <c r="DC153" s="27" t="s">
        <v>8</v>
      </c>
      <c r="DD153" s="27" t="s">
        <v>7</v>
      </c>
      <c r="DE153" s="27" t="s">
        <v>8</v>
      </c>
      <c r="DH153" s="27" t="s">
        <v>7</v>
      </c>
      <c r="DI153" s="27" t="s">
        <v>8</v>
      </c>
      <c r="DJ153" s="27" t="s">
        <v>7</v>
      </c>
      <c r="DK153" s="27" t="s">
        <v>8</v>
      </c>
    </row>
    <row r="154" spans="1:116" x14ac:dyDescent="0.25">
      <c r="A154" s="30">
        <v>66.417071116768639</v>
      </c>
      <c r="E154"/>
      <c r="DA154" s="27" t="s">
        <v>8</v>
      </c>
      <c r="DB154" s="27" t="s">
        <v>7</v>
      </c>
      <c r="DC154" s="27" t="s">
        <v>8</v>
      </c>
      <c r="DD154" s="27" t="s">
        <v>7</v>
      </c>
      <c r="DE154" s="27" t="s">
        <v>8</v>
      </c>
      <c r="DH154" s="27" t="s">
        <v>7</v>
      </c>
      <c r="DI154" s="27" t="s">
        <v>8</v>
      </c>
      <c r="DJ154" s="27" t="s">
        <v>7</v>
      </c>
      <c r="DK154" s="27" t="s">
        <v>8</v>
      </c>
      <c r="DL154" s="27" t="s">
        <v>7</v>
      </c>
    </row>
    <row r="155" spans="1:116" x14ac:dyDescent="0.25">
      <c r="A155" s="30">
        <v>63.254353444541557</v>
      </c>
      <c r="E155"/>
      <c r="DA155" s="27" t="s">
        <v>8</v>
      </c>
      <c r="DB155" s="27" t="s">
        <v>7</v>
      </c>
      <c r="DC155" s="27" t="s">
        <v>8</v>
      </c>
      <c r="DD155" s="27" t="s">
        <v>7</v>
      </c>
      <c r="DE155" s="27" t="s">
        <v>8</v>
      </c>
      <c r="DH155" s="27" t="s">
        <v>7</v>
      </c>
      <c r="DJ155" s="27" t="s">
        <v>7</v>
      </c>
      <c r="DK155" s="27" t="s">
        <v>8</v>
      </c>
      <c r="DL155" s="27" t="s">
        <v>7</v>
      </c>
    </row>
    <row r="156" spans="1:116" x14ac:dyDescent="0.25">
      <c r="A156" s="30">
        <v>60.242241375753864</v>
      </c>
      <c r="C156"/>
      <c r="D156"/>
      <c r="E156"/>
      <c r="DA156" s="27" t="s">
        <v>8</v>
      </c>
      <c r="DB156" s="27" t="s">
        <v>7</v>
      </c>
      <c r="DD156" s="27" t="s">
        <v>7</v>
      </c>
      <c r="DE156" s="27" t="s">
        <v>8</v>
      </c>
      <c r="DJ156" s="27" t="s">
        <v>7</v>
      </c>
      <c r="DK156" s="27" t="s">
        <v>8</v>
      </c>
      <c r="DL156" s="27" t="s">
        <v>7</v>
      </c>
    </row>
    <row r="157" spans="1:116" x14ac:dyDescent="0.25">
      <c r="A157" s="30">
        <v>57.373563215003678</v>
      </c>
      <c r="E157"/>
      <c r="DA157" s="27" t="s">
        <v>8</v>
      </c>
      <c r="DD157" s="27" t="s">
        <v>7</v>
      </c>
      <c r="DE157" s="27" t="s">
        <v>8</v>
      </c>
      <c r="DJ157" s="27" t="s">
        <v>7</v>
      </c>
      <c r="DK157" s="27" t="s">
        <v>8</v>
      </c>
      <c r="DL157" s="27" t="s">
        <v>7</v>
      </c>
    </row>
    <row r="158" spans="1:116" x14ac:dyDescent="0.25">
      <c r="A158" s="30">
        <v>54.641488776193974</v>
      </c>
      <c r="E158"/>
      <c r="CU158" s="27" t="s">
        <v>8</v>
      </c>
      <c r="DA158" s="27" t="s">
        <v>8</v>
      </c>
      <c r="DD158" s="27" t="s">
        <v>7</v>
      </c>
      <c r="DE158" s="27" t="s">
        <v>8</v>
      </c>
      <c r="DJ158" s="27" t="s">
        <v>7</v>
      </c>
    </row>
    <row r="159" spans="1:116" x14ac:dyDescent="0.25">
      <c r="A159" s="30">
        <v>52.039513120184736</v>
      </c>
      <c r="E159"/>
      <c r="CU159" s="27" t="s">
        <v>8</v>
      </c>
      <c r="CV159" s="27" t="s">
        <v>7</v>
      </c>
      <c r="CW159" s="27" t="s">
        <v>8</v>
      </c>
      <c r="DA159" s="27" t="s">
        <v>8</v>
      </c>
      <c r="DD159" s="27" t="s">
        <v>7</v>
      </c>
    </row>
    <row r="160" spans="1:116" x14ac:dyDescent="0.25">
      <c r="A160" s="30">
        <v>49.561441066842605</v>
      </c>
      <c r="C160"/>
      <c r="E160"/>
      <c r="CU160" s="27" t="s">
        <v>8</v>
      </c>
      <c r="CV160" s="27" t="s">
        <v>7</v>
      </c>
      <c r="CW160" s="27" t="s">
        <v>8</v>
      </c>
      <c r="CX160" s="27" t="s">
        <v>7</v>
      </c>
      <c r="DA160" s="27" t="s">
        <v>8</v>
      </c>
    </row>
    <row r="161" spans="1:111" x14ac:dyDescent="0.25">
      <c r="A161" s="30">
        <v>47.201372444612005</v>
      </c>
      <c r="E161"/>
      <c r="CO161" s="27" t="s">
        <v>8</v>
      </c>
      <c r="CQ161" s="27" t="s">
        <v>8</v>
      </c>
      <c r="CU161" s="27" t="s">
        <v>8</v>
      </c>
      <c r="CV161" s="27" t="s">
        <v>7</v>
      </c>
      <c r="CW161" s="27" t="s">
        <v>8</v>
      </c>
      <c r="CX161" s="27" t="s">
        <v>7</v>
      </c>
      <c r="DA161" s="27" t="s">
        <v>8</v>
      </c>
    </row>
    <row r="162" spans="1:111" x14ac:dyDescent="0.25">
      <c r="A162" s="30">
        <v>44.95368804248762</v>
      </c>
      <c r="E162"/>
      <c r="CI162" s="27" t="s">
        <v>8</v>
      </c>
      <c r="CO162" s="27" t="s">
        <v>8</v>
      </c>
      <c r="CP162" s="27" t="s">
        <v>7</v>
      </c>
      <c r="CQ162" s="27" t="s">
        <v>8</v>
      </c>
      <c r="CR162" s="27" t="s">
        <v>7</v>
      </c>
      <c r="CS162" s="27" t="s">
        <v>8</v>
      </c>
      <c r="CU162" s="27" t="s">
        <v>8</v>
      </c>
      <c r="CV162" s="27" t="s">
        <v>7</v>
      </c>
      <c r="CX162" s="27" t="s">
        <v>7</v>
      </c>
      <c r="CY162" s="27" t="s">
        <v>8</v>
      </c>
      <c r="DA162" s="27" t="s">
        <v>8</v>
      </c>
    </row>
    <row r="163" spans="1:111" x14ac:dyDescent="0.25">
      <c r="A163" s="30">
        <v>42.81303623094059</v>
      </c>
      <c r="E163"/>
      <c r="CI163" s="27" t="s">
        <v>8</v>
      </c>
      <c r="CJ163" s="27" t="s">
        <v>7</v>
      </c>
      <c r="CO163" s="27" t="s">
        <v>8</v>
      </c>
      <c r="CP163" s="27" t="s">
        <v>7</v>
      </c>
      <c r="CQ163" s="27" t="s">
        <v>8</v>
      </c>
      <c r="CR163" s="27" t="s">
        <v>7</v>
      </c>
      <c r="CS163" s="27" t="s">
        <v>8</v>
      </c>
      <c r="CT163" s="27" t="s">
        <v>7</v>
      </c>
      <c r="CU163" s="27" t="s">
        <v>8</v>
      </c>
      <c r="CX163" s="27" t="s">
        <v>7</v>
      </c>
      <c r="CY163" s="27" t="s">
        <v>8</v>
      </c>
      <c r="CZ163" s="27" t="s">
        <v>7</v>
      </c>
      <c r="DA163" s="27" t="s">
        <v>8</v>
      </c>
    </row>
    <row r="164" spans="1:111" x14ac:dyDescent="0.25">
      <c r="A164" s="30">
        <v>40.774320219943419</v>
      </c>
      <c r="E164"/>
      <c r="CI164" s="27" t="s">
        <v>8</v>
      </c>
      <c r="CJ164" s="27" t="s">
        <v>7</v>
      </c>
      <c r="CK164" s="27" t="s">
        <v>8</v>
      </c>
      <c r="CO164" s="27" t="s">
        <v>8</v>
      </c>
      <c r="CP164" s="27" t="s">
        <v>7</v>
      </c>
      <c r="CR164" s="27" t="s">
        <v>7</v>
      </c>
      <c r="CS164" s="27" t="s">
        <v>8</v>
      </c>
      <c r="CT164" s="27" t="s">
        <v>7</v>
      </c>
      <c r="CU164" s="27" t="s">
        <v>8</v>
      </c>
      <c r="CX164" s="27" t="s">
        <v>7</v>
      </c>
      <c r="CY164" s="27" t="s">
        <v>8</v>
      </c>
      <c r="CZ164" s="27" t="s">
        <v>7</v>
      </c>
      <c r="DA164" s="27" t="s">
        <v>8</v>
      </c>
    </row>
    <row r="165" spans="1:111" x14ac:dyDescent="0.25">
      <c r="A165" s="30">
        <v>38.832685923755633</v>
      </c>
      <c r="E165"/>
      <c r="CI165" s="27" t="s">
        <v>8</v>
      </c>
      <c r="CJ165" s="27" t="s">
        <v>7</v>
      </c>
      <c r="CK165" s="27" t="s">
        <v>8</v>
      </c>
      <c r="CL165" s="27" t="s">
        <v>7</v>
      </c>
      <c r="CM165" s="27" t="s">
        <v>8</v>
      </c>
      <c r="CO165" s="27" t="s">
        <v>8</v>
      </c>
      <c r="CR165" s="27" t="s">
        <v>7</v>
      </c>
      <c r="CS165" s="27" t="s">
        <v>8</v>
      </c>
      <c r="CT165" s="27" t="s">
        <v>7</v>
      </c>
      <c r="CX165" s="27" t="s">
        <v>7</v>
      </c>
      <c r="CZ165" s="27" t="s">
        <v>7</v>
      </c>
    </row>
    <row r="166" spans="1:111" x14ac:dyDescent="0.25">
      <c r="A166" s="30">
        <v>36.983510403576794</v>
      </c>
      <c r="E166"/>
      <c r="CI166" s="27" t="s">
        <v>8</v>
      </c>
      <c r="CJ166" s="27" t="s">
        <v>7</v>
      </c>
      <c r="CK166" s="27" t="s">
        <v>8</v>
      </c>
      <c r="CL166" s="27" t="s">
        <v>7</v>
      </c>
      <c r="CM166" s="27" t="s">
        <v>8</v>
      </c>
      <c r="CN166" s="27" t="s">
        <v>7</v>
      </c>
      <c r="CO166" s="27" t="s">
        <v>8</v>
      </c>
      <c r="CR166" s="27" t="s">
        <v>7</v>
      </c>
      <c r="CS166" s="27" t="s">
        <v>8</v>
      </c>
    </row>
    <row r="167" spans="1:111" x14ac:dyDescent="0.25">
      <c r="A167" s="30">
        <v>35.222390860549325</v>
      </c>
      <c r="E167"/>
      <c r="CG167" s="27" t="s">
        <v>8</v>
      </c>
      <c r="CI167" s="27" t="s">
        <v>8</v>
      </c>
      <c r="CJ167" s="27" t="s">
        <v>7</v>
      </c>
      <c r="CK167" s="27" t="s">
        <v>8</v>
      </c>
      <c r="CL167" s="27" t="s">
        <v>7</v>
      </c>
      <c r="CM167" s="27" t="s">
        <v>8</v>
      </c>
      <c r="CN167" s="27" t="s">
        <v>7</v>
      </c>
      <c r="CO167" s="27" t="s">
        <v>8</v>
      </c>
      <c r="CR167" s="27" t="s">
        <v>7</v>
      </c>
    </row>
    <row r="168" spans="1:111" x14ac:dyDescent="0.25">
      <c r="A168" s="30">
        <v>33.545134152904119</v>
      </c>
      <c r="E168"/>
      <c r="CE168" s="27" t="s">
        <v>8</v>
      </c>
      <c r="CG168" s="27" t="s">
        <v>8</v>
      </c>
      <c r="CH168" s="27" t="s">
        <v>7</v>
      </c>
      <c r="CI168" s="27" t="s">
        <v>8</v>
      </c>
      <c r="CJ168" s="27" t="s">
        <v>7</v>
      </c>
      <c r="CK168" s="27" t="s">
        <v>8</v>
      </c>
      <c r="CL168" s="27" t="s">
        <v>7</v>
      </c>
      <c r="CN168" s="27" t="s">
        <v>7</v>
      </c>
    </row>
    <row r="169" spans="1:111" x14ac:dyDescent="0.25">
      <c r="A169" s="30">
        <v>31.947746812289637</v>
      </c>
      <c r="E169"/>
      <c r="CC169" s="27" t="s">
        <v>8</v>
      </c>
      <c r="CE169" s="27" t="s">
        <v>8</v>
      </c>
      <c r="CF169" s="27" t="s">
        <v>7</v>
      </c>
      <c r="CG169" s="27" t="s">
        <v>8</v>
      </c>
      <c r="CH169" s="27" t="s">
        <v>7</v>
      </c>
      <c r="CI169" s="27" t="s">
        <v>8</v>
      </c>
      <c r="CJ169" s="27" t="s">
        <v>7</v>
      </c>
      <c r="CK169" s="27" t="s">
        <v>8</v>
      </c>
    </row>
    <row r="170" spans="1:111" x14ac:dyDescent="0.25">
      <c r="A170" s="30">
        <v>30.426425535513939</v>
      </c>
      <c r="E170"/>
      <c r="CC170" s="27" t="s">
        <v>8</v>
      </c>
      <c r="CD170" s="27" t="s">
        <v>7</v>
      </c>
      <c r="CE170" s="27" t="s">
        <v>8</v>
      </c>
      <c r="CF170" s="27" t="s">
        <v>7</v>
      </c>
      <c r="CG170" s="27" t="s">
        <v>8</v>
      </c>
      <c r="CH170" s="27" t="s">
        <v>7</v>
      </c>
      <c r="CI170" s="27" t="s">
        <v>8</v>
      </c>
      <c r="CJ170" s="27" t="s">
        <v>7</v>
      </c>
      <c r="CK170" s="27" t="s">
        <v>8</v>
      </c>
    </row>
    <row r="171" spans="1:111" x14ac:dyDescent="0.25">
      <c r="A171" s="30">
        <v>28.977548129060892</v>
      </c>
      <c r="E171"/>
      <c r="CC171" s="27" t="s">
        <v>8</v>
      </c>
      <c r="CD171" s="27" t="s">
        <v>7</v>
      </c>
      <c r="CE171" s="27" t="s">
        <v>8</v>
      </c>
      <c r="CF171" s="27" t="s">
        <v>7</v>
      </c>
      <c r="CG171" s="27" t="s">
        <v>8</v>
      </c>
      <c r="CH171" s="27" t="s">
        <v>7</v>
      </c>
      <c r="CI171" s="27" t="s">
        <v>8</v>
      </c>
      <c r="CJ171" s="27" t="s">
        <v>7</v>
      </c>
      <c r="CK171" s="27" t="s">
        <v>8</v>
      </c>
      <c r="DG171" s="31"/>
    </row>
    <row r="172" spans="1:111" x14ac:dyDescent="0.25">
      <c r="A172" s="30">
        <v>27.597664884819896</v>
      </c>
      <c r="E172"/>
      <c r="CC172" s="27" t="s">
        <v>8</v>
      </c>
      <c r="CD172" s="27" t="s">
        <v>7</v>
      </c>
      <c r="CF172" s="27" t="s">
        <v>7</v>
      </c>
      <c r="CG172" s="27" t="s">
        <v>8</v>
      </c>
      <c r="CH172" s="27" t="s">
        <v>7</v>
      </c>
      <c r="CI172" s="27" t="s">
        <v>8</v>
      </c>
      <c r="CJ172" s="27" t="s">
        <v>7</v>
      </c>
      <c r="CK172" s="27" t="s">
        <v>8</v>
      </c>
      <c r="DF172" s="31"/>
    </row>
    <row r="173" spans="1:111" x14ac:dyDescent="0.25">
      <c r="A173" s="30">
        <v>26.283490366495137</v>
      </c>
      <c r="E173"/>
      <c r="CC173" s="27" t="s">
        <v>8</v>
      </c>
      <c r="CF173" s="27" t="s">
        <v>7</v>
      </c>
      <c r="CH173" s="27" t="s">
        <v>7</v>
      </c>
      <c r="CI173" s="27" t="s">
        <v>8</v>
      </c>
      <c r="CJ173" s="27" t="s">
        <v>7</v>
      </c>
      <c r="CK173" s="27" t="s">
        <v>8</v>
      </c>
      <c r="DE173" s="31"/>
    </row>
    <row r="174" spans="1:111" x14ac:dyDescent="0.25">
      <c r="A174" s="30">
        <v>25.031895587138223</v>
      </c>
      <c r="E174"/>
      <c r="CC174" s="27" t="s">
        <v>8</v>
      </c>
      <c r="CH174" s="27" t="s">
        <v>7</v>
      </c>
      <c r="CI174" s="27" t="s">
        <v>8</v>
      </c>
      <c r="CJ174" s="27" t="s">
        <v>7</v>
      </c>
      <c r="DD174" s="31"/>
    </row>
    <row r="175" spans="1:111" x14ac:dyDescent="0.25">
      <c r="A175" s="30">
        <v>23.839900559179259</v>
      </c>
      <c r="E175"/>
      <c r="CC175" s="27" t="s">
        <v>8</v>
      </c>
      <c r="CH175" s="27" t="s">
        <v>7</v>
      </c>
      <c r="DC175" s="31"/>
    </row>
    <row r="176" spans="1:111" x14ac:dyDescent="0.25">
      <c r="A176" s="30">
        <v>22.704667199218342</v>
      </c>
      <c r="E176"/>
      <c r="CC176" s="27" t="s">
        <v>8</v>
      </c>
      <c r="DB176" s="31"/>
    </row>
    <row r="177" spans="1:105" x14ac:dyDescent="0.25">
      <c r="A177" s="30">
        <v>21.623492570684135</v>
      </c>
      <c r="E177"/>
      <c r="AU177" s="27" t="s">
        <v>8</v>
      </c>
      <c r="CC177" s="27" t="s">
        <v>8</v>
      </c>
      <c r="DA177" s="31"/>
    </row>
    <row r="178" spans="1:105" x14ac:dyDescent="0.25">
      <c r="A178" s="30">
        <v>20.593802448270605</v>
      </c>
      <c r="C178" s="7"/>
      <c r="D178"/>
      <c r="E178"/>
      <c r="AS178" s="27" t="s">
        <v>8</v>
      </c>
      <c r="AU178" s="27" t="s">
        <v>8</v>
      </c>
      <c r="AV178" s="27" t="s">
        <v>7</v>
      </c>
      <c r="CC178" s="27" t="s">
        <v>8</v>
      </c>
      <c r="CZ178" s="31"/>
    </row>
    <row r="179" spans="1:105" x14ac:dyDescent="0.25">
      <c r="A179" s="30">
        <v>19.613145188829147</v>
      </c>
      <c r="E179"/>
      <c r="AS179" s="27" t="s">
        <v>8</v>
      </c>
      <c r="AT179" s="27" t="s">
        <v>7</v>
      </c>
      <c r="AU179" s="27" t="s">
        <v>8</v>
      </c>
      <c r="AV179" s="27" t="s">
        <v>7</v>
      </c>
      <c r="CC179" s="27" t="s">
        <v>8</v>
      </c>
      <c r="CY179" s="31"/>
    </row>
    <row r="180" spans="1:105" x14ac:dyDescent="0.25">
      <c r="A180" s="30">
        <v>18.679185894122998</v>
      </c>
      <c r="E180"/>
      <c r="AS180" s="27" t="s">
        <v>8</v>
      </c>
      <c r="AT180" s="27" t="s">
        <v>7</v>
      </c>
      <c r="AU180" s="27" t="s">
        <v>8</v>
      </c>
      <c r="AV180" s="27" t="s">
        <v>7</v>
      </c>
      <c r="AW180" s="27" t="s">
        <v>8</v>
      </c>
      <c r="BE180" s="32" t="s">
        <v>8</v>
      </c>
      <c r="BG180" s="32" t="s">
        <v>8</v>
      </c>
      <c r="CC180" s="27" t="s">
        <v>8</v>
      </c>
      <c r="CX180" s="31"/>
    </row>
    <row r="181" spans="1:105" x14ac:dyDescent="0.25">
      <c r="A181" s="30">
        <v>17.78970085154571</v>
      </c>
      <c r="C181"/>
      <c r="D181"/>
      <c r="E181"/>
      <c r="AS181" s="27" t="s">
        <v>8</v>
      </c>
      <c r="AT181" s="27" t="s">
        <v>7</v>
      </c>
      <c r="AV181" s="27" t="s">
        <v>7</v>
      </c>
      <c r="AW181" s="27" t="s">
        <v>8</v>
      </c>
      <c r="AX181" s="27" t="s">
        <v>7</v>
      </c>
      <c r="BE181" s="27" t="s">
        <v>8</v>
      </c>
      <c r="BF181" s="27" t="s">
        <v>7</v>
      </c>
      <c r="BG181" s="27" t="s">
        <v>8</v>
      </c>
      <c r="BH181" s="31" t="s">
        <v>7</v>
      </c>
      <c r="CC181" s="27" t="s">
        <v>8</v>
      </c>
      <c r="CW181" s="31"/>
    </row>
    <row r="182" spans="1:105" x14ac:dyDescent="0.25">
      <c r="A182" s="30">
        <v>16.942572239567344</v>
      </c>
      <c r="E182"/>
      <c r="AQ182" s="27" t="s">
        <v>8</v>
      </c>
      <c r="AS182" s="27" t="s">
        <v>8</v>
      </c>
      <c r="AV182" s="27" t="s">
        <v>7</v>
      </c>
      <c r="AW182" s="27" t="s">
        <v>8</v>
      </c>
      <c r="AX182" s="27" t="s">
        <v>7</v>
      </c>
      <c r="AY182" s="27" t="s">
        <v>8</v>
      </c>
      <c r="BE182" s="27" t="s">
        <v>8</v>
      </c>
      <c r="BF182" s="27" t="s">
        <v>7</v>
      </c>
      <c r="BG182" s="27" t="s">
        <v>8</v>
      </c>
      <c r="BH182" s="27" t="s">
        <v>7</v>
      </c>
      <c r="BI182" s="31" t="s">
        <v>8</v>
      </c>
      <c r="CC182" s="27" t="s">
        <v>8</v>
      </c>
      <c r="CV182" s="31"/>
    </row>
    <row r="183" spans="1:105" x14ac:dyDescent="0.25">
      <c r="A183" s="30">
        <v>16.135783085302233</v>
      </c>
      <c r="E183"/>
      <c r="AQ183" s="27" t="s">
        <v>8</v>
      </c>
      <c r="AR183" s="27" t="s">
        <v>7</v>
      </c>
      <c r="AS183" s="27" t="s">
        <v>8</v>
      </c>
      <c r="AV183" s="27" t="s">
        <v>7</v>
      </c>
      <c r="AX183" s="27" t="s">
        <v>7</v>
      </c>
      <c r="AY183" s="27" t="s">
        <v>8</v>
      </c>
      <c r="AZ183" s="27" t="s">
        <v>7</v>
      </c>
      <c r="BA183" s="27" t="s">
        <v>8</v>
      </c>
      <c r="BE183" s="27" t="s">
        <v>8</v>
      </c>
      <c r="BF183" s="27" t="s">
        <v>7</v>
      </c>
      <c r="BH183" s="27" t="s">
        <v>7</v>
      </c>
      <c r="BI183" s="27" t="s">
        <v>8</v>
      </c>
      <c r="BJ183" s="31" t="s">
        <v>7</v>
      </c>
      <c r="CC183" s="27" t="s">
        <v>8</v>
      </c>
      <c r="CU183" s="31"/>
    </row>
    <row r="184" spans="1:105" x14ac:dyDescent="0.25">
      <c r="A184" s="30">
        <v>15.367412462192602</v>
      </c>
      <c r="E184"/>
      <c r="AQ184" s="27" t="s">
        <v>8</v>
      </c>
      <c r="AR184" s="27" t="s">
        <v>7</v>
      </c>
      <c r="AS184" s="27" t="s">
        <v>8</v>
      </c>
      <c r="AX184" s="27" t="s">
        <v>7</v>
      </c>
      <c r="AY184" s="27" t="s">
        <v>8</v>
      </c>
      <c r="AZ184" s="27" t="s">
        <v>7</v>
      </c>
      <c r="BA184" s="27" t="s">
        <v>8</v>
      </c>
      <c r="BB184" s="27" t="s">
        <v>7</v>
      </c>
      <c r="BC184" s="27" t="s">
        <v>8</v>
      </c>
      <c r="BE184" s="27" t="s">
        <v>8</v>
      </c>
      <c r="BH184" s="33" t="s">
        <v>7</v>
      </c>
      <c r="BI184" s="27" t="s">
        <v>8</v>
      </c>
      <c r="BJ184" s="27" t="s">
        <v>7</v>
      </c>
      <c r="BK184" s="31"/>
      <c r="CA184" s="27" t="s">
        <v>8</v>
      </c>
      <c r="CC184" s="27" t="s">
        <v>8</v>
      </c>
      <c r="CT184" s="31"/>
    </row>
    <row r="185" spans="1:105" x14ac:dyDescent="0.25">
      <c r="A185" s="30">
        <v>14.635630916373906</v>
      </c>
      <c r="C185"/>
      <c r="E185"/>
      <c r="AQ185" s="27" t="s">
        <v>8</v>
      </c>
      <c r="AR185" s="27" t="s">
        <v>7</v>
      </c>
      <c r="AX185" s="27" t="s">
        <v>7</v>
      </c>
      <c r="AZ185" s="27" t="s">
        <v>7</v>
      </c>
      <c r="BA185" s="27" t="s">
        <v>8</v>
      </c>
      <c r="BB185" s="27" t="s">
        <v>7</v>
      </c>
      <c r="BC185" s="27" t="s">
        <v>8</v>
      </c>
      <c r="BD185" s="27" t="s">
        <v>7</v>
      </c>
      <c r="BE185" s="27" t="s">
        <v>8</v>
      </c>
      <c r="BH185" s="27" t="s">
        <v>7</v>
      </c>
      <c r="BI185" s="27" t="s">
        <v>8</v>
      </c>
      <c r="BJ185" s="27" t="s">
        <v>7</v>
      </c>
      <c r="BL185" s="31"/>
      <c r="CA185" s="27" t="s">
        <v>8</v>
      </c>
      <c r="CB185" s="27" t="s">
        <v>7</v>
      </c>
      <c r="CC185" s="27" t="s">
        <v>8</v>
      </c>
      <c r="CS185" s="31"/>
    </row>
    <row r="186" spans="1:105" x14ac:dyDescent="0.25">
      <c r="A186" s="30">
        <v>13.938696110832291</v>
      </c>
      <c r="E186"/>
      <c r="AQ186" s="27" t="s">
        <v>8</v>
      </c>
      <c r="AZ186" s="27" t="s">
        <v>7</v>
      </c>
      <c r="BA186" s="27" t="s">
        <v>8</v>
      </c>
      <c r="BB186" s="27" t="s">
        <v>7</v>
      </c>
      <c r="BC186" s="27" t="s">
        <v>8</v>
      </c>
      <c r="BD186" s="27" t="s">
        <v>7</v>
      </c>
      <c r="BE186" s="27" t="s">
        <v>8</v>
      </c>
      <c r="BH186" s="27" t="s">
        <v>7</v>
      </c>
      <c r="BJ186" s="27" t="s">
        <v>7</v>
      </c>
      <c r="BM186" s="31"/>
      <c r="CA186" s="27" t="s">
        <v>8</v>
      </c>
      <c r="CB186" s="27" t="s">
        <v>7</v>
      </c>
      <c r="CC186" s="27" t="s">
        <v>8</v>
      </c>
      <c r="CR186" s="31"/>
    </row>
    <row r="187" spans="1:10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Q187" s="27" t="s">
        <v>8</v>
      </c>
      <c r="AZ187" s="27" t="s">
        <v>7</v>
      </c>
      <c r="BA187" s="27" t="s">
        <v>8</v>
      </c>
      <c r="BB187" s="27" t="s">
        <v>7</v>
      </c>
      <c r="BC187" s="27" t="s">
        <v>8</v>
      </c>
      <c r="BD187" s="27" t="s">
        <v>7</v>
      </c>
      <c r="BJ187" s="27" t="s">
        <v>7</v>
      </c>
      <c r="BN187" s="31"/>
      <c r="CA187" s="27" t="s">
        <v>8</v>
      </c>
      <c r="CB187" s="27" t="s">
        <v>7</v>
      </c>
      <c r="CQ187" s="31"/>
    </row>
    <row r="188" spans="1:105" x14ac:dyDescent="0.25">
      <c r="A188" s="30">
        <v>12.64280826379346</v>
      </c>
      <c r="E188"/>
      <c r="AQ188" s="27" t="s">
        <v>8</v>
      </c>
      <c r="AZ188" s="27" t="s">
        <v>7</v>
      </c>
      <c r="BA188" s="27" t="s">
        <v>8</v>
      </c>
      <c r="BB188" s="27" t="s">
        <v>7</v>
      </c>
      <c r="BJ188" s="27" t="s">
        <v>7</v>
      </c>
      <c r="BO188" s="31"/>
      <c r="CA188" s="27" t="s">
        <v>8</v>
      </c>
      <c r="CP188" s="31"/>
    </row>
    <row r="189" spans="1:105" x14ac:dyDescent="0.25">
      <c r="A189" s="30">
        <v>12.04076977504139</v>
      </c>
      <c r="E189"/>
      <c r="AO189" s="27" t="s">
        <v>8</v>
      </c>
      <c r="AQ189" s="27" t="s">
        <v>8</v>
      </c>
      <c r="AZ189" s="27" t="s">
        <v>7</v>
      </c>
      <c r="BJ189" s="27" t="s">
        <v>7</v>
      </c>
      <c r="BP189" s="31"/>
      <c r="CA189" s="27" t="s">
        <v>8</v>
      </c>
      <c r="CO189" s="31"/>
    </row>
    <row r="190" spans="1:105" x14ac:dyDescent="0.25">
      <c r="A190" s="30">
        <v>11.467399785753704</v>
      </c>
      <c r="E190"/>
      <c r="AO190" s="27" t="s">
        <v>8</v>
      </c>
      <c r="AP190" s="27" t="s">
        <v>7</v>
      </c>
      <c r="AQ190" s="27" t="s">
        <v>8</v>
      </c>
      <c r="BJ190" s="27" t="s">
        <v>7</v>
      </c>
      <c r="BQ190" s="31"/>
      <c r="CA190" s="27" t="s">
        <v>8</v>
      </c>
      <c r="CN190" s="31"/>
    </row>
    <row r="191" spans="1:105" x14ac:dyDescent="0.25">
      <c r="A191" s="30">
        <v>10.921333129289241</v>
      </c>
      <c r="E191"/>
      <c r="AO191" s="27" t="s">
        <v>8</v>
      </c>
      <c r="AP191" s="27" t="s">
        <v>7</v>
      </c>
      <c r="AQ191" s="27" t="s">
        <v>8</v>
      </c>
      <c r="BJ191" s="27" t="s">
        <v>7</v>
      </c>
      <c r="BR191" s="31"/>
      <c r="CA191" s="27" t="s">
        <v>8</v>
      </c>
      <c r="CM191" s="31"/>
    </row>
    <row r="192" spans="1:105" x14ac:dyDescent="0.25">
      <c r="A192" s="30">
        <v>10.401269646942135</v>
      </c>
      <c r="E192"/>
      <c r="AO192" s="27" t="s">
        <v>8</v>
      </c>
      <c r="AP192" s="27" t="s">
        <v>7</v>
      </c>
      <c r="BJ192" s="27" t="s">
        <v>7</v>
      </c>
      <c r="BS192" s="31"/>
      <c r="CA192" s="27" t="s">
        <v>8</v>
      </c>
      <c r="CL192" s="31"/>
    </row>
    <row r="193" spans="1:89" x14ac:dyDescent="0.25">
      <c r="A193" s="30">
        <v>9.9059710923258422</v>
      </c>
      <c r="E193"/>
      <c r="AO193" s="27" t="s">
        <v>8</v>
      </c>
      <c r="BJ193" s="27" t="s">
        <v>7</v>
      </c>
      <c r="BT193" s="31"/>
      <c r="CA193" s="27" t="s">
        <v>8</v>
      </c>
      <c r="CJ193" s="19"/>
      <c r="CK193" s="31"/>
    </row>
    <row r="194" spans="1:89" x14ac:dyDescent="0.25">
      <c r="A194" s="30">
        <v>9.4342581831674686</v>
      </c>
      <c r="E194"/>
      <c r="AO194" s="27" t="s">
        <v>8</v>
      </c>
      <c r="BJ194" s="27" t="s">
        <v>7</v>
      </c>
      <c r="BU194" s="31"/>
      <c r="BY194" s="27" t="s">
        <v>8</v>
      </c>
      <c r="CA194" s="27" t="s">
        <v>8</v>
      </c>
      <c r="CI194" s="19"/>
      <c r="CJ194" s="31"/>
    </row>
    <row r="195" spans="1:89" x14ac:dyDescent="0.25">
      <c r="A195" s="30">
        <v>8.9850077934928265</v>
      </c>
      <c r="E195"/>
      <c r="AM195" s="27" t="s">
        <v>8</v>
      </c>
      <c r="AO195" s="27" t="s">
        <v>8</v>
      </c>
      <c r="BJ195" s="27" t="s">
        <v>7</v>
      </c>
      <c r="BV195" s="31"/>
      <c r="BY195" s="27" t="s">
        <v>8</v>
      </c>
      <c r="BZ195" s="27" t="s">
        <v>7</v>
      </c>
      <c r="CA195" s="27" t="s">
        <v>8</v>
      </c>
      <c r="CH195" s="19"/>
      <c r="CI195" s="31"/>
    </row>
    <row r="196" spans="1:89" x14ac:dyDescent="0.25">
      <c r="A196" s="30">
        <v>8.5571502795169767</v>
      </c>
      <c r="E196"/>
      <c r="AM196" s="27" t="s">
        <v>8</v>
      </c>
      <c r="AN196" s="27" t="s">
        <v>7</v>
      </c>
      <c r="AO196" s="27" t="s">
        <v>8</v>
      </c>
      <c r="BJ196" s="27" t="s">
        <v>7</v>
      </c>
      <c r="BW196" s="31" t="s">
        <v>8</v>
      </c>
      <c r="BY196" s="27" t="s">
        <v>8</v>
      </c>
      <c r="BZ196" s="27" t="s">
        <v>7</v>
      </c>
      <c r="CA196" s="27" t="s">
        <v>8</v>
      </c>
      <c r="CG196" s="19"/>
      <c r="CH196" s="31"/>
    </row>
    <row r="197" spans="1:89" x14ac:dyDescent="0.25">
      <c r="A197" s="30">
        <v>8.1496669328733109</v>
      </c>
      <c r="E197"/>
      <c r="AE197" s="27" t="s">
        <v>8</v>
      </c>
      <c r="AI197" s="27" t="s">
        <v>8</v>
      </c>
      <c r="AM197" s="27" t="s">
        <v>8</v>
      </c>
      <c r="AN197" s="27" t="s">
        <v>7</v>
      </c>
      <c r="AO197" s="27" t="s">
        <v>8</v>
      </c>
      <c r="BJ197" s="27" t="s">
        <v>7</v>
      </c>
      <c r="BW197" s="27" t="s">
        <v>8</v>
      </c>
      <c r="BX197" s="31" t="s">
        <v>7</v>
      </c>
      <c r="BY197" s="27" t="s">
        <v>8</v>
      </c>
      <c r="BZ197" s="27" t="s">
        <v>7</v>
      </c>
      <c r="CF197" s="19"/>
      <c r="CG197" s="31"/>
    </row>
    <row r="198" spans="1:89" x14ac:dyDescent="0.25">
      <c r="A198" s="30">
        <v>7.7615875551174378</v>
      </c>
      <c r="E198"/>
      <c r="AE198" s="27" t="s">
        <v>8</v>
      </c>
      <c r="AF198" s="27" t="s">
        <v>7</v>
      </c>
      <c r="AI198" s="27" t="s">
        <v>8</v>
      </c>
      <c r="AJ198" s="27" t="s">
        <v>7</v>
      </c>
      <c r="AM198" s="27" t="s">
        <v>8</v>
      </c>
      <c r="AN198" s="27" t="s">
        <v>7</v>
      </c>
      <c r="BJ198" s="27" t="s">
        <v>7</v>
      </c>
      <c r="BM198" s="32" t="s">
        <v>8</v>
      </c>
      <c r="BO198" s="32" t="s">
        <v>8</v>
      </c>
      <c r="BW198" s="27" t="s">
        <v>8</v>
      </c>
      <c r="BX198" s="27" t="s">
        <v>7</v>
      </c>
      <c r="BY198" s="31" t="s">
        <v>8</v>
      </c>
      <c r="CE198" s="19"/>
      <c r="CF198" s="31"/>
    </row>
    <row r="199" spans="1:89" x14ac:dyDescent="0.25">
      <c r="A199" s="30">
        <v>7.3919881477308929</v>
      </c>
      <c r="E199"/>
      <c r="AE199" s="27" t="s">
        <v>8</v>
      </c>
      <c r="AF199" s="27" t="s">
        <v>7</v>
      </c>
      <c r="AG199" s="27" t="s">
        <v>8</v>
      </c>
      <c r="AI199" s="27" t="s">
        <v>8</v>
      </c>
      <c r="AJ199" s="27" t="s">
        <v>7</v>
      </c>
      <c r="AK199" s="27" t="s">
        <v>8</v>
      </c>
      <c r="AM199" s="27" t="s">
        <v>8</v>
      </c>
      <c r="BJ199" s="27" t="s">
        <v>7</v>
      </c>
      <c r="BM199" s="34" t="s">
        <v>8</v>
      </c>
      <c r="BN199" s="27" t="s">
        <v>7</v>
      </c>
      <c r="BO199" s="27" t="s">
        <v>8</v>
      </c>
      <c r="BP199" s="27" t="s">
        <v>7</v>
      </c>
      <c r="BW199" s="27" t="s">
        <v>8</v>
      </c>
      <c r="BX199" s="27" t="s">
        <v>7</v>
      </c>
      <c r="BY199" s="27" t="s">
        <v>8</v>
      </c>
      <c r="CD199" s="19"/>
      <c r="CE199" s="31"/>
    </row>
    <row r="200" spans="1:89" x14ac:dyDescent="0.25">
      <c r="A200" s="30">
        <v>7.0399887121246598</v>
      </c>
      <c r="E200"/>
      <c r="AE200" s="27" t="s">
        <v>8</v>
      </c>
      <c r="AF200" s="27" t="s">
        <v>7</v>
      </c>
      <c r="AG200" s="27" t="s">
        <v>8</v>
      </c>
      <c r="AH200" s="27" t="s">
        <v>7</v>
      </c>
      <c r="AI200" s="27" t="s">
        <v>8</v>
      </c>
      <c r="AJ200" s="27" t="s">
        <v>7</v>
      </c>
      <c r="AK200" s="27" t="s">
        <v>8</v>
      </c>
      <c r="AL200" s="27" t="s">
        <v>7</v>
      </c>
      <c r="AM200" s="27" t="s">
        <v>8</v>
      </c>
      <c r="BJ200" s="27" t="s">
        <v>7</v>
      </c>
      <c r="BK200" s="27" t="s">
        <v>8</v>
      </c>
      <c r="BM200" s="27" t="s">
        <v>8</v>
      </c>
      <c r="BN200" s="27" t="s">
        <v>7</v>
      </c>
      <c r="BO200" s="27" t="s">
        <v>8</v>
      </c>
      <c r="BP200" s="27" t="s">
        <v>7</v>
      </c>
      <c r="BW200" s="27" t="s">
        <v>8</v>
      </c>
      <c r="BX200" s="27" t="s">
        <v>7</v>
      </c>
      <c r="BY200" s="27" t="s">
        <v>8</v>
      </c>
      <c r="CC200" s="19"/>
      <c r="CD200" s="31"/>
    </row>
    <row r="201" spans="1:89" x14ac:dyDescent="0.25">
      <c r="A201" s="30">
        <v>6.7047511544044376</v>
      </c>
      <c r="E201"/>
      <c r="AE201" s="27" t="s">
        <v>8</v>
      </c>
      <c r="AF201" s="27" t="s">
        <v>7</v>
      </c>
      <c r="AG201" s="27" t="s">
        <v>8</v>
      </c>
      <c r="AH201" s="27" t="s">
        <v>7</v>
      </c>
      <c r="AI201" s="27" t="s">
        <v>8</v>
      </c>
      <c r="AJ201" s="27" t="s">
        <v>7</v>
      </c>
      <c r="AK201" s="27" t="s">
        <v>8</v>
      </c>
      <c r="AL201" s="27" t="s">
        <v>7</v>
      </c>
      <c r="AM201" s="27" t="s">
        <v>8</v>
      </c>
      <c r="BJ201" s="27" t="s">
        <v>7</v>
      </c>
      <c r="BK201" s="27" t="s">
        <v>8</v>
      </c>
      <c r="BL201" s="27" t="s">
        <v>7</v>
      </c>
      <c r="BM201" s="27" t="s">
        <v>8</v>
      </c>
      <c r="BN201" s="27" t="s">
        <v>7</v>
      </c>
      <c r="BO201" s="27" t="s">
        <v>8</v>
      </c>
      <c r="BP201" s="27" t="s">
        <v>7</v>
      </c>
      <c r="BS201" s="34" t="s">
        <v>8</v>
      </c>
      <c r="BW201" s="34" t="s">
        <v>8</v>
      </c>
      <c r="BX201" s="27" t="s">
        <v>7</v>
      </c>
      <c r="BY201" s="27" t="s">
        <v>8</v>
      </c>
      <c r="CB201" s="19"/>
      <c r="CC201" s="31"/>
    </row>
    <row r="202" spans="1:89" x14ac:dyDescent="0.25">
      <c r="A202" s="30">
        <v>6.3854772899089882</v>
      </c>
      <c r="E202"/>
      <c r="AE202" s="27" t="s">
        <v>8</v>
      </c>
      <c r="AF202" s="27" t="s">
        <v>7</v>
      </c>
      <c r="AG202" s="27" t="s">
        <v>8</v>
      </c>
      <c r="AH202" s="27" t="s">
        <v>7</v>
      </c>
      <c r="AI202" s="27" t="s">
        <v>8</v>
      </c>
      <c r="AJ202" s="27" t="s">
        <v>7</v>
      </c>
      <c r="AK202" s="27" t="s">
        <v>8</v>
      </c>
      <c r="AL202" s="27" t="s">
        <v>7</v>
      </c>
      <c r="AM202" s="27" t="s">
        <v>8</v>
      </c>
      <c r="BJ202" s="27" t="s">
        <v>7</v>
      </c>
      <c r="BK202" s="27" t="s">
        <v>8</v>
      </c>
      <c r="BL202" s="27" t="s">
        <v>7</v>
      </c>
      <c r="BM202" s="27" t="s">
        <v>8</v>
      </c>
      <c r="BN202" s="27" t="s">
        <v>7</v>
      </c>
      <c r="BO202" s="27" t="s">
        <v>8</v>
      </c>
      <c r="BP202" s="27" t="s">
        <v>7</v>
      </c>
      <c r="BQ202" s="27" t="s">
        <v>8</v>
      </c>
      <c r="BS202" s="27" t="s">
        <v>8</v>
      </c>
      <c r="BT202" s="27" t="s">
        <v>7</v>
      </c>
      <c r="BU202" s="27" t="s">
        <v>8</v>
      </c>
      <c r="BW202" s="27" t="s">
        <v>8</v>
      </c>
      <c r="BX202" s="27" t="s">
        <v>7</v>
      </c>
      <c r="BY202" s="27" t="s">
        <v>8</v>
      </c>
      <c r="CA202" s="19"/>
      <c r="CB202" s="31"/>
    </row>
    <row r="203" spans="1:89" x14ac:dyDescent="0.25">
      <c r="A203" s="30">
        <v>6.0814069427704647</v>
      </c>
      <c r="C203" s="7"/>
      <c r="D203"/>
      <c r="E203"/>
      <c r="AE203" s="27" t="s">
        <v>8</v>
      </c>
      <c r="AF203" s="27" t="s">
        <v>7</v>
      </c>
      <c r="AG203" s="27" t="s">
        <v>8</v>
      </c>
      <c r="AH203" s="27" t="s">
        <v>7</v>
      </c>
      <c r="AI203" s="27" t="s">
        <v>8</v>
      </c>
      <c r="AJ203" s="27" t="s">
        <v>7</v>
      </c>
      <c r="AK203" s="27" t="s">
        <v>8</v>
      </c>
      <c r="AL203" s="27" t="s">
        <v>7</v>
      </c>
      <c r="AM203" s="27" t="s">
        <v>8</v>
      </c>
      <c r="BJ203" s="27" t="s">
        <v>7</v>
      </c>
      <c r="BK203" s="27" t="s">
        <v>8</v>
      </c>
      <c r="BL203" s="27" t="s">
        <v>7</v>
      </c>
      <c r="BM203" s="27" t="s">
        <v>8</v>
      </c>
      <c r="BN203" s="27" t="s">
        <v>7</v>
      </c>
      <c r="BO203" s="27" t="s">
        <v>8</v>
      </c>
      <c r="BP203" s="27" t="s">
        <v>7</v>
      </c>
      <c r="BQ203" s="27" t="s">
        <v>8</v>
      </c>
      <c r="BR203" s="27" t="s">
        <v>7</v>
      </c>
      <c r="BS203" s="27" t="s">
        <v>8</v>
      </c>
      <c r="BT203" s="27" t="s">
        <v>7</v>
      </c>
      <c r="BU203" s="27" t="s">
        <v>8</v>
      </c>
      <c r="BV203" s="27" t="s">
        <v>7</v>
      </c>
      <c r="BW203" s="27" t="s">
        <v>8</v>
      </c>
      <c r="BX203" s="18" t="s">
        <v>7</v>
      </c>
      <c r="BY203" s="27" t="s">
        <v>8</v>
      </c>
      <c r="BZ203" s="19"/>
      <c r="CA203" s="31"/>
    </row>
    <row r="204" spans="1:89" x14ac:dyDescent="0.25">
      <c r="A204" s="30">
        <v>5.7918161359718709</v>
      </c>
      <c r="E204"/>
      <c r="AE204" s="27" t="s">
        <v>8</v>
      </c>
      <c r="AF204" s="27" t="s">
        <v>7</v>
      </c>
      <c r="AG204" s="27" t="s">
        <v>8</v>
      </c>
      <c r="AH204" s="27" t="s">
        <v>7</v>
      </c>
      <c r="AJ204" s="27" t="s">
        <v>7</v>
      </c>
      <c r="AK204" s="27" t="s">
        <v>8</v>
      </c>
      <c r="AL204" s="27" t="s">
        <v>7</v>
      </c>
      <c r="AM204" s="27" t="s">
        <v>8</v>
      </c>
      <c r="BJ204" s="27" t="s">
        <v>7</v>
      </c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BP204" s="27" t="s">
        <v>7</v>
      </c>
      <c r="BQ204" s="27" t="s">
        <v>8</v>
      </c>
      <c r="BR204" s="27" t="s">
        <v>7</v>
      </c>
      <c r="BS204" s="27" t="s">
        <v>8</v>
      </c>
      <c r="BT204" s="27" t="s">
        <v>7</v>
      </c>
      <c r="BU204" s="27" t="s">
        <v>8</v>
      </c>
      <c r="BV204" s="27" t="s">
        <v>7</v>
      </c>
      <c r="BW204" s="27" t="s">
        <v>8</v>
      </c>
      <c r="BX204" s="27" t="s">
        <v>7</v>
      </c>
      <c r="BY204" s="19"/>
      <c r="BZ204" s="31"/>
    </row>
    <row r="205" spans="1:89" x14ac:dyDescent="0.25">
      <c r="A205" s="30">
        <v>5.5160153675922574</v>
      </c>
      <c r="E205"/>
      <c r="AE205" s="27" t="s">
        <v>8</v>
      </c>
      <c r="AF205" s="27" t="s">
        <v>7</v>
      </c>
      <c r="AG205" s="27" t="s">
        <v>8</v>
      </c>
      <c r="AJ205" s="27" t="s">
        <v>7</v>
      </c>
      <c r="AL205" s="27" t="s">
        <v>7</v>
      </c>
      <c r="AM205" s="27" t="s">
        <v>8</v>
      </c>
      <c r="BJ205" s="27" t="s">
        <v>7</v>
      </c>
      <c r="BK205" s="27" t="s">
        <v>8</v>
      </c>
      <c r="BL205" s="27" t="s">
        <v>7</v>
      </c>
      <c r="BM205" s="27" t="s">
        <v>8</v>
      </c>
      <c r="BN205" s="27" t="s">
        <v>7</v>
      </c>
      <c r="BO205" s="27" t="s">
        <v>8</v>
      </c>
      <c r="BP205" s="27" t="s">
        <v>7</v>
      </c>
      <c r="BQ205" s="27" t="s">
        <v>8</v>
      </c>
      <c r="BR205" s="27" t="s">
        <v>7</v>
      </c>
      <c r="BS205" s="27" t="s">
        <v>8</v>
      </c>
      <c r="BT205" s="27" t="s">
        <v>7</v>
      </c>
      <c r="BU205" s="27" t="s">
        <v>8</v>
      </c>
      <c r="BV205" s="27" t="s">
        <v>7</v>
      </c>
      <c r="BX205" s="19"/>
      <c r="BY205" s="31"/>
    </row>
    <row r="206" spans="1:89" x14ac:dyDescent="0.25">
      <c r="A206" s="30">
        <v>5.2533479691354827</v>
      </c>
      <c r="C206"/>
      <c r="D206"/>
      <c r="E206"/>
      <c r="AE206" s="27" t="s">
        <v>8</v>
      </c>
      <c r="AF206" s="27" t="s">
        <v>7</v>
      </c>
      <c r="AG206" s="27" t="s">
        <v>8</v>
      </c>
      <c r="AL206" s="27" t="s">
        <v>7</v>
      </c>
      <c r="AM206" s="27" t="s">
        <v>8</v>
      </c>
      <c r="BJ206" s="27" t="s">
        <v>7</v>
      </c>
      <c r="BK206" s="27" t="s">
        <v>8</v>
      </c>
      <c r="BL206" s="32" t="s">
        <v>7</v>
      </c>
      <c r="BN206" s="32" t="s">
        <v>7</v>
      </c>
      <c r="BP206" s="27" t="s">
        <v>7</v>
      </c>
      <c r="BQ206" s="27" t="s">
        <v>8</v>
      </c>
      <c r="BR206" s="27" t="s">
        <v>7</v>
      </c>
      <c r="BT206" s="27" t="s">
        <v>7</v>
      </c>
      <c r="BU206" s="27" t="s">
        <v>8</v>
      </c>
      <c r="BW206" s="19"/>
      <c r="BX206" s="31"/>
    </row>
    <row r="207" spans="1:89" x14ac:dyDescent="0.25">
      <c r="A207" s="30">
        <v>5.0031885420337927</v>
      </c>
      <c r="E207"/>
      <c r="AE207" s="27" t="s">
        <v>8</v>
      </c>
      <c r="AF207" s="27" t="s">
        <v>7</v>
      </c>
      <c r="AL207" s="27" t="s">
        <v>7</v>
      </c>
      <c r="BJ207" s="27" t="s">
        <v>7</v>
      </c>
      <c r="BK207" s="27" t="s">
        <v>8</v>
      </c>
      <c r="BP207" s="33" t="s">
        <v>7</v>
      </c>
      <c r="BT207" s="33" t="s">
        <v>7</v>
      </c>
      <c r="BU207" s="27" t="s">
        <v>8</v>
      </c>
      <c r="BV207" s="19"/>
      <c r="BW207" s="31"/>
    </row>
    <row r="208" spans="1:89" x14ac:dyDescent="0.25">
      <c r="A208" s="30">
        <v>4.7649414686036122</v>
      </c>
      <c r="E208"/>
      <c r="AE208" s="27" t="s">
        <v>8</v>
      </c>
      <c r="BJ208" s="27" t="s">
        <v>7</v>
      </c>
      <c r="BK208" s="27" t="s">
        <v>8</v>
      </c>
      <c r="BT208" s="27" t="s">
        <v>7</v>
      </c>
      <c r="BU208" s="19" t="s">
        <v>8</v>
      </c>
      <c r="BV208" s="31"/>
    </row>
    <row r="209" spans="1:73" x14ac:dyDescent="0.25">
      <c r="A209" s="30">
        <v>4.5380394939082018</v>
      </c>
      <c r="E209"/>
      <c r="AE209" s="27" t="s">
        <v>8</v>
      </c>
      <c r="BJ209" s="27" t="s">
        <v>7</v>
      </c>
      <c r="BK209" s="27" t="s">
        <v>8</v>
      </c>
      <c r="BT209" s="19" t="s">
        <v>7</v>
      </c>
      <c r="BU209" s="31"/>
    </row>
    <row r="210" spans="1:73" x14ac:dyDescent="0.25">
      <c r="A210" s="30">
        <v>4.3219423751506678</v>
      </c>
      <c r="C210"/>
      <c r="E210"/>
      <c r="AE210" s="27" t="s">
        <v>8</v>
      </c>
      <c r="BJ210" s="27" t="s">
        <v>7</v>
      </c>
      <c r="BK210" s="27" t="s">
        <v>8</v>
      </c>
      <c r="BT210" s="31"/>
    </row>
    <row r="211" spans="1:73" x14ac:dyDescent="0.25">
      <c r="A211" s="30">
        <v>4.1161355953815884</v>
      </c>
      <c r="E211"/>
      <c r="AE211" s="27" t="s">
        <v>8</v>
      </c>
      <c r="BJ211" s="27" t="s">
        <v>7</v>
      </c>
      <c r="BK211" s="27" t="s">
        <v>8</v>
      </c>
      <c r="BS211" s="31"/>
    </row>
    <row r="212" spans="1:73" x14ac:dyDescent="0.25">
      <c r="A212" s="30">
        <v>3.9201291384586554</v>
      </c>
      <c r="E212"/>
      <c r="AE212" s="27" t="s">
        <v>8</v>
      </c>
      <c r="BJ212" s="27" t="s">
        <v>7</v>
      </c>
      <c r="BR212" s="31"/>
    </row>
    <row r="213" spans="1:73" x14ac:dyDescent="0.25">
      <c r="A213" s="30">
        <v>3.7334563223415764</v>
      </c>
      <c r="E213"/>
      <c r="AE213" s="27" t="s">
        <v>8</v>
      </c>
      <c r="BQ213" s="31"/>
    </row>
    <row r="214" spans="1:73" x14ac:dyDescent="0.25">
      <c r="A214" s="30">
        <v>3.5556726879443583</v>
      </c>
      <c r="E214"/>
      <c r="AE214" s="27" t="s">
        <v>8</v>
      </c>
      <c r="BP214" s="31"/>
    </row>
    <row r="215" spans="1:73" x14ac:dyDescent="0.25">
      <c r="A215" s="30">
        <v>3.3863549408993889</v>
      </c>
      <c r="E215"/>
      <c r="AE215" s="27" t="s">
        <v>8</v>
      </c>
      <c r="BO215" s="31"/>
    </row>
    <row r="216" spans="1:73" x14ac:dyDescent="0.25">
      <c r="A216" s="30">
        <v>3.2250999437137038</v>
      </c>
      <c r="E216"/>
      <c r="AE216" s="27" t="s">
        <v>8</v>
      </c>
    </row>
    <row r="217" spans="1:73" x14ac:dyDescent="0.25">
      <c r="A217" s="30">
        <v>3.0715237559178128</v>
      </c>
      <c r="E217"/>
      <c r="AE217" s="27" t="s">
        <v>8</v>
      </c>
    </row>
    <row r="218" spans="1:73" x14ac:dyDescent="0.25">
      <c r="A218" s="30">
        <v>2.9252607199217264</v>
      </c>
      <c r="E218"/>
      <c r="AE218" s="27" t="s">
        <v>8</v>
      </c>
      <c r="BL218" s="31"/>
    </row>
    <row r="219" spans="1:73" x14ac:dyDescent="0.25">
      <c r="A219" s="30">
        <v>2.7859625904016441</v>
      </c>
      <c r="E219"/>
      <c r="AE219" s="27" t="s">
        <v>8</v>
      </c>
    </row>
    <row r="220" spans="1:73" x14ac:dyDescent="0.25">
      <c r="A220" s="30">
        <v>2.6532977051444226</v>
      </c>
      <c r="E220"/>
      <c r="AE220" s="27" t="s">
        <v>8</v>
      </c>
    </row>
    <row r="221" spans="1:73" x14ac:dyDescent="0.25">
      <c r="A221" s="30">
        <v>2.5269501953756404</v>
      </c>
      <c r="E221"/>
      <c r="AE221" s="27" t="s">
        <v>8</v>
      </c>
    </row>
    <row r="222" spans="1:73" x14ac:dyDescent="0.25">
      <c r="A222" s="30">
        <v>2.4066192336910861</v>
      </c>
      <c r="E222"/>
      <c r="AE222" s="27" t="s">
        <v>8</v>
      </c>
    </row>
    <row r="223" spans="1:73" x14ac:dyDescent="0.25">
      <c r="A223" s="30">
        <v>2.2920183178010345</v>
      </c>
      <c r="E223"/>
      <c r="AE223" s="27" t="s">
        <v>8</v>
      </c>
      <c r="BG223" s="31"/>
    </row>
    <row r="224" spans="1:73" x14ac:dyDescent="0.25">
      <c r="A224" s="30">
        <v>2.1828745883819374</v>
      </c>
      <c r="E224"/>
      <c r="AE224" s="27" t="s">
        <v>8</v>
      </c>
    </row>
    <row r="225" spans="1:54" x14ac:dyDescent="0.25">
      <c r="A225" s="30">
        <v>2.0789281794113688</v>
      </c>
      <c r="E225"/>
      <c r="AE225" s="27" t="s">
        <v>8</v>
      </c>
    </row>
    <row r="226" spans="1:54" x14ac:dyDescent="0.25">
      <c r="A226" s="30">
        <v>1.9799315994393987</v>
      </c>
      <c r="E226"/>
      <c r="AE226" s="27" t="s">
        <v>8</v>
      </c>
    </row>
    <row r="227" spans="1:54" x14ac:dyDescent="0.25">
      <c r="A227" s="30">
        <v>1.8856491423232367</v>
      </c>
      <c r="E227"/>
      <c r="AE227" s="27" t="s">
        <v>8</v>
      </c>
    </row>
    <row r="228" spans="1:54" x14ac:dyDescent="0.25">
      <c r="A228" s="30">
        <v>1.7958563260221301</v>
      </c>
      <c r="C228" s="7"/>
      <c r="D228"/>
      <c r="E228"/>
      <c r="AE228" s="27" t="s">
        <v>8</v>
      </c>
      <c r="BB228" s="31"/>
    </row>
    <row r="229" spans="1:54" x14ac:dyDescent="0.25">
      <c r="A229" s="30">
        <v>1.7103393581163142</v>
      </c>
      <c r="E229"/>
      <c r="AE229" s="27" t="s">
        <v>8</v>
      </c>
    </row>
    <row r="230" spans="1:54" x14ac:dyDescent="0.25">
      <c r="A230" s="30">
        <v>1.628894626777442</v>
      </c>
      <c r="E230"/>
      <c r="AC230" s="27" t="s">
        <v>8</v>
      </c>
      <c r="AE230" s="27" t="s">
        <v>8</v>
      </c>
    </row>
    <row r="231" spans="1:54" x14ac:dyDescent="0.25">
      <c r="A231" s="30">
        <v>1.5513282159785162</v>
      </c>
      <c r="C231"/>
      <c r="D231"/>
      <c r="E231"/>
      <c r="AC231" s="27" t="s">
        <v>8</v>
      </c>
      <c r="AD231" s="27" t="s">
        <v>7</v>
      </c>
      <c r="AE231" s="27" t="s">
        <v>8</v>
      </c>
    </row>
    <row r="232" spans="1:54" x14ac:dyDescent="0.25">
      <c r="A232" s="30">
        <v>1.477455443789063</v>
      </c>
      <c r="E232"/>
      <c r="AC232" s="27" t="s">
        <v>8</v>
      </c>
      <c r="AD232" s="27" t="s">
        <v>7</v>
      </c>
      <c r="AE232" s="27" t="s">
        <v>8</v>
      </c>
    </row>
    <row r="233" spans="1:54" x14ac:dyDescent="0.25">
      <c r="A233" s="30">
        <v>1.4071004226562505</v>
      </c>
      <c r="E233"/>
      <c r="AC233" s="27" t="s">
        <v>8</v>
      </c>
      <c r="AD233" s="27" t="s">
        <v>7</v>
      </c>
    </row>
    <row r="234" spans="1:54" x14ac:dyDescent="0.25">
      <c r="A234" s="30">
        <v>1.3400956406250004</v>
      </c>
      <c r="E234"/>
      <c r="AA234" s="27" t="s">
        <v>8</v>
      </c>
      <c r="AC234" s="27" t="s">
        <v>8</v>
      </c>
      <c r="AV234" s="31"/>
    </row>
    <row r="235" spans="1:54" x14ac:dyDescent="0.25">
      <c r="A235" s="30">
        <v>1.2762815625000004</v>
      </c>
      <c r="C235"/>
      <c r="E235"/>
      <c r="AA235" s="27" t="s">
        <v>8</v>
      </c>
      <c r="AB235" s="27" t="s">
        <v>7</v>
      </c>
      <c r="AC235" s="27" t="s">
        <v>8</v>
      </c>
    </row>
    <row r="236" spans="1:54" x14ac:dyDescent="0.25">
      <c r="A236" s="30">
        <v>1.2155062500000002</v>
      </c>
      <c r="E236"/>
      <c r="AA236" s="27" t="s">
        <v>8</v>
      </c>
      <c r="AB236" s="27" t="s">
        <v>7</v>
      </c>
      <c r="AC236" s="27" t="s">
        <v>8</v>
      </c>
    </row>
    <row r="237" spans="1:5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A237" s="27" t="s">
        <v>8</v>
      </c>
      <c r="AB237" s="27" t="s">
        <v>7</v>
      </c>
    </row>
    <row r="238" spans="1:54" x14ac:dyDescent="0.25">
      <c r="A238" s="30">
        <v>1.1025</v>
      </c>
      <c r="E238"/>
      <c r="AA238" s="27" t="s">
        <v>8</v>
      </c>
    </row>
    <row r="239" spans="1:54" x14ac:dyDescent="0.25">
      <c r="A239" s="30">
        <v>1.05</v>
      </c>
      <c r="E239"/>
      <c r="AA239" s="27" t="s">
        <v>8</v>
      </c>
    </row>
    <row r="240" spans="1:54" x14ac:dyDescent="0.25">
      <c r="A240" s="30">
        <v>1</v>
      </c>
      <c r="E240" s="29" t="s">
        <v>8</v>
      </c>
      <c r="Y240" s="27" t="s">
        <v>8</v>
      </c>
      <c r="AA240" s="27" t="s">
        <v>8</v>
      </c>
      <c r="AP240" s="31"/>
    </row>
    <row r="241" spans="1:38" x14ac:dyDescent="0.25">
      <c r="A241" s="30">
        <v>0.952380952380952</v>
      </c>
      <c r="B241"/>
      <c r="C241"/>
      <c r="D241"/>
      <c r="E241"/>
      <c r="F241" s="27" t="s">
        <v>7</v>
      </c>
      <c r="W241" s="27" t="s">
        <v>8</v>
      </c>
      <c r="Y241" s="27" t="s">
        <v>8</v>
      </c>
      <c r="Z241" s="27" t="s">
        <v>7</v>
      </c>
      <c r="AA241" s="27" t="s">
        <v>8</v>
      </c>
    </row>
    <row r="242" spans="1:38" x14ac:dyDescent="0.25">
      <c r="A242" s="30">
        <v>0.90702947845804915</v>
      </c>
      <c r="B242"/>
      <c r="C242"/>
      <c r="D242"/>
      <c r="E242"/>
      <c r="F242" s="27" t="s">
        <v>7</v>
      </c>
      <c r="W242" s="27" t="s">
        <v>8</v>
      </c>
      <c r="X242" s="27" t="s">
        <v>7</v>
      </c>
      <c r="Y242" s="27" t="s">
        <v>8</v>
      </c>
      <c r="Z242" s="27" t="s">
        <v>7</v>
      </c>
      <c r="AA242" s="27" t="s">
        <v>8</v>
      </c>
    </row>
    <row r="243" spans="1:38" x14ac:dyDescent="0.25">
      <c r="A243" s="30">
        <v>0.86383759853147501</v>
      </c>
      <c r="B243"/>
      <c r="C243"/>
      <c r="D243"/>
      <c r="E243"/>
      <c r="F243" s="27" t="s">
        <v>7</v>
      </c>
      <c r="W243" s="27" t="s">
        <v>8</v>
      </c>
      <c r="X243" s="27" t="s">
        <v>7</v>
      </c>
      <c r="Y243" s="27" t="s">
        <v>8</v>
      </c>
      <c r="Z243" s="27" t="s">
        <v>7</v>
      </c>
      <c r="AA243" s="27" t="s">
        <v>8</v>
      </c>
    </row>
    <row r="244" spans="1:38" x14ac:dyDescent="0.25">
      <c r="A244" s="30">
        <v>0.82270247479188063</v>
      </c>
      <c r="B244"/>
      <c r="C244"/>
      <c r="D244"/>
      <c r="E244"/>
      <c r="F244" s="27" t="s">
        <v>7</v>
      </c>
      <c r="W244" s="27" t="s">
        <v>8</v>
      </c>
      <c r="X244" s="27" t="s">
        <v>7</v>
      </c>
      <c r="Y244" s="27" t="s">
        <v>8</v>
      </c>
      <c r="Z244" s="27" t="s">
        <v>7</v>
      </c>
      <c r="AA244" s="27" t="s">
        <v>8</v>
      </c>
      <c r="AL244" s="31"/>
    </row>
    <row r="245" spans="1:38" x14ac:dyDescent="0.25">
      <c r="A245" s="30">
        <v>0.78352616646845741</v>
      </c>
      <c r="B245"/>
      <c r="C245"/>
      <c r="D245"/>
      <c r="E245"/>
      <c r="F245" s="27" t="s">
        <v>7</v>
      </c>
      <c r="W245" s="27" t="s">
        <v>8</v>
      </c>
      <c r="X245" s="27" t="s">
        <v>7</v>
      </c>
      <c r="Y245" s="27" t="s">
        <v>8</v>
      </c>
      <c r="Z245" s="27" t="s">
        <v>7</v>
      </c>
    </row>
    <row r="246" spans="1:38" x14ac:dyDescent="0.25">
      <c r="A246" s="30">
        <v>0.74621539663662584</v>
      </c>
      <c r="B246"/>
      <c r="C246"/>
      <c r="D246"/>
      <c r="E246"/>
      <c r="F246" s="27" t="s">
        <v>7</v>
      </c>
      <c r="W246" s="27" t="s">
        <v>8</v>
      </c>
      <c r="X246" s="27" t="s">
        <v>7</v>
      </c>
      <c r="Y246" s="27" t="s">
        <v>8</v>
      </c>
    </row>
    <row r="247" spans="1:38" x14ac:dyDescent="0.25">
      <c r="A247" s="30">
        <v>0.71068133013011958</v>
      </c>
      <c r="B247"/>
      <c r="C247"/>
      <c r="D247"/>
      <c r="E247"/>
      <c r="F247" s="27" t="s">
        <v>7</v>
      </c>
      <c r="W247" s="27" t="s">
        <v>8</v>
      </c>
      <c r="X247" s="27" t="s">
        <v>7</v>
      </c>
    </row>
    <row r="248" spans="1:38" x14ac:dyDescent="0.25">
      <c r="A248" s="30">
        <v>0.676839362028685</v>
      </c>
      <c r="B248"/>
      <c r="C248"/>
      <c r="D248"/>
      <c r="E248"/>
      <c r="F248" s="27" t="s">
        <v>7</v>
      </c>
      <c r="W248" s="27" t="s">
        <v>8</v>
      </c>
      <c r="AH248" s="31"/>
    </row>
    <row r="249" spans="1:38" x14ac:dyDescent="0.25">
      <c r="A249" s="30">
        <v>0.64460891621779492</v>
      </c>
      <c r="B249"/>
      <c r="C249"/>
      <c r="D249"/>
      <c r="E249"/>
      <c r="F249" s="27" t="s">
        <v>7</v>
      </c>
      <c r="W249" s="27" t="s">
        <v>8</v>
      </c>
    </row>
    <row r="250" spans="1:38" x14ac:dyDescent="0.25">
      <c r="A250" s="30">
        <v>0.61391325354075688</v>
      </c>
      <c r="B250"/>
      <c r="C250"/>
      <c r="D250"/>
      <c r="E250"/>
      <c r="F250" s="27" t="s">
        <v>7</v>
      </c>
      <c r="W250" s="27" t="s">
        <v>8</v>
      </c>
    </row>
    <row r="251" spans="1:38" x14ac:dyDescent="0.25">
      <c r="A251" s="30">
        <v>0.58467928908643485</v>
      </c>
      <c r="B251"/>
      <c r="C251"/>
      <c r="D251"/>
      <c r="E251"/>
      <c r="F251" s="27" t="s">
        <v>7</v>
      </c>
      <c r="W251" s="27" t="s">
        <v>8</v>
      </c>
    </row>
    <row r="252" spans="1:38" x14ac:dyDescent="0.25">
      <c r="A252" s="30">
        <v>0.55683741817755672</v>
      </c>
      <c r="B252"/>
      <c r="C252"/>
      <c r="D252"/>
      <c r="E252"/>
      <c r="F252" s="27" t="s">
        <v>7</v>
      </c>
      <c r="I252" s="27" t="s">
        <v>8</v>
      </c>
      <c r="W252" s="27" t="s">
        <v>8</v>
      </c>
    </row>
    <row r="253" spans="1:38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I253" s="27" t="s">
        <v>8</v>
      </c>
      <c r="J253" s="27" t="s">
        <v>7</v>
      </c>
      <c r="S253" s="27" t="s">
        <v>8</v>
      </c>
      <c r="U253" s="27" t="s">
        <v>8</v>
      </c>
      <c r="W253" s="27" t="s">
        <v>8</v>
      </c>
    </row>
    <row r="254" spans="1:38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I254" s="27" t="s">
        <v>8</v>
      </c>
      <c r="J254" s="27" t="s">
        <v>7</v>
      </c>
      <c r="S254" s="27" t="s">
        <v>8</v>
      </c>
      <c r="T254" s="27" t="s">
        <v>7</v>
      </c>
      <c r="U254" s="27" t="s">
        <v>8</v>
      </c>
      <c r="V254" s="27" t="s">
        <v>7</v>
      </c>
      <c r="W254" s="27" t="s">
        <v>8</v>
      </c>
      <c r="AB254" s="31"/>
    </row>
    <row r="255" spans="1:38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I255" s="27" t="s">
        <v>8</v>
      </c>
      <c r="J255" s="27" t="s">
        <v>7</v>
      </c>
      <c r="S255" s="27" t="s">
        <v>8</v>
      </c>
      <c r="T255" s="27" t="s">
        <v>7</v>
      </c>
      <c r="U255" s="27" t="s">
        <v>8</v>
      </c>
      <c r="V255" s="27" t="s">
        <v>7</v>
      </c>
      <c r="W255" s="27" t="s">
        <v>8</v>
      </c>
    </row>
    <row r="256" spans="1:38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J256" s="27" t="s">
        <v>7</v>
      </c>
      <c r="S256" s="27" t="s">
        <v>8</v>
      </c>
      <c r="T256" s="27" t="s">
        <v>7</v>
      </c>
      <c r="V256" s="27" t="s">
        <v>7</v>
      </c>
    </row>
    <row r="257" spans="1:24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J257" s="27" t="s">
        <v>7</v>
      </c>
      <c r="S257" s="27" t="s">
        <v>8</v>
      </c>
    </row>
    <row r="258" spans="1:24" x14ac:dyDescent="0.25">
      <c r="A258" s="30">
        <v>0.41552065486748019</v>
      </c>
      <c r="B258"/>
      <c r="C258"/>
      <c r="D258"/>
      <c r="E258"/>
      <c r="F258" s="27" t="s">
        <v>7</v>
      </c>
      <c r="J258" s="27" t="s">
        <v>7</v>
      </c>
      <c r="Q258" s="27" t="s">
        <v>8</v>
      </c>
      <c r="S258" s="27" t="s">
        <v>8</v>
      </c>
      <c r="X258" s="31"/>
    </row>
    <row r="259" spans="1:24" x14ac:dyDescent="0.25">
      <c r="A259" s="30">
        <v>0.39573395701664765</v>
      </c>
      <c r="B259"/>
      <c r="C259"/>
      <c r="D259"/>
      <c r="E259"/>
      <c r="J259" s="27" t="s">
        <v>7</v>
      </c>
      <c r="Q259" s="27" t="s">
        <v>8</v>
      </c>
      <c r="R259" s="27" t="s">
        <v>7</v>
      </c>
      <c r="S259" s="27" t="s">
        <v>8</v>
      </c>
    </row>
    <row r="260" spans="1:24" x14ac:dyDescent="0.25">
      <c r="A260" s="30">
        <v>0.37688948287299762</v>
      </c>
      <c r="B260"/>
      <c r="C260"/>
      <c r="D260"/>
      <c r="E260"/>
      <c r="J260" s="27" t="s">
        <v>7</v>
      </c>
      <c r="K260" s="27" t="s">
        <v>8</v>
      </c>
      <c r="Q260" s="27" t="s">
        <v>8</v>
      </c>
      <c r="R260" s="27" t="s">
        <v>7</v>
      </c>
      <c r="S260" s="27" t="s">
        <v>8</v>
      </c>
      <c r="V260" s="31"/>
    </row>
    <row r="261" spans="1:24" x14ac:dyDescent="0.25">
      <c r="A261" s="30">
        <v>0.35894236464094997</v>
      </c>
      <c r="B261"/>
      <c r="C261"/>
      <c r="D261"/>
      <c r="E261"/>
      <c r="J261" s="27" t="s">
        <v>7</v>
      </c>
      <c r="K261" s="27" t="s">
        <v>8</v>
      </c>
      <c r="L261" s="27" t="s">
        <v>7</v>
      </c>
      <c r="M261" s="27" t="s">
        <v>8</v>
      </c>
      <c r="Q261" s="27" t="s">
        <v>8</v>
      </c>
      <c r="R261" s="27" t="s">
        <v>7</v>
      </c>
      <c r="S261" s="27" t="s">
        <v>8</v>
      </c>
      <c r="U261" s="31"/>
    </row>
    <row r="262" spans="1:24" x14ac:dyDescent="0.25">
      <c r="A262" s="30">
        <v>0.34184987108661891</v>
      </c>
      <c r="B262"/>
      <c r="C262"/>
      <c r="D262"/>
      <c r="E262"/>
      <c r="J262" s="27" t="s">
        <v>7</v>
      </c>
      <c r="K262" s="27" t="s">
        <v>8</v>
      </c>
      <c r="L262" s="27" t="s">
        <v>7</v>
      </c>
      <c r="M262" s="27" t="s">
        <v>8</v>
      </c>
      <c r="N262" s="27" t="s">
        <v>7</v>
      </c>
      <c r="O262" s="27" t="s">
        <v>8</v>
      </c>
      <c r="Q262" s="27" t="s">
        <v>8</v>
      </c>
      <c r="R262" s="27" t="s">
        <v>7</v>
      </c>
      <c r="T262" s="31"/>
    </row>
    <row r="263" spans="1:24" x14ac:dyDescent="0.25">
      <c r="A263" s="30">
        <v>0.32557130579677979</v>
      </c>
      <c r="B263"/>
      <c r="C263"/>
      <c r="D263"/>
      <c r="E263"/>
      <c r="J263" s="27" t="s">
        <v>7</v>
      </c>
      <c r="K263" s="27" t="s">
        <v>8</v>
      </c>
      <c r="L263" s="27" t="s">
        <v>7</v>
      </c>
      <c r="M263" s="27" t="s">
        <v>8</v>
      </c>
      <c r="N263" s="27" t="s">
        <v>7</v>
      </c>
      <c r="O263" s="27" t="s">
        <v>8</v>
      </c>
      <c r="P263" s="27" t="s">
        <v>7</v>
      </c>
      <c r="Q263" s="27" t="s">
        <v>8</v>
      </c>
      <c r="S263" s="31"/>
    </row>
    <row r="264" spans="1:24" x14ac:dyDescent="0.25">
      <c r="A264" s="30">
        <v>0.3100679102826473</v>
      </c>
      <c r="B264"/>
      <c r="C264"/>
      <c r="D264"/>
      <c r="E264"/>
      <c r="J264" s="27" t="s">
        <v>7</v>
      </c>
      <c r="L264" s="27" t="s">
        <v>7</v>
      </c>
      <c r="N264" s="27" t="s">
        <v>7</v>
      </c>
      <c r="O264" s="27" t="s">
        <v>8</v>
      </c>
      <c r="P264" s="27" t="s">
        <v>7</v>
      </c>
      <c r="Q264" s="27" t="s">
        <v>8</v>
      </c>
      <c r="R264" s="31"/>
    </row>
    <row r="265" spans="1:24" x14ac:dyDescent="0.25">
      <c r="A265" s="30">
        <v>0.2953027716977592</v>
      </c>
      <c r="B265"/>
      <c r="C265"/>
      <c r="D265"/>
      <c r="E265"/>
      <c r="N265" s="27" t="s">
        <v>7</v>
      </c>
      <c r="P265" s="27" t="s">
        <v>7</v>
      </c>
      <c r="Q265" s="31" t="s">
        <v>8</v>
      </c>
    </row>
    <row r="266" spans="1:24" x14ac:dyDescent="0.25">
      <c r="A266" s="30">
        <v>0.28124073495024676</v>
      </c>
      <c r="B266"/>
      <c r="C266"/>
      <c r="D266"/>
      <c r="E266"/>
      <c r="P266" s="31" t="s">
        <v>7</v>
      </c>
    </row>
    <row r="267" spans="1:24" x14ac:dyDescent="0.25">
      <c r="A267" s="30">
        <v>0.26784831900023492</v>
      </c>
      <c r="B267"/>
      <c r="C267"/>
      <c r="D267"/>
      <c r="E267"/>
    </row>
    <row r="268" spans="1:24" x14ac:dyDescent="0.25">
      <c r="A268" s="30">
        <v>0.25509363714308075</v>
      </c>
      <c r="B268"/>
      <c r="C268"/>
      <c r="D268"/>
      <c r="E268"/>
    </row>
    <row r="269" spans="1:24" x14ac:dyDescent="0.25">
      <c r="A269" s="30">
        <v>0.24294632108864825</v>
      </c>
      <c r="B269"/>
      <c r="C269"/>
      <c r="D269"/>
      <c r="E269"/>
    </row>
    <row r="270" spans="1:24" x14ac:dyDescent="0.25">
      <c r="A270" s="30">
        <v>0.23137744865585538</v>
      </c>
      <c r="B270"/>
      <c r="C270"/>
      <c r="D270"/>
      <c r="E270"/>
    </row>
    <row r="271" spans="1:24" x14ac:dyDescent="0.25">
      <c r="A271" s="30">
        <v>0.22035947491033836</v>
      </c>
      <c r="B271"/>
      <c r="C271"/>
      <c r="D271"/>
      <c r="E271"/>
    </row>
    <row r="272" spans="1:24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45" operator="equal">
      <formula>$U$1</formula>
    </cfRule>
    <cfRule type="cellIs" dxfId="67" priority="946" operator="equal">
      <formula>$S$1</formula>
    </cfRule>
  </conditionalFormatting>
  <conditionalFormatting sqref="D136">
    <cfRule type="cellIs" dxfId="66" priority="943" operator="equal">
      <formula>$S$1</formula>
    </cfRule>
    <cfRule type="cellIs" dxfId="65" priority="944" operator="equal">
      <formula>$U$1</formula>
    </cfRule>
  </conditionalFormatting>
  <conditionalFormatting sqref="C162">
    <cfRule type="cellIs" dxfId="64" priority="941" operator="equal">
      <formula>$U$1</formula>
    </cfRule>
    <cfRule type="cellIs" dxfId="63" priority="942" operator="equal">
      <formula>$S$1</formula>
    </cfRule>
  </conditionalFormatting>
  <conditionalFormatting sqref="D162">
    <cfRule type="cellIs" dxfId="62" priority="939" operator="equal">
      <formula>$S$1</formula>
    </cfRule>
    <cfRule type="cellIs" dxfId="61" priority="940" operator="equal">
      <formula>$U$1</formula>
    </cfRule>
  </conditionalFormatting>
  <conditionalFormatting sqref="C187">
    <cfRule type="cellIs" dxfId="60" priority="937" operator="equal">
      <formula>$U$1</formula>
    </cfRule>
    <cfRule type="cellIs" dxfId="59" priority="938" operator="equal">
      <formula>$S$1</formula>
    </cfRule>
  </conditionalFormatting>
  <conditionalFormatting sqref="D187">
    <cfRule type="cellIs" dxfId="58" priority="935" operator="equal">
      <formula>$S$1</formula>
    </cfRule>
    <cfRule type="cellIs" dxfId="57" priority="936" operator="equal">
      <formula>$U$1</formula>
    </cfRule>
  </conditionalFormatting>
  <conditionalFormatting sqref="C212">
    <cfRule type="cellIs" dxfId="56" priority="933" operator="equal">
      <formula>$U$1</formula>
    </cfRule>
    <cfRule type="cellIs" dxfId="55" priority="934" operator="equal">
      <formula>$S$1</formula>
    </cfRule>
  </conditionalFormatting>
  <conditionalFormatting sqref="D212">
    <cfRule type="cellIs" dxfId="54" priority="931" operator="equal">
      <formula>$S$1</formula>
    </cfRule>
    <cfRule type="cellIs" dxfId="53" priority="932" operator="equal">
      <formula>$U$1</formula>
    </cfRule>
  </conditionalFormatting>
  <conditionalFormatting sqref="C237">
    <cfRule type="cellIs" dxfId="52" priority="929" operator="equal">
      <formula>$U$1</formula>
    </cfRule>
    <cfRule type="cellIs" dxfId="51" priority="930" operator="equal">
      <formula>$S$1</formula>
    </cfRule>
  </conditionalFormatting>
  <conditionalFormatting sqref="D237">
    <cfRule type="cellIs" dxfId="50" priority="927" operator="equal">
      <formula>$S$1</formula>
    </cfRule>
    <cfRule type="cellIs" dxfId="49" priority="928" operator="equal">
      <formula>$U$1</formula>
    </cfRule>
  </conditionalFormatting>
  <conditionalFormatting sqref="C106">
    <cfRule type="cellIs" dxfId="48" priority="925" operator="equal">
      <formula>$U$1</formula>
    </cfRule>
    <cfRule type="cellIs" dxfId="47" priority="926" operator="equal">
      <formula>$S$1</formula>
    </cfRule>
  </conditionalFormatting>
  <conditionalFormatting sqref="D106">
    <cfRule type="cellIs" dxfId="46" priority="923" operator="equal">
      <formula>$S$1</formula>
    </cfRule>
    <cfRule type="cellIs" dxfId="45" priority="924" operator="equal">
      <formula>$U$1</formula>
    </cfRule>
  </conditionalFormatting>
  <conditionalFormatting sqref="C81">
    <cfRule type="cellIs" dxfId="44" priority="921" operator="equal">
      <formula>$U$1</formula>
    </cfRule>
    <cfRule type="cellIs" dxfId="43" priority="922" operator="equal">
      <formula>$S$1</formula>
    </cfRule>
  </conditionalFormatting>
  <conditionalFormatting sqref="D81">
    <cfRule type="cellIs" dxfId="42" priority="919" operator="equal">
      <formula>$S$1</formula>
    </cfRule>
    <cfRule type="cellIs" dxfId="41" priority="920" operator="equal">
      <formula>$U$1</formula>
    </cfRule>
  </conditionalFormatting>
  <conditionalFormatting sqref="C56">
    <cfRule type="cellIs" dxfId="40" priority="917" operator="equal">
      <formula>$U$1</formula>
    </cfRule>
    <cfRule type="cellIs" dxfId="39" priority="918" operator="equal">
      <formula>$S$1</formula>
    </cfRule>
  </conditionalFormatting>
  <conditionalFormatting sqref="D56">
    <cfRule type="cellIs" dxfId="38" priority="915" operator="equal">
      <formula>$S$1</formula>
    </cfRule>
    <cfRule type="cellIs" dxfId="37" priority="916" operator="equal">
      <formula>$U$1</formula>
    </cfRule>
  </conditionalFormatting>
  <conditionalFormatting sqref="C31">
    <cfRule type="cellIs" dxfId="36" priority="913" operator="equal">
      <formula>$U$1</formula>
    </cfRule>
    <cfRule type="cellIs" dxfId="35" priority="914" operator="equal">
      <formula>$S$1</formula>
    </cfRule>
  </conditionalFormatting>
  <conditionalFormatting sqref="D31">
    <cfRule type="cellIs" dxfId="34" priority="911" operator="equal">
      <formula>$S$1</formula>
    </cfRule>
    <cfRule type="cellIs" dxfId="33" priority="91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4" zoomScale="90" zoomScaleNormal="90" workbookViewId="0">
      <pane xSplit="4" topLeftCell="G1" activePane="topRight" state="frozen"/>
      <selection activeCell="A109" sqref="A109"/>
      <selection pane="topRight" activeCell="AJ79" sqref="AJ7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36" x14ac:dyDescent="0.25">
      <c r="A65" s="30">
        <v>207.96505671840671</v>
      </c>
      <c r="E65"/>
    </row>
    <row r="66" spans="1:36" x14ac:dyDescent="0.25">
      <c r="A66" s="30">
        <v>189.05914247127882</v>
      </c>
      <c r="E66"/>
    </row>
    <row r="67" spans="1:36" x14ac:dyDescent="0.25">
      <c r="A67" s="30">
        <v>171.87194770116255</v>
      </c>
      <c r="C67" s="1" t="s">
        <v>15</v>
      </c>
      <c r="E67"/>
    </row>
    <row r="68" spans="1:36" x14ac:dyDescent="0.25">
      <c r="A68" s="30">
        <v>156.24722518287504</v>
      </c>
      <c r="C68" s="7">
        <v>0.11167815779424731</v>
      </c>
      <c r="D68"/>
      <c r="E68"/>
    </row>
    <row r="69" spans="1:36" x14ac:dyDescent="0.25">
      <c r="A69" s="30">
        <v>142.04293198443185</v>
      </c>
      <c r="E69"/>
    </row>
    <row r="70" spans="1:36" x14ac:dyDescent="0.25">
      <c r="A70" s="30">
        <v>129.1299381676653</v>
      </c>
      <c r="C70" s="1" t="s">
        <v>11</v>
      </c>
      <c r="D70" s="1" t="s">
        <v>12</v>
      </c>
      <c r="E70"/>
    </row>
    <row r="71" spans="1:36" x14ac:dyDescent="0.25">
      <c r="A71" s="30">
        <v>117.39085287969573</v>
      </c>
      <c r="C71"/>
      <c r="D71"/>
      <c r="E71"/>
    </row>
    <row r="72" spans="1:36" x14ac:dyDescent="0.25">
      <c r="A72" s="30">
        <v>106.71895716335975</v>
      </c>
      <c r="E72"/>
    </row>
    <row r="73" spans="1:36" x14ac:dyDescent="0.25">
      <c r="A73" s="30">
        <v>97.017233784872488</v>
      </c>
      <c r="C73" s="1" t="s">
        <v>13</v>
      </c>
      <c r="E73"/>
      <c r="AI73" s="27" t="s">
        <v>8</v>
      </c>
    </row>
    <row r="74" spans="1:36" x14ac:dyDescent="0.25">
      <c r="A74" s="30">
        <v>88.197485258974979</v>
      </c>
      <c r="C74" s="1">
        <f>C63</f>
        <v>0</v>
      </c>
      <c r="E74"/>
      <c r="AI74" s="27" t="s">
        <v>8</v>
      </c>
      <c r="AJ74" s="27" t="s">
        <v>7</v>
      </c>
    </row>
    <row r="75" spans="1:36" x14ac:dyDescent="0.25">
      <c r="A75" s="30">
        <v>80.179532053613613</v>
      </c>
      <c r="C75"/>
      <c r="D75"/>
      <c r="E75"/>
      <c r="AI75" s="27" t="s">
        <v>8</v>
      </c>
      <c r="AJ75" s="27" t="s">
        <v>7</v>
      </c>
    </row>
    <row r="76" spans="1:36" x14ac:dyDescent="0.25">
      <c r="A76" s="30">
        <v>72.890483685103277</v>
      </c>
      <c r="C76" s="1" t="s">
        <v>14</v>
      </c>
      <c r="E76"/>
      <c r="AG76" s="27" t="s">
        <v>8</v>
      </c>
      <c r="AI76" s="27" t="s">
        <v>8</v>
      </c>
      <c r="AJ76" s="27" t="s">
        <v>7</v>
      </c>
    </row>
    <row r="77" spans="1:36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AG77" s="27" t="s">
        <v>8</v>
      </c>
      <c r="AH77" s="27" t="s">
        <v>7</v>
      </c>
      <c r="AI77" s="27" t="s">
        <v>8</v>
      </c>
      <c r="AJ77" s="27" t="s">
        <v>7</v>
      </c>
    </row>
    <row r="78" spans="1:36" x14ac:dyDescent="0.25">
      <c r="A78" s="30">
        <v>60.240069161242367</v>
      </c>
      <c r="E78"/>
      <c r="AG78" s="27" t="s">
        <v>8</v>
      </c>
      <c r="AH78" s="27" t="s">
        <v>7</v>
      </c>
      <c r="AI78" s="27" t="s">
        <v>8</v>
      </c>
      <c r="AJ78" s="27" t="s">
        <v>7</v>
      </c>
    </row>
    <row r="79" spans="1:36" x14ac:dyDescent="0.25">
      <c r="A79" s="30">
        <v>54.763699237493057</v>
      </c>
      <c r="E79"/>
      <c r="AE79" s="27" t="s">
        <v>8</v>
      </c>
      <c r="AG79" s="27" t="s">
        <v>8</v>
      </c>
      <c r="AH79" s="27" t="s">
        <v>7</v>
      </c>
      <c r="AJ79" s="27" t="s">
        <v>7</v>
      </c>
    </row>
    <row r="80" spans="1:36" x14ac:dyDescent="0.25">
      <c r="A80" s="30">
        <v>49.785181124993684</v>
      </c>
      <c r="E80"/>
      <c r="AE80" s="27" t="s">
        <v>8</v>
      </c>
      <c r="AF80" s="27" t="s">
        <v>7</v>
      </c>
      <c r="AG80" s="27" t="s">
        <v>8</v>
      </c>
    </row>
    <row r="81" spans="1:38" x14ac:dyDescent="0.25">
      <c r="A81" s="30">
        <v>45.259255568176073</v>
      </c>
      <c r="E81"/>
      <c r="AE81" s="27" t="s">
        <v>8</v>
      </c>
      <c r="AF81" s="27" t="s">
        <v>7</v>
      </c>
      <c r="AG81" s="27" t="s">
        <v>8</v>
      </c>
    </row>
    <row r="82" spans="1:38" x14ac:dyDescent="0.25">
      <c r="A82" s="30">
        <v>41.144777789250973</v>
      </c>
      <c r="E82"/>
      <c r="AC82" s="27" t="s">
        <v>8</v>
      </c>
      <c r="AE82" s="27" t="s">
        <v>8</v>
      </c>
      <c r="AF82" s="27" t="s">
        <v>7</v>
      </c>
    </row>
    <row r="83" spans="1:38" x14ac:dyDescent="0.25">
      <c r="A83" s="30">
        <v>37.404343444773609</v>
      </c>
      <c r="E83"/>
      <c r="AC83" s="27" t="s">
        <v>8</v>
      </c>
      <c r="AD83" s="27" t="s">
        <v>7</v>
      </c>
      <c r="AE83" s="27" t="s">
        <v>8</v>
      </c>
    </row>
    <row r="84" spans="1:38" x14ac:dyDescent="0.25">
      <c r="A84" s="30">
        <v>34.003948586157826</v>
      </c>
      <c r="E84"/>
      <c r="AA84" s="27" t="s">
        <v>8</v>
      </c>
      <c r="AC84" s="27" t="s">
        <v>8</v>
      </c>
      <c r="AD84" s="27" t="s">
        <v>7</v>
      </c>
      <c r="AE84" s="27" t="s">
        <v>8</v>
      </c>
    </row>
    <row r="85" spans="1:38" x14ac:dyDescent="0.25">
      <c r="A85" s="30">
        <v>30.912680532870748</v>
      </c>
      <c r="E85"/>
      <c r="AA85" s="27" t="s">
        <v>8</v>
      </c>
      <c r="AB85" s="27" t="s">
        <v>7</v>
      </c>
      <c r="AC85" s="27" t="s">
        <v>8</v>
      </c>
      <c r="AD85" s="27" t="s">
        <v>7</v>
      </c>
      <c r="AE85" s="27" t="s">
        <v>8</v>
      </c>
    </row>
    <row r="86" spans="1:38" x14ac:dyDescent="0.25">
      <c r="A86" s="30">
        <v>28.102436848064315</v>
      </c>
      <c r="E86"/>
      <c r="AA86" s="27" t="s">
        <v>8</v>
      </c>
      <c r="AB86" s="27" t="s">
        <v>7</v>
      </c>
      <c r="AC86" s="27" t="s">
        <v>8</v>
      </c>
      <c r="AD86" s="27" t="s">
        <v>7</v>
      </c>
      <c r="AE86" s="27" t="s">
        <v>8</v>
      </c>
    </row>
    <row r="87" spans="1:38" x14ac:dyDescent="0.25">
      <c r="A87" s="30">
        <v>25.547669861876649</v>
      </c>
      <c r="E87"/>
      <c r="AA87" s="27" t="s">
        <v>8</v>
      </c>
      <c r="AB87" s="27" t="s">
        <v>7</v>
      </c>
      <c r="AC87" s="27" t="s">
        <v>8</v>
      </c>
      <c r="AD87" s="27" t="s">
        <v>7</v>
      </c>
    </row>
    <row r="88" spans="1:38" x14ac:dyDescent="0.25">
      <c r="A88" s="30">
        <v>23.225154419887861</v>
      </c>
      <c r="E88"/>
      <c r="AA88" s="27" t="s">
        <v>8</v>
      </c>
      <c r="AB88" s="27" t="s">
        <v>7</v>
      </c>
    </row>
    <row r="89" spans="1:38" x14ac:dyDescent="0.25">
      <c r="A89" s="30">
        <v>21.113776745352599</v>
      </c>
      <c r="E89"/>
      <c r="O89" s="27" t="s">
        <v>8</v>
      </c>
      <c r="AA89" s="27" t="s">
        <v>8</v>
      </c>
    </row>
    <row r="90" spans="1:38" x14ac:dyDescent="0.25">
      <c r="A90" s="30">
        <v>19.194342495775089</v>
      </c>
      <c r="E90"/>
      <c r="O90" s="27" t="s">
        <v>8</v>
      </c>
      <c r="P90" s="27" t="s">
        <v>7</v>
      </c>
      <c r="Q90" s="31" t="s">
        <v>8</v>
      </c>
      <c r="AA90" s="27" t="s">
        <v>8</v>
      </c>
    </row>
    <row r="91" spans="1:38" x14ac:dyDescent="0.25">
      <c r="A91" s="30">
        <v>17.449402268886445</v>
      </c>
      <c r="E91"/>
      <c r="O91" s="27" t="s">
        <v>8</v>
      </c>
      <c r="P91" s="27" t="s">
        <v>7</v>
      </c>
      <c r="Q91" s="27" t="s">
        <v>8</v>
      </c>
      <c r="R91" s="31" t="s">
        <v>7</v>
      </c>
      <c r="AA91" s="27" t="s">
        <v>8</v>
      </c>
      <c r="AL91" s="31"/>
    </row>
    <row r="92" spans="1:38" x14ac:dyDescent="0.25">
      <c r="A92" s="30">
        <v>15.863092971714948</v>
      </c>
      <c r="C92" s="1" t="s">
        <v>15</v>
      </c>
      <c r="E92"/>
      <c r="O92" s="27" t="s">
        <v>8</v>
      </c>
      <c r="P92" s="27" t="s">
        <v>7</v>
      </c>
      <c r="Q92" s="27" t="s">
        <v>8</v>
      </c>
      <c r="R92" s="27" t="s">
        <v>7</v>
      </c>
      <c r="S92" s="31"/>
      <c r="AA92" s="27" t="s">
        <v>8</v>
      </c>
      <c r="AK92" s="31"/>
    </row>
    <row r="93" spans="1:38" x14ac:dyDescent="0.25">
      <c r="A93" s="30">
        <v>14.420993610649951</v>
      </c>
      <c r="C93" s="7">
        <v>0.11167815779424731</v>
      </c>
      <c r="D93"/>
      <c r="E93"/>
      <c r="O93" s="27" t="s">
        <v>8</v>
      </c>
      <c r="P93" s="27" t="s">
        <v>7</v>
      </c>
      <c r="Q93" s="27" t="s">
        <v>8</v>
      </c>
      <c r="R93" s="27" t="s">
        <v>7</v>
      </c>
      <c r="T93" s="31"/>
      <c r="AA93" s="27" t="s">
        <v>8</v>
      </c>
      <c r="AJ93" s="31"/>
    </row>
    <row r="94" spans="1:38" x14ac:dyDescent="0.25">
      <c r="A94" s="30">
        <v>13.109994191499954</v>
      </c>
      <c r="E94"/>
      <c r="O94" s="27" t="s">
        <v>8</v>
      </c>
      <c r="P94" s="27" t="s">
        <v>7</v>
      </c>
      <c r="Q94" s="27" t="s">
        <v>8</v>
      </c>
      <c r="R94" s="27" t="s">
        <v>7</v>
      </c>
      <c r="U94" s="31"/>
      <c r="AA94" s="27" t="s">
        <v>8</v>
      </c>
      <c r="AI94" s="31"/>
    </row>
    <row r="95" spans="1:38" x14ac:dyDescent="0.25">
      <c r="A95" s="30">
        <v>11.918176537727231</v>
      </c>
      <c r="C95" s="1" t="s">
        <v>11</v>
      </c>
      <c r="D95" s="1" t="s">
        <v>12</v>
      </c>
      <c r="E95"/>
      <c r="O95" s="27" t="s">
        <v>8</v>
      </c>
      <c r="P95" s="27" t="s">
        <v>7</v>
      </c>
      <c r="R95" s="27" t="s">
        <v>7</v>
      </c>
      <c r="V95" s="31"/>
      <c r="AA95" s="27" t="s">
        <v>8</v>
      </c>
      <c r="AH95" s="31"/>
    </row>
    <row r="96" spans="1:38" x14ac:dyDescent="0.25">
      <c r="A96" s="30">
        <v>10.834705943388391</v>
      </c>
      <c r="C96"/>
      <c r="D96"/>
      <c r="E96"/>
      <c r="O96" s="27" t="s">
        <v>8</v>
      </c>
      <c r="R96" s="33" t="s">
        <v>7</v>
      </c>
      <c r="W96" s="31"/>
      <c r="AA96" s="27" t="s">
        <v>8</v>
      </c>
      <c r="AG96" s="31"/>
    </row>
    <row r="97" spans="1:35" x14ac:dyDescent="0.25">
      <c r="A97" s="30">
        <v>9.849732675807628</v>
      </c>
      <c r="E97"/>
      <c r="O97" s="27" t="s">
        <v>8</v>
      </c>
      <c r="R97" s="27" t="s">
        <v>7</v>
      </c>
      <c r="X97" s="31"/>
      <c r="AA97" s="27" t="s">
        <v>8</v>
      </c>
      <c r="AF97" s="31"/>
    </row>
    <row r="98" spans="1:35" x14ac:dyDescent="0.25">
      <c r="A98" s="30">
        <v>8.9543024325523888</v>
      </c>
      <c r="C98" s="1" t="s">
        <v>13</v>
      </c>
      <c r="E98"/>
      <c r="O98" s="27" t="s">
        <v>8</v>
      </c>
      <c r="R98" s="27" t="s">
        <v>7</v>
      </c>
      <c r="Y98" s="31"/>
      <c r="AA98" s="27" t="s">
        <v>8</v>
      </c>
      <c r="AE98" s="31"/>
    </row>
    <row r="99" spans="1:35" x14ac:dyDescent="0.25">
      <c r="A99" s="30">
        <v>8.140274938683989</v>
      </c>
      <c r="C99" s="1">
        <f>C88</f>
        <v>0</v>
      </c>
      <c r="E99"/>
      <c r="I99" s="27" t="s">
        <v>8</v>
      </c>
      <c r="K99" s="27" t="s">
        <v>8</v>
      </c>
      <c r="O99" s="27" t="s">
        <v>8</v>
      </c>
      <c r="R99" s="27" t="s">
        <v>7</v>
      </c>
      <c r="Y99" s="27" t="s">
        <v>8</v>
      </c>
      <c r="Z99" s="31"/>
      <c r="AA99" s="27" t="s">
        <v>8</v>
      </c>
      <c r="AD99" s="31"/>
    </row>
    <row r="100" spans="1:35" x14ac:dyDescent="0.25">
      <c r="A100" s="30">
        <v>7.4002499442581717</v>
      </c>
      <c r="C100"/>
      <c r="D100"/>
      <c r="E100"/>
      <c r="I100" s="27" t="s">
        <v>8</v>
      </c>
      <c r="J100" s="27" t="s">
        <v>7</v>
      </c>
      <c r="K100" s="27" t="s">
        <v>8</v>
      </c>
      <c r="L100" s="27" t="s">
        <v>7</v>
      </c>
      <c r="M100" s="27" t="s">
        <v>8</v>
      </c>
      <c r="O100" s="27" t="s">
        <v>8</v>
      </c>
      <c r="R100" s="27" t="s">
        <v>7</v>
      </c>
      <c r="S100" s="32" t="s">
        <v>8</v>
      </c>
      <c r="U100" s="32" t="s">
        <v>8</v>
      </c>
      <c r="Y100" s="34" t="s">
        <v>8</v>
      </c>
      <c r="Z100" s="27" t="s">
        <v>7</v>
      </c>
      <c r="AA100" s="31" t="s">
        <v>8</v>
      </c>
      <c r="AC100" s="31"/>
    </row>
    <row r="101" spans="1:35" x14ac:dyDescent="0.25">
      <c r="A101" s="30">
        <v>6.72749994932561</v>
      </c>
      <c r="C101" s="1" t="s">
        <v>14</v>
      </c>
      <c r="E101"/>
      <c r="I101" s="27" t="s">
        <v>8</v>
      </c>
      <c r="J101" s="27" t="s">
        <v>7</v>
      </c>
      <c r="K101" s="27" t="s">
        <v>8</v>
      </c>
      <c r="L101" s="27" t="s">
        <v>7</v>
      </c>
      <c r="M101" s="27" t="s">
        <v>8</v>
      </c>
      <c r="N101" s="27" t="s">
        <v>7</v>
      </c>
      <c r="O101" s="27" t="s">
        <v>8</v>
      </c>
      <c r="R101" s="27" t="s">
        <v>7</v>
      </c>
      <c r="S101" s="27" t="s">
        <v>8</v>
      </c>
      <c r="T101" s="27" t="s">
        <v>7</v>
      </c>
      <c r="U101" s="27" t="s">
        <v>8</v>
      </c>
      <c r="V101" s="27" t="s">
        <v>7</v>
      </c>
      <c r="W101" s="27" t="s">
        <v>8</v>
      </c>
      <c r="Y101" s="27" t="s">
        <v>8</v>
      </c>
      <c r="Z101" s="27" t="s">
        <v>7</v>
      </c>
      <c r="AA101" s="27" t="s">
        <v>8</v>
      </c>
      <c r="AB101" s="31"/>
    </row>
    <row r="102" spans="1:3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I102" s="27" t="s">
        <v>8</v>
      </c>
      <c r="J102" s="27" t="s">
        <v>7</v>
      </c>
      <c r="K102" s="27" t="s">
        <v>8</v>
      </c>
      <c r="L102" s="27" t="s">
        <v>7</v>
      </c>
      <c r="M102" s="27" t="s">
        <v>8</v>
      </c>
      <c r="N102" s="27" t="s">
        <v>7</v>
      </c>
      <c r="O102" s="27" t="s">
        <v>8</v>
      </c>
      <c r="R102" s="27" t="s">
        <v>7</v>
      </c>
      <c r="S102" s="27" t="s">
        <v>8</v>
      </c>
      <c r="T102" s="27" t="s">
        <v>7</v>
      </c>
      <c r="U102" s="27" t="s">
        <v>8</v>
      </c>
      <c r="V102" s="27" t="s">
        <v>7</v>
      </c>
      <c r="W102" s="27" t="s">
        <v>8</v>
      </c>
      <c r="X102" s="27" t="s">
        <v>7</v>
      </c>
      <c r="Y102" s="27" t="s">
        <v>8</v>
      </c>
      <c r="Z102" s="18" t="s">
        <v>7</v>
      </c>
      <c r="AA102" s="31"/>
    </row>
    <row r="103" spans="1:35" x14ac:dyDescent="0.25">
      <c r="A103" s="30">
        <v>5.5599173134922388</v>
      </c>
      <c r="E103"/>
      <c r="I103" s="27" t="s">
        <v>8</v>
      </c>
      <c r="J103" s="27" t="s">
        <v>7</v>
      </c>
      <c r="K103" s="27" t="s">
        <v>8</v>
      </c>
      <c r="L103" s="27" t="s">
        <v>7</v>
      </c>
      <c r="N103" s="27" t="s">
        <v>7</v>
      </c>
      <c r="O103" s="27" t="s">
        <v>8</v>
      </c>
      <c r="R103" s="27" t="s">
        <v>7</v>
      </c>
      <c r="S103" s="27" t="s">
        <v>8</v>
      </c>
      <c r="T103" s="27" t="s">
        <v>7</v>
      </c>
      <c r="V103" s="27" t="s">
        <v>7</v>
      </c>
      <c r="W103" s="27" t="s">
        <v>8</v>
      </c>
      <c r="X103" s="27" t="s">
        <v>7</v>
      </c>
      <c r="Y103" s="27" t="s">
        <v>8</v>
      </c>
      <c r="Z103" s="31"/>
    </row>
    <row r="104" spans="1:35" x14ac:dyDescent="0.25">
      <c r="A104" s="30">
        <v>5.0544702849929442</v>
      </c>
      <c r="E104"/>
      <c r="I104" s="27" t="s">
        <v>8</v>
      </c>
      <c r="J104" s="27" t="s">
        <v>7</v>
      </c>
      <c r="N104" s="27" t="s">
        <v>7</v>
      </c>
      <c r="R104" s="27" t="s">
        <v>7</v>
      </c>
      <c r="S104" s="27" t="s">
        <v>8</v>
      </c>
      <c r="V104" s="27" t="s">
        <v>7</v>
      </c>
      <c r="X104" s="27" t="s">
        <v>7</v>
      </c>
      <c r="Y104" s="31" t="s">
        <v>8</v>
      </c>
    </row>
    <row r="105" spans="1:35" x14ac:dyDescent="0.25">
      <c r="A105" s="30">
        <v>4.594972986357222</v>
      </c>
      <c r="E105"/>
      <c r="I105" s="27" t="s">
        <v>8</v>
      </c>
      <c r="R105" s="27" t="s">
        <v>7</v>
      </c>
      <c r="S105" s="27" t="s">
        <v>8</v>
      </c>
      <c r="X105" s="31" t="s">
        <v>7</v>
      </c>
    </row>
    <row r="106" spans="1:35" x14ac:dyDescent="0.25">
      <c r="A106" s="30">
        <v>4.1772481694156562</v>
      </c>
      <c r="E106"/>
      <c r="I106" s="27" t="s">
        <v>8</v>
      </c>
      <c r="R106" s="27" t="s">
        <v>7</v>
      </c>
    </row>
    <row r="107" spans="1:35" x14ac:dyDescent="0.25">
      <c r="A107" s="30">
        <v>3.7974983358324148</v>
      </c>
      <c r="E107"/>
      <c r="I107" s="27" t="s">
        <v>8</v>
      </c>
      <c r="AI107" s="31"/>
    </row>
    <row r="108" spans="1:35" x14ac:dyDescent="0.25">
      <c r="A108" s="30">
        <v>3.4522712143931042</v>
      </c>
      <c r="E108"/>
      <c r="I108" s="27" t="s">
        <v>8</v>
      </c>
      <c r="AH108" s="31"/>
    </row>
    <row r="109" spans="1:35" x14ac:dyDescent="0.25">
      <c r="A109" s="30">
        <v>3.1384283767210035</v>
      </c>
      <c r="E109"/>
      <c r="I109" s="27" t="s">
        <v>8</v>
      </c>
      <c r="AG109" s="31"/>
    </row>
    <row r="110" spans="1:35" x14ac:dyDescent="0.25">
      <c r="A110" s="30">
        <v>2.8531167061100029</v>
      </c>
      <c r="E110"/>
      <c r="I110" s="27" t="s">
        <v>8</v>
      </c>
      <c r="AF110" s="31"/>
    </row>
    <row r="111" spans="1:35" x14ac:dyDescent="0.25">
      <c r="A111" s="30">
        <v>2.5937424601000023</v>
      </c>
      <c r="C111" s="1" t="str">
        <f>ADDRESS(C121-1,1,1,1)</f>
        <v>$A$78</v>
      </c>
      <c r="D111" s="1" t="str">
        <f>ADDRESS(C121-1,D121,1,1)</f>
        <v>$AJ$78</v>
      </c>
      <c r="E111"/>
      <c r="I111" s="27" t="s">
        <v>8</v>
      </c>
      <c r="AE111" s="31"/>
    </row>
    <row r="112" spans="1:35" x14ac:dyDescent="0.25">
      <c r="A112" s="30">
        <v>2.3579476910000019</v>
      </c>
      <c r="C112" s="1" t="str">
        <f>ADDRESS(C121,1,1,1)</f>
        <v>$A$79</v>
      </c>
      <c r="D112" s="1" t="str">
        <f>ADDRESS(C121,D121-1,1,1)</f>
        <v>$AI$79</v>
      </c>
      <c r="E112"/>
      <c r="I112" s="27" t="s">
        <v>8</v>
      </c>
      <c r="AD112" s="31"/>
    </row>
    <row r="113" spans="1:29" x14ac:dyDescent="0.25">
      <c r="A113" s="30">
        <v>2.1435888100000016</v>
      </c>
      <c r="C113" s="1" t="str">
        <f>ADDRESS(C121+1,1,1,1)</f>
        <v>$A$80</v>
      </c>
      <c r="D113" s="1" t="str">
        <f>ADDRESS(C121-1,D121+1,1,1)</f>
        <v>$AK$78</v>
      </c>
      <c r="I113" s="27" t="s">
        <v>8</v>
      </c>
      <c r="AC113" s="31"/>
    </row>
    <row r="114" spans="1:29" x14ac:dyDescent="0.25">
      <c r="A114" s="30">
        <v>1.9487171000000014</v>
      </c>
      <c r="C114" s="1" t="str">
        <f>ADDRESS(C121,D121,1,1)</f>
        <v>$AJ$79</v>
      </c>
      <c r="D114" s="1" t="str">
        <f>ADDRESS(C121+1,D121+1,1,1)</f>
        <v>$AK$80</v>
      </c>
      <c r="I114" s="27" t="s">
        <v>8</v>
      </c>
      <c r="AB114" s="31"/>
    </row>
    <row r="115" spans="1:29" x14ac:dyDescent="0.25">
      <c r="A115" s="30">
        <v>1.7715610000000011</v>
      </c>
      <c r="C115" s="1" t="str">
        <f>ADDRESS(C121+1,D121,1,1)</f>
        <v>$AJ$80</v>
      </c>
      <c r="I115" s="27" t="s">
        <v>8</v>
      </c>
      <c r="AA115" s="31"/>
    </row>
    <row r="116" spans="1:29" x14ac:dyDescent="0.25">
      <c r="A116" s="30">
        <v>1.6105100000000008</v>
      </c>
      <c r="C116" s="1">
        <f>C117-1</f>
        <v>78</v>
      </c>
      <c r="I116" s="27" t="s">
        <v>8</v>
      </c>
      <c r="Z116" s="31"/>
    </row>
    <row r="117" spans="1:29" x14ac:dyDescent="0.25">
      <c r="A117" s="30">
        <v>1.4641000000000006</v>
      </c>
      <c r="C117" s="1">
        <f>C121</f>
        <v>79</v>
      </c>
      <c r="D117" s="1">
        <f>D121</f>
        <v>36</v>
      </c>
      <c r="I117" s="27" t="s">
        <v>8</v>
      </c>
      <c r="Y117" s="31"/>
    </row>
    <row r="118" spans="1:29" x14ac:dyDescent="0.25">
      <c r="A118" s="30">
        <v>1.3310000000000004</v>
      </c>
      <c r="C118" s="1">
        <f>C117+1</f>
        <v>80</v>
      </c>
      <c r="D118" s="1">
        <f>D117+1</f>
        <v>37</v>
      </c>
      <c r="I118" s="27" t="s">
        <v>8</v>
      </c>
      <c r="X118" s="31"/>
    </row>
    <row r="119" spans="1:29" x14ac:dyDescent="0.25">
      <c r="A119" s="30">
        <v>1.2100000000000002</v>
      </c>
      <c r="I119" s="27" t="s">
        <v>8</v>
      </c>
      <c r="W119" s="31"/>
    </row>
    <row r="120" spans="1:29" x14ac:dyDescent="0.25">
      <c r="A120" s="30">
        <v>1.1000000000000001</v>
      </c>
      <c r="C120" s="1" t="s">
        <v>9</v>
      </c>
      <c r="I120" s="27" t="s">
        <v>8</v>
      </c>
      <c r="V120" s="31"/>
    </row>
    <row r="121" spans="1:29" x14ac:dyDescent="0.25">
      <c r="A121" s="30">
        <v>1</v>
      </c>
      <c r="C121" s="18">
        <v>79</v>
      </c>
      <c r="D121" s="19">
        <v>36</v>
      </c>
      <c r="E121" s="18" t="s">
        <v>8</v>
      </c>
      <c r="I121" s="27" t="s">
        <v>8</v>
      </c>
      <c r="U121" s="31"/>
    </row>
    <row r="122" spans="1:29" x14ac:dyDescent="0.25">
      <c r="A122" s="30">
        <v>0.90909090909090895</v>
      </c>
      <c r="C122" s="1" t="str">
        <f>INDEX(1:1048576,C117,D117)</f>
        <v>O</v>
      </c>
      <c r="F122" s="27" t="s">
        <v>7</v>
      </c>
      <c r="I122" s="27" t="s">
        <v>8</v>
      </c>
      <c r="T122" s="31"/>
    </row>
    <row r="123" spans="1:29" x14ac:dyDescent="0.25">
      <c r="A123" s="30">
        <v>0.82644628099173523</v>
      </c>
      <c r="C123" s="1" t="str">
        <f>"R"&amp;C121</f>
        <v>R79</v>
      </c>
      <c r="D123" s="1" t="str">
        <f>"C"&amp;D121</f>
        <v>C36</v>
      </c>
      <c r="F123" s="27" t="s">
        <v>7</v>
      </c>
      <c r="I123" s="27" t="s">
        <v>8</v>
      </c>
      <c r="S123" s="31"/>
    </row>
    <row r="124" spans="1:29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I124" s="27" t="s">
        <v>8</v>
      </c>
      <c r="R124" s="31"/>
    </row>
    <row r="125" spans="1:29" x14ac:dyDescent="0.25">
      <c r="A125" s="30">
        <v>0.68301345536507019</v>
      </c>
      <c r="F125" s="27" t="s">
        <v>7</v>
      </c>
      <c r="I125" s="27" t="s">
        <v>8</v>
      </c>
      <c r="Q125" s="31"/>
    </row>
    <row r="126" spans="1:29" x14ac:dyDescent="0.25">
      <c r="A126" s="30">
        <v>0.6209213230591546</v>
      </c>
      <c r="C126" s="1" t="s">
        <v>10</v>
      </c>
      <c r="F126" s="27" t="s">
        <v>7</v>
      </c>
      <c r="I126" s="27" t="s">
        <v>8</v>
      </c>
      <c r="P126" s="31"/>
    </row>
    <row r="127" spans="1:29" x14ac:dyDescent="0.25">
      <c r="A127" s="30">
        <v>0.56447393005377677</v>
      </c>
      <c r="C127" s="30">
        <v>54.763699237493057</v>
      </c>
      <c r="D127"/>
      <c r="F127" s="27" t="s">
        <v>7</v>
      </c>
      <c r="G127" s="27" t="s">
        <v>8</v>
      </c>
      <c r="I127" s="27" t="s">
        <v>8</v>
      </c>
      <c r="O127" s="31"/>
    </row>
    <row r="128" spans="1:29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N128" s="31"/>
    </row>
    <row r="129" spans="1:13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I129" s="27" t="s">
        <v>8</v>
      </c>
      <c r="M129" s="31"/>
    </row>
    <row r="130" spans="1:13" x14ac:dyDescent="0.25">
      <c r="A130" s="30">
        <v>0.42409761837248428</v>
      </c>
      <c r="C130" s="6"/>
      <c r="D130" s="6"/>
      <c r="E130"/>
      <c r="F130" s="27" t="s">
        <v>7</v>
      </c>
      <c r="H130" s="27" t="s">
        <v>7</v>
      </c>
      <c r="I130" s="27" t="s">
        <v>8</v>
      </c>
      <c r="L130" s="31"/>
    </row>
    <row r="131" spans="1:13" x14ac:dyDescent="0.25">
      <c r="A131" s="30">
        <v>0.38554328942953109</v>
      </c>
      <c r="E131"/>
      <c r="H131" s="27" t="s">
        <v>7</v>
      </c>
      <c r="I131" s="27" t="s">
        <v>8</v>
      </c>
      <c r="K131" s="31"/>
    </row>
    <row r="132" spans="1:13" x14ac:dyDescent="0.25">
      <c r="A132" s="30">
        <v>0.35049389948139187</v>
      </c>
      <c r="C132" s="1" t="s">
        <v>13</v>
      </c>
      <c r="E132"/>
      <c r="H132" s="27" t="s">
        <v>7</v>
      </c>
      <c r="I132" s="27" t="s">
        <v>8</v>
      </c>
      <c r="J132" s="31"/>
    </row>
    <row r="133" spans="1:13" x14ac:dyDescent="0.25">
      <c r="A133" s="30">
        <v>0.31863081771035617</v>
      </c>
      <c r="C133" s="1" t="str">
        <f>C122</f>
        <v>O</v>
      </c>
      <c r="E133"/>
      <c r="H133" s="27" t="s">
        <v>7</v>
      </c>
      <c r="I133" s="31" t="s">
        <v>8</v>
      </c>
    </row>
    <row r="134" spans="1:13" x14ac:dyDescent="0.25">
      <c r="A134" s="30">
        <v>0.28966437973668741</v>
      </c>
      <c r="C134"/>
      <c r="D134"/>
      <c r="E134"/>
      <c r="H134" s="31" t="s">
        <v>7</v>
      </c>
    </row>
    <row r="135" spans="1:13" x14ac:dyDescent="0.25">
      <c r="A135" s="30">
        <v>0.2633312543060794</v>
      </c>
      <c r="C135" s="1" t="s">
        <v>14</v>
      </c>
      <c r="E135"/>
    </row>
    <row r="136" spans="1:13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13" x14ac:dyDescent="0.25">
      <c r="A137" s="30">
        <v>0.2176291357901482</v>
      </c>
      <c r="E137"/>
    </row>
    <row r="138" spans="1:13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13" x14ac:dyDescent="0.25">
      <c r="A139" s="30">
        <v>0.17985878990921333</v>
      </c>
      <c r="E139"/>
    </row>
    <row r="140" spans="1:13" x14ac:dyDescent="0.25">
      <c r="A140" s="30">
        <v>0.16350799082655756</v>
      </c>
      <c r="C140" s="1">
        <v>0</v>
      </c>
      <c r="E140"/>
    </row>
    <row r="141" spans="1:13" x14ac:dyDescent="0.25">
      <c r="A141" s="30">
        <v>0.14864362802414322</v>
      </c>
      <c r="C141" s="1">
        <v>1</v>
      </c>
      <c r="E141"/>
    </row>
    <row r="142" spans="1:13" x14ac:dyDescent="0.25">
      <c r="A142" s="30">
        <v>0.13513057093103928</v>
      </c>
      <c r="C142" s="1">
        <v>2</v>
      </c>
      <c r="E142"/>
    </row>
    <row r="143" spans="1:13" x14ac:dyDescent="0.25">
      <c r="A143" s="30">
        <v>0.12284597357367205</v>
      </c>
      <c r="C143" s="1">
        <v>3</v>
      </c>
      <c r="E143"/>
    </row>
    <row r="144" spans="1:13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29" operator="equal">
      <formula>$U$1</formula>
    </cfRule>
    <cfRule type="cellIs" dxfId="30" priority="930" operator="equal">
      <formula>$S$1</formula>
    </cfRule>
  </conditionalFormatting>
  <conditionalFormatting sqref="D136">
    <cfRule type="cellIs" dxfId="29" priority="927" operator="equal">
      <formula>$S$1</formula>
    </cfRule>
    <cfRule type="cellIs" dxfId="28" priority="928" operator="equal">
      <formula>$U$1</formula>
    </cfRule>
  </conditionalFormatting>
  <conditionalFormatting sqref="C102">
    <cfRule type="cellIs" dxfId="27" priority="925" operator="equal">
      <formula>$U$1</formula>
    </cfRule>
    <cfRule type="cellIs" dxfId="26" priority="926" operator="equal">
      <formula>$S$1</formula>
    </cfRule>
  </conditionalFormatting>
  <conditionalFormatting sqref="D102">
    <cfRule type="cellIs" dxfId="25" priority="923" operator="equal">
      <formula>$S$1</formula>
    </cfRule>
    <cfRule type="cellIs" dxfId="24" priority="924" operator="equal">
      <formula>$U$1</formula>
    </cfRule>
  </conditionalFormatting>
  <conditionalFormatting sqref="C77">
    <cfRule type="cellIs" dxfId="23" priority="921" operator="equal">
      <formula>$U$1</formula>
    </cfRule>
    <cfRule type="cellIs" dxfId="22" priority="922" operator="equal">
      <formula>$S$1</formula>
    </cfRule>
  </conditionalFormatting>
  <conditionalFormatting sqref="D77">
    <cfRule type="cellIs" dxfId="21" priority="919" operator="equal">
      <formula>$S$1</formula>
    </cfRule>
    <cfRule type="cellIs" dxfId="20" priority="920" operator="equal">
      <formula>$U$1</formula>
    </cfRule>
  </conditionalFormatting>
  <conditionalFormatting sqref="C52">
    <cfRule type="cellIs" dxfId="19" priority="917" operator="equal">
      <formula>$U$1</formula>
    </cfRule>
    <cfRule type="cellIs" dxfId="18" priority="918" operator="equal">
      <formula>$S$1</formula>
    </cfRule>
  </conditionalFormatting>
  <conditionalFormatting sqref="D52">
    <cfRule type="cellIs" dxfId="17" priority="915" operator="equal">
      <formula>$S$1</formula>
    </cfRule>
    <cfRule type="cellIs" dxfId="16" priority="916" operator="equal">
      <formula>$U$1</formula>
    </cfRule>
  </conditionalFormatting>
  <conditionalFormatting sqref="C26">
    <cfRule type="cellIs" dxfId="15" priority="913" operator="equal">
      <formula>$U$1</formula>
    </cfRule>
    <cfRule type="cellIs" dxfId="14" priority="914" operator="equal">
      <formula>$S$1</formula>
    </cfRule>
  </conditionalFormatting>
  <conditionalFormatting sqref="D26">
    <cfRule type="cellIs" dxfId="13" priority="911" operator="equal">
      <formula>$S$1</formula>
    </cfRule>
    <cfRule type="cellIs" dxfId="12" priority="91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4.5380394939082018</v>
      </c>
      <c r="F3" s="30">
        <v>5.7918161359718709</v>
      </c>
      <c r="G3" s="30">
        <v>8.5571502795169767</v>
      </c>
      <c r="H3" s="25">
        <f>IF(G3="","",(3*(G3-F3))+E3)</f>
        <v>12.83404192454352</v>
      </c>
      <c r="I3" s="7"/>
      <c r="J3" s="7">
        <f>(E3+G3)/2</f>
        <v>6.5475948867125897</v>
      </c>
      <c r="K3" s="7">
        <f>H3/2</f>
        <v>6.41702096227176</v>
      </c>
      <c r="M3" s="26">
        <f>IF(OR(J3="",H3=""),"",H3/J3)</f>
        <v>1.9601154540865651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2022-01-28T01:18:40Z</dcterms:modified>
</cp:coreProperties>
</file>