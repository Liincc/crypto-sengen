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684D173-3ED7-405D-96B2-9FCDE54D11B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4"/>
  <c r="C122" i="4"/>
  <c r="C133" i="4" s="1"/>
  <c r="C136" i="4" s="1"/>
  <c r="D118" i="4"/>
  <c r="C118" i="3"/>
  <c r="C122" i="3"/>
  <c r="C133" i="3" s="1"/>
  <c r="C136" i="3" s="1"/>
  <c r="D118" i="3"/>
  <c r="R765" i="1"/>
  <c r="C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S715" i="1" l="1"/>
  <c r="T715" i="1" s="1"/>
  <c r="R714" i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S691" i="1" l="1"/>
  <c r="T691" i="1" s="1"/>
  <c r="R690" i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S675" i="1" l="1"/>
  <c r="T675" i="1" s="1"/>
  <c r="R674" i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S646" i="1" l="1"/>
  <c r="T646" i="1" s="1"/>
  <c r="R645" i="1"/>
  <c r="R644" i="1" l="1"/>
  <c r="S645" i="1"/>
  <c r="T645" i="1" s="1"/>
  <c r="R643" i="1" l="1"/>
  <c r="S644" i="1"/>
  <c r="T644" i="1" s="1"/>
  <c r="S643" i="1" l="1"/>
  <c r="T643" i="1" s="1"/>
  <c r="R642" i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S630" i="1" l="1"/>
  <c r="T630" i="1" s="1"/>
  <c r="R629" i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S622" i="1" l="1"/>
  <c r="T622" i="1" s="1"/>
  <c r="R621" i="1"/>
  <c r="R620" i="1" l="1"/>
  <c r="S621" i="1"/>
  <c r="T621" i="1" s="1"/>
  <c r="R619" i="1" l="1"/>
  <c r="S620" i="1"/>
  <c r="T620" i="1" s="1"/>
  <c r="S619" i="1" l="1"/>
  <c r="T619" i="1" s="1"/>
  <c r="R618" i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S606" i="1" l="1"/>
  <c r="T606" i="1" s="1"/>
  <c r="R605" i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S582" i="1" l="1"/>
  <c r="T582" i="1" s="1"/>
  <c r="R581" i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S574" i="1" l="1"/>
  <c r="T574" i="1" s="1"/>
  <c r="R573" i="1"/>
  <c r="R572" i="1" l="1"/>
  <c r="S573" i="1"/>
  <c r="T573" i="1" s="1"/>
  <c r="R571" i="1" l="1"/>
  <c r="S572" i="1"/>
  <c r="T572" i="1" s="1"/>
  <c r="S571" i="1" l="1"/>
  <c r="T571" i="1" s="1"/>
  <c r="R570" i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S550" i="1" l="1"/>
  <c r="T550" i="1" s="1"/>
  <c r="R549" i="1"/>
  <c r="R548" i="1" l="1"/>
  <c r="S549" i="1"/>
  <c r="T549" i="1" s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S526" i="1" l="1"/>
  <c r="T526" i="1" s="1"/>
  <c r="R525" i="1"/>
  <c r="R524" i="1" l="1"/>
  <c r="S525" i="1"/>
  <c r="T525" i="1" s="1"/>
  <c r="R523" i="1" l="1"/>
  <c r="S524" i="1"/>
  <c r="T524" i="1" s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S486" i="1" l="1"/>
  <c r="T486" i="1" s="1"/>
  <c r="R485" i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S478" i="1" l="1"/>
  <c r="T478" i="1" s="1"/>
  <c r="R477" i="1"/>
  <c r="R476" i="1" l="1"/>
  <c r="S477" i="1"/>
  <c r="T477" i="1" s="1"/>
  <c r="R475" i="1" l="1"/>
  <c r="S476" i="1"/>
  <c r="T476" i="1" s="1"/>
  <c r="S475" i="1" l="1"/>
  <c r="T475" i="1" s="1"/>
  <c r="R474" i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S454" i="1" l="1"/>
  <c r="T454" i="1" s="1"/>
  <c r="R453" i="1"/>
  <c r="R452" i="1" l="1"/>
  <c r="S453" i="1"/>
  <c r="T453" i="1" s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S438" i="1" l="1"/>
  <c r="T438" i="1" s="1"/>
  <c r="R437" i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R404" i="1" l="1"/>
  <c r="S405" i="1"/>
  <c r="T405" i="1" s="1"/>
  <c r="R403" i="1" l="1"/>
  <c r="S404" i="1"/>
  <c r="T404" i="1" s="1"/>
  <c r="S403" i="1" l="1"/>
  <c r="T403" i="1" s="1"/>
  <c r="R402" i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R380" i="1" l="1"/>
  <c r="S381" i="1"/>
  <c r="T381" i="1" s="1"/>
  <c r="S380" i="1" l="1"/>
  <c r="T380" i="1" s="1"/>
  <c r="R379" i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S356" i="1" l="1"/>
  <c r="T356" i="1" s="1"/>
  <c r="R355" i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S325" i="1" l="1"/>
  <c r="T325" i="1" s="1"/>
  <c r="R324" i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S302" i="1" l="1"/>
  <c r="T302" i="1" s="1"/>
  <c r="R301" i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S205" i="1" l="1"/>
  <c r="T205" i="1" s="1"/>
  <c r="R204" i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S141" i="1" l="1"/>
  <c r="T141" i="1" s="1"/>
  <c r="R140" i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S102" i="1" l="1"/>
  <c r="T102" i="1" s="1"/>
  <c r="R101" i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R37" i="1" l="1"/>
  <c r="S38" i="1"/>
  <c r="T38" i="1" s="1"/>
  <c r="S37" i="1" l="1"/>
  <c r="T37" i="1" s="1"/>
  <c r="R36" i="1"/>
  <c r="R35" i="1" l="1"/>
  <c r="S36" i="1"/>
  <c r="T36" i="1" s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<sst xmlns="http://schemas.openxmlformats.org/spreadsheetml/2006/main" count="7808" uniqueCount="34">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</sst>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0.79</c:v>
                </c:pt>
                <c:pt idx="1">
                  <c:v>0.80300000000000005</c:v>
                </c:pt>
                <c:pt idx="2">
                  <c:v>0.80600000000000005</c:v>
                </c:pt>
                <c:pt idx="3">
                  <c:v>0.76300000000000001</c:v>
                </c:pt>
                <c:pt idx="4">
                  <c:v>0.79800000000000004</c:v>
                </c:pt>
                <c:pt idx="5">
                  <c:v>0.752</c:v>
                </c:pt>
                <c:pt idx="6">
                  <c:v>0.85499999999999998</c:v>
                </c:pt>
                <c:pt idx="7">
                  <c:v>0.98</c:v>
                </c:pt>
                <c:pt idx="8">
                  <c:v>1.0289999999999999</c:v>
                </c:pt>
                <c:pt idx="9">
                  <c:v>1.038</c:v>
                </c:pt>
                <c:pt idx="10">
                  <c:v>1.052</c:v>
                </c:pt>
                <c:pt idx="11">
                  <c:v>1.087</c:v>
                </c:pt>
                <c:pt idx="12">
                  <c:v>1.0860000000000001</c:v>
                </c:pt>
                <c:pt idx="13">
                  <c:v>1.0820000000000001</c:v>
                </c:pt>
                <c:pt idx="14">
                  <c:v>1.0580000000000001</c:v>
                </c:pt>
                <c:pt idx="15">
                  <c:v>1.08</c:v>
                </c:pt>
                <c:pt idx="16">
                  <c:v>1.0349999999999999</c:v>
                </c:pt>
                <c:pt idx="17">
                  <c:v>1.0029999999999999</c:v>
                </c:pt>
                <c:pt idx="18">
                  <c:v>1.0269999999999999</c:v>
                </c:pt>
                <c:pt idx="19">
                  <c:v>1.016</c:v>
                </c:pt>
                <c:pt idx="20">
                  <c:v>1.0449999999999999</c:v>
                </c:pt>
                <c:pt idx="21">
                  <c:v>1.099</c:v>
                </c:pt>
                <c:pt idx="22">
                  <c:v>1.109</c:v>
                </c:pt>
                <c:pt idx="23">
                  <c:v>1.165</c:v>
                </c:pt>
                <c:pt idx="24">
                  <c:v>1.204</c:v>
                </c:pt>
                <c:pt idx="25">
                  <c:v>1.21</c:v>
                </c:pt>
                <c:pt idx="26">
                  <c:v>1.216</c:v>
                </c:pt>
                <c:pt idx="27">
                  <c:v>1.1839999999999999</c:v>
                </c:pt>
                <c:pt idx="28">
                  <c:v>1.19</c:v>
                </c:pt>
                <c:pt idx="29">
                  <c:v>1.1499999999999999</c:v>
                </c:pt>
                <c:pt idx="30">
                  <c:v>1.1639999999999999</c:v>
                </c:pt>
                <c:pt idx="31">
                  <c:v>1.264</c:v>
                </c:pt>
                <c:pt idx="32">
                  <c:v>1.2909999999999999</c:v>
                </c:pt>
                <c:pt idx="33">
                  <c:v>1.206</c:v>
                </c:pt>
                <c:pt idx="34">
                  <c:v>1.1839999999999999</c:v>
                </c:pt>
                <c:pt idx="35">
                  <c:v>1.2070000000000001</c:v>
                </c:pt>
                <c:pt idx="36">
                  <c:v>1.155</c:v>
                </c:pt>
                <c:pt idx="37">
                  <c:v>1.103</c:v>
                </c:pt>
                <c:pt idx="38">
                  <c:v>1.06</c:v>
                </c:pt>
                <c:pt idx="39">
                  <c:v>1.085</c:v>
                </c:pt>
                <c:pt idx="40">
                  <c:v>1.095</c:v>
                </c:pt>
                <c:pt idx="41">
                  <c:v>1.0780000000000001</c:v>
                </c:pt>
                <c:pt idx="42">
                  <c:v>1.097</c:v>
                </c:pt>
                <c:pt idx="43">
                  <c:v>1.127</c:v>
                </c:pt>
                <c:pt idx="44">
                  <c:v>1.0920000000000001</c:v>
                </c:pt>
                <c:pt idx="45">
                  <c:v>1.0680000000000001</c:v>
                </c:pt>
                <c:pt idx="46">
                  <c:v>1.167</c:v>
                </c:pt>
                <c:pt idx="47">
                  <c:v>1.123</c:v>
                </c:pt>
                <c:pt idx="48">
                  <c:v>1.103</c:v>
                </c:pt>
                <c:pt idx="49">
                  <c:v>1.1220000000000001</c:v>
                </c:pt>
                <c:pt idx="50">
                  <c:v>1.246</c:v>
                </c:pt>
                <c:pt idx="51">
                  <c:v>1.2210000000000001</c:v>
                </c:pt>
                <c:pt idx="52">
                  <c:v>1.236</c:v>
                </c:pt>
                <c:pt idx="53">
                  <c:v>1.167</c:v>
                </c:pt>
                <c:pt idx="54">
                  <c:v>1.2390000000000001</c:v>
                </c:pt>
                <c:pt idx="55">
                  <c:v>1.379</c:v>
                </c:pt>
                <c:pt idx="56">
                  <c:v>1.444</c:v>
                </c:pt>
                <c:pt idx="57">
                  <c:v>1.2629999999999999</c:v>
                </c:pt>
                <c:pt idx="58">
                  <c:v>1.2130000000000001</c:v>
                </c:pt>
                <c:pt idx="59">
                  <c:v>1.2270000000000001</c:v>
                </c:pt>
                <c:pt idx="60">
                  <c:v>1.1779999999999999</c:v>
                </c:pt>
                <c:pt idx="61">
                  <c:v>1.1779999999999999</c:v>
                </c:pt>
                <c:pt idx="62">
                  <c:v>1.141</c:v>
                </c:pt>
                <c:pt idx="63">
                  <c:v>1.24</c:v>
                </c:pt>
                <c:pt idx="64">
                  <c:v>1.198</c:v>
                </c:pt>
                <c:pt idx="65">
                  <c:v>1.196</c:v>
                </c:pt>
                <c:pt idx="66">
                  <c:v>1.2390000000000001</c:v>
                </c:pt>
                <c:pt idx="67">
                  <c:v>1.2989999999999999</c:v>
                </c:pt>
                <c:pt idx="68">
                  <c:v>1.335</c:v>
                </c:pt>
                <c:pt idx="69">
                  <c:v>1.294</c:v>
                </c:pt>
                <c:pt idx="70">
                  <c:v>1.2010000000000001</c:v>
                </c:pt>
                <c:pt idx="71">
                  <c:v>1.341</c:v>
                </c:pt>
                <c:pt idx="72">
                  <c:v>1.349</c:v>
                </c:pt>
                <c:pt idx="73">
                  <c:v>1.512</c:v>
                </c:pt>
                <c:pt idx="74">
                  <c:v>1.5449999999999999</c:v>
                </c:pt>
                <c:pt idx="75">
                  <c:v>1.5429999999999999</c:v>
                </c:pt>
                <c:pt idx="76">
                  <c:v>1.5509999999999999</c:v>
                </c:pt>
                <c:pt idx="77">
                  <c:v>1.51</c:v>
                </c:pt>
                <c:pt idx="78">
                  <c:v>1.516</c:v>
                </c:pt>
                <c:pt idx="79">
                  <c:v>1.6379999999999999</c:v>
                </c:pt>
                <c:pt idx="80">
                  <c:v>1.6040000000000001</c:v>
                </c:pt>
                <c:pt idx="81">
                  <c:v>1.5720000000000001</c:v>
                </c:pt>
                <c:pt idx="82">
                  <c:v>1.526</c:v>
                </c:pt>
                <c:pt idx="83">
                  <c:v>1.5129999999999999</c:v>
                </c:pt>
                <c:pt idx="84">
                  <c:v>1.5429999999999999</c:v>
                </c:pt>
                <c:pt idx="85">
                  <c:v>1.667</c:v>
                </c:pt>
                <c:pt idx="86">
                  <c:v>1.8140000000000001</c:v>
                </c:pt>
                <c:pt idx="87">
                  <c:v>1.417</c:v>
                </c:pt>
                <c:pt idx="88">
                  <c:v>1.431</c:v>
                </c:pt>
                <c:pt idx="89">
                  <c:v>1.379</c:v>
                </c:pt>
                <c:pt idx="90">
                  <c:v>1.3560000000000001</c:v>
                </c:pt>
                <c:pt idx="91">
                  <c:v>1.3440000000000001</c:v>
                </c:pt>
                <c:pt idx="92">
                  <c:v>1.3029999999999999</c:v>
                </c:pt>
                <c:pt idx="93">
                  <c:v>1.405</c:v>
                </c:pt>
                <c:pt idx="94">
                  <c:v>1.35</c:v>
                </c:pt>
                <c:pt idx="95">
                  <c:v>1.3080000000000001</c:v>
                </c:pt>
                <c:pt idx="96">
                  <c:v>1.3440000000000001</c:v>
                </c:pt>
                <c:pt idx="97">
                  <c:v>1.31</c:v>
                </c:pt>
                <c:pt idx="98">
                  <c:v>1.3</c:v>
                </c:pt>
                <c:pt idx="99">
                  <c:v>1.363</c:v>
                </c:pt>
                <c:pt idx="100">
                  <c:v>1.2969999999999999</c:v>
                </c:pt>
                <c:pt idx="101">
                  <c:v>1.3080000000000001</c:v>
                </c:pt>
                <c:pt idx="102">
                  <c:v>1.274</c:v>
                </c:pt>
                <c:pt idx="103">
                  <c:v>1.302</c:v>
                </c:pt>
                <c:pt idx="104">
                  <c:v>1.331</c:v>
                </c:pt>
                <c:pt idx="105">
                  <c:v>1.214</c:v>
                </c:pt>
                <c:pt idx="106">
                  <c:v>1.19</c:v>
                </c:pt>
                <c:pt idx="107">
                  <c:v>1.1659999999999999</c:v>
                </c:pt>
                <c:pt idx="108">
                  <c:v>1.208</c:v>
                </c:pt>
                <c:pt idx="109">
                  <c:v>1.2270000000000001</c:v>
                </c:pt>
                <c:pt idx="110">
                  <c:v>1.252</c:v>
                </c:pt>
                <c:pt idx="111">
                  <c:v>1.246</c:v>
                </c:pt>
                <c:pt idx="112">
                  <c:v>1.202</c:v>
                </c:pt>
                <c:pt idx="113">
                  <c:v>1.2310000000000001</c:v>
                </c:pt>
                <c:pt idx="114">
                  <c:v>1.167</c:v>
                </c:pt>
                <c:pt idx="115">
                  <c:v>1.121</c:v>
                </c:pt>
                <c:pt idx="116">
                  <c:v>1.1279999999999999</c:v>
                </c:pt>
                <c:pt idx="117">
                  <c:v>1.133</c:v>
                </c:pt>
                <c:pt idx="118">
                  <c:v>1.125</c:v>
                </c:pt>
                <c:pt idx="119">
                  <c:v>1.054</c:v>
                </c:pt>
                <c:pt idx="120">
                  <c:v>1.0129999999999999</c:v>
                </c:pt>
                <c:pt idx="121">
                  <c:v>0.998</c:v>
                </c:pt>
                <c:pt idx="122">
                  <c:v>1.01</c:v>
                </c:pt>
                <c:pt idx="123">
                  <c:v>1.0429999999999999</c:v>
                </c:pt>
                <c:pt idx="124">
                  <c:v>1.05</c:v>
                </c:pt>
                <c:pt idx="125">
                  <c:v>1.054</c:v>
                </c:pt>
                <c:pt idx="126">
                  <c:v>1.1020000000000001</c:v>
                </c:pt>
                <c:pt idx="127">
                  <c:v>1.119</c:v>
                </c:pt>
                <c:pt idx="128">
                  <c:v>1</c:v>
                </c:pt>
                <c:pt idx="129">
                  <c:v>1.1890000000000001</c:v>
                </c:pt>
                <c:pt idx="130">
                  <c:v>1.214</c:v>
                </c:pt>
                <c:pt idx="131">
                  <c:v>1.18</c:v>
                </c:pt>
                <c:pt idx="132">
                  <c:v>1.153</c:v>
                </c:pt>
                <c:pt idx="133">
                  <c:v>1.2</c:v>
                </c:pt>
                <c:pt idx="134">
                  <c:v>1.212</c:v>
                </c:pt>
                <c:pt idx="135">
                  <c:v>1.181</c:v>
                </c:pt>
                <c:pt idx="136">
                  <c:v>1.131</c:v>
                </c:pt>
                <c:pt idx="137">
                  <c:v>1.1990000000000001</c:v>
                </c:pt>
                <c:pt idx="138">
                  <c:v>1.1890000000000001</c:v>
                </c:pt>
                <c:pt idx="139">
                  <c:v>1.181</c:v>
                </c:pt>
                <c:pt idx="140">
                  <c:v>1.2470000000000001</c:v>
                </c:pt>
                <c:pt idx="141">
                  <c:v>1.224</c:v>
                </c:pt>
                <c:pt idx="142">
                  <c:v>1.25</c:v>
                </c:pt>
                <c:pt idx="143">
                  <c:v>1.5840000000000001</c:v>
                </c:pt>
                <c:pt idx="144">
                  <c:v>1.5740000000000001</c:v>
                </c:pt>
                <c:pt idx="145">
                  <c:v>1.5049999999999999</c:v>
                </c:pt>
                <c:pt idx="146">
                  <c:v>1.452</c:v>
                </c:pt>
                <c:pt idx="147">
                  <c:v>1.4550000000000001</c:v>
                </c:pt>
                <c:pt idx="148">
                  <c:v>1.4750000000000001</c:v>
                </c:pt>
                <c:pt idx="149">
                  <c:v>1.4159999999999999</c:v>
                </c:pt>
                <c:pt idx="150">
                  <c:v>1.393</c:v>
                </c:pt>
                <c:pt idx="151">
                  <c:v>1.4850000000000001</c:v>
                </c:pt>
                <c:pt idx="152">
                  <c:v>1.488</c:v>
                </c:pt>
                <c:pt idx="153">
                  <c:v>1.5489999999999999</c:v>
                </c:pt>
                <c:pt idx="154">
                  <c:v>1.4219999999999999</c:v>
                </c:pt>
                <c:pt idx="155">
                  <c:v>1.5812999999999999</c:v>
                </c:pt>
                <c:pt idx="156">
                  <c:v>1.5013000000000001</c:v>
                </c:pt>
                <c:pt idx="157">
                  <c:v>1.6651</c:v>
                </c:pt>
                <c:pt idx="158">
                  <c:v>1.5049999999999999</c:v>
                </c:pt>
                <c:pt idx="159">
                  <c:v>1.4954000000000001</c:v>
                </c:pt>
                <c:pt idx="160">
                  <c:v>1.5069999999999999</c:v>
                </c:pt>
                <c:pt idx="161">
                  <c:v>1.4229000000000001</c:v>
                </c:pt>
                <c:pt idx="162">
                  <c:v>1.3492</c:v>
                </c:pt>
                <c:pt idx="163">
                  <c:v>1.3634999999999999</c:v>
                </c:pt>
                <c:pt idx="164">
                  <c:v>1.4701</c:v>
                </c:pt>
                <c:pt idx="165">
                  <c:v>1.5062</c:v>
                </c:pt>
                <c:pt idx="166">
                  <c:v>1.5029999999999999</c:v>
                </c:pt>
                <c:pt idx="167">
                  <c:v>1.4962</c:v>
                </c:pt>
                <c:pt idx="168">
                  <c:v>1.3732</c:v>
                </c:pt>
                <c:pt idx="169">
                  <c:v>1.446</c:v>
                </c:pt>
                <c:pt idx="170">
                  <c:v>1.3695999999999999</c:v>
                </c:pt>
                <c:pt idx="171">
                  <c:v>1.4021999999999999</c:v>
                </c:pt>
                <c:pt idx="172">
                  <c:v>1.1425000000000001</c:v>
                </c:pt>
                <c:pt idx="173">
                  <c:v>1.2095</c:v>
                </c:pt>
                <c:pt idx="174">
                  <c:v>1.1660999999999999</c:v>
                </c:pt>
                <c:pt idx="175">
                  <c:v>1.1085</c:v>
                </c:pt>
                <c:pt idx="176">
                  <c:v>1.0926</c:v>
                </c:pt>
                <c:pt idx="177">
                  <c:v>1.0511999999999999</c:v>
                </c:pt>
                <c:pt idx="178">
                  <c:v>1.0869</c:v>
                </c:pt>
                <c:pt idx="179">
                  <c:v>1.0854999999999999</c:v>
                </c:pt>
                <c:pt idx="180">
                  <c:v>1.1251</c:v>
                </c:pt>
                <c:pt idx="181">
                  <c:v>1.1374</c:v>
                </c:pt>
                <c:pt idx="182">
                  <c:v>1.1299999999999999</c:v>
                </c:pt>
                <c:pt idx="183">
                  <c:v>1.1557999999999999</c:v>
                </c:pt>
                <c:pt idx="184">
                  <c:v>1.0172000000000001</c:v>
                </c:pt>
                <c:pt idx="185">
                  <c:v>1.002</c:v>
                </c:pt>
                <c:pt idx="186">
                  <c:v>0.96889999999999998</c:v>
                </c:pt>
                <c:pt idx="187">
                  <c:v>0.97709999999999997</c:v>
                </c:pt>
                <c:pt idx="188">
                  <c:v>0.95050000000000001</c:v>
                </c:pt>
                <c:pt idx="189">
                  <c:v>0.92120000000000002</c:v>
                </c:pt>
                <c:pt idx="190">
                  <c:v>0.91339999999999999</c:v>
                </c:pt>
                <c:pt idx="191">
                  <c:v>0.85040000000000004</c:v>
                </c:pt>
                <c:pt idx="192">
                  <c:v>0.90949999999999998</c:v>
                </c:pt>
                <c:pt idx="193">
                  <c:v>0.97199999999999998</c:v>
                </c:pt>
                <c:pt idx="194">
                  <c:v>0.94189999999999996</c:v>
                </c:pt>
                <c:pt idx="195">
                  <c:v>0.96</c:v>
                </c:pt>
                <c:pt idx="196">
                  <c:v>0.99109999999999998</c:v>
                </c:pt>
                <c:pt idx="197">
                  <c:v>1.0347999999999999</c:v>
                </c:pt>
                <c:pt idx="198">
                  <c:v>1.0405</c:v>
                </c:pt>
                <c:pt idx="199">
                  <c:v>1.0737000000000001</c:v>
                </c:pt>
                <c:pt idx="200">
                  <c:v>1.123</c:v>
                </c:pt>
                <c:pt idx="201">
                  <c:v>1.0699000000000001</c:v>
                </c:pt>
                <c:pt idx="202">
                  <c:v>1.1003000000000001</c:v>
                </c:pt>
                <c:pt idx="203">
                  <c:v>1.0693999999999999</c:v>
                </c:pt>
                <c:pt idx="204">
                  <c:v>1.1488</c:v>
                </c:pt>
                <c:pt idx="205">
                  <c:v>1.1516</c:v>
                </c:pt>
                <c:pt idx="206">
                  <c:v>1.1284000000000001</c:v>
                </c:pt>
                <c:pt idx="207">
                  <c:v>1.1848000000000001</c:v>
                </c:pt>
                <c:pt idx="208">
                  <c:v>1.1499999999999999</c:v>
                </c:pt>
                <c:pt idx="209">
                  <c:v>1.1314</c:v>
                </c:pt>
                <c:pt idx="210">
                  <c:v>1.1253</c:v>
                </c:pt>
                <c:pt idx="211">
                  <c:v>1.1998</c:v>
                </c:pt>
                <c:pt idx="212">
                  <c:v>1.2107000000000001</c:v>
                </c:pt>
                <c:pt idx="213">
                  <c:v>1.1677</c:v>
                </c:pt>
                <c:pt idx="214">
                  <c:v>1.1586000000000001</c:v>
                </c:pt>
                <c:pt idx="215">
                  <c:v>1.113</c:v>
                </c:pt>
                <c:pt idx="216">
                  <c:v>1.1134999999999999</c:v>
                </c:pt>
                <c:pt idx="217">
                  <c:v>1.2110000000000001</c:v>
                </c:pt>
                <c:pt idx="218">
                  <c:v>1.2234</c:v>
                </c:pt>
                <c:pt idx="219">
                  <c:v>1.0808</c:v>
                </c:pt>
                <c:pt idx="220">
                  <c:v>1.0912999999999999</c:v>
                </c:pt>
                <c:pt idx="221">
                  <c:v>1.4205000000000001</c:v>
                </c:pt>
                <c:pt idx="222">
                  <c:v>1.4059999999999999</c:v>
                </c:pt>
                <c:pt idx="223">
                  <c:v>1.4327000000000001</c:v>
                </c:pt>
                <c:pt idx="224">
                  <c:v>1.5353000000000001</c:v>
                </c:pt>
                <c:pt idx="225">
                  <c:v>1.5697000000000001</c:v>
                </c:pt>
                <c:pt idx="226">
                  <c:v>1.603</c:v>
                </c:pt>
                <c:pt idx="227">
                  <c:v>1.6429</c:v>
                </c:pt>
                <c:pt idx="228">
                  <c:v>1.6397999999999999</c:v>
                </c:pt>
                <c:pt idx="229">
                  <c:v>1.5636000000000001</c:v>
                </c:pt>
                <c:pt idx="230">
                  <c:v>1.5529999999999999</c:v>
                </c:pt>
                <c:pt idx="231">
                  <c:v>1.7563</c:v>
                </c:pt>
                <c:pt idx="232">
                  <c:v>1.6647000000000001</c:v>
                </c:pt>
                <c:pt idx="233">
                  <c:v>1.542</c:v>
                </c:pt>
                <c:pt idx="234">
                  <c:v>1.5544</c:v>
                </c:pt>
                <c:pt idx="235">
                  <c:v>1.7439</c:v>
                </c:pt>
                <c:pt idx="236">
                  <c:v>1.7133</c:v>
                </c:pt>
                <c:pt idx="237">
                  <c:v>1.7603</c:v>
                </c:pt>
                <c:pt idx="238">
                  <c:v>1.9732000000000001</c:v>
                </c:pt>
                <c:pt idx="239">
                  <c:v>1.7948999999999999</c:v>
                </c:pt>
                <c:pt idx="240">
                  <c:v>1.8294999999999999</c:v>
                </c:pt>
                <c:pt idx="241">
                  <c:v>1.8352999999999999</c:v>
                </c:pt>
                <c:pt idx="242">
                  <c:v>1.3144</c:v>
                </c:pt>
                <c:pt idx="243">
                  <c:v>1.3342000000000001</c:v>
                </c:pt>
                <c:pt idx="244">
                  <c:v>1.2726</c:v>
                </c:pt>
                <c:pt idx="245">
                  <c:v>1.4533</c:v>
                </c:pt>
                <c:pt idx="246">
                  <c:v>1.6034999999999999</c:v>
                </c:pt>
                <c:pt idx="247">
                  <c:v>1.5817000000000001</c:v>
                </c:pt>
                <c:pt idx="248">
                  <c:v>1.5474000000000001</c:v>
                </c:pt>
                <c:pt idx="249">
                  <c:v>0.87570000000000003</c:v>
                </c:pt>
                <c:pt idx="250">
                  <c:v>1.0626</c:v>
                </c:pt>
                <c:pt idx="251">
                  <c:v>1.2323</c:v>
                </c:pt>
                <c:pt idx="252">
                  <c:v>1.3932</c:v>
                </c:pt>
                <c:pt idx="253">
                  <c:v>1.2825</c:v>
                </c:pt>
                <c:pt idx="254">
                  <c:v>1.9766999999999999</c:v>
                </c:pt>
                <c:pt idx="255">
                  <c:v>1.9852000000000001</c:v>
                </c:pt>
                <c:pt idx="256">
                  <c:v>2.1038999999999999</c:v>
                </c:pt>
                <c:pt idx="257">
                  <c:v>1.9086000000000001</c:v>
                </c:pt>
                <c:pt idx="258">
                  <c:v>2.1193</c:v>
                </c:pt>
                <c:pt idx="259">
                  <c:v>2.0007000000000001</c:v>
                </c:pt>
                <c:pt idx="260">
                  <c:v>1.9111</c:v>
                </c:pt>
                <c:pt idx="261">
                  <c:v>2.3166000000000002</c:v>
                </c:pt>
                <c:pt idx="262">
                  <c:v>2.2799</c:v>
                </c:pt>
                <c:pt idx="263">
                  <c:v>2.4670000000000001</c:v>
                </c:pt>
                <c:pt idx="264">
                  <c:v>2.5333999999999999</c:v>
                </c:pt>
                <c:pt idx="265">
                  <c:v>2.4590000000000001</c:v>
                </c:pt>
                <c:pt idx="266">
                  <c:v>2.2885</c:v>
                </c:pt>
                <c:pt idx="267">
                  <c:v>2.3816000000000002</c:v>
                </c:pt>
                <c:pt idx="268">
                  <c:v>2.3050000000000002</c:v>
                </c:pt>
                <c:pt idx="269">
                  <c:v>2.6292</c:v>
                </c:pt>
                <c:pt idx="270">
                  <c:v>2.7229000000000001</c:v>
                </c:pt>
                <c:pt idx="271">
                  <c:v>2.7747999999999999</c:v>
                </c:pt>
                <c:pt idx="272">
                  <c:v>2.8386</c:v>
                </c:pt>
                <c:pt idx="273">
                  <c:v>2.7869000000000002</c:v>
                </c:pt>
                <c:pt idx="274">
                  <c:v>2.9544999999999999</c:v>
                </c:pt>
                <c:pt idx="275">
                  <c:v>3.1825000000000001</c:v>
                </c:pt>
                <c:pt idx="276">
                  <c:v>2.74</c:v>
                </c:pt>
                <c:pt idx="277">
                  <c:v>2.3714</c:v>
                </c:pt>
                <c:pt idx="278">
                  <c:v>2.4135200000000001</c:v>
                </c:pt>
                <c:pt idx="279">
                  <c:v>2.6541800000000002</c:v>
                </c:pt>
                <c:pt idx="280">
                  <c:v>2.8660399999999999</c:v>
                </c:pt>
                <c:pt idx="281">
                  <c:v>2.9368500000000002</c:v>
                </c:pt>
                <c:pt idx="282">
                  <c:v>3.0634899999999998</c:v>
                </c:pt>
                <c:pt idx="283">
                  <c:v>2.96712</c:v>
                </c:pt>
                <c:pt idx="284">
                  <c:v>3.14466</c:v>
                </c:pt>
                <c:pt idx="285">
                  <c:v>3.4875500000000001</c:v>
                </c:pt>
                <c:pt idx="286">
                  <c:v>3.3700199999999998</c:v>
                </c:pt>
                <c:pt idx="287">
                  <c:v>3.79603</c:v>
                </c:pt>
                <c:pt idx="288">
                  <c:v>3.9</c:v>
                </c:pt>
                <c:pt idx="289">
                  <c:v>3.2657400000000001</c:v>
                </c:pt>
                <c:pt idx="290">
                  <c:v>3.1072000000000002</c:v>
                </c:pt>
                <c:pt idx="291">
                  <c:v>3.4748199999999998</c:v>
                </c:pt>
                <c:pt idx="292">
                  <c:v>3.7067600000000001</c:v>
                </c:pt>
                <c:pt idx="293">
                  <c:v>3.54257</c:v>
                </c:pt>
                <c:pt idx="294">
                  <c:v>3.9158900000000001</c:v>
                </c:pt>
                <c:pt idx="295">
                  <c:v>4.0432300000000003</c:v>
                </c:pt>
                <c:pt idx="296">
                  <c:v>3.3755999999999999</c:v>
                </c:pt>
                <c:pt idx="297">
                  <c:v>3.8999899999999998</c:v>
                </c:pt>
                <c:pt idx="298">
                  <c:v>3.99085</c:v>
                </c:pt>
                <c:pt idx="299">
                  <c:v>1.5449999999999999</c:v>
                </c:pt>
                <c:pt idx="300">
                  <c:v>1.7120299999999999</c:v>
                </c:pt>
                <c:pt idx="301">
                  <c:v>1.10815</c:v>
                </c:pt>
                <c:pt idx="302">
                  <c:v>0.79710000000000003</c:v>
                </c:pt>
                <c:pt idx="303">
                  <c:v>0.80808999999999997</c:v>
                </c:pt>
                <c:pt idx="304">
                  <c:v>0.56311</c:v>
                </c:pt>
                <c:pt idx="305">
                  <c:v>0.46626000000000001</c:v>
                </c:pt>
                <c:pt idx="306">
                  <c:v>0.47215000000000001</c:v>
                </c:pt>
                <c:pt idx="307">
                  <c:v>0.47260000000000002</c:v>
                </c:pt>
                <c:pt idx="308">
                  <c:v>0.42318</c:v>
                </c:pt>
                <c:pt idx="309">
                  <c:v>0.44030999999999998</c:v>
                </c:pt>
                <c:pt idx="310">
                  <c:v>0.49645</c:v>
                </c:pt>
                <c:pt idx="311">
                  <c:v>0.48355999999999999</c:v>
                </c:pt>
                <c:pt idx="312">
                  <c:v>0.51161999999999996</c:v>
                </c:pt>
                <c:pt idx="313">
                  <c:v>0.52546000000000004</c:v>
                </c:pt>
                <c:pt idx="314">
                  <c:v>0.56342999999999999</c:v>
                </c:pt>
                <c:pt idx="315">
                  <c:v>0.54391</c:v>
                </c:pt>
                <c:pt idx="316">
                  <c:v>0.49585000000000001</c:v>
                </c:pt>
                <c:pt idx="317">
                  <c:v>0.47882000000000002</c:v>
                </c:pt>
                <c:pt idx="318">
                  <c:v>0.44502000000000003</c:v>
                </c:pt>
                <c:pt idx="319">
                  <c:v>0.46844999999999998</c:v>
                </c:pt>
                <c:pt idx="320">
                  <c:v>0.47699999999999998</c:v>
                </c:pt>
                <c:pt idx="321">
                  <c:v>0.34166000000000002</c:v>
                </c:pt>
                <c:pt idx="322">
                  <c:v>0.37067</c:v>
                </c:pt>
                <c:pt idx="323">
                  <c:v>0.35277999999999998</c:v>
                </c:pt>
                <c:pt idx="324">
                  <c:v>0.38129999999999997</c:v>
                </c:pt>
                <c:pt idx="325">
                  <c:v>0.33879999999999999</c:v>
                </c:pt>
                <c:pt idx="326">
                  <c:v>0.29088000000000003</c:v>
                </c:pt>
                <c:pt idx="327">
                  <c:v>0.28616000000000003</c:v>
                </c:pt>
                <c:pt idx="328">
                  <c:v>0.28305000000000002</c:v>
                </c:pt>
                <c:pt idx="329">
                  <c:v>0.26141999999999999</c:v>
                </c:pt>
                <c:pt idx="330">
                  <c:v>0.27533999999999997</c:v>
                </c:pt>
                <c:pt idx="331">
                  <c:v>0.25664999999999999</c:v>
                </c:pt>
                <c:pt idx="332">
                  <c:v>0.27050000000000002</c:v>
                </c:pt>
                <c:pt idx="333">
                  <c:v>0.24590999999999999</c:v>
                </c:pt>
                <c:pt idx="334">
                  <c:v>0.27332000000000001</c:v>
                </c:pt>
                <c:pt idx="335">
                  <c:v>0.25606000000000001</c:v>
                </c:pt>
                <c:pt idx="336">
                  <c:v>0.26872000000000001</c:v>
                </c:pt>
                <c:pt idx="337">
                  <c:v>0.29132999999999998</c:v>
                </c:pt>
                <c:pt idx="338">
                  <c:v>0.28183000000000002</c:v>
                </c:pt>
                <c:pt idx="339">
                  <c:v>0.32673000000000002</c:v>
                </c:pt>
                <c:pt idx="340">
                  <c:v>0.36679</c:v>
                </c:pt>
                <c:pt idx="341">
                  <c:v>0.28375</c:v>
                </c:pt>
                <c:pt idx="342">
                  <c:v>0.31724999999999998</c:v>
                </c:pt>
                <c:pt idx="343">
                  <c:v>0.24271999999999999</c:v>
                </c:pt>
                <c:pt idx="344">
                  <c:v>0.21429999999999999</c:v>
                </c:pt>
                <c:pt idx="345">
                  <c:v>0.20316000000000001</c:v>
                </c:pt>
                <c:pt idx="346">
                  <c:v>0.19928999999999999</c:v>
                </c:pt>
                <c:pt idx="347">
                  <c:v>0.22061</c:v>
                </c:pt>
                <c:pt idx="348">
                  <c:v>0.20738000000000001</c:v>
                </c:pt>
                <c:pt idx="349">
                  <c:v>0.17718999999999999</c:v>
                </c:pt>
                <c:pt idx="350">
                  <c:v>0.17712</c:v>
                </c:pt>
                <c:pt idx="351">
                  <c:v>0.16811000000000001</c:v>
                </c:pt>
                <c:pt idx="352">
                  <c:v>0.13893</c:v>
                </c:pt>
                <c:pt idx="353">
                  <c:v>0.12681000000000001</c:v>
                </c:pt>
                <c:pt idx="354">
                  <c:v>0.11647</c:v>
                </c:pt>
                <c:pt idx="355">
                  <c:v>0.11941</c:v>
                </c:pt>
                <c:pt idx="356">
                  <c:v>0.12540999999999999</c:v>
                </c:pt>
                <c:pt idx="357">
                  <c:v>0.11422</c:v>
                </c:pt>
                <c:pt idx="358">
                  <c:v>0.11933000000000001</c:v>
                </c:pt>
                <c:pt idx="359">
                  <c:v>0.11174000000000001</c:v>
                </c:pt>
                <c:pt idx="360">
                  <c:v>0.11065</c:v>
                </c:pt>
                <c:pt idx="361">
                  <c:v>0.10439</c:v>
                </c:pt>
                <c:pt idx="362">
                  <c:v>0.10838</c:v>
                </c:pt>
                <c:pt idx="363">
                  <c:v>0.11070000000000001</c:v>
                </c:pt>
                <c:pt idx="364">
                  <c:v>0.11495</c:v>
                </c:pt>
                <c:pt idx="365">
                  <c:v>8.7190000000000004E-2</c:v>
                </c:pt>
                <c:pt idx="366">
                  <c:v>9.1990000000000002E-2</c:v>
                </c:pt>
                <c:pt idx="367">
                  <c:v>9.2499999999999999E-2</c:v>
                </c:pt>
                <c:pt idx="368">
                  <c:v>9.2990000000000003E-2</c:v>
                </c:pt>
                <c:pt idx="369">
                  <c:v>9.3149999999999997E-2</c:v>
                </c:pt>
                <c:pt idx="370">
                  <c:v>9.0829999999999994E-2</c:v>
                </c:pt>
                <c:pt idx="371">
                  <c:v>8.8789999999999994E-2</c:v>
                </c:pt>
                <c:pt idx="372">
                  <c:v>0.10055</c:v>
                </c:pt>
                <c:pt idx="373">
                  <c:v>0.10205</c:v>
                </c:pt>
                <c:pt idx="374">
                  <c:v>9.5949999999999994E-2</c:v>
                </c:pt>
                <c:pt idx="375">
                  <c:v>8.8059999999999999E-2</c:v>
                </c:pt>
                <c:pt idx="376">
                  <c:v>8.634E-2</c:v>
                </c:pt>
                <c:pt idx="377">
                  <c:v>8.5019999999999998E-2</c:v>
                </c:pt>
                <c:pt idx="378">
                  <c:v>8.2339999999999997E-2</c:v>
                </c:pt>
                <c:pt idx="379">
                  <c:v>8.3559999999999995E-2</c:v>
                </c:pt>
                <c:pt idx="380">
                  <c:v>8.0030000000000004E-2</c:v>
                </c:pt>
                <c:pt idx="381">
                  <c:v>8.4500000000000006E-2</c:v>
                </c:pt>
                <c:pt idx="382">
                  <c:v>8.7959999999999997E-2</c:v>
                </c:pt>
                <c:pt idx="383">
                  <c:v>8.9209999999999998E-2</c:v>
                </c:pt>
                <c:pt idx="384">
                  <c:v>8.1640000000000004E-2</c:v>
                </c:pt>
                <c:pt idx="385">
                  <c:v>8.3199999999999996E-2</c:v>
                </c:pt>
                <c:pt idx="386">
                  <c:v>7.5880000000000003E-2</c:v>
                </c:pt>
                <c:pt idx="387">
                  <c:v>6.9879999999999998E-2</c:v>
                </c:pt>
                <c:pt idx="388">
                  <c:v>7.0000000000000007E-2</c:v>
                </c:pt>
                <c:pt idx="389">
                  <c:v>6.6320000000000004E-2</c:v>
                </c:pt>
                <c:pt idx="390">
                  <c:v>6.5089999999999995E-2</c:v>
                </c:pt>
                <c:pt idx="391">
                  <c:v>6.6460000000000005E-2</c:v>
                </c:pt>
                <c:pt idx="392">
                  <c:v>6.5229999999999996E-2</c:v>
                </c:pt>
                <c:pt idx="393">
                  <c:v>6.5070000000000003E-2</c:v>
                </c:pt>
                <c:pt idx="394">
                  <c:v>6.6009999999999999E-2</c:v>
                </c:pt>
                <c:pt idx="395">
                  <c:v>6.7229999999999998E-2</c:v>
                </c:pt>
                <c:pt idx="396">
                  <c:v>6.6420000000000007E-2</c:v>
                </c:pt>
                <c:pt idx="397">
                  <c:v>6.8309999999999996E-2</c:v>
                </c:pt>
                <c:pt idx="398">
                  <c:v>6.9169999999999995E-2</c:v>
                </c:pt>
                <c:pt idx="399">
                  <c:v>6.9199999999999998E-2</c:v>
                </c:pt>
                <c:pt idx="400">
                  <c:v>6.5479999999999997E-2</c:v>
                </c:pt>
                <c:pt idx="401">
                  <c:v>7.424E-2</c:v>
                </c:pt>
                <c:pt idx="402">
                  <c:v>7.5300000000000006E-2</c:v>
                </c:pt>
                <c:pt idx="403">
                  <c:v>7.5579999999999994E-2</c:v>
                </c:pt>
                <c:pt idx="404">
                  <c:v>7.8079999999999997E-2</c:v>
                </c:pt>
                <c:pt idx="405">
                  <c:v>7.7740000000000004E-2</c:v>
                </c:pt>
                <c:pt idx="406">
                  <c:v>7.6240000000000002E-2</c:v>
                </c:pt>
                <c:pt idx="407">
                  <c:v>7.8340000000000007E-2</c:v>
                </c:pt>
                <c:pt idx="408">
                  <c:v>7.8200000000000006E-2</c:v>
                </c:pt>
                <c:pt idx="409">
                  <c:v>7.3810000000000001E-2</c:v>
                </c:pt>
                <c:pt idx="410">
                  <c:v>7.4950000000000003E-2</c:v>
                </c:pt>
                <c:pt idx="411">
                  <c:v>7.2859999999999994E-2</c:v>
                </c:pt>
                <c:pt idx="412">
                  <c:v>7.2789999999999994E-2</c:v>
                </c:pt>
                <c:pt idx="413">
                  <c:v>7.5459999999999999E-2</c:v>
                </c:pt>
                <c:pt idx="414">
                  <c:v>7.5749999999999998E-2</c:v>
                </c:pt>
                <c:pt idx="415">
                  <c:v>7.3899999999999993E-2</c:v>
                </c:pt>
                <c:pt idx="416">
                  <c:v>7.8570000000000001E-2</c:v>
                </c:pt>
                <c:pt idx="417">
                  <c:v>7.9289999999999999E-2</c:v>
                </c:pt>
                <c:pt idx="418">
                  <c:v>7.9259999999999997E-2</c:v>
                </c:pt>
                <c:pt idx="419">
                  <c:v>7.7229999999999993E-2</c:v>
                </c:pt>
                <c:pt idx="420">
                  <c:v>8.0979999999999996E-2</c:v>
                </c:pt>
                <c:pt idx="421">
                  <c:v>8.0110000000000001E-2</c:v>
                </c:pt>
                <c:pt idx="422">
                  <c:v>7.8469999999999998E-2</c:v>
                </c:pt>
                <c:pt idx="423">
                  <c:v>8.158E-2</c:v>
                </c:pt>
                <c:pt idx="424">
                  <c:v>7.8450000000000006E-2</c:v>
                </c:pt>
                <c:pt idx="425">
                  <c:v>7.8219999999999998E-2</c:v>
                </c:pt>
                <c:pt idx="426">
                  <c:v>7.9500000000000001E-2</c:v>
                </c:pt>
                <c:pt idx="427">
                  <c:v>7.7899999999999997E-2</c:v>
                </c:pt>
                <c:pt idx="428">
                  <c:v>8.8179999999999994E-2</c:v>
                </c:pt>
                <c:pt idx="429">
                  <c:v>8.6499999999999994E-2</c:v>
                </c:pt>
                <c:pt idx="430">
                  <c:v>8.3640000000000006E-2</c:v>
                </c:pt>
                <c:pt idx="431">
                  <c:v>7.9630000000000006E-2</c:v>
                </c:pt>
                <c:pt idx="432">
                  <c:v>8.3470000000000003E-2</c:v>
                </c:pt>
                <c:pt idx="433">
                  <c:v>7.6700000000000004E-2</c:v>
                </c:pt>
                <c:pt idx="434">
                  <c:v>7.6340000000000005E-2</c:v>
                </c:pt>
                <c:pt idx="435">
                  <c:v>7.7549999999999994E-2</c:v>
                </c:pt>
                <c:pt idx="436">
                  <c:v>7.9200000000000007E-2</c:v>
                </c:pt>
                <c:pt idx="437">
                  <c:v>7.8789999999999999E-2</c:v>
                </c:pt>
                <c:pt idx="438">
                  <c:v>7.7049999999999993E-2</c:v>
                </c:pt>
                <c:pt idx="439">
                  <c:v>7.8210000000000002E-2</c:v>
                </c:pt>
                <c:pt idx="440">
                  <c:v>7.9469999999999999E-2</c:v>
                </c:pt>
                <c:pt idx="441">
                  <c:v>7.739E-2</c:v>
                </c:pt>
                <c:pt idx="442">
                  <c:v>7.6929999999999998E-2</c:v>
                </c:pt>
                <c:pt idx="443">
                  <c:v>8.0560000000000007E-2</c:v>
                </c:pt>
                <c:pt idx="444">
                  <c:v>7.8039999999999998E-2</c:v>
                </c:pt>
                <c:pt idx="445">
                  <c:v>7.9320000000000002E-2</c:v>
                </c:pt>
                <c:pt idx="446">
                  <c:v>7.6480000000000006E-2</c:v>
                </c:pt>
                <c:pt idx="447">
                  <c:v>7.5429999999999997E-2</c:v>
                </c:pt>
                <c:pt idx="448">
                  <c:v>7.0749999999999993E-2</c:v>
                </c:pt>
                <c:pt idx="449">
                  <c:v>6.6299999999999998E-2</c:v>
                </c:pt>
                <c:pt idx="450">
                  <c:v>6.8000000000000005E-2</c:v>
                </c:pt>
                <c:pt idx="451">
                  <c:v>7.2830000000000006E-2</c:v>
                </c:pt>
                <c:pt idx="452">
                  <c:v>7.7780000000000002E-2</c:v>
                </c:pt>
                <c:pt idx="453">
                  <c:v>7.9149999999999998E-2</c:v>
                </c:pt>
                <c:pt idx="454">
                  <c:v>8.0530000000000004E-2</c:v>
                </c:pt>
                <c:pt idx="455">
                  <c:v>8.6370000000000002E-2</c:v>
                </c:pt>
                <c:pt idx="456">
                  <c:v>8.9730000000000004E-2</c:v>
                </c:pt>
                <c:pt idx="457">
                  <c:v>8.7980000000000003E-2</c:v>
                </c:pt>
                <c:pt idx="458">
                  <c:v>9.0609999999999996E-2</c:v>
                </c:pt>
                <c:pt idx="459">
                  <c:v>8.7709999999999996E-2</c:v>
                </c:pt>
                <c:pt idx="460">
                  <c:v>9.3259999999999996E-2</c:v>
                </c:pt>
                <c:pt idx="461">
                  <c:v>9.2009999999999995E-2</c:v>
                </c:pt>
                <c:pt idx="462">
                  <c:v>9.3420000000000003E-2</c:v>
                </c:pt>
                <c:pt idx="463">
                  <c:v>9.1869999999999993E-2</c:v>
                </c:pt>
                <c:pt idx="464">
                  <c:v>9.2179999999999998E-2</c:v>
                </c:pt>
                <c:pt idx="465">
                  <c:v>9.6290000000000001E-2</c:v>
                </c:pt>
                <c:pt idx="466">
                  <c:v>9.5829999999999999E-2</c:v>
                </c:pt>
                <c:pt idx="467">
                  <c:v>9.8390000000000005E-2</c:v>
                </c:pt>
                <c:pt idx="468">
                  <c:v>9.4539999999999999E-2</c:v>
                </c:pt>
                <c:pt idx="469">
                  <c:v>9.3369999999999995E-2</c:v>
                </c:pt>
                <c:pt idx="470">
                  <c:v>9.3719999999999998E-2</c:v>
                </c:pt>
                <c:pt idx="471">
                  <c:v>9.7019999999999995E-2</c:v>
                </c:pt>
                <c:pt idx="472">
                  <c:v>9.8369999999999999E-2</c:v>
                </c:pt>
                <c:pt idx="473">
                  <c:v>9.8780000000000007E-2</c:v>
                </c:pt>
                <c:pt idx="474">
                  <c:v>9.6629999999999994E-2</c:v>
                </c:pt>
                <c:pt idx="475">
                  <c:v>0.10154000000000001</c:v>
                </c:pt>
                <c:pt idx="476">
                  <c:v>9.3119999999999994E-2</c:v>
                </c:pt>
                <c:pt idx="477">
                  <c:v>9.0340000000000004E-2</c:v>
                </c:pt>
                <c:pt idx="478">
                  <c:v>8.9450000000000002E-2</c:v>
                </c:pt>
                <c:pt idx="479">
                  <c:v>9.4049999999999995E-2</c:v>
                </c:pt>
                <c:pt idx="480">
                  <c:v>9.4450000000000006E-2</c:v>
                </c:pt>
                <c:pt idx="481">
                  <c:v>9.4820000000000002E-2</c:v>
                </c:pt>
                <c:pt idx="482">
                  <c:v>9.4479999999999995E-2</c:v>
                </c:pt>
                <c:pt idx="483">
                  <c:v>9.7479999999999997E-2</c:v>
                </c:pt>
                <c:pt idx="484">
                  <c:v>9.9140000000000006E-2</c:v>
                </c:pt>
                <c:pt idx="485">
                  <c:v>9.8519999999999996E-2</c:v>
                </c:pt>
                <c:pt idx="486">
                  <c:v>9.6009999999999998E-2</c:v>
                </c:pt>
                <c:pt idx="487">
                  <c:v>9.4500000000000001E-2</c:v>
                </c:pt>
                <c:pt idx="488">
                  <c:v>9.5729999999999996E-2</c:v>
                </c:pt>
                <c:pt idx="489">
                  <c:v>9.5000000000000001E-2</c:v>
                </c:pt>
                <c:pt idx="490">
                  <c:v>9.4560000000000005E-2</c:v>
                </c:pt>
                <c:pt idx="491">
                  <c:v>8.6010000000000003E-2</c:v>
                </c:pt>
                <c:pt idx="492">
                  <c:v>9.3460000000000001E-2</c:v>
                </c:pt>
                <c:pt idx="493">
                  <c:v>9.2420000000000002E-2</c:v>
                </c:pt>
                <c:pt idx="494">
                  <c:v>9.9400000000000002E-2</c:v>
                </c:pt>
                <c:pt idx="495">
                  <c:v>0.10267999999999999</c:v>
                </c:pt>
                <c:pt idx="496">
                  <c:v>0.10237</c:v>
                </c:pt>
                <c:pt idx="497">
                  <c:v>0.10178</c:v>
                </c:pt>
                <c:pt idx="498">
                  <c:v>0.10868999999999999</c:v>
                </c:pt>
                <c:pt idx="499">
                  <c:v>9.5920000000000005E-2</c:v>
                </c:pt>
                <c:pt idx="500">
                  <c:v>0.10843999999999999</c:v>
                </c:pt>
                <c:pt idx="501">
                  <c:v>0.10792</c:v>
                </c:pt>
                <c:pt idx="502">
                  <c:v>0.11348</c:v>
                </c:pt>
                <c:pt idx="503">
                  <c:v>0.10934000000000001</c:v>
                </c:pt>
                <c:pt idx="504">
                  <c:v>0.11078</c:v>
                </c:pt>
                <c:pt idx="505">
                  <c:v>0.10256999999999999</c:v>
                </c:pt>
                <c:pt idx="506">
                  <c:v>0.10002</c:v>
                </c:pt>
                <c:pt idx="507">
                  <c:v>0.10198</c:v>
                </c:pt>
                <c:pt idx="508">
                  <c:v>0.1037</c:v>
                </c:pt>
                <c:pt idx="509">
                  <c:v>0.10197000000000001</c:v>
                </c:pt>
                <c:pt idx="510">
                  <c:v>0.11199000000000001</c:v>
                </c:pt>
                <c:pt idx="511">
                  <c:v>0.11106000000000001</c:v>
                </c:pt>
                <c:pt idx="512">
                  <c:v>0.12781000000000001</c:v>
                </c:pt>
                <c:pt idx="513">
                  <c:v>0.13055</c:v>
                </c:pt>
                <c:pt idx="514">
                  <c:v>0.13608000000000001</c:v>
                </c:pt>
                <c:pt idx="515">
                  <c:v>0.13535</c:v>
                </c:pt>
                <c:pt idx="516">
                  <c:v>0.13574</c:v>
                </c:pt>
                <c:pt idx="517">
                  <c:v>0.13152</c:v>
                </c:pt>
                <c:pt idx="518">
                  <c:v>0.12933</c:v>
                </c:pt>
                <c:pt idx="519">
                  <c:v>0.13414999999999999</c:v>
                </c:pt>
                <c:pt idx="520">
                  <c:v>0.13428000000000001</c:v>
                </c:pt>
                <c:pt idx="521">
                  <c:v>0.14091999999999999</c:v>
                </c:pt>
                <c:pt idx="522">
                  <c:v>0.1351</c:v>
                </c:pt>
                <c:pt idx="523">
                  <c:v>0.13800000000000001</c:v>
                </c:pt>
                <c:pt idx="524">
                  <c:v>0.13202</c:v>
                </c:pt>
                <c:pt idx="525">
                  <c:v>0.13982</c:v>
                </c:pt>
                <c:pt idx="526">
                  <c:v>0.13386999999999999</c:v>
                </c:pt>
                <c:pt idx="527">
                  <c:v>0.14407</c:v>
                </c:pt>
                <c:pt idx="528">
                  <c:v>0.15048</c:v>
                </c:pt>
                <c:pt idx="529">
                  <c:v>0.16266</c:v>
                </c:pt>
                <c:pt idx="530">
                  <c:v>0.15848000000000001</c:v>
                </c:pt>
                <c:pt idx="531">
                  <c:v>0.1736</c:v>
                </c:pt>
                <c:pt idx="532">
                  <c:v>0.17795</c:v>
                </c:pt>
                <c:pt idx="533">
                  <c:v>0.1285</c:v>
                </c:pt>
                <c:pt idx="534">
                  <c:v>0.127</c:v>
                </c:pt>
                <c:pt idx="535">
                  <c:v>0.13639999999999999</c:v>
                </c:pt>
                <c:pt idx="536">
                  <c:v>0.12881999999999999</c:v>
                </c:pt>
                <c:pt idx="537">
                  <c:v>0.12386999999999999</c:v>
                </c:pt>
                <c:pt idx="538">
                  <c:v>0.12435</c:v>
                </c:pt>
                <c:pt idx="539">
                  <c:v>0.12559000000000001</c:v>
                </c:pt>
                <c:pt idx="540">
                  <c:v>0.12839</c:v>
                </c:pt>
                <c:pt idx="541">
                  <c:v>0.12261</c:v>
                </c:pt>
                <c:pt idx="542">
                  <c:v>0.12182999999999999</c:v>
                </c:pt>
                <c:pt idx="543">
                  <c:v>0.12191</c:v>
                </c:pt>
                <c:pt idx="544">
                  <c:v>0.12388</c:v>
                </c:pt>
                <c:pt idx="545">
                  <c:v>0.12241</c:v>
                </c:pt>
                <c:pt idx="546">
                  <c:v>0.12573000000000001</c:v>
                </c:pt>
                <c:pt idx="547">
                  <c:v>0.12434000000000001</c:v>
                </c:pt>
                <c:pt idx="548">
                  <c:v>0.13100000000000001</c:v>
                </c:pt>
                <c:pt idx="549">
                  <c:v>0.12064999999999999</c:v>
                </c:pt>
                <c:pt idx="550">
                  <c:v>0.12964000000000001</c:v>
                </c:pt>
                <c:pt idx="551">
                  <c:v>0.12820999999999999</c:v>
                </c:pt>
                <c:pt idx="552">
                  <c:v>0.1295</c:v>
                </c:pt>
                <c:pt idx="553">
                  <c:v>0.13288</c:v>
                </c:pt>
                <c:pt idx="554">
                  <c:v>0.13689999999999999</c:v>
                </c:pt>
                <c:pt idx="555">
                  <c:v>0.13705000000000001</c:v>
                </c:pt>
                <c:pt idx="556">
                  <c:v>0.13585</c:v>
                </c:pt>
                <c:pt idx="557">
                  <c:v>0.1381</c:v>
                </c:pt>
                <c:pt idx="558">
                  <c:v>0.13395000000000001</c:v>
                </c:pt>
                <c:pt idx="559">
                  <c:v>0.13444</c:v>
                </c:pt>
                <c:pt idx="560">
                  <c:v>0.13074</c:v>
                </c:pt>
                <c:pt idx="561">
                  <c:v>0.13833000000000001</c:v>
                </c:pt>
                <c:pt idx="562">
                  <c:v>0.13775999999999999</c:v>
                </c:pt>
                <c:pt idx="563">
                  <c:v>0.13650999999999999</c:v>
                </c:pt>
                <c:pt idx="564">
                  <c:v>0.14127999999999999</c:v>
                </c:pt>
                <c:pt idx="565">
                  <c:v>0.14621000000000001</c:v>
                </c:pt>
                <c:pt idx="566">
                  <c:v>0.13949</c:v>
                </c:pt>
                <c:pt idx="567">
                  <c:v>0.13800000000000001</c:v>
                </c:pt>
                <c:pt idx="568">
                  <c:v>0.13868</c:v>
                </c:pt>
                <c:pt idx="569">
                  <c:v>0.13800000000000001</c:v>
                </c:pt>
                <c:pt idx="570">
                  <c:v>0.13714999999999999</c:v>
                </c:pt>
                <c:pt idx="571">
                  <c:v>0.14066999999999999</c:v>
                </c:pt>
                <c:pt idx="572">
                  <c:v>0.14004</c:v>
                </c:pt>
                <c:pt idx="573">
                  <c:v>0.14199999999999999</c:v>
                </c:pt>
                <c:pt idx="574">
                  <c:v>0.13904</c:v>
                </c:pt>
                <c:pt idx="575">
                  <c:v>0.13358</c:v>
                </c:pt>
                <c:pt idx="576">
                  <c:v>0.12689</c:v>
                </c:pt>
                <c:pt idx="577">
                  <c:v>0.12166</c:v>
                </c:pt>
                <c:pt idx="578">
                  <c:v>0.11940000000000001</c:v>
                </c:pt>
                <c:pt idx="579">
                  <c:v>0.1176</c:v>
                </c:pt>
                <c:pt idx="580">
                  <c:v>0.12684999999999999</c:v>
                </c:pt>
                <c:pt idx="581">
                  <c:v>0.13</c:v>
                </c:pt>
                <c:pt idx="582">
                  <c:v>0.12286</c:v>
                </c:pt>
                <c:pt idx="583">
                  <c:v>0.12501999999999999</c:v>
                </c:pt>
                <c:pt idx="584">
                  <c:v>0.12396</c:v>
                </c:pt>
                <c:pt idx="585">
                  <c:v>0.12257999999999999</c:v>
                </c:pt>
                <c:pt idx="586">
                  <c:v>0.12453</c:v>
                </c:pt>
                <c:pt idx="587">
                  <c:v>0.12472999999999999</c:v>
                </c:pt>
                <c:pt idx="588">
                  <c:v>0.12881999999999999</c:v>
                </c:pt>
                <c:pt idx="589">
                  <c:v>0.12002</c:v>
                </c:pt>
                <c:pt idx="590">
                  <c:v>0.12232</c:v>
                </c:pt>
                <c:pt idx="591">
                  <c:v>0.12526000000000001</c:v>
                </c:pt>
                <c:pt idx="592">
                  <c:v>0.12514</c:v>
                </c:pt>
                <c:pt idx="593">
                  <c:v>0.12681000000000001</c:v>
                </c:pt>
                <c:pt idx="594">
                  <c:v>0.12739</c:v>
                </c:pt>
                <c:pt idx="595">
                  <c:v>0.12983</c:v>
                </c:pt>
                <c:pt idx="596">
                  <c:v>0.13270999999999999</c:v>
                </c:pt>
                <c:pt idx="597">
                  <c:v>0.1333</c:v>
                </c:pt>
                <c:pt idx="598">
                  <c:v>0.13299</c:v>
                </c:pt>
                <c:pt idx="599">
                  <c:v>0.13377</c:v>
                </c:pt>
                <c:pt idx="600">
                  <c:v>0.13252</c:v>
                </c:pt>
                <c:pt idx="601">
                  <c:v>0.13439999999999999</c:v>
                </c:pt>
                <c:pt idx="602">
                  <c:v>0.13568</c:v>
                </c:pt>
                <c:pt idx="603">
                  <c:v>0.1346</c:v>
                </c:pt>
                <c:pt idx="604">
                  <c:v>0.13449</c:v>
                </c:pt>
                <c:pt idx="605">
                  <c:v>0.13442999999999999</c:v>
                </c:pt>
                <c:pt idx="606">
                  <c:v>0.13095999999999999</c:v>
                </c:pt>
                <c:pt idx="607">
                  <c:v>0.13571</c:v>
                </c:pt>
                <c:pt idx="608">
                  <c:v>0.13675000000000001</c:v>
                </c:pt>
                <c:pt idx="609">
                  <c:v>0.13693</c:v>
                </c:pt>
                <c:pt idx="610">
                  <c:v>0.14165</c:v>
                </c:pt>
                <c:pt idx="611">
                  <c:v>0.15281</c:v>
                </c:pt>
                <c:pt idx="612">
                  <c:v>0.13421</c:v>
                </c:pt>
                <c:pt idx="613">
                  <c:v>0.1265</c:v>
                </c:pt>
                <c:pt idx="614">
                  <c:v>0.13183</c:v>
                </c:pt>
                <c:pt idx="615">
                  <c:v>0.13552</c:v>
                </c:pt>
                <c:pt idx="616">
                  <c:v>0.13039999999999999</c:v>
                </c:pt>
                <c:pt idx="617">
                  <c:v>0.13405</c:v>
                </c:pt>
                <c:pt idx="618">
                  <c:v>0.13528000000000001</c:v>
                </c:pt>
                <c:pt idx="619">
                  <c:v>0.13686999999999999</c:v>
                </c:pt>
                <c:pt idx="620">
                  <c:v>0.13272999999999999</c:v>
                </c:pt>
                <c:pt idx="621">
                  <c:v>0.13125999999999999</c:v>
                </c:pt>
                <c:pt idx="622">
                  <c:v>0.13072</c:v>
                </c:pt>
                <c:pt idx="623">
                  <c:v>0.13278000000000001</c:v>
                </c:pt>
                <c:pt idx="624">
                  <c:v>0.13449</c:v>
                </c:pt>
                <c:pt idx="625">
                  <c:v>0.13436999999999999</c:v>
                </c:pt>
                <c:pt idx="626">
                  <c:v>0.12444</c:v>
                </c:pt>
                <c:pt idx="627">
                  <c:v>0.12634999999999999</c:v>
                </c:pt>
                <c:pt idx="628">
                  <c:v>0.13727</c:v>
                </c:pt>
                <c:pt idx="629">
                  <c:v>0.13749</c:v>
                </c:pt>
                <c:pt idx="630">
                  <c:v>0.13478999999999999</c:v>
                </c:pt>
                <c:pt idx="631">
                  <c:v>0.13167999999999999</c:v>
                </c:pt>
                <c:pt idx="632">
                  <c:v>0.13457</c:v>
                </c:pt>
                <c:pt idx="633">
                  <c:v>0.13489000000000001</c:v>
                </c:pt>
                <c:pt idx="634">
                  <c:v>0.13800000000000001</c:v>
                </c:pt>
                <c:pt idx="635">
                  <c:v>0.14330000000000001</c:v>
                </c:pt>
                <c:pt idx="636">
                  <c:v>0.14426</c:v>
                </c:pt>
                <c:pt idx="637">
                  <c:v>0.14102000000000001</c:v>
                </c:pt>
                <c:pt idx="638">
                  <c:v>0.14538999999999999</c:v>
                </c:pt>
                <c:pt idx="639">
                  <c:v>0.14011000000000001</c:v>
                </c:pt>
                <c:pt idx="640">
                  <c:v>0.14357</c:v>
                </c:pt>
                <c:pt idx="641">
                  <c:v>0.14696999999999999</c:v>
                </c:pt>
                <c:pt idx="642">
                  <c:v>0.13800000000000001</c:v>
                </c:pt>
                <c:pt idx="643">
                  <c:v>0.13547000000000001</c:v>
                </c:pt>
                <c:pt idx="644">
                  <c:v>0.13397000000000001</c:v>
                </c:pt>
                <c:pt idx="645">
                  <c:v>0.13355</c:v>
                </c:pt>
                <c:pt idx="646">
                  <c:v>0.12961</c:v>
                </c:pt>
                <c:pt idx="647">
                  <c:v>0.12667999999999999</c:v>
                </c:pt>
                <c:pt idx="648">
                  <c:v>0.1406</c:v>
                </c:pt>
                <c:pt idx="649">
                  <c:v>0.14771000000000001</c:v>
                </c:pt>
                <c:pt idx="650">
                  <c:v>0.13427</c:v>
                </c:pt>
                <c:pt idx="651">
                  <c:v>0.13829</c:v>
                </c:pt>
                <c:pt idx="652">
                  <c:v>0.12333</c:v>
                </c:pt>
                <c:pt idx="653">
                  <c:v>0.12769</c:v>
                </c:pt>
                <c:pt idx="654">
                  <c:v>0.12598999999999999</c:v>
                </c:pt>
                <c:pt idx="655">
                  <c:v>0.12928000000000001</c:v>
                </c:pt>
                <c:pt idx="656">
                  <c:v>0.12570000000000001</c:v>
                </c:pt>
                <c:pt idx="657">
                  <c:v>0.1298</c:v>
                </c:pt>
                <c:pt idx="658">
                  <c:v>0.14249999999999999</c:v>
                </c:pt>
                <c:pt idx="659">
                  <c:v>0.15373999999999999</c:v>
                </c:pt>
                <c:pt idx="660">
                  <c:v>0.14929000000000001</c:v>
                </c:pt>
                <c:pt idx="661">
                  <c:v>0.14273</c:v>
                </c:pt>
                <c:pt idx="662">
                  <c:v>0.128</c:v>
                </c:pt>
                <c:pt idx="663">
                  <c:v>0.13761000000000001</c:v>
                </c:pt>
                <c:pt idx="664">
                  <c:v>0.13807</c:v>
                </c:pt>
                <c:pt idx="665">
                  <c:v>0.13603999999999999</c:v>
                </c:pt>
                <c:pt idx="666">
                  <c:v>0.11899</c:v>
                </c:pt>
                <c:pt idx="667">
                  <c:v>9.6750000000000003E-2</c:v>
                </c:pt>
                <c:pt idx="668">
                  <c:v>9.4E-2</c:v>
                </c:pt>
                <c:pt idx="669">
                  <c:v>8.8900000000000007E-2</c:v>
                </c:pt>
                <c:pt idx="670">
                  <c:v>9.3560000000000004E-2</c:v>
                </c:pt>
                <c:pt idx="671">
                  <c:v>9.5000000000000001E-2</c:v>
                </c:pt>
                <c:pt idx="672">
                  <c:v>0.10058</c:v>
                </c:pt>
                <c:pt idx="673">
                  <c:v>0.10105</c:v>
                </c:pt>
                <c:pt idx="674">
                  <c:v>9.851E-2</c:v>
                </c:pt>
                <c:pt idx="675">
                  <c:v>9.6879999999999994E-2</c:v>
                </c:pt>
                <c:pt idx="676">
                  <c:v>8.7830000000000005E-2</c:v>
                </c:pt>
                <c:pt idx="677">
                  <c:v>0.10259</c:v>
                </c:pt>
                <c:pt idx="678">
                  <c:v>0.10150000000000001</c:v>
                </c:pt>
                <c:pt idx="679">
                  <c:v>0.10417999999999999</c:v>
                </c:pt>
                <c:pt idx="680">
                  <c:v>9.7799999999999998E-2</c:v>
                </c:pt>
                <c:pt idx="681">
                  <c:v>9.8299999999999998E-2</c:v>
                </c:pt>
                <c:pt idx="682">
                  <c:v>7.6109999999999997E-2</c:v>
                </c:pt>
                <c:pt idx="683">
                  <c:v>9.3979999999999994E-2</c:v>
                </c:pt>
                <c:pt idx="684">
                  <c:v>9.4390000000000002E-2</c:v>
                </c:pt>
                <c:pt idx="685">
                  <c:v>0.10485999999999999</c:v>
                </c:pt>
                <c:pt idx="686">
                  <c:v>8.634E-2</c:v>
                </c:pt>
                <c:pt idx="687">
                  <c:v>0.17291999999999999</c:v>
                </c:pt>
                <c:pt idx="688">
                  <c:v>0.19255</c:v>
                </c:pt>
                <c:pt idx="689">
                  <c:v>0.20344999999999999</c:v>
                </c:pt>
                <c:pt idx="690">
                  <c:v>0.16114999999999999</c:v>
                </c:pt>
                <c:pt idx="691">
                  <c:v>0.20327999999999999</c:v>
                </c:pt>
                <c:pt idx="692">
                  <c:v>0.154</c:v>
                </c:pt>
                <c:pt idx="693">
                  <c:v>0.1225</c:v>
                </c:pt>
                <c:pt idx="694">
                  <c:v>0.12559999999999999</c:v>
                </c:pt>
                <c:pt idx="695">
                  <c:v>7.4759999999999993E-2</c:v>
                </c:pt>
                <c:pt idx="696">
                  <c:v>7.0250000000000007E-2</c:v>
                </c:pt>
                <c:pt idx="697">
                  <c:v>6.2030000000000002E-2</c:v>
                </c:pt>
                <c:pt idx="698">
                  <c:v>6.0249999999999998E-2</c:v>
                </c:pt>
                <c:pt idx="699">
                  <c:v>6.2659999999999993E-2</c:v>
                </c:pt>
                <c:pt idx="700">
                  <c:v>6.2799999999999995E-2</c:v>
                </c:pt>
                <c:pt idx="701">
                  <c:v>6.3589999999999994E-2</c:v>
                </c:pt>
                <c:pt idx="702">
                  <c:v>7.4279999999999999E-2</c:v>
                </c:pt>
                <c:pt idx="703">
                  <c:v>7.9350000000000004E-2</c:v>
                </c:pt>
                <c:pt idx="704">
                  <c:v>8.5849999999999996E-2</c:v>
                </c:pt>
                <c:pt idx="705">
                  <c:v>8.0890000000000004E-2</c:v>
                </c:pt>
                <c:pt idx="706">
                  <c:v>8.4229999999999999E-2</c:v>
                </c:pt>
                <c:pt idx="707">
                  <c:v>7.9969999999999999E-2</c:v>
                </c:pt>
                <c:pt idx="708">
                  <c:v>8.4229999999999999E-2</c:v>
                </c:pt>
                <c:pt idx="709">
                  <c:v>9.1020000000000004E-2</c:v>
                </c:pt>
                <c:pt idx="710">
                  <c:v>8.7620000000000003E-2</c:v>
                </c:pt>
                <c:pt idx="711">
                  <c:v>9.0160000000000004E-2</c:v>
                </c:pt>
                <c:pt idx="712">
                  <c:v>9.9360000000000004E-2</c:v>
                </c:pt>
                <c:pt idx="713">
                  <c:v>0.11119999999999999</c:v>
                </c:pt>
                <c:pt idx="714">
                  <c:v>0.10761999999999999</c:v>
                </c:pt>
                <c:pt idx="715">
                  <c:v>0.121</c:v>
                </c:pt>
                <c:pt idx="716">
                  <c:v>9.2539999999999997E-2</c:v>
                </c:pt>
                <c:pt idx="717">
                  <c:v>9.4039999999999999E-2</c:v>
                </c:pt>
                <c:pt idx="718">
                  <c:v>9.35E-2</c:v>
                </c:pt>
                <c:pt idx="719">
                  <c:v>0.11124000000000001</c:v>
                </c:pt>
                <c:pt idx="720">
                  <c:v>0.1125</c:v>
                </c:pt>
                <c:pt idx="721">
                  <c:v>0.12142</c:v>
                </c:pt>
                <c:pt idx="722">
                  <c:v>6.5500000000000003E-2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9-4B89-B918-085FF0FCEEA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-5.2422357805068627</c:v>
                </c:pt>
                <c:pt idx="1">
                  <c:v>-5.2410419495068616</c:v>
                </c:pt>
                <c:pt idx="2">
                  <c:v>-5.2252073172251725</c:v>
                </c:pt>
                <c:pt idx="3">
                  <c:v>-5.2460344494473938</c:v>
                </c:pt>
                <c:pt idx="4">
                  <c:v>-5.268343808815815</c:v>
                </c:pt>
                <c:pt idx="5">
                  <c:v>-5.2774946948405059</c:v>
                </c:pt>
                <c:pt idx="6">
                  <c:v>-5.2516818325394592</c:v>
                </c:pt>
                <c:pt idx="7">
                  <c:v>-5.189279180544653</c:v>
                </c:pt>
                <c:pt idx="8">
                  <c:v>-5.1572323555716801</c:v>
                </c:pt>
                <c:pt idx="9">
                  <c:v>-5.1602655763263972</c:v>
                </c:pt>
                <c:pt idx="10">
                  <c:v>-5.1585689258179226</c:v>
                </c:pt>
                <c:pt idx="11">
                  <c:v>-5.1503300805815595</c:v>
                </c:pt>
                <c:pt idx="12">
                  <c:v>-5.1496048732367319</c:v>
                </c:pt>
                <c:pt idx="13">
                  <c:v>-5.1538425704947963</c:v>
                </c:pt>
                <c:pt idx="14">
                  <c:v>-5.1650790450766149</c:v>
                </c:pt>
                <c:pt idx="15">
                  <c:v>-5.1309371831225921</c:v>
                </c:pt>
                <c:pt idx="16">
                  <c:v>-5.1476608682950067</c:v>
                </c:pt>
                <c:pt idx="17">
                  <c:v>-5.1841983706950057</c:v>
                </c:pt>
                <c:pt idx="18">
                  <c:v>-5.1971995149776147</c:v>
                </c:pt>
                <c:pt idx="19">
                  <c:v>-5.1963635220032556</c:v>
                </c:pt>
                <c:pt idx="20">
                  <c:v>-5.1784221627837441</c:v>
                </c:pt>
                <c:pt idx="21">
                  <c:v>-5.1686890684359179</c:v>
                </c:pt>
                <c:pt idx="22">
                  <c:v>-5.1780737360549658</c:v>
                </c:pt>
                <c:pt idx="23">
                  <c:v>-5.1674022377966864</c:v>
                </c:pt>
                <c:pt idx="24">
                  <c:v>-5.1384718746538303</c:v>
                </c:pt>
                <c:pt idx="25">
                  <c:v>-5.1343226050335762</c:v>
                </c:pt>
                <c:pt idx="26">
                  <c:v>-5.1155507548780204</c:v>
                </c:pt>
                <c:pt idx="27">
                  <c:v>-5.1320080591938106</c:v>
                </c:pt>
                <c:pt idx="28">
                  <c:v>-5.1189585032360636</c:v>
                </c:pt>
                <c:pt idx="29">
                  <c:v>-5.1405978542360637</c:v>
                </c:pt>
                <c:pt idx="30">
                  <c:v>-5.1168860755659606</c:v>
                </c:pt>
                <c:pt idx="31">
                  <c:v>-5.0696178838432715</c:v>
                </c:pt>
                <c:pt idx="32">
                  <c:v>-5.035548136527483</c:v>
                </c:pt>
                <c:pt idx="33">
                  <c:v>-5.0648165897430513</c:v>
                </c:pt>
                <c:pt idx="34">
                  <c:v>-5.07503074174305</c:v>
                </c:pt>
                <c:pt idx="35">
                  <c:v>-5.0534904095208288</c:v>
                </c:pt>
                <c:pt idx="36">
                  <c:v>-5.0899306625867631</c:v>
                </c:pt>
                <c:pt idx="37">
                  <c:v>-5.1018600456085021</c:v>
                </c:pt>
                <c:pt idx="38">
                  <c:v>-5.1177897632400811</c:v>
                </c:pt>
                <c:pt idx="39">
                  <c:v>-5.1246063107606288</c:v>
                </c:pt>
                <c:pt idx="40">
                  <c:v>-5.1165750184448395</c:v>
                </c:pt>
                <c:pt idx="41">
                  <c:v>-5.1242711912933245</c:v>
                </c:pt>
                <c:pt idx="42">
                  <c:v>-5.1020586034076105</c:v>
                </c:pt>
                <c:pt idx="43">
                  <c:v>-5.0715963644076103</c:v>
                </c:pt>
                <c:pt idx="44">
                  <c:v>-5.0853637896420931</c:v>
                </c:pt>
                <c:pt idx="45">
                  <c:v>-5.1019701225368301</c:v>
                </c:pt>
                <c:pt idx="46">
                  <c:v>-5.0601396314359901</c:v>
                </c:pt>
                <c:pt idx="47">
                  <c:v>-5.0772444660242266</c:v>
                </c:pt>
                <c:pt idx="48">
                  <c:v>-5.0791589317742254</c:v>
                </c:pt>
                <c:pt idx="49">
                  <c:v>-5.0373951737742253</c:v>
                </c:pt>
                <c:pt idx="50">
                  <c:v>-4.9734519945106594</c:v>
                </c:pt>
                <c:pt idx="51">
                  <c:v>-5.0423444895106595</c:v>
                </c:pt>
                <c:pt idx="52">
                  <c:v>-4.9299688911106596</c:v>
                </c:pt>
                <c:pt idx="53">
                  <c:v>-5.0378904719299369</c:v>
                </c:pt>
                <c:pt idx="54">
                  <c:v>-5.0144219133874541</c:v>
                </c:pt>
                <c:pt idx="55">
                  <c:v>-5.0633760525186018</c:v>
                </c:pt>
                <c:pt idx="56">
                  <c:v>-4.8312782596827804</c:v>
                </c:pt>
                <c:pt idx="57">
                  <c:v>-4.5009644388004268</c:v>
                </c:pt>
                <c:pt idx="58">
                  <c:v>-4.5313911569447569</c:v>
                </c:pt>
                <c:pt idx="59">
                  <c:v>-4.5206462523768556</c:v>
                </c:pt>
                <c:pt idx="60">
                  <c:v>-4.5606687153768561</c:v>
                </c:pt>
                <c:pt idx="61">
                  <c:v>-4.6331397991504408</c:v>
                </c:pt>
                <c:pt idx="62">
                  <c:v>-4.6365673262004412</c:v>
                </c:pt>
                <c:pt idx="63">
                  <c:v>-4.4963605297298539</c:v>
                </c:pt>
                <c:pt idx="64">
                  <c:v>-4.5531595617742981</c:v>
                </c:pt>
                <c:pt idx="65">
                  <c:v>-4.6109307874264713</c:v>
                </c:pt>
                <c:pt idx="66">
                  <c:v>-4.5249569057668966</c:v>
                </c:pt>
                <c:pt idx="67">
                  <c:v>-4.4924028795620776</c:v>
                </c:pt>
                <c:pt idx="68">
                  <c:v>-4.4650138240448367</c:v>
                </c:pt>
                <c:pt idx="69">
                  <c:v>-4.4900847679993818</c:v>
                </c:pt>
                <c:pt idx="70">
                  <c:v>-4.514177855643827</c:v>
                </c:pt>
                <c:pt idx="71">
                  <c:v>-4.4471695150838269</c:v>
                </c:pt>
                <c:pt idx="72">
                  <c:v>-4.4585652873504928</c:v>
                </c:pt>
                <c:pt idx="73">
                  <c:v>-4.4117989780584574</c:v>
                </c:pt>
                <c:pt idx="74">
                  <c:v>-4.3393483880584576</c:v>
                </c:pt>
                <c:pt idx="75">
                  <c:v>-4.3362797806298863</c:v>
                </c:pt>
                <c:pt idx="76">
                  <c:v>-4.3050864370477964</c:v>
                </c:pt>
                <c:pt idx="77">
                  <c:v>-4.346769854486821</c:v>
                </c:pt>
                <c:pt idx="78">
                  <c:v>-4.3194182629368205</c:v>
                </c:pt>
                <c:pt idx="79">
                  <c:v>-4.2640429789995826</c:v>
                </c:pt>
                <c:pt idx="80">
                  <c:v>-4.2269608834940877</c:v>
                </c:pt>
                <c:pt idx="81">
                  <c:v>-4.2343062531579525</c:v>
                </c:pt>
                <c:pt idx="82">
                  <c:v>-4.2646824301091728</c:v>
                </c:pt>
                <c:pt idx="83">
                  <c:v>-4.3062700604334969</c:v>
                </c:pt>
                <c:pt idx="84">
                  <c:v>-4.2464463660654967</c:v>
                </c:pt>
                <c:pt idx="85">
                  <c:v>-4.1703654454812265</c:v>
                </c:pt>
                <c:pt idx="86">
                  <c:v>-3.7152644007787661</c:v>
                </c:pt>
                <c:pt idx="87">
                  <c:v>-3.8379665909136231</c:v>
                </c:pt>
                <c:pt idx="88">
                  <c:v>-3.8251421937002901</c:v>
                </c:pt>
                <c:pt idx="89">
                  <c:v>-3.7610528763798481</c:v>
                </c:pt>
                <c:pt idx="90">
                  <c:v>-3.8298088901798484</c:v>
                </c:pt>
                <c:pt idx="91">
                  <c:v>-3.8189240508198483</c:v>
                </c:pt>
                <c:pt idx="92">
                  <c:v>-3.8629671593123858</c:v>
                </c:pt>
                <c:pt idx="93">
                  <c:v>-3.7729876221695284</c:v>
                </c:pt>
                <c:pt idx="94">
                  <c:v>-3.7961527076240742</c:v>
                </c:pt>
                <c:pt idx="95">
                  <c:v>-3.8341167269040746</c:v>
                </c:pt>
                <c:pt idx="96">
                  <c:v>-3.8225304294923097</c:v>
                </c:pt>
                <c:pt idx="97">
                  <c:v>-3.8438825058256429</c:v>
                </c:pt>
                <c:pt idx="98">
                  <c:v>-3.8418334550042146</c:v>
                </c:pt>
                <c:pt idx="99">
                  <c:v>-3.7775531396980924</c:v>
                </c:pt>
                <c:pt idx="100">
                  <c:v>-3.8366631344400282</c:v>
                </c:pt>
                <c:pt idx="101">
                  <c:v>-3.7975870990114564</c:v>
                </c:pt>
                <c:pt idx="102">
                  <c:v>-3.8058784704748714</c:v>
                </c:pt>
                <c:pt idx="103">
                  <c:v>-3.8107615309228713</c:v>
                </c:pt>
                <c:pt idx="104">
                  <c:v>-3.7163511537978717</c:v>
                </c:pt>
                <c:pt idx="105">
                  <c:v>-3.7739915928855909</c:v>
                </c:pt>
                <c:pt idx="106">
                  <c:v>-3.7549282560362758</c:v>
                </c:pt>
                <c:pt idx="107">
                  <c:v>-3.7305320283600167</c:v>
                </c:pt>
                <c:pt idx="108">
                  <c:v>-3.7311943796237528</c:v>
                </c:pt>
                <c:pt idx="109">
                  <c:v>-3.7235738386237531</c:v>
                </c:pt>
                <c:pt idx="110">
                  <c:v>-3.641025782078299</c:v>
                </c:pt>
                <c:pt idx="111">
                  <c:v>-3.6360833590782984</c:v>
                </c:pt>
                <c:pt idx="112">
                  <c:v>-3.6360833590782984</c:v>
                </c:pt>
                <c:pt idx="113">
                  <c:v>-3.6281716569656224</c:v>
                </c:pt>
                <c:pt idx="114">
                  <c:v>-3.6694214602600392</c:v>
                </c:pt>
                <c:pt idx="115">
                  <c:v>-3.7234646871743249</c:v>
                </c:pt>
                <c:pt idx="116">
                  <c:v>-3.7316350610050946</c:v>
                </c:pt>
                <c:pt idx="117">
                  <c:v>-3.7020437005050946</c:v>
                </c:pt>
                <c:pt idx="118">
                  <c:v>-3.6923942694240135</c:v>
                </c:pt>
                <c:pt idx="119">
                  <c:v>-3.7753932000307553</c:v>
                </c:pt>
                <c:pt idx="120">
                  <c:v>-3.8153699351484023</c:v>
                </c:pt>
                <c:pt idx="121">
                  <c:v>-3.7948550911730941</c:v>
                </c:pt>
                <c:pt idx="122">
                  <c:v>-3.7721225141508716</c:v>
                </c:pt>
                <c:pt idx="123">
                  <c:v>-3.7207962950016182</c:v>
                </c:pt>
                <c:pt idx="124">
                  <c:v>-3.7430659790925271</c:v>
                </c:pt>
                <c:pt idx="125">
                  <c:v>-3.7702440409777731</c:v>
                </c:pt>
                <c:pt idx="126">
                  <c:v>-3.809522333149773</c:v>
                </c:pt>
                <c:pt idx="127">
                  <c:v>-3.8236865439310237</c:v>
                </c:pt>
                <c:pt idx="128">
                  <c:v>-3.9070068891941814</c:v>
                </c:pt>
                <c:pt idx="129">
                  <c:v>-3.8110727944398191</c:v>
                </c:pt>
                <c:pt idx="130">
                  <c:v>-3.597071177439819</c:v>
                </c:pt>
                <c:pt idx="131">
                  <c:v>-3.449105825245014</c:v>
                </c:pt>
                <c:pt idx="132">
                  <c:v>-3.450682377552706</c:v>
                </c:pt>
                <c:pt idx="133">
                  <c:v>-3.4301570467527061</c:v>
                </c:pt>
                <c:pt idx="134">
                  <c:v>-3.376125819399765</c:v>
                </c:pt>
                <c:pt idx="135">
                  <c:v>-3.4230074272886539</c:v>
                </c:pt>
                <c:pt idx="136">
                  <c:v>-3.4301193857145797</c:v>
                </c:pt>
                <c:pt idx="137">
                  <c:v>-3.3989945118015363</c:v>
                </c:pt>
                <c:pt idx="138">
                  <c:v>-3.4347134109443931</c:v>
                </c:pt>
                <c:pt idx="139">
                  <c:v>-3.4294368308267464</c:v>
                </c:pt>
                <c:pt idx="140">
                  <c:v>-3.3950155355577807</c:v>
                </c:pt>
                <c:pt idx="141">
                  <c:v>-3.3985541892446496</c:v>
                </c:pt>
                <c:pt idx="142">
                  <c:v>-3.4142847316778289</c:v>
                </c:pt>
                <c:pt idx="143">
                  <c:v>-3.356873027221754</c:v>
                </c:pt>
                <c:pt idx="144">
                  <c:v>-3.4800134117378829</c:v>
                </c:pt>
                <c:pt idx="145">
                  <c:v>-3.5592280176664546</c:v>
                </c:pt>
                <c:pt idx="146">
                  <c:v>-3.5539304366051638</c:v>
                </c:pt>
                <c:pt idx="147">
                  <c:v>-3.5230231716051641</c:v>
                </c:pt>
                <c:pt idx="148">
                  <c:v>-3.4662078441136392</c:v>
                </c:pt>
                <c:pt idx="149">
                  <c:v>-3.5360914579136389</c:v>
                </c:pt>
                <c:pt idx="150">
                  <c:v>-3.5406654850564965</c:v>
                </c:pt>
                <c:pt idx="151">
                  <c:v>-3.4827669466000861</c:v>
                </c:pt>
                <c:pt idx="152">
                  <c:v>-3.4852373343911314</c:v>
                </c:pt>
                <c:pt idx="153">
                  <c:v>-3.46052983592309</c:v>
                </c:pt>
                <c:pt idx="154">
                  <c:v>-3.5389473814617567</c:v>
                </c:pt>
                <c:pt idx="155">
                  <c:v>-3.4545477533926157</c:v>
                </c:pt>
                <c:pt idx="156">
                  <c:v>-3.5358609430126147</c:v>
                </c:pt>
                <c:pt idx="157">
                  <c:v>-3.4590631052031178</c:v>
                </c:pt>
                <c:pt idx="158">
                  <c:v>-3.5472510946040163</c:v>
                </c:pt>
                <c:pt idx="159">
                  <c:v>-3.554676096312527</c:v>
                </c:pt>
                <c:pt idx="160">
                  <c:v>-3.5088393073009114</c:v>
                </c:pt>
                <c:pt idx="161">
                  <c:v>-3.5686928584076529</c:v>
                </c:pt>
                <c:pt idx="162">
                  <c:v>-3.6341608577224358</c:v>
                </c:pt>
                <c:pt idx="163">
                  <c:v>-3.6143730590661547</c:v>
                </c:pt>
                <c:pt idx="164">
                  <c:v>-3.5252197158987997</c:v>
                </c:pt>
                <c:pt idx="165">
                  <c:v>-3.4329984836595768</c:v>
                </c:pt>
                <c:pt idx="166">
                  <c:v>-3.4443892889691399</c:v>
                </c:pt>
                <c:pt idx="167">
                  <c:v>-3.448157132177835</c:v>
                </c:pt>
                <c:pt idx="168">
                  <c:v>-3.5284201219420619</c:v>
                </c:pt>
                <c:pt idx="169">
                  <c:v>-3.4613416621537709</c:v>
                </c:pt>
                <c:pt idx="170">
                  <c:v>-3.3964854837614218</c:v>
                </c:pt>
                <c:pt idx="171">
                  <c:v>-3.3530062617644432</c:v>
                </c:pt>
                <c:pt idx="172">
                  <c:v>-3.6229419624036616</c:v>
                </c:pt>
                <c:pt idx="173">
                  <c:v>-3.5606758348161618</c:v>
                </c:pt>
                <c:pt idx="174">
                  <c:v>-3.575925897028351</c:v>
                </c:pt>
                <c:pt idx="175">
                  <c:v>-3.6689301264174086</c:v>
                </c:pt>
                <c:pt idx="176">
                  <c:v>-3.7154736162912942</c:v>
                </c:pt>
                <c:pt idx="177">
                  <c:v>-3.7430740860117102</c:v>
                </c:pt>
                <c:pt idx="178">
                  <c:v>-3.7272182525122126</c:v>
                </c:pt>
                <c:pt idx="179">
                  <c:v>-3.7081350628899217</c:v>
                </c:pt>
                <c:pt idx="180">
                  <c:v>-3.6504929984327954</c:v>
                </c:pt>
                <c:pt idx="181">
                  <c:v>-3.6644896862774767</c:v>
                </c:pt>
                <c:pt idx="182">
                  <c:v>-3.7246643259057697</c:v>
                </c:pt>
                <c:pt idx="183">
                  <c:v>-3.7370718249952772</c:v>
                </c:pt>
                <c:pt idx="184">
                  <c:v>-3.7846360534879708</c:v>
                </c:pt>
                <c:pt idx="185">
                  <c:v>-3.825196358245095</c:v>
                </c:pt>
                <c:pt idx="186">
                  <c:v>-3.7583164436657572</c:v>
                </c:pt>
                <c:pt idx="187">
                  <c:v>-3.7757953160606617</c:v>
                </c:pt>
                <c:pt idx="188">
                  <c:v>-3.7761967960270479</c:v>
                </c:pt>
                <c:pt idx="189">
                  <c:v>-3.7982068032267442</c:v>
                </c:pt>
                <c:pt idx="190">
                  <c:v>-3.7997088166879252</c:v>
                </c:pt>
                <c:pt idx="191">
                  <c:v>-3.8193866871469617</c:v>
                </c:pt>
                <c:pt idx="192">
                  <c:v>-3.8000109639906263</c:v>
                </c:pt>
                <c:pt idx="193">
                  <c:v>-3.7686574506571895</c:v>
                </c:pt>
                <c:pt idx="194">
                  <c:v>-3.7691740243665768</c:v>
                </c:pt>
                <c:pt idx="195">
                  <c:v>-3.7584976048046657</c:v>
                </c:pt>
                <c:pt idx="196">
                  <c:v>-3.7564674135809311</c:v>
                </c:pt>
                <c:pt idx="197">
                  <c:v>-3.7186933275136256</c:v>
                </c:pt>
                <c:pt idx="198">
                  <c:v>-3.7467985520379909</c:v>
                </c:pt>
                <c:pt idx="199">
                  <c:v>-3.6856068945378175</c:v>
                </c:pt>
                <c:pt idx="200">
                  <c:v>-3.6649914075820389</c:v>
                </c:pt>
                <c:pt idx="201">
                  <c:v>-3.686332579657186</c:v>
                </c:pt>
                <c:pt idx="202">
                  <c:v>-3.6725349001297221</c:v>
                </c:pt>
                <c:pt idx="203">
                  <c:v>-3.7065793666020337</c:v>
                </c:pt>
                <c:pt idx="204">
                  <c:v>-3.6356972000636034</c:v>
                </c:pt>
                <c:pt idx="205">
                  <c:v>-3.5886505505540351</c:v>
                </c:pt>
                <c:pt idx="206">
                  <c:v>-3.5668342139613594</c:v>
                </c:pt>
                <c:pt idx="207">
                  <c:v>-3.5042702262057732</c:v>
                </c:pt>
                <c:pt idx="208">
                  <c:v>-3.4872399511563392</c:v>
                </c:pt>
                <c:pt idx="209">
                  <c:v>-3.4924245591551717</c:v>
                </c:pt>
                <c:pt idx="210">
                  <c:v>-3.5207552560584503</c:v>
                </c:pt>
                <c:pt idx="211">
                  <c:v>-3.4705914422653961</c:v>
                </c:pt>
                <c:pt idx="212">
                  <c:v>-3.5127255066568916</c:v>
                </c:pt>
                <c:pt idx="213">
                  <c:v>-3.4730489639393505</c:v>
                </c:pt>
                <c:pt idx="214">
                  <c:v>-3.5007437830473149</c:v>
                </c:pt>
                <c:pt idx="215">
                  <c:v>-3.5615747803638076</c:v>
                </c:pt>
                <c:pt idx="216">
                  <c:v>-3.6051772598407865</c:v>
                </c:pt>
                <c:pt idx="217">
                  <c:v>-3.5232045349738441</c:v>
                </c:pt>
                <c:pt idx="218">
                  <c:v>-3.5454678734817184</c:v>
                </c:pt>
                <c:pt idx="219">
                  <c:v>-3.608600294752307</c:v>
                </c:pt>
                <c:pt idx="220">
                  <c:v>-3.635950382061421</c:v>
                </c:pt>
                <c:pt idx="221">
                  <c:v>-3.4722976224481972</c:v>
                </c:pt>
                <c:pt idx="222">
                  <c:v>-3.5489142070950055</c:v>
                </c:pt>
                <c:pt idx="223">
                  <c:v>-3.4965420378273202</c:v>
                </c:pt>
                <c:pt idx="224">
                  <c:v>-3.4522111090209204</c:v>
                </c:pt>
                <c:pt idx="225">
                  <c:v>-3.4318430551882977</c:v>
                </c:pt>
                <c:pt idx="226">
                  <c:v>-3.4240628157959336</c:v>
                </c:pt>
                <c:pt idx="227">
                  <c:v>-3.3493764842863163</c:v>
                </c:pt>
                <c:pt idx="228">
                  <c:v>-3.3149474663287166</c:v>
                </c:pt>
                <c:pt idx="229">
                  <c:v>-3.3689962496236805</c:v>
                </c:pt>
                <c:pt idx="230">
                  <c:v>-3.4485233986543897</c:v>
                </c:pt>
                <c:pt idx="231">
                  <c:v>-3.1312594783182064</c:v>
                </c:pt>
                <c:pt idx="232">
                  <c:v>-3.0371072749699768</c:v>
                </c:pt>
                <c:pt idx="233">
                  <c:v>-3.1625938402988387</c:v>
                </c:pt>
                <c:pt idx="234">
                  <c:v>-3.3122262841687444</c:v>
                </c:pt>
                <c:pt idx="235">
                  <c:v>-3.1991382425325448</c:v>
                </c:pt>
                <c:pt idx="236">
                  <c:v>-3.2215810892227581</c:v>
                </c:pt>
                <c:pt idx="237">
                  <c:v>-3.1094812456812733</c:v>
                </c:pt>
                <c:pt idx="238">
                  <c:v>-3.0295713099850676</c:v>
                </c:pt>
                <c:pt idx="239">
                  <c:v>-3.0373423082398432</c:v>
                </c:pt>
                <c:pt idx="240">
                  <c:v>-2.8941085123057451</c:v>
                </c:pt>
                <c:pt idx="241">
                  <c:v>-1.8632202275308776</c:v>
                </c:pt>
                <c:pt idx="242">
                  <c:v>-1.9201510594273621</c:v>
                </c:pt>
                <c:pt idx="243">
                  <c:v>-1.9221224086782074</c:v>
                </c:pt>
                <c:pt idx="244">
                  <c:v>-1.8807094248649998</c:v>
                </c:pt>
                <c:pt idx="245">
                  <c:v>-1.8002990095890814</c:v>
                </c:pt>
                <c:pt idx="246">
                  <c:v>-1.7109967163913757</c:v>
                </c:pt>
                <c:pt idx="247">
                  <c:v>-1.680239752159763</c:v>
                </c:pt>
                <c:pt idx="248">
                  <c:v>-1.7201670321313247</c:v>
                </c:pt>
                <c:pt idx="249">
                  <c:v>-1.9029359177114744</c:v>
                </c:pt>
                <c:pt idx="250">
                  <c:v>-1.8871081575341051</c:v>
                </c:pt>
                <c:pt idx="251">
                  <c:v>-1.7954060932072406</c:v>
                </c:pt>
                <c:pt idx="252">
                  <c:v>-1.7734743852411978</c:v>
                </c:pt>
                <c:pt idx="253">
                  <c:v>-1.8260928424708018</c:v>
                </c:pt>
                <c:pt idx="254">
                  <c:v>-1.7572044343935262</c:v>
                </c:pt>
                <c:pt idx="255">
                  <c:v>-1.7080606341319216</c:v>
                </c:pt>
                <c:pt idx="256">
                  <c:v>-1.7196662474914988</c:v>
                </c:pt>
                <c:pt idx="257">
                  <c:v>-1.653327072232093</c:v>
                </c:pt>
                <c:pt idx="258">
                  <c:v>-1.5623448011705336</c:v>
                </c:pt>
                <c:pt idx="259">
                  <c:v>-1.5773760656256499</c:v>
                </c:pt>
                <c:pt idx="260">
                  <c:v>-1.6043750650924749</c:v>
                </c:pt>
                <c:pt idx="261">
                  <c:v>-1.4666916038429278</c:v>
                </c:pt>
                <c:pt idx="262">
                  <c:v>-1.4403193746638254</c:v>
                </c:pt>
                <c:pt idx="263">
                  <c:v>-1.3740312113362314</c:v>
                </c:pt>
                <c:pt idx="264">
                  <c:v>-1.4149167127252513</c:v>
                </c:pt>
                <c:pt idx="265">
                  <c:v>-1.2930848153932366</c:v>
                </c:pt>
                <c:pt idx="266">
                  <c:v>-1.3037227730290237</c:v>
                </c:pt>
                <c:pt idx="267">
                  <c:v>-1.2219120858949173</c:v>
                </c:pt>
                <c:pt idx="268">
                  <c:v>-1.1468958986944287</c:v>
                </c:pt>
                <c:pt idx="269">
                  <c:v>-0.99258107075767021</c:v>
                </c:pt>
                <c:pt idx="270">
                  <c:v>-0.82771227771796974</c:v>
                </c:pt>
                <c:pt idx="271">
                  <c:v>-0.83477956028362232</c:v>
                </c:pt>
                <c:pt idx="272">
                  <c:v>-0.75227818643090938</c:v>
                </c:pt>
                <c:pt idx="273">
                  <c:v>-0.79589289871785851</c:v>
                </c:pt>
                <c:pt idx="274">
                  <c:v>-0.76592157110268677</c:v>
                </c:pt>
                <c:pt idx="275">
                  <c:v>-0.7450669775886154</c:v>
                </c:pt>
                <c:pt idx="276">
                  <c:v>-0.86209436587999133</c:v>
                </c:pt>
                <c:pt idx="277">
                  <c:v>-0.94602661757649953</c:v>
                </c:pt>
                <c:pt idx="278">
                  <c:v>-0.91179327076757899</c:v>
                </c:pt>
                <c:pt idx="279">
                  <c:v>-0.78222508008087188</c:v>
                </c:pt>
                <c:pt idx="280">
                  <c:v>-0.94422102868972324</c:v>
                </c:pt>
                <c:pt idx="281">
                  <c:v>-0.86780794702650188</c:v>
                </c:pt>
                <c:pt idx="282">
                  <c:v>-0.83178427784297471</c:v>
                </c:pt>
                <c:pt idx="283">
                  <c:v>-0.88800535588489304</c:v>
                </c:pt>
                <c:pt idx="284">
                  <c:v>-0.82397893956659085</c:v>
                </c:pt>
                <c:pt idx="285">
                  <c:v>-0.83690447584731109</c:v>
                </c:pt>
                <c:pt idx="286">
                  <c:v>-0.74547927659333579</c:v>
                </c:pt>
                <c:pt idx="287">
                  <c:v>-0.62690609868067915</c:v>
                </c:pt>
                <c:pt idx="288">
                  <c:v>-0.36526074636789774</c:v>
                </c:pt>
                <c:pt idx="289">
                  <c:v>-0.52588825578413545</c:v>
                </c:pt>
                <c:pt idx="290">
                  <c:v>-0.61225735868474196</c:v>
                </c:pt>
                <c:pt idx="291">
                  <c:v>-0.47688047107615972</c:v>
                </c:pt>
                <c:pt idx="292">
                  <c:v>-0.37389966176911954</c:v>
                </c:pt>
                <c:pt idx="293">
                  <c:v>-0.32165803534004705</c:v>
                </c:pt>
                <c:pt idx="294">
                  <c:v>-0.16700341699699631</c:v>
                </c:pt>
                <c:pt idx="295">
                  <c:v>8.8421151288378769E-2</c:v>
                </c:pt>
                <c:pt idx="296">
                  <c:v>-0.50098155019093971</c:v>
                </c:pt>
                <c:pt idx="297">
                  <c:v>7.2854827428094751E-2</c:v>
                </c:pt>
                <c:pt idx="298">
                  <c:v>1.6041777301362314</c:v>
                </c:pt>
                <c:pt idx="299">
                  <c:v>1.7322619008907221</c:v>
                </c:pt>
                <c:pt idx="300">
                  <c:v>2.1351182629597583</c:v>
                </c:pt>
                <c:pt idx="301">
                  <c:v>1.0590925252748307</c:v>
                </c:pt>
                <c:pt idx="302">
                  <c:v>0.26993850320708551</c:v>
                </c:pt>
                <c:pt idx="303">
                  <c:v>0.36849020802821741</c:v>
                </c:pt>
                <c:pt idx="304">
                  <c:v>-0.10890835892579123</c:v>
                </c:pt>
                <c:pt idx="305">
                  <c:v>-0.24163782420941934</c:v>
                </c:pt>
                <c:pt idx="306">
                  <c:v>-0.16935254885101308</c:v>
                </c:pt>
                <c:pt idx="307">
                  <c:v>-0.14798911246811189</c:v>
                </c:pt>
                <c:pt idx="308">
                  <c:v>-0.21107000602282233</c:v>
                </c:pt>
                <c:pt idx="309">
                  <c:v>-0.1911613117800359</c:v>
                </c:pt>
                <c:pt idx="310">
                  <c:v>-0.12422845275404305</c:v>
                </c:pt>
                <c:pt idx="311">
                  <c:v>-0.14671673770597934</c:v>
                </c:pt>
                <c:pt idx="312">
                  <c:v>-0.10992787236993526</c:v>
                </c:pt>
                <c:pt idx="313">
                  <c:v>-8.5257126473730571E-2</c:v>
                </c:pt>
                <c:pt idx="314">
                  <c:v>1.2543970239571258E-2</c:v>
                </c:pt>
                <c:pt idx="315">
                  <c:v>-6.515609725140209E-2</c:v>
                </c:pt>
                <c:pt idx="316">
                  <c:v>-0.13745177322811142</c:v>
                </c:pt>
                <c:pt idx="317">
                  <c:v>-0.24486500088664806</c:v>
                </c:pt>
                <c:pt idx="318">
                  <c:v>-0.41710985350411489</c:v>
                </c:pt>
                <c:pt idx="319">
                  <c:v>-0.14245286576158323</c:v>
                </c:pt>
                <c:pt idx="320">
                  <c:v>0.35580177080159608</c:v>
                </c:pt>
                <c:pt idx="321">
                  <c:v>0.10341608851146018</c:v>
                </c:pt>
                <c:pt idx="322">
                  <c:v>0.24375045871071799</c:v>
                </c:pt>
                <c:pt idx="323">
                  <c:v>0.2017403633632075</c:v>
                </c:pt>
                <c:pt idx="324">
                  <c:v>0.35152876362804047</c:v>
                </c:pt>
                <c:pt idx="325">
                  <c:v>0.38207442052603247</c:v>
                </c:pt>
                <c:pt idx="326">
                  <c:v>0.23977137256522024</c:v>
                </c:pt>
                <c:pt idx="327">
                  <c:v>0.25487489990526307</c:v>
                </c:pt>
                <c:pt idx="328">
                  <c:v>0.20353959921781145</c:v>
                </c:pt>
                <c:pt idx="329">
                  <c:v>0.16058264188302865</c:v>
                </c:pt>
                <c:pt idx="330">
                  <c:v>0.26763026139851337</c:v>
                </c:pt>
                <c:pt idx="331">
                  <c:v>0.42861422317892356</c:v>
                </c:pt>
                <c:pt idx="332">
                  <c:v>0.46397946565640419</c:v>
                </c:pt>
                <c:pt idx="333">
                  <c:v>0.38219335716182723</c:v>
                </c:pt>
                <c:pt idx="334">
                  <c:v>0.42654605343376978</c:v>
                </c:pt>
                <c:pt idx="335">
                  <c:v>0.50613960828525439</c:v>
                </c:pt>
                <c:pt idx="336">
                  <c:v>0.56207594765753288</c:v>
                </c:pt>
                <c:pt idx="337">
                  <c:v>0.67462461353017222</c:v>
                </c:pt>
                <c:pt idx="338">
                  <c:v>0.72983324328569288</c:v>
                </c:pt>
                <c:pt idx="339">
                  <c:v>0.7161474001082323</c:v>
                </c:pt>
                <c:pt idx="340">
                  <c:v>0.62127488690863975</c:v>
                </c:pt>
                <c:pt idx="341">
                  <c:v>0.3691380954708019</c:v>
                </c:pt>
                <c:pt idx="342">
                  <c:v>0.75488474730007027</c:v>
                </c:pt>
                <c:pt idx="343">
                  <c:v>0.37835127498446069</c:v>
                </c:pt>
                <c:pt idx="344">
                  <c:v>0.2623534843995316</c:v>
                </c:pt>
                <c:pt idx="345">
                  <c:v>0.18323691899770533</c:v>
                </c:pt>
                <c:pt idx="346">
                  <c:v>0.21604213649057027</c:v>
                </c:pt>
                <c:pt idx="347">
                  <c:v>0.24461682324645234</c:v>
                </c:pt>
                <c:pt idx="348">
                  <c:v>0.52056227985702952</c:v>
                </c:pt>
                <c:pt idx="349">
                  <c:v>0.28073498062889235</c:v>
                </c:pt>
                <c:pt idx="350">
                  <c:v>0.4065817622816929</c:v>
                </c:pt>
                <c:pt idx="351">
                  <c:v>0.42698071862392567</c:v>
                </c:pt>
                <c:pt idx="352">
                  <c:v>0.84449781396000578</c:v>
                </c:pt>
                <c:pt idx="353">
                  <c:v>0.73178546290439317</c:v>
                </c:pt>
                <c:pt idx="354">
                  <c:v>0.66157796638297794</c:v>
                </c:pt>
                <c:pt idx="355">
                  <c:v>0.69533716623188446</c:v>
                </c:pt>
                <c:pt idx="356">
                  <c:v>0.73869353377932967</c:v>
                </c:pt>
                <c:pt idx="357">
                  <c:v>0.64213444632478411</c:v>
                </c:pt>
                <c:pt idx="358">
                  <c:v>0.65464215433736272</c:v>
                </c:pt>
                <c:pt idx="359">
                  <c:v>0.58516218475473558</c:v>
                </c:pt>
                <c:pt idx="360">
                  <c:v>0.5674728825041554</c:v>
                </c:pt>
                <c:pt idx="361">
                  <c:v>0.42968364537020215</c:v>
                </c:pt>
                <c:pt idx="362">
                  <c:v>0.45815745937220814</c:v>
                </c:pt>
                <c:pt idx="363">
                  <c:v>0.46867621900118345</c:v>
                </c:pt>
                <c:pt idx="364">
                  <c:v>0.59225427290323884</c:v>
                </c:pt>
                <c:pt idx="365">
                  <c:v>0.32790541608128332</c:v>
                </c:pt>
                <c:pt idx="366">
                  <c:v>0.34398854582300514</c:v>
                </c:pt>
                <c:pt idx="367">
                  <c:v>0.36328792975384061</c:v>
                </c:pt>
                <c:pt idx="368">
                  <c:v>0.39133435271558931</c:v>
                </c:pt>
                <c:pt idx="369">
                  <c:v>0.41589838081849151</c:v>
                </c:pt>
                <c:pt idx="370">
                  <c:v>0.38912210499642752</c:v>
                </c:pt>
                <c:pt idx="371">
                  <c:v>0.36011764905892768</c:v>
                </c:pt>
                <c:pt idx="372">
                  <c:v>0.44933938222113007</c:v>
                </c:pt>
                <c:pt idx="373">
                  <c:v>0.44933938222113007</c:v>
                </c:pt>
                <c:pt idx="374">
                  <c:v>0.43619202104135474</c:v>
                </c:pt>
                <c:pt idx="375">
                  <c:v>0.42446127167693121</c:v>
                </c:pt>
                <c:pt idx="376">
                  <c:v>0.40247874217104895</c:v>
                </c:pt>
                <c:pt idx="377">
                  <c:v>0.42410501182153448</c:v>
                </c:pt>
                <c:pt idx="378">
                  <c:v>0.43579980652698902</c:v>
                </c:pt>
                <c:pt idx="379">
                  <c:v>0.47836262113215045</c:v>
                </c:pt>
                <c:pt idx="380">
                  <c:v>0.458056556722782</c:v>
                </c:pt>
                <c:pt idx="381">
                  <c:v>0.47553558455730682</c:v>
                </c:pt>
                <c:pt idx="382">
                  <c:v>0.40610395237631125</c:v>
                </c:pt>
                <c:pt idx="383">
                  <c:v>0.3551929786279483</c:v>
                </c:pt>
                <c:pt idx="384">
                  <c:v>0.2918121163766032</c:v>
                </c:pt>
                <c:pt idx="385">
                  <c:v>0.27657933582317862</c:v>
                </c:pt>
                <c:pt idx="386">
                  <c:v>0.25995152436164015</c:v>
                </c:pt>
                <c:pt idx="387">
                  <c:v>0.19395643516253488</c:v>
                </c:pt>
                <c:pt idx="388">
                  <c:v>0.14560425807474062</c:v>
                </c:pt>
                <c:pt idx="389">
                  <c:v>0.12180656938619984</c:v>
                </c:pt>
                <c:pt idx="390">
                  <c:v>0.10027260469731063</c:v>
                </c:pt>
                <c:pt idx="391">
                  <c:v>0.12865493256896868</c:v>
                </c:pt>
                <c:pt idx="392">
                  <c:v>0.12635085303940569</c:v>
                </c:pt>
                <c:pt idx="393">
                  <c:v>0.11712165337624791</c:v>
                </c:pt>
                <c:pt idx="394">
                  <c:v>0.1212536445196442</c:v>
                </c:pt>
                <c:pt idx="395">
                  <c:v>9.6383816727822813E-2</c:v>
                </c:pt>
                <c:pt idx="396">
                  <c:v>0.12007235076069973</c:v>
                </c:pt>
                <c:pt idx="397">
                  <c:v>0.11395701665473931</c:v>
                </c:pt>
                <c:pt idx="398">
                  <c:v>9.9671189702248031E-2</c:v>
                </c:pt>
                <c:pt idx="399">
                  <c:v>0.1043912505862481</c:v>
                </c:pt>
                <c:pt idx="400">
                  <c:v>7.2683247475291118E-2</c:v>
                </c:pt>
                <c:pt idx="401">
                  <c:v>0.13668933274434111</c:v>
                </c:pt>
                <c:pt idx="402">
                  <c:v>0.14747009106013062</c:v>
                </c:pt>
                <c:pt idx="403">
                  <c:v>0.13502966886864115</c:v>
                </c:pt>
                <c:pt idx="404">
                  <c:v>0.15907185378562233</c:v>
                </c:pt>
                <c:pt idx="405">
                  <c:v>0.16268947040100709</c:v>
                </c:pt>
                <c:pt idx="406">
                  <c:v>0.12053873252100701</c:v>
                </c:pt>
                <c:pt idx="407">
                  <c:v>0.15056835917024433</c:v>
                </c:pt>
                <c:pt idx="408">
                  <c:v>0.13375940305179307</c:v>
                </c:pt>
                <c:pt idx="409">
                  <c:v>0.12916572115811192</c:v>
                </c:pt>
                <c:pt idx="410">
                  <c:v>0.13685033412107495</c:v>
                </c:pt>
                <c:pt idx="411">
                  <c:v>0.11982040593588965</c:v>
                </c:pt>
                <c:pt idx="412">
                  <c:v>0.13812151551653504</c:v>
                </c:pt>
                <c:pt idx="413">
                  <c:v>0.14431352230187547</c:v>
                </c:pt>
                <c:pt idx="414">
                  <c:v>0.13081638644473262</c:v>
                </c:pt>
                <c:pt idx="415">
                  <c:v>7.7457523791399391E-2</c:v>
                </c:pt>
                <c:pt idx="416">
                  <c:v>0.11440992984545358</c:v>
                </c:pt>
                <c:pt idx="417">
                  <c:v>0.11001399657134185</c:v>
                </c:pt>
                <c:pt idx="418">
                  <c:v>0.10206702725960087</c:v>
                </c:pt>
                <c:pt idx="419">
                  <c:v>8.7586380333285155E-2</c:v>
                </c:pt>
                <c:pt idx="420">
                  <c:v>0.11398945566441115</c:v>
                </c:pt>
                <c:pt idx="421">
                  <c:v>8.421356881641115E-2</c:v>
                </c:pt>
                <c:pt idx="422">
                  <c:v>6.4536635538790701E-2</c:v>
                </c:pt>
                <c:pt idx="423">
                  <c:v>9.4534160079331284E-2</c:v>
                </c:pt>
                <c:pt idx="424">
                  <c:v>5.105775900511246E-2</c:v>
                </c:pt>
                <c:pt idx="425">
                  <c:v>3.758311551016276E-2</c:v>
                </c:pt>
                <c:pt idx="426">
                  <c:v>4.2076622670656587E-2</c:v>
                </c:pt>
                <c:pt idx="427">
                  <c:v>-2.3532292934341355E-4</c:v>
                </c:pt>
                <c:pt idx="428">
                  <c:v>4.1087655783810267E-2</c:v>
                </c:pt>
                <c:pt idx="429">
                  <c:v>0.10300306367570272</c:v>
                </c:pt>
                <c:pt idx="430">
                  <c:v>5.4012086431535204E-2</c:v>
                </c:pt>
                <c:pt idx="431">
                  <c:v>-2.3054282199038406E-2</c:v>
                </c:pt>
                <c:pt idx="432">
                  <c:v>-1.1479988681797237E-2</c:v>
                </c:pt>
                <c:pt idx="433">
                  <c:v>-8.630786843349017E-2</c:v>
                </c:pt>
                <c:pt idx="434">
                  <c:v>-6.8807153529431259E-2</c:v>
                </c:pt>
                <c:pt idx="435">
                  <c:v>-4.5619931856475428E-2</c:v>
                </c:pt>
                <c:pt idx="436">
                  <c:v>-4.5013319204483544E-2</c:v>
                </c:pt>
                <c:pt idx="437">
                  <c:v>-6.5347273759068777E-2</c:v>
                </c:pt>
                <c:pt idx="438">
                  <c:v>-8.1768087718570415E-2</c:v>
                </c:pt>
                <c:pt idx="439">
                  <c:v>-7.6399176491297641E-2</c:v>
                </c:pt>
                <c:pt idx="440">
                  <c:v>-7.4594139775344445E-2</c:v>
                </c:pt>
                <c:pt idx="441">
                  <c:v>-7.6397270749822416E-2</c:v>
                </c:pt>
                <c:pt idx="442">
                  <c:v>-6.9146937268340938E-2</c:v>
                </c:pt>
                <c:pt idx="443">
                  <c:v>-3.8381892275333958E-2</c:v>
                </c:pt>
                <c:pt idx="444">
                  <c:v>-6.1354091635334007E-2</c:v>
                </c:pt>
                <c:pt idx="445">
                  <c:v>-6.2696024536662245E-2</c:v>
                </c:pt>
                <c:pt idx="446">
                  <c:v>-7.6187647710036929E-2</c:v>
                </c:pt>
                <c:pt idx="447">
                  <c:v>1.7695482750394523E-2</c:v>
                </c:pt>
                <c:pt idx="448">
                  <c:v>-3.9841190780533227E-2</c:v>
                </c:pt>
                <c:pt idx="449">
                  <c:v>-8.5797573459469742E-2</c:v>
                </c:pt>
                <c:pt idx="450">
                  <c:v>-9.2765777498781635E-2</c:v>
                </c:pt>
                <c:pt idx="451">
                  <c:v>-1.2765926755391453E-2</c:v>
                </c:pt>
                <c:pt idx="452">
                  <c:v>0.11144098726683055</c:v>
                </c:pt>
                <c:pt idx="453">
                  <c:v>0.24185340429551089</c:v>
                </c:pt>
                <c:pt idx="454">
                  <c:v>0.49911851418056818</c:v>
                </c:pt>
                <c:pt idx="455">
                  <c:v>0.89847399865300859</c:v>
                </c:pt>
                <c:pt idx="456">
                  <c:v>1.2393123653606259</c:v>
                </c:pt>
                <c:pt idx="457">
                  <c:v>1.2862461182394138</c:v>
                </c:pt>
                <c:pt idx="458">
                  <c:v>1.4102248846758487</c:v>
                </c:pt>
                <c:pt idx="459">
                  <c:v>1.362475862244749</c:v>
                </c:pt>
                <c:pt idx="460">
                  <c:v>1.4183227171570927</c:v>
                </c:pt>
                <c:pt idx="461">
                  <c:v>1.4125253106924462</c:v>
                </c:pt>
                <c:pt idx="462">
                  <c:v>1.4266053864627646</c:v>
                </c:pt>
                <c:pt idx="463">
                  <c:v>1.4368761605956313</c:v>
                </c:pt>
                <c:pt idx="464">
                  <c:v>1.5258350911238514</c:v>
                </c:pt>
                <c:pt idx="465">
                  <c:v>1.5829842758282218</c:v>
                </c:pt>
                <c:pt idx="466">
                  <c:v>1.6032212556198211</c:v>
                </c:pt>
                <c:pt idx="467">
                  <c:v>1.6135913965825075</c:v>
                </c:pt>
                <c:pt idx="468">
                  <c:v>1.5778737588133702</c:v>
                </c:pt>
                <c:pt idx="469">
                  <c:v>1.5696986074663113</c:v>
                </c:pt>
                <c:pt idx="470">
                  <c:v>1.5806385748775265</c:v>
                </c:pt>
                <c:pt idx="471">
                  <c:v>1.6116917468882794</c:v>
                </c:pt>
                <c:pt idx="472">
                  <c:v>1.6425705694615278</c:v>
                </c:pt>
                <c:pt idx="473">
                  <c:v>1.6421421885576815</c:v>
                </c:pt>
                <c:pt idx="474">
                  <c:v>1.6389145869645441</c:v>
                </c:pt>
                <c:pt idx="475">
                  <c:v>1.6913092591242249</c:v>
                </c:pt>
                <c:pt idx="476">
                  <c:v>1.6378922575152646</c:v>
                </c:pt>
                <c:pt idx="477">
                  <c:v>1.6137631580866931</c:v>
                </c:pt>
                <c:pt idx="478">
                  <c:v>1.6094184463333059</c:v>
                </c:pt>
                <c:pt idx="479">
                  <c:v>1.6366238376294666</c:v>
                </c:pt>
                <c:pt idx="480">
                  <c:v>1.6422352466000549</c:v>
                </c:pt>
                <c:pt idx="481">
                  <c:v>1.643252042400055</c:v>
                </c:pt>
                <c:pt idx="482">
                  <c:v>1.6371511353247861</c:v>
                </c:pt>
                <c:pt idx="483">
                  <c:v>1.6436728839459762</c:v>
                </c:pt>
                <c:pt idx="484">
                  <c:v>1.6273594915052052</c:v>
                </c:pt>
                <c:pt idx="485">
                  <c:v>1.5992162315747414</c:v>
                </c:pt>
                <c:pt idx="486">
                  <c:v>1.5779210592537081</c:v>
                </c:pt>
                <c:pt idx="487">
                  <c:v>1.593194683529235</c:v>
                </c:pt>
                <c:pt idx="488">
                  <c:v>1.5882264777373796</c:v>
                </c:pt>
                <c:pt idx="489">
                  <c:v>1.5825520665171964</c:v>
                </c:pt>
                <c:pt idx="490">
                  <c:v>1.5675272611838629</c:v>
                </c:pt>
                <c:pt idx="491">
                  <c:v>1.5339043843911169</c:v>
                </c:pt>
                <c:pt idx="492">
                  <c:v>1.5680682404492283</c:v>
                </c:pt>
                <c:pt idx="493">
                  <c:v>1.5543265800502259</c:v>
                </c:pt>
                <c:pt idx="494">
                  <c:v>1.5950407791507042</c:v>
                </c:pt>
                <c:pt idx="495">
                  <c:v>1.5968645500433596</c:v>
                </c:pt>
                <c:pt idx="496">
                  <c:v>1.5877609228676488</c:v>
                </c:pt>
                <c:pt idx="497">
                  <c:v>1.6064274441490791</c:v>
                </c:pt>
                <c:pt idx="498">
                  <c:v>1.64956460052887</c:v>
                </c:pt>
                <c:pt idx="499">
                  <c:v>1.5783147917375187</c:v>
                </c:pt>
                <c:pt idx="500">
                  <c:v>1.6388928208090472</c:v>
                </c:pt>
                <c:pt idx="501">
                  <c:v>1.644107569167174</c:v>
                </c:pt>
                <c:pt idx="502">
                  <c:v>1.766463010281339</c:v>
                </c:pt>
                <c:pt idx="503">
                  <c:v>1.7317327890852847</c:v>
                </c:pt>
                <c:pt idx="504">
                  <c:v>1.7372009515705307</c:v>
                </c:pt>
                <c:pt idx="505">
                  <c:v>1.7045080137476523</c:v>
                </c:pt>
                <c:pt idx="506">
                  <c:v>1.6939599912068743</c:v>
                </c:pt>
                <c:pt idx="507">
                  <c:v>1.6894738659905479</c:v>
                </c:pt>
                <c:pt idx="508">
                  <c:v>1.6624658686820595</c:v>
                </c:pt>
                <c:pt idx="509">
                  <c:v>1.6196429354853381</c:v>
                </c:pt>
                <c:pt idx="510">
                  <c:v>1.6551714180498835</c:v>
                </c:pt>
                <c:pt idx="511">
                  <c:v>1.568686302465405</c:v>
                </c:pt>
                <c:pt idx="512">
                  <c:v>1.5574419007650862</c:v>
                </c:pt>
                <c:pt idx="513">
                  <c:v>1.5460574130373328</c:v>
                </c:pt>
                <c:pt idx="514">
                  <c:v>1.6662651451565735</c:v>
                </c:pt>
                <c:pt idx="515">
                  <c:v>1.6606088499863607</c:v>
                </c:pt>
                <c:pt idx="516">
                  <c:v>1.7082519530260551</c:v>
                </c:pt>
                <c:pt idx="517">
                  <c:v>1.6981447716172215</c:v>
                </c:pt>
                <c:pt idx="518">
                  <c:v>1.6683155182326066</c:v>
                </c:pt>
                <c:pt idx="519">
                  <c:v>1.7263663868025276</c:v>
                </c:pt>
                <c:pt idx="520">
                  <c:v>1.706501887696229</c:v>
                </c:pt>
                <c:pt idx="521">
                  <c:v>1.7106176500953003</c:v>
                </c:pt>
                <c:pt idx="522">
                  <c:v>1.6815790083886342</c:v>
                </c:pt>
                <c:pt idx="523">
                  <c:v>1.6782568583886341</c:v>
                </c:pt>
                <c:pt idx="524">
                  <c:v>1.593570733388634</c:v>
                </c:pt>
                <c:pt idx="525">
                  <c:v>1.803033053052254</c:v>
                </c:pt>
                <c:pt idx="526">
                  <c:v>1.7745936417741881</c:v>
                </c:pt>
                <c:pt idx="527">
                  <c:v>1.860949791433995</c:v>
                </c:pt>
                <c:pt idx="528">
                  <c:v>1.9926017365537556</c:v>
                </c:pt>
                <c:pt idx="529">
                  <c:v>2.2351716156478059</c:v>
                </c:pt>
                <c:pt idx="530">
                  <c:v>2.2337794207387152</c:v>
                </c:pt>
                <c:pt idx="531">
                  <c:v>2.7466178175278588</c:v>
                </c:pt>
                <c:pt idx="532">
                  <c:v>2.6470456757159195</c:v>
                </c:pt>
                <c:pt idx="533">
                  <c:v>1.8124851593737317</c:v>
                </c:pt>
                <c:pt idx="534">
                  <c:v>1.6957069995453939</c:v>
                </c:pt>
                <c:pt idx="535">
                  <c:v>1.8234990099845998</c:v>
                </c:pt>
                <c:pt idx="536">
                  <c:v>1.7119752288783296</c:v>
                </c:pt>
                <c:pt idx="537">
                  <c:v>1.6106091310962916</c:v>
                </c:pt>
                <c:pt idx="538">
                  <c:v>1.6448321555137677</c:v>
                </c:pt>
                <c:pt idx="539">
                  <c:v>1.6128719865898542</c:v>
                </c:pt>
                <c:pt idx="540">
                  <c:v>1.6603609615085142</c:v>
                </c:pt>
                <c:pt idx="541">
                  <c:v>1.5841468707107151</c:v>
                </c:pt>
                <c:pt idx="542">
                  <c:v>1.6184162764397474</c:v>
                </c:pt>
                <c:pt idx="543">
                  <c:v>1.6645938673122969</c:v>
                </c:pt>
                <c:pt idx="544">
                  <c:v>1.6709813851474618</c:v>
                </c:pt>
                <c:pt idx="545">
                  <c:v>1.743312907417373</c:v>
                </c:pt>
                <c:pt idx="546">
                  <c:v>1.7975780727966832</c:v>
                </c:pt>
                <c:pt idx="547">
                  <c:v>1.8047404954853277</c:v>
                </c:pt>
                <c:pt idx="548">
                  <c:v>1.8435315273360433</c:v>
                </c:pt>
                <c:pt idx="549">
                  <c:v>1.791133615183415</c:v>
                </c:pt>
                <c:pt idx="550">
                  <c:v>1.8244662418525281</c:v>
                </c:pt>
                <c:pt idx="551">
                  <c:v>1.7842011398600754</c:v>
                </c:pt>
                <c:pt idx="552">
                  <c:v>1.8454664116382713</c:v>
                </c:pt>
                <c:pt idx="553">
                  <c:v>1.8613447254103397</c:v>
                </c:pt>
                <c:pt idx="554">
                  <c:v>1.9184477263303399</c:v>
                </c:pt>
                <c:pt idx="555">
                  <c:v>1.8996742778595712</c:v>
                </c:pt>
                <c:pt idx="556">
                  <c:v>1.9304012320773241</c:v>
                </c:pt>
                <c:pt idx="557">
                  <c:v>2.0394199314106576</c:v>
                </c:pt>
                <c:pt idx="558">
                  <c:v>1.9984189234019616</c:v>
                </c:pt>
                <c:pt idx="559">
                  <c:v>2.0046242979225095</c:v>
                </c:pt>
                <c:pt idx="560">
                  <c:v>1.9653368687105019</c:v>
                </c:pt>
                <c:pt idx="561">
                  <c:v>2.0298700114756025</c:v>
                </c:pt>
                <c:pt idx="562">
                  <c:v>2.13207269465742</c:v>
                </c:pt>
                <c:pt idx="563">
                  <c:v>2.1485040933171602</c:v>
                </c:pt>
                <c:pt idx="564">
                  <c:v>2.2239330285745447</c:v>
                </c:pt>
                <c:pt idx="565">
                  <c:v>2.2668765191347107</c:v>
                </c:pt>
                <c:pt idx="566">
                  <c:v>2.2290947526260836</c:v>
                </c:pt>
                <c:pt idx="567">
                  <c:v>2.1747322720122217</c:v>
                </c:pt>
                <c:pt idx="568">
                  <c:v>2.1483392051582237</c:v>
                </c:pt>
                <c:pt idx="569">
                  <c:v>2.1628820428248905</c:v>
                </c:pt>
                <c:pt idx="570">
                  <c:v>2.1122458367200867</c:v>
                </c:pt>
                <c:pt idx="571">
                  <c:v>2.2289908173481865</c:v>
                </c:pt>
                <c:pt idx="572">
                  <c:v>2.1775914497283844</c:v>
                </c:pt>
                <c:pt idx="573">
                  <c:v>2.0757185389135699</c:v>
                </c:pt>
                <c:pt idx="574">
                  <c:v>2.1032670194400502</c:v>
                </c:pt>
                <c:pt idx="575">
                  <c:v>1.8427177279920506</c:v>
                </c:pt>
                <c:pt idx="576">
                  <c:v>1.7287973385108408</c:v>
                </c:pt>
                <c:pt idx="577">
                  <c:v>1.6862408512896176</c:v>
                </c:pt>
                <c:pt idx="578">
                  <c:v>1.6626740652074259</c:v>
                </c:pt>
                <c:pt idx="579">
                  <c:v>1.6553653792706</c:v>
                </c:pt>
                <c:pt idx="580">
                  <c:v>1.7279231788547584</c:v>
                </c:pt>
                <c:pt idx="581">
                  <c:v>1.8442867219002133</c:v>
                </c:pt>
                <c:pt idx="582">
                  <c:v>1.7312718968488323</c:v>
                </c:pt>
                <c:pt idx="583">
                  <c:v>1.752994417565354</c:v>
                </c:pt>
                <c:pt idx="584">
                  <c:v>1.7429790347336236</c:v>
                </c:pt>
                <c:pt idx="585">
                  <c:v>1.7465922882590927</c:v>
                </c:pt>
                <c:pt idx="586">
                  <c:v>1.7758369424602765</c:v>
                </c:pt>
                <c:pt idx="587">
                  <c:v>1.7603230326939048</c:v>
                </c:pt>
                <c:pt idx="588">
                  <c:v>1.7671935397737528</c:v>
                </c:pt>
                <c:pt idx="589">
                  <c:v>1.7291824630470776</c:v>
                </c:pt>
                <c:pt idx="590">
                  <c:v>1.7521878503193888</c:v>
                </c:pt>
                <c:pt idx="591">
                  <c:v>1.7256886430706964</c:v>
                </c:pt>
                <c:pt idx="592">
                  <c:v>1.6147299264251664</c:v>
                </c:pt>
                <c:pt idx="593">
                  <c:v>1.6469687057514546</c:v>
                </c:pt>
                <c:pt idx="594">
                  <c:v>1.6366404292918268</c:v>
                </c:pt>
                <c:pt idx="595">
                  <c:v>1.640868243652966</c:v>
                </c:pt>
                <c:pt idx="596">
                  <c:v>1.6193125192935012</c:v>
                </c:pt>
                <c:pt idx="597">
                  <c:v>1.6358005580697572</c:v>
                </c:pt>
                <c:pt idx="598">
                  <c:v>1.650768550641186</c:v>
                </c:pt>
                <c:pt idx="599">
                  <c:v>1.6505172010048224</c:v>
                </c:pt>
                <c:pt idx="600">
                  <c:v>1.6108998369255383</c:v>
                </c:pt>
                <c:pt idx="601">
                  <c:v>1.6260129501056146</c:v>
                </c:pt>
                <c:pt idx="602">
                  <c:v>1.6520562338050369</c:v>
                </c:pt>
                <c:pt idx="603">
                  <c:v>1.660793225594511</c:v>
                </c:pt>
                <c:pt idx="604">
                  <c:v>1.6326087975234216</c:v>
                </c:pt>
                <c:pt idx="605">
                  <c:v>1.6088025283342051</c:v>
                </c:pt>
                <c:pt idx="606">
                  <c:v>1.5584309085847274</c:v>
                </c:pt>
                <c:pt idx="607">
                  <c:v>1.6295439727323291</c:v>
                </c:pt>
                <c:pt idx="608">
                  <c:v>1.6069894076479256</c:v>
                </c:pt>
                <c:pt idx="609">
                  <c:v>1.6138607041314417</c:v>
                </c:pt>
                <c:pt idx="610">
                  <c:v>1.7445250305760824</c:v>
                </c:pt>
                <c:pt idx="611">
                  <c:v>1.9744306241560827</c:v>
                </c:pt>
                <c:pt idx="612">
                  <c:v>1.6510710971910876</c:v>
                </c:pt>
                <c:pt idx="613">
                  <c:v>1.5985431465709143</c:v>
                </c:pt>
                <c:pt idx="614">
                  <c:v>1.6875565400749144</c:v>
                </c:pt>
                <c:pt idx="615">
                  <c:v>1.7581517123341088</c:v>
                </c:pt>
                <c:pt idx="616">
                  <c:v>1.7045770967224587</c:v>
                </c:pt>
                <c:pt idx="617">
                  <c:v>1.7241827207943308</c:v>
                </c:pt>
                <c:pt idx="618">
                  <c:v>1.7522868992455223</c:v>
                </c:pt>
                <c:pt idx="619">
                  <c:v>1.7280261944965181</c:v>
                </c:pt>
                <c:pt idx="620">
                  <c:v>1.6567559764965178</c:v>
                </c:pt>
                <c:pt idx="621">
                  <c:v>1.6478175359758569</c:v>
                </c:pt>
                <c:pt idx="622">
                  <c:v>1.6580981040658767</c:v>
                </c:pt>
                <c:pt idx="623">
                  <c:v>1.6984706158028624</c:v>
                </c:pt>
                <c:pt idx="624">
                  <c:v>1.7526439238028617</c:v>
                </c:pt>
                <c:pt idx="625">
                  <c:v>1.8242683255765344</c:v>
                </c:pt>
                <c:pt idx="626">
                  <c:v>1.7005884443040884</c:v>
                </c:pt>
                <c:pt idx="627">
                  <c:v>1.6456378879860123</c:v>
                </c:pt>
                <c:pt idx="628">
                  <c:v>1.6562097166271919</c:v>
                </c:pt>
                <c:pt idx="629">
                  <c:v>1.7918480198115667</c:v>
                </c:pt>
                <c:pt idx="630">
                  <c:v>1.8062397678164031</c:v>
                </c:pt>
                <c:pt idx="631">
                  <c:v>1.8985106272664034</c:v>
                </c:pt>
                <c:pt idx="632">
                  <c:v>1.979345122266404</c:v>
                </c:pt>
                <c:pt idx="633">
                  <c:v>1.9945659180240893</c:v>
                </c:pt>
                <c:pt idx="634">
                  <c:v>1.9775268580949155</c:v>
                </c:pt>
                <c:pt idx="635">
                  <c:v>1.9871074482402145</c:v>
                </c:pt>
                <c:pt idx="636">
                  <c:v>1.9883647635349979</c:v>
                </c:pt>
                <c:pt idx="637">
                  <c:v>1.9803377888888438</c:v>
                </c:pt>
                <c:pt idx="638">
                  <c:v>2.2173870152984443</c:v>
                </c:pt>
                <c:pt idx="639">
                  <c:v>2.2373835289037514</c:v>
                </c:pt>
                <c:pt idx="640">
                  <c:v>2.3184231137760913</c:v>
                </c:pt>
                <c:pt idx="641">
                  <c:v>2.5839971892909572</c:v>
                </c:pt>
                <c:pt idx="642">
                  <c:v>2.3081716220495783</c:v>
                </c:pt>
                <c:pt idx="643">
                  <c:v>2.2292575657705078</c:v>
                </c:pt>
                <c:pt idx="644">
                  <c:v>2.2411746347392572</c:v>
                </c:pt>
                <c:pt idx="645">
                  <c:v>2.2874265144998005</c:v>
                </c:pt>
                <c:pt idx="646">
                  <c:v>2.1908868934186487</c:v>
                </c:pt>
                <c:pt idx="647">
                  <c:v>2.1896596029641029</c:v>
                </c:pt>
                <c:pt idx="648">
                  <c:v>2.5107760317794714</c:v>
                </c:pt>
                <c:pt idx="649">
                  <c:v>2.6357764472956569</c:v>
                </c:pt>
                <c:pt idx="650">
                  <c:v>2.3096609980052567</c:v>
                </c:pt>
                <c:pt idx="651">
                  <c:v>2.3714818781043316</c:v>
                </c:pt>
                <c:pt idx="652">
                  <c:v>1.8940548456493278</c:v>
                </c:pt>
                <c:pt idx="653">
                  <c:v>2.0531270136493278</c:v>
                </c:pt>
                <c:pt idx="654">
                  <c:v>2.2073153360058493</c:v>
                </c:pt>
                <c:pt idx="655">
                  <c:v>2.2155429840550314</c:v>
                </c:pt>
                <c:pt idx="656">
                  <c:v>2.3157513208198837</c:v>
                </c:pt>
                <c:pt idx="657">
                  <c:v>2.3089025806592414</c:v>
                </c:pt>
                <c:pt idx="658">
                  <c:v>2.5253973692264604</c:v>
                </c:pt>
                <c:pt idx="659">
                  <c:v>2.8438300122434117</c:v>
                </c:pt>
                <c:pt idx="660">
                  <c:v>2.5102438905623612</c:v>
                </c:pt>
                <c:pt idx="661">
                  <c:v>2.3972629637945406</c:v>
                </c:pt>
                <c:pt idx="662">
                  <c:v>1.8855141202231127</c:v>
                </c:pt>
                <c:pt idx="663">
                  <c:v>2.2405909684645811</c:v>
                </c:pt>
                <c:pt idx="664">
                  <c:v>1.9771786087312471</c:v>
                </c:pt>
                <c:pt idx="665">
                  <c:v>2.5684303614311603</c:v>
                </c:pt>
                <c:pt idx="666">
                  <c:v>2.0608035502270332</c:v>
                </c:pt>
                <c:pt idx="667">
                  <c:v>1.0103980378593513</c:v>
                </c:pt>
                <c:pt idx="668">
                  <c:v>0.92758574701263607</c:v>
                </c:pt>
                <c:pt idx="669">
                  <c:v>0.87527040106269183</c:v>
                </c:pt>
                <c:pt idx="670">
                  <c:v>1.0082575171332795</c:v>
                </c:pt>
                <c:pt idx="671">
                  <c:v>0.8783541345773469</c:v>
                </c:pt>
                <c:pt idx="672">
                  <c:v>1.1418358432340634</c:v>
                </c:pt>
                <c:pt idx="673">
                  <c:v>1.1467615730522449</c:v>
                </c:pt>
                <c:pt idx="674">
                  <c:v>0.95900867397355039</c:v>
                </c:pt>
                <c:pt idx="675">
                  <c:v>1.0882434263271421</c:v>
                </c:pt>
                <c:pt idx="676">
                  <c:v>0.89972444286349007</c:v>
                </c:pt>
                <c:pt idx="677">
                  <c:v>1.1857717245672654</c:v>
                </c:pt>
                <c:pt idx="678">
                  <c:v>1.0946873136972655</c:v>
                </c:pt>
                <c:pt idx="679">
                  <c:v>1.4325211853724509</c:v>
                </c:pt>
                <c:pt idx="680">
                  <c:v>1.6249553849005103</c:v>
                </c:pt>
                <c:pt idx="681">
                  <c:v>1.4612456205488622</c:v>
                </c:pt>
                <c:pt idx="682">
                  <c:v>0.71908327400929817</c:v>
                </c:pt>
                <c:pt idx="683">
                  <c:v>0.86174547443619531</c:v>
                </c:pt>
                <c:pt idx="684">
                  <c:v>1.3133948916739622</c:v>
                </c:pt>
                <c:pt idx="685">
                  <c:v>1.8602882163816306</c:v>
                </c:pt>
                <c:pt idx="686">
                  <c:v>0.65344188087526467</c:v>
                </c:pt>
                <c:pt idx="687">
                  <c:v>2.3138923888105301</c:v>
                </c:pt>
                <c:pt idx="688">
                  <c:v>2.5925470158393789</c:v>
                </c:pt>
                <c:pt idx="689">
                  <c:v>2.7682692035320886</c:v>
                </c:pt>
                <c:pt idx="690">
                  <c:v>1.3910928565429794</c:v>
                </c:pt>
                <c:pt idx="691">
                  <c:v>3.0143553338745797</c:v>
                </c:pt>
                <c:pt idx="692">
                  <c:v>2.1020659776051036</c:v>
                </c:pt>
                <c:pt idx="693">
                  <c:v>1.1933542090999489</c:v>
                </c:pt>
                <c:pt idx="694">
                  <c:v>2.4622909119118073</c:v>
                </c:pt>
                <c:pt idx="695">
                  <c:v>0.51785798191180687</c:v>
                </c:pt>
                <c:pt idx="696">
                  <c:v>0.2399854280733931</c:v>
                </c:pt>
                <c:pt idx="697">
                  <c:v>0.15393063896922599</c:v>
                </c:pt>
                <c:pt idx="698">
                  <c:v>0.10927054090224025</c:v>
                </c:pt>
                <c:pt idx="699">
                  <c:v>0.17200477098084302</c:v>
                </c:pt>
                <c:pt idx="700">
                  <c:v>0.10612900420905096</c:v>
                </c:pt>
                <c:pt idx="701">
                  <c:v>0.20980283350482593</c:v>
                </c:pt>
                <c:pt idx="702">
                  <c:v>0.26633198077405701</c:v>
                </c:pt>
                <c:pt idx="703">
                  <c:v>0.30803380466678199</c:v>
                </c:pt>
                <c:pt idx="704">
                  <c:v>0.32597425818268289</c:v>
                </c:pt>
                <c:pt idx="705">
                  <c:v>0.18337626448566005</c:v>
                </c:pt>
                <c:pt idx="706">
                  <c:v>0.22177627687289406</c:v>
                </c:pt>
                <c:pt idx="707">
                  <c:v>0.19385798300915777</c:v>
                </c:pt>
                <c:pt idx="708">
                  <c:v>0.21557591157417177</c:v>
                </c:pt>
                <c:pt idx="709">
                  <c:v>0.38233058952323329</c:v>
                </c:pt>
                <c:pt idx="710">
                  <c:v>0.26902122416828456</c:v>
                </c:pt>
                <c:pt idx="711">
                  <c:v>0.32564945435416698</c:v>
                </c:pt>
                <c:pt idx="712">
                  <c:v>0.34994999330004095</c:v>
                </c:pt>
                <c:pt idx="713">
                  <c:v>0.74666324811777474</c:v>
                </c:pt>
                <c:pt idx="714">
                  <c:v>0.49904910521196344</c:v>
                </c:pt>
                <c:pt idx="715">
                  <c:v>0.9542676017149353</c:v>
                </c:pt>
                <c:pt idx="716">
                  <c:v>0.18367324715411604</c:v>
                </c:pt>
                <c:pt idx="717">
                  <c:v>0.53724161141130677</c:v>
                </c:pt>
                <c:pt idx="718">
                  <c:v>0.98123979587337573</c:v>
                </c:pt>
                <c:pt idx="719">
                  <c:v>1.6107210452691496</c:v>
                </c:pt>
                <c:pt idx="720">
                  <c:v>2.0831869891753514</c:v>
                </c:pt>
                <c:pt idx="721">
                  <c:v>4.4301674935838831</c:v>
                </c:pt>
                <c:pt idx="722">
                  <c:v>1.8289029639272731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09-4B89-B918-085FF0FCE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989567"/>
        <c:axId val="134990815"/>
      </c:lineChart>
      <c:dateAx>
        <c:axId val="1349895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90815"/>
        <c:crosses val="autoZero"/>
        <c:auto val="1"/>
        <c:lblOffset val="100"/>
        <c:baseTimeUnit val="days"/>
      </c:dateAx>
      <c:valAx>
        <c:axId val="13499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8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8E7C581-C011-4E67-AD4C-5D2445231534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859026-B557-4C93-AFD7-886172AD12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6.6665999999999999</v>
      </c>
      <c r="D2" s="4">
        <f>MIN(D3:D1912)</f>
        <v>0.02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8</v>
      </c>
      <c r="N4" t="s">
        <v>7</v>
      </c>
    </row>
    <row r="5" spans="1:20" x14ac:dyDescent="0.25">
      <c r="A5" s="5">
        <v>44588</v>
      </c>
      <c r="B5">
        <v>0.80200000000000005</v>
      </c>
      <c r="C5">
        <v>0.81</v>
      </c>
      <c r="D5">
        <v>0.79</v>
      </c>
      <c r="E5">
        <v>0.79</v>
      </c>
      <c r="F5">
        <v>119383.1</v>
      </c>
      <c r="G5">
        <v>0.79</v>
      </c>
      <c r="L5" t="s">
        <v>8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-119383.1</v>
      </c>
      <c r="R5">
        <f t="shared" ref="R5" si="2">R6+Q5</f>
        <v>-524223578.05068624</v>
      </c>
      <c r="S5">
        <f t="shared" ref="S5" si="3">R5/100000</f>
        <v>-5242.2357805068623</v>
      </c>
      <c r="T5">
        <f t="shared" ref="T5" si="4">S5/1000</f>
        <v>-5.2422357805068627</v>
      </c>
    </row>
    <row r="6" spans="1:20" x14ac:dyDescent="0.25">
      <c r="A6" s="5">
        <v>44587</v>
      </c>
      <c r="B6">
        <v>0.80800000000000005</v>
      </c>
      <c r="C6">
        <v>0.85299999999999998</v>
      </c>
      <c r="D6">
        <v>0.78200000000000003</v>
      </c>
      <c r="E6">
        <v>0.80300000000000005</v>
      </c>
      <c r="F6">
        <v>3876754.8</v>
      </c>
      <c r="G6">
        <v>0.80300000000000005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-0.40845070422535118</v>
      </c>
      <c r="Q6">
        <f t="shared" ref="Q6" si="6">F6*P6</f>
        <v>-1583463.2281690105</v>
      </c>
      <c r="R6">
        <f t="shared" ref="R6" si="7">R7+Q6</f>
        <v>-524104194.95068622</v>
      </c>
      <c r="S6">
        <f t="shared" ref="S6" si="8">R6/100000</f>
        <v>-5241.0419495068618</v>
      </c>
      <c r="T6">
        <f t="shared" ref="T6" si="9">S6/1000</f>
        <v>-5.2410419495068616</v>
      </c>
    </row>
    <row r="7" spans="1:20" x14ac:dyDescent="0.25">
      <c r="A7" s="5">
        <v>44586</v>
      </c>
      <c r="B7">
        <v>0.76400000000000001</v>
      </c>
      <c r="C7">
        <v>0.82</v>
      </c>
      <c r="D7">
        <v>0.75700000000000001</v>
      </c>
      <c r="E7">
        <v>0.80600000000000005</v>
      </c>
      <c r="F7">
        <v>3748883.8</v>
      </c>
      <c r="G7">
        <v>0.80600000000000005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0.55555555555555824</v>
      </c>
      <c r="Q7">
        <f t="shared" ref="Q7" si="11">F7*P7</f>
        <v>2082713.2222222323</v>
      </c>
      <c r="R7">
        <f t="shared" ref="R7" si="12">R8+Q7</f>
        <v>-522520731.72251719</v>
      </c>
      <c r="S7">
        <f t="shared" ref="S7" si="13">R7/100000</f>
        <v>-5225.2073172251721</v>
      </c>
      <c r="T7">
        <f t="shared" ref="T7" si="14">S7/1000</f>
        <v>-5.2252073172251725</v>
      </c>
    </row>
    <row r="8" spans="1:20" x14ac:dyDescent="0.25">
      <c r="A8" s="5">
        <v>44585</v>
      </c>
      <c r="B8">
        <v>0.79800000000000004</v>
      </c>
      <c r="C8">
        <v>0.79800000000000004</v>
      </c>
      <c r="D8">
        <v>0.68400000000000005</v>
      </c>
      <c r="E8">
        <v>0.76300000000000001</v>
      </c>
      <c r="F8">
        <v>5780152.2000000002</v>
      </c>
      <c r="G8">
        <v>0.76300000000000001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0.38596491228070118</v>
      </c>
      <c r="Q8">
        <f t="shared" ref="Q8" si="16">F8*P8</f>
        <v>2230935.9368421021</v>
      </c>
      <c r="R8">
        <f t="shared" ref="R8" si="17">R9+Q8</f>
        <v>-524603444.9447394</v>
      </c>
      <c r="S8">
        <f t="shared" ref="S8" si="18">R8/100000</f>
        <v>-5246.0344494473939</v>
      </c>
      <c r="T8">
        <f t="shared" ref="T8" si="19">S8/1000</f>
        <v>-5.2460344494473938</v>
      </c>
    </row>
    <row r="9" spans="1:20" x14ac:dyDescent="0.25">
      <c r="A9" s="5">
        <v>44584</v>
      </c>
      <c r="B9">
        <v>0.751</v>
      </c>
      <c r="C9">
        <v>0.82899999999999996</v>
      </c>
      <c r="D9">
        <v>0.748</v>
      </c>
      <c r="E9">
        <v>0.79800000000000004</v>
      </c>
      <c r="F9">
        <v>3901167.2</v>
      </c>
      <c r="G9">
        <v>0.79800000000000004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0.23456790123456958</v>
      </c>
      <c r="Q9">
        <f t="shared" ref="Q9" si="21">F9*P9</f>
        <v>915088.60246914241</v>
      </c>
      <c r="R9">
        <f t="shared" ref="R9" si="22">R10+Q9</f>
        <v>-526834380.88158149</v>
      </c>
      <c r="S9">
        <f t="shared" ref="S9" si="23">R9/100000</f>
        <v>-5268.3438088158146</v>
      </c>
      <c r="T9">
        <f t="shared" ref="T9" si="24">S9/1000</f>
        <v>-5.268343808815815</v>
      </c>
    </row>
    <row r="10" spans="1:20" x14ac:dyDescent="0.25">
      <c r="A10" s="5">
        <v>44583</v>
      </c>
      <c r="B10">
        <v>0.85299999999999998</v>
      </c>
      <c r="C10">
        <v>0.875</v>
      </c>
      <c r="D10">
        <v>0.68400000000000005</v>
      </c>
      <c r="E10">
        <v>0.752</v>
      </c>
      <c r="F10">
        <v>8964103.0899999999</v>
      </c>
      <c r="G10">
        <v>0.752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-0.28795811518324643</v>
      </c>
      <c r="Q10">
        <f t="shared" ref="Q10" si="26">F10*P10</f>
        <v>-2581286.2301047151</v>
      </c>
      <c r="R10">
        <f t="shared" ref="R10" si="27">R11+Q10</f>
        <v>-527749469.48405063</v>
      </c>
      <c r="S10">
        <f t="shared" ref="S10" si="28">R10/100000</f>
        <v>-5277.4946948405059</v>
      </c>
      <c r="T10">
        <f t="shared" ref="T10" si="29">S10/1000</f>
        <v>-5.2774946948405059</v>
      </c>
    </row>
    <row r="11" spans="1:20" x14ac:dyDescent="0.25">
      <c r="A11" s="5">
        <v>44582</v>
      </c>
      <c r="B11">
        <v>0.98</v>
      </c>
      <c r="C11">
        <v>0.99399999999999999</v>
      </c>
      <c r="D11">
        <v>0.84</v>
      </c>
      <c r="E11">
        <v>0.85499999999999998</v>
      </c>
      <c r="F11">
        <v>7750006.7800000003</v>
      </c>
      <c r="G11">
        <v>0.85499999999999998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-0.80519480519480502</v>
      </c>
      <c r="Q11">
        <f t="shared" ref="Q11" si="31">F11*P11</f>
        <v>-6240265.1994805187</v>
      </c>
      <c r="R11">
        <f t="shared" ref="R11" si="32">R12+Q11</f>
        <v>-525168183.25394589</v>
      </c>
      <c r="S11">
        <f t="shared" ref="S11" si="33">R11/100000</f>
        <v>-5251.6818325394588</v>
      </c>
      <c r="T11">
        <f t="shared" ref="T11" si="34">S11/1000</f>
        <v>-5.2516818325394592</v>
      </c>
    </row>
    <row r="12" spans="1:20" x14ac:dyDescent="0.25">
      <c r="A12" s="5">
        <v>44581</v>
      </c>
      <c r="B12">
        <v>1.0289999999999999</v>
      </c>
      <c r="C12">
        <v>1.0509999999999999</v>
      </c>
      <c r="D12">
        <v>0.97699999999999998</v>
      </c>
      <c r="E12">
        <v>0.98</v>
      </c>
      <c r="F12">
        <v>3487448.6</v>
      </c>
      <c r="G12">
        <v>0.98</v>
      </c>
      <c r="L12" t="s">
        <v>7</v>
      </c>
      <c r="M12" t="s">
        <v>8</v>
      </c>
      <c r="N12" t="s">
        <v>7</v>
      </c>
      <c r="P12">
        <f t="shared" ref="P12" si="35">IF(C12=D12,0,((E12-D12)-(C12-E12))/(C12-D12))</f>
        <v>-0.91891891891891875</v>
      </c>
      <c r="Q12">
        <f t="shared" ref="Q12" si="36">F12*P12</f>
        <v>-3204682.4972972968</v>
      </c>
      <c r="R12">
        <f t="shared" ref="R12" si="37">R13+Q12</f>
        <v>-518927918.05446535</v>
      </c>
      <c r="S12">
        <f t="shared" ref="S12" si="38">R12/100000</f>
        <v>-5189.2791805446532</v>
      </c>
      <c r="T12">
        <f t="shared" ref="T12" si="39">S12/1000</f>
        <v>-5.189279180544653</v>
      </c>
    </row>
    <row r="13" spans="1:20" x14ac:dyDescent="0.25">
      <c r="A13" s="5">
        <v>44580</v>
      </c>
      <c r="B13">
        <v>1.038</v>
      </c>
      <c r="C13">
        <v>1.0529999999999999</v>
      </c>
      <c r="D13">
        <v>1</v>
      </c>
      <c r="E13">
        <v>1.0289999999999999</v>
      </c>
      <c r="F13">
        <v>3215214</v>
      </c>
      <c r="G13">
        <v>1.0289999999999999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9.433962264150754E-2</v>
      </c>
      <c r="Q13">
        <f t="shared" ref="Q13" si="41">F13*P13</f>
        <v>303322.07547169202</v>
      </c>
      <c r="R13">
        <f t="shared" ref="R13" si="42">R14+Q13</f>
        <v>-515723235.55716807</v>
      </c>
      <c r="S13">
        <f t="shared" ref="S13" si="43">R13/100000</f>
        <v>-5157.2323555716803</v>
      </c>
      <c r="T13">
        <f t="shared" ref="T13" si="44">S13/1000</f>
        <v>-5.1572323555716801</v>
      </c>
    </row>
    <row r="14" spans="1:20" x14ac:dyDescent="0.25">
      <c r="A14" s="5">
        <v>44579</v>
      </c>
      <c r="B14">
        <v>1.0509999999999999</v>
      </c>
      <c r="C14">
        <v>1.069</v>
      </c>
      <c r="D14">
        <v>1.01</v>
      </c>
      <c r="E14">
        <v>1.038</v>
      </c>
      <c r="F14">
        <v>3336746</v>
      </c>
      <c r="G14">
        <v>1.038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-5.0847457627116857E-2</v>
      </c>
      <c r="Q14">
        <f t="shared" ref="Q14" si="46">F14*P14</f>
        <v>-169665.05084745167</v>
      </c>
      <c r="R14">
        <f t="shared" ref="R14" si="47">R15+Q14</f>
        <v>-516026557.63263977</v>
      </c>
      <c r="S14">
        <f t="shared" ref="S14" si="48">R14/100000</f>
        <v>-5160.2655763263974</v>
      </c>
      <c r="T14">
        <f t="shared" ref="T14" si="49">S14/1000</f>
        <v>-5.1602655763263972</v>
      </c>
    </row>
    <row r="15" spans="1:20" x14ac:dyDescent="0.25">
      <c r="A15" s="5">
        <v>44578</v>
      </c>
      <c r="B15">
        <v>1.0880000000000001</v>
      </c>
      <c r="C15">
        <v>1.0900000000000001</v>
      </c>
      <c r="D15">
        <v>1.0349999999999999</v>
      </c>
      <c r="E15">
        <v>1.052</v>
      </c>
      <c r="F15">
        <v>2157792.7999999998</v>
      </c>
      <c r="G15">
        <v>1.052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-0.381818181818179</v>
      </c>
      <c r="Q15">
        <f t="shared" ref="Q15" si="51">F15*P15</f>
        <v>-823884.52363635751</v>
      </c>
      <c r="R15">
        <f t="shared" ref="R15" si="52">R16+Q15</f>
        <v>-515856892.58179229</v>
      </c>
      <c r="S15">
        <f t="shared" ref="S15" si="53">R15/100000</f>
        <v>-5158.5689258179227</v>
      </c>
      <c r="T15">
        <f t="shared" ref="T15" si="54">S15/1000</f>
        <v>-5.1585689258179226</v>
      </c>
    </row>
    <row r="16" spans="1:20" x14ac:dyDescent="0.25">
      <c r="A16" s="5">
        <v>44577</v>
      </c>
      <c r="B16">
        <v>1.085</v>
      </c>
      <c r="C16">
        <v>1.1020000000000001</v>
      </c>
      <c r="D16">
        <v>1.073</v>
      </c>
      <c r="E16">
        <v>1.087</v>
      </c>
      <c r="F16">
        <v>2103101.2999999998</v>
      </c>
      <c r="G16">
        <v>1.087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-3.4482758620693353E-2</v>
      </c>
      <c r="Q16">
        <f t="shared" ref="Q16" si="56">F16*P16</f>
        <v>-72520.734482766391</v>
      </c>
      <c r="R16">
        <f t="shared" ref="R16" si="57">R17+Q16</f>
        <v>-515033008.05815595</v>
      </c>
      <c r="S16">
        <f t="shared" ref="S16" si="58">R16/100000</f>
        <v>-5150.3300805815597</v>
      </c>
      <c r="T16">
        <f t="shared" ref="T16" si="59">S16/1000</f>
        <v>-5.1503300805815595</v>
      </c>
    </row>
    <row r="17" spans="1:20" x14ac:dyDescent="0.25">
      <c r="A17" s="5">
        <v>44576</v>
      </c>
      <c r="B17">
        <v>1.083</v>
      </c>
      <c r="C17">
        <v>1.0980000000000001</v>
      </c>
      <c r="D17">
        <v>1.0669999999999999</v>
      </c>
      <c r="E17">
        <v>1.0860000000000001</v>
      </c>
      <c r="F17">
        <v>1876694.5</v>
      </c>
      <c r="G17">
        <v>1.0860000000000001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0.225806451612906</v>
      </c>
      <c r="Q17">
        <f t="shared" ref="Q17" si="61">F17*P17</f>
        <v>423769.72580645682</v>
      </c>
      <c r="R17">
        <f t="shared" ref="R17" si="62">R18+Q17</f>
        <v>-514960487.32367319</v>
      </c>
      <c r="S17">
        <f t="shared" ref="S17" si="63">R17/100000</f>
        <v>-5149.6048732367317</v>
      </c>
      <c r="T17">
        <f t="shared" ref="T17" si="64">S17/1000</f>
        <v>-5.1496048732367319</v>
      </c>
    </row>
    <row r="18" spans="1:20" x14ac:dyDescent="0.25">
      <c r="A18" s="5">
        <v>44575</v>
      </c>
      <c r="B18">
        <v>1.0580000000000001</v>
      </c>
      <c r="C18">
        <v>1.099</v>
      </c>
      <c r="D18">
        <v>1.044</v>
      </c>
      <c r="E18">
        <v>1.0820000000000001</v>
      </c>
      <c r="F18">
        <v>2942886.2</v>
      </c>
      <c r="G18">
        <v>1.0820000000000001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0.38181818181818461</v>
      </c>
      <c r="Q18">
        <f t="shared" ref="Q18" si="66">F18*P18</f>
        <v>1123647.4581818264</v>
      </c>
      <c r="R18">
        <f t="shared" ref="R18" si="67">R19+Q18</f>
        <v>-515384257.04947966</v>
      </c>
      <c r="S18">
        <f t="shared" ref="S18" si="68">R18/100000</f>
        <v>-5153.8425704947967</v>
      </c>
      <c r="T18">
        <f t="shared" ref="T18" si="69">S18/1000</f>
        <v>-5.1538425704947963</v>
      </c>
    </row>
    <row r="19" spans="1:20" x14ac:dyDescent="0.25">
      <c r="A19" s="5">
        <v>44574</v>
      </c>
      <c r="B19">
        <v>1.079</v>
      </c>
      <c r="C19">
        <v>1.1399999999999999</v>
      </c>
      <c r="D19">
        <v>1.0529999999999999</v>
      </c>
      <c r="E19">
        <v>1.0580000000000001</v>
      </c>
      <c r="F19">
        <v>3857587</v>
      </c>
      <c r="G19">
        <v>1.0580000000000001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-0.88505747126436507</v>
      </c>
      <c r="Q19">
        <f t="shared" ref="Q19" si="71">F19*P19</f>
        <v>-3414186.1954022883</v>
      </c>
      <c r="R19">
        <f t="shared" ref="R19" si="72">R20+Q19</f>
        <v>-516507904.50766146</v>
      </c>
      <c r="S19">
        <f t="shared" ref="S19" si="73">R19/100000</f>
        <v>-5165.0790450766144</v>
      </c>
      <c r="T19">
        <f t="shared" ref="T19" si="74">S19/1000</f>
        <v>-5.1650790450766149</v>
      </c>
    </row>
    <row r="20" spans="1:20" x14ac:dyDescent="0.25">
      <c r="A20" s="5">
        <v>44573</v>
      </c>
      <c r="B20">
        <v>1.034</v>
      </c>
      <c r="C20">
        <v>1.091</v>
      </c>
      <c r="D20">
        <v>1.0329999999999999</v>
      </c>
      <c r="E20">
        <v>1.08</v>
      </c>
      <c r="F20">
        <v>2694371.5</v>
      </c>
      <c r="G20">
        <v>1.08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0.62068965517241759</v>
      </c>
      <c r="Q20">
        <f t="shared" ref="Q20" si="76">F20*P20</f>
        <v>1672368.5172413895</v>
      </c>
      <c r="R20">
        <f t="shared" ref="R20" si="77">R21+Q20</f>
        <v>-513093718.3122592</v>
      </c>
      <c r="S20">
        <f t="shared" ref="S20" si="78">R20/100000</f>
        <v>-5130.9371831225917</v>
      </c>
      <c r="T20">
        <f t="shared" ref="T20" si="79">S20/1000</f>
        <v>-5.1309371831225921</v>
      </c>
    </row>
    <row r="21" spans="1:20" x14ac:dyDescent="0.25">
      <c r="A21" s="5">
        <v>44572</v>
      </c>
      <c r="B21">
        <v>1.004</v>
      </c>
      <c r="C21">
        <v>1.0369999999999999</v>
      </c>
      <c r="D21">
        <v>0.97699999999999998</v>
      </c>
      <c r="E21">
        <v>1.0349999999999999</v>
      </c>
      <c r="F21">
        <v>3914732.4</v>
      </c>
      <c r="G21">
        <v>1.0349999999999999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0.93333333333333324</v>
      </c>
      <c r="Q21">
        <f t="shared" ref="Q21" si="81">F21*P21</f>
        <v>3653750.2399999998</v>
      </c>
      <c r="R21">
        <f t="shared" ref="R21" si="82">R22+Q21</f>
        <v>-514766086.82950062</v>
      </c>
      <c r="S21">
        <f t="shared" ref="S21" si="83">R21/100000</f>
        <v>-5147.6608682950064</v>
      </c>
      <c r="T21">
        <f t="shared" ref="T21" si="84">S21/1000</f>
        <v>-5.1476608682950067</v>
      </c>
    </row>
    <row r="22" spans="1:20" x14ac:dyDescent="0.25">
      <c r="A22" s="5">
        <v>44571</v>
      </c>
      <c r="B22">
        <v>1.0269999999999999</v>
      </c>
      <c r="C22">
        <v>1.036</v>
      </c>
      <c r="D22">
        <v>0.94399999999999995</v>
      </c>
      <c r="E22">
        <v>1.0029999999999999</v>
      </c>
      <c r="F22">
        <v>4600404.9000000004</v>
      </c>
      <c r="G22">
        <v>1.0029999999999999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0.2826086956521715</v>
      </c>
      <c r="Q22">
        <f t="shared" ref="Q22" si="86">F22*P22</f>
        <v>1300114.4282608586</v>
      </c>
      <c r="R22">
        <f t="shared" ref="R22" si="87">R23+Q22</f>
        <v>-518419837.06950063</v>
      </c>
      <c r="S22">
        <f t="shared" ref="S22" si="88">R22/100000</f>
        <v>-5184.1983706950059</v>
      </c>
      <c r="T22">
        <f t="shared" ref="T22" si="89">S22/1000</f>
        <v>-5.1841983706950057</v>
      </c>
    </row>
    <row r="23" spans="1:20" x14ac:dyDescent="0.25">
      <c r="A23" s="5">
        <v>44570</v>
      </c>
      <c r="B23">
        <v>1.016</v>
      </c>
      <c r="C23">
        <v>1.0469999999999999</v>
      </c>
      <c r="D23">
        <v>1.008</v>
      </c>
      <c r="E23">
        <v>1.0269999999999999</v>
      </c>
      <c r="F23">
        <v>3260372.6</v>
      </c>
      <c r="G23">
        <v>1.0269999999999999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-2.5641025641028561E-2</v>
      </c>
      <c r="Q23">
        <f t="shared" ref="Q23" si="91">F23*P23</f>
        <v>-83599.297435906963</v>
      </c>
      <c r="R23">
        <f t="shared" ref="R23" si="92">R24+Q23</f>
        <v>-519719951.49776149</v>
      </c>
      <c r="S23">
        <f t="shared" ref="S23" si="93">R23/100000</f>
        <v>-5197.1995149776149</v>
      </c>
      <c r="T23">
        <f t="shared" ref="T23" si="94">S23/1000</f>
        <v>-5.1971995149776147</v>
      </c>
    </row>
    <row r="24" spans="1:20" x14ac:dyDescent="0.25">
      <c r="A24" s="5">
        <v>44569</v>
      </c>
      <c r="B24">
        <v>1.0449999999999999</v>
      </c>
      <c r="C24">
        <v>1.081</v>
      </c>
      <c r="D24">
        <v>0.999</v>
      </c>
      <c r="E24">
        <v>1.016</v>
      </c>
      <c r="F24">
        <v>3064982.2</v>
      </c>
      <c r="G24">
        <v>1.016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-0.585365853658536</v>
      </c>
      <c r="Q24">
        <f t="shared" ref="Q24" si="96">F24*P24</f>
        <v>-1794135.9219512178</v>
      </c>
      <c r="R24">
        <f t="shared" ref="R24" si="97">R25+Q24</f>
        <v>-519636352.20032561</v>
      </c>
      <c r="S24">
        <f t="shared" ref="S24" si="98">R24/100000</f>
        <v>-5196.3635220032556</v>
      </c>
      <c r="T24">
        <f t="shared" ref="T24" si="99">S24/1000</f>
        <v>-5.1963635220032556</v>
      </c>
    </row>
    <row r="25" spans="1:20" x14ac:dyDescent="0.25">
      <c r="A25" s="5">
        <v>44568</v>
      </c>
      <c r="B25">
        <v>1.099</v>
      </c>
      <c r="C25">
        <v>1.101</v>
      </c>
      <c r="D25">
        <v>1.0089999999999999</v>
      </c>
      <c r="E25">
        <v>1.0449999999999999</v>
      </c>
      <c r="F25">
        <v>4477223.4000000004</v>
      </c>
      <c r="G25">
        <v>1.0449999999999999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-0.21739130434782608</v>
      </c>
      <c r="Q25">
        <f t="shared" ref="Q25" si="101">F25*P25</f>
        <v>-973309.43478260876</v>
      </c>
      <c r="R25">
        <f t="shared" ref="R25" si="102">R26+Q25</f>
        <v>-517842216.27837437</v>
      </c>
      <c r="S25">
        <f t="shared" ref="S25" si="103">R25/100000</f>
        <v>-5178.4221627837442</v>
      </c>
      <c r="T25">
        <f t="shared" ref="T25" si="104">S25/1000</f>
        <v>-5.1784221627837441</v>
      </c>
    </row>
    <row r="26" spans="1:20" x14ac:dyDescent="0.25">
      <c r="A26" s="5">
        <v>44567</v>
      </c>
      <c r="B26">
        <v>1.109</v>
      </c>
      <c r="C26">
        <v>1.123</v>
      </c>
      <c r="D26">
        <v>1.06</v>
      </c>
      <c r="E26">
        <v>1.099</v>
      </c>
      <c r="F26">
        <v>3941560.4</v>
      </c>
      <c r="G26">
        <v>1.099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0.23809523809523675</v>
      </c>
      <c r="Q26">
        <f t="shared" ref="Q26" si="106">F26*P26</f>
        <v>938466.76190475654</v>
      </c>
      <c r="R26">
        <f t="shared" ref="R26" si="107">R27+Q26</f>
        <v>-516868906.84359175</v>
      </c>
      <c r="S26">
        <f t="shared" ref="S26" si="108">R26/100000</f>
        <v>-5168.6890684359178</v>
      </c>
      <c r="T26">
        <f t="shared" ref="T26" si="109">S26/1000</f>
        <v>-5.1686890684359179</v>
      </c>
    </row>
    <row r="27" spans="1:20" x14ac:dyDescent="0.25">
      <c r="A27" s="5">
        <v>44566</v>
      </c>
      <c r="B27">
        <v>1.1639999999999999</v>
      </c>
      <c r="C27">
        <v>1.2010000000000001</v>
      </c>
      <c r="D27">
        <v>1.05</v>
      </c>
      <c r="E27">
        <v>1.109</v>
      </c>
      <c r="F27">
        <v>4883018.9000000004</v>
      </c>
      <c r="G27">
        <v>1.109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-0.21854304635761679</v>
      </c>
      <c r="Q27">
        <f t="shared" ref="Q27" si="111">F27*P27</f>
        <v>-1067149.8258278191</v>
      </c>
      <c r="R27">
        <f t="shared" ref="R27" si="112">R28+Q27</f>
        <v>-517807373.60549653</v>
      </c>
      <c r="S27">
        <f t="shared" ref="S27" si="113">R27/100000</f>
        <v>-5178.0737360549656</v>
      </c>
      <c r="T27">
        <f t="shared" ref="T27" si="114">S27/1000</f>
        <v>-5.1780737360549658</v>
      </c>
    </row>
    <row r="28" spans="1:20" x14ac:dyDescent="0.25">
      <c r="A28" s="5">
        <v>44565</v>
      </c>
      <c r="B28">
        <v>1.204</v>
      </c>
      <c r="C28">
        <v>1.2110000000000001</v>
      </c>
      <c r="D28">
        <v>1.1619999999999999</v>
      </c>
      <c r="E28">
        <v>1.165</v>
      </c>
      <c r="F28">
        <v>3296715.8</v>
      </c>
      <c r="G28">
        <v>1.165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-0.87755102040815902</v>
      </c>
      <c r="Q28">
        <f t="shared" ref="Q28" si="116">F28*P28</f>
        <v>-2893036.3142857002</v>
      </c>
      <c r="R28">
        <f t="shared" ref="R28" si="117">R29+Q28</f>
        <v>-516740223.77966869</v>
      </c>
      <c r="S28">
        <f t="shared" ref="S28" si="118">R28/100000</f>
        <v>-5167.4022377966867</v>
      </c>
      <c r="T28">
        <f t="shared" ref="T28" si="119">S28/1000</f>
        <v>-5.1674022377966864</v>
      </c>
    </row>
    <row r="29" spans="1:20" x14ac:dyDescent="0.25">
      <c r="A29" s="5">
        <v>44564</v>
      </c>
      <c r="B29">
        <v>1.21</v>
      </c>
      <c r="C29">
        <v>1.2490000000000001</v>
      </c>
      <c r="D29">
        <v>1.17</v>
      </c>
      <c r="E29">
        <v>1.204</v>
      </c>
      <c r="F29">
        <v>2979930</v>
      </c>
      <c r="G29">
        <v>1.204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-0.13924050632911514</v>
      </c>
      <c r="Q29">
        <f t="shared" ref="Q29" si="121">F29*P29</f>
        <v>-414926.9620253201</v>
      </c>
      <c r="R29">
        <f t="shared" ref="R29" si="122">R30+Q29</f>
        <v>-513847187.46538299</v>
      </c>
      <c r="S29">
        <f t="shared" ref="S29" si="123">R29/100000</f>
        <v>-5138.4718746538301</v>
      </c>
      <c r="T29">
        <f t="shared" ref="T29" si="124">S29/1000</f>
        <v>-5.1384718746538303</v>
      </c>
    </row>
    <row r="30" spans="1:20" x14ac:dyDescent="0.25">
      <c r="A30" s="5">
        <v>44563</v>
      </c>
      <c r="B30">
        <v>1.2150000000000001</v>
      </c>
      <c r="C30">
        <v>1.2470000000000001</v>
      </c>
      <c r="D30">
        <v>1.202</v>
      </c>
      <c r="E30">
        <v>1.21</v>
      </c>
      <c r="F30">
        <v>2912873.3</v>
      </c>
      <c r="G30">
        <v>1.21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-0.64444444444444537</v>
      </c>
      <c r="Q30">
        <f t="shared" ref="Q30" si="126">F30*P30</f>
        <v>-1877185.0155555583</v>
      </c>
      <c r="R30">
        <f t="shared" ref="R30" si="127">R31+Q30</f>
        <v>-513432260.50335765</v>
      </c>
      <c r="S30">
        <f t="shared" ref="S30" si="128">R30/100000</f>
        <v>-5134.3226050335761</v>
      </c>
      <c r="T30">
        <f t="shared" ref="T30" si="129">S30/1000</f>
        <v>-5.1343226050335762</v>
      </c>
    </row>
    <row r="31" spans="1:20" x14ac:dyDescent="0.25">
      <c r="A31" s="5">
        <v>44562</v>
      </c>
      <c r="B31">
        <v>1.1850000000000001</v>
      </c>
      <c r="C31">
        <v>1.2210000000000001</v>
      </c>
      <c r="D31">
        <v>1.1830000000000001</v>
      </c>
      <c r="E31">
        <v>1.216</v>
      </c>
      <c r="F31">
        <v>2233491.2999999998</v>
      </c>
      <c r="G31">
        <v>1.216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0.73684210526315208</v>
      </c>
      <c r="Q31">
        <f t="shared" ref="Q31" si="131">F31*P31</f>
        <v>1645730.4315789342</v>
      </c>
      <c r="R31">
        <f t="shared" ref="R31" si="132">R32+Q31</f>
        <v>-511555075.48780209</v>
      </c>
      <c r="S31">
        <f t="shared" ref="S31" si="133">R31/100000</f>
        <v>-5115.5507548780206</v>
      </c>
      <c r="T31">
        <f t="shared" ref="T31" si="134">S31/1000</f>
        <v>-5.1155507548780204</v>
      </c>
    </row>
    <row r="32" spans="1:20" x14ac:dyDescent="0.25">
      <c r="A32" s="5">
        <v>44561</v>
      </c>
      <c r="B32">
        <v>1.19</v>
      </c>
      <c r="C32">
        <v>1.2330000000000001</v>
      </c>
      <c r="D32">
        <v>1.1619999999999999</v>
      </c>
      <c r="E32">
        <v>1.1839999999999999</v>
      </c>
      <c r="F32">
        <v>3431549.9</v>
      </c>
      <c r="G32">
        <v>1.1839999999999999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-0.38028169014084606</v>
      </c>
      <c r="Q32">
        <f t="shared" ref="Q32" si="136">F32*P32</f>
        <v>-1304955.5957746513</v>
      </c>
      <c r="R32">
        <f t="shared" ref="R32" si="137">R33+Q32</f>
        <v>-513200805.91938102</v>
      </c>
      <c r="S32">
        <f t="shared" ref="S32" si="138">R32/100000</f>
        <v>-5132.0080591938104</v>
      </c>
      <c r="T32">
        <f t="shared" ref="T32" si="139">S32/1000</f>
        <v>-5.1320080591938106</v>
      </c>
    </row>
    <row r="33" spans="1:20" x14ac:dyDescent="0.25">
      <c r="A33" s="5">
        <v>44560</v>
      </c>
      <c r="B33">
        <v>1.151</v>
      </c>
      <c r="C33">
        <v>1.196</v>
      </c>
      <c r="D33">
        <v>1.133</v>
      </c>
      <c r="E33">
        <v>1.19</v>
      </c>
      <c r="F33">
        <v>2673096.2999999998</v>
      </c>
      <c r="G33">
        <v>1.19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0.8095238095238092</v>
      </c>
      <c r="Q33">
        <f t="shared" ref="Q33" si="141">F33*P33</f>
        <v>2163935.0999999992</v>
      </c>
      <c r="R33">
        <f t="shared" ref="R33" si="142">R34+Q33</f>
        <v>-511895850.32360637</v>
      </c>
      <c r="S33">
        <f t="shared" ref="S33" si="143">R33/100000</f>
        <v>-5118.9585032360637</v>
      </c>
      <c r="T33">
        <f t="shared" ref="T33" si="144">S33/1000</f>
        <v>-5.1189585032360636</v>
      </c>
    </row>
    <row r="34" spans="1:20" x14ac:dyDescent="0.25">
      <c r="A34" s="5">
        <v>44559</v>
      </c>
      <c r="B34">
        <v>1.1639999999999999</v>
      </c>
      <c r="C34">
        <v>1.232</v>
      </c>
      <c r="D34">
        <v>1.135</v>
      </c>
      <c r="E34">
        <v>1.1499999999999999</v>
      </c>
      <c r="F34">
        <v>3432899.3</v>
      </c>
      <c r="G34">
        <v>1.1499999999999999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-0.69072164948453807</v>
      </c>
      <c r="Q34">
        <f t="shared" ref="Q34" si="146">F34*P34</f>
        <v>-2371177.8670103159</v>
      </c>
      <c r="R34">
        <f t="shared" ref="R34" si="147">R35+Q34</f>
        <v>-514059785.4236064</v>
      </c>
      <c r="S34">
        <f t="shared" ref="S34" si="148">R34/100000</f>
        <v>-5140.5978542360635</v>
      </c>
      <c r="T34">
        <f t="shared" ref="T34" si="149">S34/1000</f>
        <v>-5.1405978542360637</v>
      </c>
    </row>
    <row r="35" spans="1:20" x14ac:dyDescent="0.25">
      <c r="A35" s="5">
        <v>44558</v>
      </c>
      <c r="B35">
        <v>1.264</v>
      </c>
      <c r="C35">
        <v>1.4</v>
      </c>
      <c r="D35">
        <v>1.1619999999999999</v>
      </c>
      <c r="E35">
        <v>1.1639999999999999</v>
      </c>
      <c r="F35">
        <v>4807619.5</v>
      </c>
      <c r="G35">
        <v>1.1639999999999999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-0.98319327731092432</v>
      </c>
      <c r="Q35">
        <f t="shared" ref="Q35" si="151">F35*P35</f>
        <v>-4726819.1722689075</v>
      </c>
      <c r="R35">
        <f t="shared" ref="R35" si="152">R36+Q35</f>
        <v>-511688607.5565961</v>
      </c>
      <c r="S35">
        <f t="shared" ref="S35" si="153">R35/100000</f>
        <v>-5116.8860755659607</v>
      </c>
      <c r="T35">
        <f t="shared" ref="T35" si="154">S35/1000</f>
        <v>-5.1168860755659606</v>
      </c>
    </row>
    <row r="36" spans="1:20" x14ac:dyDescent="0.25">
      <c r="A36" s="5">
        <v>44557</v>
      </c>
      <c r="B36">
        <v>1.2909999999999999</v>
      </c>
      <c r="C36">
        <v>1.319</v>
      </c>
      <c r="D36">
        <v>1.262</v>
      </c>
      <c r="E36">
        <v>1.264</v>
      </c>
      <c r="F36">
        <v>3664104.9</v>
      </c>
      <c r="G36">
        <v>1.264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-0.92982456140350866</v>
      </c>
      <c r="Q36">
        <f t="shared" ref="Q36" si="156">F36*P36</f>
        <v>-3406974.731578947</v>
      </c>
      <c r="R36">
        <f t="shared" ref="R36" si="157">R37+Q36</f>
        <v>-506961788.38432717</v>
      </c>
      <c r="S36">
        <f t="shared" ref="S36" si="158">R36/100000</f>
        <v>-5069.6178838432716</v>
      </c>
      <c r="T36">
        <f t="shared" ref="T36" si="159">S36/1000</f>
        <v>-5.0696178838432715</v>
      </c>
    </row>
    <row r="37" spans="1:20" x14ac:dyDescent="0.25">
      <c r="A37" s="5">
        <v>44556</v>
      </c>
      <c r="B37">
        <v>1.206</v>
      </c>
      <c r="C37">
        <v>1.349</v>
      </c>
      <c r="D37">
        <v>1.1819999999999999</v>
      </c>
      <c r="E37">
        <v>1.2909999999999999</v>
      </c>
      <c r="F37">
        <v>9583983.6999999993</v>
      </c>
      <c r="G37">
        <v>1.2909999999999999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0.30538922155688575</v>
      </c>
      <c r="Q37">
        <f t="shared" ref="Q37" si="161">F37*P37</f>
        <v>2926845.3215568815</v>
      </c>
      <c r="R37">
        <f t="shared" ref="R37" si="162">R38+Q37</f>
        <v>-503554813.65274823</v>
      </c>
      <c r="S37">
        <f t="shared" ref="S37" si="163">R37/100000</f>
        <v>-5035.5481365274827</v>
      </c>
      <c r="T37">
        <f t="shared" ref="T37" si="164">S37/1000</f>
        <v>-5.035548136527483</v>
      </c>
    </row>
    <row r="38" spans="1:20" x14ac:dyDescent="0.25">
      <c r="A38" s="5">
        <v>44555</v>
      </c>
      <c r="B38">
        <v>1.1839999999999999</v>
      </c>
      <c r="C38">
        <v>1.2170000000000001</v>
      </c>
      <c r="D38">
        <v>1.179</v>
      </c>
      <c r="E38">
        <v>1.206</v>
      </c>
      <c r="F38">
        <v>2425861.1</v>
      </c>
      <c r="G38">
        <v>1.206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0.42105263157894152</v>
      </c>
      <c r="Q38">
        <f t="shared" ref="Q38" si="166">F38*P38</f>
        <v>1021415.1999999859</v>
      </c>
      <c r="R38">
        <f t="shared" ref="R38" si="167">R39+Q38</f>
        <v>-506481658.97430509</v>
      </c>
      <c r="S38">
        <f t="shared" ref="S38" si="168">R38/100000</f>
        <v>-5064.8165897430508</v>
      </c>
      <c r="T38">
        <f t="shared" ref="T38" si="169">S38/1000</f>
        <v>-5.0648165897430513</v>
      </c>
    </row>
    <row r="39" spans="1:20" x14ac:dyDescent="0.25">
      <c r="A39" s="5">
        <v>44554</v>
      </c>
      <c r="B39">
        <v>1.2070000000000001</v>
      </c>
      <c r="C39">
        <v>1.226</v>
      </c>
      <c r="D39">
        <v>1.1719999999999999</v>
      </c>
      <c r="E39">
        <v>1.1839999999999999</v>
      </c>
      <c r="F39">
        <v>3877259.8</v>
      </c>
      <c r="G39">
        <v>1.1839999999999999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-0.55555555555555558</v>
      </c>
      <c r="Q39">
        <f t="shared" ref="Q39" si="171">F39*P39</f>
        <v>-2154033.222222222</v>
      </c>
      <c r="R39">
        <f t="shared" ref="R39" si="172">R40+Q39</f>
        <v>-507503074.17430508</v>
      </c>
      <c r="S39">
        <f t="shared" ref="S39" si="173">R39/100000</f>
        <v>-5075.0307417430504</v>
      </c>
      <c r="T39">
        <f t="shared" ref="T39" si="174">S39/1000</f>
        <v>-5.07503074174305</v>
      </c>
    </row>
    <row r="40" spans="1:20" x14ac:dyDescent="0.25">
      <c r="A40" s="5">
        <v>44553</v>
      </c>
      <c r="B40">
        <v>1.155</v>
      </c>
      <c r="C40">
        <v>1.2090000000000001</v>
      </c>
      <c r="D40">
        <v>1.1180000000000001</v>
      </c>
      <c r="E40">
        <v>1.2070000000000001</v>
      </c>
      <c r="F40">
        <v>3811566.7</v>
      </c>
      <c r="G40">
        <v>1.2070000000000001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0.95604395604395598</v>
      </c>
      <c r="Q40">
        <f t="shared" ref="Q40" si="176">F40*P40</f>
        <v>3644025.3065934065</v>
      </c>
      <c r="R40">
        <f t="shared" ref="R40" si="177">R41+Q40</f>
        <v>-505349040.95208287</v>
      </c>
      <c r="S40">
        <f t="shared" ref="S40" si="178">R40/100000</f>
        <v>-5053.4904095208285</v>
      </c>
      <c r="T40">
        <f t="shared" ref="T40" si="179">S40/1000</f>
        <v>-5.0534904095208288</v>
      </c>
    </row>
    <row r="41" spans="1:20" x14ac:dyDescent="0.25">
      <c r="A41" s="5">
        <v>44552</v>
      </c>
      <c r="B41">
        <v>1.103</v>
      </c>
      <c r="C41">
        <v>1.1879999999999999</v>
      </c>
      <c r="D41">
        <v>1.0960000000000001</v>
      </c>
      <c r="E41">
        <v>1.155</v>
      </c>
      <c r="F41">
        <v>4221166.3</v>
      </c>
      <c r="G41">
        <v>1.155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0.28260869565217461</v>
      </c>
      <c r="Q41">
        <f t="shared" ref="Q41" si="181">F41*P41</f>
        <v>1192938.302173916</v>
      </c>
      <c r="R41">
        <f t="shared" ref="R41" si="182">R42+Q41</f>
        <v>-508993066.25867629</v>
      </c>
      <c r="S41">
        <f t="shared" ref="S41" si="183">R41/100000</f>
        <v>-5089.930662586763</v>
      </c>
      <c r="T41">
        <f t="shared" ref="T41" si="184">S41/1000</f>
        <v>-5.0899306625867631</v>
      </c>
    </row>
    <row r="42" spans="1:20" x14ac:dyDescent="0.25">
      <c r="A42" s="5">
        <v>44551</v>
      </c>
      <c r="B42">
        <v>1.0609999999999999</v>
      </c>
      <c r="C42">
        <v>1.1120000000000001</v>
      </c>
      <c r="D42">
        <v>1.0549999999999999</v>
      </c>
      <c r="E42">
        <v>1.103</v>
      </c>
      <c r="F42">
        <v>2328189.5</v>
      </c>
      <c r="G42">
        <v>1.103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0.68421052631578616</v>
      </c>
      <c r="Q42">
        <f t="shared" ref="Q42" si="186">F42*P42</f>
        <v>1592971.7631578869</v>
      </c>
      <c r="R42">
        <f t="shared" ref="R42" si="187">R43+Q42</f>
        <v>-510186004.5608502</v>
      </c>
      <c r="S42">
        <f t="shared" ref="S42" si="188">R42/100000</f>
        <v>-5101.8600456085023</v>
      </c>
      <c r="T42">
        <f t="shared" ref="T42" si="189">S42/1000</f>
        <v>-5.1018600456085021</v>
      </c>
    </row>
    <row r="43" spans="1:20" x14ac:dyDescent="0.25">
      <c r="A43" s="5">
        <v>44550</v>
      </c>
      <c r="B43">
        <v>1.0840000000000001</v>
      </c>
      <c r="C43">
        <v>1.0880000000000001</v>
      </c>
      <c r="D43">
        <v>1.0149999999999999</v>
      </c>
      <c r="E43">
        <v>1.06</v>
      </c>
      <c r="F43">
        <v>2927105.7</v>
      </c>
      <c r="G43">
        <v>1.06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0.23287671232876828</v>
      </c>
      <c r="Q43">
        <f t="shared" ref="Q43" si="191">F43*P43</f>
        <v>681654.75205479795</v>
      </c>
      <c r="R43">
        <f t="shared" ref="R43" si="192">R44+Q43</f>
        <v>-511778976.32400811</v>
      </c>
      <c r="S43">
        <f t="shared" ref="S43" si="193">R43/100000</f>
        <v>-5117.7897632400809</v>
      </c>
      <c r="T43">
        <f t="shared" ref="T43" si="194">S43/1000</f>
        <v>-5.1177897632400811</v>
      </c>
    </row>
    <row r="44" spans="1:20" x14ac:dyDescent="0.25">
      <c r="A44" s="5">
        <v>44549</v>
      </c>
      <c r="B44">
        <v>1.0960000000000001</v>
      </c>
      <c r="C44">
        <v>1.111</v>
      </c>
      <c r="D44">
        <v>1.073</v>
      </c>
      <c r="E44">
        <v>1.085</v>
      </c>
      <c r="F44">
        <v>2179922.2000000002</v>
      </c>
      <c r="G44">
        <v>1.085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-0.36842105263157893</v>
      </c>
      <c r="Q44">
        <f t="shared" ref="Q44" si="196">F44*P44</f>
        <v>-803129.23157894739</v>
      </c>
      <c r="R44">
        <f t="shared" ref="R44" si="197">R45+Q44</f>
        <v>-512460631.07606292</v>
      </c>
      <c r="S44">
        <f t="shared" ref="S44" si="198">R44/100000</f>
        <v>-5124.6063107606287</v>
      </c>
      <c r="T44">
        <f t="shared" ref="T44" si="199">S44/1000</f>
        <v>-5.1246063107606288</v>
      </c>
    </row>
    <row r="45" spans="1:20" x14ac:dyDescent="0.25">
      <c r="A45" s="5">
        <v>44548</v>
      </c>
      <c r="B45">
        <v>1.0780000000000001</v>
      </c>
      <c r="C45">
        <v>1.1200000000000001</v>
      </c>
      <c r="D45">
        <v>1.054</v>
      </c>
      <c r="E45">
        <v>1.095</v>
      </c>
      <c r="F45">
        <v>3174671.3</v>
      </c>
      <c r="G45">
        <v>1.095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0.24242424242423907</v>
      </c>
      <c r="Q45">
        <f t="shared" ref="Q45" si="201">F45*P45</f>
        <v>769617.2848484742</v>
      </c>
      <c r="R45">
        <f t="shared" ref="R45" si="202">R46+Q45</f>
        <v>-511657501.84448397</v>
      </c>
      <c r="S45">
        <f t="shared" ref="S45" si="203">R45/100000</f>
        <v>-5116.5750184448398</v>
      </c>
      <c r="T45">
        <f t="shared" ref="T45" si="204">S45/1000</f>
        <v>-5.1165750184448395</v>
      </c>
    </row>
    <row r="46" spans="1:20" x14ac:dyDescent="0.25">
      <c r="A46" s="5">
        <v>44547</v>
      </c>
      <c r="B46">
        <v>1.099</v>
      </c>
      <c r="C46">
        <v>1.18</v>
      </c>
      <c r="D46">
        <v>1.04</v>
      </c>
      <c r="E46">
        <v>1.0780000000000001</v>
      </c>
      <c r="F46">
        <v>4859003.5999999996</v>
      </c>
      <c r="G46">
        <v>1.0780000000000001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-0.4571428571428563</v>
      </c>
      <c r="Q46">
        <f t="shared" ref="Q46" si="206">F46*P46</f>
        <v>-2221258.7885714243</v>
      </c>
      <c r="R46">
        <f t="shared" ref="R46" si="207">R47+Q46</f>
        <v>-512427119.12933242</v>
      </c>
      <c r="S46">
        <f t="shared" ref="S46" si="208">R46/100000</f>
        <v>-5124.2711912933246</v>
      </c>
      <c r="T46">
        <f t="shared" ref="T46" si="209">S46/1000</f>
        <v>-5.1242711912933245</v>
      </c>
    </row>
    <row r="47" spans="1:20" x14ac:dyDescent="0.25">
      <c r="A47" s="5">
        <v>44546</v>
      </c>
      <c r="B47">
        <v>1.127</v>
      </c>
      <c r="C47">
        <v>1.151</v>
      </c>
      <c r="D47">
        <v>1.097</v>
      </c>
      <c r="E47">
        <v>1.097</v>
      </c>
      <c r="F47">
        <v>3046223.9</v>
      </c>
      <c r="G47">
        <v>1.097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-1</v>
      </c>
      <c r="Q47">
        <f t="shared" ref="Q47" si="211">F47*P47</f>
        <v>-3046223.9</v>
      </c>
      <c r="R47">
        <f t="shared" ref="R47" si="212">R48+Q47</f>
        <v>-510205860.34076101</v>
      </c>
      <c r="S47">
        <f t="shared" ref="S47" si="213">R47/100000</f>
        <v>-5102.0586034076105</v>
      </c>
      <c r="T47">
        <f t="shared" ref="T47" si="214">S47/1000</f>
        <v>-5.1020586034076105</v>
      </c>
    </row>
    <row r="48" spans="1:20" x14ac:dyDescent="0.25">
      <c r="A48" s="5">
        <v>44545</v>
      </c>
      <c r="B48">
        <v>1.0920000000000001</v>
      </c>
      <c r="C48">
        <v>1.18</v>
      </c>
      <c r="D48">
        <v>1.0349999999999999</v>
      </c>
      <c r="E48">
        <v>1.127</v>
      </c>
      <c r="F48">
        <v>5118658.0999999996</v>
      </c>
      <c r="G48">
        <v>1.127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0.26896551724138029</v>
      </c>
      <c r="Q48">
        <f t="shared" ref="Q48" si="216">F48*P48</f>
        <v>1376742.5234482808</v>
      </c>
      <c r="R48">
        <f t="shared" ref="R48" si="217">R49+Q48</f>
        <v>-507159636.44076103</v>
      </c>
      <c r="S48">
        <f t="shared" ref="S48" si="218">R48/100000</f>
        <v>-5071.5963644076101</v>
      </c>
      <c r="T48">
        <f t="shared" ref="T48" si="219">S48/1000</f>
        <v>-5.0715963644076103</v>
      </c>
    </row>
    <row r="49" spans="1:20" x14ac:dyDescent="0.25">
      <c r="A49" s="5">
        <v>44544</v>
      </c>
      <c r="B49">
        <v>1.069</v>
      </c>
      <c r="C49">
        <v>1.1080000000000001</v>
      </c>
      <c r="D49">
        <v>1.0509999999999999</v>
      </c>
      <c r="E49">
        <v>1.0920000000000001</v>
      </c>
      <c r="F49">
        <v>3786243.9</v>
      </c>
      <c r="G49">
        <v>1.0920000000000001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0.43859649122807126</v>
      </c>
      <c r="Q49">
        <f t="shared" ref="Q49" si="221">F49*P49</f>
        <v>1660633.2894736882</v>
      </c>
      <c r="R49">
        <f t="shared" ref="R49" si="222">R50+Q49</f>
        <v>-508536378.96420932</v>
      </c>
      <c r="S49">
        <f t="shared" ref="S49" si="223">R49/100000</f>
        <v>-5085.3637896420933</v>
      </c>
      <c r="T49">
        <f t="shared" ref="T49" si="224">S49/1000</f>
        <v>-5.0853637896420931</v>
      </c>
    </row>
    <row r="50" spans="1:20" x14ac:dyDescent="0.25">
      <c r="A50" s="5">
        <v>44543</v>
      </c>
      <c r="B50">
        <v>1.167</v>
      </c>
      <c r="C50">
        <v>1.1739999999999999</v>
      </c>
      <c r="D50">
        <v>1.0549999999999999</v>
      </c>
      <c r="E50">
        <v>1.0680000000000001</v>
      </c>
      <c r="F50">
        <v>5352503.7</v>
      </c>
      <c r="G50">
        <v>1.0680000000000001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-0.7815126050420147</v>
      </c>
      <c r="Q50">
        <f t="shared" ref="Q50" si="226">F50*P50</f>
        <v>-4183049.1100840224</v>
      </c>
      <c r="R50">
        <f t="shared" ref="R50" si="227">R51+Q50</f>
        <v>-510197012.25368303</v>
      </c>
      <c r="S50">
        <f t="shared" ref="S50" si="228">R50/100000</f>
        <v>-5101.9701225368299</v>
      </c>
      <c r="T50">
        <f t="shared" ref="T50" si="229">S50/1000</f>
        <v>-5.1019701225368301</v>
      </c>
    </row>
    <row r="51" spans="1:20" x14ac:dyDescent="0.25">
      <c r="A51" s="5">
        <v>44542</v>
      </c>
      <c r="B51">
        <v>1.1459999999999999</v>
      </c>
      <c r="C51">
        <v>1.179</v>
      </c>
      <c r="D51">
        <v>1.1279999999999999</v>
      </c>
      <c r="E51">
        <v>1.167</v>
      </c>
      <c r="F51">
        <v>3230913.2</v>
      </c>
      <c r="G51">
        <v>1.167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0.52941176470588336</v>
      </c>
      <c r="Q51">
        <f t="shared" ref="Q51" si="231">F51*P51</f>
        <v>1710483.4588235328</v>
      </c>
      <c r="R51">
        <f t="shared" ref="R51" si="232">R52+Q51</f>
        <v>-506013963.14359903</v>
      </c>
      <c r="S51">
        <f t="shared" ref="S51" si="233">R51/100000</f>
        <v>-5060.1396314359899</v>
      </c>
      <c r="T51">
        <f t="shared" ref="T51" si="234">S51/1000</f>
        <v>-5.0601396314359901</v>
      </c>
    </row>
    <row r="52" spans="1:20" x14ac:dyDescent="0.25">
      <c r="A52" s="5">
        <v>44541</v>
      </c>
      <c r="B52">
        <v>1.1020000000000001</v>
      </c>
      <c r="C52">
        <v>1.1279999999999999</v>
      </c>
      <c r="D52">
        <v>1.0880000000000001</v>
      </c>
      <c r="E52">
        <v>1.123</v>
      </c>
      <c r="F52">
        <v>255262.1</v>
      </c>
      <c r="G52">
        <v>1.123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0.75000000000000422</v>
      </c>
      <c r="Q52">
        <f t="shared" ref="Q52" si="236">F52*P52</f>
        <v>191446.57500000109</v>
      </c>
      <c r="R52">
        <f t="shared" ref="R52" si="237">R53+Q52</f>
        <v>-507724446.6024226</v>
      </c>
      <c r="S52">
        <f t="shared" ref="S52" si="238">R52/100000</f>
        <v>-5077.2444660242263</v>
      </c>
      <c r="T52">
        <f t="shared" ref="T52" si="239">S52/1000</f>
        <v>-5.0772444660242266</v>
      </c>
    </row>
    <row r="53" spans="1:20" x14ac:dyDescent="0.25">
      <c r="A53" s="5">
        <v>44540</v>
      </c>
      <c r="B53">
        <v>1.1220000000000001</v>
      </c>
      <c r="C53">
        <v>1.173</v>
      </c>
      <c r="D53">
        <v>1.095</v>
      </c>
      <c r="E53">
        <v>1.103</v>
      </c>
      <c r="F53">
        <v>5254150.2</v>
      </c>
      <c r="G53">
        <v>1.103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-0.79487179487179482</v>
      </c>
      <c r="Q53">
        <f t="shared" ref="Q53" si="241">F53*P53</f>
        <v>-4176375.8</v>
      </c>
      <c r="R53">
        <f t="shared" ref="R53" si="242">R54+Q53</f>
        <v>-507915893.17742258</v>
      </c>
      <c r="S53">
        <f t="shared" ref="S53" si="243">R53/100000</f>
        <v>-5079.1589317742255</v>
      </c>
      <c r="T53">
        <f t="shared" ref="T53" si="244">S53/1000</f>
        <v>-5.0791589317742254</v>
      </c>
    </row>
    <row r="54" spans="1:20" x14ac:dyDescent="0.25">
      <c r="A54" s="5">
        <v>44539</v>
      </c>
      <c r="B54">
        <v>1.2450000000000001</v>
      </c>
      <c r="C54">
        <v>1.2490000000000001</v>
      </c>
      <c r="D54">
        <v>1.1200000000000001</v>
      </c>
      <c r="E54">
        <v>1.1220000000000001</v>
      </c>
      <c r="F54">
        <v>6598936.0999999996</v>
      </c>
      <c r="G54">
        <v>1.1220000000000001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-0.96899224806201545</v>
      </c>
      <c r="Q54">
        <f t="shared" ref="Q54" si="246">F54*P54</f>
        <v>-6394317.9263565885</v>
      </c>
      <c r="R54">
        <f t="shared" ref="R54" si="247">R55+Q54</f>
        <v>-503739517.37742257</v>
      </c>
      <c r="S54">
        <f t="shared" ref="S54" si="248">R54/100000</f>
        <v>-5037.3951737742254</v>
      </c>
      <c r="T54">
        <f t="shared" ref="T54" si="249">S54/1000</f>
        <v>-5.0373951737742253</v>
      </c>
    </row>
    <row r="55" spans="1:20" x14ac:dyDescent="0.25">
      <c r="A55" s="5">
        <v>44538</v>
      </c>
      <c r="B55">
        <v>1.22</v>
      </c>
      <c r="C55">
        <v>1.246</v>
      </c>
      <c r="D55">
        <v>1.151</v>
      </c>
      <c r="E55">
        <v>1.246</v>
      </c>
      <c r="F55">
        <v>6889249.5</v>
      </c>
      <c r="G55">
        <v>1.246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1</v>
      </c>
      <c r="Q55">
        <f t="shared" ref="Q55" si="251">F55*P55</f>
        <v>6889249.5</v>
      </c>
      <c r="R55">
        <f t="shared" ref="R55" si="252">R56+Q55</f>
        <v>-497345199.45106596</v>
      </c>
      <c r="S55">
        <f t="shared" ref="S55" si="253">R55/100000</f>
        <v>-4973.4519945106595</v>
      </c>
      <c r="T55">
        <f t="shared" ref="T55" si="254">S55/1000</f>
        <v>-4.9734519945106594</v>
      </c>
    </row>
    <row r="56" spans="1:20" x14ac:dyDescent="0.25">
      <c r="A56" s="5">
        <v>44537</v>
      </c>
      <c r="B56">
        <v>1.236</v>
      </c>
      <c r="C56">
        <v>1.35</v>
      </c>
      <c r="D56">
        <v>1.2</v>
      </c>
      <c r="E56">
        <v>1.2210000000000001</v>
      </c>
      <c r="F56">
        <v>15607722</v>
      </c>
      <c r="G56">
        <v>1.2210000000000001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-0.71999999999999853</v>
      </c>
      <c r="Q56">
        <f t="shared" ref="Q56" si="256">F56*P56</f>
        <v>-11237559.839999977</v>
      </c>
      <c r="R56">
        <f t="shared" ref="R56" si="257">R57+Q56</f>
        <v>-504234448.95106596</v>
      </c>
      <c r="S56">
        <f t="shared" ref="S56" si="258">R56/100000</f>
        <v>-5042.3444895106595</v>
      </c>
      <c r="T56">
        <f t="shared" ref="T56" si="259">S56/1000</f>
        <v>-5.0423444895106595</v>
      </c>
    </row>
    <row r="57" spans="1:20" x14ac:dyDescent="0.25">
      <c r="A57" s="5">
        <v>44536</v>
      </c>
      <c r="B57">
        <v>1.1659999999999999</v>
      </c>
      <c r="C57">
        <v>1.248</v>
      </c>
      <c r="D57">
        <v>1.0820000000000001</v>
      </c>
      <c r="E57">
        <v>1.236</v>
      </c>
      <c r="F57">
        <v>12616184.800000001</v>
      </c>
      <c r="G57">
        <v>1.236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0.85542168674698771</v>
      </c>
      <c r="Q57">
        <f t="shared" ref="Q57" si="261">F57*P57</f>
        <v>10792158.081927709</v>
      </c>
      <c r="R57">
        <f t="shared" ref="R57" si="262">R58+Q57</f>
        <v>-492996889.11106598</v>
      </c>
      <c r="S57">
        <f t="shared" ref="S57" si="263">R57/100000</f>
        <v>-4929.9688911106596</v>
      </c>
      <c r="T57">
        <f t="shared" ref="T57" si="264">S57/1000</f>
        <v>-4.9299688911106596</v>
      </c>
    </row>
    <row r="58" spans="1:20" x14ac:dyDescent="0.25">
      <c r="A58" s="5">
        <v>44535</v>
      </c>
      <c r="B58">
        <v>1.2390000000000001</v>
      </c>
      <c r="C58">
        <v>1.262</v>
      </c>
      <c r="D58">
        <v>1.109</v>
      </c>
      <c r="E58">
        <v>1.167</v>
      </c>
      <c r="F58">
        <v>9704566.0999999996</v>
      </c>
      <c r="G58">
        <v>1.167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-0.24183006535947657</v>
      </c>
      <c r="Q58">
        <f t="shared" ref="Q58" si="266">F58*P58</f>
        <v>-2346855.8542483607</v>
      </c>
      <c r="R58">
        <f t="shared" ref="R58" si="267">R59+Q58</f>
        <v>-503789047.1929937</v>
      </c>
      <c r="S58">
        <f t="shared" ref="S58" si="268">R58/100000</f>
        <v>-5037.8904719299371</v>
      </c>
      <c r="T58">
        <f t="shared" ref="T58" si="269">S58/1000</f>
        <v>-5.0378904719299369</v>
      </c>
    </row>
    <row r="59" spans="1:20" x14ac:dyDescent="0.25">
      <c r="A59" s="5">
        <v>44534</v>
      </c>
      <c r="B59">
        <v>1.3759999999999999</v>
      </c>
      <c r="C59">
        <v>1.381</v>
      </c>
      <c r="D59">
        <v>1.0149999999999999</v>
      </c>
      <c r="E59">
        <v>1.2390000000000001</v>
      </c>
      <c r="F59">
        <v>21850262.100000001</v>
      </c>
      <c r="G59">
        <v>1.2390000000000001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0.22404371584699528</v>
      </c>
      <c r="Q59">
        <f t="shared" ref="Q59" si="271">F59*P59</f>
        <v>4895413.9131147712</v>
      </c>
      <c r="R59">
        <f t="shared" ref="R59" si="272">R60+Q59</f>
        <v>-501442191.33874536</v>
      </c>
      <c r="S59">
        <f t="shared" ref="S59" si="273">R59/100000</f>
        <v>-5014.421913387454</v>
      </c>
      <c r="T59">
        <f t="shared" ref="T59" si="274">S59/1000</f>
        <v>-5.0144219133874541</v>
      </c>
    </row>
    <row r="60" spans="1:20" x14ac:dyDescent="0.25">
      <c r="A60" s="5">
        <v>44533</v>
      </c>
      <c r="B60">
        <v>1.4430000000000001</v>
      </c>
      <c r="C60">
        <v>1.581</v>
      </c>
      <c r="D60">
        <v>1.3129999999999999</v>
      </c>
      <c r="E60">
        <v>1.379</v>
      </c>
      <c r="F60">
        <v>45736918</v>
      </c>
      <c r="G60">
        <v>1.379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-0.50746268656716376</v>
      </c>
      <c r="Q60">
        <f t="shared" ref="Q60" si="276">F60*P60</f>
        <v>-23209779.283582069</v>
      </c>
      <c r="R60">
        <f t="shared" ref="R60" si="277">R61+Q60</f>
        <v>-506337605.25186014</v>
      </c>
      <c r="S60">
        <f t="shared" ref="S60" si="278">R60/100000</f>
        <v>-5063.3760525186017</v>
      </c>
      <c r="T60">
        <f t="shared" ref="T60" si="279">S60/1000</f>
        <v>-5.0633760525186018</v>
      </c>
    </row>
    <row r="61" spans="1:20" x14ac:dyDescent="0.25">
      <c r="A61" s="5">
        <v>44532</v>
      </c>
      <c r="B61">
        <v>1.262</v>
      </c>
      <c r="C61">
        <v>1.87</v>
      </c>
      <c r="D61">
        <v>1.19</v>
      </c>
      <c r="E61">
        <v>1.444</v>
      </c>
      <c r="F61">
        <v>130589185</v>
      </c>
      <c r="G61">
        <v>1.444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-0.25294117647058839</v>
      </c>
      <c r="Q61">
        <f t="shared" ref="Q61" si="281">F61*P61</f>
        <v>-33031382.088235315</v>
      </c>
      <c r="R61">
        <f t="shared" ref="R61" si="282">R62+Q61</f>
        <v>-483127825.96827805</v>
      </c>
      <c r="S61">
        <f t="shared" ref="S61" si="283">R61/100000</f>
        <v>-4831.2782596827801</v>
      </c>
      <c r="T61">
        <f t="shared" ref="T61" si="284">S61/1000</f>
        <v>-4.8312782596827804</v>
      </c>
    </row>
    <row r="62" spans="1:20" x14ac:dyDescent="0.25">
      <c r="A62" s="5">
        <v>44531</v>
      </c>
      <c r="B62">
        <v>1.2150000000000001</v>
      </c>
      <c r="C62">
        <v>1.294</v>
      </c>
      <c r="D62">
        <v>1.1970000000000001</v>
      </c>
      <c r="E62">
        <v>1.2629999999999999</v>
      </c>
      <c r="F62">
        <v>8432547.5999999996</v>
      </c>
      <c r="G62">
        <v>1.2629999999999999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0.36082474226803823</v>
      </c>
      <c r="Q62">
        <f t="shared" ref="Q62" si="286">F62*P62</f>
        <v>3042671.8144329642</v>
      </c>
      <c r="R62">
        <f t="shared" ref="R62" si="287">R63+Q62</f>
        <v>-450096443.88004273</v>
      </c>
      <c r="S62">
        <f t="shared" ref="S62" si="288">R62/100000</f>
        <v>-4500.9644388004272</v>
      </c>
      <c r="T62">
        <f t="shared" ref="T62" si="289">S62/1000</f>
        <v>-4.5009644388004268</v>
      </c>
    </row>
    <row r="63" spans="1:20" x14ac:dyDescent="0.25">
      <c r="A63" s="5">
        <v>44530</v>
      </c>
      <c r="B63">
        <v>1.2270000000000001</v>
      </c>
      <c r="C63">
        <v>1.2589999999999999</v>
      </c>
      <c r="D63">
        <v>1.1779999999999999</v>
      </c>
      <c r="E63">
        <v>1.2130000000000001</v>
      </c>
      <c r="F63">
        <v>7912157</v>
      </c>
      <c r="G63">
        <v>1.2130000000000001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-0.13580246913579855</v>
      </c>
      <c r="Q63">
        <f t="shared" ref="Q63" si="291">F63*P63</f>
        <v>-1074490.4567900924</v>
      </c>
      <c r="R63">
        <f t="shared" ref="R63" si="292">R64+Q63</f>
        <v>-453139115.69447571</v>
      </c>
      <c r="S63">
        <f t="shared" ref="S63" si="293">R63/100000</f>
        <v>-4531.3911569447573</v>
      </c>
      <c r="T63">
        <f t="shared" ref="T63" si="294">S63/1000</f>
        <v>-4.5313911569447569</v>
      </c>
    </row>
    <row r="64" spans="1:20" x14ac:dyDescent="0.25">
      <c r="A64" s="5">
        <v>44529</v>
      </c>
      <c r="B64">
        <v>1.179</v>
      </c>
      <c r="C64">
        <v>1.2490000000000001</v>
      </c>
      <c r="D64">
        <v>1.1659999999999999</v>
      </c>
      <c r="E64">
        <v>1.2270000000000001</v>
      </c>
      <c r="F64">
        <v>8517601.0999999996</v>
      </c>
      <c r="G64">
        <v>1.2270000000000001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0.46987951807228989</v>
      </c>
      <c r="Q64">
        <f t="shared" ref="Q64" si="296">F64*P64</f>
        <v>4002246.3000000059</v>
      </c>
      <c r="R64">
        <f t="shared" ref="R64" si="297">R65+Q64</f>
        <v>-452064625.23768562</v>
      </c>
      <c r="S64">
        <f t="shared" ref="S64" si="298">R64/100000</f>
        <v>-4520.646252376856</v>
      </c>
      <c r="T64">
        <f t="shared" ref="T64" si="299">S64/1000</f>
        <v>-4.5206462523768556</v>
      </c>
    </row>
    <row r="65" spans="1:20" x14ac:dyDescent="0.25">
      <c r="A65" s="5">
        <v>44528</v>
      </c>
      <c r="B65">
        <v>1.1779999999999999</v>
      </c>
      <c r="C65">
        <v>1.1859999999999999</v>
      </c>
      <c r="D65">
        <v>1.08</v>
      </c>
      <c r="E65">
        <v>1.1779999999999999</v>
      </c>
      <c r="F65">
        <v>8535483.1999999993</v>
      </c>
      <c r="G65">
        <v>1.1779999999999999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0.84905660377358461</v>
      </c>
      <c r="Q65">
        <f t="shared" ref="Q65" si="301">F65*P65</f>
        <v>7247108.3773584878</v>
      </c>
      <c r="R65">
        <f t="shared" ref="R65" si="302">R66+Q65</f>
        <v>-456066871.53768563</v>
      </c>
      <c r="S65">
        <f t="shared" ref="S65" si="303">R65/100000</f>
        <v>-4560.6687153768562</v>
      </c>
      <c r="T65">
        <f t="shared" ref="T65" si="304">S65/1000</f>
        <v>-4.5606687153768561</v>
      </c>
    </row>
    <row r="66" spans="1:20" x14ac:dyDescent="0.25">
      <c r="A66" s="5">
        <v>44527</v>
      </c>
      <c r="B66">
        <v>1.1399999999999999</v>
      </c>
      <c r="C66">
        <v>1.216</v>
      </c>
      <c r="D66">
        <v>1.1359999999999999</v>
      </c>
      <c r="E66">
        <v>1.1779999999999999</v>
      </c>
      <c r="F66">
        <v>6855054.0999999996</v>
      </c>
      <c r="G66">
        <v>1.1779999999999999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0.05</v>
      </c>
      <c r="Q66">
        <f t="shared" ref="Q66" si="306">F66*P66</f>
        <v>342752.70500000002</v>
      </c>
      <c r="R66">
        <f t="shared" ref="R66" si="307">R67+Q66</f>
        <v>-463313979.91504413</v>
      </c>
      <c r="S66">
        <f t="shared" ref="S66" si="308">R66/100000</f>
        <v>-4633.1397991504409</v>
      </c>
      <c r="T66">
        <f t="shared" ref="T66" si="309">S66/1000</f>
        <v>-4.6331397991504408</v>
      </c>
    </row>
    <row r="67" spans="1:20" x14ac:dyDescent="0.25">
      <c r="A67" s="5">
        <v>44526</v>
      </c>
      <c r="B67">
        <v>1.24</v>
      </c>
      <c r="C67">
        <v>1.3169999999999999</v>
      </c>
      <c r="D67">
        <v>1.1299999999999999</v>
      </c>
      <c r="E67">
        <v>1.141</v>
      </c>
      <c r="F67">
        <v>15890103.6</v>
      </c>
      <c r="G67">
        <v>1.141</v>
      </c>
      <c r="L67" t="s">
        <v>8</v>
      </c>
      <c r="M67" t="s">
        <v>7</v>
      </c>
      <c r="N67" t="s">
        <v>7</v>
      </c>
      <c r="P67">
        <f t="shared" ref="P67" si="310">IF(C67=D67,0,((E67-D67)-(C67-E67))/(C67-D67))</f>
        <v>-0.88235294117646934</v>
      </c>
      <c r="Q67">
        <f t="shared" ref="Q67" si="311">F67*P67</f>
        <v>-14020679.647058804</v>
      </c>
      <c r="R67">
        <f t="shared" ref="R67" si="312">R68+Q67</f>
        <v>-463656732.62004411</v>
      </c>
      <c r="S67">
        <f t="shared" ref="S67" si="313">R67/100000</f>
        <v>-4636.5673262004411</v>
      </c>
      <c r="T67">
        <f t="shared" ref="T67" si="314">S67/1000</f>
        <v>-4.6365673262004412</v>
      </c>
    </row>
    <row r="68" spans="1:20" x14ac:dyDescent="0.25">
      <c r="A68" s="5">
        <v>44525</v>
      </c>
      <c r="B68">
        <v>1.171</v>
      </c>
      <c r="C68">
        <v>1.2589999999999999</v>
      </c>
      <c r="D68">
        <v>1.169</v>
      </c>
      <c r="E68">
        <v>1.24</v>
      </c>
      <c r="F68">
        <v>9830601.6999999993</v>
      </c>
      <c r="G68">
        <v>1.24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0.57777777777777917</v>
      </c>
      <c r="Q68">
        <f t="shared" ref="Q68" si="316">F68*P68</f>
        <v>5679903.2044444578</v>
      </c>
      <c r="R68">
        <f t="shared" ref="R68" si="317">R69+Q68</f>
        <v>-449636052.97298533</v>
      </c>
      <c r="S68">
        <f t="shared" ref="S68" si="318">R68/100000</f>
        <v>-4496.3605297298536</v>
      </c>
      <c r="T68">
        <f t="shared" ref="T68" si="319">S68/1000</f>
        <v>-4.4963605297298539</v>
      </c>
    </row>
    <row r="69" spans="1:20" x14ac:dyDescent="0.25">
      <c r="A69" s="5">
        <v>44524</v>
      </c>
      <c r="B69">
        <v>1.196</v>
      </c>
      <c r="C69">
        <v>1.21</v>
      </c>
      <c r="D69">
        <v>1.141</v>
      </c>
      <c r="E69">
        <v>1.198</v>
      </c>
      <c r="F69">
        <v>8858254.5999999996</v>
      </c>
      <c r="G69">
        <v>1.198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0.65217391304347772</v>
      </c>
      <c r="Q69">
        <f t="shared" ref="Q69" si="321">F69*P69</f>
        <v>5777122.565217386</v>
      </c>
      <c r="R69">
        <f t="shared" ref="R69" si="322">R70+Q69</f>
        <v>-455315956.1774298</v>
      </c>
      <c r="S69">
        <f t="shared" ref="S69" si="323">R69/100000</f>
        <v>-4553.1595617742978</v>
      </c>
      <c r="T69">
        <f t="shared" ref="T69" si="324">S69/1000</f>
        <v>-4.5531595617742981</v>
      </c>
    </row>
    <row r="70" spans="1:20" x14ac:dyDescent="0.25">
      <c r="A70" s="5">
        <v>44523</v>
      </c>
      <c r="B70">
        <v>1.24</v>
      </c>
      <c r="C70">
        <v>1.274</v>
      </c>
      <c r="D70">
        <v>1.18</v>
      </c>
      <c r="E70">
        <v>1.196</v>
      </c>
      <c r="F70">
        <v>13034749.800000001</v>
      </c>
      <c r="G70">
        <v>1.196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-0.65957446808510634</v>
      </c>
      <c r="Q70">
        <f t="shared" ref="Q70" si="326">F70*P70</f>
        <v>-8597388.1659574471</v>
      </c>
      <c r="R70">
        <f t="shared" ref="R70" si="327">R71+Q70</f>
        <v>-461093078.74264717</v>
      </c>
      <c r="S70">
        <f t="shared" ref="S70" si="328">R70/100000</f>
        <v>-4610.9307874264714</v>
      </c>
      <c r="T70">
        <f t="shared" ref="T70" si="329">S70/1000</f>
        <v>-4.6109307874264713</v>
      </c>
    </row>
    <row r="71" spans="1:20" x14ac:dyDescent="0.25">
      <c r="A71" s="5">
        <v>44522</v>
      </c>
      <c r="B71">
        <v>1.2989999999999999</v>
      </c>
      <c r="C71">
        <v>1.304</v>
      </c>
      <c r="D71">
        <v>1.2210000000000001</v>
      </c>
      <c r="E71">
        <v>1.2390000000000001</v>
      </c>
      <c r="F71">
        <v>5748902.5</v>
      </c>
      <c r="G71">
        <v>1.2390000000000001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-0.56626506024096324</v>
      </c>
      <c r="Q71">
        <f t="shared" ref="Q71" si="331">F71*P71</f>
        <v>-3255402.6204819242</v>
      </c>
      <c r="R71">
        <f t="shared" ref="R71" si="332">R72+Q71</f>
        <v>-452495690.57668972</v>
      </c>
      <c r="S71">
        <f t="shared" ref="S71" si="333">R71/100000</f>
        <v>-4524.9569057668969</v>
      </c>
      <c r="T71">
        <f t="shared" ref="T71" si="334">S71/1000</f>
        <v>-4.5249569057668966</v>
      </c>
    </row>
    <row r="72" spans="1:20" x14ac:dyDescent="0.25">
      <c r="A72" s="5">
        <v>44521</v>
      </c>
      <c r="B72">
        <v>1.337</v>
      </c>
      <c r="C72">
        <v>1.343</v>
      </c>
      <c r="D72">
        <v>1.2849999999999999</v>
      </c>
      <c r="E72">
        <v>1.2989999999999999</v>
      </c>
      <c r="F72">
        <v>5295217.4000000004</v>
      </c>
      <c r="G72">
        <v>1.2989999999999999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-0.51724137931034486</v>
      </c>
      <c r="Q72">
        <f t="shared" ref="Q72" si="336">F72*P72</f>
        <v>-2738905.5517241382</v>
      </c>
      <c r="R72">
        <f t="shared" ref="R72" si="337">R73+Q72</f>
        <v>-449240287.95620781</v>
      </c>
      <c r="S72">
        <f t="shared" ref="S72" si="338">R72/100000</f>
        <v>-4492.4028795620779</v>
      </c>
      <c r="T72">
        <f t="shared" ref="T72" si="339">S72/1000</f>
        <v>-4.4924028795620776</v>
      </c>
    </row>
    <row r="73" spans="1:20" x14ac:dyDescent="0.25">
      <c r="A73" s="5">
        <v>44520</v>
      </c>
      <c r="B73">
        <v>1.294</v>
      </c>
      <c r="C73">
        <v>1.3620000000000001</v>
      </c>
      <c r="D73">
        <v>1.274</v>
      </c>
      <c r="E73">
        <v>1.335</v>
      </c>
      <c r="F73">
        <v>6488950.2000000002</v>
      </c>
      <c r="G73">
        <v>1.335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0.38636363636363386</v>
      </c>
      <c r="Q73">
        <f t="shared" ref="Q73" si="341">F73*P73</f>
        <v>2507094.3954545292</v>
      </c>
      <c r="R73">
        <f t="shared" ref="R73" si="342">R74+Q73</f>
        <v>-446501382.40448368</v>
      </c>
      <c r="S73">
        <f t="shared" ref="S73" si="343">R73/100000</f>
        <v>-4465.0138240448368</v>
      </c>
      <c r="T73">
        <f t="shared" ref="T73" si="344">S73/1000</f>
        <v>-4.4650138240448367</v>
      </c>
    </row>
    <row r="74" spans="1:20" x14ac:dyDescent="0.25">
      <c r="A74" s="5">
        <v>44519</v>
      </c>
      <c r="B74">
        <v>1.2010000000000001</v>
      </c>
      <c r="C74">
        <v>1.3520000000000001</v>
      </c>
      <c r="D74">
        <v>1.1719999999999999</v>
      </c>
      <c r="E74">
        <v>1.294</v>
      </c>
      <c r="F74">
        <v>6776180.9000000004</v>
      </c>
      <c r="G74">
        <v>1.294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0.35555555555555557</v>
      </c>
      <c r="Q74">
        <f t="shared" ref="Q74" si="346">F74*P74</f>
        <v>2409308.7644444448</v>
      </c>
      <c r="R74">
        <f t="shared" ref="R74" si="347">R75+Q74</f>
        <v>-449008476.7999382</v>
      </c>
      <c r="S74">
        <f t="shared" ref="S74" si="348">R74/100000</f>
        <v>-4490.0847679993822</v>
      </c>
      <c r="T74">
        <f t="shared" ref="T74" si="349">S74/1000</f>
        <v>-4.4900847679993818</v>
      </c>
    </row>
    <row r="75" spans="1:20" x14ac:dyDescent="0.25">
      <c r="A75" s="5">
        <v>44518</v>
      </c>
      <c r="B75">
        <v>1.34</v>
      </c>
      <c r="C75">
        <v>1.3620000000000001</v>
      </c>
      <c r="D75">
        <v>1.1870000000000001</v>
      </c>
      <c r="E75">
        <v>1.2010000000000001</v>
      </c>
      <c r="F75">
        <v>7977183.4000000004</v>
      </c>
      <c r="G75">
        <v>1.2010000000000001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-0.83999999999999986</v>
      </c>
      <c r="Q75">
        <f t="shared" ref="Q75" si="351">F75*P75</f>
        <v>-6700834.0559999989</v>
      </c>
      <c r="R75">
        <f t="shared" ref="R75" si="352">R76+Q75</f>
        <v>-451417785.56438267</v>
      </c>
      <c r="S75">
        <f t="shared" ref="S75" si="353">R75/100000</f>
        <v>-4514.1778556438267</v>
      </c>
      <c r="T75">
        <f t="shared" ref="T75" si="354">S75/1000</f>
        <v>-4.514177855643827</v>
      </c>
    </row>
    <row r="76" spans="1:20" x14ac:dyDescent="0.25">
      <c r="A76" s="5">
        <v>44517</v>
      </c>
      <c r="B76">
        <v>1.349</v>
      </c>
      <c r="C76">
        <v>1.3720000000000001</v>
      </c>
      <c r="D76">
        <v>1.2969999999999999</v>
      </c>
      <c r="E76">
        <v>1.341</v>
      </c>
      <c r="F76">
        <v>6574484</v>
      </c>
      <c r="G76">
        <v>1.341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0.17333333333333159</v>
      </c>
      <c r="Q76">
        <f t="shared" ref="Q76" si="356">F76*P76</f>
        <v>1139577.2266666552</v>
      </c>
      <c r="R76">
        <f t="shared" ref="R76" si="357">R77+Q76</f>
        <v>-444716951.50838268</v>
      </c>
      <c r="S76">
        <f t="shared" ref="S76" si="358">R76/100000</f>
        <v>-4447.1695150838268</v>
      </c>
      <c r="T76">
        <f t="shared" ref="T76" si="359">S76/1000</f>
        <v>-4.4471695150838269</v>
      </c>
    </row>
    <row r="77" spans="1:20" x14ac:dyDescent="0.25">
      <c r="A77" s="5">
        <v>44516</v>
      </c>
      <c r="B77">
        <v>1.512</v>
      </c>
      <c r="C77">
        <v>1.512</v>
      </c>
      <c r="D77">
        <v>1.286</v>
      </c>
      <c r="E77">
        <v>1.349</v>
      </c>
      <c r="F77">
        <v>10569185.9</v>
      </c>
      <c r="G77">
        <v>1.349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-0.4424778761061951</v>
      </c>
      <c r="Q77">
        <f t="shared" ref="Q77" si="361">F77*P77</f>
        <v>-4676630.9292035447</v>
      </c>
      <c r="R77">
        <f t="shared" ref="R77" si="362">R78+Q77</f>
        <v>-445856528.73504931</v>
      </c>
      <c r="S77">
        <f t="shared" ref="S77" si="363">R77/100000</f>
        <v>-4458.5652873504932</v>
      </c>
      <c r="T77">
        <f t="shared" ref="T77" si="364">S77/1000</f>
        <v>-4.4585652873504928</v>
      </c>
    </row>
    <row r="78" spans="1:20" x14ac:dyDescent="0.25">
      <c r="A78" s="5">
        <v>44515</v>
      </c>
      <c r="B78">
        <v>1.5469999999999999</v>
      </c>
      <c r="C78">
        <v>1.575</v>
      </c>
      <c r="D78">
        <v>1.5089999999999999</v>
      </c>
      <c r="E78">
        <v>1.512</v>
      </c>
      <c r="F78">
        <v>7969564.9000000004</v>
      </c>
      <c r="G78">
        <v>1.512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-0.90909090909090573</v>
      </c>
      <c r="Q78">
        <f t="shared" ref="Q78" si="366">F78*P78</f>
        <v>-7245058.9999999739</v>
      </c>
      <c r="R78">
        <f t="shared" ref="R78" si="367">R79+Q78</f>
        <v>-441179897.80584574</v>
      </c>
      <c r="S78">
        <f t="shared" ref="S78" si="368">R78/100000</f>
        <v>-4411.7989780584576</v>
      </c>
      <c r="T78">
        <f t="shared" ref="T78" si="369">S78/1000</f>
        <v>-4.4117989780584574</v>
      </c>
    </row>
    <row r="79" spans="1:20" x14ac:dyDescent="0.25">
      <c r="A79" s="5">
        <v>44514</v>
      </c>
      <c r="B79">
        <v>1.542</v>
      </c>
      <c r="C79">
        <v>1.589</v>
      </c>
      <c r="D79">
        <v>1.5049999999999999</v>
      </c>
      <c r="E79">
        <v>1.5449999999999999</v>
      </c>
      <c r="F79">
        <v>6444075.5999999996</v>
      </c>
      <c r="G79">
        <v>1.5449999999999999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-4.7619047619047616E-2</v>
      </c>
      <c r="Q79">
        <f t="shared" ref="Q79" si="371">F79*P79</f>
        <v>-306860.74285714282</v>
      </c>
      <c r="R79">
        <f t="shared" ref="R79" si="372">R80+Q79</f>
        <v>-433934838.80584574</v>
      </c>
      <c r="S79">
        <f t="shared" ref="S79" si="373">R79/100000</f>
        <v>-4339.3483880584572</v>
      </c>
      <c r="T79">
        <f t="shared" ref="T79" si="374">S79/1000</f>
        <v>-4.3393483880584576</v>
      </c>
    </row>
    <row r="80" spans="1:20" x14ac:dyDescent="0.25">
      <c r="A80" s="5">
        <v>44513</v>
      </c>
      <c r="B80">
        <v>1.55</v>
      </c>
      <c r="C80">
        <v>1.639</v>
      </c>
      <c r="D80">
        <v>1.5049999999999999</v>
      </c>
      <c r="E80">
        <v>1.5429999999999999</v>
      </c>
      <c r="F80">
        <v>7206738</v>
      </c>
      <c r="G80">
        <v>1.5429999999999999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-0.43283582089552236</v>
      </c>
      <c r="Q80">
        <f t="shared" ref="Q80" si="376">F80*P80</f>
        <v>-3119334.3582089548</v>
      </c>
      <c r="R80">
        <f t="shared" ref="R80" si="377">R81+Q80</f>
        <v>-433627978.06298858</v>
      </c>
      <c r="S80">
        <f t="shared" ref="S80" si="378">R80/100000</f>
        <v>-4336.2797806298859</v>
      </c>
      <c r="T80">
        <f t="shared" ref="T80" si="379">S80/1000</f>
        <v>-4.3362797806298863</v>
      </c>
    </row>
    <row r="81" spans="1:20" x14ac:dyDescent="0.25">
      <c r="A81" s="5">
        <v>44512</v>
      </c>
      <c r="B81">
        <v>1.5109999999999999</v>
      </c>
      <c r="C81">
        <v>1.585</v>
      </c>
      <c r="D81">
        <v>1.462</v>
      </c>
      <c r="E81">
        <v>1.5509999999999999</v>
      </c>
      <c r="F81">
        <v>9321927.9000000004</v>
      </c>
      <c r="G81">
        <v>1.5509999999999999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0.44715447154471494</v>
      </c>
      <c r="Q81">
        <f t="shared" ref="Q81" si="381">F81*P81</f>
        <v>4168341.7439024346</v>
      </c>
      <c r="R81">
        <f t="shared" ref="R81" si="382">R82+Q81</f>
        <v>-430508643.70477962</v>
      </c>
      <c r="S81">
        <f t="shared" ref="S81" si="383">R81/100000</f>
        <v>-4305.0864370477966</v>
      </c>
      <c r="T81">
        <f t="shared" ref="T81" si="384">S81/1000</f>
        <v>-4.3050864370477964</v>
      </c>
    </row>
    <row r="82" spans="1:20" x14ac:dyDescent="0.25">
      <c r="A82" s="5">
        <v>44511</v>
      </c>
      <c r="B82">
        <v>1.516</v>
      </c>
      <c r="C82">
        <v>1.5669999999999999</v>
      </c>
      <c r="D82">
        <v>1.4870000000000001</v>
      </c>
      <c r="E82">
        <v>1.51</v>
      </c>
      <c r="F82">
        <v>6435668.5999999996</v>
      </c>
      <c r="G82">
        <v>1.51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-0.42500000000000115</v>
      </c>
      <c r="Q82">
        <f t="shared" ref="Q82" si="386">F82*P82</f>
        <v>-2735159.1550000072</v>
      </c>
      <c r="R82">
        <f t="shared" ref="R82" si="387">R83+Q82</f>
        <v>-434676985.44868207</v>
      </c>
      <c r="S82">
        <f t="shared" ref="S82" si="388">R82/100000</f>
        <v>-4346.7698544868208</v>
      </c>
      <c r="T82">
        <f t="shared" ref="T82" si="389">S82/1000</f>
        <v>-4.346769854486821</v>
      </c>
    </row>
    <row r="83" spans="1:20" x14ac:dyDescent="0.25">
      <c r="A83" s="5">
        <v>44510</v>
      </c>
      <c r="B83">
        <v>1.64</v>
      </c>
      <c r="C83">
        <v>1.694</v>
      </c>
      <c r="D83">
        <v>1.4550000000000001</v>
      </c>
      <c r="E83">
        <v>1.516</v>
      </c>
      <c r="F83">
        <v>11311703.300000001</v>
      </c>
      <c r="G83">
        <v>1.516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-0.48953974895397512</v>
      </c>
      <c r="Q83">
        <f t="shared" ref="Q83" si="391">F83*P83</f>
        <v>-5537528.393723852</v>
      </c>
      <c r="R83">
        <f t="shared" ref="R83" si="392">R84+Q83</f>
        <v>-431941826.29368204</v>
      </c>
      <c r="S83">
        <f t="shared" ref="S83" si="393">R83/100000</f>
        <v>-4319.4182629368206</v>
      </c>
      <c r="T83">
        <f t="shared" ref="T83" si="394">S83/1000</f>
        <v>-4.3194182629368205</v>
      </c>
    </row>
    <row r="84" spans="1:20" x14ac:dyDescent="0.25">
      <c r="A84" s="5">
        <v>44509</v>
      </c>
      <c r="B84">
        <v>1.6040000000000001</v>
      </c>
      <c r="C84">
        <v>1.752</v>
      </c>
      <c r="D84">
        <v>1.57</v>
      </c>
      <c r="E84">
        <v>1.6379999999999999</v>
      </c>
      <c r="F84">
        <v>14671611.699999999</v>
      </c>
      <c r="G84">
        <v>1.6379999999999999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-0.25274725274725429</v>
      </c>
      <c r="Q84">
        <f t="shared" ref="Q84" si="396">F84*P84</f>
        <v>-3708209.5505494731</v>
      </c>
      <c r="R84">
        <f t="shared" ref="R84" si="397">R85+Q84</f>
        <v>-426404297.89995819</v>
      </c>
      <c r="S84">
        <f t="shared" ref="S84" si="398">R84/100000</f>
        <v>-4264.0429789995824</v>
      </c>
      <c r="T84">
        <f t="shared" ref="T84" si="399">S84/1000</f>
        <v>-4.2640429789995826</v>
      </c>
    </row>
    <row r="85" spans="1:20" x14ac:dyDescent="0.25">
      <c r="A85" s="5">
        <v>44508</v>
      </c>
      <c r="B85">
        <v>1.5720000000000001</v>
      </c>
      <c r="C85">
        <v>1.659</v>
      </c>
      <c r="D85">
        <v>1.54</v>
      </c>
      <c r="E85">
        <v>1.6040000000000001</v>
      </c>
      <c r="F85">
        <v>9712211</v>
      </c>
      <c r="G85">
        <v>1.6040000000000001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7.5630252100841344E-2</v>
      </c>
      <c r="Q85">
        <f t="shared" ref="Q85" si="401">F85*P85</f>
        <v>734536.96638656443</v>
      </c>
      <c r="R85">
        <f t="shared" ref="R85" si="402">R86+Q85</f>
        <v>-422696088.34940875</v>
      </c>
      <c r="S85">
        <f t="shared" ref="S85" si="403">R85/100000</f>
        <v>-4226.9608834940873</v>
      </c>
      <c r="T85">
        <f t="shared" ref="T85" si="404">S85/1000</f>
        <v>-4.2269608834940877</v>
      </c>
    </row>
    <row r="86" spans="1:20" x14ac:dyDescent="0.25">
      <c r="A86" s="5">
        <v>44507</v>
      </c>
      <c r="B86">
        <v>1.528</v>
      </c>
      <c r="C86">
        <v>1.5980000000000001</v>
      </c>
      <c r="D86">
        <v>1.516</v>
      </c>
      <c r="E86">
        <v>1.5720000000000001</v>
      </c>
      <c r="F86">
        <v>8302821.7000000002</v>
      </c>
      <c r="G86">
        <v>1.5720000000000001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0.36585365853658536</v>
      </c>
      <c r="Q86">
        <f t="shared" ref="Q86" si="406">F86*P86</f>
        <v>3037617.6951219514</v>
      </c>
      <c r="R86">
        <f t="shared" ref="R86" si="407">R87+Q86</f>
        <v>-423430625.3157953</v>
      </c>
      <c r="S86">
        <f t="shared" ref="S86" si="408">R86/100000</f>
        <v>-4234.3062531579526</v>
      </c>
      <c r="T86">
        <f t="shared" ref="T86" si="409">S86/1000</f>
        <v>-4.2343062531579525</v>
      </c>
    </row>
    <row r="87" spans="1:20" x14ac:dyDescent="0.25">
      <c r="A87" s="5">
        <v>44506</v>
      </c>
      <c r="B87">
        <v>1.514</v>
      </c>
      <c r="C87">
        <v>1.5369999999999999</v>
      </c>
      <c r="D87">
        <v>1.4630000000000001</v>
      </c>
      <c r="E87">
        <v>1.526</v>
      </c>
      <c r="F87">
        <v>5918239.7000000002</v>
      </c>
      <c r="G87">
        <v>1.526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0.70270270270270485</v>
      </c>
      <c r="Q87">
        <f t="shared" ref="Q87" si="411">F87*P87</f>
        <v>4158763.0324324453</v>
      </c>
      <c r="R87">
        <f t="shared" ref="R87" si="412">R88+Q87</f>
        <v>-426468243.01091725</v>
      </c>
      <c r="S87">
        <f t="shared" ref="S87" si="413">R87/100000</f>
        <v>-4264.6824301091729</v>
      </c>
      <c r="T87">
        <f t="shared" ref="T87" si="414">S87/1000</f>
        <v>-4.2646824301091728</v>
      </c>
    </row>
    <row r="88" spans="1:20" x14ac:dyDescent="0.25">
      <c r="A88" s="5">
        <v>44505</v>
      </c>
      <c r="B88">
        <v>1.544</v>
      </c>
      <c r="C88">
        <v>1.6160000000000001</v>
      </c>
      <c r="D88">
        <v>1.4910000000000001</v>
      </c>
      <c r="E88">
        <v>1.5129999999999999</v>
      </c>
      <c r="F88">
        <v>9232051.5999999996</v>
      </c>
      <c r="G88">
        <v>1.5129999999999999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-0.64800000000000324</v>
      </c>
      <c r="Q88">
        <f t="shared" ref="Q88" si="416">F88*P88</f>
        <v>-5982369.4368000301</v>
      </c>
      <c r="R88">
        <f t="shared" ref="R88" si="417">R89+Q88</f>
        <v>-430627006.04334968</v>
      </c>
      <c r="S88">
        <f t="shared" ref="S88" si="418">R88/100000</f>
        <v>-4306.2700604334968</v>
      </c>
      <c r="T88">
        <f t="shared" ref="T88" si="419">S88/1000</f>
        <v>-4.3062700604334969</v>
      </c>
    </row>
    <row r="89" spans="1:20" x14ac:dyDescent="0.25">
      <c r="A89" s="5">
        <v>44504</v>
      </c>
      <c r="B89">
        <v>1.667</v>
      </c>
      <c r="C89">
        <v>1.6779999999999999</v>
      </c>
      <c r="D89">
        <v>1.5</v>
      </c>
      <c r="E89">
        <v>1.5429999999999999</v>
      </c>
      <c r="F89">
        <v>14720004.199999999</v>
      </c>
      <c r="G89">
        <v>1.5429999999999999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-0.51685393258427026</v>
      </c>
      <c r="Q89">
        <f t="shared" ref="Q89" si="421">F89*P89</f>
        <v>-7608092.0584269743</v>
      </c>
      <c r="R89">
        <f t="shared" ref="R89" si="422">R90+Q89</f>
        <v>-424644636.60654968</v>
      </c>
      <c r="S89">
        <f t="shared" ref="S89" si="423">R89/100000</f>
        <v>-4246.4463660654965</v>
      </c>
      <c r="T89">
        <f t="shared" ref="T89" si="424">S89/1000</f>
        <v>-4.2464463660654967</v>
      </c>
    </row>
    <row r="90" spans="1:20" x14ac:dyDescent="0.25">
      <c r="A90" s="5">
        <v>44503</v>
      </c>
      <c r="B90">
        <v>1.8140000000000001</v>
      </c>
      <c r="C90">
        <v>2.08</v>
      </c>
      <c r="D90">
        <v>1.633</v>
      </c>
      <c r="E90">
        <v>1.667</v>
      </c>
      <c r="F90">
        <v>53675505.799999997</v>
      </c>
      <c r="G90">
        <v>1.667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-0.84787472035794176</v>
      </c>
      <c r="Q90">
        <f t="shared" ref="Q90" si="426">F90*P90</f>
        <v>-45510104.470246077</v>
      </c>
      <c r="R90">
        <f t="shared" ref="R90" si="427">R91+Q90</f>
        <v>-417036544.5481227</v>
      </c>
      <c r="S90">
        <f t="shared" ref="S90" si="428">R90/100000</f>
        <v>-4170.3654454812267</v>
      </c>
      <c r="T90">
        <f t="shared" ref="T90" si="429">S90/1000</f>
        <v>-4.1703654454812265</v>
      </c>
    </row>
    <row r="91" spans="1:20" x14ac:dyDescent="0.25">
      <c r="A91" s="5">
        <v>44502</v>
      </c>
      <c r="B91">
        <v>1.417</v>
      </c>
      <c r="C91">
        <v>2.1</v>
      </c>
      <c r="D91">
        <v>1.4</v>
      </c>
      <c r="E91">
        <v>1.8140000000000001</v>
      </c>
      <c r="F91">
        <v>67102760.229999997</v>
      </c>
      <c r="G91">
        <v>1.8140000000000001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0.18285714285714297</v>
      </c>
      <c r="Q91">
        <f t="shared" ref="Q91" si="431">F91*P91</f>
        <v>12270219.01348572</v>
      </c>
      <c r="R91">
        <f t="shared" ref="R91" si="432">R92+Q91</f>
        <v>-371526440.07787663</v>
      </c>
      <c r="S91">
        <f t="shared" ref="S91" si="433">R91/100000</f>
        <v>-3715.2644007787662</v>
      </c>
      <c r="T91">
        <f t="shared" ref="T91" si="434">S91/1000</f>
        <v>-3.7152644007787661</v>
      </c>
    </row>
    <row r="92" spans="1:20" x14ac:dyDescent="0.25">
      <c r="A92" s="5">
        <v>44501</v>
      </c>
      <c r="B92">
        <v>1.4330000000000001</v>
      </c>
      <c r="C92">
        <v>1.4610000000000001</v>
      </c>
      <c r="D92">
        <v>1.3859999999999999</v>
      </c>
      <c r="E92">
        <v>1.417</v>
      </c>
      <c r="F92">
        <v>7398690.7000000002</v>
      </c>
      <c r="G92">
        <v>1.417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-0.17333333333333159</v>
      </c>
      <c r="Q92">
        <f t="shared" ref="Q92" si="436">F92*P92</f>
        <v>-1282439.7213333205</v>
      </c>
      <c r="R92">
        <f t="shared" ref="R92" si="437">R93+Q92</f>
        <v>-383796659.09136236</v>
      </c>
      <c r="S92">
        <f t="shared" ref="S92" si="438">R92/100000</f>
        <v>-3837.9665909136233</v>
      </c>
      <c r="T92">
        <f t="shared" ref="T92" si="439">S92/1000</f>
        <v>-3.8379665909136231</v>
      </c>
    </row>
    <row r="93" spans="1:20" x14ac:dyDescent="0.25">
      <c r="A93" s="5">
        <v>44500</v>
      </c>
      <c r="B93">
        <v>1.379</v>
      </c>
      <c r="C93">
        <v>1.5489999999999999</v>
      </c>
      <c r="D93">
        <v>1.3680000000000001</v>
      </c>
      <c r="E93">
        <v>1.431</v>
      </c>
      <c r="F93">
        <v>21091211.699999999</v>
      </c>
      <c r="G93">
        <v>1.431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-0.30386740331491707</v>
      </c>
      <c r="Q93">
        <f t="shared" ref="Q93" si="441">F93*P93</f>
        <v>-6408931.7320441976</v>
      </c>
      <c r="R93">
        <f t="shared" ref="R93" si="442">R94+Q93</f>
        <v>-382514219.37002903</v>
      </c>
      <c r="S93">
        <f t="shared" ref="S93" si="443">R93/100000</f>
        <v>-3825.1421937002901</v>
      </c>
      <c r="T93">
        <f t="shared" ref="T93" si="444">S93/1000</f>
        <v>-3.8251421937002901</v>
      </c>
    </row>
    <row r="94" spans="1:20" x14ac:dyDescent="0.25">
      <c r="A94" s="5">
        <v>44499</v>
      </c>
      <c r="B94">
        <v>1.3560000000000001</v>
      </c>
      <c r="C94">
        <v>1.385</v>
      </c>
      <c r="D94">
        <v>1.3049999999999999</v>
      </c>
      <c r="E94">
        <v>1.379</v>
      </c>
      <c r="F94">
        <v>8088942.7999999998</v>
      </c>
      <c r="G94">
        <v>1.379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0.85</v>
      </c>
      <c r="Q94">
        <f t="shared" ref="Q94" si="446">F94*P94</f>
        <v>6875601.3799999999</v>
      </c>
      <c r="R94">
        <f t="shared" ref="R94" si="447">R95+Q94</f>
        <v>-376105287.63798481</v>
      </c>
      <c r="S94">
        <f t="shared" ref="S94" si="448">R94/100000</f>
        <v>-3761.0528763798479</v>
      </c>
      <c r="T94">
        <f t="shared" ref="T94" si="449">S94/1000</f>
        <v>-3.7610528763798481</v>
      </c>
    </row>
    <row r="95" spans="1:20" x14ac:dyDescent="0.25">
      <c r="A95" s="5">
        <v>44498</v>
      </c>
      <c r="B95">
        <v>1.3420000000000001</v>
      </c>
      <c r="C95">
        <v>1.385</v>
      </c>
      <c r="D95">
        <v>1.335</v>
      </c>
      <c r="E95">
        <v>1.3560000000000001</v>
      </c>
      <c r="F95">
        <v>6803024.5999999996</v>
      </c>
      <c r="G95">
        <v>1.3560000000000001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-0.15999999999999556</v>
      </c>
      <c r="Q95">
        <f t="shared" ref="Q95" si="451">F95*P95</f>
        <v>-1088483.9359999697</v>
      </c>
      <c r="R95">
        <f t="shared" ref="R95" si="452">R96+Q95</f>
        <v>-382980889.01798481</v>
      </c>
      <c r="S95">
        <f t="shared" ref="S95" si="453">R95/100000</f>
        <v>-3829.8088901798483</v>
      </c>
      <c r="T95">
        <f t="shared" ref="T95" si="454">S95/1000</f>
        <v>-3.8298088901798484</v>
      </c>
    </row>
    <row r="96" spans="1:20" x14ac:dyDescent="0.25">
      <c r="A96" s="5">
        <v>44497</v>
      </c>
      <c r="B96">
        <v>1.3049999999999999</v>
      </c>
      <c r="C96">
        <v>1.39</v>
      </c>
      <c r="D96">
        <v>1.256</v>
      </c>
      <c r="E96">
        <v>1.3440000000000001</v>
      </c>
      <c r="F96">
        <v>14051848.9</v>
      </c>
      <c r="G96">
        <v>1.3440000000000001</v>
      </c>
      <c r="L96" t="s">
        <v>7</v>
      </c>
      <c r="M96" t="s">
        <v>8</v>
      </c>
      <c r="N96" t="s">
        <v>8</v>
      </c>
      <c r="P96">
        <f t="shared" ref="P96" si="455">IF(C96=D96,0,((E96-D96)-(C96-E96))/(C96-D96))</f>
        <v>0.3134328358208977</v>
      </c>
      <c r="Q96">
        <f t="shared" ref="Q96" si="456">F96*P96</f>
        <v>4404310.8492537625</v>
      </c>
      <c r="R96">
        <f t="shared" ref="R96" si="457">R97+Q96</f>
        <v>-381892405.08198482</v>
      </c>
      <c r="S96">
        <f t="shared" ref="S96" si="458">R96/100000</f>
        <v>-3818.9240508198482</v>
      </c>
      <c r="T96">
        <f t="shared" ref="T96" si="459">S96/1000</f>
        <v>-3.8189240508198483</v>
      </c>
    </row>
    <row r="97" spans="1:20" x14ac:dyDescent="0.25">
      <c r="A97" s="5">
        <v>44496</v>
      </c>
      <c r="B97">
        <v>1.405</v>
      </c>
      <c r="C97">
        <v>1.47</v>
      </c>
      <c r="D97">
        <v>1.26</v>
      </c>
      <c r="E97">
        <v>1.3029999999999999</v>
      </c>
      <c r="F97">
        <v>15238470</v>
      </c>
      <c r="G97">
        <v>1.3029999999999999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-0.59047619047619115</v>
      </c>
      <c r="Q97">
        <f t="shared" ref="Q97" si="461">F97*P97</f>
        <v>-8997953.7142857239</v>
      </c>
      <c r="R97">
        <f t="shared" ref="R97" si="462">R98+Q97</f>
        <v>-386296715.93123859</v>
      </c>
      <c r="S97">
        <f t="shared" ref="S97" si="463">R97/100000</f>
        <v>-3862.9671593123858</v>
      </c>
      <c r="T97">
        <f t="shared" ref="T97" si="464">S97/1000</f>
        <v>-3.8629671593123858</v>
      </c>
    </row>
    <row r="98" spans="1:20" x14ac:dyDescent="0.25">
      <c r="A98" s="5">
        <v>44495</v>
      </c>
      <c r="B98">
        <v>1.349</v>
      </c>
      <c r="C98">
        <v>1.45</v>
      </c>
      <c r="D98">
        <v>1.34</v>
      </c>
      <c r="E98">
        <v>1.405</v>
      </c>
      <c r="F98">
        <v>12740797</v>
      </c>
      <c r="G98">
        <v>1.405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0.18181818181818218</v>
      </c>
      <c r="Q98">
        <f t="shared" ref="Q98" si="466">F98*P98</f>
        <v>2316508.5454545501</v>
      </c>
      <c r="R98">
        <f t="shared" ref="R98" si="467">R99+Q98</f>
        <v>-377298762.21695286</v>
      </c>
      <c r="S98">
        <f t="shared" ref="S98" si="468">R98/100000</f>
        <v>-3772.9876221695285</v>
      </c>
      <c r="T98">
        <f t="shared" ref="T98" si="469">S98/1000</f>
        <v>-3.7729876221695284</v>
      </c>
    </row>
    <row r="99" spans="1:20" x14ac:dyDescent="0.25">
      <c r="A99" s="5">
        <v>44494</v>
      </c>
      <c r="B99">
        <v>1.3080000000000001</v>
      </c>
      <c r="C99">
        <v>1.353</v>
      </c>
      <c r="D99">
        <v>1.3029999999999999</v>
      </c>
      <c r="E99">
        <v>1.35</v>
      </c>
      <c r="F99">
        <v>4314093.0999999996</v>
      </c>
      <c r="G99">
        <v>1.35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0.88000000000000445</v>
      </c>
      <c r="Q99">
        <f t="shared" ref="Q99" si="471">F99*P99</f>
        <v>3796401.9280000189</v>
      </c>
      <c r="R99">
        <f t="shared" ref="R99" si="472">R100+Q99</f>
        <v>-379615270.76240742</v>
      </c>
      <c r="S99">
        <f t="shared" ref="S99" si="473">R99/100000</f>
        <v>-3796.1527076240741</v>
      </c>
      <c r="T99">
        <f t="shared" ref="T99" si="474">S99/1000</f>
        <v>-3.7961527076240742</v>
      </c>
    </row>
    <row r="100" spans="1:20" x14ac:dyDescent="0.25">
      <c r="A100" s="5">
        <v>44493</v>
      </c>
      <c r="B100">
        <v>1.3440000000000001</v>
      </c>
      <c r="C100">
        <v>1.35</v>
      </c>
      <c r="D100">
        <v>1.282</v>
      </c>
      <c r="E100">
        <v>1.3080000000000001</v>
      </c>
      <c r="F100">
        <v>4924176.4000000004</v>
      </c>
      <c r="G100">
        <v>1.3080000000000001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-0.23529411764705882</v>
      </c>
      <c r="Q100">
        <f t="shared" ref="Q100" si="476">F100*P100</f>
        <v>-1158629.7411764706</v>
      </c>
      <c r="R100">
        <f t="shared" ref="R100" si="477">R101+Q100</f>
        <v>-383411672.69040745</v>
      </c>
      <c r="S100">
        <f t="shared" ref="S100" si="478">R100/100000</f>
        <v>-3834.1167269040748</v>
      </c>
      <c r="T100">
        <f t="shared" ref="T100" si="479">S100/1000</f>
        <v>-3.8341167269040746</v>
      </c>
    </row>
    <row r="101" spans="1:20" x14ac:dyDescent="0.25">
      <c r="A101" s="5">
        <v>44492</v>
      </c>
      <c r="B101">
        <v>1.3109999999999999</v>
      </c>
      <c r="C101">
        <v>1.37</v>
      </c>
      <c r="D101">
        <v>1.292</v>
      </c>
      <c r="E101">
        <v>1.3440000000000001</v>
      </c>
      <c r="F101">
        <v>6405622.9000000004</v>
      </c>
      <c r="G101">
        <v>1.3440000000000001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0.33333333333333331</v>
      </c>
      <c r="Q101">
        <f t="shared" ref="Q101" si="481">F101*P101</f>
        <v>2135207.6333333333</v>
      </c>
      <c r="R101">
        <f t="shared" ref="R101" si="482">R102+Q101</f>
        <v>-382253042.94923097</v>
      </c>
      <c r="S101">
        <f t="shared" ref="S101" si="483">R101/100000</f>
        <v>-3822.5304294923098</v>
      </c>
      <c r="T101">
        <f t="shared" ref="T101" si="484">S101/1000</f>
        <v>-3.8225304294923097</v>
      </c>
    </row>
    <row r="102" spans="1:20" x14ac:dyDescent="0.25">
      <c r="A102" s="5">
        <v>44491</v>
      </c>
      <c r="B102">
        <v>1.3009999999999999</v>
      </c>
      <c r="C102">
        <v>1.339</v>
      </c>
      <c r="D102">
        <v>1.2829999999999999</v>
      </c>
      <c r="E102">
        <v>1.31</v>
      </c>
      <c r="F102">
        <v>5737342.2999999998</v>
      </c>
      <c r="G102">
        <v>1.31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-3.571428571428175E-2</v>
      </c>
      <c r="Q102">
        <f t="shared" ref="Q102" si="486">F102*P102</f>
        <v>-204905.08214283441</v>
      </c>
      <c r="R102">
        <f t="shared" ref="R102" si="487">R103+Q102</f>
        <v>-384388250.58256429</v>
      </c>
      <c r="S102">
        <f t="shared" ref="S102" si="488">R102/100000</f>
        <v>-3843.882505825643</v>
      </c>
      <c r="T102">
        <f t="shared" ref="T102" si="489">S102/1000</f>
        <v>-3.8438825058256429</v>
      </c>
    </row>
    <row r="103" spans="1:20" x14ac:dyDescent="0.25">
      <c r="A103" s="5">
        <v>44490</v>
      </c>
      <c r="B103">
        <v>1.363</v>
      </c>
      <c r="C103">
        <v>1.387</v>
      </c>
      <c r="D103">
        <v>1.2889999999999999</v>
      </c>
      <c r="E103">
        <v>1.3</v>
      </c>
      <c r="F103">
        <v>8288777.5</v>
      </c>
      <c r="G103">
        <v>1.3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-0.77551020408163041</v>
      </c>
      <c r="Q103">
        <f t="shared" ref="Q103" si="491">F103*P103</f>
        <v>-6428031.5306122266</v>
      </c>
      <c r="R103">
        <f t="shared" ref="R103" si="492">R104+Q103</f>
        <v>-384183345.50042146</v>
      </c>
      <c r="S103">
        <f t="shared" ref="S103" si="493">R103/100000</f>
        <v>-3841.8334550042146</v>
      </c>
      <c r="T103">
        <f t="shared" ref="T103" si="494">S103/1000</f>
        <v>-3.8418334550042146</v>
      </c>
    </row>
    <row r="104" spans="1:20" x14ac:dyDescent="0.25">
      <c r="A104" s="5">
        <v>44489</v>
      </c>
      <c r="B104">
        <v>1.2969999999999999</v>
      </c>
      <c r="C104">
        <v>1.369</v>
      </c>
      <c r="D104">
        <v>1.276</v>
      </c>
      <c r="E104">
        <v>1.363</v>
      </c>
      <c r="F104">
        <v>6786703.0999999996</v>
      </c>
      <c r="G104">
        <v>1.363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0.87096774193548376</v>
      </c>
      <c r="Q104">
        <f t="shared" ref="Q104" si="496">F104*P104</f>
        <v>5910999.4741935469</v>
      </c>
      <c r="R104">
        <f t="shared" ref="R104" si="497">R105+Q104</f>
        <v>-377755313.96980923</v>
      </c>
      <c r="S104">
        <f t="shared" ref="S104" si="498">R104/100000</f>
        <v>-3777.5531396980923</v>
      </c>
      <c r="T104">
        <f t="shared" ref="T104" si="499">S104/1000</f>
        <v>-3.7775531396980924</v>
      </c>
    </row>
    <row r="105" spans="1:20" x14ac:dyDescent="0.25">
      <c r="A105" s="5">
        <v>44488</v>
      </c>
      <c r="B105">
        <v>1.3089999999999999</v>
      </c>
      <c r="C105">
        <v>1.35</v>
      </c>
      <c r="D105">
        <v>1.28</v>
      </c>
      <c r="E105">
        <v>1.2969999999999999</v>
      </c>
      <c r="F105">
        <v>7598118</v>
      </c>
      <c r="G105">
        <v>1.2969999999999999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-0.51428571428571745</v>
      </c>
      <c r="Q105">
        <f t="shared" ref="Q105" si="501">F105*P105</f>
        <v>-3907603.5428571668</v>
      </c>
      <c r="R105">
        <f t="shared" ref="R105" si="502">R106+Q105</f>
        <v>-383666313.44400281</v>
      </c>
      <c r="S105">
        <f t="shared" ref="S105" si="503">R105/100000</f>
        <v>-3836.663134440028</v>
      </c>
      <c r="T105">
        <f t="shared" ref="T105" si="504">S105/1000</f>
        <v>-3.8366631344400282</v>
      </c>
    </row>
    <row r="106" spans="1:20" x14ac:dyDescent="0.25">
      <c r="A106" s="5">
        <v>44487</v>
      </c>
      <c r="B106">
        <v>1.2749999999999999</v>
      </c>
      <c r="C106">
        <v>1.365</v>
      </c>
      <c r="D106">
        <v>1.242</v>
      </c>
      <c r="E106">
        <v>1.3080000000000001</v>
      </c>
      <c r="F106">
        <v>11331541</v>
      </c>
      <c r="G106">
        <v>1.3080000000000001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7.317073170731804E-2</v>
      </c>
      <c r="Q106">
        <f t="shared" ref="Q106" si="506">F106*P106</f>
        <v>829137.14634147438</v>
      </c>
      <c r="R106">
        <f t="shared" ref="R106" si="507">R107+Q106</f>
        <v>-379758709.90114564</v>
      </c>
      <c r="S106">
        <f t="shared" ref="S106" si="508">R106/100000</f>
        <v>-3797.5870990114563</v>
      </c>
      <c r="T106">
        <f t="shared" ref="T106" si="509">S106/1000</f>
        <v>-3.7975870990114564</v>
      </c>
    </row>
    <row r="107" spans="1:20" x14ac:dyDescent="0.25">
      <c r="A107" s="5">
        <v>44486</v>
      </c>
      <c r="B107">
        <v>1.3009999999999999</v>
      </c>
      <c r="C107">
        <v>1.333</v>
      </c>
      <c r="D107">
        <v>1.208</v>
      </c>
      <c r="E107">
        <v>1.274</v>
      </c>
      <c r="F107">
        <v>8719750.8000000007</v>
      </c>
      <c r="G107">
        <v>1.274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5.6000000000000938E-2</v>
      </c>
      <c r="Q107">
        <f t="shared" ref="Q107" si="511">F107*P107</f>
        <v>488306.04480000824</v>
      </c>
      <c r="R107">
        <f t="shared" ref="R107" si="512">R108+Q107</f>
        <v>-380587847.04748714</v>
      </c>
      <c r="S107">
        <f t="shared" ref="S107" si="513">R107/100000</f>
        <v>-3805.8784704748714</v>
      </c>
      <c r="T107">
        <f t="shared" ref="T107" si="514">S107/1000</f>
        <v>-3.8058784704748714</v>
      </c>
    </row>
    <row r="108" spans="1:20" x14ac:dyDescent="0.25">
      <c r="A108" s="5">
        <v>44485</v>
      </c>
      <c r="B108">
        <v>1.3320000000000001</v>
      </c>
      <c r="C108">
        <v>1.399</v>
      </c>
      <c r="D108">
        <v>1.2869999999999999</v>
      </c>
      <c r="E108">
        <v>1.302</v>
      </c>
      <c r="F108">
        <v>12895075.9</v>
      </c>
      <c r="G108">
        <v>1.302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-0.73214285714285521</v>
      </c>
      <c r="Q108">
        <f t="shared" ref="Q108" si="516">F108*P108</f>
        <v>-9441037.7124999762</v>
      </c>
      <c r="R108">
        <f t="shared" ref="R108" si="517">R109+Q108</f>
        <v>-381076153.09228712</v>
      </c>
      <c r="S108">
        <f t="shared" ref="S108" si="518">R108/100000</f>
        <v>-3810.7615309228713</v>
      </c>
      <c r="T108">
        <f t="shared" ref="T108" si="519">S108/1000</f>
        <v>-3.8107615309228713</v>
      </c>
    </row>
    <row r="109" spans="1:20" x14ac:dyDescent="0.25">
      <c r="A109" s="5">
        <v>44484</v>
      </c>
      <c r="B109">
        <v>1.2150000000000001</v>
      </c>
      <c r="C109">
        <v>1.419</v>
      </c>
      <c r="D109">
        <v>1.1910000000000001</v>
      </c>
      <c r="E109">
        <v>1.331</v>
      </c>
      <c r="F109">
        <v>25273115.600000001</v>
      </c>
      <c r="G109">
        <v>1.331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0.22807017543859573</v>
      </c>
      <c r="Q109">
        <f t="shared" ref="Q109" si="521">F109*P109</f>
        <v>5764043.9087719107</v>
      </c>
      <c r="R109">
        <f t="shared" ref="R109" si="522">R110+Q109</f>
        <v>-371635115.37978715</v>
      </c>
      <c r="S109">
        <f t="shared" ref="S109" si="523">R109/100000</f>
        <v>-3716.3511537978716</v>
      </c>
      <c r="T109">
        <f t="shared" ref="T109" si="524">S109/1000</f>
        <v>-3.7163511537978717</v>
      </c>
    </row>
    <row r="110" spans="1:20" x14ac:dyDescent="0.25">
      <c r="A110" s="5">
        <v>44483</v>
      </c>
      <c r="B110">
        <v>1.1890000000000001</v>
      </c>
      <c r="C110">
        <v>1.2609999999999999</v>
      </c>
      <c r="D110">
        <v>1.1879999999999999</v>
      </c>
      <c r="E110">
        <v>1.214</v>
      </c>
      <c r="F110">
        <v>6626779</v>
      </c>
      <c r="G110">
        <v>1.214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-0.28767123287671126</v>
      </c>
      <c r="Q110">
        <f t="shared" ref="Q110" si="526">F110*P110</f>
        <v>-1906333.6849314997</v>
      </c>
      <c r="R110">
        <f t="shared" ref="R110" si="527">R111+Q110</f>
        <v>-377399159.28855908</v>
      </c>
      <c r="S110">
        <f t="shared" ref="S110" si="528">R110/100000</f>
        <v>-3773.9915928855908</v>
      </c>
      <c r="T110">
        <f t="shared" ref="T110" si="529">S110/1000</f>
        <v>-3.7739915928855909</v>
      </c>
    </row>
    <row r="111" spans="1:20" x14ac:dyDescent="0.25">
      <c r="A111" s="5">
        <v>44482</v>
      </c>
      <c r="B111">
        <v>1.165</v>
      </c>
      <c r="C111">
        <v>1.2749999999999999</v>
      </c>
      <c r="D111">
        <v>1.1359999999999999</v>
      </c>
      <c r="E111">
        <v>1.19</v>
      </c>
      <c r="F111">
        <v>10938953.699999999</v>
      </c>
      <c r="G111">
        <v>1.19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-0.22302158273381234</v>
      </c>
      <c r="Q111">
        <f t="shared" ref="Q111" si="531">F111*P111</f>
        <v>-2439622.7676258925</v>
      </c>
      <c r="R111">
        <f t="shared" ref="R111" si="532">R112+Q111</f>
        <v>-375492825.60362756</v>
      </c>
      <c r="S111">
        <f t="shared" ref="S111" si="533">R111/100000</f>
        <v>-3754.9282560362758</v>
      </c>
      <c r="T111">
        <f t="shared" ref="T111" si="534">S111/1000</f>
        <v>-3.7549282560362758</v>
      </c>
    </row>
    <row r="112" spans="1:20" x14ac:dyDescent="0.25">
      <c r="A112" s="5">
        <v>44481</v>
      </c>
      <c r="B112">
        <v>1.208</v>
      </c>
      <c r="C112">
        <v>1.2110000000000001</v>
      </c>
      <c r="D112">
        <v>1.1200000000000001</v>
      </c>
      <c r="E112">
        <v>1.1659999999999999</v>
      </c>
      <c r="F112">
        <v>6027396.5</v>
      </c>
      <c r="G112">
        <v>1.1659999999999999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1.0989010989007342E-2</v>
      </c>
      <c r="Q112">
        <f t="shared" ref="Q112" si="536">F112*P112</f>
        <v>66235.126373604391</v>
      </c>
      <c r="R112">
        <f t="shared" ref="R112" si="537">R113+Q112</f>
        <v>-373053202.83600169</v>
      </c>
      <c r="S112">
        <f t="shared" ref="S112" si="538">R112/100000</f>
        <v>-3730.5320283600167</v>
      </c>
      <c r="T112">
        <f t="shared" ref="T112" si="539">S112/1000</f>
        <v>-3.7305320283600167</v>
      </c>
    </row>
    <row r="113" spans="1:20" x14ac:dyDescent="0.25">
      <c r="A113" s="5">
        <v>44480</v>
      </c>
      <c r="B113">
        <v>1.2270000000000001</v>
      </c>
      <c r="C113">
        <v>1.2629999999999999</v>
      </c>
      <c r="D113">
        <v>1.1639999999999999</v>
      </c>
      <c r="E113">
        <v>1.208</v>
      </c>
      <c r="F113">
        <v>6858486.9000000004</v>
      </c>
      <c r="G113">
        <v>1.208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-0.11111111111111012</v>
      </c>
      <c r="Q113">
        <f t="shared" ref="Q113" si="541">F113*P113</f>
        <v>-762054.09999999322</v>
      </c>
      <c r="R113">
        <f t="shared" ref="R113" si="542">R114+Q113</f>
        <v>-373119437.96237528</v>
      </c>
      <c r="S113">
        <f t="shared" ref="S113" si="543">R113/100000</f>
        <v>-3731.1943796237529</v>
      </c>
      <c r="T113">
        <f t="shared" ref="T113" si="544">S113/1000</f>
        <v>-3.7311943796237528</v>
      </c>
    </row>
    <row r="114" spans="1:20" x14ac:dyDescent="0.25">
      <c r="A114" s="5">
        <v>44479</v>
      </c>
      <c r="B114">
        <v>1.252</v>
      </c>
      <c r="C114">
        <v>1.2989999999999999</v>
      </c>
      <c r="D114">
        <v>1.222</v>
      </c>
      <c r="E114">
        <v>1.2270000000000001</v>
      </c>
      <c r="F114">
        <v>9486866.1999999993</v>
      </c>
      <c r="G114">
        <v>1.2270000000000001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-0.87012987012986709</v>
      </c>
      <c r="Q114">
        <f t="shared" ref="Q114" si="546">F114*P114</f>
        <v>-8254805.6545454254</v>
      </c>
      <c r="R114">
        <f t="shared" ref="R114" si="547">R115+Q114</f>
        <v>-372357383.86237532</v>
      </c>
      <c r="S114">
        <f t="shared" ref="S114" si="548">R114/100000</f>
        <v>-3723.5738386237531</v>
      </c>
      <c r="T114">
        <f t="shared" ref="T114" si="549">S114/1000</f>
        <v>-3.7235738386237531</v>
      </c>
    </row>
    <row r="115" spans="1:20" x14ac:dyDescent="0.25">
      <c r="A115" s="5">
        <v>44478</v>
      </c>
      <c r="B115">
        <v>1.248</v>
      </c>
      <c r="C115">
        <v>1.278</v>
      </c>
      <c r="D115">
        <v>1.23</v>
      </c>
      <c r="E115">
        <v>1.252</v>
      </c>
      <c r="F115">
        <v>5930907.5999999996</v>
      </c>
      <c r="G115">
        <v>1.252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-8.3333333333333329E-2</v>
      </c>
      <c r="Q115">
        <f t="shared" ref="Q115" si="551">F115*P115</f>
        <v>-494242.29999999993</v>
      </c>
      <c r="R115">
        <f t="shared" ref="R115" si="552">R116+Q115</f>
        <v>-364102578.20782989</v>
      </c>
      <c r="S115">
        <f t="shared" ref="S115" si="553">R115/100000</f>
        <v>-3641.025782078299</v>
      </c>
      <c r="T115">
        <f t="shared" ref="T115" si="554">S115/1000</f>
        <v>-3.641025782078299</v>
      </c>
    </row>
    <row r="116" spans="1:20" x14ac:dyDescent="0.25">
      <c r="A116" s="5">
        <v>44477</v>
      </c>
      <c r="B116">
        <v>1.202</v>
      </c>
      <c r="C116">
        <v>1.3</v>
      </c>
      <c r="D116">
        <v>1.1919999999999999</v>
      </c>
      <c r="E116">
        <v>1.246</v>
      </c>
      <c r="F116">
        <v>11089285</v>
      </c>
      <c r="G116">
        <v>1.246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</v>
      </c>
      <c r="Q116">
        <f t="shared" ref="Q116" si="556">F116*P116</f>
        <v>0</v>
      </c>
      <c r="R116">
        <f t="shared" ref="R116" si="557">R117+Q116</f>
        <v>-363608335.90782988</v>
      </c>
      <c r="S116">
        <f t="shared" ref="S116" si="558">R116/100000</f>
        <v>-3636.0833590782986</v>
      </c>
      <c r="T116">
        <f t="shared" ref="T116" si="559">S116/1000</f>
        <v>-3.6360833590782984</v>
      </c>
    </row>
    <row r="117" spans="1:20" x14ac:dyDescent="0.25">
      <c r="A117" s="5">
        <v>44476</v>
      </c>
      <c r="B117">
        <v>1.2310000000000001</v>
      </c>
      <c r="C117">
        <v>1.24</v>
      </c>
      <c r="D117">
        <v>1.169</v>
      </c>
      <c r="E117">
        <v>1.202</v>
      </c>
      <c r="F117">
        <v>11234617</v>
      </c>
      <c r="G117">
        <v>1.202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-7.0422535211269274E-2</v>
      </c>
      <c r="Q117">
        <f t="shared" ref="Q117" si="561">F117*P117</f>
        <v>-791170.2112676244</v>
      </c>
      <c r="R117">
        <f t="shared" ref="R117" si="562">R118+Q117</f>
        <v>-363608335.90782988</v>
      </c>
      <c r="S117">
        <f t="shared" ref="S117" si="563">R117/100000</f>
        <v>-3636.0833590782986</v>
      </c>
      <c r="T117">
        <f t="shared" ref="T117" si="564">S117/1000</f>
        <v>-3.6360833590782984</v>
      </c>
    </row>
    <row r="118" spans="1:20" x14ac:dyDescent="0.25">
      <c r="A118" s="5">
        <v>44475</v>
      </c>
      <c r="B118">
        <v>1.167</v>
      </c>
      <c r="C118">
        <v>1.31</v>
      </c>
      <c r="D118">
        <v>1.113</v>
      </c>
      <c r="E118">
        <v>1.2310000000000001</v>
      </c>
      <c r="F118">
        <v>20836439.100000001</v>
      </c>
      <c r="G118">
        <v>1.2310000000000001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0.1979695431472088</v>
      </c>
      <c r="Q118">
        <f t="shared" ref="Q118" si="566">F118*P118</f>
        <v>4124980.3294416387</v>
      </c>
      <c r="R118">
        <f t="shared" ref="R118" si="567">R119+Q118</f>
        <v>-362817165.69656223</v>
      </c>
      <c r="S118">
        <f t="shared" ref="S118" si="568">R118/100000</f>
        <v>-3628.1716569656223</v>
      </c>
      <c r="T118">
        <f t="shared" ref="T118" si="569">S118/1000</f>
        <v>-3.6281716569656224</v>
      </c>
    </row>
    <row r="119" spans="1:20" x14ac:dyDescent="0.25">
      <c r="A119" s="5">
        <v>44474</v>
      </c>
      <c r="B119">
        <v>1.1180000000000001</v>
      </c>
      <c r="C119">
        <v>1.18</v>
      </c>
      <c r="D119">
        <v>1.1100000000000001</v>
      </c>
      <c r="E119">
        <v>1.167</v>
      </c>
      <c r="F119">
        <v>8597786.0999999996</v>
      </c>
      <c r="G119">
        <v>1.167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0.62857142857143056</v>
      </c>
      <c r="Q119">
        <f t="shared" ref="Q119" si="571">F119*P119</f>
        <v>5404322.6914285887</v>
      </c>
      <c r="R119">
        <f t="shared" ref="R119" si="572">R120+Q119</f>
        <v>-366942146.0260039</v>
      </c>
      <c r="S119">
        <f t="shared" ref="S119" si="573">R119/100000</f>
        <v>-3669.4214602600391</v>
      </c>
      <c r="T119">
        <f t="shared" ref="T119" si="574">S119/1000</f>
        <v>-3.6694214602600392</v>
      </c>
    </row>
    <row r="120" spans="1:20" x14ac:dyDescent="0.25">
      <c r="A120" s="5">
        <v>44473</v>
      </c>
      <c r="B120">
        <v>1.1299999999999999</v>
      </c>
      <c r="C120">
        <v>1.1499999999999999</v>
      </c>
      <c r="D120">
        <v>1.085</v>
      </c>
      <c r="E120">
        <v>1.121</v>
      </c>
      <c r="F120">
        <v>7586775.7000000002</v>
      </c>
      <c r="G120">
        <v>1.121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0.10769230769230959</v>
      </c>
      <c r="Q120">
        <f t="shared" ref="Q120" si="576">F120*P120</f>
        <v>817037.3830769374</v>
      </c>
      <c r="R120">
        <f t="shared" ref="R120" si="577">R121+Q120</f>
        <v>-372346468.7174325</v>
      </c>
      <c r="S120">
        <f t="shared" ref="S120" si="578">R120/100000</f>
        <v>-3723.4646871743248</v>
      </c>
      <c r="T120">
        <f t="shared" ref="T120" si="579">S120/1000</f>
        <v>-3.7234646871743249</v>
      </c>
    </row>
    <row r="121" spans="1:20" x14ac:dyDescent="0.25">
      <c r="A121" s="5">
        <v>44472</v>
      </c>
      <c r="B121">
        <v>1.133</v>
      </c>
      <c r="C121">
        <v>1.169</v>
      </c>
      <c r="D121">
        <v>1.113</v>
      </c>
      <c r="E121">
        <v>1.1279999999999999</v>
      </c>
      <c r="F121">
        <v>6373523.7999999998</v>
      </c>
      <c r="G121">
        <v>1.1279999999999999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-0.46428571428571824</v>
      </c>
      <c r="Q121">
        <f t="shared" ref="Q121" si="581">F121*P121</f>
        <v>-2959136.050000025</v>
      </c>
      <c r="R121">
        <f t="shared" ref="R121" si="582">R122+Q121</f>
        <v>-373163506.10050946</v>
      </c>
      <c r="S121">
        <f t="shared" ref="S121" si="583">R121/100000</f>
        <v>-3731.6350610050945</v>
      </c>
      <c r="T121">
        <f t="shared" ref="T121" si="584">S121/1000</f>
        <v>-3.7316350610050946</v>
      </c>
    </row>
    <row r="122" spans="1:20" x14ac:dyDescent="0.25">
      <c r="A122" s="5">
        <v>44471</v>
      </c>
      <c r="B122">
        <v>1.1240000000000001</v>
      </c>
      <c r="C122">
        <v>1.175</v>
      </c>
      <c r="D122">
        <v>1.101</v>
      </c>
      <c r="E122">
        <v>1.133</v>
      </c>
      <c r="F122">
        <v>7140579</v>
      </c>
      <c r="G122">
        <v>1.133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-0.13513513513513514</v>
      </c>
      <c r="Q122">
        <f t="shared" ref="Q122" si="586">F122*P122</f>
        <v>-964943.10810810816</v>
      </c>
      <c r="R122">
        <f t="shared" ref="R122" si="587">R123+Q122</f>
        <v>-370204370.05050945</v>
      </c>
      <c r="S122">
        <f t="shared" ref="S122" si="588">R122/100000</f>
        <v>-3702.0437005050944</v>
      </c>
      <c r="T122">
        <f t="shared" ref="T122" si="589">S122/1000</f>
        <v>-3.7020437005050946</v>
      </c>
    </row>
    <row r="123" spans="1:20" x14ac:dyDescent="0.25">
      <c r="A123" s="5">
        <v>44470</v>
      </c>
      <c r="B123">
        <v>1.056</v>
      </c>
      <c r="C123">
        <v>1.1259999999999999</v>
      </c>
      <c r="D123">
        <v>1.0369999999999999</v>
      </c>
      <c r="E123">
        <v>1.125</v>
      </c>
      <c r="F123">
        <v>8490695.1999999993</v>
      </c>
      <c r="G123">
        <v>1.125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0.97752808988764295</v>
      </c>
      <c r="Q123">
        <f t="shared" ref="Q123" si="591">F123*P123</f>
        <v>8299893.0606741775</v>
      </c>
      <c r="R123">
        <f t="shared" ref="R123" si="592">R124+Q123</f>
        <v>-369239426.94240135</v>
      </c>
      <c r="S123">
        <f t="shared" ref="S123" si="593">R123/100000</f>
        <v>-3692.3942694240136</v>
      </c>
      <c r="T123">
        <f t="shared" ref="T123" si="594">S123/1000</f>
        <v>-3.6923942694240135</v>
      </c>
    </row>
    <row r="124" spans="1:20" x14ac:dyDescent="0.25">
      <c r="A124" s="5">
        <v>44469</v>
      </c>
      <c r="B124">
        <v>1.0129999999999999</v>
      </c>
      <c r="C124">
        <v>1.06</v>
      </c>
      <c r="D124">
        <v>1.0089999999999999</v>
      </c>
      <c r="E124">
        <v>1.054</v>
      </c>
      <c r="F124">
        <v>5227726.9000000004</v>
      </c>
      <c r="G124">
        <v>1.054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0.76470588235294168</v>
      </c>
      <c r="Q124">
        <f t="shared" ref="Q124" si="596">F124*P124</f>
        <v>3997673.5117647089</v>
      </c>
      <c r="R124">
        <f t="shared" ref="R124" si="597">R125+Q124</f>
        <v>-377539320.00307554</v>
      </c>
      <c r="S124">
        <f t="shared" ref="S124" si="598">R124/100000</f>
        <v>-3775.3932000307555</v>
      </c>
      <c r="T124">
        <f t="shared" ref="T124" si="599">S124/1000</f>
        <v>-3.7753932000307553</v>
      </c>
    </row>
    <row r="125" spans="1:20" x14ac:dyDescent="0.25">
      <c r="A125" s="5">
        <v>44468</v>
      </c>
      <c r="B125">
        <v>0.997</v>
      </c>
      <c r="C125">
        <v>1.069</v>
      </c>
      <c r="D125">
        <v>0.98799999999999999</v>
      </c>
      <c r="E125">
        <v>1.0129999999999999</v>
      </c>
      <c r="F125">
        <v>5360330.2</v>
      </c>
      <c r="G125">
        <v>1.0129999999999999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-0.38271604938271797</v>
      </c>
      <c r="Q125">
        <f t="shared" ref="Q125" si="601">F125*P125</f>
        <v>-2051484.3975308745</v>
      </c>
      <c r="R125">
        <f t="shared" ref="R125" si="602">R126+Q125</f>
        <v>-381536993.51484025</v>
      </c>
      <c r="S125">
        <f t="shared" ref="S125" si="603">R125/100000</f>
        <v>-3815.3699351484024</v>
      </c>
      <c r="T125">
        <f t="shared" ref="T125" si="604">S125/1000</f>
        <v>-3.8153699351484023</v>
      </c>
    </row>
    <row r="126" spans="1:20" x14ac:dyDescent="0.25">
      <c r="A126" s="5">
        <v>44467</v>
      </c>
      <c r="B126">
        <v>1.0069999999999999</v>
      </c>
      <c r="C126">
        <v>1.03</v>
      </c>
      <c r="D126">
        <v>0.98499999999999999</v>
      </c>
      <c r="E126">
        <v>0.998</v>
      </c>
      <c r="F126">
        <v>5384031.4000000004</v>
      </c>
      <c r="G126">
        <v>0.998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-0.42222222222222222</v>
      </c>
      <c r="Q126">
        <f t="shared" ref="Q126" si="606">F126*P126</f>
        <v>-2273257.7022222225</v>
      </c>
      <c r="R126">
        <f t="shared" ref="R126" si="607">R127+Q126</f>
        <v>-379485509.11730939</v>
      </c>
      <c r="S126">
        <f t="shared" ref="S126" si="608">R126/100000</f>
        <v>-3794.855091173094</v>
      </c>
      <c r="T126">
        <f t="shared" ref="T126" si="609">S126/1000</f>
        <v>-3.7948550911730941</v>
      </c>
    </row>
    <row r="127" spans="1:20" x14ac:dyDescent="0.25">
      <c r="A127" s="5">
        <v>44466</v>
      </c>
      <c r="B127">
        <v>1.042</v>
      </c>
      <c r="C127">
        <v>1.0720000000000001</v>
      </c>
      <c r="D127">
        <v>1.0049999999999999</v>
      </c>
      <c r="E127">
        <v>1.01</v>
      </c>
      <c r="F127">
        <v>6033081.9000000004</v>
      </c>
      <c r="G127">
        <v>1.01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-0.85074626865671332</v>
      </c>
      <c r="Q127">
        <f t="shared" ref="Q127" si="611">F127*P127</f>
        <v>-5132621.9149253545</v>
      </c>
      <c r="R127">
        <f t="shared" ref="R127" si="612">R128+Q127</f>
        <v>-377212251.41508716</v>
      </c>
      <c r="S127">
        <f t="shared" ref="S127" si="613">R127/100000</f>
        <v>-3772.1225141508717</v>
      </c>
      <c r="T127">
        <f t="shared" ref="T127" si="614">S127/1000</f>
        <v>-3.7721225141508716</v>
      </c>
    </row>
    <row r="128" spans="1:20" x14ac:dyDescent="0.25">
      <c r="A128" s="5">
        <v>44465</v>
      </c>
      <c r="B128">
        <v>1.05</v>
      </c>
      <c r="C128">
        <v>1.08</v>
      </c>
      <c r="D128">
        <v>0.98099999999999998</v>
      </c>
      <c r="E128">
        <v>1.0429999999999999</v>
      </c>
      <c r="F128">
        <v>8818794.9000000004</v>
      </c>
      <c r="G128">
        <v>1.0429999999999999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0.25252525252525027</v>
      </c>
      <c r="Q128">
        <f t="shared" ref="Q128" si="616">F128*P128</f>
        <v>2226968.4090908892</v>
      </c>
      <c r="R128">
        <f t="shared" ref="R128" si="617">R129+Q128</f>
        <v>-372079629.50016183</v>
      </c>
      <c r="S128">
        <f t="shared" ref="S128" si="618">R128/100000</f>
        <v>-3720.7962950016181</v>
      </c>
      <c r="T128">
        <f t="shared" ref="T128" si="619">S128/1000</f>
        <v>-3.7207962950016182</v>
      </c>
    </row>
    <row r="129" spans="1:20" x14ac:dyDescent="0.25">
      <c r="A129" s="5">
        <v>44464</v>
      </c>
      <c r="B129">
        <v>1.0529999999999999</v>
      </c>
      <c r="C129">
        <v>1.0680000000000001</v>
      </c>
      <c r="D129">
        <v>1.0069999999999999</v>
      </c>
      <c r="E129">
        <v>1.05</v>
      </c>
      <c r="F129">
        <v>6631447.0999999996</v>
      </c>
      <c r="G129">
        <v>1.05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0.40983606557377156</v>
      </c>
      <c r="Q129">
        <f t="shared" ref="Q129" si="621">F129*P129</f>
        <v>2717806.1885245969</v>
      </c>
      <c r="R129">
        <f t="shared" ref="R129" si="622">R130+Q129</f>
        <v>-374306597.9092527</v>
      </c>
      <c r="S129">
        <f t="shared" ref="S129" si="623">R129/100000</f>
        <v>-3743.065979092527</v>
      </c>
      <c r="T129">
        <f t="shared" ref="T129" si="624">S129/1000</f>
        <v>-3.7430659790925271</v>
      </c>
    </row>
    <row r="130" spans="1:20" x14ac:dyDescent="0.25">
      <c r="A130" s="5">
        <v>44463</v>
      </c>
      <c r="B130">
        <v>1.1020000000000001</v>
      </c>
      <c r="C130">
        <v>1.1080000000000001</v>
      </c>
      <c r="D130">
        <v>0.95799999999999996</v>
      </c>
      <c r="E130">
        <v>1.054</v>
      </c>
      <c r="F130">
        <v>14027961.49</v>
      </c>
      <c r="G130">
        <v>1.054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0.28000000000000003</v>
      </c>
      <c r="Q130">
        <f t="shared" ref="Q130" si="626">F130*P130</f>
        <v>3927829.2172000003</v>
      </c>
      <c r="R130">
        <f t="shared" ref="R130" si="627">R131+Q130</f>
        <v>-377024404.09777731</v>
      </c>
      <c r="S130">
        <f t="shared" ref="S130" si="628">R130/100000</f>
        <v>-3770.2440409777732</v>
      </c>
      <c r="T130">
        <f t="shared" ref="T130" si="629">S130/1000</f>
        <v>-3.7702440409777731</v>
      </c>
    </row>
    <row r="131" spans="1:20" x14ac:dyDescent="0.25">
      <c r="A131" s="5">
        <v>44462</v>
      </c>
      <c r="B131">
        <v>1.1200000000000001</v>
      </c>
      <c r="C131">
        <v>1.129</v>
      </c>
      <c r="D131">
        <v>1.0649999999999999</v>
      </c>
      <c r="E131">
        <v>1.1020000000000001</v>
      </c>
      <c r="F131">
        <v>9065094.9000000004</v>
      </c>
      <c r="G131">
        <v>1.1020000000000001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0.15625000000000347</v>
      </c>
      <c r="Q131">
        <f t="shared" ref="Q131" si="631">F131*P131</f>
        <v>1416421.0781250314</v>
      </c>
      <c r="R131">
        <f t="shared" ref="R131" si="632">R132+Q131</f>
        <v>-380952233.31497729</v>
      </c>
      <c r="S131">
        <f t="shared" ref="S131" si="633">R131/100000</f>
        <v>-3809.5223331497727</v>
      </c>
      <c r="T131">
        <f t="shared" ref="T131" si="634">S131/1000</f>
        <v>-3.809522333149773</v>
      </c>
    </row>
    <row r="132" spans="1:20" x14ac:dyDescent="0.25">
      <c r="A132" s="5">
        <v>44461</v>
      </c>
      <c r="B132">
        <v>1.0009999999999999</v>
      </c>
      <c r="C132">
        <v>1.1399999999999999</v>
      </c>
      <c r="D132">
        <v>0.98799999999999999</v>
      </c>
      <c r="E132">
        <v>1.119</v>
      </c>
      <c r="F132">
        <v>11513356.800000001</v>
      </c>
      <c r="G132">
        <v>1.119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0.72368421052631682</v>
      </c>
      <c r="Q132">
        <f t="shared" ref="Q132" si="636">F132*P132</f>
        <v>8332034.5263158018</v>
      </c>
      <c r="R132">
        <f t="shared" ref="R132" si="637">R133+Q132</f>
        <v>-382368654.39310235</v>
      </c>
      <c r="S132">
        <f t="shared" ref="S132" si="638">R132/100000</f>
        <v>-3823.6865439310236</v>
      </c>
      <c r="T132">
        <f t="shared" ref="T132" si="639">S132/1000</f>
        <v>-3.8236865439310237</v>
      </c>
    </row>
    <row r="133" spans="1:20" x14ac:dyDescent="0.25">
      <c r="A133" s="5">
        <v>44460</v>
      </c>
      <c r="B133">
        <v>1.079</v>
      </c>
      <c r="C133">
        <v>1.1200000000000001</v>
      </c>
      <c r="D133">
        <v>0.97099999999999997</v>
      </c>
      <c r="E133">
        <v>1</v>
      </c>
      <c r="F133">
        <v>15707890.24</v>
      </c>
      <c r="G133">
        <v>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-0.61073825503355705</v>
      </c>
      <c r="Q133">
        <f t="shared" ref="Q133" si="641">F133*P133</f>
        <v>-9593409.4754362423</v>
      </c>
      <c r="R133">
        <f t="shared" ref="R133" si="642">R134+Q133</f>
        <v>-390700688.91941816</v>
      </c>
      <c r="S133">
        <f t="shared" ref="S133" si="643">R133/100000</f>
        <v>-3907.0068891941814</v>
      </c>
      <c r="T133">
        <f t="shared" ref="T133" si="644">S133/1000</f>
        <v>-3.9070068891941814</v>
      </c>
    </row>
    <row r="134" spans="1:20" x14ac:dyDescent="0.25">
      <c r="A134" s="5">
        <v>44459</v>
      </c>
      <c r="B134">
        <v>1.2130000000000001</v>
      </c>
      <c r="C134">
        <v>1.3640000000000001</v>
      </c>
      <c r="D134">
        <v>1.1599999999999999</v>
      </c>
      <c r="E134">
        <v>1.1890000000000001</v>
      </c>
      <c r="F134">
        <v>29901595.800000001</v>
      </c>
      <c r="G134">
        <v>1.1890000000000001</v>
      </c>
      <c r="L134" t="s">
        <v>7</v>
      </c>
      <c r="M134" t="s">
        <v>8</v>
      </c>
      <c r="N134" t="s">
        <v>7</v>
      </c>
      <c r="P134">
        <f t="shared" ref="P134" si="645">IF(C134=D134,0,((E134-D134)-(C134-E134))/(C134-D134))</f>
        <v>-0.71568627450980282</v>
      </c>
      <c r="Q134">
        <f t="shared" ref="Q134" si="646">F134*P134</f>
        <v>-21400161.699999969</v>
      </c>
      <c r="R134">
        <f t="shared" ref="R134" si="647">R135+Q134</f>
        <v>-381107279.44398189</v>
      </c>
      <c r="S134">
        <f t="shared" ref="S134" si="648">R134/100000</f>
        <v>-3811.0727944398191</v>
      </c>
      <c r="T134">
        <f t="shared" ref="T134" si="649">S134/1000</f>
        <v>-3.8110727944398191</v>
      </c>
    </row>
    <row r="135" spans="1:20" x14ac:dyDescent="0.25">
      <c r="A135" s="5">
        <v>44458</v>
      </c>
      <c r="B135">
        <v>1.18</v>
      </c>
      <c r="C135">
        <v>1.3879999999999999</v>
      </c>
      <c r="D135">
        <v>1.157</v>
      </c>
      <c r="E135">
        <v>1.214</v>
      </c>
      <c r="F135">
        <v>29213672.100000001</v>
      </c>
      <c r="G135">
        <v>1.214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-0.50649350649350677</v>
      </c>
      <c r="Q135">
        <f t="shared" ref="Q135" si="651">F135*P135</f>
        <v>-14796535.219480528</v>
      </c>
      <c r="R135">
        <f t="shared" ref="R135" si="652">R136+Q135</f>
        <v>-359707117.7439819</v>
      </c>
      <c r="S135">
        <f t="shared" ref="S135" si="653">R135/100000</f>
        <v>-3597.0711774398192</v>
      </c>
      <c r="T135">
        <f t="shared" ref="T135" si="654">S135/1000</f>
        <v>-3.597071177439819</v>
      </c>
    </row>
    <row r="136" spans="1:20" x14ac:dyDescent="0.25">
      <c r="A136" s="5">
        <v>44457</v>
      </c>
      <c r="B136">
        <v>1.1539999999999999</v>
      </c>
      <c r="C136">
        <v>1.218</v>
      </c>
      <c r="D136">
        <v>1.1399999999999999</v>
      </c>
      <c r="E136">
        <v>1.18</v>
      </c>
      <c r="F136">
        <v>6148554</v>
      </c>
      <c r="G136">
        <v>1.18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2.564102564102564E-2</v>
      </c>
      <c r="Q136">
        <f t="shared" ref="Q136" si="656">F136*P136</f>
        <v>157655.23076923075</v>
      </c>
      <c r="R136">
        <f t="shared" ref="R136" si="657">R137+Q136</f>
        <v>-344910582.52450138</v>
      </c>
      <c r="S136">
        <f t="shared" ref="S136" si="658">R136/100000</f>
        <v>-3449.1058252450139</v>
      </c>
      <c r="T136">
        <f t="shared" ref="T136" si="659">S136/1000</f>
        <v>-3.449105825245014</v>
      </c>
    </row>
    <row r="137" spans="1:20" x14ac:dyDescent="0.25">
      <c r="A137" s="5">
        <v>44456</v>
      </c>
      <c r="B137">
        <v>1.202</v>
      </c>
      <c r="C137">
        <v>1.216</v>
      </c>
      <c r="D137">
        <v>1.1259999999999999</v>
      </c>
      <c r="E137">
        <v>1.153</v>
      </c>
      <c r="F137">
        <v>5131332.7</v>
      </c>
      <c r="G137">
        <v>1.153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-0.39999999999999752</v>
      </c>
      <c r="Q137">
        <f t="shared" ref="Q137" si="661">F137*P137</f>
        <v>-2052533.0799999873</v>
      </c>
      <c r="R137">
        <f t="shared" ref="R137" si="662">R138+Q137</f>
        <v>-345068237.7552706</v>
      </c>
      <c r="S137">
        <f t="shared" ref="S137" si="663">R137/100000</f>
        <v>-3450.6823775527059</v>
      </c>
      <c r="T137">
        <f t="shared" ref="T137" si="664">S137/1000</f>
        <v>-3.450682377552706</v>
      </c>
    </row>
    <row r="138" spans="1:20" x14ac:dyDescent="0.25">
      <c r="A138" s="5">
        <v>44455</v>
      </c>
      <c r="B138">
        <v>1.2130000000000001</v>
      </c>
      <c r="C138">
        <v>1.2649999999999999</v>
      </c>
      <c r="D138">
        <v>1.18</v>
      </c>
      <c r="E138">
        <v>1.2</v>
      </c>
      <c r="F138">
        <v>10205898.5</v>
      </c>
      <c r="G138">
        <v>1.2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-0.52941176470588169</v>
      </c>
      <c r="Q138">
        <f t="shared" ref="Q138" si="666">F138*P138</f>
        <v>-5403122.7352941111</v>
      </c>
      <c r="R138">
        <f t="shared" ref="R138" si="667">R139+Q138</f>
        <v>-343015704.67527062</v>
      </c>
      <c r="S138">
        <f t="shared" ref="S138" si="668">R138/100000</f>
        <v>-3430.1570467527063</v>
      </c>
      <c r="T138">
        <f t="shared" ref="T138" si="669">S138/1000</f>
        <v>-3.4301570467527061</v>
      </c>
    </row>
    <row r="139" spans="1:20" x14ac:dyDescent="0.25">
      <c r="A139" s="5">
        <v>44454</v>
      </c>
      <c r="B139">
        <v>1.18</v>
      </c>
      <c r="C139">
        <v>1.2170000000000001</v>
      </c>
      <c r="D139">
        <v>1.1719999999999999</v>
      </c>
      <c r="E139">
        <v>1.212</v>
      </c>
      <c r="F139">
        <v>6027635.2999999998</v>
      </c>
      <c r="G139">
        <v>1.212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0.77777777777777335</v>
      </c>
      <c r="Q139">
        <f t="shared" ref="Q139" si="671">F139*P139</f>
        <v>4688160.7888888624</v>
      </c>
      <c r="R139">
        <f t="shared" ref="R139" si="672">R140+Q139</f>
        <v>-337612581.93997651</v>
      </c>
      <c r="S139">
        <f t="shared" ref="S139" si="673">R139/100000</f>
        <v>-3376.1258193997651</v>
      </c>
      <c r="T139">
        <f t="shared" ref="T139" si="674">S139/1000</f>
        <v>-3.376125819399765</v>
      </c>
    </row>
    <row r="140" spans="1:20" x14ac:dyDescent="0.25">
      <c r="A140" s="5">
        <v>44453</v>
      </c>
      <c r="B140">
        <v>1.1299999999999999</v>
      </c>
      <c r="C140">
        <v>1.23</v>
      </c>
      <c r="D140">
        <v>1.1220000000000001</v>
      </c>
      <c r="E140">
        <v>1.181</v>
      </c>
      <c r="F140">
        <v>7680915.0999999996</v>
      </c>
      <c r="G140">
        <v>1.181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9.2592592592592782E-2</v>
      </c>
      <c r="Q140">
        <f t="shared" ref="Q140" si="676">F140*P140</f>
        <v>711195.84259259398</v>
      </c>
      <c r="R140">
        <f t="shared" ref="R140" si="677">R141+Q140</f>
        <v>-342300742.72886539</v>
      </c>
      <c r="S140">
        <f t="shared" ref="S140" si="678">R140/100000</f>
        <v>-3423.0074272886541</v>
      </c>
      <c r="T140">
        <f t="shared" ref="T140" si="679">S140/1000</f>
        <v>-3.4230074272886539</v>
      </c>
    </row>
    <row r="141" spans="1:20" x14ac:dyDescent="0.25">
      <c r="A141" s="5">
        <v>44452</v>
      </c>
      <c r="B141">
        <v>1.1990000000000001</v>
      </c>
      <c r="C141">
        <v>1.2250000000000001</v>
      </c>
      <c r="D141">
        <v>1.087</v>
      </c>
      <c r="E141">
        <v>1.131</v>
      </c>
      <c r="F141">
        <v>8590465.1999999993</v>
      </c>
      <c r="G141">
        <v>1.131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-0.36231884057971014</v>
      </c>
      <c r="Q141">
        <f t="shared" ref="Q141" si="681">F141*P141</f>
        <v>-3112487.3913043477</v>
      </c>
      <c r="R141">
        <f t="shared" ref="R141" si="682">R142+Q141</f>
        <v>-343011938.57145798</v>
      </c>
      <c r="S141">
        <f t="shared" ref="S141" si="683">R141/100000</f>
        <v>-3430.1193857145799</v>
      </c>
      <c r="T141">
        <f t="shared" ref="T141" si="684">S141/1000</f>
        <v>-3.4301193857145797</v>
      </c>
    </row>
    <row r="142" spans="1:20" x14ac:dyDescent="0.25">
      <c r="A142" s="5">
        <v>44451</v>
      </c>
      <c r="B142">
        <v>1.1890000000000001</v>
      </c>
      <c r="C142">
        <v>1.2310000000000001</v>
      </c>
      <c r="D142">
        <v>1.133</v>
      </c>
      <c r="E142">
        <v>1.1990000000000001</v>
      </c>
      <c r="F142">
        <v>10295447.4</v>
      </c>
      <c r="G142">
        <v>1.1990000000000001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0.34693877551020408</v>
      </c>
      <c r="Q142">
        <f t="shared" ref="Q142" si="686">F142*P142</f>
        <v>3571889.9142857143</v>
      </c>
      <c r="R142">
        <f t="shared" ref="R142" si="687">R143+Q142</f>
        <v>-339899451.18015361</v>
      </c>
      <c r="S142">
        <f t="shared" ref="S142" si="688">R142/100000</f>
        <v>-3398.9945118015362</v>
      </c>
      <c r="T142">
        <f t="shared" ref="T142" si="689">S142/1000</f>
        <v>-3.3989945118015363</v>
      </c>
    </row>
    <row r="143" spans="1:20" x14ac:dyDescent="0.25">
      <c r="A143" s="5">
        <v>44450</v>
      </c>
      <c r="B143">
        <v>1.1819999999999999</v>
      </c>
      <c r="C143">
        <v>1.2270000000000001</v>
      </c>
      <c r="D143">
        <v>1.159</v>
      </c>
      <c r="E143">
        <v>1.1890000000000001</v>
      </c>
      <c r="F143">
        <v>4485093.0999999996</v>
      </c>
      <c r="G143">
        <v>1.1890000000000001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-0.11764705882352941</v>
      </c>
      <c r="Q143">
        <f t="shared" ref="Q143" si="691">F143*P143</f>
        <v>-527658.01176470588</v>
      </c>
      <c r="R143">
        <f t="shared" ref="R143" si="692">R144+Q143</f>
        <v>-343471341.09443933</v>
      </c>
      <c r="S143">
        <f t="shared" ref="S143" si="693">R143/100000</f>
        <v>-3434.7134109443932</v>
      </c>
      <c r="T143">
        <f t="shared" ref="T143" si="694">S143/1000</f>
        <v>-3.4347134109443931</v>
      </c>
    </row>
    <row r="144" spans="1:20" x14ac:dyDescent="0.25">
      <c r="A144" s="5">
        <v>44449</v>
      </c>
      <c r="B144">
        <v>1.2490000000000001</v>
      </c>
      <c r="C144">
        <v>1.288</v>
      </c>
      <c r="D144">
        <v>1.143</v>
      </c>
      <c r="E144">
        <v>1.181</v>
      </c>
      <c r="F144">
        <v>7233460.5999999996</v>
      </c>
      <c r="G144">
        <v>1.181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-0.47586206896551686</v>
      </c>
      <c r="Q144">
        <f t="shared" ref="Q144" si="696">F144*P144</f>
        <v>-3442129.5268965489</v>
      </c>
      <c r="R144">
        <f t="shared" ref="R144" si="697">R145+Q144</f>
        <v>-342943683.08267462</v>
      </c>
      <c r="S144">
        <f t="shared" ref="S144" si="698">R144/100000</f>
        <v>-3429.4368308267462</v>
      </c>
      <c r="T144">
        <f t="shared" ref="T144" si="699">S144/1000</f>
        <v>-3.4294368308267464</v>
      </c>
    </row>
    <row r="145" spans="1:20" x14ac:dyDescent="0.25">
      <c r="A145" s="5">
        <v>44448</v>
      </c>
      <c r="B145">
        <v>1.2250000000000001</v>
      </c>
      <c r="C145">
        <v>1.294</v>
      </c>
      <c r="D145">
        <v>1.1950000000000001</v>
      </c>
      <c r="E145">
        <v>1.2470000000000001</v>
      </c>
      <c r="F145">
        <v>7006534.2999999998</v>
      </c>
      <c r="G145">
        <v>1.2470000000000001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5.0505050505051684E-2</v>
      </c>
      <c r="Q145">
        <f t="shared" ref="Q145" si="701">F145*P145</f>
        <v>353865.36868687696</v>
      </c>
      <c r="R145">
        <f t="shared" ref="R145" si="702">R146+Q145</f>
        <v>-339501553.55577809</v>
      </c>
      <c r="S145">
        <f t="shared" ref="S145" si="703">R145/100000</f>
        <v>-3395.0155355577808</v>
      </c>
      <c r="T145">
        <f t="shared" ref="T145" si="704">S145/1000</f>
        <v>-3.3950155355577807</v>
      </c>
    </row>
    <row r="146" spans="1:20" x14ac:dyDescent="0.25">
      <c r="A146" s="5">
        <v>44447</v>
      </c>
      <c r="B146">
        <v>1.2529999999999999</v>
      </c>
      <c r="C146">
        <v>1.3180000000000001</v>
      </c>
      <c r="D146">
        <v>1.101</v>
      </c>
      <c r="E146">
        <v>1.224</v>
      </c>
      <c r="F146">
        <v>11770785.199999999</v>
      </c>
      <c r="G146">
        <v>1.224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0.13364055299539127</v>
      </c>
      <c r="Q146">
        <f t="shared" ref="Q146" si="706">F146*P146</f>
        <v>1573054.243317967</v>
      </c>
      <c r="R146">
        <f t="shared" ref="R146" si="707">R147+Q146</f>
        <v>-339855418.92446494</v>
      </c>
      <c r="S146">
        <f t="shared" ref="S146" si="708">R146/100000</f>
        <v>-3398.5541892446495</v>
      </c>
      <c r="T146">
        <f t="shared" ref="T146" si="709">S146/1000</f>
        <v>-3.3985541892446496</v>
      </c>
    </row>
    <row r="147" spans="1:20" x14ac:dyDescent="0.25">
      <c r="A147" s="5">
        <v>44446</v>
      </c>
      <c r="B147">
        <v>1.5840000000000001</v>
      </c>
      <c r="C147">
        <v>1.585</v>
      </c>
      <c r="D147">
        <v>1.05</v>
      </c>
      <c r="E147">
        <v>1.25</v>
      </c>
      <c r="F147">
        <v>22752045.84</v>
      </c>
      <c r="G147">
        <v>1.25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-0.25233644859813087</v>
      </c>
      <c r="Q147">
        <f t="shared" ref="Q147" si="711">F147*P147</f>
        <v>-5741170.4456074769</v>
      </c>
      <c r="R147">
        <f t="shared" ref="R147" si="712">R148+Q147</f>
        <v>-341428473.1677829</v>
      </c>
      <c r="S147">
        <f t="shared" ref="S147" si="713">R147/100000</f>
        <v>-3414.2847316778289</v>
      </c>
      <c r="T147">
        <f t="shared" ref="T147" si="714">S147/1000</f>
        <v>-3.4142847316778289</v>
      </c>
    </row>
    <row r="148" spans="1:20" x14ac:dyDescent="0.25">
      <c r="A148" s="5">
        <v>44445</v>
      </c>
      <c r="B148">
        <v>1.573</v>
      </c>
      <c r="C148">
        <v>1.5980000000000001</v>
      </c>
      <c r="D148">
        <v>1.474</v>
      </c>
      <c r="E148">
        <v>1.5840000000000001</v>
      </c>
      <c r="F148">
        <v>15905633</v>
      </c>
      <c r="G148">
        <v>1.5840000000000001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0.77419354838709675</v>
      </c>
      <c r="Q148">
        <f t="shared" ref="Q148" si="716">F148*P148</f>
        <v>12314038.451612903</v>
      </c>
      <c r="R148">
        <f t="shared" ref="R148" si="717">R149+Q148</f>
        <v>-335687302.72217542</v>
      </c>
      <c r="S148">
        <f t="shared" ref="S148" si="718">R148/100000</f>
        <v>-3356.873027221754</v>
      </c>
      <c r="T148">
        <f t="shared" ref="T148" si="719">S148/1000</f>
        <v>-3.356873027221754</v>
      </c>
    </row>
    <row r="149" spans="1:20" x14ac:dyDescent="0.25">
      <c r="A149" s="5">
        <v>44444</v>
      </c>
      <c r="B149">
        <v>1.5049999999999999</v>
      </c>
      <c r="C149">
        <v>1.6</v>
      </c>
      <c r="D149">
        <v>1.488</v>
      </c>
      <c r="E149">
        <v>1.5740000000000001</v>
      </c>
      <c r="F149">
        <v>14786726.439999999</v>
      </c>
      <c r="G149">
        <v>1.5740000000000001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0.5357142857142857</v>
      </c>
      <c r="Q149">
        <f t="shared" ref="Q149" si="721">F149*P149</f>
        <v>7921460.592857142</v>
      </c>
      <c r="R149">
        <f t="shared" ref="R149" si="722">R150+Q149</f>
        <v>-348001341.17378831</v>
      </c>
      <c r="S149">
        <f t="shared" ref="S149" si="723">R149/100000</f>
        <v>-3480.013411737883</v>
      </c>
      <c r="T149">
        <f t="shared" ref="T149" si="724">S149/1000</f>
        <v>-3.4800134117378829</v>
      </c>
    </row>
    <row r="150" spans="1:20" x14ac:dyDescent="0.25">
      <c r="A150" s="5">
        <v>44443</v>
      </c>
      <c r="B150">
        <v>1.452</v>
      </c>
      <c r="C150">
        <v>1.569</v>
      </c>
      <c r="D150">
        <v>1.4450000000000001</v>
      </c>
      <c r="E150">
        <v>1.5049999999999999</v>
      </c>
      <c r="F150">
        <v>16422501.289999999</v>
      </c>
      <c r="G150">
        <v>1.5049999999999999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-3.2258064516130884E-2</v>
      </c>
      <c r="Q150">
        <f t="shared" ref="Q150" si="726">F150*P150</f>
        <v>-529758.10612906259</v>
      </c>
      <c r="R150">
        <f t="shared" ref="R150" si="727">R151+Q150</f>
        <v>-355922801.76664543</v>
      </c>
      <c r="S150">
        <f t="shared" ref="S150" si="728">R150/100000</f>
        <v>-3559.2280176664544</v>
      </c>
      <c r="T150">
        <f t="shared" ref="T150" si="729">S150/1000</f>
        <v>-3.5592280176664546</v>
      </c>
    </row>
    <row r="151" spans="1:20" x14ac:dyDescent="0.25">
      <c r="A151" s="5">
        <v>44442</v>
      </c>
      <c r="B151">
        <v>1.452</v>
      </c>
      <c r="C151">
        <v>1.498</v>
      </c>
      <c r="D151">
        <v>1.4259999999999999</v>
      </c>
      <c r="E151">
        <v>1.452</v>
      </c>
      <c r="F151">
        <v>11126615.4</v>
      </c>
      <c r="G151">
        <v>1.452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-0.27777777777777779</v>
      </c>
      <c r="Q151">
        <f t="shared" ref="Q151" si="731">F151*P151</f>
        <v>-3090726.5000000005</v>
      </c>
      <c r="R151">
        <f t="shared" ref="R151" si="732">R152+Q151</f>
        <v>-355393043.66051638</v>
      </c>
      <c r="S151">
        <f t="shared" ref="S151" si="733">R151/100000</f>
        <v>-3553.9304366051638</v>
      </c>
      <c r="T151">
        <f t="shared" ref="T151" si="734">S151/1000</f>
        <v>-3.5539304366051638</v>
      </c>
    </row>
    <row r="152" spans="1:20" x14ac:dyDescent="0.25">
      <c r="A152" s="5">
        <v>44441</v>
      </c>
      <c r="B152">
        <v>1.474</v>
      </c>
      <c r="C152">
        <v>1.5049999999999999</v>
      </c>
      <c r="D152">
        <v>1.446</v>
      </c>
      <c r="E152">
        <v>1.4550000000000001</v>
      </c>
      <c r="F152">
        <v>8175864.2000000002</v>
      </c>
      <c r="G152">
        <v>1.4550000000000001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-0.69491525423728384</v>
      </c>
      <c r="Q152">
        <f t="shared" ref="Q152" si="736">F152*P152</f>
        <v>-5681532.7491525076</v>
      </c>
      <c r="R152">
        <f t="shared" ref="R152" si="737">R153+Q152</f>
        <v>-352302317.16051638</v>
      </c>
      <c r="S152">
        <f t="shared" ref="S152" si="738">R152/100000</f>
        <v>-3523.023171605164</v>
      </c>
      <c r="T152">
        <f t="shared" ref="T152" si="739">S152/1000</f>
        <v>-3.5230231716051641</v>
      </c>
    </row>
    <row r="153" spans="1:20" x14ac:dyDescent="0.25">
      <c r="A153" s="5">
        <v>44440</v>
      </c>
      <c r="B153">
        <v>1.4139999999999999</v>
      </c>
      <c r="C153">
        <v>1.4770000000000001</v>
      </c>
      <c r="D153">
        <v>1.3819999999999999</v>
      </c>
      <c r="E153">
        <v>1.4750000000000001</v>
      </c>
      <c r="F153">
        <v>7295542.0999999996</v>
      </c>
      <c r="G153">
        <v>1.4750000000000001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0.95789473684210535</v>
      </c>
      <c r="Q153">
        <f t="shared" ref="Q153" si="741">F153*P153</f>
        <v>6988361.3799999999</v>
      </c>
      <c r="R153">
        <f t="shared" ref="R153" si="742">R154+Q153</f>
        <v>-346620784.4113639</v>
      </c>
      <c r="S153">
        <f t="shared" ref="S153" si="743">R153/100000</f>
        <v>-3466.2078441136391</v>
      </c>
      <c r="T153">
        <f t="shared" ref="T153" si="744">S153/1000</f>
        <v>-3.4662078441136392</v>
      </c>
    </row>
    <row r="154" spans="1:20" x14ac:dyDescent="0.25">
      <c r="A154" s="5">
        <v>44439</v>
      </c>
      <c r="B154">
        <v>1.393</v>
      </c>
      <c r="C154">
        <v>1.452</v>
      </c>
      <c r="D154">
        <v>1.375</v>
      </c>
      <c r="E154">
        <v>1.4159999999999999</v>
      </c>
      <c r="F154">
        <v>7044001.7999999998</v>
      </c>
      <c r="G154">
        <v>1.4159999999999999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6.4935064935063583E-2</v>
      </c>
      <c r="Q154">
        <f t="shared" ref="Q154" si="746">F154*P154</f>
        <v>457402.71428570477</v>
      </c>
      <c r="R154">
        <f t="shared" ref="R154" si="747">R155+Q154</f>
        <v>-353609145.79136389</v>
      </c>
      <c r="S154">
        <f t="shared" ref="S154" si="748">R154/100000</f>
        <v>-3536.0914579136388</v>
      </c>
      <c r="T154">
        <f t="shared" ref="T154" si="749">S154/1000</f>
        <v>-3.5360914579136389</v>
      </c>
    </row>
    <row r="155" spans="1:20" x14ac:dyDescent="0.25">
      <c r="A155" s="5">
        <v>44438</v>
      </c>
      <c r="B155">
        <v>1.4850000000000001</v>
      </c>
      <c r="C155">
        <v>1.486</v>
      </c>
      <c r="D155">
        <v>1.369</v>
      </c>
      <c r="E155">
        <v>1.393</v>
      </c>
      <c r="F155">
        <v>9817578.2599999998</v>
      </c>
      <c r="G155">
        <v>1.393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-0.58974358974358931</v>
      </c>
      <c r="Q155">
        <f t="shared" ref="Q155" si="751">F155*P155</f>
        <v>-5789853.8456410216</v>
      </c>
      <c r="R155">
        <f t="shared" ref="R155" si="752">R156+Q155</f>
        <v>-354066548.50564963</v>
      </c>
      <c r="S155">
        <f t="shared" ref="S155" si="753">R155/100000</f>
        <v>-3540.6654850564964</v>
      </c>
      <c r="T155">
        <f t="shared" ref="T155" si="754">S155/1000</f>
        <v>-3.5406654850564965</v>
      </c>
    </row>
    <row r="156" spans="1:20" x14ac:dyDescent="0.25">
      <c r="A156" s="5">
        <v>44437</v>
      </c>
      <c r="B156">
        <v>1.488</v>
      </c>
      <c r="C156">
        <v>1.5169999999999999</v>
      </c>
      <c r="D156">
        <v>1.45</v>
      </c>
      <c r="E156">
        <v>1.4850000000000001</v>
      </c>
      <c r="F156">
        <v>5517199.4000000004</v>
      </c>
      <c r="G156">
        <v>1.4850000000000001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4.4776119402990117E-2</v>
      </c>
      <c r="Q156">
        <f t="shared" ref="Q156" si="756">F156*P156</f>
        <v>247038.77910450543</v>
      </c>
      <c r="R156">
        <f t="shared" ref="R156" si="757">R157+Q156</f>
        <v>-348276694.66000861</v>
      </c>
      <c r="S156">
        <f t="shared" ref="S156" si="758">R156/100000</f>
        <v>-3482.7669466000862</v>
      </c>
      <c r="T156">
        <f t="shared" ref="T156" si="759">S156/1000</f>
        <v>-3.4827669466000861</v>
      </c>
    </row>
    <row r="157" spans="1:20" x14ac:dyDescent="0.25">
      <c r="A157" s="5">
        <v>44436</v>
      </c>
      <c r="B157">
        <v>1.5489999999999999</v>
      </c>
      <c r="C157">
        <v>1.5580000000000001</v>
      </c>
      <c r="D157">
        <v>1.4610000000000001</v>
      </c>
      <c r="E157">
        <v>1.488</v>
      </c>
      <c r="F157">
        <v>5573551.9800000004</v>
      </c>
      <c r="G157">
        <v>1.488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-0.44329896907216659</v>
      </c>
      <c r="Q157">
        <f t="shared" ref="Q157" si="761">F157*P157</f>
        <v>-2470749.8468041332</v>
      </c>
      <c r="R157">
        <f t="shared" ref="R157" si="762">R158+Q157</f>
        <v>-348523733.43911314</v>
      </c>
      <c r="S157">
        <f t="shared" ref="S157" si="763">R157/100000</f>
        <v>-3485.2373343911313</v>
      </c>
      <c r="T157">
        <f t="shared" ref="T157" si="764">S157/1000</f>
        <v>-3.4852373343911314</v>
      </c>
    </row>
    <row r="158" spans="1:20" x14ac:dyDescent="0.25">
      <c r="A158" s="5">
        <v>44435</v>
      </c>
      <c r="B158">
        <v>1.421</v>
      </c>
      <c r="C158">
        <v>1.55</v>
      </c>
      <c r="D158">
        <v>1.4</v>
      </c>
      <c r="E158">
        <v>1.5489999999999999</v>
      </c>
      <c r="F158">
        <v>7947724.21</v>
      </c>
      <c r="G158">
        <v>1.5489999999999999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0.98666666666666514</v>
      </c>
      <c r="Q158">
        <f t="shared" ref="Q158" si="766">F158*P158</f>
        <v>7841754.5538666546</v>
      </c>
      <c r="R158">
        <f t="shared" ref="R158" si="767">R159+Q158</f>
        <v>-346052983.592309</v>
      </c>
      <c r="S158">
        <f t="shared" ref="S158" si="768">R158/100000</f>
        <v>-3460.5298359230901</v>
      </c>
      <c r="T158">
        <f t="shared" ref="T158" si="769">S158/1000</f>
        <v>-3.46052983592309</v>
      </c>
    </row>
    <row r="159" spans="1:20" x14ac:dyDescent="0.25">
      <c r="A159" s="5">
        <v>44434</v>
      </c>
      <c r="B159">
        <v>1.5809</v>
      </c>
      <c r="C159">
        <v>1.6073999999999999</v>
      </c>
      <c r="D159">
        <v>1.4</v>
      </c>
      <c r="E159">
        <v>1.4219999999999999</v>
      </c>
      <c r="F159">
        <v>10712657.810000001</v>
      </c>
      <c r="G159">
        <v>1.4219999999999999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-0.78784956605593037</v>
      </c>
      <c r="Q159">
        <f t="shared" ref="Q159" si="771">F159*P159</f>
        <v>-8439962.8069141731</v>
      </c>
      <c r="R159">
        <f t="shared" ref="R159" si="772">R160+Q159</f>
        <v>-353894738.14617568</v>
      </c>
      <c r="S159">
        <f t="shared" ref="S159" si="773">R159/100000</f>
        <v>-3538.9473814617568</v>
      </c>
      <c r="T159">
        <f t="shared" ref="T159" si="774">S159/1000</f>
        <v>-3.5389473814617567</v>
      </c>
    </row>
    <row r="160" spans="1:20" x14ac:dyDescent="0.25">
      <c r="A160" s="5">
        <v>44433</v>
      </c>
      <c r="B160">
        <v>1.5015000000000001</v>
      </c>
      <c r="C160">
        <v>1.6201000000000001</v>
      </c>
      <c r="D160">
        <v>1.4260999999999999</v>
      </c>
      <c r="E160">
        <v>1.5812999999999999</v>
      </c>
      <c r="F160">
        <v>13552198.27</v>
      </c>
      <c r="G160">
        <v>1.5812999999999999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0.59999999999999865</v>
      </c>
      <c r="Q160">
        <f t="shared" ref="Q160" si="776">F160*P160</f>
        <v>8131318.9619999817</v>
      </c>
      <c r="R160">
        <f t="shared" ref="R160" si="777">R161+Q160</f>
        <v>-345454775.33926153</v>
      </c>
      <c r="S160">
        <f t="shared" ref="S160" si="778">R160/100000</f>
        <v>-3454.5477533926155</v>
      </c>
      <c r="T160">
        <f t="shared" ref="T160" si="779">S160/1000</f>
        <v>-3.4545477533926157</v>
      </c>
    </row>
    <row r="161" spans="1:20" x14ac:dyDescent="0.25">
      <c r="A161" s="5">
        <v>44432</v>
      </c>
      <c r="B161">
        <v>1.6653</v>
      </c>
      <c r="C161">
        <v>1.6748000000000001</v>
      </c>
      <c r="D161">
        <v>1.46</v>
      </c>
      <c r="E161">
        <v>1.5013000000000001</v>
      </c>
      <c r="F161">
        <v>12478196.34</v>
      </c>
      <c r="G161">
        <v>1.5013000000000001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-0.6154562383612654</v>
      </c>
      <c r="Q161">
        <f t="shared" ref="Q161" si="781">F161*P161</f>
        <v>-7679783.780949709</v>
      </c>
      <c r="R161">
        <f t="shared" ref="R161" si="782">R162+Q161</f>
        <v>-353586094.30126148</v>
      </c>
      <c r="S161">
        <f t="shared" ref="S161" si="783">R161/100000</f>
        <v>-3535.8609430126148</v>
      </c>
      <c r="T161">
        <f t="shared" ref="T161" si="784">S161/1000</f>
        <v>-3.5358609430126147</v>
      </c>
    </row>
    <row r="162" spans="1:20" x14ac:dyDescent="0.25">
      <c r="A162" s="5">
        <v>44431</v>
      </c>
      <c r="B162">
        <v>1.4975000000000001</v>
      </c>
      <c r="C162">
        <v>1.75</v>
      </c>
      <c r="D162">
        <v>1.4830000000000001</v>
      </c>
      <c r="E162">
        <v>1.6651</v>
      </c>
      <c r="F162">
        <v>24224478.57</v>
      </c>
      <c r="G162">
        <v>1.6651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0.36404494382022468</v>
      </c>
      <c r="Q162">
        <f t="shared" ref="Q162" si="786">F162*P162</f>
        <v>8818798.940089887</v>
      </c>
      <c r="R162">
        <f t="shared" ref="R162" si="787">R163+Q162</f>
        <v>-345906310.52031177</v>
      </c>
      <c r="S162">
        <f t="shared" ref="S162" si="788">R162/100000</f>
        <v>-3459.0631052031176</v>
      </c>
      <c r="T162">
        <f t="shared" ref="T162" si="789">S162/1000</f>
        <v>-3.4590631052031178</v>
      </c>
    </row>
    <row r="163" spans="1:20" x14ac:dyDescent="0.25">
      <c r="A163" s="5">
        <v>44430</v>
      </c>
      <c r="B163">
        <v>1.4943</v>
      </c>
      <c r="C163">
        <v>1.5119</v>
      </c>
      <c r="D163">
        <v>1.4742999999999999</v>
      </c>
      <c r="E163">
        <v>1.5049999999999999</v>
      </c>
      <c r="F163">
        <v>1173025.48</v>
      </c>
      <c r="G163">
        <v>1.5049999999999999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0.63297872340424921</v>
      </c>
      <c r="Q163">
        <f t="shared" ref="Q163" si="791">F163*P163</f>
        <v>742500.1708510567</v>
      </c>
      <c r="R163">
        <f t="shared" ref="R163" si="792">R164+Q163</f>
        <v>-354725109.46040165</v>
      </c>
      <c r="S163">
        <f t="shared" ref="S163" si="793">R163/100000</f>
        <v>-3547.2510946040165</v>
      </c>
      <c r="T163">
        <f t="shared" ref="T163" si="794">S163/1000</f>
        <v>-3.5472510946040163</v>
      </c>
    </row>
    <row r="164" spans="1:20" x14ac:dyDescent="0.25">
      <c r="A164" s="5">
        <v>44429</v>
      </c>
      <c r="B164">
        <v>1.5069999999999999</v>
      </c>
      <c r="C164">
        <v>1.5660000000000001</v>
      </c>
      <c r="D164">
        <v>1.4713000000000001</v>
      </c>
      <c r="E164">
        <v>1.4954000000000001</v>
      </c>
      <c r="F164">
        <v>9334933.1600000001</v>
      </c>
      <c r="G164">
        <v>1.4954000000000001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-0.49102428722280866</v>
      </c>
      <c r="Q164">
        <f t="shared" ref="Q164" si="796">F164*P164</f>
        <v>-4583678.9011615608</v>
      </c>
      <c r="R164">
        <f t="shared" ref="R164" si="797">R165+Q164</f>
        <v>-355467609.63125271</v>
      </c>
      <c r="S164">
        <f t="shared" ref="S164" si="798">R164/100000</f>
        <v>-3554.6760963125271</v>
      </c>
      <c r="T164">
        <f t="shared" ref="T164" si="799">S164/1000</f>
        <v>-3.554676096312527</v>
      </c>
    </row>
    <row r="165" spans="1:20" x14ac:dyDescent="0.25">
      <c r="A165" s="5">
        <v>44428</v>
      </c>
      <c r="B165">
        <v>1.4246000000000001</v>
      </c>
      <c r="C165">
        <v>1.54</v>
      </c>
      <c r="D165">
        <v>1.4065000000000001</v>
      </c>
      <c r="E165">
        <v>1.5069999999999999</v>
      </c>
      <c r="F165">
        <v>11837702.33</v>
      </c>
      <c r="G165">
        <v>1.5069999999999999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0.50561797752808757</v>
      </c>
      <c r="Q165">
        <f t="shared" ref="Q165" si="801">F165*P165</f>
        <v>5985355.1106741298</v>
      </c>
      <c r="R165">
        <f t="shared" ref="R165" si="802">R166+Q165</f>
        <v>-350883930.73009115</v>
      </c>
      <c r="S165">
        <f t="shared" ref="S165" si="803">R165/100000</f>
        <v>-3508.8393073009115</v>
      </c>
      <c r="T165">
        <f t="shared" ref="T165" si="804">S165/1000</f>
        <v>-3.5088393073009114</v>
      </c>
    </row>
    <row r="166" spans="1:20" x14ac:dyDescent="0.25">
      <c r="A166" s="5">
        <v>44427</v>
      </c>
      <c r="B166">
        <v>1.3496999999999999</v>
      </c>
      <c r="C166">
        <v>1.4279999999999999</v>
      </c>
      <c r="D166">
        <v>1.29</v>
      </c>
      <c r="E166">
        <v>1.4229000000000001</v>
      </c>
      <c r="F166">
        <v>7069314.4800000004</v>
      </c>
      <c r="G166">
        <v>1.4229000000000001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0.92608695652174078</v>
      </c>
      <c r="Q166">
        <f t="shared" ref="Q166" si="806">F166*P166</f>
        <v>6546799.9314782731</v>
      </c>
      <c r="R166">
        <f t="shared" ref="R166" si="807">R167+Q166</f>
        <v>-356869285.8407653</v>
      </c>
      <c r="S166">
        <f t="shared" ref="S166" si="808">R166/100000</f>
        <v>-3568.6928584076531</v>
      </c>
      <c r="T166">
        <f t="shared" ref="T166" si="809">S166/1000</f>
        <v>-3.5686928584076529</v>
      </c>
    </row>
    <row r="167" spans="1:20" x14ac:dyDescent="0.25">
      <c r="A167" s="5">
        <v>44426</v>
      </c>
      <c r="B167">
        <v>1.3634999999999999</v>
      </c>
      <c r="C167">
        <v>1.4145000000000001</v>
      </c>
      <c r="D167">
        <v>1.3133999999999999</v>
      </c>
      <c r="E167">
        <v>1.3492</v>
      </c>
      <c r="F167">
        <v>6781513.3700000001</v>
      </c>
      <c r="G167">
        <v>1.3492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-0.29179030662710215</v>
      </c>
      <c r="Q167">
        <f t="shared" ref="Q167" si="811">F167*P167</f>
        <v>-1978779.8656280928</v>
      </c>
      <c r="R167">
        <f t="shared" ref="R167" si="812">R168+Q167</f>
        <v>-363416085.77224356</v>
      </c>
      <c r="S167">
        <f t="shared" ref="S167" si="813">R167/100000</f>
        <v>-3634.1608577224356</v>
      </c>
      <c r="T167">
        <f t="shared" ref="T167" si="814">S167/1000</f>
        <v>-3.6341608577224358</v>
      </c>
    </row>
    <row r="168" spans="1:20" x14ac:dyDescent="0.25">
      <c r="A168" s="5">
        <v>44425</v>
      </c>
      <c r="B168">
        <v>1.4684999999999999</v>
      </c>
      <c r="C168">
        <v>1.518</v>
      </c>
      <c r="D168">
        <v>1.3581000000000001</v>
      </c>
      <c r="E168">
        <v>1.3634999999999999</v>
      </c>
      <c r="F168">
        <v>9561113.0600000005</v>
      </c>
      <c r="G168">
        <v>1.3634999999999999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-0.93245778611632457</v>
      </c>
      <c r="Q168">
        <f t="shared" ref="Q168" si="816">F168*P168</f>
        <v>-8915334.3167354781</v>
      </c>
      <c r="R168">
        <f t="shared" ref="R168" si="817">R169+Q168</f>
        <v>-361437305.9066155</v>
      </c>
      <c r="S168">
        <f t="shared" ref="S168" si="818">R168/100000</f>
        <v>-3614.3730590661548</v>
      </c>
      <c r="T168">
        <f t="shared" ref="T168" si="819">S168/1000</f>
        <v>-3.6143730590661547</v>
      </c>
    </row>
    <row r="169" spans="1:20" x14ac:dyDescent="0.25">
      <c r="A169" s="5">
        <v>44424</v>
      </c>
      <c r="B169">
        <v>1.5062</v>
      </c>
      <c r="C169">
        <v>1.5629999999999999</v>
      </c>
      <c r="D169">
        <v>1.46</v>
      </c>
      <c r="E169">
        <v>1.4701</v>
      </c>
      <c r="F169">
        <v>11471964.880000001</v>
      </c>
      <c r="G169">
        <v>1.4701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-0.80388349514563107</v>
      </c>
      <c r="Q169">
        <f t="shared" ref="Q169" si="821">F169*P169</f>
        <v>-9222123.2239223309</v>
      </c>
      <c r="R169">
        <f t="shared" ref="R169" si="822">R170+Q169</f>
        <v>-352521971.58987999</v>
      </c>
      <c r="S169">
        <f t="shared" ref="S169" si="823">R169/100000</f>
        <v>-3525.2197158987997</v>
      </c>
      <c r="T169">
        <f t="shared" ref="T169" si="824">S169/1000</f>
        <v>-3.5252197158987997</v>
      </c>
    </row>
    <row r="170" spans="1:20" x14ac:dyDescent="0.25">
      <c r="A170" s="5">
        <v>44423</v>
      </c>
      <c r="B170">
        <v>1.5029999999999999</v>
      </c>
      <c r="C170">
        <v>1.56</v>
      </c>
      <c r="D170">
        <v>1.4387000000000001</v>
      </c>
      <c r="E170">
        <v>1.5062</v>
      </c>
      <c r="F170">
        <v>10085435.65</v>
      </c>
      <c r="G170">
        <v>1.5062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0.11294311624072405</v>
      </c>
      <c r="Q170">
        <f t="shared" ref="Q170" si="826">F170*P170</f>
        <v>1139080.5309562923</v>
      </c>
      <c r="R170">
        <f t="shared" ref="R170" si="827">R171+Q170</f>
        <v>-343299848.36595768</v>
      </c>
      <c r="S170">
        <f t="shared" ref="S170" si="828">R170/100000</f>
        <v>-3432.9984836595768</v>
      </c>
      <c r="T170">
        <f t="shared" ref="T170" si="829">S170/1000</f>
        <v>-3.4329984836595768</v>
      </c>
    </row>
    <row r="171" spans="1:20" x14ac:dyDescent="0.25">
      <c r="A171" s="5">
        <v>44422</v>
      </c>
      <c r="B171">
        <v>1.4962</v>
      </c>
      <c r="C171">
        <v>1.57</v>
      </c>
      <c r="D171">
        <v>1.4319999999999999</v>
      </c>
      <c r="E171">
        <v>1.5029999999999999</v>
      </c>
      <c r="F171">
        <v>12999059.07</v>
      </c>
      <c r="G171">
        <v>1.5029999999999999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2.8985507246375202E-2</v>
      </c>
      <c r="Q171">
        <f t="shared" ref="Q171" si="831">F171*P171</f>
        <v>376784.32086954429</v>
      </c>
      <c r="R171">
        <f t="shared" ref="R171" si="832">R172+Q171</f>
        <v>-344438928.89691395</v>
      </c>
      <c r="S171">
        <f t="shared" ref="S171" si="833">R171/100000</f>
        <v>-3444.3892889691397</v>
      </c>
      <c r="T171">
        <f t="shared" ref="T171" si="834">S171/1000</f>
        <v>-3.4443892889691399</v>
      </c>
    </row>
    <row r="172" spans="1:20" x14ac:dyDescent="0.25">
      <c r="A172" s="5">
        <v>44421</v>
      </c>
      <c r="B172">
        <v>1.3732</v>
      </c>
      <c r="C172">
        <v>1.5035000000000001</v>
      </c>
      <c r="D172">
        <v>1.3587</v>
      </c>
      <c r="E172">
        <v>1.4962</v>
      </c>
      <c r="F172">
        <v>8926329.4299999997</v>
      </c>
      <c r="G172">
        <v>1.4962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0.89917127071823089</v>
      </c>
      <c r="Q172">
        <f t="shared" ref="Q172" si="836">F172*P172</f>
        <v>8026298.9764226414</v>
      </c>
      <c r="R172">
        <f t="shared" ref="R172" si="837">R173+Q172</f>
        <v>-344815713.21778351</v>
      </c>
      <c r="S172">
        <f t="shared" ref="S172" si="838">R172/100000</f>
        <v>-3448.1571321778351</v>
      </c>
      <c r="T172">
        <f t="shared" ref="T172" si="839">S172/1000</f>
        <v>-3.448157132177835</v>
      </c>
    </row>
    <row r="173" spans="1:20" x14ac:dyDescent="0.25">
      <c r="A173" s="5">
        <v>44420</v>
      </c>
      <c r="B173">
        <v>1.4460999999999999</v>
      </c>
      <c r="C173">
        <v>1.5205</v>
      </c>
      <c r="D173">
        <v>1.3291999999999999</v>
      </c>
      <c r="E173">
        <v>1.3732</v>
      </c>
      <c r="F173">
        <v>12422177.5</v>
      </c>
      <c r="G173">
        <v>1.3732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-0.53998954521693643</v>
      </c>
      <c r="Q173">
        <f t="shared" ref="Q173" si="841">F173*P173</f>
        <v>-6707845.9788290607</v>
      </c>
      <c r="R173">
        <f t="shared" ref="R173" si="842">R174+Q173</f>
        <v>-352842012.19420618</v>
      </c>
      <c r="S173">
        <f t="shared" ref="S173" si="843">R173/100000</f>
        <v>-3528.420121942062</v>
      </c>
      <c r="T173">
        <f t="shared" ref="T173" si="844">S173/1000</f>
        <v>-3.5284201219420619</v>
      </c>
    </row>
    <row r="174" spans="1:20" x14ac:dyDescent="0.25">
      <c r="A174" s="5">
        <v>44419</v>
      </c>
      <c r="B174">
        <v>1.3692</v>
      </c>
      <c r="C174">
        <v>1.59</v>
      </c>
      <c r="D174">
        <v>1.3677999999999999</v>
      </c>
      <c r="E174">
        <v>1.446</v>
      </c>
      <c r="F174">
        <v>21901280.91</v>
      </c>
      <c r="G174">
        <v>1.446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-0.29612961296129625</v>
      </c>
      <c r="Q174">
        <f t="shared" ref="Q174" si="846">F174*P174</f>
        <v>-6485617.8392349258</v>
      </c>
      <c r="R174">
        <f t="shared" ref="R174" si="847">R175+Q174</f>
        <v>-346134166.21537709</v>
      </c>
      <c r="S174">
        <f t="shared" ref="S174" si="848">R174/100000</f>
        <v>-3461.3416621537708</v>
      </c>
      <c r="T174">
        <f t="shared" ref="T174" si="849">S174/1000</f>
        <v>-3.4613416621537709</v>
      </c>
    </row>
    <row r="175" spans="1:20" x14ac:dyDescent="0.25">
      <c r="A175" s="5">
        <v>44418</v>
      </c>
      <c r="B175">
        <v>1.4005000000000001</v>
      </c>
      <c r="C175">
        <v>1.4355</v>
      </c>
      <c r="D175">
        <v>1.3295999999999999</v>
      </c>
      <c r="E175">
        <v>1.3695999999999999</v>
      </c>
      <c r="F175">
        <v>17777797.719999999</v>
      </c>
      <c r="G175">
        <v>1.3695999999999999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-0.2445703493862135</v>
      </c>
      <c r="Q175">
        <f t="shared" ref="Q175" si="851">F175*P175</f>
        <v>-4347922.1996978298</v>
      </c>
      <c r="R175">
        <f t="shared" ref="R175" si="852">R176+Q175</f>
        <v>-339648548.37614214</v>
      </c>
      <c r="S175">
        <f t="shared" ref="S175" si="853">R175/100000</f>
        <v>-3396.4854837614216</v>
      </c>
      <c r="T175">
        <f t="shared" ref="T175" si="854">S175/1000</f>
        <v>-3.3964854837614218</v>
      </c>
    </row>
    <row r="176" spans="1:20" x14ac:dyDescent="0.25">
      <c r="A176" s="5">
        <v>44417</v>
      </c>
      <c r="B176">
        <v>1.1437999999999999</v>
      </c>
      <c r="C176">
        <v>1.4797</v>
      </c>
      <c r="D176">
        <v>1.111</v>
      </c>
      <c r="E176">
        <v>1.4021999999999999</v>
      </c>
      <c r="F176">
        <v>46572434.640000001</v>
      </c>
      <c r="G176">
        <v>1.4021999999999999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0.57960401410360662</v>
      </c>
      <c r="Q176">
        <f t="shared" ref="Q176" si="856">F176*P176</f>
        <v>26993570.063921858</v>
      </c>
      <c r="R176">
        <f t="shared" ref="R176" si="857">R177+Q176</f>
        <v>-335300626.17644429</v>
      </c>
      <c r="S176">
        <f t="shared" ref="S176" si="858">R176/100000</f>
        <v>-3353.006261764443</v>
      </c>
      <c r="T176">
        <f t="shared" ref="T176" si="859">S176/1000</f>
        <v>-3.3530062617644432</v>
      </c>
    </row>
    <row r="177" spans="1:20" x14ac:dyDescent="0.25">
      <c r="A177" s="5">
        <v>44416</v>
      </c>
      <c r="B177">
        <v>1.2095</v>
      </c>
      <c r="C177">
        <v>1.2450000000000001</v>
      </c>
      <c r="D177">
        <v>1.125</v>
      </c>
      <c r="E177">
        <v>1.1425000000000001</v>
      </c>
      <c r="F177">
        <v>8790512.1300000008</v>
      </c>
      <c r="G177">
        <v>1.1425000000000001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-0.70833333333333237</v>
      </c>
      <c r="Q177">
        <f t="shared" ref="Q177" si="861">F177*P177</f>
        <v>-6226612.7587499926</v>
      </c>
      <c r="R177">
        <f t="shared" ref="R177" si="862">R178+Q177</f>
        <v>-362294196.24036616</v>
      </c>
      <c r="S177">
        <f t="shared" ref="S177" si="863">R177/100000</f>
        <v>-3622.9419624036618</v>
      </c>
      <c r="T177">
        <f t="shared" ref="T177" si="864">S177/1000</f>
        <v>-3.6229419624036616</v>
      </c>
    </row>
    <row r="178" spans="1:20" x14ac:dyDescent="0.25">
      <c r="A178" s="5">
        <v>44415</v>
      </c>
      <c r="B178">
        <v>1.1669</v>
      </c>
      <c r="C178">
        <v>1.27</v>
      </c>
      <c r="D178">
        <v>1.1371</v>
      </c>
      <c r="E178">
        <v>1.2095</v>
      </c>
      <c r="F178">
        <v>17031372</v>
      </c>
      <c r="G178">
        <v>1.2095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8.9541008276900078E-2</v>
      </c>
      <c r="Q178">
        <f t="shared" ref="Q178" si="866">F178*P178</f>
        <v>1525006.2212189643</v>
      </c>
      <c r="R178">
        <f t="shared" ref="R178" si="867">R179+Q178</f>
        <v>-356067583.48161614</v>
      </c>
      <c r="S178">
        <f t="shared" ref="S178" si="868">R178/100000</f>
        <v>-3560.6758348161616</v>
      </c>
      <c r="T178">
        <f t="shared" ref="T178" si="869">S178/1000</f>
        <v>-3.5606758348161618</v>
      </c>
    </row>
    <row r="179" spans="1:20" x14ac:dyDescent="0.25">
      <c r="A179" s="5">
        <v>44414</v>
      </c>
      <c r="B179">
        <v>1.1104000000000001</v>
      </c>
      <c r="C179">
        <v>1.1798999999999999</v>
      </c>
      <c r="D179">
        <v>1.0811999999999999</v>
      </c>
      <c r="E179">
        <v>1.1660999999999999</v>
      </c>
      <c r="F179">
        <v>12910713.699999999</v>
      </c>
      <c r="G179">
        <v>1.1660999999999999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0.72036474164133668</v>
      </c>
      <c r="Q179">
        <f t="shared" ref="Q179" si="871">F179*P179</f>
        <v>9300422.9389057662</v>
      </c>
      <c r="R179">
        <f t="shared" ref="R179" si="872">R180+Q179</f>
        <v>-357592589.70283508</v>
      </c>
      <c r="S179">
        <f t="shared" ref="S179" si="873">R179/100000</f>
        <v>-3575.9258970283508</v>
      </c>
      <c r="T179">
        <f t="shared" ref="T179" si="874">S179/1000</f>
        <v>-3.575925897028351</v>
      </c>
    </row>
    <row r="180" spans="1:20" x14ac:dyDescent="0.25">
      <c r="A180" s="5">
        <v>44413</v>
      </c>
      <c r="B180">
        <v>1.0915999999999999</v>
      </c>
      <c r="C180">
        <v>1.1148</v>
      </c>
      <c r="D180">
        <v>1.052</v>
      </c>
      <c r="E180">
        <v>1.1085</v>
      </c>
      <c r="F180">
        <v>5822572.04</v>
      </c>
      <c r="G180">
        <v>1.1085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0.79936305732484159</v>
      </c>
      <c r="Q180">
        <f t="shared" ref="Q180" si="876">F180*P180</f>
        <v>4654348.9873885401</v>
      </c>
      <c r="R180">
        <f t="shared" ref="R180" si="877">R181+Q180</f>
        <v>-366893012.64174086</v>
      </c>
      <c r="S180">
        <f t="shared" ref="S180" si="878">R180/100000</f>
        <v>-3668.9301264174087</v>
      </c>
      <c r="T180">
        <f t="shared" ref="T180" si="879">S180/1000</f>
        <v>-3.6689301264174086</v>
      </c>
    </row>
    <row r="181" spans="1:20" x14ac:dyDescent="0.25">
      <c r="A181" s="5">
        <v>44412</v>
      </c>
      <c r="B181">
        <v>1.0516000000000001</v>
      </c>
      <c r="C181">
        <v>1.1069</v>
      </c>
      <c r="D181">
        <v>1.03</v>
      </c>
      <c r="E181">
        <v>1.0926</v>
      </c>
      <c r="F181">
        <v>4394360.5</v>
      </c>
      <c r="G181">
        <v>1.0926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0.62808842652795882</v>
      </c>
      <c r="Q181">
        <f t="shared" ref="Q181" si="881">F181*P181</f>
        <v>2760046.9720416144</v>
      </c>
      <c r="R181">
        <f t="shared" ref="R181" si="882">R182+Q181</f>
        <v>-371547361.62912941</v>
      </c>
      <c r="S181">
        <f t="shared" ref="S181" si="883">R181/100000</f>
        <v>-3715.4736162912941</v>
      </c>
      <c r="T181">
        <f t="shared" ref="T181" si="884">S181/1000</f>
        <v>-3.7154736162912942</v>
      </c>
    </row>
    <row r="182" spans="1:20" x14ac:dyDescent="0.25">
      <c r="A182" s="5">
        <v>44411</v>
      </c>
      <c r="B182">
        <v>1.0881000000000001</v>
      </c>
      <c r="C182">
        <v>1.0926</v>
      </c>
      <c r="D182">
        <v>1.0328999999999999</v>
      </c>
      <c r="E182">
        <v>1.0511999999999999</v>
      </c>
      <c r="F182">
        <v>4097806.32</v>
      </c>
      <c r="G182">
        <v>1.0511999999999999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-0.38693467336683562</v>
      </c>
      <c r="Q182">
        <f t="shared" ref="Q182" si="886">F182*P182</f>
        <v>-1585583.3499497545</v>
      </c>
      <c r="R182">
        <f t="shared" ref="R182" si="887">R183+Q182</f>
        <v>-374307408.60117102</v>
      </c>
      <c r="S182">
        <f t="shared" ref="S182" si="888">R182/100000</f>
        <v>-3743.0740860117103</v>
      </c>
      <c r="T182">
        <f t="shared" ref="T182" si="889">S182/1000</f>
        <v>-3.7430740860117102</v>
      </c>
    </row>
    <row r="183" spans="1:20" x14ac:dyDescent="0.25">
      <c r="A183" s="5">
        <v>44410</v>
      </c>
      <c r="B183">
        <v>1.0854999999999999</v>
      </c>
      <c r="C183">
        <v>1.1298999999999999</v>
      </c>
      <c r="D183">
        <v>1.0652999999999999</v>
      </c>
      <c r="E183">
        <v>1.0869</v>
      </c>
      <c r="F183">
        <v>5760626.4000000004</v>
      </c>
      <c r="G183">
        <v>1.0869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-0.33126934984519918</v>
      </c>
      <c r="Q183">
        <f t="shared" ref="Q183" si="891">F183*P183</f>
        <v>-1908318.9622290905</v>
      </c>
      <c r="R183">
        <f t="shared" ref="R183" si="892">R184+Q183</f>
        <v>-372721825.25122124</v>
      </c>
      <c r="S183">
        <f t="shared" ref="S183" si="893">R183/100000</f>
        <v>-3727.2182525122125</v>
      </c>
      <c r="T183">
        <f t="shared" ref="T183" si="894">S183/1000</f>
        <v>-3.7272182525122126</v>
      </c>
    </row>
    <row r="184" spans="1:20" x14ac:dyDescent="0.25">
      <c r="A184" s="5">
        <v>44409</v>
      </c>
      <c r="B184">
        <v>1.1267</v>
      </c>
      <c r="C184">
        <v>1.1618999999999999</v>
      </c>
      <c r="D184">
        <v>1.0755999999999999</v>
      </c>
      <c r="E184">
        <v>1.0854999999999999</v>
      </c>
      <c r="F184">
        <v>7480466.4100000001</v>
      </c>
      <c r="G184">
        <v>1.0854999999999999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-0.77056778679026616</v>
      </c>
      <c r="Q184">
        <f t="shared" ref="Q184" si="896">F184*P184</f>
        <v>-5764206.4457126278</v>
      </c>
      <c r="R184">
        <f t="shared" ref="R184" si="897">R185+Q184</f>
        <v>-370813506.28899217</v>
      </c>
      <c r="S184">
        <f t="shared" ref="S184" si="898">R184/100000</f>
        <v>-3708.1350628899218</v>
      </c>
      <c r="T184">
        <f t="shared" ref="T184" si="899">S184/1000</f>
        <v>-3.7081350628899217</v>
      </c>
    </row>
    <row r="185" spans="1:20" x14ac:dyDescent="0.25">
      <c r="A185" s="5">
        <v>44408</v>
      </c>
      <c r="B185">
        <v>1.1369</v>
      </c>
      <c r="C185">
        <v>1.1420999999999999</v>
      </c>
      <c r="D185">
        <v>1.0951</v>
      </c>
      <c r="E185">
        <v>1.1251</v>
      </c>
      <c r="F185">
        <v>5060340.99</v>
      </c>
      <c r="G185">
        <v>1.1251</v>
      </c>
      <c r="L185" t="s">
        <v>7</v>
      </c>
      <c r="M185" t="s">
        <v>7</v>
      </c>
      <c r="N185" t="s">
        <v>8</v>
      </c>
      <c r="P185">
        <f t="shared" ref="P185" si="900">IF(C185=D185,0,((E185-D185)-(C185-E185))/(C185-D185))</f>
        <v>0.27659574468085407</v>
      </c>
      <c r="Q185">
        <f t="shared" ref="Q185" si="901">F185*P185</f>
        <v>1399668.7844681004</v>
      </c>
      <c r="R185">
        <f t="shared" ref="R185" si="902">R186+Q185</f>
        <v>-365049299.84327954</v>
      </c>
      <c r="S185">
        <f t="shared" ref="S185" si="903">R185/100000</f>
        <v>-3650.4929984327955</v>
      </c>
      <c r="T185">
        <f t="shared" ref="T185" si="904">S185/1000</f>
        <v>-3.6504929984327954</v>
      </c>
    </row>
    <row r="186" spans="1:20" x14ac:dyDescent="0.25">
      <c r="A186" s="5">
        <v>44407</v>
      </c>
      <c r="B186">
        <v>1.1299999999999999</v>
      </c>
      <c r="C186">
        <v>1.1499999999999999</v>
      </c>
      <c r="D186">
        <v>1.0680000000000001</v>
      </c>
      <c r="E186">
        <v>1.1374</v>
      </c>
      <c r="F186">
        <v>8687183.8900000006</v>
      </c>
      <c r="G186">
        <v>1.1374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0.69268292682926913</v>
      </c>
      <c r="Q186">
        <f t="shared" ref="Q186" si="906">F186*P186</f>
        <v>6017463.962829276</v>
      </c>
      <c r="R186">
        <f t="shared" ref="R186" si="907">R187+Q186</f>
        <v>-366448968.62774765</v>
      </c>
      <c r="S186">
        <f t="shared" ref="S186" si="908">R186/100000</f>
        <v>-3664.4896862774767</v>
      </c>
      <c r="T186">
        <f t="shared" ref="T186" si="909">S186/1000</f>
        <v>-3.6644896862774767</v>
      </c>
    </row>
    <row r="187" spans="1:20" x14ac:dyDescent="0.25">
      <c r="A187" s="5">
        <v>44406</v>
      </c>
      <c r="B187">
        <v>1.1544000000000001</v>
      </c>
      <c r="C187">
        <v>1.1566000000000001</v>
      </c>
      <c r="D187">
        <v>1.0955999999999999</v>
      </c>
      <c r="E187">
        <v>1.1299999999999999</v>
      </c>
      <c r="F187">
        <v>9703300.5700000003</v>
      </c>
      <c r="G187">
        <v>1.1299999999999999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0.12786885245901289</v>
      </c>
      <c r="Q187">
        <f t="shared" ref="Q187" si="911">F187*P187</f>
        <v>1240749.9089507856</v>
      </c>
      <c r="R187">
        <f t="shared" ref="R187" si="912">R188+Q187</f>
        <v>-372466432.59057695</v>
      </c>
      <c r="S187">
        <f t="shared" ref="S187" si="913">R187/100000</f>
        <v>-3724.6643259057696</v>
      </c>
      <c r="T187">
        <f t="shared" ref="T187" si="914">S187/1000</f>
        <v>-3.7246643259057697</v>
      </c>
    </row>
    <row r="188" spans="1:20" x14ac:dyDescent="0.25">
      <c r="A188" s="5">
        <v>44405</v>
      </c>
      <c r="B188">
        <v>1.0174000000000001</v>
      </c>
      <c r="C188">
        <v>1.28</v>
      </c>
      <c r="D188">
        <v>1.0007999999999999</v>
      </c>
      <c r="E188">
        <v>1.1557999999999999</v>
      </c>
      <c r="F188">
        <v>43116664.270000003</v>
      </c>
      <c r="G188">
        <v>1.1557999999999999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0.11031518624641808</v>
      </c>
      <c r="Q188">
        <f t="shared" ref="Q188" si="916">F188*P188</f>
        <v>4756422.8492693296</v>
      </c>
      <c r="R188">
        <f t="shared" ref="R188" si="917">R189+Q188</f>
        <v>-373707182.49952775</v>
      </c>
      <c r="S188">
        <f t="shared" ref="S188" si="918">R188/100000</f>
        <v>-3737.0718249952774</v>
      </c>
      <c r="T188">
        <f t="shared" ref="T188" si="919">S188/1000</f>
        <v>-3.7370718249952772</v>
      </c>
    </row>
    <row r="189" spans="1:20" x14ac:dyDescent="0.25">
      <c r="A189" s="5">
        <v>44404</v>
      </c>
      <c r="B189">
        <v>1.0018</v>
      </c>
      <c r="C189">
        <v>1.0330999999999999</v>
      </c>
      <c r="D189">
        <v>0.95799999999999996</v>
      </c>
      <c r="E189">
        <v>1.0172000000000001</v>
      </c>
      <c r="F189">
        <v>7034824.2199999997</v>
      </c>
      <c r="G189">
        <v>1.0172000000000001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0.5765645805592593</v>
      </c>
      <c r="Q189">
        <f t="shared" ref="Q189" si="921">F189*P189</f>
        <v>4056030.4757124181</v>
      </c>
      <c r="R189">
        <f t="shared" ref="R189" si="922">R190+Q189</f>
        <v>-378463605.34879708</v>
      </c>
      <c r="S189">
        <f t="shared" ref="S189" si="923">R189/100000</f>
        <v>-3784.6360534879709</v>
      </c>
      <c r="T189">
        <f t="shared" ref="T189" si="924">S189/1000</f>
        <v>-3.7846360534879708</v>
      </c>
    </row>
    <row r="190" spans="1:20" x14ac:dyDescent="0.25">
      <c r="A190" s="5">
        <v>44403</v>
      </c>
      <c r="B190">
        <v>0.96679999999999999</v>
      </c>
      <c r="C190">
        <v>1.1039000000000001</v>
      </c>
      <c r="D190">
        <v>0.96499999999999997</v>
      </c>
      <c r="E190">
        <v>1.002</v>
      </c>
      <c r="F190">
        <v>14313744.43</v>
      </c>
      <c r="G190">
        <v>1.002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-0.46724262059035282</v>
      </c>
      <c r="Q190">
        <f t="shared" ref="Q190" si="926">F190*P190</f>
        <v>-6687991.4579337658</v>
      </c>
      <c r="R190">
        <f t="shared" ref="R190" si="927">R191+Q190</f>
        <v>-382519635.8245095</v>
      </c>
      <c r="S190">
        <f t="shared" ref="S190" si="928">R190/100000</f>
        <v>-3825.1963582450949</v>
      </c>
      <c r="T190">
        <f t="shared" ref="T190" si="929">S190/1000</f>
        <v>-3.825196358245095</v>
      </c>
    </row>
    <row r="191" spans="1:20" x14ac:dyDescent="0.25">
      <c r="A191" s="5">
        <v>44402</v>
      </c>
      <c r="B191">
        <v>0.97660000000000002</v>
      </c>
      <c r="C191">
        <v>0.98809999999999998</v>
      </c>
      <c r="D191">
        <v>0.92530000000000001</v>
      </c>
      <c r="E191">
        <v>0.96889999999999998</v>
      </c>
      <c r="F191">
        <v>4498660.5999999996</v>
      </c>
      <c r="G191">
        <v>0.96889999999999998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0.38853503184713362</v>
      </c>
      <c r="Q191">
        <f t="shared" ref="Q191" si="931">F191*P191</f>
        <v>1747887.239490445</v>
      </c>
      <c r="R191">
        <f t="shared" ref="R191" si="932">R192+Q191</f>
        <v>-375831644.36657572</v>
      </c>
      <c r="S191">
        <f t="shared" ref="S191" si="933">R191/100000</f>
        <v>-3758.3164436657571</v>
      </c>
      <c r="T191">
        <f t="shared" ref="T191:T197" si="934">S191/1000</f>
        <v>-3.7583164436657572</v>
      </c>
    </row>
    <row r="192" spans="1:20" x14ac:dyDescent="0.25">
      <c r="A192" s="5">
        <v>44401</v>
      </c>
      <c r="B192">
        <v>0.95009999999999994</v>
      </c>
      <c r="C192">
        <v>1.0185</v>
      </c>
      <c r="D192">
        <v>0.93520000000000003</v>
      </c>
      <c r="E192">
        <v>0.97709999999999997</v>
      </c>
      <c r="F192">
        <v>6688656.2400000002</v>
      </c>
      <c r="G192">
        <v>0.97709999999999997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6.0024009603834973E-3</v>
      </c>
      <c r="Q192">
        <f t="shared" ref="Q192" si="936">F192*P192</f>
        <v>40147.996638651071</v>
      </c>
      <c r="R192">
        <f t="shared" ref="R192" si="937">R193+Q192</f>
        <v>-377579531.60606617</v>
      </c>
      <c r="S192">
        <f t="shared" ref="S192" si="938">R192/100000</f>
        <v>-3775.7953160606617</v>
      </c>
      <c r="T192">
        <f t="shared" si="934"/>
        <v>-3.7757953160606617</v>
      </c>
    </row>
    <row r="193" spans="1:20" x14ac:dyDescent="0.25">
      <c r="A193" s="5">
        <v>44400</v>
      </c>
      <c r="B193">
        <v>0.92120000000000002</v>
      </c>
      <c r="C193">
        <v>0.96750000000000003</v>
      </c>
      <c r="D193">
        <v>0.90169999999999995</v>
      </c>
      <c r="E193">
        <v>0.95050000000000001</v>
      </c>
      <c r="F193">
        <v>4554271.93</v>
      </c>
      <c r="G193">
        <v>0.95050000000000001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0.48328267477203662</v>
      </c>
      <c r="Q193">
        <f t="shared" ref="Q193" si="940">F193*P193</f>
        <v>2201000.7199696056</v>
      </c>
      <c r="R193">
        <f t="shared" ref="R193" si="941">R194+Q193</f>
        <v>-377619679.60270482</v>
      </c>
      <c r="S193">
        <f t="shared" ref="S193" si="942">R193/100000</f>
        <v>-3776.1967960270481</v>
      </c>
      <c r="T193">
        <f t="shared" si="934"/>
        <v>-3.7761967960270479</v>
      </c>
    </row>
    <row r="194" spans="1:20" x14ac:dyDescent="0.25">
      <c r="A194" s="5">
        <v>44399</v>
      </c>
      <c r="B194">
        <v>0.91320000000000001</v>
      </c>
      <c r="C194">
        <v>0.94799999999999995</v>
      </c>
      <c r="D194">
        <v>0.8921</v>
      </c>
      <c r="E194">
        <v>0.92120000000000002</v>
      </c>
      <c r="F194">
        <v>3650545.76</v>
      </c>
      <c r="G194">
        <v>0.92120000000000002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4.1144901610019352E-2</v>
      </c>
      <c r="Q194">
        <f t="shared" ref="Q194" si="944">F194*P194</f>
        <v>150201.3461180733</v>
      </c>
      <c r="R194">
        <f t="shared" ref="R194" si="945">R195+Q194</f>
        <v>-379820680.32267445</v>
      </c>
      <c r="S194">
        <f t="shared" ref="S194" si="946">R194/100000</f>
        <v>-3798.2068032267443</v>
      </c>
      <c r="T194">
        <f t="shared" si="934"/>
        <v>-3.7982068032267442</v>
      </c>
    </row>
    <row r="195" spans="1:20" x14ac:dyDescent="0.25">
      <c r="A195" s="5">
        <v>44398</v>
      </c>
      <c r="B195">
        <v>0.85209999999999997</v>
      </c>
      <c r="C195">
        <v>0.95860000000000001</v>
      </c>
      <c r="D195">
        <v>0.82579999999999998</v>
      </c>
      <c r="E195">
        <v>0.91339999999999999</v>
      </c>
      <c r="F195">
        <v>6163257.54</v>
      </c>
      <c r="G195">
        <v>0.91339999999999999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0.3192771084337348</v>
      </c>
      <c r="Q195">
        <f t="shared" ref="Q195" si="948">F195*P195</f>
        <v>1967787.0459036136</v>
      </c>
      <c r="R195">
        <f t="shared" ref="R195" si="949">R196+Q195</f>
        <v>-379970881.66879255</v>
      </c>
      <c r="S195">
        <f t="shared" ref="S195" si="950">R195/100000</f>
        <v>-3799.7088166879253</v>
      </c>
      <c r="T195">
        <f t="shared" si="934"/>
        <v>-3.7997088166879252</v>
      </c>
    </row>
    <row r="196" spans="1:20" x14ac:dyDescent="0.25">
      <c r="A196" s="5">
        <v>44397</v>
      </c>
      <c r="B196">
        <v>0.90949999999999998</v>
      </c>
      <c r="C196">
        <v>0.92369999999999997</v>
      </c>
      <c r="D196">
        <v>0.80689999999999995</v>
      </c>
      <c r="E196">
        <v>0.85040000000000004</v>
      </c>
      <c r="F196">
        <v>7594243.1699999999</v>
      </c>
      <c r="G196">
        <v>0.85040000000000004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-0.25513698630136833</v>
      </c>
      <c r="Q196">
        <f t="shared" ref="Q196" si="952">F196*P196</f>
        <v>-1937572.3156335501</v>
      </c>
      <c r="R196">
        <f t="shared" ref="R196" si="953">R197+Q196</f>
        <v>-381938668.71469617</v>
      </c>
      <c r="S196">
        <f t="shared" ref="S196" si="954">R196/100000</f>
        <v>-3819.3866871469618</v>
      </c>
      <c r="T196">
        <f t="shared" si="934"/>
        <v>-3.8193866871469617</v>
      </c>
    </row>
    <row r="197" spans="1:20" x14ac:dyDescent="0.25">
      <c r="A197" s="5">
        <v>44396</v>
      </c>
      <c r="B197">
        <v>0.97170000000000001</v>
      </c>
      <c r="C197">
        <v>0.97170000000000001</v>
      </c>
      <c r="D197">
        <v>0.90710000000000002</v>
      </c>
      <c r="E197">
        <v>0.90949999999999998</v>
      </c>
      <c r="F197">
        <v>3387018.33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-0.92569659442724583</v>
      </c>
      <c r="Q197">
        <f t="shared" ref="Q197" si="956">F197*P197</f>
        <v>-3135351.3333436577</v>
      </c>
      <c r="R197">
        <f t="shared" ref="R197" si="957">R198+Q197</f>
        <v>-380001096.39906263</v>
      </c>
      <c r="S197">
        <f t="shared" ref="S197" si="958">R197/100000</f>
        <v>-3800.0109639906264</v>
      </c>
      <c r="T197">
        <f t="shared" si="934"/>
        <v>-3.8000109639906263</v>
      </c>
    </row>
    <row r="198" spans="1:20" x14ac:dyDescent="0.25">
      <c r="A198" s="5">
        <v>44395</v>
      </c>
      <c r="B198">
        <v>0.94120000000000004</v>
      </c>
      <c r="C198">
        <v>1.01</v>
      </c>
      <c r="D198">
        <v>0.93330000000000002</v>
      </c>
      <c r="E198">
        <v>0.97199999999999998</v>
      </c>
      <c r="F198">
        <v>5660171.9299999997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9.1264667535843943E-3</v>
      </c>
      <c r="Q198">
        <f t="shared" ref="Q198:Q261" si="960">F198*P198</f>
        <v>51657.370938716609</v>
      </c>
      <c r="R198">
        <f t="shared" ref="R198:R261" si="961">R199+Q198</f>
        <v>-376865745.06571895</v>
      </c>
      <c r="S198">
        <f t="shared" ref="S198:S261" si="962">R198/100000</f>
        <v>-3768.6574506571897</v>
      </c>
      <c r="T198">
        <f t="shared" ref="T198:T261" si="963">S198/1000</f>
        <v>-3.7686574506571895</v>
      </c>
    </row>
    <row r="199" spans="1:20" x14ac:dyDescent="0.25">
      <c r="A199" s="5">
        <v>44394</v>
      </c>
      <c r="B199">
        <v>0.96240000000000003</v>
      </c>
      <c r="C199">
        <v>0.98929999999999996</v>
      </c>
      <c r="D199">
        <v>0.91500000000000004</v>
      </c>
      <c r="E199">
        <v>0.94189999999999996</v>
      </c>
      <c r="F199">
        <v>3869551.09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-0.27590847913862848</v>
      </c>
      <c r="Q199">
        <f t="shared" si="960"/>
        <v>-1067641.9561911221</v>
      </c>
      <c r="R199">
        <f t="shared" si="961"/>
        <v>-376917402.43665767</v>
      </c>
      <c r="S199">
        <f t="shared" si="962"/>
        <v>-3769.1740243665768</v>
      </c>
      <c r="T199">
        <f t="shared" si="963"/>
        <v>-3.7691740243665768</v>
      </c>
    </row>
    <row r="200" spans="1:20" x14ac:dyDescent="0.25">
      <c r="A200" s="5">
        <v>44393</v>
      </c>
      <c r="B200">
        <v>0.98929999999999996</v>
      </c>
      <c r="C200">
        <v>1.0188999999999999</v>
      </c>
      <c r="D200">
        <v>0.90429999999999999</v>
      </c>
      <c r="E200">
        <v>0.96</v>
      </c>
      <c r="F200">
        <v>7270622.3200000003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-2.7923211169284316E-2</v>
      </c>
      <c r="Q200">
        <f t="shared" si="960"/>
        <v>-203019.12237347185</v>
      </c>
      <c r="R200">
        <f t="shared" si="961"/>
        <v>-375849760.48046654</v>
      </c>
      <c r="S200">
        <f t="shared" si="962"/>
        <v>-3758.4976048046656</v>
      </c>
      <c r="T200">
        <f t="shared" si="963"/>
        <v>-3.7584976048046657</v>
      </c>
    </row>
    <row r="201" spans="1:20" x14ac:dyDescent="0.25">
      <c r="A201" s="5">
        <v>44392</v>
      </c>
      <c r="B201">
        <v>1.0347999999999999</v>
      </c>
      <c r="C201">
        <v>1.0532999999999999</v>
      </c>
      <c r="D201">
        <v>0.97499999999999998</v>
      </c>
      <c r="E201">
        <v>0.99109999999999998</v>
      </c>
      <c r="F201">
        <v>6415858.8700000001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-0.58876117496807101</v>
      </c>
      <c r="Q201">
        <f t="shared" si="960"/>
        <v>-3777408.6067305203</v>
      </c>
      <c r="R201">
        <f t="shared" si="961"/>
        <v>-375646741.35809308</v>
      </c>
      <c r="S201">
        <f t="shared" si="962"/>
        <v>-3756.467413580931</v>
      </c>
      <c r="T201">
        <f t="shared" si="963"/>
        <v>-3.7564674135809311</v>
      </c>
    </row>
    <row r="202" spans="1:20" x14ac:dyDescent="0.25">
      <c r="A202" s="5">
        <v>44391</v>
      </c>
      <c r="B202">
        <v>1.0396000000000001</v>
      </c>
      <c r="C202">
        <v>1.0632999999999999</v>
      </c>
      <c r="D202">
        <v>0.96479999999999999</v>
      </c>
      <c r="E202">
        <v>1.0347999999999999</v>
      </c>
      <c r="F202">
        <v>6670758.1100000003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0.42131979695431487</v>
      </c>
      <c r="Q202">
        <f t="shared" si="960"/>
        <v>2810522.4524365496</v>
      </c>
      <c r="R202">
        <f t="shared" si="961"/>
        <v>-371869332.75136256</v>
      </c>
      <c r="S202">
        <f t="shared" si="962"/>
        <v>-3718.6933275136257</v>
      </c>
      <c r="T202">
        <f t="shared" si="963"/>
        <v>-3.7186933275136256</v>
      </c>
    </row>
    <row r="203" spans="1:20" x14ac:dyDescent="0.25">
      <c r="A203" s="5">
        <v>44390</v>
      </c>
      <c r="B203">
        <v>1.0711999999999999</v>
      </c>
      <c r="C203">
        <v>1.1399999999999999</v>
      </c>
      <c r="D203">
        <v>1.0250999999999999</v>
      </c>
      <c r="E203">
        <v>1.0405</v>
      </c>
      <c r="F203">
        <v>8360191.9699999997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-0.73194081810269662</v>
      </c>
      <c r="Q203">
        <f t="shared" si="960"/>
        <v>-6119165.7500173943</v>
      </c>
      <c r="R203">
        <f t="shared" si="961"/>
        <v>-374679855.20379913</v>
      </c>
      <c r="S203">
        <f t="shared" si="962"/>
        <v>-3746.7985520379912</v>
      </c>
      <c r="T203">
        <f t="shared" si="963"/>
        <v>-3.7467985520379909</v>
      </c>
    </row>
    <row r="204" spans="1:20" x14ac:dyDescent="0.25">
      <c r="A204" s="5">
        <v>44389</v>
      </c>
      <c r="B204">
        <v>1.1240000000000001</v>
      </c>
      <c r="C204">
        <v>1.1346000000000001</v>
      </c>
      <c r="D204">
        <v>1.0549999999999999</v>
      </c>
      <c r="E204">
        <v>1.0737000000000001</v>
      </c>
      <c r="F204">
        <v>3888608.44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-0.53015075376884091</v>
      </c>
      <c r="Q204">
        <f t="shared" si="960"/>
        <v>-2061548.6955778766</v>
      </c>
      <c r="R204">
        <f t="shared" si="961"/>
        <v>-368560689.45378172</v>
      </c>
      <c r="S204">
        <f t="shared" si="962"/>
        <v>-3685.6068945378174</v>
      </c>
      <c r="T204">
        <f t="shared" si="963"/>
        <v>-3.6856068945378175</v>
      </c>
    </row>
    <row r="205" spans="1:20" x14ac:dyDescent="0.25">
      <c r="A205" s="5">
        <v>44388</v>
      </c>
      <c r="B205">
        <v>1.0704</v>
      </c>
      <c r="C205">
        <v>1.145</v>
      </c>
      <c r="D205">
        <v>1.0601</v>
      </c>
      <c r="E205">
        <v>1.123</v>
      </c>
      <c r="F205">
        <v>4429989.0199999996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0.48174322732626557</v>
      </c>
      <c r="Q205">
        <f t="shared" si="960"/>
        <v>2134117.20751472</v>
      </c>
      <c r="R205">
        <f t="shared" si="961"/>
        <v>-366499140.75820386</v>
      </c>
      <c r="S205">
        <f t="shared" si="962"/>
        <v>-3664.9914075820388</v>
      </c>
      <c r="T205">
        <f t="shared" si="963"/>
        <v>-3.6649914075820389</v>
      </c>
    </row>
    <row r="206" spans="1:20" x14ac:dyDescent="0.25">
      <c r="A206" s="5">
        <v>44387</v>
      </c>
      <c r="B206">
        <v>1.1003000000000001</v>
      </c>
      <c r="C206">
        <v>1.1171</v>
      </c>
      <c r="D206">
        <v>1.0551999999999999</v>
      </c>
      <c r="E206">
        <v>1.0699000000000001</v>
      </c>
      <c r="F206">
        <v>2627927.27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-0.52504038772212791</v>
      </c>
      <c r="Q206">
        <f t="shared" si="960"/>
        <v>-1379767.9527463531</v>
      </c>
      <c r="R206">
        <f t="shared" si="961"/>
        <v>-368633257.96571857</v>
      </c>
      <c r="S206">
        <f t="shared" si="962"/>
        <v>-3686.3325796571858</v>
      </c>
      <c r="T206">
        <f t="shared" si="963"/>
        <v>-3.686332579657186</v>
      </c>
    </row>
    <row r="207" spans="1:20" x14ac:dyDescent="0.25">
      <c r="A207" s="5">
        <v>44386</v>
      </c>
      <c r="B207">
        <v>1.0674999999999999</v>
      </c>
      <c r="C207">
        <v>1.1149</v>
      </c>
      <c r="D207">
        <v>1.0209999999999999</v>
      </c>
      <c r="E207">
        <v>1.1003000000000001</v>
      </c>
      <c r="F207">
        <v>4940920.25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0.68903088391906431</v>
      </c>
      <c r="Q207">
        <f t="shared" si="960"/>
        <v>3404446.6472311043</v>
      </c>
      <c r="R207">
        <f t="shared" si="961"/>
        <v>-367253490.01297224</v>
      </c>
      <c r="S207">
        <f t="shared" si="962"/>
        <v>-3672.5349001297222</v>
      </c>
      <c r="T207">
        <f t="shared" si="963"/>
        <v>-3.6725349001297221</v>
      </c>
    </row>
    <row r="208" spans="1:20" x14ac:dyDescent="0.25">
      <c r="A208" s="5">
        <v>44385</v>
      </c>
      <c r="B208">
        <v>1.1493</v>
      </c>
      <c r="C208">
        <v>1.1555</v>
      </c>
      <c r="D208">
        <v>1.06</v>
      </c>
      <c r="E208">
        <v>1.0693999999999999</v>
      </c>
      <c r="F208">
        <v>8825615.2599999998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-0.80314136125654745</v>
      </c>
      <c r="Q208">
        <f t="shared" si="960"/>
        <v>-7088216.6538429577</v>
      </c>
      <c r="R208">
        <f t="shared" si="961"/>
        <v>-370657936.66020334</v>
      </c>
      <c r="S208">
        <f t="shared" si="962"/>
        <v>-3706.5793666020336</v>
      </c>
      <c r="T208">
        <f t="shared" si="963"/>
        <v>-3.7065793666020337</v>
      </c>
    </row>
    <row r="209" spans="1:20" x14ac:dyDescent="0.25">
      <c r="A209" s="5">
        <v>44384</v>
      </c>
      <c r="B209">
        <v>1.1528</v>
      </c>
      <c r="C209">
        <v>1.19</v>
      </c>
      <c r="D209">
        <v>1.1367</v>
      </c>
      <c r="E209">
        <v>1.1488</v>
      </c>
      <c r="F209">
        <v>8617135.4600000009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-0.54596622889305735</v>
      </c>
      <c r="Q209">
        <f t="shared" si="960"/>
        <v>-4704664.9509568419</v>
      </c>
      <c r="R209">
        <f t="shared" si="961"/>
        <v>-363569720.00636035</v>
      </c>
      <c r="S209">
        <f t="shared" si="962"/>
        <v>-3635.6972000636033</v>
      </c>
      <c r="T209">
        <f t="shared" si="963"/>
        <v>-3.6356972000636034</v>
      </c>
    </row>
    <row r="210" spans="1:20" x14ac:dyDescent="0.25">
      <c r="A210" s="5">
        <v>44383</v>
      </c>
      <c r="B210">
        <v>1.1284000000000001</v>
      </c>
      <c r="C210">
        <v>1.1953</v>
      </c>
      <c r="D210">
        <v>1.1284000000000001</v>
      </c>
      <c r="E210">
        <v>1.1516</v>
      </c>
      <c r="F210">
        <v>7119575.21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-0.30642750373692373</v>
      </c>
      <c r="Q210">
        <f t="shared" si="960"/>
        <v>-2181633.6592675848</v>
      </c>
      <c r="R210">
        <f t="shared" si="961"/>
        <v>-358865055.05540353</v>
      </c>
      <c r="S210">
        <f t="shared" si="962"/>
        <v>-3588.6505505540354</v>
      </c>
      <c r="T210">
        <f t="shared" si="963"/>
        <v>-3.5886505505540351</v>
      </c>
    </row>
    <row r="211" spans="1:20" x14ac:dyDescent="0.25">
      <c r="A211" s="5">
        <v>44382</v>
      </c>
      <c r="B211">
        <v>1.1850000000000001</v>
      </c>
      <c r="C211">
        <v>1.1935</v>
      </c>
      <c r="D211">
        <v>1.121</v>
      </c>
      <c r="E211">
        <v>1.1284000000000001</v>
      </c>
      <c r="F211">
        <v>7861159.6399999997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-0.79586206896551526</v>
      </c>
      <c r="Q211">
        <f t="shared" si="960"/>
        <v>-6256398.7755586049</v>
      </c>
      <c r="R211">
        <f t="shared" si="961"/>
        <v>-356683421.39613593</v>
      </c>
      <c r="S211">
        <f t="shared" si="962"/>
        <v>-3566.8342139613592</v>
      </c>
      <c r="T211">
        <f t="shared" si="963"/>
        <v>-3.5668342139613594</v>
      </c>
    </row>
    <row r="212" spans="1:20" x14ac:dyDescent="0.25">
      <c r="A212" s="5">
        <v>44381</v>
      </c>
      <c r="B212">
        <v>1.1499999999999999</v>
      </c>
      <c r="C212">
        <v>1.2877000000000001</v>
      </c>
      <c r="D212">
        <v>1.1022000000000001</v>
      </c>
      <c r="E212">
        <v>1.1848000000000001</v>
      </c>
      <c r="F212">
        <v>15562147.890000001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-0.10943396226415086</v>
      </c>
      <c r="Q212">
        <f t="shared" si="960"/>
        <v>-1703027.504943395</v>
      </c>
      <c r="R212">
        <f t="shared" si="961"/>
        <v>-350427022.62057734</v>
      </c>
      <c r="S212">
        <f t="shared" si="962"/>
        <v>-3504.2702262057733</v>
      </c>
      <c r="T212">
        <f t="shared" si="963"/>
        <v>-3.5042702262057732</v>
      </c>
    </row>
    <row r="213" spans="1:20" x14ac:dyDescent="0.25">
      <c r="A213" s="5">
        <v>44380</v>
      </c>
      <c r="B213">
        <v>1.1293</v>
      </c>
      <c r="C213">
        <v>1.1786000000000001</v>
      </c>
      <c r="D213">
        <v>1.1101000000000001</v>
      </c>
      <c r="E213">
        <v>1.1499999999999999</v>
      </c>
      <c r="F213">
        <v>3142881.84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0.16496350364962983</v>
      </c>
      <c r="Q213">
        <f t="shared" si="960"/>
        <v>518460.79988319532</v>
      </c>
      <c r="R213">
        <f t="shared" si="961"/>
        <v>-348723995.11563396</v>
      </c>
      <c r="S213">
        <f t="shared" si="962"/>
        <v>-3487.2399511563394</v>
      </c>
      <c r="T213">
        <f t="shared" si="963"/>
        <v>-3.4872399511563392</v>
      </c>
    </row>
    <row r="214" spans="1:20" x14ac:dyDescent="0.25">
      <c r="A214" s="5">
        <v>44379</v>
      </c>
      <c r="B214">
        <v>1.1240000000000001</v>
      </c>
      <c r="C214">
        <v>1.143</v>
      </c>
      <c r="D214">
        <v>1.0820000000000001</v>
      </c>
      <c r="E214">
        <v>1.1314</v>
      </c>
      <c r="F214">
        <v>4571884.95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0.61967213114753883</v>
      </c>
      <c r="Q214">
        <f t="shared" si="960"/>
        <v>2833069.690327859</v>
      </c>
      <c r="R214">
        <f t="shared" si="961"/>
        <v>-349242455.91551715</v>
      </c>
      <c r="S214">
        <f t="shared" si="962"/>
        <v>-3492.4245591551717</v>
      </c>
      <c r="T214">
        <f t="shared" si="963"/>
        <v>-3.4924245591551717</v>
      </c>
    </row>
    <row r="215" spans="1:20" x14ac:dyDescent="0.25">
      <c r="A215" s="5">
        <v>44378</v>
      </c>
      <c r="B215">
        <v>1.1996</v>
      </c>
      <c r="C215">
        <v>1.1997</v>
      </c>
      <c r="D215">
        <v>1.1162000000000001</v>
      </c>
      <c r="E215">
        <v>1.1253</v>
      </c>
      <c r="F215">
        <v>6414515.2400000002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-0.78203592814371503</v>
      </c>
      <c r="Q215">
        <f t="shared" si="960"/>
        <v>-5016381.3793054055</v>
      </c>
      <c r="R215">
        <f t="shared" si="961"/>
        <v>-352075525.60584503</v>
      </c>
      <c r="S215">
        <f t="shared" si="962"/>
        <v>-3520.7552560584504</v>
      </c>
      <c r="T215">
        <f t="shared" si="963"/>
        <v>-3.5207552560584503</v>
      </c>
    </row>
    <row r="216" spans="1:20" x14ac:dyDescent="0.25">
      <c r="A216" s="5">
        <v>44377</v>
      </c>
      <c r="B216">
        <v>1.2092000000000001</v>
      </c>
      <c r="C216">
        <v>1.2232000000000001</v>
      </c>
      <c r="D216">
        <v>1.1209</v>
      </c>
      <c r="E216">
        <v>1.1998</v>
      </c>
      <c r="F216">
        <v>7766332.9500000002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0.54252199413489588</v>
      </c>
      <c r="Q216">
        <f t="shared" si="960"/>
        <v>4213406.4391495483</v>
      </c>
      <c r="R216">
        <f t="shared" si="961"/>
        <v>-347059144.22653961</v>
      </c>
      <c r="S216">
        <f t="shared" si="962"/>
        <v>-3470.5914422653959</v>
      </c>
      <c r="T216">
        <f t="shared" si="963"/>
        <v>-3.4705914422653961</v>
      </c>
    </row>
    <row r="217" spans="1:20" x14ac:dyDescent="0.25">
      <c r="A217" s="5">
        <v>44376</v>
      </c>
      <c r="B217">
        <v>1.1680999999999999</v>
      </c>
      <c r="C217">
        <v>1.32</v>
      </c>
      <c r="D217">
        <v>1.1637999999999999</v>
      </c>
      <c r="E217">
        <v>1.2107000000000001</v>
      </c>
      <c r="F217">
        <v>9931852.5199999996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-0.39948783610755279</v>
      </c>
      <c r="Q217">
        <f t="shared" si="960"/>
        <v>-3967654.2717541452</v>
      </c>
      <c r="R217">
        <f t="shared" si="961"/>
        <v>-351272550.66568917</v>
      </c>
      <c r="S217">
        <f t="shared" si="962"/>
        <v>-3512.7255066568919</v>
      </c>
      <c r="T217">
        <f t="shared" si="963"/>
        <v>-3.5127255066568916</v>
      </c>
    </row>
    <row r="218" spans="1:20" x14ac:dyDescent="0.25">
      <c r="A218" s="5">
        <v>44375</v>
      </c>
      <c r="B218">
        <v>1.1588000000000001</v>
      </c>
      <c r="C218">
        <v>1.1878</v>
      </c>
      <c r="D218">
        <v>1.1200000000000001</v>
      </c>
      <c r="E218">
        <v>1.1677</v>
      </c>
      <c r="F218">
        <v>6803292.5199999996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0.40707964601769769</v>
      </c>
      <c r="Q218">
        <f t="shared" si="960"/>
        <v>2769481.9107964505</v>
      </c>
      <c r="R218">
        <f t="shared" si="961"/>
        <v>-347304896.39393502</v>
      </c>
      <c r="S218">
        <f t="shared" si="962"/>
        <v>-3473.0489639393504</v>
      </c>
      <c r="T218">
        <f t="shared" si="963"/>
        <v>-3.4730489639393505</v>
      </c>
    </row>
    <row r="219" spans="1:20" x14ac:dyDescent="0.25">
      <c r="A219" s="5">
        <v>44374</v>
      </c>
      <c r="B219">
        <v>1.1133</v>
      </c>
      <c r="C219">
        <v>1.1609</v>
      </c>
      <c r="D219">
        <v>1.0748</v>
      </c>
      <c r="E219">
        <v>1.1586000000000001</v>
      </c>
      <c r="F219">
        <v>6426440.3300000001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0.946573751451801</v>
      </c>
      <c r="Q219">
        <f t="shared" si="960"/>
        <v>6083099.7316492498</v>
      </c>
      <c r="R219">
        <f t="shared" si="961"/>
        <v>-350074378.30473149</v>
      </c>
      <c r="S219">
        <f t="shared" si="962"/>
        <v>-3500.743783047315</v>
      </c>
      <c r="T219">
        <f t="shared" si="963"/>
        <v>-3.5007437830473149</v>
      </c>
    </row>
    <row r="220" spans="1:20" x14ac:dyDescent="0.25">
      <c r="A220" s="5">
        <v>44373</v>
      </c>
      <c r="B220">
        <v>1.1128</v>
      </c>
      <c r="C220">
        <v>1.1433</v>
      </c>
      <c r="D220">
        <v>1.0334000000000001</v>
      </c>
      <c r="E220">
        <v>1.113</v>
      </c>
      <c r="F220">
        <v>9719903.6400000006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0.44858962693357551</v>
      </c>
      <c r="Q220">
        <f t="shared" si="960"/>
        <v>4360247.947697903</v>
      </c>
      <c r="R220">
        <f t="shared" si="961"/>
        <v>-356157478.03638077</v>
      </c>
      <c r="S220">
        <f t="shared" si="962"/>
        <v>-3561.5747803638078</v>
      </c>
      <c r="T220">
        <f t="shared" si="963"/>
        <v>-3.5615747803638076</v>
      </c>
    </row>
    <row r="221" spans="1:20" x14ac:dyDescent="0.25">
      <c r="A221" s="5">
        <v>44372</v>
      </c>
      <c r="B221">
        <v>1.2112000000000001</v>
      </c>
      <c r="C221">
        <v>1.25</v>
      </c>
      <c r="D221">
        <v>1.1048</v>
      </c>
      <c r="E221">
        <v>1.1134999999999999</v>
      </c>
      <c r="F221">
        <v>9313333.0600000005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-0.8801652892561993</v>
      </c>
      <c r="Q221">
        <f t="shared" si="960"/>
        <v>-8197272.4866942242</v>
      </c>
      <c r="R221">
        <f t="shared" si="961"/>
        <v>-360517725.98407865</v>
      </c>
      <c r="S221">
        <f t="shared" si="962"/>
        <v>-3605.1772598407865</v>
      </c>
      <c r="T221">
        <f t="shared" si="963"/>
        <v>-3.6051772598407865</v>
      </c>
    </row>
    <row r="222" spans="1:20" x14ac:dyDescent="0.25">
      <c r="A222" s="5">
        <v>44371</v>
      </c>
      <c r="B222">
        <v>1.2234</v>
      </c>
      <c r="C222">
        <v>1.25</v>
      </c>
      <c r="D222">
        <v>1.1484000000000001</v>
      </c>
      <c r="E222">
        <v>1.2110000000000001</v>
      </c>
      <c r="F222">
        <v>9584555.9000000004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0.23228346456692997</v>
      </c>
      <c r="Q222">
        <f t="shared" si="960"/>
        <v>2226333.8507874096</v>
      </c>
      <c r="R222">
        <f t="shared" si="961"/>
        <v>-352320453.49738443</v>
      </c>
      <c r="S222">
        <f t="shared" si="962"/>
        <v>-3523.2045349738441</v>
      </c>
      <c r="T222">
        <f t="shared" si="963"/>
        <v>-3.5232045349738441</v>
      </c>
    </row>
    <row r="223" spans="1:20" x14ac:dyDescent="0.25">
      <c r="A223" s="5">
        <v>44370</v>
      </c>
      <c r="B223">
        <v>1.0808</v>
      </c>
      <c r="C223">
        <v>1.2968999999999999</v>
      </c>
      <c r="D223">
        <v>1.0350999999999999</v>
      </c>
      <c r="E223">
        <v>1.2234</v>
      </c>
      <c r="F223">
        <v>14397271.68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0.43850267379679231</v>
      </c>
      <c r="Q223">
        <f t="shared" si="960"/>
        <v>6313242.1270588357</v>
      </c>
      <c r="R223">
        <f t="shared" si="961"/>
        <v>-354546787.34817183</v>
      </c>
      <c r="S223">
        <f t="shared" si="962"/>
        <v>-3545.4678734817185</v>
      </c>
      <c r="T223">
        <f t="shared" si="963"/>
        <v>-3.5454678734817184</v>
      </c>
    </row>
    <row r="224" spans="1:20" x14ac:dyDescent="0.25">
      <c r="A224" s="5">
        <v>44369</v>
      </c>
      <c r="B224">
        <v>1.0888</v>
      </c>
      <c r="C224">
        <v>1.2238</v>
      </c>
      <c r="D224">
        <v>0.90339999999999998</v>
      </c>
      <c r="E224">
        <v>1.0808</v>
      </c>
      <c r="F224">
        <v>25473744.109999999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0.10736579275905114</v>
      </c>
      <c r="Q224">
        <f t="shared" si="960"/>
        <v>2735008.7309113597</v>
      </c>
      <c r="R224">
        <f t="shared" si="961"/>
        <v>-360860029.47523069</v>
      </c>
      <c r="S224">
        <f t="shared" si="962"/>
        <v>-3608.600294752307</v>
      </c>
      <c r="T224">
        <f t="shared" si="963"/>
        <v>-3.608600294752307</v>
      </c>
    </row>
    <row r="225" spans="1:20" x14ac:dyDescent="0.25">
      <c r="A225" s="5">
        <v>44368</v>
      </c>
      <c r="B225">
        <v>1.4181999999999999</v>
      </c>
      <c r="C225">
        <v>1.4323999999999999</v>
      </c>
      <c r="D225">
        <v>1.0747</v>
      </c>
      <c r="E225">
        <v>1.0912999999999999</v>
      </c>
      <c r="F225">
        <v>18039627.77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-0.9071847917249094</v>
      </c>
      <c r="Q225">
        <f t="shared" si="960"/>
        <v>-16365275.961322341</v>
      </c>
      <c r="R225">
        <f t="shared" si="961"/>
        <v>-363595038.20614207</v>
      </c>
      <c r="S225">
        <f t="shared" si="962"/>
        <v>-3635.9503820614209</v>
      </c>
      <c r="T225">
        <f t="shared" si="963"/>
        <v>-3.635950382061421</v>
      </c>
    </row>
    <row r="226" spans="1:20" x14ac:dyDescent="0.25">
      <c r="A226" s="5">
        <v>44367</v>
      </c>
      <c r="B226">
        <v>1.4049</v>
      </c>
      <c r="C226">
        <v>1.4440999999999999</v>
      </c>
      <c r="D226">
        <v>1.2937000000000001</v>
      </c>
      <c r="E226">
        <v>1.4205000000000001</v>
      </c>
      <c r="F226">
        <v>11165827.84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0.68617021276595924</v>
      </c>
      <c r="Q226">
        <f t="shared" si="960"/>
        <v>7661658.464680871</v>
      </c>
      <c r="R226">
        <f t="shared" si="961"/>
        <v>-347229762.2448197</v>
      </c>
      <c r="S226">
        <f t="shared" si="962"/>
        <v>-3472.2976224481972</v>
      </c>
      <c r="T226">
        <f t="shared" si="963"/>
        <v>-3.4722976224481972</v>
      </c>
    </row>
    <row r="227" spans="1:20" x14ac:dyDescent="0.25">
      <c r="A227" s="5">
        <v>44366</v>
      </c>
      <c r="B227">
        <v>1.4325000000000001</v>
      </c>
      <c r="C227">
        <v>1.4875</v>
      </c>
      <c r="D227">
        <v>1.4024000000000001</v>
      </c>
      <c r="E227">
        <v>1.4059999999999999</v>
      </c>
      <c r="F227">
        <v>5721272.9199999999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-0.91539365452409338</v>
      </c>
      <c r="Q227">
        <f t="shared" si="960"/>
        <v>-5237216.9267685311</v>
      </c>
      <c r="R227">
        <f t="shared" si="961"/>
        <v>-354891420.70950055</v>
      </c>
      <c r="S227">
        <f t="shared" si="962"/>
        <v>-3548.9142070950056</v>
      </c>
      <c r="T227">
        <f t="shared" si="963"/>
        <v>-3.5489142070950055</v>
      </c>
    </row>
    <row r="228" spans="1:20" x14ac:dyDescent="0.25">
      <c r="A228" s="5">
        <v>44365</v>
      </c>
      <c r="B228">
        <v>1.5348999999999999</v>
      </c>
      <c r="C228">
        <v>1.55</v>
      </c>
      <c r="D228">
        <v>1.4</v>
      </c>
      <c r="E228">
        <v>1.4327000000000001</v>
      </c>
      <c r="F228">
        <v>7860093.7599999998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-0.56399999999999806</v>
      </c>
      <c r="Q228">
        <f t="shared" si="960"/>
        <v>-4433092.8806399843</v>
      </c>
      <c r="R228">
        <f t="shared" si="961"/>
        <v>-349654203.78273201</v>
      </c>
      <c r="S228">
        <f t="shared" si="962"/>
        <v>-3496.5420378273202</v>
      </c>
      <c r="T228">
        <f t="shared" si="963"/>
        <v>-3.4965420378273202</v>
      </c>
    </row>
    <row r="229" spans="1:20" x14ac:dyDescent="0.25">
      <c r="A229" s="5">
        <v>44364</v>
      </c>
      <c r="B229">
        <v>1.5705</v>
      </c>
      <c r="C229">
        <v>1.6079000000000001</v>
      </c>
      <c r="D229">
        <v>1.5</v>
      </c>
      <c r="E229">
        <v>1.5353000000000001</v>
      </c>
      <c r="F229">
        <v>5891991.9800000004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-0.3456904541241877</v>
      </c>
      <c r="Q229">
        <f t="shared" si="960"/>
        <v>-2036805.383262272</v>
      </c>
      <c r="R229">
        <f t="shared" si="961"/>
        <v>-345221110.90209204</v>
      </c>
      <c r="S229">
        <f t="shared" si="962"/>
        <v>-3452.2111090209205</v>
      </c>
      <c r="T229">
        <f t="shared" si="963"/>
        <v>-3.4522111090209204</v>
      </c>
    </row>
    <row r="230" spans="1:20" x14ac:dyDescent="0.25">
      <c r="A230" s="5">
        <v>44363</v>
      </c>
      <c r="B230">
        <v>1.6016999999999999</v>
      </c>
      <c r="C230">
        <v>1.6288</v>
      </c>
      <c r="D230">
        <v>1.5201</v>
      </c>
      <c r="E230">
        <v>1.5697000000000001</v>
      </c>
      <c r="F230">
        <v>8902231.8100000005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-8.7396504139832937E-2</v>
      </c>
      <c r="Q230">
        <f t="shared" si="960"/>
        <v>-778023.93923641753</v>
      </c>
      <c r="R230">
        <f t="shared" si="961"/>
        <v>-343184305.51882976</v>
      </c>
      <c r="S230">
        <f t="shared" si="962"/>
        <v>-3431.8430551882975</v>
      </c>
      <c r="T230">
        <f t="shared" si="963"/>
        <v>-3.4318430551882977</v>
      </c>
    </row>
    <row r="231" spans="1:20" x14ac:dyDescent="0.25">
      <c r="A231" s="5">
        <v>44362</v>
      </c>
      <c r="B231">
        <v>1.6443000000000001</v>
      </c>
      <c r="C231">
        <v>1.6738999999999999</v>
      </c>
      <c r="D231">
        <v>1.5928</v>
      </c>
      <c r="E231">
        <v>1.603</v>
      </c>
      <c r="F231">
        <v>9978684.4900000002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-0.74845869297164014</v>
      </c>
      <c r="Q231">
        <f t="shared" si="960"/>
        <v>-7468633.1509617772</v>
      </c>
      <c r="R231">
        <f t="shared" si="961"/>
        <v>-342406281.57959336</v>
      </c>
      <c r="S231">
        <f t="shared" si="962"/>
        <v>-3424.0628157959336</v>
      </c>
      <c r="T231">
        <f t="shared" si="963"/>
        <v>-3.4240628157959336</v>
      </c>
    </row>
    <row r="232" spans="1:20" x14ac:dyDescent="0.25">
      <c r="A232" s="5">
        <v>44361</v>
      </c>
      <c r="B232">
        <v>1.6392</v>
      </c>
      <c r="C232">
        <v>1.7</v>
      </c>
      <c r="D232">
        <v>1.6125</v>
      </c>
      <c r="E232">
        <v>1.6429</v>
      </c>
      <c r="F232">
        <v>11282917.869999999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-0.30514285714285683</v>
      </c>
      <c r="Q232">
        <f t="shared" si="960"/>
        <v>-3442901.7957599964</v>
      </c>
      <c r="R232">
        <f t="shared" si="961"/>
        <v>-334937648.4286316</v>
      </c>
      <c r="S232">
        <f t="shared" si="962"/>
        <v>-3349.3764842863161</v>
      </c>
      <c r="T232">
        <f t="shared" si="963"/>
        <v>-3.3493764842863163</v>
      </c>
    </row>
    <row r="233" spans="1:20" x14ac:dyDescent="0.25">
      <c r="A233" s="5">
        <v>44360</v>
      </c>
      <c r="B233">
        <v>1.5636000000000001</v>
      </c>
      <c r="C233">
        <v>1.6903999999999999</v>
      </c>
      <c r="D233">
        <v>1.5236000000000001</v>
      </c>
      <c r="E233">
        <v>1.6397999999999999</v>
      </c>
      <c r="F233">
        <v>13742891.85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0.39328537170263755</v>
      </c>
      <c r="Q233">
        <f t="shared" si="960"/>
        <v>5404878.3294963986</v>
      </c>
      <c r="R233">
        <f t="shared" si="961"/>
        <v>-331494746.63287163</v>
      </c>
      <c r="S233">
        <f t="shared" si="962"/>
        <v>-3314.9474663287165</v>
      </c>
      <c r="T233">
        <f t="shared" si="963"/>
        <v>-3.3149474663287166</v>
      </c>
    </row>
    <row r="234" spans="1:20" x14ac:dyDescent="0.25">
      <c r="A234" s="5">
        <v>44359</v>
      </c>
      <c r="B234">
        <v>1.5579000000000001</v>
      </c>
      <c r="C234">
        <v>1.6057999999999999</v>
      </c>
      <c r="D234">
        <v>1.4380999999999999</v>
      </c>
      <c r="E234">
        <v>1.5636000000000001</v>
      </c>
      <c r="F234">
        <v>16010447.65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0.4967203339296386</v>
      </c>
      <c r="Q234">
        <f t="shared" si="960"/>
        <v>7952714.9030709974</v>
      </c>
      <c r="R234">
        <f t="shared" si="961"/>
        <v>-336899624.96236801</v>
      </c>
      <c r="S234">
        <f t="shared" si="962"/>
        <v>-3368.9962496236803</v>
      </c>
      <c r="T234">
        <f t="shared" si="963"/>
        <v>-3.3689962496236805</v>
      </c>
    </row>
    <row r="235" spans="1:20" x14ac:dyDescent="0.25">
      <c r="A235" s="5">
        <v>44358</v>
      </c>
      <c r="B235">
        <v>1.7509999999999999</v>
      </c>
      <c r="C235">
        <v>1.9489000000000001</v>
      </c>
      <c r="D235">
        <v>1.5139</v>
      </c>
      <c r="E235">
        <v>1.5529999999999999</v>
      </c>
      <c r="F235">
        <v>38679878.18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-0.82022988505747174</v>
      </c>
      <c r="Q235">
        <f t="shared" si="960"/>
        <v>-31726392.033618409</v>
      </c>
      <c r="R235">
        <f t="shared" si="961"/>
        <v>-344852339.865439</v>
      </c>
      <c r="S235">
        <f t="shared" si="962"/>
        <v>-3448.5233986543899</v>
      </c>
      <c r="T235">
        <f t="shared" si="963"/>
        <v>-3.4485233986543897</v>
      </c>
    </row>
    <row r="236" spans="1:20" x14ac:dyDescent="0.25">
      <c r="A236" s="5">
        <v>44357</v>
      </c>
      <c r="B236">
        <v>1.665</v>
      </c>
      <c r="C236">
        <v>2.0762999999999998</v>
      </c>
      <c r="D236">
        <v>1.5285</v>
      </c>
      <c r="E236">
        <v>1.7563</v>
      </c>
      <c r="F236">
        <v>55939888.280000001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-0.16830960204454157</v>
      </c>
      <c r="Q236">
        <f t="shared" si="960"/>
        <v>-9415220.3348229155</v>
      </c>
      <c r="R236">
        <f t="shared" si="961"/>
        <v>-313125947.83182061</v>
      </c>
      <c r="S236">
        <f t="shared" si="962"/>
        <v>-3131.2594783182062</v>
      </c>
      <c r="T236">
        <f t="shared" si="963"/>
        <v>-3.1312594783182064</v>
      </c>
    </row>
    <row r="237" spans="1:20" x14ac:dyDescent="0.25">
      <c r="A237" s="5">
        <v>44356</v>
      </c>
      <c r="B237">
        <v>1.542</v>
      </c>
      <c r="C237">
        <v>1.71</v>
      </c>
      <c r="D237">
        <v>1.4044000000000001</v>
      </c>
      <c r="E237">
        <v>1.6647000000000001</v>
      </c>
      <c r="F237">
        <v>17836602.030000001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0.70353403141361315</v>
      </c>
      <c r="Q237">
        <f t="shared" si="960"/>
        <v>12548656.532886136</v>
      </c>
      <c r="R237">
        <f t="shared" si="961"/>
        <v>-303710727.49699771</v>
      </c>
      <c r="S237">
        <f t="shared" si="962"/>
        <v>-3037.107274969977</v>
      </c>
      <c r="T237">
        <f t="shared" si="963"/>
        <v>-3.0371072749699768</v>
      </c>
    </row>
    <row r="238" spans="1:20" x14ac:dyDescent="0.25">
      <c r="A238" s="5">
        <v>44355</v>
      </c>
      <c r="B238">
        <v>1.5511999999999999</v>
      </c>
      <c r="C238">
        <v>1.5964</v>
      </c>
      <c r="D238">
        <v>1.3</v>
      </c>
      <c r="E238">
        <v>1.542</v>
      </c>
      <c r="F238">
        <v>23641288.039999999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0.63292847503373817</v>
      </c>
      <c r="Q238">
        <f t="shared" si="960"/>
        <v>14963244.386990553</v>
      </c>
      <c r="R238">
        <f t="shared" si="961"/>
        <v>-316259384.02988386</v>
      </c>
      <c r="S238">
        <f t="shared" si="962"/>
        <v>-3162.5938402988386</v>
      </c>
      <c r="T238">
        <f t="shared" si="963"/>
        <v>-3.1625938402988387</v>
      </c>
    </row>
    <row r="239" spans="1:20" x14ac:dyDescent="0.25">
      <c r="A239" s="5">
        <v>44354</v>
      </c>
      <c r="B239">
        <v>1.7422</v>
      </c>
      <c r="C239">
        <v>1.8299000000000001</v>
      </c>
      <c r="D239">
        <v>1.5205</v>
      </c>
      <c r="E239">
        <v>1.5544</v>
      </c>
      <c r="F239">
        <v>14482384.140000001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-0.78086619263089829</v>
      </c>
      <c r="Q239">
        <f t="shared" si="960"/>
        <v>-11308804.163619908</v>
      </c>
      <c r="R239">
        <f t="shared" si="961"/>
        <v>-331222628.41687441</v>
      </c>
      <c r="S239">
        <f t="shared" si="962"/>
        <v>-3312.2262841687443</v>
      </c>
      <c r="T239">
        <f t="shared" si="963"/>
        <v>-3.3122262841687444</v>
      </c>
    </row>
    <row r="240" spans="1:20" x14ac:dyDescent="0.25">
      <c r="A240" s="5">
        <v>44353</v>
      </c>
      <c r="B240">
        <v>1.7175</v>
      </c>
      <c r="C240">
        <v>1.7758</v>
      </c>
      <c r="D240">
        <v>1.6869000000000001</v>
      </c>
      <c r="E240">
        <v>1.7439</v>
      </c>
      <c r="F240">
        <v>7948880.7599999998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0.28233970753655685</v>
      </c>
      <c r="Q240">
        <f t="shared" si="960"/>
        <v>2244284.6690213638</v>
      </c>
      <c r="R240">
        <f t="shared" si="961"/>
        <v>-319913824.25325447</v>
      </c>
      <c r="S240">
        <f t="shared" si="962"/>
        <v>-3199.1382425325446</v>
      </c>
      <c r="T240">
        <f t="shared" si="963"/>
        <v>-3.1991382425325448</v>
      </c>
    </row>
    <row r="241" spans="1:20" x14ac:dyDescent="0.25">
      <c r="A241" s="5">
        <v>44352</v>
      </c>
      <c r="B241">
        <v>1.7602</v>
      </c>
      <c r="C241">
        <v>1.946</v>
      </c>
      <c r="D241">
        <v>1.6524000000000001</v>
      </c>
      <c r="E241">
        <v>1.7133</v>
      </c>
      <c r="F241">
        <v>19157458.710000001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-0.58514986376021805</v>
      </c>
      <c r="Q241">
        <f t="shared" si="960"/>
        <v>-11209984.354148503</v>
      </c>
      <c r="R241">
        <f t="shared" si="961"/>
        <v>-322158108.92227584</v>
      </c>
      <c r="S241">
        <f t="shared" si="962"/>
        <v>-3221.5810892227582</v>
      </c>
      <c r="T241">
        <f t="shared" si="963"/>
        <v>-3.2215810892227581</v>
      </c>
    </row>
    <row r="242" spans="1:20" x14ac:dyDescent="0.25">
      <c r="A242" s="5">
        <v>44351</v>
      </c>
      <c r="B242">
        <v>1.9732000000000001</v>
      </c>
      <c r="C242">
        <v>1.9746999999999999</v>
      </c>
      <c r="D242">
        <v>1.64</v>
      </c>
      <c r="E242">
        <v>1.7603</v>
      </c>
      <c r="F242">
        <v>28422800.719999999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-0.28114729608604677</v>
      </c>
      <c r="Q242">
        <f t="shared" si="960"/>
        <v>-7990993.5696205432</v>
      </c>
      <c r="R242">
        <f t="shared" si="961"/>
        <v>-310948124.56812733</v>
      </c>
      <c r="S242">
        <f t="shared" si="962"/>
        <v>-3109.4812456812733</v>
      </c>
      <c r="T242">
        <f t="shared" si="963"/>
        <v>-3.1094812456812733</v>
      </c>
    </row>
    <row r="243" spans="1:20" x14ac:dyDescent="0.25">
      <c r="A243" s="5">
        <v>44350</v>
      </c>
      <c r="B243">
        <v>1.7948999999999999</v>
      </c>
      <c r="C243">
        <v>2.1829999999999998</v>
      </c>
      <c r="D243">
        <v>1.7558</v>
      </c>
      <c r="E243">
        <v>1.9732000000000001</v>
      </c>
      <c r="F243">
        <v>43681190.189999998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1.7790262172285291E-2</v>
      </c>
      <c r="Q243">
        <f t="shared" si="960"/>
        <v>777099.82547755633</v>
      </c>
      <c r="R243">
        <f t="shared" si="961"/>
        <v>-302957130.99850678</v>
      </c>
      <c r="S243">
        <f t="shared" si="962"/>
        <v>-3029.5713099850677</v>
      </c>
      <c r="T243">
        <f t="shared" si="963"/>
        <v>-3.0295713099850676</v>
      </c>
    </row>
    <row r="244" spans="1:20" x14ac:dyDescent="0.25">
      <c r="A244" s="5">
        <v>44349</v>
      </c>
      <c r="B244">
        <v>1.8258000000000001</v>
      </c>
      <c r="C244">
        <v>1.91</v>
      </c>
      <c r="D244">
        <v>1.7531000000000001</v>
      </c>
      <c r="E244">
        <v>1.7948999999999999</v>
      </c>
      <c r="F244">
        <v>30659457.82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-0.46717654557042848</v>
      </c>
      <c r="Q244">
        <f t="shared" si="960"/>
        <v>-14323379.593409861</v>
      </c>
      <c r="R244">
        <f t="shared" si="961"/>
        <v>-303734230.82398432</v>
      </c>
      <c r="S244">
        <f t="shared" si="962"/>
        <v>-3037.3423082398431</v>
      </c>
      <c r="T244">
        <f t="shared" si="963"/>
        <v>-3.0373423082398432</v>
      </c>
    </row>
    <row r="245" spans="1:20" x14ac:dyDescent="0.25">
      <c r="A245" s="5">
        <v>44348</v>
      </c>
      <c r="B245">
        <v>1.8345</v>
      </c>
      <c r="C245">
        <v>2.29</v>
      </c>
      <c r="D245">
        <v>1.8013999999999999</v>
      </c>
      <c r="E245">
        <v>1.8294999999999999</v>
      </c>
      <c r="F245">
        <v>116487515.25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-0.88497748669668441</v>
      </c>
      <c r="Q245">
        <f t="shared" si="960"/>
        <v>-103088828.4774867</v>
      </c>
      <c r="R245">
        <f t="shared" si="961"/>
        <v>-289410851.23057449</v>
      </c>
      <c r="S245">
        <f t="shared" si="962"/>
        <v>-2894.1085123057451</v>
      </c>
      <c r="T245">
        <f t="shared" si="963"/>
        <v>-2.8941085123057451</v>
      </c>
    </row>
    <row r="246" spans="1:20" x14ac:dyDescent="0.25">
      <c r="A246" s="5">
        <v>44347</v>
      </c>
      <c r="B246">
        <v>1.3167</v>
      </c>
      <c r="C246">
        <v>2.3582000000000001</v>
      </c>
      <c r="D246">
        <v>1.2601</v>
      </c>
      <c r="E246">
        <v>1.8352999999999999</v>
      </c>
      <c r="F246">
        <v>119532976.11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4.7627720608323272E-2</v>
      </c>
      <c r="Q246">
        <f t="shared" si="960"/>
        <v>5693083.1896484606</v>
      </c>
      <c r="R246">
        <f t="shared" si="961"/>
        <v>-186322022.75308776</v>
      </c>
      <c r="S246">
        <f t="shared" si="962"/>
        <v>-1863.2202275308775</v>
      </c>
      <c r="T246">
        <f t="shared" si="963"/>
        <v>-1.8632202275308776</v>
      </c>
    </row>
    <row r="247" spans="1:20" x14ac:dyDescent="0.25">
      <c r="A247" s="5">
        <v>44346</v>
      </c>
      <c r="B247">
        <v>1.3342000000000001</v>
      </c>
      <c r="C247">
        <v>1.39</v>
      </c>
      <c r="D247">
        <v>1.2362</v>
      </c>
      <c r="E247">
        <v>1.3144</v>
      </c>
      <c r="F247">
        <v>11661289.029999999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1.6905071521457468E-2</v>
      </c>
      <c r="Q247">
        <f t="shared" si="960"/>
        <v>197134.92508453736</v>
      </c>
      <c r="R247">
        <f t="shared" si="961"/>
        <v>-192015105.94273621</v>
      </c>
      <c r="S247">
        <f t="shared" si="962"/>
        <v>-1920.151059427362</v>
      </c>
      <c r="T247">
        <f t="shared" si="963"/>
        <v>-1.9201510594273621</v>
      </c>
    </row>
    <row r="248" spans="1:20" x14ac:dyDescent="0.25">
      <c r="A248" s="5">
        <v>44345</v>
      </c>
      <c r="B248">
        <v>1.2730999999999999</v>
      </c>
      <c r="C248">
        <v>1.5229999999999999</v>
      </c>
      <c r="D248">
        <v>1.2050000000000001</v>
      </c>
      <c r="E248">
        <v>1.3342000000000001</v>
      </c>
      <c r="F248">
        <v>22096189.350000001</v>
      </c>
      <c r="G248">
        <v>0</v>
      </c>
      <c r="L248" t="s">
        <v>8</v>
      </c>
      <c r="M248" t="s">
        <v>8</v>
      </c>
      <c r="N248" t="s">
        <v>7</v>
      </c>
      <c r="P248">
        <f t="shared" si="959"/>
        <v>-0.18742138364779845</v>
      </c>
      <c r="Q248">
        <f t="shared" si="960"/>
        <v>-4141298.3813207485</v>
      </c>
      <c r="R248">
        <f t="shared" si="961"/>
        <v>-192212240.86782074</v>
      </c>
      <c r="S248">
        <f t="shared" si="962"/>
        <v>-1922.1224086782074</v>
      </c>
      <c r="T248">
        <f t="shared" si="963"/>
        <v>-1.9221224086782074</v>
      </c>
    </row>
    <row r="249" spans="1:20" x14ac:dyDescent="0.25">
      <c r="A249" s="5">
        <v>44344</v>
      </c>
      <c r="B249">
        <v>1.4533</v>
      </c>
      <c r="C249">
        <v>1.4708000000000001</v>
      </c>
      <c r="D249">
        <v>1.1959</v>
      </c>
      <c r="E249">
        <v>1.2726</v>
      </c>
      <c r="F249">
        <v>18193270.09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-0.44197890141869806</v>
      </c>
      <c r="Q249">
        <f t="shared" si="960"/>
        <v>-8041041.5275918581</v>
      </c>
      <c r="R249">
        <f t="shared" si="961"/>
        <v>-188070942.48649999</v>
      </c>
      <c r="S249">
        <f t="shared" si="962"/>
        <v>-1880.7094248649998</v>
      </c>
      <c r="T249">
        <f t="shared" si="963"/>
        <v>-1.8807094248649998</v>
      </c>
    </row>
    <row r="250" spans="1:20" x14ac:dyDescent="0.25">
      <c r="A250" s="5">
        <v>44343</v>
      </c>
      <c r="B250">
        <v>1.6035999999999999</v>
      </c>
      <c r="C250">
        <v>1.6073999999999999</v>
      </c>
      <c r="D250">
        <v>1.4156</v>
      </c>
      <c r="E250">
        <v>1.4533</v>
      </c>
      <c r="F250">
        <v>14714931.130000001</v>
      </c>
      <c r="G250">
        <v>0</v>
      </c>
      <c r="L250" t="s">
        <v>7</v>
      </c>
      <c r="M250" t="s">
        <v>7</v>
      </c>
      <c r="N250" t="s">
        <v>7</v>
      </c>
      <c r="P250">
        <f t="shared" si="959"/>
        <v>-0.60688216892596381</v>
      </c>
      <c r="Q250">
        <f t="shared" si="960"/>
        <v>-8930229.3197705839</v>
      </c>
      <c r="R250">
        <f t="shared" si="961"/>
        <v>-180029900.95890814</v>
      </c>
      <c r="S250">
        <f t="shared" si="962"/>
        <v>-1800.2990095890814</v>
      </c>
      <c r="T250">
        <f t="shared" si="963"/>
        <v>-1.8002990095890814</v>
      </c>
    </row>
    <row r="251" spans="1:20" x14ac:dyDescent="0.25">
      <c r="A251" s="5">
        <v>44342</v>
      </c>
      <c r="B251">
        <v>1.5789</v>
      </c>
      <c r="C251">
        <v>1.7487999999999999</v>
      </c>
      <c r="D251">
        <v>1.4970000000000001</v>
      </c>
      <c r="E251">
        <v>1.6034999999999999</v>
      </c>
      <c r="F251">
        <v>19960318.539999999</v>
      </c>
      <c r="G251">
        <v>0</v>
      </c>
      <c r="L251" t="s">
        <v>8</v>
      </c>
      <c r="M251" t="s">
        <v>8</v>
      </c>
      <c r="N251" t="s">
        <v>7</v>
      </c>
      <c r="P251">
        <f t="shared" si="959"/>
        <v>-0.1540905480540119</v>
      </c>
      <c r="Q251">
        <f t="shared" si="960"/>
        <v>-3075696.4231612547</v>
      </c>
      <c r="R251">
        <f t="shared" si="961"/>
        <v>-171099671.63913757</v>
      </c>
      <c r="S251">
        <f t="shared" si="962"/>
        <v>-1710.9967163913757</v>
      </c>
      <c r="T251">
        <f t="shared" si="963"/>
        <v>-1.7109967163913757</v>
      </c>
    </row>
    <row r="252" spans="1:20" x14ac:dyDescent="0.25">
      <c r="A252" s="5">
        <v>44341</v>
      </c>
      <c r="B252">
        <v>1.5474000000000001</v>
      </c>
      <c r="C252">
        <v>1.7805</v>
      </c>
      <c r="D252">
        <v>1.3508</v>
      </c>
      <c r="E252">
        <v>1.5817000000000001</v>
      </c>
      <c r="F252">
        <v>53447826.18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7.4703281359088297E-2</v>
      </c>
      <c r="Q252">
        <f t="shared" si="960"/>
        <v>3992727.9971561856</v>
      </c>
      <c r="R252">
        <f t="shared" si="961"/>
        <v>-168023975.2159763</v>
      </c>
      <c r="S252">
        <f t="shared" si="962"/>
        <v>-1680.2397521597629</v>
      </c>
      <c r="T252">
        <f t="shared" si="963"/>
        <v>-1.680239752159763</v>
      </c>
    </row>
    <row r="253" spans="1:20" x14ac:dyDescent="0.25">
      <c r="A253" s="5">
        <v>44340</v>
      </c>
      <c r="B253">
        <v>0.87980000000000003</v>
      </c>
      <c r="C253">
        <v>1.9499</v>
      </c>
      <c r="D253">
        <v>0.82499999999999996</v>
      </c>
      <c r="E253">
        <v>1.5474000000000001</v>
      </c>
      <c r="F253">
        <v>64269058.890000001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0.28438083385189822</v>
      </c>
      <c r="Q253">
        <f t="shared" si="960"/>
        <v>18276888.558014952</v>
      </c>
      <c r="R253">
        <f t="shared" si="961"/>
        <v>-172016703.21313247</v>
      </c>
      <c r="S253">
        <f t="shared" si="962"/>
        <v>-1720.1670321313247</v>
      </c>
      <c r="T253">
        <f t="shared" si="963"/>
        <v>-1.7201670321313247</v>
      </c>
    </row>
    <row r="254" spans="1:20" x14ac:dyDescent="0.25">
      <c r="A254" s="5">
        <v>44339</v>
      </c>
      <c r="B254">
        <v>1.0654999999999999</v>
      </c>
      <c r="C254">
        <v>1.0992</v>
      </c>
      <c r="D254">
        <v>0.67500000000000004</v>
      </c>
      <c r="E254">
        <v>0.87570000000000003</v>
      </c>
      <c r="F254">
        <v>29447964.329999998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-5.3748231966053599E-2</v>
      </c>
      <c r="Q254">
        <f t="shared" si="960"/>
        <v>-1582776.017736912</v>
      </c>
      <c r="R254">
        <f t="shared" si="961"/>
        <v>-190293591.77114743</v>
      </c>
      <c r="S254">
        <f t="shared" si="962"/>
        <v>-1902.9359177114743</v>
      </c>
      <c r="T254">
        <f t="shared" si="963"/>
        <v>-1.9029359177114744</v>
      </c>
    </row>
    <row r="255" spans="1:20" x14ac:dyDescent="0.25">
      <c r="A255" s="5">
        <v>44338</v>
      </c>
      <c r="B255">
        <v>1.2346999999999999</v>
      </c>
      <c r="C255">
        <v>1.28</v>
      </c>
      <c r="D255">
        <v>1.0105</v>
      </c>
      <c r="E255">
        <v>1.0626</v>
      </c>
      <c r="F255">
        <v>14950820.529999999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-0.6133580705009275</v>
      </c>
      <c r="Q255">
        <f t="shared" si="960"/>
        <v>-9170206.4326864537</v>
      </c>
      <c r="R255">
        <f t="shared" si="961"/>
        <v>-188710815.75341052</v>
      </c>
      <c r="S255">
        <f t="shared" si="962"/>
        <v>-1887.1081575341052</v>
      </c>
      <c r="T255">
        <f t="shared" si="963"/>
        <v>-1.8871081575341051</v>
      </c>
    </row>
    <row r="256" spans="1:20" x14ac:dyDescent="0.25">
      <c r="A256" s="5">
        <v>44337</v>
      </c>
      <c r="B256">
        <v>1.3973</v>
      </c>
      <c r="C256">
        <v>1.5124</v>
      </c>
      <c r="D256">
        <v>1.01</v>
      </c>
      <c r="E256">
        <v>1.2323</v>
      </c>
      <c r="F256">
        <v>19063131.629999999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-0.1150477707006371</v>
      </c>
      <c r="Q256">
        <f t="shared" si="960"/>
        <v>-2193170.7966043022</v>
      </c>
      <c r="R256">
        <f t="shared" si="961"/>
        <v>-179540609.32072407</v>
      </c>
      <c r="S256">
        <f t="shared" si="962"/>
        <v>-1795.4060932072407</v>
      </c>
      <c r="T256">
        <f t="shared" si="963"/>
        <v>-1.7954060932072406</v>
      </c>
    </row>
    <row r="257" spans="1:20" x14ac:dyDescent="0.25">
      <c r="A257" s="5">
        <v>44336</v>
      </c>
      <c r="B257">
        <v>1.2761</v>
      </c>
      <c r="C257">
        <v>1.5658000000000001</v>
      </c>
      <c r="D257">
        <v>1.101</v>
      </c>
      <c r="E257">
        <v>1.3932</v>
      </c>
      <c r="F257">
        <v>20449045.920000002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0.25731497418244387</v>
      </c>
      <c r="Q257">
        <f t="shared" si="960"/>
        <v>5261845.7229604097</v>
      </c>
      <c r="R257">
        <f t="shared" si="961"/>
        <v>-177347438.52411976</v>
      </c>
      <c r="S257">
        <f t="shared" si="962"/>
        <v>-1773.4743852411978</v>
      </c>
      <c r="T257">
        <f t="shared" si="963"/>
        <v>-1.7734743852411978</v>
      </c>
    </row>
    <row r="258" spans="1:20" x14ac:dyDescent="0.25">
      <c r="A258" s="5">
        <v>44335</v>
      </c>
      <c r="B258">
        <v>1.9755</v>
      </c>
      <c r="C258">
        <v>2.0053000000000001</v>
      </c>
      <c r="D258">
        <v>0.8</v>
      </c>
      <c r="E258">
        <v>1.2825</v>
      </c>
      <c r="F258">
        <v>34553141.18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-0.19936945158881619</v>
      </c>
      <c r="Q258">
        <f t="shared" si="960"/>
        <v>-6888840.8077275408</v>
      </c>
      <c r="R258">
        <f t="shared" si="961"/>
        <v>-182609284.24708018</v>
      </c>
      <c r="S258">
        <f t="shared" si="962"/>
        <v>-1826.0928424708018</v>
      </c>
      <c r="T258">
        <f t="shared" si="963"/>
        <v>-1.8260928424708018</v>
      </c>
    </row>
    <row r="259" spans="1:20" x14ac:dyDescent="0.25">
      <c r="A259" s="5">
        <v>44334</v>
      </c>
      <c r="B259">
        <v>1.9905999999999999</v>
      </c>
      <c r="C259">
        <v>2.1046</v>
      </c>
      <c r="D259">
        <v>1.9300999999999999</v>
      </c>
      <c r="E259">
        <v>1.9766999999999999</v>
      </c>
      <c r="F259">
        <v>10548085.050000001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-0.46590257879656222</v>
      </c>
      <c r="Q259">
        <f t="shared" si="960"/>
        <v>-4914380.0261604656</v>
      </c>
      <c r="R259">
        <f t="shared" si="961"/>
        <v>-175720443.43935263</v>
      </c>
      <c r="S259">
        <f t="shared" si="962"/>
        <v>-1757.2044343935263</v>
      </c>
      <c r="T259">
        <f t="shared" si="963"/>
        <v>-1.7572044343935262</v>
      </c>
    </row>
    <row r="260" spans="1:20" x14ac:dyDescent="0.25">
      <c r="A260" s="5">
        <v>44333</v>
      </c>
      <c r="B260">
        <v>2.1040999999999999</v>
      </c>
      <c r="C260">
        <v>2.1257999999999999</v>
      </c>
      <c r="D260">
        <v>1.823</v>
      </c>
      <c r="E260">
        <v>1.9852000000000001</v>
      </c>
      <c r="F260">
        <v>16269350.58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7.1334214002642962E-2</v>
      </c>
      <c r="Q260">
        <f t="shared" si="960"/>
        <v>1160561.3359577435</v>
      </c>
      <c r="R260">
        <f t="shared" si="961"/>
        <v>-170806063.41319215</v>
      </c>
      <c r="S260">
        <f t="shared" si="962"/>
        <v>-1708.0606341319215</v>
      </c>
      <c r="T260">
        <f t="shared" si="963"/>
        <v>-1.7080606341319216</v>
      </c>
    </row>
    <row r="261" spans="1:20" x14ac:dyDescent="0.25">
      <c r="A261" s="5">
        <v>44332</v>
      </c>
      <c r="B261">
        <v>1.9085000000000001</v>
      </c>
      <c r="C261">
        <v>2.4687000000000001</v>
      </c>
      <c r="D261">
        <v>1.893</v>
      </c>
      <c r="E261">
        <v>2.1038999999999999</v>
      </c>
      <c r="F261">
        <v>24815765.559999999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-0.2673267326732679</v>
      </c>
      <c r="Q261">
        <f t="shared" si="960"/>
        <v>-6633917.5259406082</v>
      </c>
      <c r="R261">
        <f t="shared" si="961"/>
        <v>-171966624.74914989</v>
      </c>
      <c r="S261">
        <f t="shared" si="962"/>
        <v>-1719.6662474914988</v>
      </c>
      <c r="T261">
        <f t="shared" si="963"/>
        <v>-1.7196662474914988</v>
      </c>
    </row>
    <row r="262" spans="1:20" x14ac:dyDescent="0.25">
      <c r="A262" s="5">
        <v>44331</v>
      </c>
      <c r="B262">
        <v>2.1194999999999999</v>
      </c>
      <c r="C262">
        <v>2.1850000000000001</v>
      </c>
      <c r="D262">
        <v>1.89</v>
      </c>
      <c r="E262">
        <v>1.9086000000000001</v>
      </c>
      <c r="F262">
        <v>10411082.220000001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-0.87389830508474464</v>
      </c>
      <c r="Q262">
        <f t="shared" ref="Q262:Q325" si="965">F262*P262</f>
        <v>-9098227.1061559208</v>
      </c>
      <c r="R262">
        <f t="shared" ref="R262:R325" si="966">R263+Q262</f>
        <v>-165332707.22320929</v>
      </c>
      <c r="S262">
        <f t="shared" ref="S262:S325" si="967">R262/100000</f>
        <v>-1653.3270722320929</v>
      </c>
      <c r="T262">
        <f t="shared" ref="T262:T325" si="968">S262/1000</f>
        <v>-1.653327072232093</v>
      </c>
    </row>
    <row r="263" spans="1:20" x14ac:dyDescent="0.25">
      <c r="A263" s="5">
        <v>44330</v>
      </c>
      <c r="B263">
        <v>2.0062000000000002</v>
      </c>
      <c r="C263">
        <v>2.23</v>
      </c>
      <c r="D263">
        <v>1.972</v>
      </c>
      <c r="E263">
        <v>2.1193</v>
      </c>
      <c r="F263">
        <v>10595809.369999999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0.14186046511627892</v>
      </c>
      <c r="Q263">
        <f t="shared" si="965"/>
        <v>1503126.4455116263</v>
      </c>
      <c r="R263">
        <f t="shared" si="966"/>
        <v>-156234480.11705336</v>
      </c>
      <c r="S263">
        <f t="shared" si="967"/>
        <v>-1562.3448011705336</v>
      </c>
      <c r="T263">
        <f t="shared" si="968"/>
        <v>-1.5623448011705336</v>
      </c>
    </row>
    <row r="264" spans="1:20" x14ac:dyDescent="0.25">
      <c r="A264" s="5">
        <v>44329</v>
      </c>
      <c r="B264">
        <v>1.9066000000000001</v>
      </c>
      <c r="C264">
        <v>2.1829999999999998</v>
      </c>
      <c r="D264">
        <v>1.7606999999999999</v>
      </c>
      <c r="E264">
        <v>2.0007000000000001</v>
      </c>
      <c r="F264">
        <v>19760272.920000002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0.13663272555055775</v>
      </c>
      <c r="Q264">
        <f t="shared" si="965"/>
        <v>2699899.9466824788</v>
      </c>
      <c r="R264">
        <f t="shared" si="966"/>
        <v>-157737606.562565</v>
      </c>
      <c r="S264">
        <f t="shared" si="967"/>
        <v>-1577.37606562565</v>
      </c>
      <c r="T264">
        <f t="shared" si="968"/>
        <v>-1.5773760656256499</v>
      </c>
    </row>
    <row r="265" spans="1:20" x14ac:dyDescent="0.25">
      <c r="A265" s="5">
        <v>44328</v>
      </c>
      <c r="B265">
        <v>2.3189000000000002</v>
      </c>
      <c r="C265">
        <v>2.4300000000000002</v>
      </c>
      <c r="D265">
        <v>1.9</v>
      </c>
      <c r="E265">
        <v>1.9111</v>
      </c>
      <c r="F265">
        <v>14370270.67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-0.95811320754716944</v>
      </c>
      <c r="Q265">
        <f t="shared" si="965"/>
        <v>-13768346.124954712</v>
      </c>
      <c r="R265">
        <f t="shared" si="966"/>
        <v>-160437506.50924748</v>
      </c>
      <c r="S265">
        <f t="shared" si="967"/>
        <v>-1604.3750650924749</v>
      </c>
      <c r="T265">
        <f t="shared" si="968"/>
        <v>-1.6043750650924749</v>
      </c>
    </row>
    <row r="266" spans="1:20" x14ac:dyDescent="0.25">
      <c r="A266" s="5">
        <v>44327</v>
      </c>
      <c r="B266">
        <v>2.2766000000000002</v>
      </c>
      <c r="C266">
        <v>2.5</v>
      </c>
      <c r="D266">
        <v>2.1880000000000002</v>
      </c>
      <c r="E266">
        <v>2.3166000000000002</v>
      </c>
      <c r="F266">
        <v>15014845.810000001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-0.17564102564102491</v>
      </c>
      <c r="Q266">
        <f t="shared" si="965"/>
        <v>-2637222.9179102452</v>
      </c>
      <c r="R266">
        <f t="shared" si="966"/>
        <v>-146669160.38429278</v>
      </c>
      <c r="S266">
        <f t="shared" si="967"/>
        <v>-1466.6916038429279</v>
      </c>
      <c r="T266">
        <f t="shared" si="968"/>
        <v>-1.4666916038429278</v>
      </c>
    </row>
    <row r="267" spans="1:20" x14ac:dyDescent="0.25">
      <c r="A267" s="5">
        <v>44326</v>
      </c>
      <c r="B267">
        <v>2.4668999999999999</v>
      </c>
      <c r="C267">
        <v>2.5415000000000001</v>
      </c>
      <c r="D267">
        <v>2.1907000000000001</v>
      </c>
      <c r="E267">
        <v>2.2799</v>
      </c>
      <c r="F267">
        <v>13488333.93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-0.49144811858608922</v>
      </c>
      <c r="Q267">
        <f t="shared" si="965"/>
        <v>-6628816.3327594111</v>
      </c>
      <c r="R267">
        <f t="shared" si="966"/>
        <v>-144031937.46638253</v>
      </c>
      <c r="S267">
        <f t="shared" si="967"/>
        <v>-1440.3193746638253</v>
      </c>
      <c r="T267">
        <f t="shared" si="968"/>
        <v>-1.4403193746638254</v>
      </c>
    </row>
    <row r="268" spans="1:20" x14ac:dyDescent="0.25">
      <c r="A268" s="5">
        <v>44325</v>
      </c>
      <c r="B268">
        <v>2.5327999999999999</v>
      </c>
      <c r="C268">
        <v>2.5634000000000001</v>
      </c>
      <c r="D268">
        <v>2.2919999999999998</v>
      </c>
      <c r="E268">
        <v>2.4670000000000001</v>
      </c>
      <c r="F268">
        <v>14117461.93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0.28960943257185018</v>
      </c>
      <c r="Q268">
        <f t="shared" si="965"/>
        <v>4088550.1389019969</v>
      </c>
      <c r="R268">
        <f t="shared" si="966"/>
        <v>-137403121.13362312</v>
      </c>
      <c r="S268">
        <f t="shared" si="967"/>
        <v>-1374.0312113362313</v>
      </c>
      <c r="T268">
        <f t="shared" si="968"/>
        <v>-1.3740312113362314</v>
      </c>
    </row>
    <row r="269" spans="1:20" x14ac:dyDescent="0.25">
      <c r="A269" s="5">
        <v>44324</v>
      </c>
      <c r="B269">
        <v>2.4538000000000002</v>
      </c>
      <c r="C269">
        <v>2.867</v>
      </c>
      <c r="D269">
        <v>2.3740999999999999</v>
      </c>
      <c r="E269">
        <v>2.5333999999999999</v>
      </c>
      <c r="F269">
        <v>34452634.649999999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-0.35362142422398068</v>
      </c>
      <c r="Q269">
        <f t="shared" si="965"/>
        <v>-12183189.733201467</v>
      </c>
      <c r="R269">
        <f t="shared" si="966"/>
        <v>-141491671.27252513</v>
      </c>
      <c r="S269">
        <f t="shared" si="967"/>
        <v>-1414.9167127252513</v>
      </c>
      <c r="T269">
        <f t="shared" si="968"/>
        <v>-1.4149167127252513</v>
      </c>
    </row>
    <row r="270" spans="1:20" x14ac:dyDescent="0.25">
      <c r="A270" s="5">
        <v>44323</v>
      </c>
      <c r="B270">
        <v>2.2844000000000002</v>
      </c>
      <c r="C270">
        <v>2.7</v>
      </c>
      <c r="D270">
        <v>2.2000999999999999</v>
      </c>
      <c r="E270">
        <v>2.4590000000000001</v>
      </c>
      <c r="F270">
        <v>29709022.469999999</v>
      </c>
      <c r="G270">
        <v>0</v>
      </c>
      <c r="L270" t="s">
        <v>8</v>
      </c>
      <c r="M270" t="s">
        <v>8</v>
      </c>
      <c r="N270" t="s">
        <v>7</v>
      </c>
      <c r="P270">
        <f t="shared" si="964"/>
        <v>3.5807161432286495E-2</v>
      </c>
      <c r="Q270">
        <f t="shared" si="965"/>
        <v>1063795.7635787169</v>
      </c>
      <c r="R270">
        <f t="shared" si="966"/>
        <v>-129308481.53932366</v>
      </c>
      <c r="S270">
        <f t="shared" si="967"/>
        <v>-1293.0848153932366</v>
      </c>
      <c r="T270">
        <f t="shared" si="968"/>
        <v>-1.2930848153932366</v>
      </c>
    </row>
    <row r="271" spans="1:20" x14ac:dyDescent="0.25">
      <c r="A271" s="5">
        <v>44322</v>
      </c>
      <c r="B271">
        <v>2.38</v>
      </c>
      <c r="C271">
        <v>2.4983</v>
      </c>
      <c r="D271">
        <v>2.1878000000000002</v>
      </c>
      <c r="E271">
        <v>2.2885</v>
      </c>
      <c r="F271">
        <v>23283426.539999999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-0.35136876006441314</v>
      </c>
      <c r="Q271">
        <f t="shared" si="965"/>
        <v>-8181068.7134106485</v>
      </c>
      <c r="R271">
        <f t="shared" si="966"/>
        <v>-130372277.30290237</v>
      </c>
      <c r="S271">
        <f t="shared" si="967"/>
        <v>-1303.7227730290238</v>
      </c>
      <c r="T271">
        <f t="shared" si="968"/>
        <v>-1.3037227730290237</v>
      </c>
    </row>
    <row r="272" spans="1:20" x14ac:dyDescent="0.25">
      <c r="A272" s="5">
        <v>44321</v>
      </c>
      <c r="B272">
        <v>2.3054000000000001</v>
      </c>
      <c r="C272">
        <v>2.6021999999999998</v>
      </c>
      <c r="D272">
        <v>2.2749999999999999</v>
      </c>
      <c r="E272">
        <v>2.3816000000000002</v>
      </c>
      <c r="F272">
        <v>21530961.800000001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-0.34841075794620863</v>
      </c>
      <c r="Q272">
        <f t="shared" si="965"/>
        <v>-7501618.7200488644</v>
      </c>
      <c r="R272">
        <f t="shared" si="966"/>
        <v>-122191208.58949172</v>
      </c>
      <c r="S272">
        <f t="shared" si="967"/>
        <v>-1221.9120858949173</v>
      </c>
      <c r="T272">
        <f t="shared" si="968"/>
        <v>-1.2219120858949173</v>
      </c>
    </row>
    <row r="273" spans="1:20" x14ac:dyDescent="0.25">
      <c r="A273" s="5">
        <v>44320</v>
      </c>
      <c r="B273">
        <v>2.6307</v>
      </c>
      <c r="C273">
        <v>2.6360999999999999</v>
      </c>
      <c r="D273">
        <v>2.2400000000000002</v>
      </c>
      <c r="E273">
        <v>2.3050000000000002</v>
      </c>
      <c r="F273">
        <v>22970350.75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-0.67180005049229996</v>
      </c>
      <c r="Q273">
        <f t="shared" si="965"/>
        <v>-15431482.79367584</v>
      </c>
      <c r="R273">
        <f t="shared" si="966"/>
        <v>-114689589.86944287</v>
      </c>
      <c r="S273">
        <f t="shared" si="967"/>
        <v>-1146.8958986944288</v>
      </c>
      <c r="T273">
        <f t="shared" si="968"/>
        <v>-1.1468958986944287</v>
      </c>
    </row>
    <row r="274" spans="1:20" x14ac:dyDescent="0.25">
      <c r="A274" s="5">
        <v>44319</v>
      </c>
      <c r="B274">
        <v>2.7201</v>
      </c>
      <c r="C274">
        <v>2.8879999999999999</v>
      </c>
      <c r="D274">
        <v>2.6011000000000002</v>
      </c>
      <c r="E274">
        <v>2.6292</v>
      </c>
      <c r="F274">
        <v>20503188.870000001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-0.8041129313349612</v>
      </c>
      <c r="Q274">
        <f t="shared" si="965"/>
        <v>-16486879.303970052</v>
      </c>
      <c r="R274">
        <f t="shared" si="966"/>
        <v>-99258107.075767025</v>
      </c>
      <c r="S274">
        <f t="shared" si="967"/>
        <v>-992.5810707576702</v>
      </c>
      <c r="T274">
        <f t="shared" si="968"/>
        <v>-0.99258107075767021</v>
      </c>
    </row>
    <row r="275" spans="1:20" x14ac:dyDescent="0.25">
      <c r="A275" s="5">
        <v>44318</v>
      </c>
      <c r="B275">
        <v>2.7778</v>
      </c>
      <c r="C275">
        <v>2.7879999999999998</v>
      </c>
      <c r="D275">
        <v>2.65</v>
      </c>
      <c r="E275">
        <v>2.7229000000000001</v>
      </c>
      <c r="F275">
        <v>12503653.77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5.6521739130438252E-2</v>
      </c>
      <c r="Q275">
        <f t="shared" si="965"/>
        <v>706728.2565652607</v>
      </c>
      <c r="R275">
        <f t="shared" si="966"/>
        <v>-82771227.771796972</v>
      </c>
      <c r="S275">
        <f t="shared" si="967"/>
        <v>-827.71227771796976</v>
      </c>
      <c r="T275">
        <f t="shared" si="968"/>
        <v>-0.82771227771796974</v>
      </c>
    </row>
    <row r="276" spans="1:20" x14ac:dyDescent="0.25">
      <c r="A276" s="5">
        <v>44317</v>
      </c>
      <c r="B276">
        <v>2.8422999999999998</v>
      </c>
      <c r="C276">
        <v>2.9068000000000001</v>
      </c>
      <c r="D276">
        <v>2.7519999999999998</v>
      </c>
      <c r="E276">
        <v>2.7747999999999999</v>
      </c>
      <c r="F276">
        <v>11695249.699999999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-0.70542635658914576</v>
      </c>
      <c r="Q276">
        <f t="shared" si="965"/>
        <v>-8250137.3852712996</v>
      </c>
      <c r="R276">
        <f t="shared" si="966"/>
        <v>-83477956.028362229</v>
      </c>
      <c r="S276">
        <f t="shared" si="967"/>
        <v>-834.77956028362235</v>
      </c>
      <c r="T276">
        <f t="shared" si="968"/>
        <v>-0.83477956028362232</v>
      </c>
    </row>
    <row r="277" spans="1:20" x14ac:dyDescent="0.25">
      <c r="A277" s="5">
        <v>44316</v>
      </c>
      <c r="B277">
        <v>2.7839999999999998</v>
      </c>
      <c r="C277">
        <v>2.8940000000000001</v>
      </c>
      <c r="D277">
        <v>2.7147000000000001</v>
      </c>
      <c r="E277">
        <v>2.8386</v>
      </c>
      <c r="F277">
        <v>11416230.529999999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0.3820412716118225</v>
      </c>
      <c r="Q277">
        <f t="shared" si="965"/>
        <v>4361471.2286949102</v>
      </c>
      <c r="R277">
        <f t="shared" si="966"/>
        <v>-75227818.643090934</v>
      </c>
      <c r="S277">
        <f t="shared" si="967"/>
        <v>-752.27818643090939</v>
      </c>
      <c r="T277">
        <f t="shared" si="968"/>
        <v>-0.75227818643090938</v>
      </c>
    </row>
    <row r="278" spans="1:20" x14ac:dyDescent="0.25">
      <c r="A278" s="5">
        <v>44315</v>
      </c>
      <c r="B278">
        <v>2.9525999999999999</v>
      </c>
      <c r="C278">
        <v>2.9929999999999999</v>
      </c>
      <c r="D278">
        <v>2.6640999999999999</v>
      </c>
      <c r="E278">
        <v>2.7869000000000002</v>
      </c>
      <c r="F278">
        <v>11833817.109999999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-0.25326847065977348</v>
      </c>
      <c r="Q278">
        <f t="shared" si="965"/>
        <v>-2997132.7615171601</v>
      </c>
      <c r="R278">
        <f t="shared" si="966"/>
        <v>-79589289.871785849</v>
      </c>
      <c r="S278">
        <f t="shared" si="967"/>
        <v>-795.89289871785854</v>
      </c>
      <c r="T278">
        <f t="shared" si="968"/>
        <v>-0.79589289871785851</v>
      </c>
    </row>
    <row r="279" spans="1:20" x14ac:dyDescent="0.25">
      <c r="A279" s="5">
        <v>44314</v>
      </c>
      <c r="B279">
        <v>3.1825000000000001</v>
      </c>
      <c r="C279">
        <v>3.2393999999999998</v>
      </c>
      <c r="D279">
        <v>2.7462</v>
      </c>
      <c r="E279">
        <v>2.9544999999999999</v>
      </c>
      <c r="F279">
        <v>13427526.789999999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-0.15531224655312251</v>
      </c>
      <c r="Q279">
        <f t="shared" si="965"/>
        <v>-2085459.3514071375</v>
      </c>
      <c r="R279">
        <f t="shared" si="966"/>
        <v>-76592157.110268682</v>
      </c>
      <c r="S279">
        <f t="shared" si="967"/>
        <v>-765.92157110268681</v>
      </c>
      <c r="T279">
        <f t="shared" si="968"/>
        <v>-0.76592157110268677</v>
      </c>
    </row>
    <row r="280" spans="1:20" x14ac:dyDescent="0.25">
      <c r="A280" s="5">
        <v>44313</v>
      </c>
      <c r="B280">
        <v>2.7393000000000001</v>
      </c>
      <c r="C280">
        <v>3.3</v>
      </c>
      <c r="D280">
        <v>2.6553</v>
      </c>
      <c r="E280">
        <v>3.1825000000000001</v>
      </c>
      <c r="F280">
        <v>18415317.850000001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0.63548937490305646</v>
      </c>
      <c r="Q280">
        <f t="shared" si="965"/>
        <v>11702738.829137599</v>
      </c>
      <c r="R280">
        <f t="shared" si="966"/>
        <v>-74506697.758861542</v>
      </c>
      <c r="S280">
        <f t="shared" si="967"/>
        <v>-745.06697758861537</v>
      </c>
      <c r="T280">
        <f t="shared" si="968"/>
        <v>-0.7450669775886154</v>
      </c>
    </row>
    <row r="281" spans="1:20" x14ac:dyDescent="0.25">
      <c r="A281" s="5">
        <v>44312</v>
      </c>
      <c r="B281">
        <v>2.3717999999999999</v>
      </c>
      <c r="C281">
        <v>2.82</v>
      </c>
      <c r="D281">
        <v>2.3618000000000001</v>
      </c>
      <c r="E281">
        <v>2.74</v>
      </c>
      <c r="F281">
        <v>12896632.369999999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0.65080750763858719</v>
      </c>
      <c r="Q281">
        <f t="shared" si="965"/>
        <v>8393225.1696508247</v>
      </c>
      <c r="R281">
        <f t="shared" si="966"/>
        <v>-86209436.587999135</v>
      </c>
      <c r="S281">
        <f t="shared" si="967"/>
        <v>-862.0943658799913</v>
      </c>
      <c r="T281">
        <f t="shared" si="968"/>
        <v>-0.86209436587999133</v>
      </c>
    </row>
    <row r="282" spans="1:20" x14ac:dyDescent="0.25">
      <c r="A282" s="5">
        <v>44311</v>
      </c>
      <c r="B282">
        <v>2.4135300000000002</v>
      </c>
      <c r="C282">
        <v>2.6884000000000001</v>
      </c>
      <c r="D282">
        <v>2.2400000000000002</v>
      </c>
      <c r="E282">
        <v>2.3714</v>
      </c>
      <c r="F282">
        <v>8270599.5199999996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-0.41391614629794932</v>
      </c>
      <c r="Q282">
        <f t="shared" si="965"/>
        <v>-3423334.6808920694</v>
      </c>
      <c r="R282">
        <f t="shared" si="966"/>
        <v>-94602661.757649958</v>
      </c>
      <c r="S282">
        <f t="shared" si="967"/>
        <v>-946.02661757649958</v>
      </c>
      <c r="T282">
        <f t="shared" si="968"/>
        <v>-0.94602661757649953</v>
      </c>
    </row>
    <row r="283" spans="1:20" x14ac:dyDescent="0.25">
      <c r="A283" s="5">
        <v>44310</v>
      </c>
      <c r="B283">
        <v>2.65781</v>
      </c>
      <c r="C283">
        <v>2.8999899999999998</v>
      </c>
      <c r="D283">
        <v>2.3876900000000001</v>
      </c>
      <c r="E283">
        <v>2.4135200000000001</v>
      </c>
      <c r="F283">
        <v>14409904.5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-0.89916064805777851</v>
      </c>
      <c r="Q283">
        <f t="shared" si="965"/>
        <v>-12956819.068670699</v>
      </c>
      <c r="R283">
        <f t="shared" si="966"/>
        <v>-91179327.076757893</v>
      </c>
      <c r="S283">
        <f t="shared" si="967"/>
        <v>-911.79327076757897</v>
      </c>
      <c r="T283">
        <f t="shared" si="968"/>
        <v>-0.91179327076757899</v>
      </c>
    </row>
    <row r="284" spans="1:20" x14ac:dyDescent="0.25">
      <c r="A284" s="5">
        <v>44309</v>
      </c>
      <c r="B284">
        <v>2.86232</v>
      </c>
      <c r="C284">
        <v>2.9182700000000001</v>
      </c>
      <c r="D284">
        <v>1.8</v>
      </c>
      <c r="E284">
        <v>2.6541800000000002</v>
      </c>
      <c r="F284">
        <v>30699589.800000001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0.52768115034830598</v>
      </c>
      <c r="Q284">
        <f t="shared" si="965"/>
        <v>16199594.860885121</v>
      </c>
      <c r="R284">
        <f t="shared" si="966"/>
        <v>-78222508.008087188</v>
      </c>
      <c r="S284">
        <f t="shared" si="967"/>
        <v>-782.22508008087186</v>
      </c>
      <c r="T284">
        <f t="shared" si="968"/>
        <v>-0.78222508008087188</v>
      </c>
    </row>
    <row r="285" spans="1:20" x14ac:dyDescent="0.25">
      <c r="A285" s="5">
        <v>44308</v>
      </c>
      <c r="B285">
        <v>2.9369499999999999</v>
      </c>
      <c r="C285">
        <v>3.2749999999999999</v>
      </c>
      <c r="D285">
        <v>2.71</v>
      </c>
      <c r="E285">
        <v>2.8660399999999999</v>
      </c>
      <c r="F285">
        <v>17069979.100000001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-0.44764601769911516</v>
      </c>
      <c r="Q285">
        <f t="shared" si="965"/>
        <v>-7641308.166322127</v>
      </c>
      <c r="R285">
        <f t="shared" si="966"/>
        <v>-94422102.868972316</v>
      </c>
      <c r="S285">
        <f t="shared" si="967"/>
        <v>-944.2210286897232</v>
      </c>
      <c r="T285">
        <f t="shared" si="968"/>
        <v>-0.94422102868972324</v>
      </c>
    </row>
    <row r="286" spans="1:20" x14ac:dyDescent="0.25">
      <c r="A286" s="5">
        <v>44307</v>
      </c>
      <c r="B286">
        <v>3.0576500000000002</v>
      </c>
      <c r="C286">
        <v>3.1389999999999998</v>
      </c>
      <c r="D286">
        <v>2.8485800000000001</v>
      </c>
      <c r="E286">
        <v>2.9368500000000002</v>
      </c>
      <c r="F286">
        <v>9186858.0999999996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-0.39212175470008837</v>
      </c>
      <c r="Q286">
        <f t="shared" si="965"/>
        <v>-3602366.9183527199</v>
      </c>
      <c r="R286">
        <f t="shared" si="966"/>
        <v>-86780794.702650189</v>
      </c>
      <c r="S286">
        <f t="shared" si="967"/>
        <v>-867.80794702650189</v>
      </c>
      <c r="T286">
        <f t="shared" si="968"/>
        <v>-0.86780794702650188</v>
      </c>
    </row>
    <row r="287" spans="1:20" x14ac:dyDescent="0.25">
      <c r="A287" s="5">
        <v>44306</v>
      </c>
      <c r="B287">
        <v>2.9653299999999998</v>
      </c>
      <c r="C287">
        <v>3.2</v>
      </c>
      <c r="D287">
        <v>2.71</v>
      </c>
      <c r="E287">
        <v>3.0634899999999998</v>
      </c>
      <c r="F287">
        <v>12696252.300000001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0.44281632653061104</v>
      </c>
      <c r="Q287">
        <f t="shared" si="965"/>
        <v>5622107.8041918222</v>
      </c>
      <c r="R287">
        <f t="shared" si="966"/>
        <v>-83178427.784297466</v>
      </c>
      <c r="S287">
        <f t="shared" si="967"/>
        <v>-831.78427784297469</v>
      </c>
      <c r="T287">
        <f t="shared" si="968"/>
        <v>-0.83178427784297471</v>
      </c>
    </row>
    <row r="288" spans="1:20" x14ac:dyDescent="0.25">
      <c r="A288" s="5">
        <v>44305</v>
      </c>
      <c r="B288">
        <v>3.1446499999999999</v>
      </c>
      <c r="C288">
        <v>3.4</v>
      </c>
      <c r="D288">
        <v>2.8109999999999999</v>
      </c>
      <c r="E288">
        <v>2.96712</v>
      </c>
      <c r="F288">
        <v>13626087.300000001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-0.46988115449915097</v>
      </c>
      <c r="Q288">
        <f t="shared" si="965"/>
        <v>-6402641.6318302192</v>
      </c>
      <c r="R288">
        <f t="shared" si="966"/>
        <v>-88800535.588489294</v>
      </c>
      <c r="S288">
        <f t="shared" si="967"/>
        <v>-888.00535588489299</v>
      </c>
      <c r="T288">
        <f t="shared" si="968"/>
        <v>-0.88800535588489304</v>
      </c>
    </row>
    <row r="289" spans="1:20" x14ac:dyDescent="0.25">
      <c r="A289" s="5">
        <v>44304</v>
      </c>
      <c r="B289">
        <v>3.4875500000000001</v>
      </c>
      <c r="C289">
        <v>3.5339</v>
      </c>
      <c r="D289">
        <v>2.7008999999999999</v>
      </c>
      <c r="E289">
        <v>3.14466</v>
      </c>
      <c r="F289">
        <v>19748664.199999999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6.5450180072028949E-2</v>
      </c>
      <c r="Q289">
        <f t="shared" si="965"/>
        <v>1292553.6280720315</v>
      </c>
      <c r="R289">
        <f t="shared" si="966"/>
        <v>-82397893.956659079</v>
      </c>
      <c r="S289">
        <f t="shared" si="967"/>
        <v>-823.97893956659084</v>
      </c>
      <c r="T289">
        <f t="shared" si="968"/>
        <v>-0.82397893956659085</v>
      </c>
    </row>
    <row r="290" spans="1:20" x14ac:dyDescent="0.25">
      <c r="A290" s="5">
        <v>44303</v>
      </c>
      <c r="B290">
        <v>3.3704000000000001</v>
      </c>
      <c r="C290">
        <v>3.9052899999999999</v>
      </c>
      <c r="D290">
        <v>3.35</v>
      </c>
      <c r="E290">
        <v>3.4875500000000001</v>
      </c>
      <c r="F290">
        <v>18118954.600000001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-0.50458319076518543</v>
      </c>
      <c r="Q290">
        <f t="shared" si="965"/>
        <v>-9142519.9253975339</v>
      </c>
      <c r="R290">
        <f t="shared" si="966"/>
        <v>-83690447.584731117</v>
      </c>
      <c r="S290">
        <f t="shared" si="967"/>
        <v>-836.90447584731112</v>
      </c>
      <c r="T290">
        <f t="shared" si="968"/>
        <v>-0.83690447584731109</v>
      </c>
    </row>
    <row r="291" spans="1:20" x14ac:dyDescent="0.25">
      <c r="A291" s="5">
        <v>44302</v>
      </c>
      <c r="B291">
        <v>3.7960799999999999</v>
      </c>
      <c r="C291">
        <v>3.8107000000000002</v>
      </c>
      <c r="D291">
        <v>3.26</v>
      </c>
      <c r="E291">
        <v>3.3700199999999998</v>
      </c>
      <c r="F291">
        <v>19747852.5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-0.60043580897040161</v>
      </c>
      <c r="Q291">
        <f t="shared" si="965"/>
        <v>-11857317.791265668</v>
      </c>
      <c r="R291">
        <f t="shared" si="966"/>
        <v>-74547927.659333587</v>
      </c>
      <c r="S291">
        <f t="shared" si="967"/>
        <v>-745.47927659333584</v>
      </c>
      <c r="T291">
        <f t="shared" si="968"/>
        <v>-0.74547927659333579</v>
      </c>
    </row>
    <row r="292" spans="1:20" x14ac:dyDescent="0.25">
      <c r="A292" s="5">
        <v>44301</v>
      </c>
      <c r="B292">
        <v>3.90537</v>
      </c>
      <c r="C292">
        <v>4.5754999999999999</v>
      </c>
      <c r="D292">
        <v>3.7</v>
      </c>
      <c r="E292">
        <v>3.79603</v>
      </c>
      <c r="F292">
        <v>33517281.100000001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-0.78062821245002889</v>
      </c>
      <c r="Q292">
        <f t="shared" si="965"/>
        <v>-26164535.23127814</v>
      </c>
      <c r="R292">
        <f t="shared" si="966"/>
        <v>-62690609.86806792</v>
      </c>
      <c r="S292">
        <f t="shared" si="967"/>
        <v>-626.90609868067918</v>
      </c>
      <c r="T292">
        <f t="shared" si="968"/>
        <v>-0.62690609868067915</v>
      </c>
    </row>
    <row r="293" spans="1:20" x14ac:dyDescent="0.25">
      <c r="A293" s="5">
        <v>44300</v>
      </c>
      <c r="B293">
        <v>3.2657400000000001</v>
      </c>
      <c r="C293">
        <v>4.3499999999999996</v>
      </c>
      <c r="D293">
        <v>3.1591900000000002</v>
      </c>
      <c r="E293">
        <v>3.9</v>
      </c>
      <c r="F293">
        <v>65773819.5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0.24421192297679742</v>
      </c>
      <c r="Q293">
        <f t="shared" si="965"/>
        <v>16062750.941623775</v>
      </c>
      <c r="R293">
        <f t="shared" si="966"/>
        <v>-36526074.636789776</v>
      </c>
      <c r="S293">
        <f t="shared" si="967"/>
        <v>-365.26074636789775</v>
      </c>
      <c r="T293">
        <f t="shared" si="968"/>
        <v>-0.36526074636789774</v>
      </c>
    </row>
    <row r="294" spans="1:20" x14ac:dyDescent="0.25">
      <c r="A294" s="5">
        <v>44299</v>
      </c>
      <c r="B294">
        <v>3.1089899999999999</v>
      </c>
      <c r="C294">
        <v>3.4</v>
      </c>
      <c r="D294">
        <v>2.9563100000000002</v>
      </c>
      <c r="E294">
        <v>3.2657400000000001</v>
      </c>
      <c r="F294">
        <v>21876524.100000001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0.39480267754513326</v>
      </c>
      <c r="Q294">
        <f t="shared" si="965"/>
        <v>8636910.2900606375</v>
      </c>
      <c r="R294">
        <f t="shared" si="966"/>
        <v>-52588825.578413554</v>
      </c>
      <c r="S294">
        <f t="shared" si="967"/>
        <v>-525.88825578413548</v>
      </c>
      <c r="T294">
        <f t="shared" si="968"/>
        <v>-0.52588825578413545</v>
      </c>
    </row>
    <row r="295" spans="1:20" x14ac:dyDescent="0.25">
      <c r="A295" s="5">
        <v>44298</v>
      </c>
      <c r="B295">
        <v>3.4748399999999999</v>
      </c>
      <c r="C295">
        <v>3.7</v>
      </c>
      <c r="D295">
        <v>3.0102000000000002</v>
      </c>
      <c r="E295">
        <v>3.1072000000000002</v>
      </c>
      <c r="F295">
        <v>18834807.800000001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-0.71875906059727468</v>
      </c>
      <c r="Q295">
        <f t="shared" si="965"/>
        <v>-13537688.760858223</v>
      </c>
      <c r="R295">
        <f t="shared" si="966"/>
        <v>-61225735.868474193</v>
      </c>
      <c r="S295">
        <f t="shared" si="967"/>
        <v>-612.25735868474192</v>
      </c>
      <c r="T295">
        <f t="shared" si="968"/>
        <v>-0.61225735868474196</v>
      </c>
    </row>
    <row r="296" spans="1:20" x14ac:dyDescent="0.25">
      <c r="A296" s="5">
        <v>44297</v>
      </c>
      <c r="B296">
        <v>3.70689</v>
      </c>
      <c r="C296">
        <v>3.87</v>
      </c>
      <c r="D296">
        <v>3.37</v>
      </c>
      <c r="E296">
        <v>3.4748199999999998</v>
      </c>
      <c r="F296">
        <v>17733298.199999999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-0.58072000000000124</v>
      </c>
      <c r="Q296">
        <f t="shared" si="965"/>
        <v>-10298080.930704022</v>
      </c>
      <c r="R296">
        <f t="shared" si="966"/>
        <v>-47688047.10761597</v>
      </c>
      <c r="S296">
        <f t="shared" si="967"/>
        <v>-476.88047107615972</v>
      </c>
      <c r="T296">
        <f t="shared" si="968"/>
        <v>-0.47688047107615972</v>
      </c>
    </row>
    <row r="297" spans="1:20" x14ac:dyDescent="0.25">
      <c r="A297" s="5">
        <v>44296</v>
      </c>
      <c r="B297">
        <v>3.5417299999999998</v>
      </c>
      <c r="C297">
        <v>4.2372899999999998</v>
      </c>
      <c r="D297">
        <v>3.3050000000000002</v>
      </c>
      <c r="E297">
        <v>3.7067600000000001</v>
      </c>
      <c r="F297">
        <v>37822742.799999997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-0.13812225809565681</v>
      </c>
      <c r="Q297">
        <f t="shared" si="965"/>
        <v>-5224162.6429072451</v>
      </c>
      <c r="R297">
        <f t="shared" si="966"/>
        <v>-37389966.17691195</v>
      </c>
      <c r="S297">
        <f t="shared" si="967"/>
        <v>-373.89966176911952</v>
      </c>
      <c r="T297">
        <f t="shared" si="968"/>
        <v>-0.37389966176911954</v>
      </c>
    </row>
    <row r="298" spans="1:20" x14ac:dyDescent="0.25">
      <c r="A298" s="5">
        <v>44295</v>
      </c>
      <c r="B298">
        <v>3.9100600000000001</v>
      </c>
      <c r="C298">
        <v>4.04</v>
      </c>
      <c r="D298">
        <v>3.4671400000000001</v>
      </c>
      <c r="E298">
        <v>3.54257</v>
      </c>
      <c r="F298">
        <v>20994181.199999999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-0.73665468002653389</v>
      </c>
      <c r="Q298">
        <f t="shared" si="965"/>
        <v>-15465461.834305072</v>
      </c>
      <c r="R298">
        <f t="shared" si="966"/>
        <v>-32165803.534004703</v>
      </c>
      <c r="S298">
        <f t="shared" si="967"/>
        <v>-321.65803534004704</v>
      </c>
      <c r="T298">
        <f t="shared" si="968"/>
        <v>-0.32165803534004705</v>
      </c>
    </row>
    <row r="299" spans="1:20" x14ac:dyDescent="0.25">
      <c r="A299" s="5">
        <v>44294</v>
      </c>
      <c r="B299">
        <v>4.0431699999999999</v>
      </c>
      <c r="C299">
        <v>4.59307</v>
      </c>
      <c r="D299">
        <v>3.6956199999999999</v>
      </c>
      <c r="E299">
        <v>3.9158900000000001</v>
      </c>
      <c r="F299">
        <v>50169788.100000001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-0.50912028525265995</v>
      </c>
      <c r="Q299">
        <f t="shared" si="965"/>
        <v>-25542456.828537505</v>
      </c>
      <c r="R299">
        <f t="shared" si="966"/>
        <v>-16700341.699699629</v>
      </c>
      <c r="S299">
        <f t="shared" si="967"/>
        <v>-167.00341699699629</v>
      </c>
      <c r="T299">
        <f t="shared" si="968"/>
        <v>-0.16700341699699631</v>
      </c>
    </row>
    <row r="300" spans="1:20" x14ac:dyDescent="0.25">
      <c r="A300" s="5">
        <v>44293</v>
      </c>
      <c r="B300">
        <v>3.3853300000000002</v>
      </c>
      <c r="C300">
        <v>4.4400000000000004</v>
      </c>
      <c r="D300">
        <v>2.65</v>
      </c>
      <c r="E300">
        <v>4.0432300000000003</v>
      </c>
      <c r="F300">
        <v>105877891.3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0.55668156424581006</v>
      </c>
      <c r="Q300">
        <f t="shared" si="965"/>
        <v>58940270.147931844</v>
      </c>
      <c r="R300">
        <f t="shared" si="966"/>
        <v>8842115.128837876</v>
      </c>
      <c r="S300">
        <f t="shared" si="967"/>
        <v>88.421151288378766</v>
      </c>
      <c r="T300">
        <f t="shared" si="968"/>
        <v>8.8421151288378769E-2</v>
      </c>
    </row>
    <row r="301" spans="1:20" x14ac:dyDescent="0.25">
      <c r="A301" s="5">
        <v>44292</v>
      </c>
      <c r="B301">
        <v>3.8849499999999999</v>
      </c>
      <c r="C301">
        <v>4.75</v>
      </c>
      <c r="D301">
        <v>3.3</v>
      </c>
      <c r="E301">
        <v>3.3755999999999999</v>
      </c>
      <c r="F301">
        <v>64063962.700000003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-0.89572413793103434</v>
      </c>
      <c r="Q301">
        <f t="shared" si="965"/>
        <v>-57383637.761903442</v>
      </c>
      <c r="R301">
        <f t="shared" si="966"/>
        <v>-50098155.019093968</v>
      </c>
      <c r="S301">
        <f t="shared" si="967"/>
        <v>-500.98155019093969</v>
      </c>
      <c r="T301">
        <f t="shared" si="968"/>
        <v>-0.50098155019093971</v>
      </c>
    </row>
    <row r="302" spans="1:20" x14ac:dyDescent="0.25">
      <c r="A302" s="5">
        <v>44291</v>
      </c>
      <c r="B302">
        <v>3.9908399999999999</v>
      </c>
      <c r="C302">
        <v>5.9980000000000002</v>
      </c>
      <c r="D302">
        <v>3.68</v>
      </c>
      <c r="E302">
        <v>3.8999899999999998</v>
      </c>
      <c r="F302">
        <v>189007917.30000001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-0.81018981880931862</v>
      </c>
      <c r="Q302">
        <f t="shared" si="965"/>
        <v>-153132290.27081367</v>
      </c>
      <c r="R302">
        <f t="shared" si="966"/>
        <v>7285482.7428094745</v>
      </c>
      <c r="S302">
        <f t="shared" si="967"/>
        <v>72.854827428094751</v>
      </c>
      <c r="T302">
        <f t="shared" si="968"/>
        <v>7.2854827428094751E-2</v>
      </c>
    </row>
    <row r="303" spans="1:20" x14ac:dyDescent="0.25">
      <c r="A303" s="5">
        <v>44290</v>
      </c>
      <c r="B303">
        <v>1.54494</v>
      </c>
      <c r="C303">
        <v>6.6665999999999999</v>
      </c>
      <c r="D303">
        <v>1.4936799999999999</v>
      </c>
      <c r="E303">
        <v>3.99085</v>
      </c>
      <c r="F303">
        <v>371020925.39999998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-3.4522088104977415E-2</v>
      </c>
      <c r="Q303">
        <f t="shared" si="965"/>
        <v>-12808417.075449051</v>
      </c>
      <c r="R303">
        <f t="shared" si="966"/>
        <v>160417773.01362315</v>
      </c>
      <c r="S303">
        <f t="shared" si="967"/>
        <v>1604.1777301362315</v>
      </c>
      <c r="T303">
        <f t="shared" si="968"/>
        <v>1.6041777301362314</v>
      </c>
    </row>
    <row r="304" spans="1:20" x14ac:dyDescent="0.25">
      <c r="A304" s="5">
        <v>44289</v>
      </c>
      <c r="B304">
        <v>1.7125699999999999</v>
      </c>
      <c r="C304">
        <v>1.97</v>
      </c>
      <c r="D304">
        <v>1.47258</v>
      </c>
      <c r="E304">
        <v>1.5449999999999999</v>
      </c>
      <c r="F304">
        <v>56834991.100000001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-0.70881749829118279</v>
      </c>
      <c r="Q304">
        <f t="shared" si="965"/>
        <v>-40285636.206903636</v>
      </c>
      <c r="R304">
        <f t="shared" si="966"/>
        <v>173226190.0890722</v>
      </c>
      <c r="S304">
        <f t="shared" si="967"/>
        <v>1732.261900890722</v>
      </c>
      <c r="T304">
        <f t="shared" si="968"/>
        <v>1.7322619008907221</v>
      </c>
    </row>
    <row r="305" spans="1:20" x14ac:dyDescent="0.25">
      <c r="A305" s="5">
        <v>44288</v>
      </c>
      <c r="B305">
        <v>1.10815</v>
      </c>
      <c r="C305">
        <v>1.97777</v>
      </c>
      <c r="D305">
        <v>1.0965100000000001</v>
      </c>
      <c r="E305">
        <v>1.7120299999999999</v>
      </c>
      <c r="F305">
        <v>271101389.89999998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0.39690897124571611</v>
      </c>
      <c r="Q305">
        <f t="shared" si="965"/>
        <v>107602573.76849276</v>
      </c>
      <c r="R305">
        <f t="shared" si="966"/>
        <v>213511826.29597583</v>
      </c>
      <c r="S305">
        <f t="shared" si="967"/>
        <v>2135.1182629597583</v>
      </c>
      <c r="T305">
        <f t="shared" si="968"/>
        <v>2.1351182629597583</v>
      </c>
    </row>
    <row r="306" spans="1:20" x14ac:dyDescent="0.25">
      <c r="A306" s="5">
        <v>44287</v>
      </c>
      <c r="B306">
        <v>0.79932999999999998</v>
      </c>
      <c r="C306">
        <v>1.1793899999999999</v>
      </c>
      <c r="D306">
        <v>0.76400999999999997</v>
      </c>
      <c r="E306">
        <v>1.10815</v>
      </c>
      <c r="F306">
        <v>120116818.5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0.65698878135683003</v>
      </c>
      <c r="Q306">
        <f t="shared" si="965"/>
        <v>78915402.206774533</v>
      </c>
      <c r="R306">
        <f t="shared" si="966"/>
        <v>105909252.52748308</v>
      </c>
      <c r="S306">
        <f t="shared" si="967"/>
        <v>1059.0925252748307</v>
      </c>
      <c r="T306">
        <f t="shared" si="968"/>
        <v>1.0590925252748307</v>
      </c>
    </row>
    <row r="307" spans="1:20" x14ac:dyDescent="0.25">
      <c r="A307" s="5">
        <v>44286</v>
      </c>
      <c r="B307">
        <v>0.80725999999999998</v>
      </c>
      <c r="C307">
        <v>0.87997000000000003</v>
      </c>
      <c r="D307">
        <v>0.74500999999999995</v>
      </c>
      <c r="E307">
        <v>0.79710000000000003</v>
      </c>
      <c r="F307">
        <v>43211624.700000003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-0.22806757557794829</v>
      </c>
      <c r="Q307">
        <f t="shared" si="965"/>
        <v>-9855170.4821131881</v>
      </c>
      <c r="R307">
        <f t="shared" si="966"/>
        <v>26993850.320708551</v>
      </c>
      <c r="S307">
        <f t="shared" si="967"/>
        <v>269.93850320708549</v>
      </c>
      <c r="T307">
        <f t="shared" si="968"/>
        <v>0.26993850320708551</v>
      </c>
    </row>
    <row r="308" spans="1:20" x14ac:dyDescent="0.25">
      <c r="A308" s="5">
        <v>44285</v>
      </c>
      <c r="B308">
        <v>0.56311</v>
      </c>
      <c r="C308">
        <v>0.95499999999999996</v>
      </c>
      <c r="D308">
        <v>0.55362</v>
      </c>
      <c r="E308">
        <v>0.80808999999999997</v>
      </c>
      <c r="F308">
        <v>178150090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0.26797548457820519</v>
      </c>
      <c r="Q308">
        <f t="shared" si="965"/>
        <v>47739856.695400864</v>
      </c>
      <c r="R308">
        <f t="shared" si="966"/>
        <v>36849020.802821741</v>
      </c>
      <c r="S308">
        <f t="shared" si="967"/>
        <v>368.49020802821741</v>
      </c>
      <c r="T308">
        <f t="shared" si="968"/>
        <v>0.36849020802821741</v>
      </c>
    </row>
    <row r="309" spans="1:20" x14ac:dyDescent="0.25">
      <c r="A309" s="5">
        <v>44284</v>
      </c>
      <c r="B309">
        <v>0.46627000000000002</v>
      </c>
      <c r="C309">
        <v>0.57599999999999996</v>
      </c>
      <c r="D309">
        <v>0.45890999999999998</v>
      </c>
      <c r="E309">
        <v>0.56311</v>
      </c>
      <c r="F309">
        <v>17020362.600000001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0.77982748313263373</v>
      </c>
      <c r="Q309">
        <f t="shared" si="965"/>
        <v>13272946.528362811</v>
      </c>
      <c r="R309">
        <f t="shared" si="966"/>
        <v>-10890835.892579123</v>
      </c>
      <c r="S309">
        <f t="shared" si="967"/>
        <v>-108.90835892579123</v>
      </c>
      <c r="T309">
        <f t="shared" si="968"/>
        <v>-0.10890835892579123</v>
      </c>
    </row>
    <row r="310" spans="1:20" x14ac:dyDescent="0.25">
      <c r="A310" s="5">
        <v>44283</v>
      </c>
      <c r="B310">
        <v>0.47302</v>
      </c>
      <c r="C310">
        <v>0.50844999999999996</v>
      </c>
      <c r="D310">
        <v>0.45700000000000002</v>
      </c>
      <c r="E310">
        <v>0.46626000000000001</v>
      </c>
      <c r="F310">
        <v>11293888.300000001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-0.64003887269193382</v>
      </c>
      <c r="Q310">
        <f t="shared" si="965"/>
        <v>-7228527.5358406212</v>
      </c>
      <c r="R310">
        <f t="shared" si="966"/>
        <v>-24163782.420941934</v>
      </c>
      <c r="S310">
        <f t="shared" si="967"/>
        <v>-241.63782420941934</v>
      </c>
      <c r="T310">
        <f t="shared" si="968"/>
        <v>-0.24163782420941934</v>
      </c>
    </row>
    <row r="311" spans="1:20" x14ac:dyDescent="0.25">
      <c r="A311" s="5">
        <v>44282</v>
      </c>
      <c r="B311">
        <v>0.47243000000000002</v>
      </c>
      <c r="C311">
        <v>0.5</v>
      </c>
      <c r="D311">
        <v>0.45601999999999998</v>
      </c>
      <c r="E311">
        <v>0.47215000000000001</v>
      </c>
      <c r="F311">
        <v>8016757.0999999996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-0.26648476580263636</v>
      </c>
      <c r="Q311">
        <f t="shared" si="965"/>
        <v>-2136343.6382901222</v>
      </c>
      <c r="R311">
        <f t="shared" si="966"/>
        <v>-16935254.885101311</v>
      </c>
      <c r="S311">
        <f t="shared" si="967"/>
        <v>-169.3525488510131</v>
      </c>
      <c r="T311">
        <f t="shared" si="968"/>
        <v>-0.16935254885101308</v>
      </c>
    </row>
    <row r="312" spans="1:20" x14ac:dyDescent="0.25">
      <c r="A312" s="5">
        <v>44281</v>
      </c>
      <c r="B312">
        <v>0.42319000000000001</v>
      </c>
      <c r="C312">
        <v>0.47971000000000003</v>
      </c>
      <c r="D312">
        <v>0.42186000000000001</v>
      </c>
      <c r="E312">
        <v>0.47260000000000002</v>
      </c>
      <c r="F312">
        <v>8364037.7999999998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0.75419187554019007</v>
      </c>
      <c r="Q312">
        <f t="shared" si="965"/>
        <v>6308089.3554710448</v>
      </c>
      <c r="R312">
        <f t="shared" si="966"/>
        <v>-14798911.246811189</v>
      </c>
      <c r="S312">
        <f t="shared" si="967"/>
        <v>-147.9891124681119</v>
      </c>
      <c r="T312">
        <f t="shared" si="968"/>
        <v>-0.14798911246811189</v>
      </c>
    </row>
    <row r="313" spans="1:20" x14ac:dyDescent="0.25">
      <c r="A313" s="5">
        <v>44280</v>
      </c>
      <c r="B313">
        <v>0.44026999999999999</v>
      </c>
      <c r="C313">
        <v>0.45727000000000001</v>
      </c>
      <c r="D313">
        <v>0.3987</v>
      </c>
      <c r="E313">
        <v>0.42318</v>
      </c>
      <c r="F313">
        <v>12133738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-0.16407717261396629</v>
      </c>
      <c r="Q313">
        <f t="shared" si="965"/>
        <v>-1990869.4242786421</v>
      </c>
      <c r="R313">
        <f t="shared" si="966"/>
        <v>-21107000.602282234</v>
      </c>
      <c r="S313">
        <f t="shared" si="967"/>
        <v>-211.07000602282233</v>
      </c>
      <c r="T313">
        <f t="shared" si="968"/>
        <v>-0.21107000602282233</v>
      </c>
    </row>
    <row r="314" spans="1:20" x14ac:dyDescent="0.25">
      <c r="A314" s="5">
        <v>44279</v>
      </c>
      <c r="B314">
        <v>0.49645</v>
      </c>
      <c r="C314">
        <v>0.51758999999999999</v>
      </c>
      <c r="D314">
        <v>0.42064000000000001</v>
      </c>
      <c r="E314">
        <v>0.44030999999999998</v>
      </c>
      <c r="F314">
        <v>11263913.699999999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-0.59422382671480212</v>
      </c>
      <c r="Q314">
        <f t="shared" si="965"/>
        <v>-6693285.9025992854</v>
      </c>
      <c r="R314">
        <f t="shared" si="966"/>
        <v>-19116131.178003591</v>
      </c>
      <c r="S314">
        <f t="shared" si="967"/>
        <v>-191.1613117800359</v>
      </c>
      <c r="T314">
        <f t="shared" si="968"/>
        <v>-0.1911613117800359</v>
      </c>
    </row>
    <row r="315" spans="1:20" x14ac:dyDescent="0.25">
      <c r="A315" s="5">
        <v>44278</v>
      </c>
      <c r="B315">
        <v>0.48355999999999999</v>
      </c>
      <c r="C315">
        <v>0.52</v>
      </c>
      <c r="D315">
        <v>0.45467000000000002</v>
      </c>
      <c r="E315">
        <v>0.49645</v>
      </c>
      <c r="F315">
        <v>8059021.7000000002</v>
      </c>
      <c r="G315">
        <v>0</v>
      </c>
      <c r="L315" t="s">
        <v>8</v>
      </c>
      <c r="M315" t="s">
        <v>7</v>
      </c>
      <c r="N315" t="s">
        <v>8</v>
      </c>
      <c r="P315">
        <f t="shared" si="964"/>
        <v>0.2790448492270009</v>
      </c>
      <c r="Q315">
        <f t="shared" si="965"/>
        <v>2248828.4951936286</v>
      </c>
      <c r="R315">
        <f t="shared" si="966"/>
        <v>-12422845.275404304</v>
      </c>
      <c r="S315">
        <f t="shared" si="967"/>
        <v>-124.22845275404305</v>
      </c>
      <c r="T315">
        <f t="shared" si="968"/>
        <v>-0.12422845275404305</v>
      </c>
    </row>
    <row r="316" spans="1:20" x14ac:dyDescent="0.25">
      <c r="A316" s="5">
        <v>44277</v>
      </c>
      <c r="B316">
        <v>0.51210999999999995</v>
      </c>
      <c r="C316">
        <v>0.54</v>
      </c>
      <c r="D316">
        <v>0.45638000000000001</v>
      </c>
      <c r="E316">
        <v>0.48355999999999999</v>
      </c>
      <c r="F316">
        <v>10513619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-0.34991628796938595</v>
      </c>
      <c r="Q316">
        <f t="shared" si="965"/>
        <v>-3678886.5336044077</v>
      </c>
      <c r="R316">
        <f t="shared" si="966"/>
        <v>-14671673.770597933</v>
      </c>
      <c r="S316">
        <f t="shared" si="967"/>
        <v>-146.71673770597934</v>
      </c>
      <c r="T316">
        <f t="shared" si="968"/>
        <v>-0.14671673770597934</v>
      </c>
    </row>
    <row r="317" spans="1:20" x14ac:dyDescent="0.25">
      <c r="A317" s="5">
        <v>44276</v>
      </c>
      <c r="B317">
        <v>0.52383999999999997</v>
      </c>
      <c r="C317">
        <v>0.54162999999999994</v>
      </c>
      <c r="D317">
        <v>0.49393999999999999</v>
      </c>
      <c r="E317">
        <v>0.51161999999999996</v>
      </c>
      <c r="F317">
        <v>9542156.3000000007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-0.25854476829524048</v>
      </c>
      <c r="Q317">
        <f t="shared" si="965"/>
        <v>-2467074.5896204696</v>
      </c>
      <c r="R317">
        <f t="shared" si="966"/>
        <v>-10992787.236993525</v>
      </c>
      <c r="S317">
        <f t="shared" si="967"/>
        <v>-109.92787236993526</v>
      </c>
      <c r="T317">
        <f t="shared" si="968"/>
        <v>-0.10992787236993526</v>
      </c>
    </row>
    <row r="318" spans="1:20" x14ac:dyDescent="0.25">
      <c r="A318" s="5">
        <v>44275</v>
      </c>
      <c r="B318">
        <v>0.56347999999999998</v>
      </c>
      <c r="C318">
        <v>0.57889000000000002</v>
      </c>
      <c r="D318">
        <v>0.52371000000000001</v>
      </c>
      <c r="E318">
        <v>0.52546000000000004</v>
      </c>
      <c r="F318">
        <v>10442462.300000001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-0.93657122145704863</v>
      </c>
      <c r="Q318">
        <f t="shared" si="965"/>
        <v>-9780109.6713301819</v>
      </c>
      <c r="R318">
        <f t="shared" si="966"/>
        <v>-8525712.647373056</v>
      </c>
      <c r="S318">
        <f t="shared" si="967"/>
        <v>-85.257126473730565</v>
      </c>
      <c r="T318">
        <f t="shared" si="968"/>
        <v>-8.5257126473730571E-2</v>
      </c>
    </row>
    <row r="319" spans="1:20" x14ac:dyDescent="0.25">
      <c r="A319" s="5">
        <v>44274</v>
      </c>
      <c r="B319">
        <v>0.54269000000000001</v>
      </c>
      <c r="C319">
        <v>0.57450000000000001</v>
      </c>
      <c r="D319">
        <v>0.51800000000000002</v>
      </c>
      <c r="E319">
        <v>0.56342999999999999</v>
      </c>
      <c r="F319">
        <v>12776640.9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0.60814159292035308</v>
      </c>
      <c r="Q319">
        <f t="shared" si="965"/>
        <v>7770006.7490973342</v>
      </c>
      <c r="R319">
        <f t="shared" si="966"/>
        <v>1254397.0239571258</v>
      </c>
      <c r="S319">
        <f t="shared" si="967"/>
        <v>12.543970239571259</v>
      </c>
      <c r="T319">
        <f t="shared" si="968"/>
        <v>1.2543970239571258E-2</v>
      </c>
    </row>
    <row r="320" spans="1:20" x14ac:dyDescent="0.25">
      <c r="A320" s="5">
        <v>44273</v>
      </c>
      <c r="B320">
        <v>0.49535000000000001</v>
      </c>
      <c r="C320">
        <v>0.57484999999999997</v>
      </c>
      <c r="D320">
        <v>0.48168</v>
      </c>
      <c r="E320">
        <v>0.54391</v>
      </c>
      <c r="F320">
        <v>21526967.5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0.33583771600300577</v>
      </c>
      <c r="Q320">
        <f t="shared" si="965"/>
        <v>7229567.5976709351</v>
      </c>
      <c r="R320">
        <f t="shared" si="966"/>
        <v>-6515609.7251402084</v>
      </c>
      <c r="S320">
        <f t="shared" si="967"/>
        <v>-65.156097251402088</v>
      </c>
      <c r="T320">
        <f t="shared" si="968"/>
        <v>-6.515609725140209E-2</v>
      </c>
    </row>
    <row r="321" spans="1:20" x14ac:dyDescent="0.25">
      <c r="A321" s="5">
        <v>44272</v>
      </c>
      <c r="B321">
        <v>0.48015000000000002</v>
      </c>
      <c r="C321">
        <v>0.5</v>
      </c>
      <c r="D321">
        <v>0.44301000000000001</v>
      </c>
      <c r="E321">
        <v>0.49585000000000001</v>
      </c>
      <c r="F321">
        <v>12572355.4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0.85436041410773866</v>
      </c>
      <c r="Q321">
        <f t="shared" si="965"/>
        <v>10741322.765853664</v>
      </c>
      <c r="R321">
        <f t="shared" si="966"/>
        <v>-13745177.322811143</v>
      </c>
      <c r="S321">
        <f t="shared" si="967"/>
        <v>-137.45177322811142</v>
      </c>
      <c r="T321">
        <f t="shared" si="968"/>
        <v>-0.13745177322811142</v>
      </c>
    </row>
    <row r="322" spans="1:20" x14ac:dyDescent="0.25">
      <c r="A322" s="5">
        <v>44271</v>
      </c>
      <c r="B322">
        <v>0.44429000000000002</v>
      </c>
      <c r="C322">
        <v>0.49889</v>
      </c>
      <c r="D322">
        <v>0.40431</v>
      </c>
      <c r="E322">
        <v>0.47882000000000002</v>
      </c>
      <c r="F322">
        <v>29924537.399999999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0.57559737788115928</v>
      </c>
      <c r="Q322">
        <f t="shared" si="965"/>
        <v>17224485.261746682</v>
      </c>
      <c r="R322">
        <f t="shared" si="966"/>
        <v>-24486500.088664807</v>
      </c>
      <c r="S322">
        <f t="shared" si="967"/>
        <v>-244.86500088664806</v>
      </c>
      <c r="T322">
        <f t="shared" si="968"/>
        <v>-0.24486500088664806</v>
      </c>
    </row>
    <row r="323" spans="1:20" x14ac:dyDescent="0.25">
      <c r="A323" s="5">
        <v>44270</v>
      </c>
      <c r="B323">
        <v>0.46805000000000002</v>
      </c>
      <c r="C323">
        <v>0.53069999999999995</v>
      </c>
      <c r="D323">
        <v>0.43228</v>
      </c>
      <c r="E323">
        <v>0.44502000000000003</v>
      </c>
      <c r="F323">
        <v>37060242.299999997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-0.74110953058321405</v>
      </c>
      <c r="Q323">
        <f t="shared" si="965"/>
        <v>-27465698.774253171</v>
      </c>
      <c r="R323">
        <f t="shared" si="966"/>
        <v>-41710985.35041149</v>
      </c>
      <c r="S323">
        <f t="shared" si="967"/>
        <v>-417.10985350411488</v>
      </c>
      <c r="T323">
        <f t="shared" si="968"/>
        <v>-0.41710985350411489</v>
      </c>
    </row>
    <row r="324" spans="1:20" x14ac:dyDescent="0.25">
      <c r="A324" s="5">
        <v>44269</v>
      </c>
      <c r="B324">
        <v>0.47699999999999998</v>
      </c>
      <c r="C324">
        <v>0.59399000000000002</v>
      </c>
      <c r="D324">
        <v>0.44124999999999998</v>
      </c>
      <c r="E324">
        <v>0.46844999999999998</v>
      </c>
      <c r="F324">
        <v>77388054.900000006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-0.64383920387586757</v>
      </c>
      <c r="Q324">
        <f t="shared" si="965"/>
        <v>-49825463.656317934</v>
      </c>
      <c r="R324">
        <f t="shared" si="966"/>
        <v>-14245286.576158322</v>
      </c>
      <c r="S324">
        <f t="shared" si="967"/>
        <v>-142.45286576158321</v>
      </c>
      <c r="T324">
        <f t="shared" si="968"/>
        <v>-0.14245286576158323</v>
      </c>
    </row>
    <row r="325" spans="1:20" x14ac:dyDescent="0.25">
      <c r="A325" s="5">
        <v>44268</v>
      </c>
      <c r="B325">
        <v>0.34226000000000001</v>
      </c>
      <c r="C325">
        <v>0.54661999999999999</v>
      </c>
      <c r="D325">
        <v>0.33210000000000001</v>
      </c>
      <c r="E325">
        <v>0.47699999999999998</v>
      </c>
      <c r="F325">
        <v>71920532.099999994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0.35092299086332257</v>
      </c>
      <c r="Q325">
        <f t="shared" si="965"/>
        <v>25238568.229013596</v>
      </c>
      <c r="R325">
        <f t="shared" si="966"/>
        <v>35580177.080159612</v>
      </c>
      <c r="S325">
        <f t="shared" si="967"/>
        <v>355.80177080159609</v>
      </c>
      <c r="T325">
        <f t="shared" si="968"/>
        <v>0.35580177080159608</v>
      </c>
    </row>
    <row r="326" spans="1:20" x14ac:dyDescent="0.25">
      <c r="A326" s="5">
        <v>44267</v>
      </c>
      <c r="B326">
        <v>0.37173</v>
      </c>
      <c r="C326">
        <v>0.38900000000000001</v>
      </c>
      <c r="D326">
        <v>0.33510000000000001</v>
      </c>
      <c r="E326">
        <v>0.34166000000000002</v>
      </c>
      <c r="F326">
        <v>18548363.300000001</v>
      </c>
      <c r="G326">
        <v>0</v>
      </c>
      <c r="L326" t="s">
        <v>8</v>
      </c>
      <c r="M326" t="s">
        <v>7</v>
      </c>
      <c r="N326" t="s">
        <v>8</v>
      </c>
      <c r="P326">
        <f t="shared" ref="P326:P389" si="969">IF(C326=D326,0,((E326-D326)-(C326-E326))/(C326-D326))</f>
        <v>-0.75658627087198482</v>
      </c>
      <c r="Q326">
        <f t="shared" ref="Q326:Q389" si="970">F326*P326</f>
        <v>-14033437.019925782</v>
      </c>
      <c r="R326">
        <f t="shared" ref="R326:R389" si="971">R327+Q326</f>
        <v>10341608.851146018</v>
      </c>
      <c r="S326">
        <f t="shared" ref="S326:S389" si="972">R326/100000</f>
        <v>103.41608851146019</v>
      </c>
      <c r="T326">
        <f t="shared" ref="T326:T389" si="973">S326/1000</f>
        <v>0.10341608851146018</v>
      </c>
    </row>
    <row r="327" spans="1:20" x14ac:dyDescent="0.25">
      <c r="A327" s="5">
        <v>44266</v>
      </c>
      <c r="B327">
        <v>0.35204000000000002</v>
      </c>
      <c r="C327">
        <v>0.39300000000000002</v>
      </c>
      <c r="D327">
        <v>0.33374999999999999</v>
      </c>
      <c r="E327">
        <v>0.37067</v>
      </c>
      <c r="F327">
        <v>17060302.600000001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0.2462447257383964</v>
      </c>
      <c r="Q327">
        <f t="shared" si="970"/>
        <v>4201009.5347510511</v>
      </c>
      <c r="R327">
        <f t="shared" si="971"/>
        <v>24375045.871071801</v>
      </c>
      <c r="S327">
        <f t="shared" si="972"/>
        <v>243.75045871071799</v>
      </c>
      <c r="T327">
        <f t="shared" si="973"/>
        <v>0.24375045871071799</v>
      </c>
    </row>
    <row r="328" spans="1:20" x14ac:dyDescent="0.25">
      <c r="A328" s="5">
        <v>44265</v>
      </c>
      <c r="B328">
        <v>0.38199</v>
      </c>
      <c r="C328">
        <v>0.39</v>
      </c>
      <c r="D328">
        <v>0.34600999999999998</v>
      </c>
      <c r="E328">
        <v>0.35277999999999998</v>
      </c>
      <c r="F328">
        <v>21639381.699999999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-0.69220277335758151</v>
      </c>
      <c r="Q328">
        <f t="shared" si="970"/>
        <v>-14978840.026483297</v>
      </c>
      <c r="R328">
        <f t="shared" si="971"/>
        <v>20174036.33632075</v>
      </c>
      <c r="S328">
        <f t="shared" si="972"/>
        <v>201.74036336320751</v>
      </c>
      <c r="T328">
        <f t="shared" si="973"/>
        <v>0.2017403633632075</v>
      </c>
    </row>
    <row r="329" spans="1:20" x14ac:dyDescent="0.25">
      <c r="A329" s="5">
        <v>44264</v>
      </c>
      <c r="B329">
        <v>0.34022999999999998</v>
      </c>
      <c r="C329">
        <v>0.434</v>
      </c>
      <c r="D329">
        <v>0.33341999999999999</v>
      </c>
      <c r="E329">
        <v>0.38129999999999997</v>
      </c>
      <c r="F329">
        <v>63740294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-4.7922052097833033E-2</v>
      </c>
      <c r="Q329">
        <f t="shared" si="970"/>
        <v>-3054565.6897991942</v>
      </c>
      <c r="R329">
        <f t="shared" si="971"/>
        <v>35152876.362804048</v>
      </c>
      <c r="S329">
        <f t="shared" si="972"/>
        <v>351.52876362804045</v>
      </c>
      <c r="T329">
        <f t="shared" si="973"/>
        <v>0.35152876362804047</v>
      </c>
    </row>
    <row r="330" spans="1:20" x14ac:dyDescent="0.25">
      <c r="A330" s="5">
        <v>44263</v>
      </c>
      <c r="B330">
        <v>0.29193000000000002</v>
      </c>
      <c r="C330">
        <v>0.34784999999999999</v>
      </c>
      <c r="D330">
        <v>0.29171000000000002</v>
      </c>
      <c r="E330">
        <v>0.33879999999999999</v>
      </c>
      <c r="F330">
        <v>21001296.300000001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0.67759173494834313</v>
      </c>
      <c r="Q330">
        <f t="shared" si="970"/>
        <v>14230304.796081219</v>
      </c>
      <c r="R330">
        <f t="shared" si="971"/>
        <v>38207442.052603245</v>
      </c>
      <c r="S330">
        <f t="shared" si="972"/>
        <v>382.07442052603244</v>
      </c>
      <c r="T330">
        <f t="shared" si="973"/>
        <v>0.38207442052603247</v>
      </c>
    </row>
    <row r="331" spans="1:20" x14ac:dyDescent="0.25">
      <c r="A331" s="5">
        <v>44262</v>
      </c>
      <c r="B331">
        <v>0.28632999999999997</v>
      </c>
      <c r="C331">
        <v>0.29899999999999999</v>
      </c>
      <c r="D331">
        <v>0.28509000000000001</v>
      </c>
      <c r="E331">
        <v>0.29088000000000003</v>
      </c>
      <c r="F331">
        <v>9016741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-0.1675053918044534</v>
      </c>
      <c r="Q331">
        <f t="shared" si="970"/>
        <v>-1510352.7340042789</v>
      </c>
      <c r="R331">
        <f t="shared" si="971"/>
        <v>23977137.256522026</v>
      </c>
      <c r="S331">
        <f t="shared" si="972"/>
        <v>239.77137256522025</v>
      </c>
      <c r="T331">
        <f t="shared" si="973"/>
        <v>0.23977137256522024</v>
      </c>
    </row>
    <row r="332" spans="1:20" x14ac:dyDescent="0.25">
      <c r="A332" s="5">
        <v>44261</v>
      </c>
      <c r="B332">
        <v>0.28305999999999998</v>
      </c>
      <c r="C332">
        <v>0.29848999999999998</v>
      </c>
      <c r="D332">
        <v>0.26</v>
      </c>
      <c r="E332">
        <v>0.28616000000000003</v>
      </c>
      <c r="F332">
        <v>14287026.199999999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0.35931410756040727</v>
      </c>
      <c r="Q332">
        <f t="shared" si="970"/>
        <v>5133530.0687451568</v>
      </c>
      <c r="R332">
        <f t="shared" si="971"/>
        <v>25487489.990526304</v>
      </c>
      <c r="S332">
        <f t="shared" si="972"/>
        <v>254.87489990526305</v>
      </c>
      <c r="T332">
        <f t="shared" si="973"/>
        <v>0.25487489990526307</v>
      </c>
    </row>
    <row r="333" spans="1:20" x14ac:dyDescent="0.25">
      <c r="A333" s="5">
        <v>44260</v>
      </c>
      <c r="B333">
        <v>0.26235999999999998</v>
      </c>
      <c r="C333">
        <v>0.309</v>
      </c>
      <c r="D333">
        <v>0.24</v>
      </c>
      <c r="E333">
        <v>0.28305000000000002</v>
      </c>
      <c r="F333">
        <v>17333509.100000001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0.24782608695652258</v>
      </c>
      <c r="Q333">
        <f t="shared" si="970"/>
        <v>4295695.7334782761</v>
      </c>
      <c r="R333">
        <f t="shared" si="971"/>
        <v>20353959.921781145</v>
      </c>
      <c r="S333">
        <f t="shared" si="972"/>
        <v>203.53959921781146</v>
      </c>
      <c r="T333">
        <f t="shared" si="973"/>
        <v>0.20353959921781145</v>
      </c>
    </row>
    <row r="334" spans="1:20" x14ac:dyDescent="0.25">
      <c r="A334" s="5">
        <v>44259</v>
      </c>
      <c r="B334">
        <v>0.27623999999999999</v>
      </c>
      <c r="C334">
        <v>0.30357000000000001</v>
      </c>
      <c r="D334">
        <v>0.25352000000000002</v>
      </c>
      <c r="E334">
        <v>0.26141999999999999</v>
      </c>
      <c r="F334">
        <v>15643017.1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-0.68431568431568568</v>
      </c>
      <c r="Q334">
        <f t="shared" si="970"/>
        <v>-10704761.951548472</v>
      </c>
      <c r="R334">
        <f t="shared" si="971"/>
        <v>16058264.188302867</v>
      </c>
      <c r="S334">
        <f t="shared" si="972"/>
        <v>160.58264188302866</v>
      </c>
      <c r="T334">
        <f t="shared" si="973"/>
        <v>0.16058264188302865</v>
      </c>
    </row>
    <row r="335" spans="1:20" x14ac:dyDescent="0.25">
      <c r="A335" s="5">
        <v>44258</v>
      </c>
      <c r="B335">
        <v>0.25635999999999998</v>
      </c>
      <c r="C335">
        <v>0.33429999999999999</v>
      </c>
      <c r="D335">
        <v>0.25283</v>
      </c>
      <c r="E335">
        <v>0.27533999999999997</v>
      </c>
      <c r="F335">
        <v>35981792.5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-0.44740395237510794</v>
      </c>
      <c r="Q335">
        <f t="shared" si="970"/>
        <v>-16098396.178041017</v>
      </c>
      <c r="R335">
        <f t="shared" si="971"/>
        <v>26763026.139851339</v>
      </c>
      <c r="S335">
        <f t="shared" si="972"/>
        <v>267.63026139851337</v>
      </c>
      <c r="T335">
        <f t="shared" si="973"/>
        <v>0.26763026139851337</v>
      </c>
    </row>
    <row r="336" spans="1:20" x14ac:dyDescent="0.25">
      <c r="A336" s="5">
        <v>44257</v>
      </c>
      <c r="B336">
        <v>0.27150000000000002</v>
      </c>
      <c r="C336">
        <v>0.27803</v>
      </c>
      <c r="D336">
        <v>0.2485</v>
      </c>
      <c r="E336">
        <v>0.25664999999999999</v>
      </c>
      <c r="F336">
        <v>7893693.2000000002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-0.44801896376566269</v>
      </c>
      <c r="Q336">
        <f t="shared" si="970"/>
        <v>-3536524.2477480583</v>
      </c>
      <c r="R336">
        <f t="shared" si="971"/>
        <v>42861422.317892358</v>
      </c>
      <c r="S336">
        <f t="shared" si="972"/>
        <v>428.61422317892357</v>
      </c>
      <c r="T336">
        <f t="shared" si="973"/>
        <v>0.42861422317892356</v>
      </c>
    </row>
    <row r="337" spans="1:20" x14ac:dyDescent="0.25">
      <c r="A337" s="5">
        <v>44256</v>
      </c>
      <c r="B337">
        <v>0.24601999999999999</v>
      </c>
      <c r="C337">
        <v>0.27289000000000002</v>
      </c>
      <c r="D337">
        <v>0.24523</v>
      </c>
      <c r="E337">
        <v>0.27050000000000002</v>
      </c>
      <c r="F337">
        <v>9887254.1999999993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0.8271872740419377</v>
      </c>
      <c r="Q337">
        <f t="shared" si="970"/>
        <v>8178610.8494576989</v>
      </c>
      <c r="R337">
        <f t="shared" si="971"/>
        <v>46397946.56564042</v>
      </c>
      <c r="S337">
        <f t="shared" si="972"/>
        <v>463.97946565640422</v>
      </c>
      <c r="T337">
        <f t="shared" si="973"/>
        <v>0.46397946565640419</v>
      </c>
    </row>
    <row r="338" spans="1:20" x14ac:dyDescent="0.25">
      <c r="A338" s="5">
        <v>44255</v>
      </c>
      <c r="B338">
        <v>0.27332000000000001</v>
      </c>
      <c r="C338">
        <v>0.27709</v>
      </c>
      <c r="D338">
        <v>0.22844</v>
      </c>
      <c r="E338">
        <v>0.24590999999999999</v>
      </c>
      <c r="F338">
        <v>15738575.300000001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-0.28180883864337158</v>
      </c>
      <c r="Q338">
        <f t="shared" si="970"/>
        <v>-4435269.6271942537</v>
      </c>
      <c r="R338">
        <f t="shared" si="971"/>
        <v>38219335.716182724</v>
      </c>
      <c r="S338">
        <f t="shared" si="972"/>
        <v>382.19335716182724</v>
      </c>
      <c r="T338">
        <f t="shared" si="973"/>
        <v>0.38219335716182723</v>
      </c>
    </row>
    <row r="339" spans="1:20" x14ac:dyDescent="0.25">
      <c r="A339" s="5">
        <v>44254</v>
      </c>
      <c r="B339">
        <v>0.25562000000000001</v>
      </c>
      <c r="C339">
        <v>0.3</v>
      </c>
      <c r="D339">
        <v>0.25353999999999999</v>
      </c>
      <c r="E339">
        <v>0.27332000000000001</v>
      </c>
      <c r="F339">
        <v>53592993.600000001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-0.14851485148514768</v>
      </c>
      <c r="Q339">
        <f t="shared" si="970"/>
        <v>-7959355.4851484699</v>
      </c>
      <c r="R339">
        <f t="shared" si="971"/>
        <v>42654605.343376979</v>
      </c>
      <c r="S339">
        <f t="shared" si="972"/>
        <v>426.54605343376977</v>
      </c>
      <c r="T339">
        <f t="shared" si="973"/>
        <v>0.42654605343376978</v>
      </c>
    </row>
    <row r="340" spans="1:20" x14ac:dyDescent="0.25">
      <c r="A340" s="5">
        <v>44253</v>
      </c>
      <c r="B340">
        <v>0.26839000000000002</v>
      </c>
      <c r="C340">
        <v>0.27861000000000002</v>
      </c>
      <c r="D340">
        <v>0.246</v>
      </c>
      <c r="E340">
        <v>0.25606000000000001</v>
      </c>
      <c r="F340">
        <v>14604355.699999999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-0.38301134621281785</v>
      </c>
      <c r="Q340">
        <f t="shared" si="970"/>
        <v>-5593633.9372278396</v>
      </c>
      <c r="R340">
        <f t="shared" si="971"/>
        <v>50613960.828525446</v>
      </c>
      <c r="S340">
        <f t="shared" si="972"/>
        <v>506.13960828525444</v>
      </c>
      <c r="T340">
        <f t="shared" si="973"/>
        <v>0.50613960828525439</v>
      </c>
    </row>
    <row r="341" spans="1:20" x14ac:dyDescent="0.25">
      <c r="A341" s="5">
        <v>44252</v>
      </c>
      <c r="B341">
        <v>0.29132999999999998</v>
      </c>
      <c r="C341">
        <v>0.31180999999999998</v>
      </c>
      <c r="D341">
        <v>0.26627000000000001</v>
      </c>
      <c r="E341">
        <v>0.26872000000000001</v>
      </c>
      <c r="F341">
        <v>12611875.6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-0.89240228370663111</v>
      </c>
      <c r="Q341">
        <f t="shared" si="970"/>
        <v>-11254866.587263938</v>
      </c>
      <c r="R341">
        <f t="shared" si="971"/>
        <v>56207594.765753284</v>
      </c>
      <c r="S341">
        <f t="shared" si="972"/>
        <v>562.07594765753288</v>
      </c>
      <c r="T341">
        <f t="shared" si="973"/>
        <v>0.56207594765753288</v>
      </c>
    </row>
    <row r="342" spans="1:20" x14ac:dyDescent="0.25">
      <c r="A342" s="5">
        <v>44251</v>
      </c>
      <c r="B342">
        <v>0.28322999999999998</v>
      </c>
      <c r="C342">
        <v>0.32449</v>
      </c>
      <c r="D342">
        <v>0.27377000000000001</v>
      </c>
      <c r="E342">
        <v>0.29132999999999998</v>
      </c>
      <c r="F342">
        <v>17949882.699999999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-0.30757097791798232</v>
      </c>
      <c r="Q342">
        <f t="shared" si="970"/>
        <v>-5520862.9755520727</v>
      </c>
      <c r="R342">
        <f t="shared" si="971"/>
        <v>67462461.353017226</v>
      </c>
      <c r="S342">
        <f t="shared" si="972"/>
        <v>674.62461353017227</v>
      </c>
      <c r="T342">
        <f t="shared" si="973"/>
        <v>0.67462461353017222</v>
      </c>
    </row>
    <row r="343" spans="1:20" x14ac:dyDescent="0.25">
      <c r="A343" s="5">
        <v>44250</v>
      </c>
      <c r="B343">
        <v>0.32682</v>
      </c>
      <c r="C343">
        <v>0.33069999999999999</v>
      </c>
      <c r="D343">
        <v>0.22847999999999999</v>
      </c>
      <c r="E343">
        <v>0.28183000000000002</v>
      </c>
      <c r="F343">
        <v>31226939.5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4.3827039718255398E-2</v>
      </c>
      <c r="Q343">
        <f t="shared" si="970"/>
        <v>1368584.3177460583</v>
      </c>
      <c r="R343">
        <f t="shared" si="971"/>
        <v>72983324.328569293</v>
      </c>
      <c r="S343">
        <f t="shared" si="972"/>
        <v>729.8332432856929</v>
      </c>
      <c r="T343">
        <f t="shared" si="973"/>
        <v>0.72983324328569288</v>
      </c>
    </row>
    <row r="344" spans="1:20" x14ac:dyDescent="0.25">
      <c r="A344" s="5">
        <v>44249</v>
      </c>
      <c r="B344">
        <v>0.36679</v>
      </c>
      <c r="C344">
        <v>0.37661</v>
      </c>
      <c r="D344">
        <v>0.249</v>
      </c>
      <c r="E344">
        <v>0.32673000000000002</v>
      </c>
      <c r="F344">
        <v>43471028.399999999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0.21824308439777479</v>
      </c>
      <c r="Q344">
        <f t="shared" si="970"/>
        <v>9487251.3199592642</v>
      </c>
      <c r="R344">
        <f t="shared" si="971"/>
        <v>71614740.010823235</v>
      </c>
      <c r="S344">
        <f t="shared" si="972"/>
        <v>716.14740010823232</v>
      </c>
      <c r="T344">
        <f t="shared" si="973"/>
        <v>0.7161474001082323</v>
      </c>
    </row>
    <row r="345" spans="1:20" x14ac:dyDescent="0.25">
      <c r="A345" s="5">
        <v>44248</v>
      </c>
      <c r="B345">
        <v>0.28378999999999999</v>
      </c>
      <c r="C345">
        <v>0.39500000000000002</v>
      </c>
      <c r="D345">
        <v>0.28029999999999999</v>
      </c>
      <c r="E345">
        <v>0.36679</v>
      </c>
      <c r="F345">
        <v>49622666.399999999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0.50810810810810803</v>
      </c>
      <c r="Q345">
        <f t="shared" si="970"/>
        <v>25213679.143783778</v>
      </c>
      <c r="R345">
        <f t="shared" si="971"/>
        <v>62127488.690863967</v>
      </c>
      <c r="S345">
        <f t="shared" si="972"/>
        <v>621.2748869086397</v>
      </c>
      <c r="T345">
        <f t="shared" si="973"/>
        <v>0.62127488690863975</v>
      </c>
    </row>
    <row r="346" spans="1:20" x14ac:dyDescent="0.25">
      <c r="A346" s="5">
        <v>44247</v>
      </c>
      <c r="B346">
        <v>0.31712000000000001</v>
      </c>
      <c r="C346">
        <v>0.35</v>
      </c>
      <c r="D346">
        <v>0.26800000000000002</v>
      </c>
      <c r="E346">
        <v>0.28375</v>
      </c>
      <c r="F346">
        <v>62636090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-0.61585365853658547</v>
      </c>
      <c r="Q346">
        <f t="shared" si="970"/>
        <v>-38574665.182926834</v>
      </c>
      <c r="R346">
        <f t="shared" si="971"/>
        <v>36913809.547080189</v>
      </c>
      <c r="S346">
        <f t="shared" si="972"/>
        <v>369.13809547080189</v>
      </c>
      <c r="T346">
        <f t="shared" si="973"/>
        <v>0.3691380954708019</v>
      </c>
    </row>
    <row r="347" spans="1:20" x14ac:dyDescent="0.25">
      <c r="A347" s="5">
        <v>44246</v>
      </c>
      <c r="B347">
        <v>0.24379999999999999</v>
      </c>
      <c r="C347">
        <v>0.33999000000000001</v>
      </c>
      <c r="D347">
        <v>0.22864999999999999</v>
      </c>
      <c r="E347">
        <v>0.31724999999999998</v>
      </c>
      <c r="F347">
        <v>63655081.700000003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0.59152146578049158</v>
      </c>
      <c r="Q347">
        <f t="shared" si="970"/>
        <v>37653347.231560946</v>
      </c>
      <c r="R347">
        <f t="shared" si="971"/>
        <v>75488474.730007023</v>
      </c>
      <c r="S347">
        <f t="shared" si="972"/>
        <v>754.88474730007022</v>
      </c>
      <c r="T347">
        <f t="shared" si="973"/>
        <v>0.75488474730007027</v>
      </c>
    </row>
    <row r="348" spans="1:20" x14ac:dyDescent="0.25">
      <c r="A348" s="5">
        <v>44245</v>
      </c>
      <c r="B348">
        <v>0.21479000000000001</v>
      </c>
      <c r="C348">
        <v>0.25337999999999999</v>
      </c>
      <c r="D348">
        <v>0.21317</v>
      </c>
      <c r="E348">
        <v>0.24271999999999999</v>
      </c>
      <c r="F348">
        <v>24691747.800000001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0.4697836359114646</v>
      </c>
      <c r="Q348">
        <f t="shared" si="970"/>
        <v>11599779.058492908</v>
      </c>
      <c r="R348">
        <f t="shared" si="971"/>
        <v>37835127.49844607</v>
      </c>
      <c r="S348">
        <f t="shared" si="972"/>
        <v>378.3512749844607</v>
      </c>
      <c r="T348">
        <f t="shared" si="973"/>
        <v>0.37835127498446069</v>
      </c>
    </row>
    <row r="349" spans="1:20" x14ac:dyDescent="0.25">
      <c r="A349" s="5">
        <v>44244</v>
      </c>
      <c r="B349">
        <v>0.20407</v>
      </c>
      <c r="C349">
        <v>0.22098000000000001</v>
      </c>
      <c r="D349">
        <v>0.19470000000000001</v>
      </c>
      <c r="E349">
        <v>0.21429999999999999</v>
      </c>
      <c r="F349">
        <v>16092750.300000001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0.49162861491628462</v>
      </c>
      <c r="Q349">
        <f t="shared" si="970"/>
        <v>7911656.540182624</v>
      </c>
      <c r="R349">
        <f t="shared" si="971"/>
        <v>26235348.43995316</v>
      </c>
      <c r="S349">
        <f t="shared" si="972"/>
        <v>262.35348439953162</v>
      </c>
      <c r="T349">
        <f t="shared" si="973"/>
        <v>0.2623534843995316</v>
      </c>
    </row>
    <row r="350" spans="1:20" x14ac:dyDescent="0.25">
      <c r="A350" s="5">
        <v>44243</v>
      </c>
      <c r="B350">
        <v>0.19955999999999999</v>
      </c>
      <c r="C350">
        <v>0.21933</v>
      </c>
      <c r="D350">
        <v>0.192</v>
      </c>
      <c r="E350">
        <v>0.20316000000000001</v>
      </c>
      <c r="F350">
        <v>17895540.800000001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-0.18331503841931898</v>
      </c>
      <c r="Q350">
        <f t="shared" si="970"/>
        <v>-3280521.7492864905</v>
      </c>
      <c r="R350">
        <f t="shared" si="971"/>
        <v>18323691.899770536</v>
      </c>
      <c r="S350">
        <f t="shared" si="972"/>
        <v>183.23691899770535</v>
      </c>
      <c r="T350">
        <f t="shared" si="973"/>
        <v>0.18323691899770533</v>
      </c>
    </row>
    <row r="351" spans="1:20" x14ac:dyDescent="0.25">
      <c r="A351" s="5">
        <v>44242</v>
      </c>
      <c r="B351">
        <v>0.22062000000000001</v>
      </c>
      <c r="C351">
        <v>0.23333000000000001</v>
      </c>
      <c r="D351">
        <v>0.17</v>
      </c>
      <c r="E351">
        <v>0.19928999999999999</v>
      </c>
      <c r="F351">
        <v>38097577.100000001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-7.5003947576188723E-2</v>
      </c>
      <c r="Q351">
        <f t="shared" si="970"/>
        <v>-2857468.6755882083</v>
      </c>
      <c r="R351">
        <f t="shared" si="971"/>
        <v>21604213.649057027</v>
      </c>
      <c r="S351">
        <f t="shared" si="972"/>
        <v>216.04213649057027</v>
      </c>
      <c r="T351">
        <f t="shared" si="973"/>
        <v>0.21604213649057027</v>
      </c>
    </row>
    <row r="352" spans="1:20" x14ac:dyDescent="0.25">
      <c r="A352" s="5">
        <v>44241</v>
      </c>
      <c r="B352">
        <v>0.20738000000000001</v>
      </c>
      <c r="C352">
        <v>0.26872000000000001</v>
      </c>
      <c r="D352">
        <v>0.19800000000000001</v>
      </c>
      <c r="E352">
        <v>0.22061</v>
      </c>
      <c r="F352">
        <v>76528873.299999997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-0.36057692307692335</v>
      </c>
      <c r="Q352">
        <f t="shared" si="970"/>
        <v>-27594545.661057711</v>
      </c>
      <c r="R352">
        <f t="shared" si="971"/>
        <v>24461682.324645236</v>
      </c>
      <c r="S352">
        <f t="shared" si="972"/>
        <v>244.61682324645236</v>
      </c>
      <c r="T352">
        <f t="shared" si="973"/>
        <v>0.24461682324645234</v>
      </c>
    </row>
    <row r="353" spans="1:20" x14ac:dyDescent="0.25">
      <c r="A353" s="5">
        <v>44240</v>
      </c>
      <c r="B353">
        <v>0.17696000000000001</v>
      </c>
      <c r="C353">
        <v>0.22</v>
      </c>
      <c r="D353">
        <v>0.17002999999999999</v>
      </c>
      <c r="E353">
        <v>0.20738000000000001</v>
      </c>
      <c r="F353">
        <v>48460049.100000001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0.4948969381628982</v>
      </c>
      <c r="Q353">
        <f t="shared" si="970"/>
        <v>23982729.92281371</v>
      </c>
      <c r="R353">
        <f t="shared" si="971"/>
        <v>52056227.985702947</v>
      </c>
      <c r="S353">
        <f t="shared" si="972"/>
        <v>520.56227985702947</v>
      </c>
      <c r="T353">
        <f t="shared" si="973"/>
        <v>0.52056227985702952</v>
      </c>
    </row>
    <row r="354" spans="1:20" x14ac:dyDescent="0.25">
      <c r="A354" s="5">
        <v>44239</v>
      </c>
      <c r="B354">
        <v>0.17713000000000001</v>
      </c>
      <c r="C354">
        <v>0.19500000000000001</v>
      </c>
      <c r="D354">
        <v>0.17</v>
      </c>
      <c r="E354">
        <v>0.17718999999999999</v>
      </c>
      <c r="F354">
        <v>29624948.600000001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-0.42480000000000195</v>
      </c>
      <c r="Q354">
        <f t="shared" si="970"/>
        <v>-12584678.165280059</v>
      </c>
      <c r="R354">
        <f t="shared" si="971"/>
        <v>28073498.062889233</v>
      </c>
      <c r="S354">
        <f t="shared" si="972"/>
        <v>280.73498062889234</v>
      </c>
      <c r="T354">
        <f t="shared" si="973"/>
        <v>0.28073498062889235</v>
      </c>
    </row>
    <row r="355" spans="1:20" x14ac:dyDescent="0.25">
      <c r="A355" s="5">
        <v>44238</v>
      </c>
      <c r="B355">
        <v>0.16771</v>
      </c>
      <c r="C355">
        <v>0.19411999999999999</v>
      </c>
      <c r="D355">
        <v>0.16116</v>
      </c>
      <c r="E355">
        <v>0.17712</v>
      </c>
      <c r="F355">
        <v>64649000.100000001</v>
      </c>
      <c r="G355">
        <v>0</v>
      </c>
      <c r="L355" t="s">
        <v>7</v>
      </c>
      <c r="M355" t="s">
        <v>7</v>
      </c>
      <c r="N355" t="s">
        <v>7</v>
      </c>
      <c r="P355">
        <f t="shared" si="969"/>
        <v>-3.1553398058251997E-2</v>
      </c>
      <c r="Q355">
        <f t="shared" si="970"/>
        <v>-2039895.6342232733</v>
      </c>
      <c r="R355">
        <f t="shared" si="971"/>
        <v>40658176.228169292</v>
      </c>
      <c r="S355">
        <f t="shared" si="972"/>
        <v>406.58176228169293</v>
      </c>
      <c r="T355">
        <f t="shared" si="973"/>
        <v>0.4065817622816929</v>
      </c>
    </row>
    <row r="356" spans="1:20" x14ac:dyDescent="0.25">
      <c r="A356" s="5">
        <v>44237</v>
      </c>
      <c r="B356">
        <v>0.13900999999999999</v>
      </c>
      <c r="C356">
        <v>0.2278</v>
      </c>
      <c r="D356">
        <v>0.13800000000000001</v>
      </c>
      <c r="E356">
        <v>0.16811000000000001</v>
      </c>
      <c r="F356">
        <v>126751302.09999999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-0.32939866369710463</v>
      </c>
      <c r="Q356">
        <f t="shared" si="970"/>
        <v>-41751709.533608012</v>
      </c>
      <c r="R356">
        <f t="shared" si="971"/>
        <v>42698071.862392567</v>
      </c>
      <c r="S356">
        <f t="shared" si="972"/>
        <v>426.98071862392567</v>
      </c>
      <c r="T356">
        <f t="shared" si="973"/>
        <v>0.42698071862392567</v>
      </c>
    </row>
    <row r="357" spans="1:20" x14ac:dyDescent="0.25">
      <c r="A357" s="5">
        <v>44236</v>
      </c>
      <c r="B357">
        <v>0.12642999999999999</v>
      </c>
      <c r="C357">
        <v>0.14349000000000001</v>
      </c>
      <c r="D357">
        <v>0.12407</v>
      </c>
      <c r="E357">
        <v>0.13893</v>
      </c>
      <c r="F357">
        <v>21251202.5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0.53038105046343909</v>
      </c>
      <c r="Q357">
        <f t="shared" si="970"/>
        <v>11271235.105561262</v>
      </c>
      <c r="R357">
        <f t="shared" si="971"/>
        <v>84449781.396000579</v>
      </c>
      <c r="S357">
        <f t="shared" si="972"/>
        <v>844.49781396000583</v>
      </c>
      <c r="T357">
        <f t="shared" si="973"/>
        <v>0.84449781396000578</v>
      </c>
    </row>
    <row r="358" spans="1:20" x14ac:dyDescent="0.25">
      <c r="A358" s="5">
        <v>44235</v>
      </c>
      <c r="B358">
        <v>0.11645</v>
      </c>
      <c r="C358">
        <v>0.13111</v>
      </c>
      <c r="D358">
        <v>0.115</v>
      </c>
      <c r="E358">
        <v>0.12681000000000001</v>
      </c>
      <c r="F358">
        <v>15060489.6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0.46617008069522053</v>
      </c>
      <c r="Q358">
        <f t="shared" si="970"/>
        <v>7020749.6521415291</v>
      </c>
      <c r="R358">
        <f t="shared" si="971"/>
        <v>73178546.290439323</v>
      </c>
      <c r="S358">
        <f t="shared" si="972"/>
        <v>731.78546290439317</v>
      </c>
      <c r="T358">
        <f t="shared" si="973"/>
        <v>0.73178546290439317</v>
      </c>
    </row>
    <row r="359" spans="1:20" x14ac:dyDescent="0.25">
      <c r="A359" s="5">
        <v>44234</v>
      </c>
      <c r="B359">
        <v>0.11914</v>
      </c>
      <c r="C359">
        <v>0.12306</v>
      </c>
      <c r="D359">
        <v>0.113</v>
      </c>
      <c r="E359">
        <v>0.11647</v>
      </c>
      <c r="F359">
        <v>10885177.9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-0.31013916500994015</v>
      </c>
      <c r="Q359">
        <f t="shared" si="970"/>
        <v>-3375919.9848906538</v>
      </c>
      <c r="R359">
        <f t="shared" si="971"/>
        <v>66157796.638297796</v>
      </c>
      <c r="S359">
        <f t="shared" si="972"/>
        <v>661.57796638297793</v>
      </c>
      <c r="T359">
        <f t="shared" si="973"/>
        <v>0.66157796638297794</v>
      </c>
    </row>
    <row r="360" spans="1:20" x14ac:dyDescent="0.25">
      <c r="A360" s="5">
        <v>44233</v>
      </c>
      <c r="B360">
        <v>0.12543000000000001</v>
      </c>
      <c r="C360">
        <v>0.12683</v>
      </c>
      <c r="D360">
        <v>0.11587</v>
      </c>
      <c r="E360">
        <v>0.11941</v>
      </c>
      <c r="F360">
        <v>12247056.4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-0.35401459854014555</v>
      </c>
      <c r="Q360">
        <f t="shared" si="970"/>
        <v>-4335636.7547445204</v>
      </c>
      <c r="R360">
        <f t="shared" si="971"/>
        <v>69533716.623188451</v>
      </c>
      <c r="S360">
        <f t="shared" si="972"/>
        <v>695.33716623188445</v>
      </c>
      <c r="T360">
        <f t="shared" si="973"/>
        <v>0.69533716623188446</v>
      </c>
    </row>
    <row r="361" spans="1:20" x14ac:dyDescent="0.25">
      <c r="A361" s="5">
        <v>44232</v>
      </c>
      <c r="B361">
        <v>0.1142</v>
      </c>
      <c r="C361">
        <v>0.12784999999999999</v>
      </c>
      <c r="D361">
        <v>0.113</v>
      </c>
      <c r="E361">
        <v>0.12540999999999999</v>
      </c>
      <c r="F361">
        <v>14382171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0.67138047138047141</v>
      </c>
      <c r="Q361">
        <f t="shared" si="970"/>
        <v>9655908.7454545461</v>
      </c>
      <c r="R361">
        <f t="shared" si="971"/>
        <v>73869353.377932966</v>
      </c>
      <c r="S361">
        <f t="shared" si="972"/>
        <v>738.69353377932964</v>
      </c>
      <c r="T361">
        <f t="shared" si="973"/>
        <v>0.73869353377932967</v>
      </c>
    </row>
    <row r="362" spans="1:20" x14ac:dyDescent="0.25">
      <c r="A362" s="5">
        <v>44231</v>
      </c>
      <c r="B362">
        <v>0.11933000000000001</v>
      </c>
      <c r="C362">
        <v>0.11965000000000001</v>
      </c>
      <c r="D362">
        <v>0.11011</v>
      </c>
      <c r="E362">
        <v>0.11422</v>
      </c>
      <c r="F362">
        <v>9039661.6999999993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-0.13836477987421392</v>
      </c>
      <c r="Q362">
        <f t="shared" si="970"/>
        <v>-1250770.8012578622</v>
      </c>
      <c r="R362">
        <f t="shared" si="971"/>
        <v>64213444.632478416</v>
      </c>
      <c r="S362">
        <f t="shared" si="972"/>
        <v>642.13444632478411</v>
      </c>
      <c r="T362">
        <f t="shared" si="973"/>
        <v>0.64213444632478411</v>
      </c>
    </row>
    <row r="363" spans="1:20" x14ac:dyDescent="0.25">
      <c r="A363" s="5">
        <v>44230</v>
      </c>
      <c r="B363">
        <v>0.11173</v>
      </c>
      <c r="C363">
        <v>0.11984</v>
      </c>
      <c r="D363">
        <v>0.1104</v>
      </c>
      <c r="E363">
        <v>0.11933000000000001</v>
      </c>
      <c r="F363">
        <v>7789678.2999999998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0.89194915254237361</v>
      </c>
      <c r="Q363">
        <f t="shared" si="970"/>
        <v>6947996.9582627174</v>
      </c>
      <c r="R363">
        <f t="shared" si="971"/>
        <v>65464215.43373628</v>
      </c>
      <c r="S363">
        <f t="shared" si="972"/>
        <v>654.64215433736274</v>
      </c>
      <c r="T363">
        <f t="shared" si="973"/>
        <v>0.65464215433736272</v>
      </c>
    </row>
    <row r="364" spans="1:20" x14ac:dyDescent="0.25">
      <c r="A364" s="5">
        <v>44229</v>
      </c>
      <c r="B364">
        <v>0.11055</v>
      </c>
      <c r="C364">
        <v>0.115</v>
      </c>
      <c r="D364">
        <v>0.10638</v>
      </c>
      <c r="E364">
        <v>0.11174000000000001</v>
      </c>
      <c r="F364">
        <v>7261037.4000000004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0.24361948955916521</v>
      </c>
      <c r="Q364">
        <f t="shared" si="970"/>
        <v>1768930.2250580082</v>
      </c>
      <c r="R364">
        <f t="shared" si="971"/>
        <v>58516218.47547356</v>
      </c>
      <c r="S364">
        <f t="shared" si="972"/>
        <v>585.16218475473556</v>
      </c>
      <c r="T364">
        <f t="shared" si="973"/>
        <v>0.58516218475473558</v>
      </c>
    </row>
    <row r="365" spans="1:20" x14ac:dyDescent="0.25">
      <c r="A365" s="5">
        <v>44228</v>
      </c>
      <c r="B365">
        <v>0.10381</v>
      </c>
      <c r="C365">
        <v>0.11071</v>
      </c>
      <c r="D365">
        <v>9.9959999999999993E-2</v>
      </c>
      <c r="E365">
        <v>0.11065</v>
      </c>
      <c r="F365">
        <v>13934471.300000001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0.98883720930232477</v>
      </c>
      <c r="Q365">
        <f t="shared" si="970"/>
        <v>13778923.713395339</v>
      </c>
      <c r="R365">
        <f t="shared" si="971"/>
        <v>56747288.250415549</v>
      </c>
      <c r="S365">
        <f t="shared" si="972"/>
        <v>567.47288250415545</v>
      </c>
      <c r="T365">
        <f t="shared" si="973"/>
        <v>0.5674728825041554</v>
      </c>
    </row>
    <row r="366" spans="1:20" x14ac:dyDescent="0.25">
      <c r="A366" s="5">
        <v>44227</v>
      </c>
      <c r="B366">
        <v>0.10836999999999999</v>
      </c>
      <c r="C366">
        <v>0.11098</v>
      </c>
      <c r="D366">
        <v>0.10101</v>
      </c>
      <c r="E366">
        <v>0.10439</v>
      </c>
      <c r="F366">
        <v>8843736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-0.32196589769307993</v>
      </c>
      <c r="Q366">
        <f t="shared" si="970"/>
        <v>-2847381.4002006077</v>
      </c>
      <c r="R366">
        <f t="shared" si="971"/>
        <v>42968364.537020214</v>
      </c>
      <c r="S366">
        <f t="shared" si="972"/>
        <v>429.68364537020216</v>
      </c>
      <c r="T366">
        <f t="shared" si="973"/>
        <v>0.42968364537020215</v>
      </c>
    </row>
    <row r="367" spans="1:20" x14ac:dyDescent="0.25">
      <c r="A367" s="5">
        <v>44226</v>
      </c>
      <c r="B367">
        <v>0.11069</v>
      </c>
      <c r="C367">
        <v>0.113</v>
      </c>
      <c r="D367">
        <v>0.10451000000000001</v>
      </c>
      <c r="E367">
        <v>0.10838</v>
      </c>
      <c r="F367">
        <v>11907235.9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-8.833922261484109E-2</v>
      </c>
      <c r="Q367">
        <f t="shared" si="970"/>
        <v>-1051875.9628975277</v>
      </c>
      <c r="R367">
        <f t="shared" si="971"/>
        <v>45815745.937220819</v>
      </c>
      <c r="S367">
        <f t="shared" si="972"/>
        <v>458.15745937220817</v>
      </c>
      <c r="T367">
        <f t="shared" si="973"/>
        <v>0.45815745937220814</v>
      </c>
    </row>
    <row r="368" spans="1:20" x14ac:dyDescent="0.25">
      <c r="A368" s="5">
        <v>44225</v>
      </c>
      <c r="B368">
        <v>0.11464000000000001</v>
      </c>
      <c r="C368">
        <v>0.123</v>
      </c>
      <c r="D368">
        <v>0.10646</v>
      </c>
      <c r="E368">
        <v>0.11070000000000001</v>
      </c>
      <c r="F368">
        <v>25359565.899999999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-0.48730350665054317</v>
      </c>
      <c r="Q368">
        <f t="shared" si="970"/>
        <v>-12357805.390205538</v>
      </c>
      <c r="R368">
        <f t="shared" si="971"/>
        <v>46867621.900118344</v>
      </c>
      <c r="S368">
        <f t="shared" si="972"/>
        <v>468.67621900118343</v>
      </c>
      <c r="T368">
        <f t="shared" si="973"/>
        <v>0.46867621900118345</v>
      </c>
    </row>
    <row r="369" spans="1:20" x14ac:dyDescent="0.25">
      <c r="A369" s="5">
        <v>44224</v>
      </c>
      <c r="B369">
        <v>8.6879999999999999E-2</v>
      </c>
      <c r="C369">
        <v>0.129</v>
      </c>
      <c r="D369">
        <v>8.5639999999999994E-2</v>
      </c>
      <c r="E369">
        <v>0.11495</v>
      </c>
      <c r="F369">
        <v>75112493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0.35193726937269354</v>
      </c>
      <c r="Q369">
        <f t="shared" si="970"/>
        <v>26434885.682195559</v>
      </c>
      <c r="R369">
        <f t="shared" si="971"/>
        <v>59225427.290323883</v>
      </c>
      <c r="S369">
        <f t="shared" si="972"/>
        <v>592.25427290323887</v>
      </c>
      <c r="T369">
        <f t="shared" si="973"/>
        <v>0.59225427290323884</v>
      </c>
    </row>
    <row r="370" spans="1:20" x14ac:dyDescent="0.25">
      <c r="A370" s="5">
        <v>44223</v>
      </c>
      <c r="B370">
        <v>9.1969999999999996E-2</v>
      </c>
      <c r="C370">
        <v>9.2810000000000004E-2</v>
      </c>
      <c r="D370">
        <v>8.3750000000000005E-2</v>
      </c>
      <c r="E370">
        <v>8.7190000000000004E-2</v>
      </c>
      <c r="F370">
        <v>6684089.7000000002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-0.24061810154525407</v>
      </c>
      <c r="Q370">
        <f t="shared" si="970"/>
        <v>-1608312.9741721868</v>
      </c>
      <c r="R370">
        <f t="shared" si="971"/>
        <v>32790541.608128328</v>
      </c>
      <c r="S370">
        <f t="shared" si="972"/>
        <v>327.90541608128331</v>
      </c>
      <c r="T370">
        <f t="shared" si="973"/>
        <v>0.32790541608128332</v>
      </c>
    </row>
    <row r="371" spans="1:20" x14ac:dyDescent="0.25">
      <c r="A371" s="5">
        <v>44222</v>
      </c>
      <c r="B371">
        <v>9.2499999999999999E-2</v>
      </c>
      <c r="C371">
        <v>9.5939999999999998E-2</v>
      </c>
      <c r="D371">
        <v>8.8999999999999996E-2</v>
      </c>
      <c r="E371">
        <v>9.1990000000000002E-2</v>
      </c>
      <c r="F371">
        <v>13951846.300000001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-0.13832853025936431</v>
      </c>
      <c r="Q371">
        <f t="shared" si="970"/>
        <v>-1929938.39308355</v>
      </c>
      <c r="R371">
        <f t="shared" si="971"/>
        <v>34398854.582300514</v>
      </c>
      <c r="S371">
        <f t="shared" si="972"/>
        <v>343.98854582300515</v>
      </c>
      <c r="T371">
        <f t="shared" si="973"/>
        <v>0.34398854582300514</v>
      </c>
    </row>
    <row r="372" spans="1:20" x14ac:dyDescent="0.25">
      <c r="A372" s="5">
        <v>44221</v>
      </c>
      <c r="B372">
        <v>9.2999999999999999E-2</v>
      </c>
      <c r="C372">
        <v>9.6490000000000006E-2</v>
      </c>
      <c r="D372">
        <v>9.0999999999999998E-2</v>
      </c>
      <c r="E372">
        <v>9.2499999999999999E-2</v>
      </c>
      <c r="F372">
        <v>6183729.4000000004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-0.4535519125683064</v>
      </c>
      <c r="Q372">
        <f t="shared" si="970"/>
        <v>-2804642.2961748661</v>
      </c>
      <c r="R372">
        <f t="shared" si="971"/>
        <v>36328792.975384064</v>
      </c>
      <c r="S372">
        <f t="shared" si="972"/>
        <v>363.28792975384061</v>
      </c>
      <c r="T372">
        <f t="shared" si="973"/>
        <v>0.36328792975384061</v>
      </c>
    </row>
    <row r="373" spans="1:20" x14ac:dyDescent="0.25">
      <c r="A373" s="5">
        <v>44220</v>
      </c>
      <c r="B373">
        <v>9.3060000000000004E-2</v>
      </c>
      <c r="C373">
        <v>9.8089999999999997E-2</v>
      </c>
      <c r="D373">
        <v>9.0509999999999993E-2</v>
      </c>
      <c r="E373">
        <v>9.2990000000000003E-2</v>
      </c>
      <c r="F373">
        <v>7106692.0999999996</v>
      </c>
      <c r="G373">
        <v>0</v>
      </c>
      <c r="L373" t="s">
        <v>8</v>
      </c>
      <c r="M373" t="s">
        <v>7</v>
      </c>
      <c r="N373" t="s">
        <v>8</v>
      </c>
      <c r="P373">
        <f t="shared" si="969"/>
        <v>-0.34564643799472061</v>
      </c>
      <c r="Q373">
        <f t="shared" si="970"/>
        <v>-2456402.8102902207</v>
      </c>
      <c r="R373">
        <f t="shared" si="971"/>
        <v>39133435.271558933</v>
      </c>
      <c r="S373">
        <f t="shared" si="972"/>
        <v>391.33435271558932</v>
      </c>
      <c r="T373">
        <f t="shared" si="973"/>
        <v>0.39133435271558931</v>
      </c>
    </row>
    <row r="374" spans="1:20" x14ac:dyDescent="0.25">
      <c r="A374" s="5">
        <v>44219</v>
      </c>
      <c r="B374">
        <v>9.0399999999999994E-2</v>
      </c>
      <c r="C374">
        <v>9.4500000000000001E-2</v>
      </c>
      <c r="D374">
        <v>8.8880000000000001E-2</v>
      </c>
      <c r="E374">
        <v>9.3149999999999997E-2</v>
      </c>
      <c r="F374">
        <v>5153516.0999999996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0.51957295373665335</v>
      </c>
      <c r="Q374">
        <f t="shared" si="970"/>
        <v>2677627.5822063982</v>
      </c>
      <c r="R374">
        <f t="shared" si="971"/>
        <v>41589838.08184915</v>
      </c>
      <c r="S374">
        <f t="shared" si="972"/>
        <v>415.89838081849149</v>
      </c>
      <c r="T374">
        <f t="shared" si="973"/>
        <v>0.41589838081849151</v>
      </c>
    </row>
    <row r="375" spans="1:20" x14ac:dyDescent="0.25">
      <c r="A375" s="5">
        <v>44218</v>
      </c>
      <c r="B375">
        <v>8.8650000000000007E-2</v>
      </c>
      <c r="C375">
        <v>9.4570000000000001E-2</v>
      </c>
      <c r="D375">
        <v>8.3690000000000001E-2</v>
      </c>
      <c r="E375">
        <v>9.0829999999999994E-2</v>
      </c>
      <c r="F375">
        <v>9281425.9000000004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0.31249999999999872</v>
      </c>
      <c r="Q375">
        <f t="shared" si="970"/>
        <v>2900445.5937499884</v>
      </c>
      <c r="R375">
        <f t="shared" si="971"/>
        <v>38912210.499642752</v>
      </c>
      <c r="S375">
        <f t="shared" si="972"/>
        <v>389.12210499642754</v>
      </c>
      <c r="T375">
        <f t="shared" si="973"/>
        <v>0.38912210499642752</v>
      </c>
    </row>
    <row r="376" spans="1:20" x14ac:dyDescent="0.25">
      <c r="A376" s="5">
        <v>44217</v>
      </c>
      <c r="B376">
        <v>0.10112</v>
      </c>
      <c r="C376">
        <v>0.10158</v>
      </c>
      <c r="D376">
        <v>8.8139999999999996E-2</v>
      </c>
      <c r="E376">
        <v>8.8789999999999994E-2</v>
      </c>
      <c r="F376">
        <v>9877595.5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-0.90327380952380987</v>
      </c>
      <c r="Q376">
        <f t="shared" si="970"/>
        <v>-8922173.3162202407</v>
      </c>
      <c r="R376">
        <f t="shared" si="971"/>
        <v>36011764.905892767</v>
      </c>
      <c r="S376">
        <f t="shared" si="972"/>
        <v>360.11764905892767</v>
      </c>
      <c r="T376">
        <f t="shared" si="973"/>
        <v>0.36011764905892768</v>
      </c>
    </row>
    <row r="377" spans="1:20" x14ac:dyDescent="0.25">
      <c r="A377" s="5">
        <v>44216</v>
      </c>
      <c r="B377">
        <v>0.1021</v>
      </c>
      <c r="C377">
        <v>0.107</v>
      </c>
      <c r="D377">
        <v>9.4100000000000003E-2</v>
      </c>
      <c r="E377">
        <v>0.10055</v>
      </c>
      <c r="F377">
        <v>12076717.800000001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</v>
      </c>
      <c r="Q377">
        <f t="shared" si="970"/>
        <v>0</v>
      </c>
      <c r="R377">
        <f t="shared" si="971"/>
        <v>44933938.222113006</v>
      </c>
      <c r="S377">
        <f t="shared" si="972"/>
        <v>449.33938222113005</v>
      </c>
      <c r="T377">
        <f t="shared" si="973"/>
        <v>0.44933938222113007</v>
      </c>
    </row>
    <row r="378" spans="1:20" x14ac:dyDescent="0.25">
      <c r="A378" s="5">
        <v>44215</v>
      </c>
      <c r="B378">
        <v>9.597E-2</v>
      </c>
      <c r="C378">
        <v>0.10935</v>
      </c>
      <c r="D378">
        <v>9.3329999999999996E-2</v>
      </c>
      <c r="E378">
        <v>0.10205</v>
      </c>
      <c r="F378">
        <v>14832445.5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8.8639200998751805E-2</v>
      </c>
      <c r="Q378">
        <f t="shared" si="970"/>
        <v>1314736.1179775316</v>
      </c>
      <c r="R378">
        <f t="shared" si="971"/>
        <v>44933938.222113006</v>
      </c>
      <c r="S378">
        <f t="shared" si="972"/>
        <v>449.33938222113005</v>
      </c>
      <c r="T378">
        <f t="shared" si="973"/>
        <v>0.44933938222113007</v>
      </c>
    </row>
    <row r="379" spans="1:20" x14ac:dyDescent="0.25">
      <c r="A379" s="5">
        <v>44214</v>
      </c>
      <c r="B379">
        <v>8.8059999999999999E-2</v>
      </c>
      <c r="C379">
        <v>0.10299</v>
      </c>
      <c r="D379">
        <v>8.7980000000000003E-2</v>
      </c>
      <c r="E379">
        <v>9.5949999999999994E-2</v>
      </c>
      <c r="F379">
        <v>18933177.199999999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6.1958694203863206E-2</v>
      </c>
      <c r="Q379">
        <f t="shared" si="970"/>
        <v>1173074.9364423549</v>
      </c>
      <c r="R379">
        <f t="shared" si="971"/>
        <v>43619202.104135476</v>
      </c>
      <c r="S379">
        <f t="shared" si="972"/>
        <v>436.19202104135474</v>
      </c>
      <c r="T379">
        <f t="shared" si="973"/>
        <v>0.43619202104135474</v>
      </c>
    </row>
    <row r="380" spans="1:20" x14ac:dyDescent="0.25">
      <c r="A380" s="5">
        <v>44213</v>
      </c>
      <c r="B380">
        <v>8.6779999999999996E-2</v>
      </c>
      <c r="C380">
        <v>9.2200000000000004E-2</v>
      </c>
      <c r="D380">
        <v>8.2000000000000003E-2</v>
      </c>
      <c r="E380">
        <v>8.8059999999999999E-2</v>
      </c>
      <c r="F380">
        <v>11678218.800000001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0.18823529411764617</v>
      </c>
      <c r="Q380">
        <f t="shared" si="970"/>
        <v>2198252.9505882249</v>
      </c>
      <c r="R380">
        <f t="shared" si="971"/>
        <v>42446127.167693123</v>
      </c>
      <c r="S380">
        <f t="shared" si="972"/>
        <v>424.46127167693123</v>
      </c>
      <c r="T380">
        <f t="shared" si="973"/>
        <v>0.42446127167693121</v>
      </c>
    </row>
    <row r="381" spans="1:20" x14ac:dyDescent="0.25">
      <c r="A381" s="5">
        <v>44212</v>
      </c>
      <c r="B381">
        <v>8.5449999999999998E-2</v>
      </c>
      <c r="C381">
        <v>0.09</v>
      </c>
      <c r="D381">
        <v>8.3820000000000006E-2</v>
      </c>
      <c r="E381">
        <v>8.634E-2</v>
      </c>
      <c r="F381">
        <v>11723714.6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-0.18446601941747634</v>
      </c>
      <c r="Q381">
        <f t="shared" si="970"/>
        <v>-2162626.9650485506</v>
      </c>
      <c r="R381">
        <f t="shared" si="971"/>
        <v>40247874.217104897</v>
      </c>
      <c r="S381">
        <f t="shared" si="972"/>
        <v>402.47874217104896</v>
      </c>
      <c r="T381">
        <f t="shared" si="973"/>
        <v>0.40247874217104895</v>
      </c>
    </row>
    <row r="382" spans="1:20" x14ac:dyDescent="0.25">
      <c r="A382" s="5">
        <v>44211</v>
      </c>
      <c r="B382">
        <v>8.2369999999999999E-2</v>
      </c>
      <c r="C382">
        <v>9.0999999999999998E-2</v>
      </c>
      <c r="D382">
        <v>0.08</v>
      </c>
      <c r="E382">
        <v>8.5019999999999998E-2</v>
      </c>
      <c r="F382">
        <v>13400285.6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-8.7272727272727529E-2</v>
      </c>
      <c r="Q382">
        <f t="shared" si="970"/>
        <v>-1169479.4705454579</v>
      </c>
      <c r="R382">
        <f t="shared" si="971"/>
        <v>42410501.182153448</v>
      </c>
      <c r="S382">
        <f t="shared" si="972"/>
        <v>424.1050118215345</v>
      </c>
      <c r="T382">
        <f t="shared" si="973"/>
        <v>0.42410501182153448</v>
      </c>
    </row>
    <row r="383" spans="1:20" x14ac:dyDescent="0.25">
      <c r="A383" s="5">
        <v>44210</v>
      </c>
      <c r="B383">
        <v>8.3659999999999998E-2</v>
      </c>
      <c r="C383">
        <v>8.7999999999999995E-2</v>
      </c>
      <c r="D383">
        <v>8.0250000000000002E-2</v>
      </c>
      <c r="E383">
        <v>8.2339999999999997E-2</v>
      </c>
      <c r="F383">
        <v>9239826.6999999993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-0.46064516129032346</v>
      </c>
      <c r="Q383">
        <f t="shared" si="970"/>
        <v>-4256281.4605161371</v>
      </c>
      <c r="R383">
        <f t="shared" si="971"/>
        <v>43579980.652698904</v>
      </c>
      <c r="S383">
        <f t="shared" si="972"/>
        <v>435.79980652698902</v>
      </c>
      <c r="T383">
        <f t="shared" si="973"/>
        <v>0.43579980652698902</v>
      </c>
    </row>
    <row r="384" spans="1:20" x14ac:dyDescent="0.25">
      <c r="A384" s="5">
        <v>44209</v>
      </c>
      <c r="B384">
        <v>7.9589999999999994E-2</v>
      </c>
      <c r="C384">
        <v>8.7220000000000006E-2</v>
      </c>
      <c r="D384">
        <v>7.7399999999999997E-2</v>
      </c>
      <c r="E384">
        <v>8.3559999999999995E-2</v>
      </c>
      <c r="F384">
        <v>7976222.0999999996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0.25458248472504946</v>
      </c>
      <c r="Q384">
        <f t="shared" si="970"/>
        <v>2030606.4409368518</v>
      </c>
      <c r="R384">
        <f t="shared" si="971"/>
        <v>47836262.113215044</v>
      </c>
      <c r="S384">
        <f t="shared" si="972"/>
        <v>478.36262113215042</v>
      </c>
      <c r="T384">
        <f t="shared" si="973"/>
        <v>0.47836262113215045</v>
      </c>
    </row>
    <row r="385" spans="1:20" x14ac:dyDescent="0.25">
      <c r="A385" s="5">
        <v>44208</v>
      </c>
      <c r="B385">
        <v>8.4129999999999996E-2</v>
      </c>
      <c r="C385">
        <v>8.5999999999999993E-2</v>
      </c>
      <c r="D385">
        <v>7.621E-2</v>
      </c>
      <c r="E385">
        <v>8.0030000000000004E-2</v>
      </c>
      <c r="F385">
        <v>7959055</v>
      </c>
      <c r="G385">
        <v>0</v>
      </c>
      <c r="L385" t="s">
        <v>8</v>
      </c>
      <c r="M385" t="s">
        <v>7</v>
      </c>
      <c r="N385" t="s">
        <v>8</v>
      </c>
      <c r="P385">
        <f t="shared" si="969"/>
        <v>-0.21961184882533061</v>
      </c>
      <c r="Q385">
        <f t="shared" si="970"/>
        <v>-1747902.7834524917</v>
      </c>
      <c r="R385">
        <f t="shared" si="971"/>
        <v>45805655.672278196</v>
      </c>
      <c r="S385">
        <f t="shared" si="972"/>
        <v>458.05655672278198</v>
      </c>
      <c r="T385">
        <f t="shared" si="973"/>
        <v>0.458056556722782</v>
      </c>
    </row>
    <row r="386" spans="1:20" x14ac:dyDescent="0.25">
      <c r="A386" s="5">
        <v>44207</v>
      </c>
      <c r="B386">
        <v>8.7959999999999997E-2</v>
      </c>
      <c r="C386">
        <v>8.8260000000000005E-2</v>
      </c>
      <c r="D386">
        <v>7.4999999999999997E-2</v>
      </c>
      <c r="E386">
        <v>8.4500000000000006E-2</v>
      </c>
      <c r="F386">
        <v>16039432.800000001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0.43288084464555093</v>
      </c>
      <c r="Q386">
        <f t="shared" si="970"/>
        <v>6943163.2180995541</v>
      </c>
      <c r="R386">
        <f t="shared" si="971"/>
        <v>47553558.455730684</v>
      </c>
      <c r="S386">
        <f t="shared" si="972"/>
        <v>475.53558455730683</v>
      </c>
      <c r="T386">
        <f t="shared" si="973"/>
        <v>0.47553558455730682</v>
      </c>
    </row>
    <row r="387" spans="1:20" x14ac:dyDescent="0.25">
      <c r="A387" s="5">
        <v>44206</v>
      </c>
      <c r="B387">
        <v>8.9200000000000002E-2</v>
      </c>
      <c r="C387">
        <v>9.0889999999999999E-2</v>
      </c>
      <c r="D387">
        <v>8.0199999999999994E-2</v>
      </c>
      <c r="E387">
        <v>8.7959999999999997E-2</v>
      </c>
      <c r="F387">
        <v>11267873.9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0.45182413470533195</v>
      </c>
      <c r="Q387">
        <f t="shared" si="970"/>
        <v>5091097.374836294</v>
      </c>
      <c r="R387">
        <f t="shared" si="971"/>
        <v>40610395.237631127</v>
      </c>
      <c r="S387">
        <f t="shared" si="972"/>
        <v>406.10395237631127</v>
      </c>
      <c r="T387">
        <f t="shared" si="973"/>
        <v>0.40610395237631125</v>
      </c>
    </row>
    <row r="388" spans="1:20" x14ac:dyDescent="0.25">
      <c r="A388" s="5">
        <v>44205</v>
      </c>
      <c r="B388">
        <v>8.1390000000000004E-2</v>
      </c>
      <c r="C388">
        <v>9.2899999999999996E-2</v>
      </c>
      <c r="D388">
        <v>7.9890000000000003E-2</v>
      </c>
      <c r="E388">
        <v>8.9209999999999998E-2</v>
      </c>
      <c r="F388">
        <v>14646270.300000001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0.43274404304381237</v>
      </c>
      <c r="Q388">
        <f t="shared" si="970"/>
        <v>6338086.2251345105</v>
      </c>
      <c r="R388">
        <f t="shared" si="971"/>
        <v>35519297.862794831</v>
      </c>
      <c r="S388">
        <f t="shared" si="972"/>
        <v>355.19297862794832</v>
      </c>
      <c r="T388">
        <f t="shared" si="973"/>
        <v>0.3551929786279483</v>
      </c>
    </row>
    <row r="389" spans="1:20" x14ac:dyDescent="0.25">
      <c r="A389" s="5">
        <v>44204</v>
      </c>
      <c r="B389">
        <v>8.3540000000000003E-2</v>
      </c>
      <c r="C389">
        <v>8.4750000000000006E-2</v>
      </c>
      <c r="D389">
        <v>7.7450000000000005E-2</v>
      </c>
      <c r="E389">
        <v>8.1640000000000004E-2</v>
      </c>
      <c r="F389">
        <v>10296231.300000001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0.14794520547945172</v>
      </c>
      <c r="Q389">
        <f t="shared" si="970"/>
        <v>1523278.0553424624</v>
      </c>
      <c r="R389">
        <f t="shared" si="971"/>
        <v>29181211.637660321</v>
      </c>
      <c r="S389">
        <f t="shared" si="972"/>
        <v>291.81211637660323</v>
      </c>
      <c r="T389">
        <f t="shared" si="973"/>
        <v>0.2918121163766032</v>
      </c>
    </row>
    <row r="390" spans="1:20" x14ac:dyDescent="0.25">
      <c r="A390" s="5">
        <v>44203</v>
      </c>
      <c r="B390">
        <v>7.5880000000000003E-2</v>
      </c>
      <c r="C390">
        <v>9.0999999999999998E-2</v>
      </c>
      <c r="D390">
        <v>7.4099999999999999E-2</v>
      </c>
      <c r="E390">
        <v>8.3199999999999996E-2</v>
      </c>
      <c r="F390">
        <v>21616154.899999999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7.6923076923076664E-2</v>
      </c>
      <c r="Q390">
        <f t="shared" ref="Q390:Q453" si="975">F390*P390</f>
        <v>1662781.1461538405</v>
      </c>
      <c r="R390">
        <f t="shared" ref="R390:R453" si="976">R391+Q390</f>
        <v>27657933.582317859</v>
      </c>
      <c r="S390">
        <f t="shared" ref="S390:S453" si="977">R390/100000</f>
        <v>276.57933582317861</v>
      </c>
      <c r="T390">
        <f t="shared" ref="T390:T453" si="978">S390/1000</f>
        <v>0.27657933582317862</v>
      </c>
    </row>
    <row r="391" spans="1:20" x14ac:dyDescent="0.25">
      <c r="A391" s="5">
        <v>44202</v>
      </c>
      <c r="B391">
        <v>6.9940000000000002E-2</v>
      </c>
      <c r="C391">
        <v>7.7539999999999998E-2</v>
      </c>
      <c r="D391">
        <v>6.8599999999999994E-2</v>
      </c>
      <c r="E391">
        <v>7.5880000000000003E-2</v>
      </c>
      <c r="F391">
        <v>10498151.199999999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0.6286353467561534</v>
      </c>
      <c r="Q391">
        <f t="shared" si="975"/>
        <v>6599508.9199105278</v>
      </c>
      <c r="R391">
        <f t="shared" si="976"/>
        <v>25995152.436164018</v>
      </c>
      <c r="S391">
        <f t="shared" si="977"/>
        <v>259.95152436164017</v>
      </c>
      <c r="T391">
        <f t="shared" si="978"/>
        <v>0.25995152436164015</v>
      </c>
    </row>
    <row r="392" spans="1:20" x14ac:dyDescent="0.25">
      <c r="A392" s="5">
        <v>44201</v>
      </c>
      <c r="B392">
        <v>6.9860000000000005E-2</v>
      </c>
      <c r="C392">
        <v>7.084E-2</v>
      </c>
      <c r="D392">
        <v>6.6170000000000007E-2</v>
      </c>
      <c r="E392">
        <v>6.9879999999999998E-2</v>
      </c>
      <c r="F392">
        <v>8211078.7999999998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0.58886509635974138</v>
      </c>
      <c r="Q392">
        <f t="shared" si="975"/>
        <v>4835217.7087794291</v>
      </c>
      <c r="R392">
        <f t="shared" si="976"/>
        <v>19395643.51625349</v>
      </c>
      <c r="S392">
        <f t="shared" si="977"/>
        <v>193.95643516253489</v>
      </c>
      <c r="T392">
        <f t="shared" si="978"/>
        <v>0.19395643516253488</v>
      </c>
    </row>
    <row r="393" spans="1:20" x14ac:dyDescent="0.25">
      <c r="A393" s="5">
        <v>44200</v>
      </c>
      <c r="B393">
        <v>6.6430000000000003E-2</v>
      </c>
      <c r="C393">
        <v>7.4310000000000001E-2</v>
      </c>
      <c r="D393">
        <v>6.4100000000000004E-2</v>
      </c>
      <c r="E393">
        <v>7.0000000000000007E-2</v>
      </c>
      <c r="F393">
        <v>15281408.9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0.15572967678746411</v>
      </c>
      <c r="Q393">
        <f t="shared" si="975"/>
        <v>2379768.8688540775</v>
      </c>
      <c r="R393">
        <f t="shared" si="976"/>
        <v>14560425.807474062</v>
      </c>
      <c r="S393">
        <f t="shared" si="977"/>
        <v>145.60425807474061</v>
      </c>
      <c r="T393">
        <f t="shared" si="978"/>
        <v>0.14560425807474062</v>
      </c>
    </row>
    <row r="394" spans="1:20" x14ac:dyDescent="0.25">
      <c r="A394" s="5">
        <v>44199</v>
      </c>
      <c r="B394">
        <v>6.5159999999999996E-2</v>
      </c>
      <c r="C394">
        <v>6.7599999999999993E-2</v>
      </c>
      <c r="D394">
        <v>6.4000000000000001E-2</v>
      </c>
      <c r="E394">
        <v>6.6320000000000004E-2</v>
      </c>
      <c r="F394">
        <v>7454064.7000000002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0.28888888888889319</v>
      </c>
      <c r="Q394">
        <f t="shared" si="975"/>
        <v>2153396.4688889212</v>
      </c>
      <c r="R394">
        <f t="shared" si="976"/>
        <v>12180656.938619984</v>
      </c>
      <c r="S394">
        <f t="shared" si="977"/>
        <v>121.80656938619984</v>
      </c>
      <c r="T394">
        <f t="shared" si="978"/>
        <v>0.12180656938619984</v>
      </c>
    </row>
    <row r="395" spans="1:20" x14ac:dyDescent="0.25">
      <c r="A395" s="5">
        <v>44198</v>
      </c>
      <c r="B395">
        <v>6.6460000000000005E-2</v>
      </c>
      <c r="C395">
        <v>6.7799999999999999E-2</v>
      </c>
      <c r="D395">
        <v>6.4060000000000006E-2</v>
      </c>
      <c r="E395">
        <v>6.5089999999999995E-2</v>
      </c>
      <c r="F395">
        <v>6318446.7999999998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-0.44919786096257158</v>
      </c>
      <c r="Q395">
        <f t="shared" si="975"/>
        <v>-2838232.7871658052</v>
      </c>
      <c r="R395">
        <f t="shared" si="976"/>
        <v>10027260.469731063</v>
      </c>
      <c r="S395">
        <f t="shared" si="977"/>
        <v>100.27260469731063</v>
      </c>
      <c r="T395">
        <f t="shared" si="978"/>
        <v>0.10027260469731063</v>
      </c>
    </row>
    <row r="396" spans="1:20" x14ac:dyDescent="0.25">
      <c r="A396" s="5">
        <v>44197</v>
      </c>
      <c r="B396">
        <v>6.5519999999999995E-2</v>
      </c>
      <c r="C396">
        <v>7.0220000000000005E-2</v>
      </c>
      <c r="D396">
        <v>6.2440000000000002E-2</v>
      </c>
      <c r="E396">
        <v>6.6460000000000005E-2</v>
      </c>
      <c r="F396">
        <v>6894514.9000000004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3.34190231362472E-2</v>
      </c>
      <c r="Q396">
        <f t="shared" si="975"/>
        <v>230407.95295630107</v>
      </c>
      <c r="R396">
        <f t="shared" si="976"/>
        <v>12865493.256896868</v>
      </c>
      <c r="S396">
        <f t="shared" si="977"/>
        <v>128.65493256896869</v>
      </c>
      <c r="T396">
        <f t="shared" si="978"/>
        <v>0.12865493256896868</v>
      </c>
    </row>
    <row r="397" spans="1:20" x14ac:dyDescent="0.25">
      <c r="A397" s="5">
        <v>44196</v>
      </c>
      <c r="B397">
        <v>6.5060000000000007E-2</v>
      </c>
      <c r="C397">
        <v>6.59E-2</v>
      </c>
      <c r="D397">
        <v>6.4000000000000001E-2</v>
      </c>
      <c r="E397">
        <v>6.5229999999999996E-2</v>
      </c>
      <c r="F397">
        <v>3131335.6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0.29473684210525863</v>
      </c>
      <c r="Q397">
        <f t="shared" si="975"/>
        <v>922919.96631577529</v>
      </c>
      <c r="R397">
        <f t="shared" si="976"/>
        <v>12635085.303940568</v>
      </c>
      <c r="S397">
        <f t="shared" si="977"/>
        <v>126.35085303940568</v>
      </c>
      <c r="T397">
        <f t="shared" si="978"/>
        <v>0.12635085303940569</v>
      </c>
    </row>
    <row r="398" spans="1:20" x14ac:dyDescent="0.25">
      <c r="A398" s="5">
        <v>44195</v>
      </c>
      <c r="B398">
        <v>6.5890000000000004E-2</v>
      </c>
      <c r="C398">
        <v>6.6500000000000004E-2</v>
      </c>
      <c r="D398">
        <v>6.3850000000000004E-2</v>
      </c>
      <c r="E398">
        <v>6.5070000000000003E-2</v>
      </c>
      <c r="F398">
        <v>5214179.3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-7.9245283018868642E-2</v>
      </c>
      <c r="Q398">
        <f t="shared" si="975"/>
        <v>-413199.11433962639</v>
      </c>
      <c r="R398">
        <f t="shared" si="976"/>
        <v>11712165.337624792</v>
      </c>
      <c r="S398">
        <f t="shared" si="977"/>
        <v>117.12165337624792</v>
      </c>
      <c r="T398">
        <f t="shared" si="978"/>
        <v>0.11712165337624791</v>
      </c>
    </row>
    <row r="399" spans="1:20" x14ac:dyDescent="0.25">
      <c r="A399" s="5">
        <v>44194</v>
      </c>
      <c r="B399">
        <v>6.7229999999999998E-2</v>
      </c>
      <c r="C399">
        <v>6.7970000000000003E-2</v>
      </c>
      <c r="D399">
        <v>6.2590000000000007E-2</v>
      </c>
      <c r="E399">
        <v>6.6009999999999999E-2</v>
      </c>
      <c r="F399">
        <v>9164361.1999999993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0.27137546468401302</v>
      </c>
      <c r="Q399">
        <f t="shared" si="975"/>
        <v>2486982.7791821389</v>
      </c>
      <c r="R399">
        <f t="shared" si="976"/>
        <v>12125364.451964419</v>
      </c>
      <c r="S399">
        <f t="shared" si="977"/>
        <v>121.2536445196442</v>
      </c>
      <c r="T399">
        <f t="shared" si="978"/>
        <v>0.1212536445196442</v>
      </c>
    </row>
    <row r="400" spans="1:20" x14ac:dyDescent="0.25">
      <c r="A400" s="5">
        <v>44193</v>
      </c>
      <c r="B400">
        <v>6.651E-2</v>
      </c>
      <c r="C400">
        <v>7.0000000000000007E-2</v>
      </c>
      <c r="D400">
        <v>6.6350000000000006E-2</v>
      </c>
      <c r="E400">
        <v>6.7229999999999998E-2</v>
      </c>
      <c r="F400">
        <v>4574769.8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-0.51780821917808673</v>
      </c>
      <c r="Q400">
        <f t="shared" si="975"/>
        <v>-2368853.403287692</v>
      </c>
      <c r="R400">
        <f t="shared" si="976"/>
        <v>9638381.6727822814</v>
      </c>
      <c r="S400">
        <f t="shared" si="977"/>
        <v>96.383816727822818</v>
      </c>
      <c r="T400">
        <f t="shared" si="978"/>
        <v>9.6383816727822813E-2</v>
      </c>
    </row>
    <row r="401" spans="1:20" x14ac:dyDescent="0.25">
      <c r="A401" s="5">
        <v>44192</v>
      </c>
      <c r="B401">
        <v>6.8379999999999996E-2</v>
      </c>
      <c r="C401">
        <v>6.9190000000000002E-2</v>
      </c>
      <c r="D401">
        <v>6.3149999999999998E-2</v>
      </c>
      <c r="E401">
        <v>6.6420000000000007E-2</v>
      </c>
      <c r="F401">
        <v>7387323.5999999996</v>
      </c>
      <c r="G401">
        <v>0</v>
      </c>
      <c r="L401" t="s">
        <v>8</v>
      </c>
      <c r="M401" t="s">
        <v>7</v>
      </c>
      <c r="N401" t="s">
        <v>7</v>
      </c>
      <c r="P401">
        <f t="shared" si="974"/>
        <v>8.2781456953644708E-2</v>
      </c>
      <c r="Q401">
        <f t="shared" si="975"/>
        <v>611533.41059604357</v>
      </c>
      <c r="R401">
        <f t="shared" si="976"/>
        <v>12007235.076069973</v>
      </c>
      <c r="S401">
        <f t="shared" si="977"/>
        <v>120.07235076069973</v>
      </c>
      <c r="T401">
        <f t="shared" si="978"/>
        <v>0.12007235076069973</v>
      </c>
    </row>
    <row r="402" spans="1:20" x14ac:dyDescent="0.25">
      <c r="A402" s="5">
        <v>44191</v>
      </c>
      <c r="B402">
        <v>6.9199999999999998E-2</v>
      </c>
      <c r="C402">
        <v>7.0949999999999999E-2</v>
      </c>
      <c r="D402">
        <v>6.232E-2</v>
      </c>
      <c r="E402">
        <v>6.8309999999999996E-2</v>
      </c>
      <c r="F402">
        <v>3680199.6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0.38818076477404312</v>
      </c>
      <c r="Q402">
        <f t="shared" si="975"/>
        <v>1428582.6952491277</v>
      </c>
      <c r="R402">
        <f t="shared" si="976"/>
        <v>11395701.665473931</v>
      </c>
      <c r="S402">
        <f t="shared" si="977"/>
        <v>113.95701665473931</v>
      </c>
      <c r="T402">
        <f t="shared" si="978"/>
        <v>0.11395701665473931</v>
      </c>
    </row>
    <row r="403" spans="1:20" x14ac:dyDescent="0.25">
      <c r="A403" s="5">
        <v>44190</v>
      </c>
      <c r="B403">
        <v>6.9500000000000006E-2</v>
      </c>
      <c r="C403">
        <v>7.1999999999999995E-2</v>
      </c>
      <c r="D403">
        <v>6.7000000000000004E-2</v>
      </c>
      <c r="E403">
        <v>6.9169999999999995E-2</v>
      </c>
      <c r="F403">
        <v>3575803.7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-0.13200000000000181</v>
      </c>
      <c r="Q403">
        <f t="shared" si="975"/>
        <v>-472006.08840000653</v>
      </c>
      <c r="R403">
        <f t="shared" si="976"/>
        <v>9967118.9702248033</v>
      </c>
      <c r="S403">
        <f t="shared" si="977"/>
        <v>99.671189702248029</v>
      </c>
      <c r="T403">
        <f t="shared" si="978"/>
        <v>9.9671189702248031E-2</v>
      </c>
    </row>
    <row r="404" spans="1:20" x14ac:dyDescent="0.25">
      <c r="A404" s="5">
        <v>44189</v>
      </c>
      <c r="B404">
        <v>6.5259999999999999E-2</v>
      </c>
      <c r="C404">
        <v>7.0519999999999999E-2</v>
      </c>
      <c r="D404">
        <v>6.3310000000000005E-2</v>
      </c>
      <c r="E404">
        <v>6.9199999999999998E-2</v>
      </c>
      <c r="F404">
        <v>5002509.9000000004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0.63384188626907001</v>
      </c>
      <c r="Q404">
        <f t="shared" si="975"/>
        <v>3170800.3110956969</v>
      </c>
      <c r="R404">
        <f t="shared" si="976"/>
        <v>10439125.05862481</v>
      </c>
      <c r="S404">
        <f t="shared" si="977"/>
        <v>104.39125058624809</v>
      </c>
      <c r="T404">
        <f t="shared" si="978"/>
        <v>0.1043912505862481</v>
      </c>
    </row>
    <row r="405" spans="1:20" x14ac:dyDescent="0.25">
      <c r="A405" s="5">
        <v>44188</v>
      </c>
      <c r="B405">
        <v>7.4550000000000005E-2</v>
      </c>
      <c r="C405">
        <v>7.4980000000000005E-2</v>
      </c>
      <c r="D405">
        <v>6.4350000000000004E-2</v>
      </c>
      <c r="E405">
        <v>6.5479999999999997E-2</v>
      </c>
      <c r="F405">
        <v>8128849.2999999998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-0.78739416745061297</v>
      </c>
      <c r="Q405">
        <f t="shared" si="975"/>
        <v>-6400608.5269049974</v>
      </c>
      <c r="R405">
        <f t="shared" si="976"/>
        <v>7268324.7475291127</v>
      </c>
      <c r="S405">
        <f t="shared" si="977"/>
        <v>72.683247475291125</v>
      </c>
      <c r="T405">
        <f t="shared" si="978"/>
        <v>7.2683247475291118E-2</v>
      </c>
    </row>
    <row r="406" spans="1:20" x14ac:dyDescent="0.25">
      <c r="A406" s="5">
        <v>44187</v>
      </c>
      <c r="B406">
        <v>7.5359999999999996E-2</v>
      </c>
      <c r="C406">
        <v>7.6999999999999999E-2</v>
      </c>
      <c r="D406">
        <v>7.2440000000000004E-2</v>
      </c>
      <c r="E406">
        <v>7.424E-2</v>
      </c>
      <c r="F406">
        <v>5120860.2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-0.21052631578947448</v>
      </c>
      <c r="Q406">
        <f t="shared" si="975"/>
        <v>-1078075.8315789516</v>
      </c>
      <c r="R406">
        <f t="shared" si="976"/>
        <v>13668933.27443411</v>
      </c>
      <c r="S406">
        <f t="shared" si="977"/>
        <v>136.6893327443411</v>
      </c>
      <c r="T406">
        <f t="shared" si="978"/>
        <v>0.13668933274434111</v>
      </c>
    </row>
    <row r="407" spans="1:20" x14ac:dyDescent="0.25">
      <c r="A407" s="5">
        <v>44186</v>
      </c>
      <c r="B407">
        <v>7.5469999999999995E-2</v>
      </c>
      <c r="C407">
        <v>7.7170000000000002E-2</v>
      </c>
      <c r="D407">
        <v>7.1999999999999995E-2</v>
      </c>
      <c r="E407">
        <v>7.5300000000000006E-2</v>
      </c>
      <c r="F407">
        <v>4497691.0999999996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0.27659574468085346</v>
      </c>
      <c r="Q407">
        <f t="shared" si="975"/>
        <v>1244042.2191489469</v>
      </c>
      <c r="R407">
        <f t="shared" si="976"/>
        <v>14747009.106013061</v>
      </c>
      <c r="S407">
        <f t="shared" si="977"/>
        <v>147.47009106013061</v>
      </c>
      <c r="T407">
        <f t="shared" si="978"/>
        <v>0.14747009106013062</v>
      </c>
    </row>
    <row r="408" spans="1:20" x14ac:dyDescent="0.25">
      <c r="A408" s="5">
        <v>44185</v>
      </c>
      <c r="B408">
        <v>7.8030000000000002E-2</v>
      </c>
      <c r="C408">
        <v>7.9299999999999995E-2</v>
      </c>
      <c r="D408">
        <v>7.3999999999999996E-2</v>
      </c>
      <c r="E408">
        <v>7.5579999999999994E-2</v>
      </c>
      <c r="F408">
        <v>5954372.9000000004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-0.40377358490566101</v>
      </c>
      <c r="Q408">
        <f t="shared" si="975"/>
        <v>-2404218.491698117</v>
      </c>
      <c r="R408">
        <f t="shared" si="976"/>
        <v>13502966.886864115</v>
      </c>
      <c r="S408">
        <f t="shared" si="977"/>
        <v>135.02966886864115</v>
      </c>
      <c r="T408">
        <f t="shared" si="978"/>
        <v>0.13502966886864115</v>
      </c>
    </row>
    <row r="409" spans="1:20" x14ac:dyDescent="0.25">
      <c r="A409" s="5">
        <v>44184</v>
      </c>
      <c r="B409">
        <v>7.7740000000000004E-2</v>
      </c>
      <c r="C409">
        <v>7.9719999999999999E-2</v>
      </c>
      <c r="D409">
        <v>7.6600000000000001E-2</v>
      </c>
      <c r="E409">
        <v>7.8079999999999997E-2</v>
      </c>
      <c r="F409">
        <v>7054352.4000000004</v>
      </c>
      <c r="G409">
        <v>0</v>
      </c>
      <c r="L409" t="s">
        <v>8</v>
      </c>
      <c r="M409" t="s">
        <v>7</v>
      </c>
      <c r="N409" t="s">
        <v>8</v>
      </c>
      <c r="P409">
        <f t="shared" si="974"/>
        <v>-5.1282051282053674E-2</v>
      </c>
      <c r="Q409">
        <f t="shared" si="975"/>
        <v>-361761.66153847845</v>
      </c>
      <c r="R409">
        <f t="shared" si="976"/>
        <v>15907185.378562232</v>
      </c>
      <c r="S409">
        <f t="shared" si="977"/>
        <v>159.07185378562232</v>
      </c>
      <c r="T409">
        <f t="shared" si="978"/>
        <v>0.15907185378562233</v>
      </c>
    </row>
    <row r="410" spans="1:20" x14ac:dyDescent="0.25">
      <c r="A410" s="5">
        <v>44183</v>
      </c>
      <c r="B410">
        <v>7.5829999999999995E-2</v>
      </c>
      <c r="C410">
        <v>7.8E-2</v>
      </c>
      <c r="D410">
        <v>7.3999999999999996E-2</v>
      </c>
      <c r="E410">
        <v>7.7740000000000004E-2</v>
      </c>
      <c r="F410">
        <v>4844912.4000000004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0.87000000000000199</v>
      </c>
      <c r="Q410">
        <f t="shared" si="975"/>
        <v>4215073.78800001</v>
      </c>
      <c r="R410">
        <f t="shared" si="976"/>
        <v>16268947.04010071</v>
      </c>
      <c r="S410">
        <f t="shared" si="977"/>
        <v>162.6894704010071</v>
      </c>
      <c r="T410">
        <f t="shared" si="978"/>
        <v>0.16268947040100709</v>
      </c>
    </row>
    <row r="411" spans="1:20" x14ac:dyDescent="0.25">
      <c r="A411" s="5">
        <v>44182</v>
      </c>
      <c r="B411">
        <v>7.8329999999999997E-2</v>
      </c>
      <c r="C411">
        <v>7.9589999999999994E-2</v>
      </c>
      <c r="D411">
        <v>7.4999999999999997E-2</v>
      </c>
      <c r="E411">
        <v>7.6240000000000002E-2</v>
      </c>
      <c r="F411">
        <v>6532511.2000000002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-0.45969498910675127</v>
      </c>
      <c r="Q411">
        <f t="shared" si="975"/>
        <v>-3002962.6649237308</v>
      </c>
      <c r="R411">
        <f t="shared" si="976"/>
        <v>12053873.252100701</v>
      </c>
      <c r="S411">
        <f t="shared" si="977"/>
        <v>120.53873252100701</v>
      </c>
      <c r="T411">
        <f t="shared" si="978"/>
        <v>0.12053873252100701</v>
      </c>
    </row>
    <row r="412" spans="1:20" x14ac:dyDescent="0.25">
      <c r="A412" s="5">
        <v>44181</v>
      </c>
      <c r="B412">
        <v>7.8200000000000006E-2</v>
      </c>
      <c r="C412">
        <v>0.08</v>
      </c>
      <c r="D412">
        <v>7.5609999999999997E-2</v>
      </c>
      <c r="E412">
        <v>7.8340000000000007E-2</v>
      </c>
      <c r="F412">
        <v>6896384.7999999998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0.24373576309795311</v>
      </c>
      <c r="Q412">
        <f t="shared" si="975"/>
        <v>1680895.6118451247</v>
      </c>
      <c r="R412">
        <f t="shared" si="976"/>
        <v>15056835.917024432</v>
      </c>
      <c r="S412">
        <f t="shared" si="977"/>
        <v>150.56835917024432</v>
      </c>
      <c r="T412">
        <f t="shared" si="978"/>
        <v>0.15056835917024433</v>
      </c>
    </row>
    <row r="413" spans="1:20" x14ac:dyDescent="0.25">
      <c r="A413" s="5">
        <v>44180</v>
      </c>
      <c r="B413">
        <v>7.3980000000000004E-2</v>
      </c>
      <c r="C413">
        <v>8.3000000000000004E-2</v>
      </c>
      <c r="D413">
        <v>7.3029999999999998E-2</v>
      </c>
      <c r="E413">
        <v>7.8200000000000006E-2</v>
      </c>
      <c r="F413">
        <v>12378110.4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3.7111334002006918E-2</v>
      </c>
      <c r="Q413">
        <f t="shared" si="975"/>
        <v>459368.18936811545</v>
      </c>
      <c r="R413">
        <f t="shared" si="976"/>
        <v>13375940.305179307</v>
      </c>
      <c r="S413">
        <f t="shared" si="977"/>
        <v>133.75940305179307</v>
      </c>
      <c r="T413">
        <f t="shared" si="978"/>
        <v>0.13375940305179307</v>
      </c>
    </row>
    <row r="414" spans="1:20" x14ac:dyDescent="0.25">
      <c r="A414" s="5">
        <v>44179</v>
      </c>
      <c r="B414">
        <v>7.492E-2</v>
      </c>
      <c r="C414">
        <v>7.492E-2</v>
      </c>
      <c r="D414">
        <v>7.3300000000000004E-2</v>
      </c>
      <c r="E414">
        <v>7.3810000000000001E-2</v>
      </c>
      <c r="F414">
        <v>2074845.5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-0.37037037037037324</v>
      </c>
      <c r="Q414">
        <f t="shared" si="975"/>
        <v>-768461.29629630223</v>
      </c>
      <c r="R414">
        <f t="shared" si="976"/>
        <v>12916572.115811191</v>
      </c>
      <c r="S414">
        <f t="shared" si="977"/>
        <v>129.16572115811192</v>
      </c>
      <c r="T414">
        <f t="shared" si="978"/>
        <v>0.12916572115811192</v>
      </c>
    </row>
    <row r="415" spans="1:20" x14ac:dyDescent="0.25">
      <c r="A415" s="5">
        <v>44178</v>
      </c>
      <c r="B415">
        <v>7.2900000000000006E-2</v>
      </c>
      <c r="C415">
        <v>7.5499999999999998E-2</v>
      </c>
      <c r="D415">
        <v>7.2529999999999997E-2</v>
      </c>
      <c r="E415">
        <v>7.4950000000000003E-2</v>
      </c>
      <c r="F415">
        <v>2704753.3</v>
      </c>
      <c r="G415">
        <v>0</v>
      </c>
      <c r="L415" t="s">
        <v>7</v>
      </c>
      <c r="M415" t="s">
        <v>7</v>
      </c>
      <c r="N415" t="s">
        <v>8</v>
      </c>
      <c r="P415">
        <f t="shared" si="974"/>
        <v>0.62962962962963309</v>
      </c>
      <c r="Q415">
        <f t="shared" si="975"/>
        <v>1702992.8185185278</v>
      </c>
      <c r="R415">
        <f t="shared" si="976"/>
        <v>13685033.412107494</v>
      </c>
      <c r="S415">
        <f t="shared" si="977"/>
        <v>136.85033412107495</v>
      </c>
      <c r="T415">
        <f t="shared" si="978"/>
        <v>0.13685033412107495</v>
      </c>
    </row>
    <row r="416" spans="1:20" x14ac:dyDescent="0.25">
      <c r="A416" s="5">
        <v>44177</v>
      </c>
      <c r="B416">
        <v>7.2779999999999997E-2</v>
      </c>
      <c r="C416">
        <v>7.4899999999999994E-2</v>
      </c>
      <c r="D416">
        <v>7.1800000000000003E-2</v>
      </c>
      <c r="E416">
        <v>7.2859999999999994E-2</v>
      </c>
      <c r="F416">
        <v>5789126.5</v>
      </c>
      <c r="G416">
        <v>0</v>
      </c>
      <c r="L416" t="s">
        <v>7</v>
      </c>
      <c r="M416" t="s">
        <v>7</v>
      </c>
      <c r="N416" t="s">
        <v>8</v>
      </c>
      <c r="P416">
        <f t="shared" si="974"/>
        <v>-0.31612903225806815</v>
      </c>
      <c r="Q416">
        <f t="shared" si="975"/>
        <v>-1830110.9580645373</v>
      </c>
      <c r="R416">
        <f t="shared" si="976"/>
        <v>11982040.593588965</v>
      </c>
      <c r="S416">
        <f t="shared" si="977"/>
        <v>119.82040593588965</v>
      </c>
      <c r="T416">
        <f t="shared" si="978"/>
        <v>0.11982040593588965</v>
      </c>
    </row>
    <row r="417" spans="1:20" x14ac:dyDescent="0.25">
      <c r="A417" s="5">
        <v>44176</v>
      </c>
      <c r="B417">
        <v>7.5009999999999993E-2</v>
      </c>
      <c r="C417">
        <v>7.5120000000000006E-2</v>
      </c>
      <c r="D417">
        <v>7.1300000000000002E-2</v>
      </c>
      <c r="E417">
        <v>7.2789999999999994E-2</v>
      </c>
      <c r="F417">
        <v>2815888.8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-0.21989528795812052</v>
      </c>
      <c r="Q417">
        <f t="shared" si="975"/>
        <v>-619200.6785340464</v>
      </c>
      <c r="R417">
        <f t="shared" si="976"/>
        <v>13812151.551653503</v>
      </c>
      <c r="S417">
        <f t="shared" si="977"/>
        <v>138.12151551653503</v>
      </c>
      <c r="T417">
        <f t="shared" si="978"/>
        <v>0.13812151551653504</v>
      </c>
    </row>
    <row r="418" spans="1:20" x14ac:dyDescent="0.25">
      <c r="A418" s="5">
        <v>44175</v>
      </c>
      <c r="B418">
        <v>7.5740000000000002E-2</v>
      </c>
      <c r="C418">
        <v>7.6600000000000001E-2</v>
      </c>
      <c r="D418">
        <v>7.2609999999999994E-2</v>
      </c>
      <c r="E418">
        <v>7.5459999999999999E-2</v>
      </c>
      <c r="F418">
        <v>3149331.7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0.42857142857142855</v>
      </c>
      <c r="Q418">
        <f t="shared" si="975"/>
        <v>1349713.5857142857</v>
      </c>
      <c r="R418">
        <f t="shared" si="976"/>
        <v>14431352.230187548</v>
      </c>
      <c r="S418">
        <f t="shared" si="977"/>
        <v>144.31352230187548</v>
      </c>
      <c r="T418">
        <f t="shared" si="978"/>
        <v>0.14431352230187547</v>
      </c>
    </row>
    <row r="419" spans="1:20" x14ac:dyDescent="0.25">
      <c r="A419" s="5">
        <v>44174</v>
      </c>
      <c r="B419">
        <v>7.3899999999999993E-2</v>
      </c>
      <c r="C419">
        <v>7.6380000000000003E-2</v>
      </c>
      <c r="D419">
        <v>6.9629999999999997E-2</v>
      </c>
      <c r="E419">
        <v>7.5749999999999998E-2</v>
      </c>
      <c r="F419">
        <v>6560515.9000000004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0.8133333333333318</v>
      </c>
      <c r="Q419">
        <f t="shared" si="975"/>
        <v>5335886.2653333237</v>
      </c>
      <c r="R419">
        <f t="shared" si="976"/>
        <v>13081638.644473262</v>
      </c>
      <c r="S419">
        <f t="shared" si="977"/>
        <v>130.81638644473261</v>
      </c>
      <c r="T419">
        <f t="shared" si="978"/>
        <v>0.13081638644473262</v>
      </c>
    </row>
    <row r="420" spans="1:20" x14ac:dyDescent="0.25">
      <c r="A420" s="5">
        <v>44173</v>
      </c>
      <c r="B420">
        <v>7.8589999999999993E-2</v>
      </c>
      <c r="C420">
        <v>7.9949999999999993E-2</v>
      </c>
      <c r="D420">
        <v>7.2550000000000003E-2</v>
      </c>
      <c r="E420">
        <v>7.3899999999999993E-2</v>
      </c>
      <c r="F420">
        <v>5818038.4000000004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-0.63513513513513731</v>
      </c>
      <c r="Q420">
        <f t="shared" si="975"/>
        <v>-3695240.6054054182</v>
      </c>
      <c r="R420">
        <f t="shared" si="976"/>
        <v>7745752.3791399393</v>
      </c>
      <c r="S420">
        <f t="shared" si="977"/>
        <v>77.457523791399396</v>
      </c>
      <c r="T420">
        <f t="shared" si="978"/>
        <v>7.7457523791399391E-2</v>
      </c>
    </row>
    <row r="421" spans="1:20" x14ac:dyDescent="0.25">
      <c r="A421" s="5">
        <v>44172</v>
      </c>
      <c r="B421">
        <v>7.9310000000000005E-2</v>
      </c>
      <c r="C421">
        <v>7.9329999999999998E-2</v>
      </c>
      <c r="D421">
        <v>7.7359999999999998E-2</v>
      </c>
      <c r="E421">
        <v>7.8570000000000001E-2</v>
      </c>
      <c r="F421">
        <v>1924441.9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0.22842639593908937</v>
      </c>
      <c r="Q421">
        <f t="shared" si="975"/>
        <v>439593.32741117338</v>
      </c>
      <c r="R421">
        <f t="shared" si="976"/>
        <v>11440992.984545358</v>
      </c>
      <c r="S421">
        <f t="shared" si="977"/>
        <v>114.40992984545358</v>
      </c>
      <c r="T421">
        <f t="shared" si="978"/>
        <v>0.11440992984545358</v>
      </c>
    </row>
    <row r="422" spans="1:20" x14ac:dyDescent="0.25">
      <c r="A422" s="5">
        <v>44171</v>
      </c>
      <c r="B422">
        <v>7.9259999999999997E-2</v>
      </c>
      <c r="C422">
        <v>7.9949999999999993E-2</v>
      </c>
      <c r="D422">
        <v>7.7479999999999993E-2</v>
      </c>
      <c r="E422">
        <v>7.9289999999999999E-2</v>
      </c>
      <c r="F422">
        <v>1706870.8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0.46558704453441785</v>
      </c>
      <c r="Q422">
        <f t="shared" si="975"/>
        <v>794696.93117409747</v>
      </c>
      <c r="R422">
        <f t="shared" si="976"/>
        <v>11001399.657134185</v>
      </c>
      <c r="S422">
        <f t="shared" si="977"/>
        <v>110.01399657134185</v>
      </c>
      <c r="T422">
        <f t="shared" si="978"/>
        <v>0.11001399657134185</v>
      </c>
    </row>
    <row r="423" spans="1:20" x14ac:dyDescent="0.25">
      <c r="A423" s="5">
        <v>44170</v>
      </c>
      <c r="B423">
        <v>7.7160000000000006E-2</v>
      </c>
      <c r="C423">
        <v>0.08</v>
      </c>
      <c r="D423">
        <v>7.6200000000000004E-2</v>
      </c>
      <c r="E423">
        <v>7.9259999999999997E-2</v>
      </c>
      <c r="F423">
        <v>2371830.1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0.61052631578947103</v>
      </c>
      <c r="Q423">
        <f t="shared" si="975"/>
        <v>1448064.6926315727</v>
      </c>
      <c r="R423">
        <f t="shared" si="976"/>
        <v>10206702.725960087</v>
      </c>
      <c r="S423">
        <f t="shared" si="977"/>
        <v>102.06702725960088</v>
      </c>
      <c r="T423">
        <f t="shared" si="978"/>
        <v>0.10206702725960087</v>
      </c>
    </row>
    <row r="424" spans="1:20" x14ac:dyDescent="0.25">
      <c r="A424" s="5">
        <v>44169</v>
      </c>
      <c r="B424">
        <v>8.1000000000000003E-2</v>
      </c>
      <c r="C424">
        <v>8.1119999999999998E-2</v>
      </c>
      <c r="D424">
        <v>7.6590000000000005E-2</v>
      </c>
      <c r="E424">
        <v>7.7229999999999993E-2</v>
      </c>
      <c r="F424">
        <v>3680182.5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-0.71743929359823888</v>
      </c>
      <c r="Q424">
        <f t="shared" si="975"/>
        <v>-2640307.5331126009</v>
      </c>
      <c r="R424">
        <f t="shared" si="976"/>
        <v>8758638.0333285145</v>
      </c>
      <c r="S424">
        <f t="shared" si="977"/>
        <v>87.586380333285149</v>
      </c>
      <c r="T424">
        <f t="shared" si="978"/>
        <v>8.7586380333285155E-2</v>
      </c>
    </row>
    <row r="425" spans="1:20" x14ac:dyDescent="0.25">
      <c r="A425" s="5">
        <v>44168</v>
      </c>
      <c r="B425">
        <v>7.9909999999999995E-2</v>
      </c>
      <c r="C425">
        <v>8.1269999999999995E-2</v>
      </c>
      <c r="D425">
        <v>7.8770000000000007E-2</v>
      </c>
      <c r="E425">
        <v>8.0979999999999996E-2</v>
      </c>
      <c r="F425">
        <v>3877068.6</v>
      </c>
      <c r="G425">
        <v>0</v>
      </c>
      <c r="L425" t="s">
        <v>7</v>
      </c>
      <c r="M425" t="s">
        <v>7</v>
      </c>
      <c r="N425" t="s">
        <v>8</v>
      </c>
      <c r="P425">
        <f t="shared" si="974"/>
        <v>0.76800000000000002</v>
      </c>
      <c r="Q425">
        <f t="shared" si="975"/>
        <v>2977588.6847999999</v>
      </c>
      <c r="R425">
        <f t="shared" si="976"/>
        <v>11398945.566441115</v>
      </c>
      <c r="S425">
        <f t="shared" si="977"/>
        <v>113.98945566441115</v>
      </c>
      <c r="T425">
        <f t="shared" si="978"/>
        <v>0.11398945566441115</v>
      </c>
    </row>
    <row r="426" spans="1:20" x14ac:dyDescent="0.25">
      <c r="A426" s="5">
        <v>44167</v>
      </c>
      <c r="B426">
        <v>7.8090000000000007E-2</v>
      </c>
      <c r="C426">
        <v>8.1159999999999996E-2</v>
      </c>
      <c r="D426">
        <v>7.7630000000000005E-2</v>
      </c>
      <c r="E426">
        <v>8.0110000000000001E-2</v>
      </c>
      <c r="F426">
        <v>4857312.9000000004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0.40509915014164422</v>
      </c>
      <c r="Q426">
        <f t="shared" si="975"/>
        <v>1967693.3277620454</v>
      </c>
      <c r="R426">
        <f t="shared" si="976"/>
        <v>8421356.881641116</v>
      </c>
      <c r="S426">
        <f t="shared" si="977"/>
        <v>84.213568816411154</v>
      </c>
      <c r="T426">
        <f t="shared" si="978"/>
        <v>8.421356881641115E-2</v>
      </c>
    </row>
    <row r="427" spans="1:20" x14ac:dyDescent="0.25">
      <c r="A427" s="5">
        <v>44166</v>
      </c>
      <c r="B427">
        <v>8.1409999999999996E-2</v>
      </c>
      <c r="C427">
        <v>8.2949999999999996E-2</v>
      </c>
      <c r="D427">
        <v>7.7030000000000001E-2</v>
      </c>
      <c r="E427">
        <v>7.8469999999999998E-2</v>
      </c>
      <c r="F427">
        <v>5841623.2000000002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-0.51351351351351415</v>
      </c>
      <c r="Q427">
        <f t="shared" si="975"/>
        <v>-2999752.4540540581</v>
      </c>
      <c r="R427">
        <f t="shared" si="976"/>
        <v>6453663.553879071</v>
      </c>
      <c r="S427">
        <f t="shared" si="977"/>
        <v>64.536635538790705</v>
      </c>
      <c r="T427">
        <f t="shared" si="978"/>
        <v>6.4536635538790701E-2</v>
      </c>
    </row>
    <row r="428" spans="1:20" x14ac:dyDescent="0.25">
      <c r="A428" s="5">
        <v>44165</v>
      </c>
      <c r="B428">
        <v>7.8340000000000007E-2</v>
      </c>
      <c r="C428">
        <v>8.2589999999999997E-2</v>
      </c>
      <c r="D428">
        <v>7.7469999999999997E-2</v>
      </c>
      <c r="E428">
        <v>8.158E-2</v>
      </c>
      <c r="F428">
        <v>7180618.5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0.60546875000000111</v>
      </c>
      <c r="Q428">
        <f t="shared" si="975"/>
        <v>4347640.1074218834</v>
      </c>
      <c r="R428">
        <f t="shared" si="976"/>
        <v>9453416.0079331286</v>
      </c>
      <c r="S428">
        <f t="shared" si="977"/>
        <v>94.534160079331286</v>
      </c>
      <c r="T428">
        <f t="shared" si="978"/>
        <v>9.4534160079331284E-2</v>
      </c>
    </row>
    <row r="429" spans="1:20" x14ac:dyDescent="0.25">
      <c r="A429" s="5">
        <v>44164</v>
      </c>
      <c r="B429">
        <v>7.8359999999999999E-2</v>
      </c>
      <c r="C429">
        <v>7.9469999999999999E-2</v>
      </c>
      <c r="D429">
        <v>7.6499999999999999E-2</v>
      </c>
      <c r="E429">
        <v>7.8450000000000006E-2</v>
      </c>
      <c r="F429">
        <v>4303192.5999999996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0.31313131313131787</v>
      </c>
      <c r="Q429">
        <f t="shared" si="975"/>
        <v>1347464.3494949697</v>
      </c>
      <c r="R429">
        <f t="shared" si="976"/>
        <v>5105775.9005112462</v>
      </c>
      <c r="S429">
        <f t="shared" si="977"/>
        <v>51.057759005112459</v>
      </c>
      <c r="T429">
        <f t="shared" si="978"/>
        <v>5.105775900511246E-2</v>
      </c>
    </row>
    <row r="430" spans="1:20" x14ac:dyDescent="0.25">
      <c r="A430" s="5">
        <v>44163</v>
      </c>
      <c r="B430">
        <v>7.9500000000000001E-2</v>
      </c>
      <c r="C430">
        <v>0.08</v>
      </c>
      <c r="D430">
        <v>7.6759999999999995E-2</v>
      </c>
      <c r="E430">
        <v>7.8219999999999998E-2</v>
      </c>
      <c r="F430">
        <v>4549676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-9.8765432098765482E-2</v>
      </c>
      <c r="Q430">
        <f t="shared" si="975"/>
        <v>-449350.71604938293</v>
      </c>
      <c r="R430">
        <f t="shared" si="976"/>
        <v>3758311.5510162762</v>
      </c>
      <c r="S430">
        <f t="shared" si="977"/>
        <v>37.583115510162763</v>
      </c>
      <c r="T430">
        <f t="shared" si="978"/>
        <v>3.758311551016276E-2</v>
      </c>
    </row>
    <row r="431" spans="1:20" x14ac:dyDescent="0.25">
      <c r="A431" s="5">
        <v>44162</v>
      </c>
      <c r="B431">
        <v>7.8289999999999998E-2</v>
      </c>
      <c r="C431">
        <v>0.08</v>
      </c>
      <c r="D431">
        <v>7.4999999999999997E-2</v>
      </c>
      <c r="E431">
        <v>7.9500000000000001E-2</v>
      </c>
      <c r="F431">
        <v>5288993.2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0.8</v>
      </c>
      <c r="Q431">
        <f t="shared" si="975"/>
        <v>4231194.5600000005</v>
      </c>
      <c r="R431">
        <f t="shared" si="976"/>
        <v>4207662.2670656592</v>
      </c>
      <c r="S431">
        <f t="shared" si="977"/>
        <v>42.07662267065659</v>
      </c>
      <c r="T431">
        <f t="shared" si="978"/>
        <v>4.2076622670656587E-2</v>
      </c>
    </row>
    <row r="432" spans="1:20" x14ac:dyDescent="0.25">
      <c r="A432" s="5">
        <v>44161</v>
      </c>
      <c r="B432">
        <v>8.8099999999999998E-2</v>
      </c>
      <c r="C432">
        <v>8.9929999999999996E-2</v>
      </c>
      <c r="D432">
        <v>7.0999999999999994E-2</v>
      </c>
      <c r="E432">
        <v>7.7899999999999997E-2</v>
      </c>
      <c r="F432">
        <v>15248420.800000001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-0.27099841521394585</v>
      </c>
      <c r="Q432">
        <f t="shared" si="975"/>
        <v>-4132297.8713153685</v>
      </c>
      <c r="R432">
        <f t="shared" si="976"/>
        <v>-23532.292934341356</v>
      </c>
      <c r="S432">
        <f t="shared" si="977"/>
        <v>-0.23532292934341356</v>
      </c>
      <c r="T432">
        <f t="shared" si="978"/>
        <v>-2.3532292934341355E-4</v>
      </c>
    </row>
    <row r="433" spans="1:20" x14ac:dyDescent="0.25">
      <c r="A433" s="5">
        <v>44160</v>
      </c>
      <c r="B433">
        <v>8.6499999999999994E-2</v>
      </c>
      <c r="C433">
        <v>9.3880000000000005E-2</v>
      </c>
      <c r="D433">
        <v>8.5000000000000006E-2</v>
      </c>
      <c r="E433">
        <v>8.8179999999999994E-2</v>
      </c>
      <c r="F433">
        <v>21817810.399999999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-0.28378378378378633</v>
      </c>
      <c r="Q433">
        <f t="shared" si="975"/>
        <v>-6191540.7891892446</v>
      </c>
      <c r="R433">
        <f t="shared" si="976"/>
        <v>4108765.5783810271</v>
      </c>
      <c r="S433">
        <f t="shared" si="977"/>
        <v>41.08765578381027</v>
      </c>
      <c r="T433">
        <f t="shared" si="978"/>
        <v>4.1087655783810267E-2</v>
      </c>
    </row>
    <row r="434" spans="1:20" x14ac:dyDescent="0.25">
      <c r="A434" s="5">
        <v>44159</v>
      </c>
      <c r="B434">
        <v>8.344E-2</v>
      </c>
      <c r="C434">
        <v>8.8800000000000004E-2</v>
      </c>
      <c r="D434">
        <v>8.2369999999999999E-2</v>
      </c>
      <c r="E434">
        <v>8.6499999999999994E-2</v>
      </c>
      <c r="F434">
        <v>17213769.600000001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0.28460342146189471</v>
      </c>
      <c r="Q434">
        <f t="shared" si="975"/>
        <v>4899097.7244167514</v>
      </c>
      <c r="R434">
        <f t="shared" si="976"/>
        <v>10300306.367570272</v>
      </c>
      <c r="S434">
        <f t="shared" si="977"/>
        <v>103.00306367570272</v>
      </c>
      <c r="T434">
        <f t="shared" si="978"/>
        <v>0.10300306367570272</v>
      </c>
    </row>
    <row r="435" spans="1:20" x14ac:dyDescent="0.25">
      <c r="A435" s="5">
        <v>44158</v>
      </c>
      <c r="B435">
        <v>7.9820000000000002E-2</v>
      </c>
      <c r="C435">
        <v>8.4279999999999994E-2</v>
      </c>
      <c r="D435">
        <v>7.8E-2</v>
      </c>
      <c r="E435">
        <v>8.3640000000000006E-2</v>
      </c>
      <c r="F435">
        <v>9679535.9000000004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0.79617834394904829</v>
      </c>
      <c r="Q435">
        <f t="shared" si="975"/>
        <v>7706636.863057361</v>
      </c>
      <c r="R435">
        <f t="shared" si="976"/>
        <v>5401208.6431535203</v>
      </c>
      <c r="S435">
        <f t="shared" si="977"/>
        <v>54.012086431535202</v>
      </c>
      <c r="T435">
        <f t="shared" si="978"/>
        <v>5.4012086431535204E-2</v>
      </c>
    </row>
    <row r="436" spans="1:20" x14ac:dyDescent="0.25">
      <c r="A436" s="5">
        <v>44157</v>
      </c>
      <c r="B436">
        <v>8.3460000000000006E-2</v>
      </c>
      <c r="C436">
        <v>8.3470000000000003E-2</v>
      </c>
      <c r="D436">
        <v>7.6799999999999993E-2</v>
      </c>
      <c r="E436">
        <v>7.9630000000000006E-2</v>
      </c>
      <c r="F436">
        <v>7643617.5999999996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-0.15142428785606923</v>
      </c>
      <c r="Q436">
        <f t="shared" si="975"/>
        <v>-1157429.3517241171</v>
      </c>
      <c r="R436">
        <f t="shared" si="976"/>
        <v>-2305428.2199038407</v>
      </c>
      <c r="S436">
        <f t="shared" si="977"/>
        <v>-23.054282199038408</v>
      </c>
      <c r="T436">
        <f t="shared" si="978"/>
        <v>-2.3054282199038406E-2</v>
      </c>
    </row>
    <row r="437" spans="1:20" x14ac:dyDescent="0.25">
      <c r="A437" s="5">
        <v>44156</v>
      </c>
      <c r="B437">
        <v>7.6969999999999997E-2</v>
      </c>
      <c r="C437">
        <v>8.5000000000000006E-2</v>
      </c>
      <c r="D437">
        <v>7.6139999999999999E-2</v>
      </c>
      <c r="E437">
        <v>8.3470000000000003E-2</v>
      </c>
      <c r="F437">
        <v>11430603.699999999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0.65462753950338548</v>
      </c>
      <c r="Q437">
        <f t="shared" si="975"/>
        <v>7482787.9751692936</v>
      </c>
      <c r="R437">
        <f t="shared" si="976"/>
        <v>-1147998.8681797236</v>
      </c>
      <c r="S437">
        <f t="shared" si="977"/>
        <v>-11.479988681797236</v>
      </c>
      <c r="T437">
        <f t="shared" si="978"/>
        <v>-1.1479988681797237E-2</v>
      </c>
    </row>
    <row r="438" spans="1:20" x14ac:dyDescent="0.25">
      <c r="A438" s="5">
        <v>44155</v>
      </c>
      <c r="B438">
        <v>7.6490000000000002E-2</v>
      </c>
      <c r="C438">
        <v>7.8710000000000002E-2</v>
      </c>
      <c r="D438">
        <v>7.5999999999999998E-2</v>
      </c>
      <c r="E438">
        <v>7.6700000000000004E-2</v>
      </c>
      <c r="F438">
        <v>3620376.9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-0.48339483394833571</v>
      </c>
      <c r="Q438">
        <f t="shared" si="975"/>
        <v>-1750071.4904058904</v>
      </c>
      <c r="R438">
        <f t="shared" si="976"/>
        <v>-8630786.8433490172</v>
      </c>
      <c r="S438">
        <f t="shared" si="977"/>
        <v>-86.307868433490171</v>
      </c>
      <c r="T438">
        <f t="shared" si="978"/>
        <v>-8.630786843349017E-2</v>
      </c>
    </row>
    <row r="439" spans="1:20" x14ac:dyDescent="0.25">
      <c r="A439" s="5">
        <v>44154</v>
      </c>
      <c r="B439">
        <v>7.7160000000000006E-2</v>
      </c>
      <c r="C439">
        <v>7.9000000000000001E-2</v>
      </c>
      <c r="D439">
        <v>7.5819999999999999E-2</v>
      </c>
      <c r="E439">
        <v>7.6340000000000005E-2</v>
      </c>
      <c r="F439">
        <v>3445577.8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-0.67295597484276337</v>
      </c>
      <c r="Q439">
        <f t="shared" si="975"/>
        <v>-2318722.167295584</v>
      </c>
      <c r="R439">
        <f t="shared" si="976"/>
        <v>-6880715.3529431261</v>
      </c>
      <c r="S439">
        <f t="shared" si="977"/>
        <v>-68.807153529431261</v>
      </c>
      <c r="T439">
        <f t="shared" si="978"/>
        <v>-6.8807153529431259E-2</v>
      </c>
    </row>
    <row r="440" spans="1:20" x14ac:dyDescent="0.25">
      <c r="A440" s="5">
        <v>44153</v>
      </c>
      <c r="B440">
        <v>7.9469999999999999E-2</v>
      </c>
      <c r="C440">
        <v>7.9960000000000003E-2</v>
      </c>
      <c r="D440">
        <v>7.5190000000000007E-2</v>
      </c>
      <c r="E440">
        <v>7.7549999999999994E-2</v>
      </c>
      <c r="F440">
        <v>5787084.7000000002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-1.048218029350572E-2</v>
      </c>
      <c r="Q440">
        <f t="shared" si="975"/>
        <v>-60661.265199188463</v>
      </c>
      <c r="R440">
        <f t="shared" si="976"/>
        <v>-4561993.1856475426</v>
      </c>
      <c r="S440">
        <f t="shared" si="977"/>
        <v>-45.619931856475425</v>
      </c>
      <c r="T440">
        <f t="shared" si="978"/>
        <v>-4.5619931856475428E-2</v>
      </c>
    </row>
    <row r="441" spans="1:20" x14ac:dyDescent="0.25">
      <c r="A441" s="5">
        <v>44152</v>
      </c>
      <c r="B441">
        <v>7.8810000000000005E-2</v>
      </c>
      <c r="C441">
        <v>7.9850000000000004E-2</v>
      </c>
      <c r="D441">
        <v>7.7560000000000004E-2</v>
      </c>
      <c r="E441">
        <v>7.9200000000000007E-2</v>
      </c>
      <c r="F441">
        <v>4703510.7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0.43231441048035135</v>
      </c>
      <c r="Q441">
        <f t="shared" si="975"/>
        <v>2033395.4554585249</v>
      </c>
      <c r="R441">
        <f t="shared" si="976"/>
        <v>-4501331.9204483544</v>
      </c>
      <c r="S441">
        <f t="shared" si="977"/>
        <v>-45.013319204483544</v>
      </c>
      <c r="T441">
        <f t="shared" si="978"/>
        <v>-4.5013319204483544E-2</v>
      </c>
    </row>
    <row r="442" spans="1:20" x14ac:dyDescent="0.25">
      <c r="A442" s="5">
        <v>44151</v>
      </c>
      <c r="B442">
        <v>7.6939999999999995E-2</v>
      </c>
      <c r="C442">
        <v>7.9829999999999998E-2</v>
      </c>
      <c r="D442">
        <v>7.6619999999999994E-2</v>
      </c>
      <c r="E442">
        <v>7.8789999999999999E-2</v>
      </c>
      <c r="F442">
        <v>4664673.7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0.35202492211838143</v>
      </c>
      <c r="Q442">
        <f t="shared" si="975"/>
        <v>1642081.3959501623</v>
      </c>
      <c r="R442">
        <f t="shared" si="976"/>
        <v>-6534727.3759068791</v>
      </c>
      <c r="S442">
        <f t="shared" si="977"/>
        <v>-65.347273759068784</v>
      </c>
      <c r="T442">
        <f t="shared" si="978"/>
        <v>-6.5347273759068777E-2</v>
      </c>
    </row>
    <row r="443" spans="1:20" x14ac:dyDescent="0.25">
      <c r="A443" s="5">
        <v>44150</v>
      </c>
      <c r="B443">
        <v>7.8219999999999998E-2</v>
      </c>
      <c r="C443">
        <v>7.9089999999999994E-2</v>
      </c>
      <c r="D443">
        <v>7.5569999999999998E-2</v>
      </c>
      <c r="E443">
        <v>7.7049999999999993E-2</v>
      </c>
      <c r="F443">
        <v>3374744.2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-0.1590909090909107</v>
      </c>
      <c r="Q443">
        <f t="shared" si="975"/>
        <v>-536891.12272727815</v>
      </c>
      <c r="R443">
        <f t="shared" si="976"/>
        <v>-8176808.7718570419</v>
      </c>
      <c r="S443">
        <f t="shared" si="977"/>
        <v>-81.768087718570413</v>
      </c>
      <c r="T443">
        <f t="shared" si="978"/>
        <v>-8.1768087718570415E-2</v>
      </c>
    </row>
    <row r="444" spans="1:20" x14ac:dyDescent="0.25">
      <c r="A444" s="5">
        <v>44149</v>
      </c>
      <c r="B444">
        <v>7.9469999999999999E-2</v>
      </c>
      <c r="C444">
        <v>7.9579999999999998E-2</v>
      </c>
      <c r="D444">
        <v>7.7009999999999995E-2</v>
      </c>
      <c r="E444">
        <v>7.8210000000000002E-2</v>
      </c>
      <c r="F444">
        <v>2728790.8</v>
      </c>
      <c r="G444">
        <v>0</v>
      </c>
      <c r="L444" t="s">
        <v>8</v>
      </c>
      <c r="M444" t="s">
        <v>7</v>
      </c>
      <c r="N444" t="s">
        <v>7</v>
      </c>
      <c r="P444">
        <f t="shared" si="974"/>
        <v>-6.6147859922174868E-2</v>
      </c>
      <c r="Q444">
        <f t="shared" si="975"/>
        <v>-180503.67159531949</v>
      </c>
      <c r="R444">
        <f t="shared" si="976"/>
        <v>-7639917.6491297642</v>
      </c>
      <c r="S444">
        <f t="shared" si="977"/>
        <v>-76.399176491297638</v>
      </c>
      <c r="T444">
        <f t="shared" si="978"/>
        <v>-7.6399176491297641E-2</v>
      </c>
    </row>
    <row r="445" spans="1:20" x14ac:dyDescent="0.25">
      <c r="A445" s="5">
        <v>44148</v>
      </c>
      <c r="B445">
        <v>7.7429999999999999E-2</v>
      </c>
      <c r="C445">
        <v>8.1500000000000003E-2</v>
      </c>
      <c r="D445">
        <v>7.7189999999999995E-2</v>
      </c>
      <c r="E445">
        <v>7.9469999999999999E-2</v>
      </c>
      <c r="F445">
        <v>3108597.8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5.800464037122964E-2</v>
      </c>
      <c r="Q445">
        <f t="shared" si="975"/>
        <v>180313.09744779562</v>
      </c>
      <c r="R445">
        <f t="shared" si="976"/>
        <v>-7459413.977534445</v>
      </c>
      <c r="S445">
        <f t="shared" si="977"/>
        <v>-74.594139775344445</v>
      </c>
      <c r="T445">
        <f t="shared" si="978"/>
        <v>-7.4594139775344445E-2</v>
      </c>
    </row>
    <row r="446" spans="1:20" x14ac:dyDescent="0.25">
      <c r="A446" s="5">
        <v>44147</v>
      </c>
      <c r="B446">
        <v>7.7079999999999996E-2</v>
      </c>
      <c r="C446">
        <v>7.9890000000000003E-2</v>
      </c>
      <c r="D446">
        <v>7.6109999999999997E-2</v>
      </c>
      <c r="E446">
        <v>7.739E-2</v>
      </c>
      <c r="F446">
        <v>2246414.7999999998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-0.32275132275132196</v>
      </c>
      <c r="Q446">
        <f t="shared" si="975"/>
        <v>-725033.34814814629</v>
      </c>
      <c r="R446">
        <f t="shared" si="976"/>
        <v>-7639727.0749822408</v>
      </c>
      <c r="S446">
        <f t="shared" si="977"/>
        <v>-76.397270749822411</v>
      </c>
      <c r="T446">
        <f t="shared" si="978"/>
        <v>-7.6397270749822416E-2</v>
      </c>
    </row>
    <row r="447" spans="1:20" x14ac:dyDescent="0.25">
      <c r="A447" s="5">
        <v>44146</v>
      </c>
      <c r="B447">
        <v>8.0729999999999996E-2</v>
      </c>
      <c r="C447">
        <v>8.2150000000000001E-2</v>
      </c>
      <c r="D447">
        <v>7.6429999999999998E-2</v>
      </c>
      <c r="E447">
        <v>7.6929999999999998E-2</v>
      </c>
      <c r="F447">
        <v>3728306.3</v>
      </c>
      <c r="G447">
        <v>0</v>
      </c>
      <c r="L447" t="s">
        <v>8</v>
      </c>
      <c r="M447" t="s">
        <v>7</v>
      </c>
      <c r="N447" t="s">
        <v>7</v>
      </c>
      <c r="P447">
        <f t="shared" si="974"/>
        <v>-0.8251748251748251</v>
      </c>
      <c r="Q447">
        <f t="shared" si="975"/>
        <v>-3076504.4993006987</v>
      </c>
      <c r="R447">
        <f t="shared" si="976"/>
        <v>-6914693.7268340942</v>
      </c>
      <c r="S447">
        <f t="shared" si="977"/>
        <v>-69.146937268340935</v>
      </c>
      <c r="T447">
        <f t="shared" si="978"/>
        <v>-6.9146937268340938E-2</v>
      </c>
    </row>
    <row r="448" spans="1:20" x14ac:dyDescent="0.25">
      <c r="A448" s="5">
        <v>44145</v>
      </c>
      <c r="B448">
        <v>7.7990000000000004E-2</v>
      </c>
      <c r="C448">
        <v>8.1600000000000006E-2</v>
      </c>
      <c r="D448">
        <v>7.7850000000000003E-2</v>
      </c>
      <c r="E448">
        <v>8.0560000000000007E-2</v>
      </c>
      <c r="F448">
        <v>5158428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0.44533333333333425</v>
      </c>
      <c r="Q448">
        <f t="shared" si="975"/>
        <v>2297219.9360000049</v>
      </c>
      <c r="R448">
        <f t="shared" si="976"/>
        <v>-3838189.2275333959</v>
      </c>
      <c r="S448">
        <f t="shared" si="977"/>
        <v>-38.381892275333961</v>
      </c>
      <c r="T448">
        <f t="shared" si="978"/>
        <v>-3.8381892275333958E-2</v>
      </c>
    </row>
    <row r="449" spans="1:20" x14ac:dyDescent="0.25">
      <c r="A449" s="5">
        <v>44144</v>
      </c>
      <c r="B449">
        <v>7.9259999999999997E-2</v>
      </c>
      <c r="C449">
        <v>8.0579999999999999E-2</v>
      </c>
      <c r="D449">
        <v>7.5310000000000002E-2</v>
      </c>
      <c r="E449">
        <v>7.8039999999999998E-2</v>
      </c>
      <c r="F449">
        <v>3722098.1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3.6053130929790483E-2</v>
      </c>
      <c r="Q449">
        <f t="shared" si="975"/>
        <v>134193.29013282439</v>
      </c>
      <c r="R449">
        <f t="shared" si="976"/>
        <v>-6135409.1635334007</v>
      </c>
      <c r="S449">
        <f t="shared" si="977"/>
        <v>-61.354091635334008</v>
      </c>
      <c r="T449">
        <f t="shared" si="978"/>
        <v>-6.1354091635334007E-2</v>
      </c>
    </row>
    <row r="450" spans="1:20" x14ac:dyDescent="0.25">
      <c r="A450" s="5">
        <v>44143</v>
      </c>
      <c r="B450">
        <v>7.6319999999999999E-2</v>
      </c>
      <c r="C450">
        <v>8.1379999999999994E-2</v>
      </c>
      <c r="D450">
        <v>7.492E-2</v>
      </c>
      <c r="E450">
        <v>7.9320000000000002E-2</v>
      </c>
      <c r="F450">
        <v>3724610.5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0.3622291021671844</v>
      </c>
      <c r="Q450">
        <f t="shared" si="975"/>
        <v>1349162.3173374678</v>
      </c>
      <c r="R450">
        <f t="shared" si="976"/>
        <v>-6269602.4536662251</v>
      </c>
      <c r="S450">
        <f t="shared" si="977"/>
        <v>-62.69602453666225</v>
      </c>
      <c r="T450">
        <f t="shared" si="978"/>
        <v>-6.2696024536662245E-2</v>
      </c>
    </row>
    <row r="451" spans="1:20" x14ac:dyDescent="0.25">
      <c r="A451" s="5">
        <v>44142</v>
      </c>
      <c r="B451">
        <v>7.5499999999999998E-2</v>
      </c>
      <c r="C451">
        <v>8.9499999999999996E-2</v>
      </c>
      <c r="D451">
        <v>7.2819999999999996E-2</v>
      </c>
      <c r="E451">
        <v>7.6480000000000006E-2</v>
      </c>
      <c r="F451">
        <v>16730455.300000001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-0.56115107913668938</v>
      </c>
      <c r="Q451">
        <f t="shared" si="975"/>
        <v>-9388313.0460431445</v>
      </c>
      <c r="R451">
        <f t="shared" si="976"/>
        <v>-7618764.7710036924</v>
      </c>
      <c r="S451">
        <f t="shared" si="977"/>
        <v>-76.187647710036927</v>
      </c>
      <c r="T451">
        <f t="shared" si="978"/>
        <v>-7.6187647710036929E-2</v>
      </c>
    </row>
    <row r="452" spans="1:20" x14ac:dyDescent="0.25">
      <c r="A452" s="5">
        <v>44141</v>
      </c>
      <c r="B452">
        <v>7.0419999999999996E-2</v>
      </c>
      <c r="C452">
        <v>7.6600000000000001E-2</v>
      </c>
      <c r="D452">
        <v>6.8839999999999998E-2</v>
      </c>
      <c r="E452">
        <v>7.5429999999999997E-2</v>
      </c>
      <c r="F452">
        <v>8237723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0.69845360824742164</v>
      </c>
      <c r="Q452">
        <f t="shared" si="975"/>
        <v>5753667.3530927747</v>
      </c>
      <c r="R452">
        <f t="shared" si="976"/>
        <v>1769548.2750394521</v>
      </c>
      <c r="S452">
        <f t="shared" si="977"/>
        <v>17.695482750394522</v>
      </c>
      <c r="T452">
        <f t="shared" si="978"/>
        <v>1.7695482750394523E-2</v>
      </c>
    </row>
    <row r="453" spans="1:20" x14ac:dyDescent="0.25">
      <c r="A453" s="5">
        <v>44140</v>
      </c>
      <c r="B453">
        <v>6.6470000000000001E-2</v>
      </c>
      <c r="C453">
        <v>7.0919999999999997E-2</v>
      </c>
      <c r="D453">
        <v>6.6030000000000005E-2</v>
      </c>
      <c r="E453">
        <v>7.0749999999999993E-2</v>
      </c>
      <c r="F453">
        <v>4939048.5999999996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0.9304703476482602</v>
      </c>
      <c r="Q453">
        <f t="shared" si="975"/>
        <v>4595638.2678936524</v>
      </c>
      <c r="R453">
        <f t="shared" si="976"/>
        <v>-3984119.0780533226</v>
      </c>
      <c r="S453">
        <f t="shared" si="977"/>
        <v>-39.841190780533225</v>
      </c>
      <c r="T453">
        <f t="shared" si="978"/>
        <v>-3.9841190780533227E-2</v>
      </c>
    </row>
    <row r="454" spans="1:20" x14ac:dyDescent="0.25">
      <c r="A454" s="5">
        <v>44139</v>
      </c>
      <c r="B454">
        <v>6.8070000000000006E-2</v>
      </c>
      <c r="C454">
        <v>6.8070000000000006E-2</v>
      </c>
      <c r="D454">
        <v>6.4000000000000001E-2</v>
      </c>
      <c r="E454">
        <v>6.6299999999999998E-2</v>
      </c>
      <c r="F454">
        <v>5351054.8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0.13022113022112733</v>
      </c>
      <c r="Q454">
        <f t="shared" ref="Q454:Q517" si="980">F454*P454</f>
        <v>696820.4039311884</v>
      </c>
      <c r="R454">
        <f t="shared" ref="R454:R517" si="981">R455+Q454</f>
        <v>-8579757.3459469751</v>
      </c>
      <c r="S454">
        <f t="shared" ref="S454:S517" si="982">R454/100000</f>
        <v>-85.797573459469746</v>
      </c>
      <c r="T454">
        <f t="shared" ref="T454:T517" si="983">S454/1000</f>
        <v>-8.5797573459469742E-2</v>
      </c>
    </row>
    <row r="455" spans="1:20" x14ac:dyDescent="0.25">
      <c r="A455" s="5">
        <v>44138</v>
      </c>
      <c r="B455">
        <v>7.2679999999999995E-2</v>
      </c>
      <c r="C455">
        <v>7.3300000000000004E-2</v>
      </c>
      <c r="D455">
        <v>6.6869999999999999E-2</v>
      </c>
      <c r="E455">
        <v>6.8000000000000005E-2</v>
      </c>
      <c r="F455">
        <v>12335708.4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-0.64852255054432195</v>
      </c>
      <c r="Q455">
        <f t="shared" si="980"/>
        <v>-7999985.0743390173</v>
      </c>
      <c r="R455">
        <f t="shared" si="981"/>
        <v>-9276577.7498781625</v>
      </c>
      <c r="S455">
        <f t="shared" si="982"/>
        <v>-92.765777498781631</v>
      </c>
      <c r="T455">
        <f t="shared" si="983"/>
        <v>-9.2765777498781635E-2</v>
      </c>
    </row>
    <row r="456" spans="1:20" x14ac:dyDescent="0.25">
      <c r="A456" s="5">
        <v>44137</v>
      </c>
      <c r="B456">
        <v>7.7780000000000002E-2</v>
      </c>
      <c r="C456">
        <v>7.8570000000000001E-2</v>
      </c>
      <c r="D456">
        <v>7.2270000000000001E-2</v>
      </c>
      <c r="E456">
        <v>7.2830000000000006E-2</v>
      </c>
      <c r="F456">
        <v>15106246.300000001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-0.82222222222222063</v>
      </c>
      <c r="Q456">
        <f t="shared" si="980"/>
        <v>-12420691.402222199</v>
      </c>
      <c r="R456">
        <f t="shared" si="981"/>
        <v>-1276592.6755391452</v>
      </c>
      <c r="S456">
        <f t="shared" si="982"/>
        <v>-12.765926755391453</v>
      </c>
      <c r="T456">
        <f t="shared" si="983"/>
        <v>-1.2765926755391453E-2</v>
      </c>
    </row>
    <row r="457" spans="1:20" x14ac:dyDescent="0.25">
      <c r="A457" s="5">
        <v>44136</v>
      </c>
      <c r="B457">
        <v>7.9140000000000002E-2</v>
      </c>
      <c r="C457">
        <v>8.1439999999999999E-2</v>
      </c>
      <c r="D457">
        <v>7.621E-2</v>
      </c>
      <c r="E457">
        <v>7.7780000000000002E-2</v>
      </c>
      <c r="F457">
        <v>32634303.399999999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-0.39961759082217879</v>
      </c>
      <c r="Q457">
        <f t="shared" si="980"/>
        <v>-13041241.702868037</v>
      </c>
      <c r="R457">
        <f t="shared" si="981"/>
        <v>11144098.726683054</v>
      </c>
      <c r="S457">
        <f t="shared" si="982"/>
        <v>111.44098726683055</v>
      </c>
      <c r="T457">
        <f t="shared" si="983"/>
        <v>0.11144098726683055</v>
      </c>
    </row>
    <row r="458" spans="1:20" x14ac:dyDescent="0.25">
      <c r="A458" s="5">
        <v>44135</v>
      </c>
      <c r="B458">
        <v>8.054E-2</v>
      </c>
      <c r="C458">
        <v>8.2489999999999994E-2</v>
      </c>
      <c r="D458">
        <v>7.9009999999999997E-2</v>
      </c>
      <c r="E458">
        <v>7.9149999999999998E-2</v>
      </c>
      <c r="F458">
        <v>27977580.699999999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-0.91954022988505668</v>
      </c>
      <c r="Q458">
        <f t="shared" si="980"/>
        <v>-25726510.988505725</v>
      </c>
      <c r="R458">
        <f t="shared" si="981"/>
        <v>24185340.429551091</v>
      </c>
      <c r="S458">
        <f t="shared" si="982"/>
        <v>241.8534042955109</v>
      </c>
      <c r="T458">
        <f t="shared" si="983"/>
        <v>0.24185340429551089</v>
      </c>
    </row>
    <row r="459" spans="1:20" x14ac:dyDescent="0.25">
      <c r="A459" s="5">
        <v>44134</v>
      </c>
      <c r="B459">
        <v>8.6389999999999995E-2</v>
      </c>
      <c r="C459">
        <v>8.7120000000000003E-2</v>
      </c>
      <c r="D459">
        <v>7.9500000000000001E-2</v>
      </c>
      <c r="E459">
        <v>8.0530000000000004E-2</v>
      </c>
      <c r="F459">
        <v>54731812.799999997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-0.72965879265091782</v>
      </c>
      <c r="Q459">
        <f t="shared" si="980"/>
        <v>-39935548.447244048</v>
      </c>
      <c r="R459">
        <f t="shared" si="981"/>
        <v>49911851.418056816</v>
      </c>
      <c r="S459">
        <f t="shared" si="982"/>
        <v>499.11851418056818</v>
      </c>
      <c r="T459">
        <f t="shared" si="983"/>
        <v>0.49911851418056818</v>
      </c>
    </row>
    <row r="460" spans="1:20" x14ac:dyDescent="0.25">
      <c r="A460" s="5">
        <v>44133</v>
      </c>
      <c r="B460">
        <v>8.9719999999999994E-2</v>
      </c>
      <c r="C460">
        <v>8.9749999999999996E-2</v>
      </c>
      <c r="D460">
        <v>8.5680000000000006E-2</v>
      </c>
      <c r="E460">
        <v>8.6370000000000002E-2</v>
      </c>
      <c r="F460">
        <v>51569225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-0.66093366093366201</v>
      </c>
      <c r="Q460">
        <f t="shared" si="980"/>
        <v>-34083836.670761727</v>
      </c>
      <c r="R460">
        <f t="shared" si="981"/>
        <v>89847399.865300864</v>
      </c>
      <c r="S460">
        <f t="shared" si="982"/>
        <v>898.47399865300861</v>
      </c>
      <c r="T460">
        <f t="shared" si="983"/>
        <v>0.89847399865300859</v>
      </c>
    </row>
    <row r="461" spans="1:20" x14ac:dyDescent="0.25">
      <c r="A461" s="5">
        <v>44132</v>
      </c>
      <c r="B461">
        <v>8.7980000000000003E-2</v>
      </c>
      <c r="C461">
        <v>9.4100000000000003E-2</v>
      </c>
      <c r="D461">
        <v>8.6510000000000004E-2</v>
      </c>
      <c r="E461">
        <v>8.9730000000000004E-2</v>
      </c>
      <c r="F461">
        <v>30976276.899999999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-0.1515151515151513</v>
      </c>
      <c r="Q461">
        <f t="shared" si="980"/>
        <v>-4693375.2878787806</v>
      </c>
      <c r="R461">
        <f t="shared" si="981"/>
        <v>123931236.5360626</v>
      </c>
      <c r="S461">
        <f t="shared" si="982"/>
        <v>1239.312365360626</v>
      </c>
      <c r="T461">
        <f t="shared" si="983"/>
        <v>1.2393123653606259</v>
      </c>
    </row>
    <row r="462" spans="1:20" x14ac:dyDescent="0.25">
      <c r="A462" s="5">
        <v>44131</v>
      </c>
      <c r="B462">
        <v>9.0569999999999998E-2</v>
      </c>
      <c r="C462">
        <v>9.461E-2</v>
      </c>
      <c r="D462">
        <v>8.6980000000000002E-2</v>
      </c>
      <c r="E462">
        <v>8.7980000000000003E-2</v>
      </c>
      <c r="F462">
        <v>16802095.699999999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-0.73787680209698525</v>
      </c>
      <c r="Q462">
        <f t="shared" si="980"/>
        <v>-12397876.643643506</v>
      </c>
      <c r="R462">
        <f t="shared" si="981"/>
        <v>128624611.82394138</v>
      </c>
      <c r="S462">
        <f t="shared" si="982"/>
        <v>1286.2461182394138</v>
      </c>
      <c r="T462">
        <f t="shared" si="983"/>
        <v>1.2862461182394138</v>
      </c>
    </row>
    <row r="463" spans="1:20" x14ac:dyDescent="0.25">
      <c r="A463" s="5">
        <v>44130</v>
      </c>
      <c r="B463">
        <v>8.7859999999999994E-2</v>
      </c>
      <c r="C463">
        <v>9.1999999999999998E-2</v>
      </c>
      <c r="D463">
        <v>8.4089999999999998E-2</v>
      </c>
      <c r="E463">
        <v>9.0609999999999996E-2</v>
      </c>
      <c r="F463">
        <v>7362471.0999999996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0.6485461441213648</v>
      </c>
      <c r="Q463">
        <f t="shared" si="980"/>
        <v>4774902.2431099834</v>
      </c>
      <c r="R463">
        <f t="shared" si="981"/>
        <v>141022488.46758488</v>
      </c>
      <c r="S463">
        <f t="shared" si="982"/>
        <v>1410.2248846758487</v>
      </c>
      <c r="T463">
        <f t="shared" si="983"/>
        <v>1.4102248846758487</v>
      </c>
    </row>
    <row r="464" spans="1:20" x14ac:dyDescent="0.25">
      <c r="A464" s="5">
        <v>44129</v>
      </c>
      <c r="B464">
        <v>9.2939999999999995E-2</v>
      </c>
      <c r="C464">
        <v>9.3189999999999995E-2</v>
      </c>
      <c r="D464">
        <v>8.7599999999999997E-2</v>
      </c>
      <c r="E464">
        <v>8.7709999999999996E-2</v>
      </c>
      <c r="F464">
        <v>5813480.7999999998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-0.96064400715563536</v>
      </c>
      <c r="Q464">
        <f t="shared" si="980"/>
        <v>-5584685.4912343482</v>
      </c>
      <c r="R464">
        <f t="shared" si="981"/>
        <v>136247586.22447491</v>
      </c>
      <c r="S464">
        <f t="shared" si="982"/>
        <v>1362.4758622447491</v>
      </c>
      <c r="T464">
        <f t="shared" si="983"/>
        <v>1.362475862244749</v>
      </c>
    </row>
    <row r="465" spans="1:20" x14ac:dyDescent="0.25">
      <c r="A465" s="5">
        <v>44128</v>
      </c>
      <c r="B465">
        <v>9.2410000000000006E-2</v>
      </c>
      <c r="C465">
        <v>9.3990000000000004E-2</v>
      </c>
      <c r="D465">
        <v>9.2009999999999995E-2</v>
      </c>
      <c r="E465">
        <v>9.3259999999999996E-2</v>
      </c>
      <c r="F465">
        <v>2207474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0.26262626262625766</v>
      </c>
      <c r="Q465">
        <f t="shared" si="980"/>
        <v>579740.6464646355</v>
      </c>
      <c r="R465">
        <f t="shared" si="981"/>
        <v>141832271.71570927</v>
      </c>
      <c r="S465">
        <f t="shared" si="982"/>
        <v>1418.3227171570927</v>
      </c>
      <c r="T465">
        <f t="shared" si="983"/>
        <v>1.4183227171570927</v>
      </c>
    </row>
    <row r="466" spans="1:20" x14ac:dyDescent="0.25">
      <c r="A466" s="5">
        <v>44127</v>
      </c>
      <c r="B466">
        <v>9.3210000000000001E-2</v>
      </c>
      <c r="C466">
        <v>9.3969999999999998E-2</v>
      </c>
      <c r="D466">
        <v>9.1139999999999999E-2</v>
      </c>
      <c r="E466">
        <v>9.2009999999999995E-2</v>
      </c>
      <c r="F466">
        <v>3655652.7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-0.38515901060070951</v>
      </c>
      <c r="Q466">
        <f t="shared" si="980"/>
        <v>-1408007.5770318124</v>
      </c>
      <c r="R466">
        <f t="shared" si="981"/>
        <v>141252531.06924462</v>
      </c>
      <c r="S466">
        <f t="shared" si="982"/>
        <v>1412.5253106924463</v>
      </c>
      <c r="T466">
        <f t="shared" si="983"/>
        <v>1.4125253106924462</v>
      </c>
    </row>
    <row r="467" spans="1:20" x14ac:dyDescent="0.25">
      <c r="A467" s="5">
        <v>44126</v>
      </c>
      <c r="B467">
        <v>9.2259999999999995E-2</v>
      </c>
      <c r="C467">
        <v>9.5119999999999996E-2</v>
      </c>
      <c r="D467">
        <v>9.2259999999999995E-2</v>
      </c>
      <c r="E467">
        <v>9.3420000000000003E-2</v>
      </c>
      <c r="F467">
        <v>5439706.2999999998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-0.18881118881118344</v>
      </c>
      <c r="Q467">
        <f t="shared" si="980"/>
        <v>-1027077.4132866841</v>
      </c>
      <c r="R467">
        <f t="shared" si="981"/>
        <v>142660538.64627644</v>
      </c>
      <c r="S467">
        <f t="shared" si="982"/>
        <v>1426.6053864627645</v>
      </c>
      <c r="T467">
        <f t="shared" si="983"/>
        <v>1.4266053864627646</v>
      </c>
    </row>
    <row r="468" spans="1:20" x14ac:dyDescent="0.25">
      <c r="A468" s="5">
        <v>44125</v>
      </c>
      <c r="B468">
        <v>9.1999999999999998E-2</v>
      </c>
      <c r="C468">
        <v>9.8409999999999997E-2</v>
      </c>
      <c r="D468">
        <v>9.1499999999999998E-2</v>
      </c>
      <c r="E468">
        <v>9.1869999999999993E-2</v>
      </c>
      <c r="F468">
        <v>9962823.5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-0.89290882778581904</v>
      </c>
      <c r="Q468">
        <f t="shared" si="980"/>
        <v>-8895893.0528220106</v>
      </c>
      <c r="R468">
        <f t="shared" si="981"/>
        <v>143687616.05956313</v>
      </c>
      <c r="S468">
        <f t="shared" si="982"/>
        <v>1436.8761605956313</v>
      </c>
      <c r="T468">
        <f t="shared" si="983"/>
        <v>1.4368761605956313</v>
      </c>
    </row>
    <row r="469" spans="1:20" x14ac:dyDescent="0.25">
      <c r="A469" s="5">
        <v>44124</v>
      </c>
      <c r="B469">
        <v>9.6350000000000005E-2</v>
      </c>
      <c r="C469">
        <v>9.9320000000000006E-2</v>
      </c>
      <c r="D469">
        <v>9.1539999999999996E-2</v>
      </c>
      <c r="E469">
        <v>9.2179999999999998E-2</v>
      </c>
      <c r="F469">
        <v>6840317.7999999998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-0.83547557840616937</v>
      </c>
      <c r="Q469">
        <f t="shared" si="980"/>
        <v>-5714918.4704370154</v>
      </c>
      <c r="R469">
        <f t="shared" si="981"/>
        <v>152583509.11238515</v>
      </c>
      <c r="S469">
        <f t="shared" si="982"/>
        <v>1525.8350911238515</v>
      </c>
      <c r="T469">
        <f t="shared" si="983"/>
        <v>1.5258350911238514</v>
      </c>
    </row>
    <row r="470" spans="1:20" x14ac:dyDescent="0.25">
      <c r="A470" s="5">
        <v>44123</v>
      </c>
      <c r="B470">
        <v>9.5829999999999999E-2</v>
      </c>
      <c r="C470">
        <v>0.10019</v>
      </c>
      <c r="D470">
        <v>9.4E-2</v>
      </c>
      <c r="E470">
        <v>9.6290000000000001E-2</v>
      </c>
      <c r="F470">
        <v>7780553.0999999996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-0.26009693053311794</v>
      </c>
      <c r="Q470">
        <f t="shared" si="980"/>
        <v>-2023697.9791599354</v>
      </c>
      <c r="R470">
        <f t="shared" si="981"/>
        <v>158298427.58282217</v>
      </c>
      <c r="S470">
        <f t="shared" si="982"/>
        <v>1582.9842758282218</v>
      </c>
      <c r="T470">
        <f t="shared" si="983"/>
        <v>1.5829842758282218</v>
      </c>
    </row>
    <row r="471" spans="1:20" x14ac:dyDescent="0.25">
      <c r="A471" s="5">
        <v>44122</v>
      </c>
      <c r="B471">
        <v>9.8390000000000005E-2</v>
      </c>
      <c r="C471">
        <v>9.9000000000000005E-2</v>
      </c>
      <c r="D471">
        <v>9.3640000000000001E-2</v>
      </c>
      <c r="E471">
        <v>9.5829999999999999E-2</v>
      </c>
      <c r="F471">
        <v>5671832.2000000002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-0.18283582089552389</v>
      </c>
      <c r="Q471">
        <f t="shared" si="980"/>
        <v>-1037014.0962686653</v>
      </c>
      <c r="R471">
        <f t="shared" si="981"/>
        <v>160322125.5619821</v>
      </c>
      <c r="S471">
        <f t="shared" si="982"/>
        <v>1603.221255619821</v>
      </c>
      <c r="T471">
        <f t="shared" si="983"/>
        <v>1.6032212556198211</v>
      </c>
    </row>
    <row r="472" spans="1:20" x14ac:dyDescent="0.25">
      <c r="A472" s="5">
        <v>44121</v>
      </c>
      <c r="B472">
        <v>9.4500000000000001E-2</v>
      </c>
      <c r="C472">
        <v>0.1</v>
      </c>
      <c r="D472">
        <v>9.1770000000000004E-2</v>
      </c>
      <c r="E472">
        <v>9.8390000000000005E-2</v>
      </c>
      <c r="F472">
        <v>5867388.4000000004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0.60874848116646418</v>
      </c>
      <c r="Q472">
        <f t="shared" si="980"/>
        <v>3571763.7769137304</v>
      </c>
      <c r="R472">
        <f t="shared" si="981"/>
        <v>161359139.65825075</v>
      </c>
      <c r="S472">
        <f t="shared" si="982"/>
        <v>1613.5913965825075</v>
      </c>
      <c r="T472">
        <f t="shared" si="983"/>
        <v>1.6135913965825075</v>
      </c>
    </row>
    <row r="473" spans="1:20" x14ac:dyDescent="0.25">
      <c r="A473" s="5">
        <v>44120</v>
      </c>
      <c r="B473">
        <v>9.2979999999999993E-2</v>
      </c>
      <c r="C473">
        <v>9.7360000000000002E-2</v>
      </c>
      <c r="D473">
        <v>9.0560000000000002E-2</v>
      </c>
      <c r="E473">
        <v>9.4539999999999999E-2</v>
      </c>
      <c r="F473">
        <v>4792330.0999999996</v>
      </c>
      <c r="G473">
        <v>0</v>
      </c>
      <c r="L473" t="s">
        <v>8</v>
      </c>
      <c r="M473" t="s">
        <v>7</v>
      </c>
      <c r="N473" t="s">
        <v>7</v>
      </c>
      <c r="P473">
        <f t="shared" si="979"/>
        <v>0.17058823529411682</v>
      </c>
      <c r="Q473">
        <f t="shared" si="980"/>
        <v>817515.13470587833</v>
      </c>
      <c r="R473">
        <f t="shared" si="981"/>
        <v>157787375.88133702</v>
      </c>
      <c r="S473">
        <f t="shared" si="982"/>
        <v>1577.8737588133702</v>
      </c>
      <c r="T473">
        <f t="shared" si="983"/>
        <v>1.5778737588133702</v>
      </c>
    </row>
    <row r="474" spans="1:20" x14ac:dyDescent="0.25">
      <c r="A474" s="5">
        <v>44119</v>
      </c>
      <c r="B474">
        <v>9.3670000000000003E-2</v>
      </c>
      <c r="C474">
        <v>9.9000000000000005E-2</v>
      </c>
      <c r="D474">
        <v>8.9370000000000005E-2</v>
      </c>
      <c r="E474">
        <v>9.3369999999999995E-2</v>
      </c>
      <c r="F474">
        <v>6463305.9000000004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-0.16926272066459194</v>
      </c>
      <c r="Q474">
        <f t="shared" si="980"/>
        <v>-1093996.7411215091</v>
      </c>
      <c r="R474">
        <f t="shared" si="981"/>
        <v>156969860.74663115</v>
      </c>
      <c r="S474">
        <f t="shared" si="982"/>
        <v>1569.6986074663114</v>
      </c>
      <c r="T474">
        <f t="shared" si="983"/>
        <v>1.5696986074663113</v>
      </c>
    </row>
    <row r="475" spans="1:20" x14ac:dyDescent="0.25">
      <c r="A475" s="5">
        <v>44118</v>
      </c>
      <c r="B475">
        <v>9.7009999999999999E-2</v>
      </c>
      <c r="C475">
        <v>9.9400000000000002E-2</v>
      </c>
      <c r="D475">
        <v>9.196E-2</v>
      </c>
      <c r="E475">
        <v>9.3719999999999998E-2</v>
      </c>
      <c r="F475">
        <v>5893765.2999999998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-0.52688172043010828</v>
      </c>
      <c r="Q475">
        <f t="shared" si="980"/>
        <v>-3105317.2010752731</v>
      </c>
      <c r="R475">
        <f t="shared" si="981"/>
        <v>158063857.48775265</v>
      </c>
      <c r="S475">
        <f t="shared" si="982"/>
        <v>1580.6385748775265</v>
      </c>
      <c r="T475">
        <f t="shared" si="983"/>
        <v>1.5806385748775265</v>
      </c>
    </row>
    <row r="476" spans="1:20" x14ac:dyDescent="0.25">
      <c r="A476" s="5">
        <v>44117</v>
      </c>
      <c r="B476">
        <v>9.8369999999999999E-2</v>
      </c>
      <c r="C476">
        <v>0.10199999999999999</v>
      </c>
      <c r="D476">
        <v>9.572E-2</v>
      </c>
      <c r="E476">
        <v>9.7019999999999995E-2</v>
      </c>
      <c r="F476">
        <v>5269538.2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-0.5859872611464978</v>
      </c>
      <c r="Q476">
        <f t="shared" si="980"/>
        <v>-3087882.257324846</v>
      </c>
      <c r="R476">
        <f t="shared" si="981"/>
        <v>161169174.68882793</v>
      </c>
      <c r="S476">
        <f t="shared" si="982"/>
        <v>1611.6917468882793</v>
      </c>
      <c r="T476">
        <f t="shared" si="983"/>
        <v>1.6116917468882794</v>
      </c>
    </row>
    <row r="477" spans="1:20" x14ac:dyDescent="0.25">
      <c r="A477" s="5">
        <v>44116</v>
      </c>
      <c r="B477">
        <v>9.8369999999999999E-2</v>
      </c>
      <c r="C477">
        <v>0.10042</v>
      </c>
      <c r="D477">
        <v>9.6259999999999998E-2</v>
      </c>
      <c r="E477">
        <v>9.8369999999999999E-2</v>
      </c>
      <c r="F477">
        <v>2970107.6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1.4423076923078013E-2</v>
      </c>
      <c r="Q477">
        <f t="shared" si="980"/>
        <v>42838.090384618627</v>
      </c>
      <c r="R477">
        <f t="shared" si="981"/>
        <v>164257056.94615278</v>
      </c>
      <c r="S477">
        <f t="shared" si="982"/>
        <v>1642.5705694615278</v>
      </c>
      <c r="T477">
        <f t="shared" si="983"/>
        <v>1.6425705694615278</v>
      </c>
    </row>
    <row r="478" spans="1:20" x14ac:dyDescent="0.25">
      <c r="A478" s="5">
        <v>44115</v>
      </c>
      <c r="B478">
        <v>9.6509999999999999E-2</v>
      </c>
      <c r="C478">
        <v>0.10057000000000001</v>
      </c>
      <c r="D478">
        <v>9.6490000000000006E-2</v>
      </c>
      <c r="E478">
        <v>9.8780000000000007E-2</v>
      </c>
      <c r="F478">
        <v>2633722.9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0.12254901960784324</v>
      </c>
      <c r="Q478">
        <f t="shared" si="980"/>
        <v>322760.15931372577</v>
      </c>
      <c r="R478">
        <f t="shared" si="981"/>
        <v>164214218.85576814</v>
      </c>
      <c r="S478">
        <f t="shared" si="982"/>
        <v>1642.1421885576815</v>
      </c>
      <c r="T478">
        <f t="shared" si="983"/>
        <v>1.6421421885576815</v>
      </c>
    </row>
    <row r="479" spans="1:20" x14ac:dyDescent="0.25">
      <c r="A479" s="5">
        <v>44114</v>
      </c>
      <c r="B479">
        <v>0.10097</v>
      </c>
      <c r="C479">
        <v>0.10612000000000001</v>
      </c>
      <c r="D479">
        <v>9.6100000000000005E-2</v>
      </c>
      <c r="E479">
        <v>9.6629999999999994E-2</v>
      </c>
      <c r="F479">
        <v>5859314.9000000004</v>
      </c>
      <c r="G479">
        <v>0</v>
      </c>
      <c r="L479" t="s">
        <v>7</v>
      </c>
      <c r="M479" t="s">
        <v>8</v>
      </c>
      <c r="N479" t="s">
        <v>7</v>
      </c>
      <c r="P479">
        <f t="shared" si="979"/>
        <v>-0.89421157684630959</v>
      </c>
      <c r="Q479">
        <f t="shared" si="980"/>
        <v>-5239467.2159680771</v>
      </c>
      <c r="R479">
        <f t="shared" si="981"/>
        <v>163891458.69645441</v>
      </c>
      <c r="S479">
        <f t="shared" si="982"/>
        <v>1638.914586964544</v>
      </c>
      <c r="T479">
        <f t="shared" si="983"/>
        <v>1.6389145869645441</v>
      </c>
    </row>
    <row r="480" spans="1:20" x14ac:dyDescent="0.25">
      <c r="A480" s="5">
        <v>44113</v>
      </c>
      <c r="B480">
        <v>9.2520000000000005E-2</v>
      </c>
      <c r="C480">
        <v>0.10507</v>
      </c>
      <c r="D480">
        <v>9.1899999999999996E-2</v>
      </c>
      <c r="E480">
        <v>0.10154000000000001</v>
      </c>
      <c r="F480">
        <v>11513942.9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0.46393318147304613</v>
      </c>
      <c r="Q480">
        <f t="shared" si="980"/>
        <v>5341700.1608959911</v>
      </c>
      <c r="R480">
        <f t="shared" si="981"/>
        <v>169130925.91242248</v>
      </c>
      <c r="S480">
        <f t="shared" si="982"/>
        <v>1691.3092591242248</v>
      </c>
      <c r="T480">
        <f t="shared" si="983"/>
        <v>1.6913092591242249</v>
      </c>
    </row>
    <row r="481" spans="1:20" x14ac:dyDescent="0.25">
      <c r="A481" s="5">
        <v>44112</v>
      </c>
      <c r="B481">
        <v>9.0359999999999996E-2</v>
      </c>
      <c r="C481">
        <v>9.4619999999999996E-2</v>
      </c>
      <c r="D481">
        <v>8.9020000000000002E-2</v>
      </c>
      <c r="E481">
        <v>9.3119999999999994E-2</v>
      </c>
      <c r="F481">
        <v>5197036.8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0.46428571428571325</v>
      </c>
      <c r="Q481">
        <f t="shared" si="980"/>
        <v>2412909.9428571374</v>
      </c>
      <c r="R481">
        <f t="shared" si="981"/>
        <v>163789225.75152647</v>
      </c>
      <c r="S481">
        <f t="shared" si="982"/>
        <v>1637.8922575152646</v>
      </c>
      <c r="T481">
        <f t="shared" si="983"/>
        <v>1.6378922575152646</v>
      </c>
    </row>
    <row r="482" spans="1:20" x14ac:dyDescent="0.25">
      <c r="A482" s="5">
        <v>44111</v>
      </c>
      <c r="B482">
        <v>8.992E-2</v>
      </c>
      <c r="C482">
        <v>9.1700000000000004E-2</v>
      </c>
      <c r="D482">
        <v>8.8010000000000005E-2</v>
      </c>
      <c r="E482">
        <v>9.0340000000000004E-2</v>
      </c>
      <c r="F482">
        <v>1652782.1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0.26287262872628697</v>
      </c>
      <c r="Q482">
        <f t="shared" si="980"/>
        <v>434471.17533875292</v>
      </c>
      <c r="R482">
        <f t="shared" si="981"/>
        <v>161376315.80866933</v>
      </c>
      <c r="S482">
        <f t="shared" si="982"/>
        <v>1613.7631580866932</v>
      </c>
      <c r="T482">
        <f t="shared" si="983"/>
        <v>1.6137631580866931</v>
      </c>
    </row>
    <row r="483" spans="1:20" x14ac:dyDescent="0.25">
      <c r="A483" s="5">
        <v>44110</v>
      </c>
      <c r="B483">
        <v>9.4149999999999998E-2</v>
      </c>
      <c r="C483">
        <v>9.4469999999999998E-2</v>
      </c>
      <c r="D483">
        <v>8.8999999999999996E-2</v>
      </c>
      <c r="E483">
        <v>8.9450000000000002E-2</v>
      </c>
      <c r="F483">
        <v>3256312.7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-0.83546617915904731</v>
      </c>
      <c r="Q483">
        <f t="shared" si="980"/>
        <v>-2720539.1296160812</v>
      </c>
      <c r="R483">
        <f t="shared" si="981"/>
        <v>160941844.63333058</v>
      </c>
      <c r="S483">
        <f t="shared" si="982"/>
        <v>1609.4184463333058</v>
      </c>
      <c r="T483">
        <f t="shared" si="983"/>
        <v>1.6094184463333059</v>
      </c>
    </row>
    <row r="484" spans="1:20" x14ac:dyDescent="0.25">
      <c r="A484" s="5">
        <v>44109</v>
      </c>
      <c r="B484">
        <v>9.4740000000000005E-2</v>
      </c>
      <c r="C484">
        <v>9.5399999999999999E-2</v>
      </c>
      <c r="D484">
        <v>9.3359999999999999E-2</v>
      </c>
      <c r="E484">
        <v>9.4049999999999995E-2</v>
      </c>
      <c r="F484">
        <v>1734435.5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-0.32352941176470967</v>
      </c>
      <c r="Q484">
        <f t="shared" si="980"/>
        <v>-561140.89705883013</v>
      </c>
      <c r="R484">
        <f t="shared" si="981"/>
        <v>163662383.76294667</v>
      </c>
      <c r="S484">
        <f t="shared" si="982"/>
        <v>1636.6238376294666</v>
      </c>
      <c r="T484">
        <f t="shared" si="983"/>
        <v>1.6366238376294666</v>
      </c>
    </row>
    <row r="485" spans="1:20" x14ac:dyDescent="0.25">
      <c r="A485" s="5">
        <v>44108</v>
      </c>
      <c r="B485">
        <v>9.4579999999999997E-2</v>
      </c>
      <c r="C485">
        <v>9.597E-2</v>
      </c>
      <c r="D485">
        <v>9.3119999999999994E-2</v>
      </c>
      <c r="E485">
        <v>9.4450000000000006E-2</v>
      </c>
      <c r="F485">
        <v>1525193.7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-6.6666666666660171E-2</v>
      </c>
      <c r="Q485">
        <f t="shared" si="980"/>
        <v>-101679.57999999009</v>
      </c>
      <c r="R485">
        <f t="shared" si="981"/>
        <v>164223524.66000551</v>
      </c>
      <c r="S485">
        <f t="shared" si="982"/>
        <v>1642.235246600055</v>
      </c>
      <c r="T485">
        <f t="shared" si="983"/>
        <v>1.6422352466000549</v>
      </c>
    </row>
    <row r="486" spans="1:20" x14ac:dyDescent="0.25">
      <c r="A486" s="5">
        <v>44107</v>
      </c>
      <c r="B486">
        <v>9.4719999999999999E-2</v>
      </c>
      <c r="C486">
        <v>9.6579999999999999E-2</v>
      </c>
      <c r="D486">
        <v>9.0999999999999998E-2</v>
      </c>
      <c r="E486">
        <v>9.4820000000000002E-2</v>
      </c>
      <c r="F486">
        <v>1652575.8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0.36917562724014441</v>
      </c>
      <c r="Q486">
        <f t="shared" si="980"/>
        <v>610090.70752688346</v>
      </c>
      <c r="R486">
        <f t="shared" si="981"/>
        <v>164325204.24000549</v>
      </c>
      <c r="S486">
        <f t="shared" si="982"/>
        <v>1643.252042400055</v>
      </c>
      <c r="T486">
        <f t="shared" si="983"/>
        <v>1.643252042400055</v>
      </c>
    </row>
    <row r="487" spans="1:20" x14ac:dyDescent="0.25">
      <c r="A487" s="5">
        <v>44106</v>
      </c>
      <c r="B487">
        <v>9.7479999999999997E-2</v>
      </c>
      <c r="C487">
        <v>9.8589999999999997E-2</v>
      </c>
      <c r="D487">
        <v>9.1700000000000004E-2</v>
      </c>
      <c r="E487">
        <v>9.4479999999999995E-2</v>
      </c>
      <c r="F487">
        <v>3378560</v>
      </c>
      <c r="G487">
        <v>0</v>
      </c>
      <c r="L487" t="s">
        <v>8</v>
      </c>
      <c r="M487" t="s">
        <v>7</v>
      </c>
      <c r="N487" t="s">
        <v>7</v>
      </c>
      <c r="P487">
        <f t="shared" si="979"/>
        <v>-0.19303338171262888</v>
      </c>
      <c r="Q487">
        <f t="shared" si="980"/>
        <v>-652174.86211901938</v>
      </c>
      <c r="R487">
        <f t="shared" si="981"/>
        <v>163715113.5324786</v>
      </c>
      <c r="S487">
        <f t="shared" si="982"/>
        <v>1637.1511353247861</v>
      </c>
      <c r="T487">
        <f t="shared" si="983"/>
        <v>1.6371511353247861</v>
      </c>
    </row>
    <row r="488" spans="1:20" x14ac:dyDescent="0.25">
      <c r="A488" s="5">
        <v>44105</v>
      </c>
      <c r="B488">
        <v>9.9470000000000003E-2</v>
      </c>
      <c r="C488">
        <v>0.10007000000000001</v>
      </c>
      <c r="D488">
        <v>9.2810000000000004E-2</v>
      </c>
      <c r="E488">
        <v>9.7479999999999997E-2</v>
      </c>
      <c r="F488">
        <v>5694001.4000000004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0.28650137741046611</v>
      </c>
      <c r="Q488">
        <f t="shared" si="980"/>
        <v>1631339.2440771225</v>
      </c>
      <c r="R488">
        <f t="shared" si="981"/>
        <v>164367288.39459762</v>
      </c>
      <c r="S488">
        <f t="shared" si="982"/>
        <v>1643.6728839459763</v>
      </c>
      <c r="T488">
        <f t="shared" si="983"/>
        <v>1.6436728839459762</v>
      </c>
    </row>
    <row r="489" spans="1:20" x14ac:dyDescent="0.25">
      <c r="A489" s="5">
        <v>44104</v>
      </c>
      <c r="B489">
        <v>9.8140000000000005E-2</v>
      </c>
      <c r="C489">
        <v>0.10079</v>
      </c>
      <c r="D489">
        <v>9.4750000000000001E-2</v>
      </c>
      <c r="E489">
        <v>9.9140000000000006E-2</v>
      </c>
      <c r="F489">
        <v>6203842.7000000002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0.45364238410596103</v>
      </c>
      <c r="Q489">
        <f t="shared" si="980"/>
        <v>2814325.9930463624</v>
      </c>
      <c r="R489">
        <f t="shared" si="981"/>
        <v>162735949.1505205</v>
      </c>
      <c r="S489">
        <f t="shared" si="982"/>
        <v>1627.3594915052051</v>
      </c>
      <c r="T489">
        <f t="shared" si="983"/>
        <v>1.6273594915052052</v>
      </c>
    </row>
    <row r="490" spans="1:20" x14ac:dyDescent="0.25">
      <c r="A490" s="5">
        <v>44103</v>
      </c>
      <c r="B490">
        <v>9.6519999999999995E-2</v>
      </c>
      <c r="C490">
        <v>9.9860000000000004E-2</v>
      </c>
      <c r="D490">
        <v>9.4439999999999996E-2</v>
      </c>
      <c r="E490">
        <v>9.8519999999999996E-2</v>
      </c>
      <c r="F490">
        <v>4212402.7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0.50553505535055132</v>
      </c>
      <c r="Q490">
        <f t="shared" si="980"/>
        <v>2129517.2321033119</v>
      </c>
      <c r="R490">
        <f t="shared" si="981"/>
        <v>159921623.15747413</v>
      </c>
      <c r="S490">
        <f t="shared" si="982"/>
        <v>1599.2162315747414</v>
      </c>
      <c r="T490">
        <f t="shared" si="983"/>
        <v>1.5992162315747414</v>
      </c>
    </row>
    <row r="491" spans="1:20" x14ac:dyDescent="0.25">
      <c r="A491" s="5">
        <v>44102</v>
      </c>
      <c r="B491">
        <v>9.4149999999999998E-2</v>
      </c>
      <c r="C491">
        <v>0.1</v>
      </c>
      <c r="D491">
        <v>9.3829999999999997E-2</v>
      </c>
      <c r="E491">
        <v>9.6009999999999998E-2</v>
      </c>
      <c r="F491">
        <v>5206533.8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-0.29335494327390654</v>
      </c>
      <c r="Q491">
        <f t="shared" si="980"/>
        <v>-1527362.427552677</v>
      </c>
      <c r="R491">
        <f t="shared" si="981"/>
        <v>157792105.92537081</v>
      </c>
      <c r="S491">
        <f t="shared" si="982"/>
        <v>1577.9210592537081</v>
      </c>
      <c r="T491">
        <f t="shared" si="983"/>
        <v>1.5779210592537081</v>
      </c>
    </row>
    <row r="492" spans="1:20" x14ac:dyDescent="0.25">
      <c r="A492" s="5">
        <v>44101</v>
      </c>
      <c r="B492">
        <v>9.5670000000000005E-2</v>
      </c>
      <c r="C492">
        <v>9.6310000000000007E-2</v>
      </c>
      <c r="D492">
        <v>9.1889999999999999E-2</v>
      </c>
      <c r="E492">
        <v>9.4500000000000001E-2</v>
      </c>
      <c r="F492">
        <v>2744933.7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0.18099547511312078</v>
      </c>
      <c r="Q492">
        <f t="shared" si="980"/>
        <v>496820.57918551657</v>
      </c>
      <c r="R492">
        <f t="shared" si="981"/>
        <v>159319468.35292348</v>
      </c>
      <c r="S492">
        <f t="shared" si="982"/>
        <v>1593.1946835292349</v>
      </c>
      <c r="T492">
        <f t="shared" si="983"/>
        <v>1.593194683529235</v>
      </c>
    </row>
    <row r="493" spans="1:20" x14ac:dyDescent="0.25">
      <c r="A493" s="5">
        <v>44100</v>
      </c>
      <c r="B493">
        <v>9.5320000000000002E-2</v>
      </c>
      <c r="C493">
        <v>9.7000000000000003E-2</v>
      </c>
      <c r="D493">
        <v>9.3729999999999994E-2</v>
      </c>
      <c r="E493">
        <v>9.5729999999999996E-2</v>
      </c>
      <c r="F493">
        <v>2541825.2999999998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0.22324159021406501</v>
      </c>
      <c r="Q493">
        <f t="shared" si="980"/>
        <v>567441.12201834284</v>
      </c>
      <c r="R493">
        <f t="shared" si="981"/>
        <v>158822647.77373797</v>
      </c>
      <c r="S493">
        <f t="shared" si="982"/>
        <v>1588.2264777373796</v>
      </c>
      <c r="T493">
        <f t="shared" si="983"/>
        <v>1.5882264777373796</v>
      </c>
    </row>
    <row r="494" spans="1:20" x14ac:dyDescent="0.25">
      <c r="A494" s="5">
        <v>44099</v>
      </c>
      <c r="B494">
        <v>9.4619999999999996E-2</v>
      </c>
      <c r="C494">
        <v>9.7000000000000003E-2</v>
      </c>
      <c r="D494">
        <v>9.0999999999999998E-2</v>
      </c>
      <c r="E494">
        <v>9.5000000000000001E-2</v>
      </c>
      <c r="F494">
        <v>4507441.5999999996</v>
      </c>
      <c r="G494">
        <v>0</v>
      </c>
      <c r="L494" t="s">
        <v>7</v>
      </c>
      <c r="M494" t="s">
        <v>7</v>
      </c>
      <c r="N494" t="s">
        <v>7</v>
      </c>
      <c r="P494">
        <f t="shared" si="979"/>
        <v>0.33333333333333331</v>
      </c>
      <c r="Q494">
        <f t="shared" si="980"/>
        <v>1502480.5333333332</v>
      </c>
      <c r="R494">
        <f t="shared" si="981"/>
        <v>158255206.65171963</v>
      </c>
      <c r="S494">
        <f t="shared" si="982"/>
        <v>1582.5520665171964</v>
      </c>
      <c r="T494">
        <f t="shared" si="983"/>
        <v>1.5825520665171964</v>
      </c>
    </row>
    <row r="495" spans="1:20" x14ac:dyDescent="0.25">
      <c r="A495" s="5">
        <v>44098</v>
      </c>
      <c r="B495">
        <v>8.6290000000000006E-2</v>
      </c>
      <c r="C495">
        <v>9.7220000000000001E-2</v>
      </c>
      <c r="D495">
        <v>8.5639999999999994E-2</v>
      </c>
      <c r="E495">
        <v>9.4560000000000005E-2</v>
      </c>
      <c r="F495">
        <v>6219695.0999999996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0.54058721934369702</v>
      </c>
      <c r="Q495">
        <f t="shared" si="980"/>
        <v>3362287.6792746172</v>
      </c>
      <c r="R495">
        <f t="shared" si="981"/>
        <v>156752726.1183863</v>
      </c>
      <c r="S495">
        <f t="shared" si="982"/>
        <v>1567.5272611838629</v>
      </c>
      <c r="T495">
        <f t="shared" si="983"/>
        <v>1.5675272611838629</v>
      </c>
    </row>
    <row r="496" spans="1:20" x14ac:dyDescent="0.25">
      <c r="A496" s="5">
        <v>44097</v>
      </c>
      <c r="B496">
        <v>9.3310000000000004E-2</v>
      </c>
      <c r="C496">
        <v>9.3759999999999996E-2</v>
      </c>
      <c r="D496">
        <v>8.5500000000000007E-2</v>
      </c>
      <c r="E496">
        <v>8.6010000000000003E-2</v>
      </c>
      <c r="F496">
        <v>3897699.6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-0.876513317191284</v>
      </c>
      <c r="Q496">
        <f t="shared" si="980"/>
        <v>-3416385.605811141</v>
      </c>
      <c r="R496">
        <f t="shared" si="981"/>
        <v>153390438.43911168</v>
      </c>
      <c r="S496">
        <f t="shared" si="982"/>
        <v>1533.9043843911168</v>
      </c>
      <c r="T496">
        <f t="shared" si="983"/>
        <v>1.5339043843911169</v>
      </c>
    </row>
    <row r="497" spans="1:20" x14ac:dyDescent="0.25">
      <c r="A497" s="5">
        <v>44096</v>
      </c>
      <c r="B497">
        <v>9.1450000000000004E-2</v>
      </c>
      <c r="C497">
        <v>9.4119999999999995E-2</v>
      </c>
      <c r="D497">
        <v>9.0109999999999996E-2</v>
      </c>
      <c r="E497">
        <v>9.3460000000000001E-2</v>
      </c>
      <c r="F497">
        <v>2048478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0.67082294264339448</v>
      </c>
      <c r="Q497">
        <f t="shared" si="980"/>
        <v>1374166.0399002554</v>
      </c>
      <c r="R497">
        <f t="shared" si="981"/>
        <v>156806824.04492283</v>
      </c>
      <c r="S497">
        <f t="shared" si="982"/>
        <v>1568.0682404492284</v>
      </c>
      <c r="T497">
        <f t="shared" si="983"/>
        <v>1.5680682404492283</v>
      </c>
    </row>
    <row r="498" spans="1:20" x14ac:dyDescent="0.25">
      <c r="A498" s="5">
        <v>44095</v>
      </c>
      <c r="B498">
        <v>9.9239999999999995E-2</v>
      </c>
      <c r="C498">
        <v>0.10145</v>
      </c>
      <c r="D498">
        <v>9.0999999999999998E-2</v>
      </c>
      <c r="E498">
        <v>9.2420000000000002E-2</v>
      </c>
      <c r="F498">
        <v>5590846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-0.72822966507176945</v>
      </c>
      <c r="Q498">
        <f t="shared" si="980"/>
        <v>-4071419.9100478417</v>
      </c>
      <c r="R498">
        <f t="shared" si="981"/>
        <v>155432658.00502259</v>
      </c>
      <c r="S498">
        <f t="shared" si="982"/>
        <v>1554.3265800502259</v>
      </c>
      <c r="T498">
        <f t="shared" si="983"/>
        <v>1.5543265800502259</v>
      </c>
    </row>
    <row r="499" spans="1:20" x14ac:dyDescent="0.25">
      <c r="A499" s="5">
        <v>44094</v>
      </c>
      <c r="B499">
        <v>0.10272000000000001</v>
      </c>
      <c r="C499">
        <v>0.1031</v>
      </c>
      <c r="D499">
        <v>9.6019999999999994E-2</v>
      </c>
      <c r="E499">
        <v>9.9400000000000002E-2</v>
      </c>
      <c r="F499">
        <v>4035093.1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-4.5197740112992491E-2</v>
      </c>
      <c r="Q499">
        <f t="shared" si="980"/>
        <v>-182377.08926552921</v>
      </c>
      <c r="R499">
        <f t="shared" si="981"/>
        <v>159504077.91507041</v>
      </c>
      <c r="S499">
        <f t="shared" si="982"/>
        <v>1595.0407791507041</v>
      </c>
      <c r="T499">
        <f t="shared" si="983"/>
        <v>1.5950407791507042</v>
      </c>
    </row>
    <row r="500" spans="1:20" x14ac:dyDescent="0.25">
      <c r="A500" s="5">
        <v>44093</v>
      </c>
      <c r="B500">
        <v>0.10244</v>
      </c>
      <c r="C500">
        <v>0.10405</v>
      </c>
      <c r="D500">
        <v>0.10018000000000001</v>
      </c>
      <c r="E500">
        <v>0.10267999999999999</v>
      </c>
      <c r="F500">
        <v>3117790.9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0.29198966408268184</v>
      </c>
      <c r="Q500">
        <f t="shared" si="980"/>
        <v>910362.71757104225</v>
      </c>
      <c r="R500">
        <f t="shared" si="981"/>
        <v>159686455.00433594</v>
      </c>
      <c r="S500">
        <f t="shared" si="982"/>
        <v>1596.8645500433595</v>
      </c>
      <c r="T500">
        <f t="shared" si="983"/>
        <v>1.5968645500433596</v>
      </c>
    </row>
    <row r="501" spans="1:20" x14ac:dyDescent="0.25">
      <c r="A501" s="5">
        <v>44092</v>
      </c>
      <c r="B501">
        <v>0.1017</v>
      </c>
      <c r="C501">
        <v>0.10772</v>
      </c>
      <c r="D501">
        <v>9.9049999999999999E-2</v>
      </c>
      <c r="E501">
        <v>0.10237</v>
      </c>
      <c r="F501">
        <v>7972351.7000000002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-0.23414071510957218</v>
      </c>
      <c r="Q501">
        <f t="shared" si="980"/>
        <v>-1866652.1281430135</v>
      </c>
      <c r="R501">
        <f t="shared" si="981"/>
        <v>158776092.28676489</v>
      </c>
      <c r="S501">
        <f t="shared" si="982"/>
        <v>1587.7609228676488</v>
      </c>
      <c r="T501">
        <f t="shared" si="983"/>
        <v>1.5877609228676488</v>
      </c>
    </row>
    <row r="502" spans="1:20" x14ac:dyDescent="0.25">
      <c r="A502" s="5">
        <v>44091</v>
      </c>
      <c r="B502">
        <v>0.10845</v>
      </c>
      <c r="C502">
        <v>0.11098</v>
      </c>
      <c r="D502">
        <v>9.9500000000000005E-2</v>
      </c>
      <c r="E502">
        <v>0.10178</v>
      </c>
      <c r="F502">
        <v>7156279.7000000002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-0.60278745644599441</v>
      </c>
      <c r="Q502">
        <f t="shared" si="980"/>
        <v>-4313715.6379791042</v>
      </c>
      <c r="R502">
        <f t="shared" si="981"/>
        <v>160642744.4149079</v>
      </c>
      <c r="S502">
        <f t="shared" si="982"/>
        <v>1606.4274441490791</v>
      </c>
      <c r="T502">
        <f t="shared" si="983"/>
        <v>1.6064274441490791</v>
      </c>
    </row>
    <row r="503" spans="1:20" x14ac:dyDescent="0.25">
      <c r="A503" s="5">
        <v>44090</v>
      </c>
      <c r="B503">
        <v>9.5909999999999995E-2</v>
      </c>
      <c r="C503">
        <v>0.11625000000000001</v>
      </c>
      <c r="D503">
        <v>8.8499999999999995E-2</v>
      </c>
      <c r="E503">
        <v>0.10868999999999999</v>
      </c>
      <c r="F503">
        <v>15654649.199999999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0.45513513513513454</v>
      </c>
      <c r="Q503">
        <f t="shared" si="980"/>
        <v>7124980.8791351253</v>
      </c>
      <c r="R503">
        <f t="shared" si="981"/>
        <v>164956460.05288699</v>
      </c>
      <c r="S503">
        <f t="shared" si="982"/>
        <v>1649.56460052887</v>
      </c>
      <c r="T503">
        <f t="shared" si="983"/>
        <v>1.64956460052887</v>
      </c>
    </row>
    <row r="504" spans="1:20" x14ac:dyDescent="0.25">
      <c r="A504" s="5">
        <v>44089</v>
      </c>
      <c r="B504">
        <v>0.10843999999999999</v>
      </c>
      <c r="C504">
        <v>0.10876</v>
      </c>
      <c r="D504">
        <v>9.4500000000000001E-2</v>
      </c>
      <c r="E504">
        <v>9.5920000000000005E-2</v>
      </c>
      <c r="F504">
        <v>7564296.7999999998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-0.800841514726507</v>
      </c>
      <c r="Q504">
        <f t="shared" si="980"/>
        <v>-6057802.9071528697</v>
      </c>
      <c r="R504">
        <f t="shared" si="981"/>
        <v>157831479.17375186</v>
      </c>
      <c r="S504">
        <f t="shared" si="982"/>
        <v>1578.3147917375186</v>
      </c>
      <c r="T504">
        <f t="shared" si="983"/>
        <v>1.5783147917375187</v>
      </c>
    </row>
    <row r="505" spans="1:20" x14ac:dyDescent="0.25">
      <c r="A505" s="5">
        <v>44088</v>
      </c>
      <c r="B505">
        <v>0.10802</v>
      </c>
      <c r="C505">
        <v>0.1125</v>
      </c>
      <c r="D505">
        <v>0.10524</v>
      </c>
      <c r="E505">
        <v>0.10843999999999999</v>
      </c>
      <c r="F505">
        <v>4402217.8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-0.11845730027548391</v>
      </c>
      <c r="Q505">
        <f t="shared" si="980"/>
        <v>-521474.83581268019</v>
      </c>
      <c r="R505">
        <f t="shared" si="981"/>
        <v>163889282.08090472</v>
      </c>
      <c r="S505">
        <f t="shared" si="982"/>
        <v>1638.8928208090472</v>
      </c>
      <c r="T505">
        <f t="shared" si="983"/>
        <v>1.6388928208090472</v>
      </c>
    </row>
    <row r="506" spans="1:20" x14ac:dyDescent="0.25">
      <c r="A506" s="5">
        <v>44087</v>
      </c>
      <c r="B506">
        <v>0.11398</v>
      </c>
      <c r="C506">
        <v>0.125</v>
      </c>
      <c r="D506">
        <v>0.10607999999999999</v>
      </c>
      <c r="E506">
        <v>0.10792</v>
      </c>
      <c r="F506">
        <v>15190058.699999999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-0.80549682875264195</v>
      </c>
      <c r="Q506">
        <f t="shared" si="980"/>
        <v>-12235544.111416478</v>
      </c>
      <c r="R506">
        <f t="shared" si="981"/>
        <v>164410756.91671741</v>
      </c>
      <c r="S506">
        <f t="shared" si="982"/>
        <v>1644.107569167174</v>
      </c>
      <c r="T506">
        <f t="shared" si="983"/>
        <v>1.644107569167174</v>
      </c>
    </row>
    <row r="507" spans="1:20" x14ac:dyDescent="0.25">
      <c r="A507" s="5">
        <v>44086</v>
      </c>
      <c r="B507">
        <v>0.10918</v>
      </c>
      <c r="C507">
        <v>0.11451</v>
      </c>
      <c r="D507">
        <v>0.10639999999999999</v>
      </c>
      <c r="E507">
        <v>0.11348</v>
      </c>
      <c r="F507">
        <v>4655571.8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0.74599260172626325</v>
      </c>
      <c r="Q507">
        <f t="shared" si="980"/>
        <v>3473022.1196054225</v>
      </c>
      <c r="R507">
        <f t="shared" si="981"/>
        <v>176646301.0281339</v>
      </c>
      <c r="S507">
        <f t="shared" si="982"/>
        <v>1766.4630102813389</v>
      </c>
      <c r="T507">
        <f t="shared" si="983"/>
        <v>1.766463010281339</v>
      </c>
    </row>
    <row r="508" spans="1:20" x14ac:dyDescent="0.25">
      <c r="A508" s="5">
        <v>44085</v>
      </c>
      <c r="B508">
        <v>0.11081000000000001</v>
      </c>
      <c r="C508">
        <v>0.11457000000000001</v>
      </c>
      <c r="D508">
        <v>0.10542</v>
      </c>
      <c r="E508">
        <v>0.10934000000000001</v>
      </c>
      <c r="F508">
        <v>3819365.4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-0.14316939890710284</v>
      </c>
      <c r="Q508">
        <f t="shared" si="980"/>
        <v>-546816.24852458644</v>
      </c>
      <c r="R508">
        <f t="shared" si="981"/>
        <v>173173278.90852848</v>
      </c>
      <c r="S508">
        <f t="shared" si="982"/>
        <v>1731.7327890852848</v>
      </c>
      <c r="T508">
        <f t="shared" si="983"/>
        <v>1.7317327890852847</v>
      </c>
    </row>
    <row r="509" spans="1:20" x14ac:dyDescent="0.25">
      <c r="A509" s="5">
        <v>44084</v>
      </c>
      <c r="B509">
        <v>0.10236000000000001</v>
      </c>
      <c r="C509">
        <v>0.1132</v>
      </c>
      <c r="D509">
        <v>0.10236000000000001</v>
      </c>
      <c r="E509">
        <v>0.11078</v>
      </c>
      <c r="F509">
        <v>5906524.0999999996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0.55350553505535161</v>
      </c>
      <c r="Q509">
        <f t="shared" si="980"/>
        <v>3269293.7822878291</v>
      </c>
      <c r="R509">
        <f t="shared" si="981"/>
        <v>173720095.15705305</v>
      </c>
      <c r="S509">
        <f t="shared" si="982"/>
        <v>1737.2009515705306</v>
      </c>
      <c r="T509">
        <f t="shared" si="983"/>
        <v>1.7372009515705307</v>
      </c>
    </row>
    <row r="510" spans="1:20" x14ac:dyDescent="0.25">
      <c r="A510" s="5">
        <v>44083</v>
      </c>
      <c r="B510">
        <v>9.9650000000000002E-2</v>
      </c>
      <c r="C510">
        <v>0.10564999999999999</v>
      </c>
      <c r="D510">
        <v>9.7680000000000003E-2</v>
      </c>
      <c r="E510">
        <v>0.10256999999999999</v>
      </c>
      <c r="F510">
        <v>4644626.5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0.22710163111668685</v>
      </c>
      <c r="Q510">
        <f t="shared" si="980"/>
        <v>1054802.2540777884</v>
      </c>
      <c r="R510">
        <f t="shared" si="981"/>
        <v>170450801.37476522</v>
      </c>
      <c r="S510">
        <f t="shared" si="982"/>
        <v>1704.5080137476523</v>
      </c>
      <c r="T510">
        <f t="shared" si="983"/>
        <v>1.7045080137476523</v>
      </c>
    </row>
    <row r="511" spans="1:20" x14ac:dyDescent="0.25">
      <c r="A511" s="5">
        <v>44082</v>
      </c>
      <c r="B511">
        <v>0.10224</v>
      </c>
      <c r="C511">
        <v>0.10335</v>
      </c>
      <c r="D511">
        <v>9.6000000000000002E-2</v>
      </c>
      <c r="E511">
        <v>0.10002</v>
      </c>
      <c r="F511">
        <v>4778698.5999999996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9.3877551020407707E-2</v>
      </c>
      <c r="Q511">
        <f t="shared" si="980"/>
        <v>448612.52163265087</v>
      </c>
      <c r="R511">
        <f t="shared" si="981"/>
        <v>169395999.12068743</v>
      </c>
      <c r="S511">
        <f t="shared" si="982"/>
        <v>1693.9599912068743</v>
      </c>
      <c r="T511">
        <f t="shared" si="983"/>
        <v>1.6939599912068743</v>
      </c>
    </row>
    <row r="512" spans="1:20" x14ac:dyDescent="0.25">
      <c r="A512" s="5">
        <v>44081</v>
      </c>
      <c r="B512">
        <v>0.1037</v>
      </c>
      <c r="C512">
        <v>0.10466</v>
      </c>
      <c r="D512">
        <v>9.5000000000000001E-2</v>
      </c>
      <c r="E512">
        <v>0.10198</v>
      </c>
      <c r="F512">
        <v>6067378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0.44513457556935793</v>
      </c>
      <c r="Q512">
        <f t="shared" si="980"/>
        <v>2700799.7308488595</v>
      </c>
      <c r="R512">
        <f t="shared" si="981"/>
        <v>168947386.59905478</v>
      </c>
      <c r="S512">
        <f t="shared" si="982"/>
        <v>1689.4738659905479</v>
      </c>
      <c r="T512">
        <f t="shared" si="983"/>
        <v>1.6894738659905479</v>
      </c>
    </row>
    <row r="513" spans="1:20" x14ac:dyDescent="0.25">
      <c r="A513" s="5">
        <v>44080</v>
      </c>
      <c r="B513">
        <v>0.10185</v>
      </c>
      <c r="C513">
        <v>0.10706</v>
      </c>
      <c r="D513">
        <v>9.425E-2</v>
      </c>
      <c r="E513">
        <v>0.1037</v>
      </c>
      <c r="F513">
        <v>9007582.5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0.47540983606557358</v>
      </c>
      <c r="Q513">
        <f t="shared" si="980"/>
        <v>4282293.3196721291</v>
      </c>
      <c r="R513">
        <f t="shared" si="981"/>
        <v>166246586.86820593</v>
      </c>
      <c r="S513">
        <f t="shared" si="982"/>
        <v>1662.4658686820594</v>
      </c>
      <c r="T513">
        <f t="shared" si="983"/>
        <v>1.6624658686820595</v>
      </c>
    </row>
    <row r="514" spans="1:20" x14ac:dyDescent="0.25">
      <c r="A514" s="5">
        <v>44079</v>
      </c>
      <c r="B514">
        <v>0.11211</v>
      </c>
      <c r="C514">
        <v>0.11700000000000001</v>
      </c>
      <c r="D514">
        <v>9.5000000000000001E-2</v>
      </c>
      <c r="E514">
        <v>0.10197000000000001</v>
      </c>
      <c r="F514">
        <v>9697600.6999999993</v>
      </c>
      <c r="G514">
        <v>0</v>
      </c>
      <c r="L514" t="s">
        <v>8</v>
      </c>
      <c r="M514" t="s">
        <v>8</v>
      </c>
      <c r="N514" t="s">
        <v>7</v>
      </c>
      <c r="P514">
        <f t="shared" si="979"/>
        <v>-0.36636363636363617</v>
      </c>
      <c r="Q514">
        <f t="shared" si="980"/>
        <v>-3552848.2564545432</v>
      </c>
      <c r="R514">
        <f t="shared" si="981"/>
        <v>161964293.5485338</v>
      </c>
      <c r="S514">
        <f t="shared" si="982"/>
        <v>1619.6429354853381</v>
      </c>
      <c r="T514">
        <f t="shared" si="983"/>
        <v>1.6196429354853381</v>
      </c>
    </row>
    <row r="515" spans="1:20" x14ac:dyDescent="0.25">
      <c r="A515" s="5">
        <v>44078</v>
      </c>
      <c r="B515">
        <v>0.11122</v>
      </c>
      <c r="C515">
        <v>0.11391</v>
      </c>
      <c r="D515">
        <v>0.10154000000000001</v>
      </c>
      <c r="E515">
        <v>0.11199000000000001</v>
      </c>
      <c r="F515">
        <v>12541862.6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0.68957154405820653</v>
      </c>
      <c r="Q515">
        <f t="shared" si="980"/>
        <v>8648511.5584478732</v>
      </c>
      <c r="R515">
        <f t="shared" si="981"/>
        <v>165517141.80498835</v>
      </c>
      <c r="S515">
        <f t="shared" si="982"/>
        <v>1655.1714180498836</v>
      </c>
      <c r="T515">
        <f t="shared" si="983"/>
        <v>1.6551714180498835</v>
      </c>
    </row>
    <row r="516" spans="1:20" x14ac:dyDescent="0.25">
      <c r="A516" s="5">
        <v>44077</v>
      </c>
      <c r="B516">
        <v>0.12773000000000001</v>
      </c>
      <c r="C516">
        <v>0.12864</v>
      </c>
      <c r="D516">
        <v>9.0999999999999998E-2</v>
      </c>
      <c r="E516">
        <v>0.11106000000000001</v>
      </c>
      <c r="F516">
        <v>17066100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6.5887353878852542E-2</v>
      </c>
      <c r="Q516">
        <f t="shared" si="980"/>
        <v>1124440.1700318854</v>
      </c>
      <c r="R516">
        <f t="shared" si="981"/>
        <v>156868630.24654049</v>
      </c>
      <c r="S516">
        <f t="shared" si="982"/>
        <v>1568.6863024654049</v>
      </c>
      <c r="T516">
        <f t="shared" si="983"/>
        <v>1.568686302465405</v>
      </c>
    </row>
    <row r="517" spans="1:20" x14ac:dyDescent="0.25">
      <c r="A517" s="5">
        <v>44076</v>
      </c>
      <c r="B517">
        <v>0.13064000000000001</v>
      </c>
      <c r="C517">
        <v>0.13300000000000001</v>
      </c>
      <c r="D517">
        <v>0.12164999999999999</v>
      </c>
      <c r="E517">
        <v>0.12781000000000001</v>
      </c>
      <c r="F517">
        <v>13321024.300000001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8.5462555066080304E-2</v>
      </c>
      <c r="Q517">
        <f t="shared" si="980"/>
        <v>1138448.7727753439</v>
      </c>
      <c r="R517">
        <f t="shared" si="981"/>
        <v>155744190.07650861</v>
      </c>
      <c r="S517">
        <f t="shared" si="982"/>
        <v>1557.4419007650861</v>
      </c>
      <c r="T517">
        <f t="shared" si="983"/>
        <v>1.5574419007650862</v>
      </c>
    </row>
    <row r="518" spans="1:20" x14ac:dyDescent="0.25">
      <c r="A518" s="5">
        <v>44075</v>
      </c>
      <c r="B518">
        <v>0.13639000000000001</v>
      </c>
      <c r="C518">
        <v>0.13647999999999999</v>
      </c>
      <c r="D518">
        <v>0.12909999999999999</v>
      </c>
      <c r="E518">
        <v>0.13055</v>
      </c>
      <c r="F518">
        <v>19802077.300000001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-0.60704607046070258</v>
      </c>
      <c r="Q518">
        <f t="shared" ref="Q518:Q581" si="985">F518*P518</f>
        <v>-12020773.21192408</v>
      </c>
      <c r="R518">
        <f t="shared" ref="R518:R581" si="986">R519+Q518</f>
        <v>154605741.30373326</v>
      </c>
      <c r="S518">
        <f t="shared" ref="S518:S581" si="987">R518/100000</f>
        <v>1546.0574130373327</v>
      </c>
      <c r="T518">
        <f t="shared" ref="T518:T581" si="988">S518/1000</f>
        <v>1.5460574130373328</v>
      </c>
    </row>
    <row r="519" spans="1:20" x14ac:dyDescent="0.25">
      <c r="A519" s="5">
        <v>44074</v>
      </c>
      <c r="B519">
        <v>0.13500999999999999</v>
      </c>
      <c r="C519">
        <v>0.13850000000000001</v>
      </c>
      <c r="D519">
        <v>0.13333</v>
      </c>
      <c r="E519">
        <v>0.13608000000000001</v>
      </c>
      <c r="F519">
        <v>8861529.0999999996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6.3829787234041868E-2</v>
      </c>
      <c r="Q519">
        <f t="shared" si="985"/>
        <v>565629.51702127047</v>
      </c>
      <c r="R519">
        <f t="shared" si="986"/>
        <v>166626514.51565734</v>
      </c>
      <c r="S519">
        <f t="shared" si="987"/>
        <v>1666.2651451565735</v>
      </c>
      <c r="T519">
        <f t="shared" si="988"/>
        <v>1.6662651451565735</v>
      </c>
    </row>
    <row r="520" spans="1:20" x14ac:dyDescent="0.25">
      <c r="A520" s="5">
        <v>44073</v>
      </c>
      <c r="B520">
        <v>0.13572999999999999</v>
      </c>
      <c r="C520">
        <v>0.14061999999999999</v>
      </c>
      <c r="D520">
        <v>0.13406999999999999</v>
      </c>
      <c r="E520">
        <v>0.13535</v>
      </c>
      <c r="F520">
        <v>7821110.9000000004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-0.6091603053435104</v>
      </c>
      <c r="Q520">
        <f t="shared" si="985"/>
        <v>-4764310.3039694577</v>
      </c>
      <c r="R520">
        <f t="shared" si="986"/>
        <v>166060884.99863607</v>
      </c>
      <c r="S520">
        <f t="shared" si="987"/>
        <v>1660.6088499863606</v>
      </c>
      <c r="T520">
        <f t="shared" si="988"/>
        <v>1.6606088499863607</v>
      </c>
    </row>
    <row r="521" spans="1:20" x14ac:dyDescent="0.25">
      <c r="A521" s="5">
        <v>44072</v>
      </c>
      <c r="B521">
        <v>0.13123000000000001</v>
      </c>
      <c r="C521">
        <v>0.13965</v>
      </c>
      <c r="D521">
        <v>0.13081999999999999</v>
      </c>
      <c r="E521">
        <v>0.13574</v>
      </c>
      <c r="F521">
        <v>8836278.4000000004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0.11438278595696606</v>
      </c>
      <c r="Q521">
        <f t="shared" si="985"/>
        <v>1010718.1408833626</v>
      </c>
      <c r="R521">
        <f t="shared" si="986"/>
        <v>170825195.30260551</v>
      </c>
      <c r="S521">
        <f t="shared" si="987"/>
        <v>1708.2519530260552</v>
      </c>
      <c r="T521">
        <f t="shared" si="988"/>
        <v>1.7082519530260551</v>
      </c>
    </row>
    <row r="522" spans="1:20" x14ac:dyDescent="0.25">
      <c r="A522" s="5">
        <v>44071</v>
      </c>
      <c r="B522">
        <v>0.12956999999999999</v>
      </c>
      <c r="C522">
        <v>0.13320000000000001</v>
      </c>
      <c r="D522">
        <v>0.12852</v>
      </c>
      <c r="E522">
        <v>0.13152</v>
      </c>
      <c r="F522">
        <v>10575826.199999999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0.28205128205127838</v>
      </c>
      <c r="Q522">
        <f t="shared" si="985"/>
        <v>2982925.3384614997</v>
      </c>
      <c r="R522">
        <f t="shared" si="986"/>
        <v>169814477.16172215</v>
      </c>
      <c r="S522">
        <f t="shared" si="987"/>
        <v>1698.1447716172215</v>
      </c>
      <c r="T522">
        <f t="shared" si="988"/>
        <v>1.6981447716172215</v>
      </c>
    </row>
    <row r="523" spans="1:20" x14ac:dyDescent="0.25">
      <c r="A523" s="5">
        <v>44070</v>
      </c>
      <c r="B523">
        <v>0.13422000000000001</v>
      </c>
      <c r="C523">
        <v>0.13594999999999999</v>
      </c>
      <c r="D523">
        <v>0.12837000000000001</v>
      </c>
      <c r="E523">
        <v>0.12933</v>
      </c>
      <c r="F523">
        <v>7774303.5999999996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-0.74670184696570141</v>
      </c>
      <c r="Q523">
        <f t="shared" si="985"/>
        <v>-5805086.8569921013</v>
      </c>
      <c r="R523">
        <f t="shared" si="986"/>
        <v>166831551.82326066</v>
      </c>
      <c r="S523">
        <f t="shared" si="987"/>
        <v>1668.3155182326066</v>
      </c>
      <c r="T523">
        <f t="shared" si="988"/>
        <v>1.6683155182326066</v>
      </c>
    </row>
    <row r="524" spans="1:20" x14ac:dyDescent="0.25">
      <c r="A524" s="5">
        <v>44069</v>
      </c>
      <c r="B524">
        <v>0.13413</v>
      </c>
      <c r="C524">
        <v>0.13592000000000001</v>
      </c>
      <c r="D524">
        <v>0.13084000000000001</v>
      </c>
      <c r="E524">
        <v>0.13414999999999999</v>
      </c>
      <c r="F524">
        <v>6552704.9000000004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0.30314960629920429</v>
      </c>
      <c r="Q524">
        <f t="shared" si="985"/>
        <v>1986449.9106298669</v>
      </c>
      <c r="R524">
        <f t="shared" si="986"/>
        <v>172636638.68025276</v>
      </c>
      <c r="S524">
        <f t="shared" si="987"/>
        <v>1726.3663868025276</v>
      </c>
      <c r="T524">
        <f t="shared" si="988"/>
        <v>1.7263663868025276</v>
      </c>
    </row>
    <row r="525" spans="1:20" x14ac:dyDescent="0.25">
      <c r="A525" s="5">
        <v>44068</v>
      </c>
      <c r="B525">
        <v>0.14088999999999999</v>
      </c>
      <c r="C525">
        <v>0.14099999999999999</v>
      </c>
      <c r="D525">
        <v>0.12806999999999999</v>
      </c>
      <c r="E525">
        <v>0.13428000000000001</v>
      </c>
      <c r="F525">
        <v>10434668.199999999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-3.9443155452432717E-2</v>
      </c>
      <c r="Q525">
        <f t="shared" si="985"/>
        <v>-411576.23990715627</v>
      </c>
      <c r="R525">
        <f t="shared" si="986"/>
        <v>170650188.76962289</v>
      </c>
      <c r="S525">
        <f t="shared" si="987"/>
        <v>1706.501887696229</v>
      </c>
      <c r="T525">
        <f t="shared" si="988"/>
        <v>1.706501887696229</v>
      </c>
    </row>
    <row r="526" spans="1:20" x14ac:dyDescent="0.25">
      <c r="A526" s="5">
        <v>44067</v>
      </c>
      <c r="B526">
        <v>0.13482</v>
      </c>
      <c r="C526">
        <v>0.14599000000000001</v>
      </c>
      <c r="D526">
        <v>0.13249</v>
      </c>
      <c r="E526">
        <v>0.14091999999999999</v>
      </c>
      <c r="F526">
        <v>11667311.4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0.24888888888888674</v>
      </c>
      <c r="Q526">
        <f t="shared" si="985"/>
        <v>2903864.1706666416</v>
      </c>
      <c r="R526">
        <f t="shared" si="986"/>
        <v>171061765.00953004</v>
      </c>
      <c r="S526">
        <f t="shared" si="987"/>
        <v>1710.6176500953004</v>
      </c>
      <c r="T526">
        <f t="shared" si="988"/>
        <v>1.7106176500953003</v>
      </c>
    </row>
    <row r="527" spans="1:20" x14ac:dyDescent="0.25">
      <c r="A527" s="5">
        <v>44066</v>
      </c>
      <c r="B527">
        <v>0.13800000000000001</v>
      </c>
      <c r="C527">
        <v>0.1384</v>
      </c>
      <c r="D527">
        <v>0.1313</v>
      </c>
      <c r="E527">
        <v>0.1351</v>
      </c>
      <c r="F527">
        <v>4717453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7.042253521126772E-2</v>
      </c>
      <c r="Q527">
        <f t="shared" si="985"/>
        <v>332215.00000000052</v>
      </c>
      <c r="R527">
        <f t="shared" si="986"/>
        <v>168157900.8388634</v>
      </c>
      <c r="S527">
        <f t="shared" si="987"/>
        <v>1681.5790083886341</v>
      </c>
      <c r="T527">
        <f t="shared" si="988"/>
        <v>1.6815790083886342</v>
      </c>
    </row>
    <row r="528" spans="1:20" x14ac:dyDescent="0.25">
      <c r="A528" s="5">
        <v>44065</v>
      </c>
      <c r="B528">
        <v>0.13206000000000001</v>
      </c>
      <c r="C528">
        <v>0.13800000000000001</v>
      </c>
      <c r="D528">
        <v>0.1255</v>
      </c>
      <c r="E528">
        <v>0.13800000000000001</v>
      </c>
      <c r="F528">
        <v>8468612.5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1</v>
      </c>
      <c r="Q528">
        <f t="shared" si="985"/>
        <v>8468612.5</v>
      </c>
      <c r="R528">
        <f t="shared" si="986"/>
        <v>167825685.8388634</v>
      </c>
      <c r="S528">
        <f t="shared" si="987"/>
        <v>1678.2568583886341</v>
      </c>
      <c r="T528">
        <f t="shared" si="988"/>
        <v>1.6782568583886341</v>
      </c>
    </row>
    <row r="529" spans="1:20" x14ac:dyDescent="0.25">
      <c r="A529" s="5">
        <v>44064</v>
      </c>
      <c r="B529">
        <v>0.14021</v>
      </c>
      <c r="C529">
        <v>0.15179999999999999</v>
      </c>
      <c r="D529">
        <v>0.12992000000000001</v>
      </c>
      <c r="E529">
        <v>0.13202</v>
      </c>
      <c r="F529">
        <v>25922146.800000001</v>
      </c>
      <c r="G529">
        <v>0</v>
      </c>
      <c r="L529" t="s">
        <v>8</v>
      </c>
      <c r="M529" t="s">
        <v>7</v>
      </c>
      <c r="N529" t="s">
        <v>7</v>
      </c>
      <c r="P529">
        <f t="shared" si="984"/>
        <v>-0.80804387568555824</v>
      </c>
      <c r="Q529">
        <f t="shared" si="985"/>
        <v>-20946231.966361992</v>
      </c>
      <c r="R529">
        <f t="shared" si="986"/>
        <v>159357073.3388634</v>
      </c>
      <c r="S529">
        <f t="shared" si="987"/>
        <v>1593.5707333886339</v>
      </c>
      <c r="T529">
        <f t="shared" si="988"/>
        <v>1.593570733388634</v>
      </c>
    </row>
    <row r="530" spans="1:20" x14ac:dyDescent="0.25">
      <c r="A530" s="5">
        <v>44063</v>
      </c>
      <c r="B530">
        <v>0.13433</v>
      </c>
      <c r="C530">
        <v>0.14441999999999999</v>
      </c>
      <c r="D530">
        <v>0.13284000000000001</v>
      </c>
      <c r="E530">
        <v>0.13982</v>
      </c>
      <c r="F530">
        <v>13837327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0.20552677029360947</v>
      </c>
      <c r="Q530">
        <f t="shared" si="985"/>
        <v>2843941.1278065601</v>
      </c>
      <c r="R530">
        <f t="shared" si="986"/>
        <v>180303305.3052254</v>
      </c>
      <c r="S530">
        <f t="shared" si="987"/>
        <v>1803.033053052254</v>
      </c>
      <c r="T530">
        <f t="shared" si="988"/>
        <v>1.803033053052254</v>
      </c>
    </row>
    <row r="531" spans="1:20" x14ac:dyDescent="0.25">
      <c r="A531" s="5">
        <v>44062</v>
      </c>
      <c r="B531">
        <v>0.14407</v>
      </c>
      <c r="C531">
        <v>0.14602000000000001</v>
      </c>
      <c r="D531">
        <v>0.1295</v>
      </c>
      <c r="E531">
        <v>0.13386999999999999</v>
      </c>
      <c r="F531">
        <v>18336807.100000001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-0.4709443099273628</v>
      </c>
      <c r="Q531">
        <f t="shared" si="985"/>
        <v>-8635614.9659806676</v>
      </c>
      <c r="R531">
        <f t="shared" si="986"/>
        <v>177459364.17741883</v>
      </c>
      <c r="S531">
        <f t="shared" si="987"/>
        <v>1774.5936417741882</v>
      </c>
      <c r="T531">
        <f t="shared" si="988"/>
        <v>1.7745936417741881</v>
      </c>
    </row>
    <row r="532" spans="1:20" x14ac:dyDescent="0.25">
      <c r="A532" s="5">
        <v>44061</v>
      </c>
      <c r="B532">
        <v>0.15049000000000001</v>
      </c>
      <c r="C532">
        <v>0.15498999999999999</v>
      </c>
      <c r="D532">
        <v>0.14330000000000001</v>
      </c>
      <c r="E532">
        <v>0.14407</v>
      </c>
      <c r="F532">
        <v>15162672.300000001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-0.86826347305389318</v>
      </c>
      <c r="Q532">
        <f t="shared" si="985"/>
        <v>-13165194.511976063</v>
      </c>
      <c r="R532">
        <f t="shared" si="986"/>
        <v>186094979.14339951</v>
      </c>
      <c r="S532">
        <f t="shared" si="987"/>
        <v>1860.949791433995</v>
      </c>
      <c r="T532">
        <f t="shared" si="988"/>
        <v>1.860949791433995</v>
      </c>
    </row>
    <row r="533" spans="1:20" x14ac:dyDescent="0.25">
      <c r="A533" s="5">
        <v>44060</v>
      </c>
      <c r="B533">
        <v>0.16234000000000001</v>
      </c>
      <c r="C533">
        <v>0.16400999999999999</v>
      </c>
      <c r="D533">
        <v>0.14838000000000001</v>
      </c>
      <c r="E533">
        <v>0.15048</v>
      </c>
      <c r="F533">
        <v>33170316.800000001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-0.73128598848368598</v>
      </c>
      <c r="Q533">
        <f t="shared" si="985"/>
        <v>-24256987.909405015</v>
      </c>
      <c r="R533">
        <f t="shared" si="986"/>
        <v>199260173.65537557</v>
      </c>
      <c r="S533">
        <f t="shared" si="987"/>
        <v>1992.6017365537557</v>
      </c>
      <c r="T533">
        <f t="shared" si="988"/>
        <v>1.9926017365537556</v>
      </c>
    </row>
    <row r="534" spans="1:20" x14ac:dyDescent="0.25">
      <c r="A534" s="5">
        <v>44059</v>
      </c>
      <c r="B534">
        <v>0.15848000000000001</v>
      </c>
      <c r="C534">
        <v>0.16988</v>
      </c>
      <c r="D534">
        <v>0.15536</v>
      </c>
      <c r="E534">
        <v>0.16266</v>
      </c>
      <c r="F534">
        <v>25268337.600000001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5.5096418732780107E-3</v>
      </c>
      <c r="Q534">
        <f t="shared" si="985"/>
        <v>139219.4909090852</v>
      </c>
      <c r="R534">
        <f t="shared" si="986"/>
        <v>223517161.56478059</v>
      </c>
      <c r="S534">
        <f t="shared" si="987"/>
        <v>2235.171615647806</v>
      </c>
      <c r="T534">
        <f t="shared" si="988"/>
        <v>2.2351716156478059</v>
      </c>
    </row>
    <row r="535" spans="1:20" x14ac:dyDescent="0.25">
      <c r="A535" s="5">
        <v>44058</v>
      </c>
      <c r="B535">
        <v>0.17355000000000001</v>
      </c>
      <c r="C535">
        <v>0.19359999999999999</v>
      </c>
      <c r="D535">
        <v>0.15528</v>
      </c>
      <c r="E535">
        <v>0.15848000000000001</v>
      </c>
      <c r="F535">
        <v>61566313.799999997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-0.83298538622129392</v>
      </c>
      <c r="Q535">
        <f t="shared" si="985"/>
        <v>-51283839.678914376</v>
      </c>
      <c r="R535">
        <f t="shared" si="986"/>
        <v>223377942.07387149</v>
      </c>
      <c r="S535">
        <f t="shared" si="987"/>
        <v>2233.7794207387151</v>
      </c>
      <c r="T535">
        <f t="shared" si="988"/>
        <v>2.2337794207387152</v>
      </c>
    </row>
    <row r="536" spans="1:20" x14ac:dyDescent="0.25">
      <c r="A536" s="5">
        <v>44057</v>
      </c>
      <c r="B536">
        <v>0.17793999999999999</v>
      </c>
      <c r="C536">
        <v>0.18093999999999999</v>
      </c>
      <c r="D536">
        <v>0.16200999999999999</v>
      </c>
      <c r="E536">
        <v>0.1736</v>
      </c>
      <c r="F536">
        <v>44350603.399999999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0.22451135763338781</v>
      </c>
      <c r="Q536">
        <f t="shared" si="985"/>
        <v>9957214.1811939441</v>
      </c>
      <c r="R536">
        <f t="shared" si="986"/>
        <v>274661781.75278586</v>
      </c>
      <c r="S536">
        <f t="shared" si="987"/>
        <v>2746.6178175278587</v>
      </c>
      <c r="T536">
        <f t="shared" si="988"/>
        <v>2.7466178175278588</v>
      </c>
    </row>
    <row r="537" spans="1:20" x14ac:dyDescent="0.25">
      <c r="A537" s="5">
        <v>44056</v>
      </c>
      <c r="B537">
        <v>0.1285</v>
      </c>
      <c r="C537">
        <v>0.1925</v>
      </c>
      <c r="D537">
        <v>0.12587000000000001</v>
      </c>
      <c r="E537">
        <v>0.17795</v>
      </c>
      <c r="F537">
        <v>148166179.59999999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0.56325979288608707</v>
      </c>
      <c r="Q537">
        <f t="shared" si="985"/>
        <v>83456051.634218782</v>
      </c>
      <c r="R537">
        <f t="shared" si="986"/>
        <v>264704567.57159194</v>
      </c>
      <c r="S537">
        <f t="shared" si="987"/>
        <v>2647.0456757159195</v>
      </c>
      <c r="T537">
        <f t="shared" si="988"/>
        <v>2.6470456757159195</v>
      </c>
    </row>
    <row r="538" spans="1:20" x14ac:dyDescent="0.25">
      <c r="A538" s="5">
        <v>44055</v>
      </c>
      <c r="B538">
        <v>0.12662999999999999</v>
      </c>
      <c r="C538">
        <v>0.13100000000000001</v>
      </c>
      <c r="D538">
        <v>0.11999</v>
      </c>
      <c r="E538">
        <v>0.1285</v>
      </c>
      <c r="F538">
        <v>21393137.100000001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0.54586739327883727</v>
      </c>
      <c r="Q538">
        <f t="shared" si="985"/>
        <v>11677815.982833784</v>
      </c>
      <c r="R538">
        <f t="shared" si="986"/>
        <v>181248515.93737316</v>
      </c>
      <c r="S538">
        <f t="shared" si="987"/>
        <v>1812.4851593737317</v>
      </c>
      <c r="T538">
        <f t="shared" si="988"/>
        <v>1.8124851593737317</v>
      </c>
    </row>
    <row r="539" spans="1:20" x14ac:dyDescent="0.25">
      <c r="A539" s="5">
        <v>44054</v>
      </c>
      <c r="B539">
        <v>0.13603999999999999</v>
      </c>
      <c r="C539">
        <v>0.13911999999999999</v>
      </c>
      <c r="D539">
        <v>0.123</v>
      </c>
      <c r="E539">
        <v>0.127</v>
      </c>
      <c r="F539">
        <v>25369546.899999999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-0.50372208436724508</v>
      </c>
      <c r="Q539">
        <f t="shared" si="985"/>
        <v>-12779201.04392058</v>
      </c>
      <c r="R539">
        <f t="shared" si="986"/>
        <v>169570699.95453939</v>
      </c>
      <c r="S539">
        <f t="shared" si="987"/>
        <v>1695.706999545394</v>
      </c>
      <c r="T539">
        <f t="shared" si="988"/>
        <v>1.6957069995453939</v>
      </c>
    </row>
    <row r="540" spans="1:20" x14ac:dyDescent="0.25">
      <c r="A540" s="5">
        <v>44053</v>
      </c>
      <c r="B540">
        <v>0.12881000000000001</v>
      </c>
      <c r="C540">
        <v>0.14249999999999999</v>
      </c>
      <c r="D540">
        <v>0.12368</v>
      </c>
      <c r="E540">
        <v>0.13639999999999999</v>
      </c>
      <c r="F540">
        <v>31705099.100000001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0.3517534537725826</v>
      </c>
      <c r="Q540">
        <f t="shared" si="985"/>
        <v>11152378.110627001</v>
      </c>
      <c r="R540">
        <f t="shared" si="986"/>
        <v>182349900.99845996</v>
      </c>
      <c r="S540">
        <f t="shared" si="987"/>
        <v>1823.4990099845998</v>
      </c>
      <c r="T540">
        <f t="shared" si="988"/>
        <v>1.8234990099845998</v>
      </c>
    </row>
    <row r="541" spans="1:20" x14ac:dyDescent="0.25">
      <c r="A541" s="5">
        <v>44052</v>
      </c>
      <c r="B541">
        <v>0.12417</v>
      </c>
      <c r="C541">
        <v>0.13102</v>
      </c>
      <c r="D541">
        <v>0.12111</v>
      </c>
      <c r="E541">
        <v>0.12881999999999999</v>
      </c>
      <c r="F541">
        <v>18231180.199999999</v>
      </c>
      <c r="G541">
        <v>0</v>
      </c>
      <c r="L541" t="s">
        <v>8</v>
      </c>
      <c r="M541" t="s">
        <v>7</v>
      </c>
      <c r="N541" t="s">
        <v>8</v>
      </c>
      <c r="P541">
        <f t="shared" si="984"/>
        <v>0.55600403632694106</v>
      </c>
      <c r="Q541">
        <f t="shared" si="985"/>
        <v>10136609.778203808</v>
      </c>
      <c r="R541">
        <f t="shared" si="986"/>
        <v>171197522.88783297</v>
      </c>
      <c r="S541">
        <f t="shared" si="987"/>
        <v>1711.9752288783297</v>
      </c>
      <c r="T541">
        <f t="shared" si="988"/>
        <v>1.7119752288783296</v>
      </c>
    </row>
    <row r="542" spans="1:20" x14ac:dyDescent="0.25">
      <c r="A542" s="5">
        <v>44051</v>
      </c>
      <c r="B542">
        <v>0.12429</v>
      </c>
      <c r="C542">
        <v>0.12670999999999999</v>
      </c>
      <c r="D542">
        <v>0.12259</v>
      </c>
      <c r="E542">
        <v>0.12386999999999999</v>
      </c>
      <c r="F542">
        <v>9038388.5</v>
      </c>
      <c r="G542">
        <v>0</v>
      </c>
      <c r="L542" t="s">
        <v>7</v>
      </c>
      <c r="M542" t="s">
        <v>7</v>
      </c>
      <c r="N542" t="s">
        <v>8</v>
      </c>
      <c r="P542">
        <f t="shared" si="984"/>
        <v>-0.37864077669903196</v>
      </c>
      <c r="Q542">
        <f t="shared" si="985"/>
        <v>-3422302.4417475984</v>
      </c>
      <c r="R542">
        <f t="shared" si="986"/>
        <v>161060913.10962915</v>
      </c>
      <c r="S542">
        <f t="shared" si="987"/>
        <v>1610.6091310962915</v>
      </c>
      <c r="T542">
        <f t="shared" si="988"/>
        <v>1.6106091310962916</v>
      </c>
    </row>
    <row r="543" spans="1:20" x14ac:dyDescent="0.25">
      <c r="A543" s="5">
        <v>44050</v>
      </c>
      <c r="B543">
        <v>0.12559000000000001</v>
      </c>
      <c r="C543">
        <v>0.1273</v>
      </c>
      <c r="D543">
        <v>0.1181</v>
      </c>
      <c r="E543">
        <v>0.12435</v>
      </c>
      <c r="F543">
        <v>8910107.6999999993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0.35869565217391425</v>
      </c>
      <c r="Q543">
        <f t="shared" si="985"/>
        <v>3196016.8923913147</v>
      </c>
      <c r="R543">
        <f t="shared" si="986"/>
        <v>164483215.55137676</v>
      </c>
      <c r="S543">
        <f t="shared" si="987"/>
        <v>1644.8321555137677</v>
      </c>
      <c r="T543">
        <f t="shared" si="988"/>
        <v>1.6448321555137677</v>
      </c>
    </row>
    <row r="544" spans="1:20" x14ac:dyDescent="0.25">
      <c r="A544" s="5">
        <v>44049</v>
      </c>
      <c r="B544">
        <v>0.12833</v>
      </c>
      <c r="C544">
        <v>0.12878999999999999</v>
      </c>
      <c r="D544">
        <v>0.12461</v>
      </c>
      <c r="E544">
        <v>0.12559000000000001</v>
      </c>
      <c r="F544">
        <v>8941617.8000000007</v>
      </c>
      <c r="G544">
        <v>0</v>
      </c>
      <c r="L544" t="s">
        <v>8</v>
      </c>
      <c r="M544" t="s">
        <v>7</v>
      </c>
      <c r="N544" t="s">
        <v>8</v>
      </c>
      <c r="P544">
        <f t="shared" si="984"/>
        <v>-0.53110047846889419</v>
      </c>
      <c r="Q544">
        <f t="shared" si="985"/>
        <v>-4748897.4918659814</v>
      </c>
      <c r="R544">
        <f t="shared" si="986"/>
        <v>161287198.65898544</v>
      </c>
      <c r="S544">
        <f t="shared" si="987"/>
        <v>1612.8719865898543</v>
      </c>
      <c r="T544">
        <f t="shared" si="988"/>
        <v>1.6128719865898542</v>
      </c>
    </row>
    <row r="545" spans="1:20" x14ac:dyDescent="0.25">
      <c r="A545" s="5">
        <v>44048</v>
      </c>
      <c r="B545">
        <v>0.12261</v>
      </c>
      <c r="C545">
        <v>0.12967000000000001</v>
      </c>
      <c r="D545">
        <v>0.12239999999999999</v>
      </c>
      <c r="E545">
        <v>0.12839</v>
      </c>
      <c r="F545">
        <v>11763831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0.6478679504814302</v>
      </c>
      <c r="Q545">
        <f t="shared" si="985"/>
        <v>7621409.0797799136</v>
      </c>
      <c r="R545">
        <f t="shared" si="986"/>
        <v>166036096.15085143</v>
      </c>
      <c r="S545">
        <f t="shared" si="987"/>
        <v>1660.3609615085143</v>
      </c>
      <c r="T545">
        <f t="shared" si="988"/>
        <v>1.6603609615085142</v>
      </c>
    </row>
    <row r="546" spans="1:20" x14ac:dyDescent="0.25">
      <c r="A546" s="5">
        <v>44047</v>
      </c>
      <c r="B546">
        <v>0.12216</v>
      </c>
      <c r="C546">
        <v>0.1249</v>
      </c>
      <c r="D546">
        <v>0.12180000000000001</v>
      </c>
      <c r="E546">
        <v>0.12261</v>
      </c>
      <c r="F546">
        <v>7178051.2000000002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-0.47741935483871389</v>
      </c>
      <c r="Q546">
        <f t="shared" si="985"/>
        <v>-3426940.5729032559</v>
      </c>
      <c r="R546">
        <f t="shared" si="986"/>
        <v>158414687.07107151</v>
      </c>
      <c r="S546">
        <f t="shared" si="987"/>
        <v>1584.1468707107151</v>
      </c>
      <c r="T546">
        <f t="shared" si="988"/>
        <v>1.5841468707107151</v>
      </c>
    </row>
    <row r="547" spans="1:20" x14ac:dyDescent="0.25">
      <c r="A547" s="5">
        <v>44046</v>
      </c>
      <c r="B547">
        <v>0.12191</v>
      </c>
      <c r="C547">
        <v>0.12520000000000001</v>
      </c>
      <c r="D547">
        <v>0.12112000000000001</v>
      </c>
      <c r="E547">
        <v>0.12182999999999999</v>
      </c>
      <c r="F547">
        <v>7082878.5999999996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-0.65196078431373117</v>
      </c>
      <c r="Q547">
        <f t="shared" si="985"/>
        <v>-4617759.0872549424</v>
      </c>
      <c r="R547">
        <f t="shared" si="986"/>
        <v>161841627.64397475</v>
      </c>
      <c r="S547">
        <f t="shared" si="987"/>
        <v>1618.4162764397474</v>
      </c>
      <c r="T547">
        <f t="shared" si="988"/>
        <v>1.6184162764397474</v>
      </c>
    </row>
    <row r="548" spans="1:20" x14ac:dyDescent="0.25">
      <c r="A548" s="5">
        <v>44045</v>
      </c>
      <c r="B548">
        <v>0.12388</v>
      </c>
      <c r="C548">
        <v>0.12770000000000001</v>
      </c>
      <c r="D548">
        <v>0.11677999999999999</v>
      </c>
      <c r="E548">
        <v>0.12191</v>
      </c>
      <c r="F548">
        <v>10568438.6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-6.0439560439559809E-2</v>
      </c>
      <c r="Q548">
        <f t="shared" si="985"/>
        <v>-638751.78351647686</v>
      </c>
      <c r="R548">
        <f t="shared" si="986"/>
        <v>166459386.73122969</v>
      </c>
      <c r="S548">
        <f t="shared" si="987"/>
        <v>1664.5938673122969</v>
      </c>
      <c r="T548">
        <f t="shared" si="988"/>
        <v>1.6645938673122969</v>
      </c>
    </row>
    <row r="549" spans="1:20" x14ac:dyDescent="0.25">
      <c r="A549" s="5">
        <v>44044</v>
      </c>
      <c r="B549">
        <v>0.12291000000000001</v>
      </c>
      <c r="C549">
        <v>0.13042000000000001</v>
      </c>
      <c r="D549">
        <v>0.12138</v>
      </c>
      <c r="E549">
        <v>0.12388</v>
      </c>
      <c r="F549">
        <v>16185073.300000001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-0.44690265486725655</v>
      </c>
      <c r="Q549">
        <f t="shared" si="985"/>
        <v>-7233152.2269911496</v>
      </c>
      <c r="R549">
        <f t="shared" si="986"/>
        <v>167098138.51474616</v>
      </c>
      <c r="S549">
        <f t="shared" si="987"/>
        <v>1670.9813851474617</v>
      </c>
      <c r="T549">
        <f t="shared" si="988"/>
        <v>1.6709813851474618</v>
      </c>
    </row>
    <row r="550" spans="1:20" x14ac:dyDescent="0.25">
      <c r="A550" s="5">
        <v>44043</v>
      </c>
      <c r="B550">
        <v>0.12573999999999999</v>
      </c>
      <c r="C550">
        <v>0.12740000000000001</v>
      </c>
      <c r="D550">
        <v>0.12218</v>
      </c>
      <c r="E550">
        <v>0.12241</v>
      </c>
      <c r="F550">
        <v>5950927.7999999998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-0.91187739463601258</v>
      </c>
      <c r="Q550">
        <f t="shared" si="985"/>
        <v>-5426516.5379310176</v>
      </c>
      <c r="R550">
        <f t="shared" si="986"/>
        <v>174331290.74173731</v>
      </c>
      <c r="S550">
        <f t="shared" si="987"/>
        <v>1743.312907417373</v>
      </c>
      <c r="T550">
        <f t="shared" si="988"/>
        <v>1.743312907417373</v>
      </c>
    </row>
    <row r="551" spans="1:20" x14ac:dyDescent="0.25">
      <c r="A551" s="5">
        <v>44042</v>
      </c>
      <c r="B551">
        <v>0.12434000000000001</v>
      </c>
      <c r="C551">
        <v>0.1288</v>
      </c>
      <c r="D551">
        <v>0.12334000000000001</v>
      </c>
      <c r="E551">
        <v>0.12573000000000001</v>
      </c>
      <c r="F551">
        <v>5751004.0999999996</v>
      </c>
      <c r="G551">
        <v>0</v>
      </c>
      <c r="L551" t="s">
        <v>7</v>
      </c>
      <c r="M551" t="s">
        <v>8</v>
      </c>
      <c r="N551" t="s">
        <v>8</v>
      </c>
      <c r="P551">
        <f t="shared" si="984"/>
        <v>-0.12454212454212217</v>
      </c>
      <c r="Q551">
        <f t="shared" si="985"/>
        <v>-716242.26886445517</v>
      </c>
      <c r="R551">
        <f t="shared" si="986"/>
        <v>179757807.27966833</v>
      </c>
      <c r="S551">
        <f t="shared" si="987"/>
        <v>1797.5780727966833</v>
      </c>
      <c r="T551">
        <f t="shared" si="988"/>
        <v>1.7975780727966832</v>
      </c>
    </row>
    <row r="552" spans="1:20" x14ac:dyDescent="0.25">
      <c r="A552" s="5">
        <v>44041</v>
      </c>
      <c r="B552">
        <v>0.13109999999999999</v>
      </c>
      <c r="C552">
        <v>0.13200000000000001</v>
      </c>
      <c r="D552">
        <v>0.12222</v>
      </c>
      <c r="E552">
        <v>0.12434000000000001</v>
      </c>
      <c r="F552">
        <v>6847947.5</v>
      </c>
      <c r="G552">
        <v>0</v>
      </c>
      <c r="L552" t="s">
        <v>7</v>
      </c>
      <c r="M552" t="s">
        <v>8</v>
      </c>
      <c r="N552" t="s">
        <v>8</v>
      </c>
      <c r="P552">
        <f t="shared" si="984"/>
        <v>-0.5664621676891598</v>
      </c>
      <c r="Q552">
        <f t="shared" si="985"/>
        <v>-3879103.1850715624</v>
      </c>
      <c r="R552">
        <f t="shared" si="986"/>
        <v>180474049.54853278</v>
      </c>
      <c r="S552">
        <f t="shared" si="987"/>
        <v>1804.7404954853278</v>
      </c>
      <c r="T552">
        <f t="shared" si="988"/>
        <v>1.8047404954853277</v>
      </c>
    </row>
    <row r="553" spans="1:20" x14ac:dyDescent="0.25">
      <c r="A553" s="5">
        <v>44040</v>
      </c>
      <c r="B553">
        <v>0.12071</v>
      </c>
      <c r="C553">
        <v>0.13549</v>
      </c>
      <c r="D553">
        <v>0.1197</v>
      </c>
      <c r="E553">
        <v>0.13100000000000001</v>
      </c>
      <c r="F553">
        <v>12149236.9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0.43128562381254026</v>
      </c>
      <c r="Q553">
        <f t="shared" si="985"/>
        <v>5239791.2152628331</v>
      </c>
      <c r="R553">
        <f t="shared" si="986"/>
        <v>184353152.73360434</v>
      </c>
      <c r="S553">
        <f t="shared" si="987"/>
        <v>1843.5315273360434</v>
      </c>
      <c r="T553">
        <f t="shared" si="988"/>
        <v>1.8435315273360433</v>
      </c>
    </row>
    <row r="554" spans="1:20" x14ac:dyDescent="0.25">
      <c r="A554" s="5">
        <v>44039</v>
      </c>
      <c r="B554">
        <v>0.12963</v>
      </c>
      <c r="C554">
        <v>0.13</v>
      </c>
      <c r="D554">
        <v>0.11501</v>
      </c>
      <c r="E554">
        <v>0.12064999999999999</v>
      </c>
      <c r="F554">
        <v>13467818.699999999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-0.24749833222148218</v>
      </c>
      <c r="Q554">
        <f t="shared" si="985"/>
        <v>-3333262.66691129</v>
      </c>
      <c r="R554">
        <f t="shared" si="986"/>
        <v>179113361.51834151</v>
      </c>
      <c r="S554">
        <f t="shared" si="987"/>
        <v>1791.133615183415</v>
      </c>
      <c r="T554">
        <f t="shared" si="988"/>
        <v>1.791133615183415</v>
      </c>
    </row>
    <row r="555" spans="1:20" x14ac:dyDescent="0.25">
      <c r="A555" s="5">
        <v>44038</v>
      </c>
      <c r="B555">
        <v>0.12820999999999999</v>
      </c>
      <c r="C555">
        <v>0.13100000000000001</v>
      </c>
      <c r="D555">
        <v>0.12570000000000001</v>
      </c>
      <c r="E555">
        <v>0.12964000000000001</v>
      </c>
      <c r="F555">
        <v>8271513.2000000002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0.48679245283018857</v>
      </c>
      <c r="Q555">
        <f t="shared" si="985"/>
        <v>4026510.199245282</v>
      </c>
      <c r="R555">
        <f t="shared" si="986"/>
        <v>182446624.18525282</v>
      </c>
      <c r="S555">
        <f t="shared" si="987"/>
        <v>1824.4662418525281</v>
      </c>
      <c r="T555">
        <f t="shared" si="988"/>
        <v>1.8244662418525281</v>
      </c>
    </row>
    <row r="556" spans="1:20" x14ac:dyDescent="0.25">
      <c r="A556" s="5">
        <v>44037</v>
      </c>
      <c r="B556">
        <v>0.12981000000000001</v>
      </c>
      <c r="C556">
        <v>0.13338</v>
      </c>
      <c r="D556">
        <v>0.12806000000000001</v>
      </c>
      <c r="E556">
        <v>0.12820999999999999</v>
      </c>
      <c r="F556">
        <v>6492654.2999999998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-0.94360902255639711</v>
      </c>
      <c r="Q556">
        <f t="shared" si="985"/>
        <v>-6126527.1778195882</v>
      </c>
      <c r="R556">
        <f t="shared" si="986"/>
        <v>178420113.98600754</v>
      </c>
      <c r="S556">
        <f t="shared" si="987"/>
        <v>1784.2011398600755</v>
      </c>
      <c r="T556">
        <f t="shared" si="988"/>
        <v>1.7842011398600754</v>
      </c>
    </row>
    <row r="557" spans="1:20" x14ac:dyDescent="0.25">
      <c r="A557" s="5">
        <v>44036</v>
      </c>
      <c r="B557">
        <v>0.13299</v>
      </c>
      <c r="C557">
        <v>0.13389000000000001</v>
      </c>
      <c r="D557">
        <v>0.1263</v>
      </c>
      <c r="E557">
        <v>0.1295</v>
      </c>
      <c r="F557">
        <v>10127428.699999999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-0.15678524374176475</v>
      </c>
      <c r="Q557">
        <f t="shared" si="985"/>
        <v>-1587831.3772068436</v>
      </c>
      <c r="R557">
        <f t="shared" si="986"/>
        <v>184546641.16382712</v>
      </c>
      <c r="S557">
        <f t="shared" si="987"/>
        <v>1845.4664116382712</v>
      </c>
      <c r="T557">
        <f t="shared" si="988"/>
        <v>1.8454664116382713</v>
      </c>
    </row>
    <row r="558" spans="1:20" x14ac:dyDescent="0.25">
      <c r="A558" s="5">
        <v>44035</v>
      </c>
      <c r="B558">
        <v>0.13686999999999999</v>
      </c>
      <c r="C558">
        <v>0.13700000000000001</v>
      </c>
      <c r="D558">
        <v>0.13200000000000001</v>
      </c>
      <c r="E558">
        <v>0.13288</v>
      </c>
      <c r="F558">
        <v>8812191.5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-0.64800000000000357</v>
      </c>
      <c r="Q558">
        <f t="shared" si="985"/>
        <v>-5710300.0920000318</v>
      </c>
      <c r="R558">
        <f t="shared" si="986"/>
        <v>186134472.54103395</v>
      </c>
      <c r="S558">
        <f t="shared" si="987"/>
        <v>1861.3447254103396</v>
      </c>
      <c r="T558">
        <f t="shared" si="988"/>
        <v>1.8613447254103397</v>
      </c>
    </row>
    <row r="559" spans="1:20" x14ac:dyDescent="0.25">
      <c r="A559" s="5">
        <v>44034</v>
      </c>
      <c r="B559">
        <v>0.13727</v>
      </c>
      <c r="C559">
        <v>0.13811000000000001</v>
      </c>
      <c r="D559">
        <v>0.13486000000000001</v>
      </c>
      <c r="E559">
        <v>0.13689999999999999</v>
      </c>
      <c r="F559">
        <v>7351049.0999999996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0.25538461538460583</v>
      </c>
      <c r="Q559">
        <f t="shared" si="985"/>
        <v>1877344.8470768528</v>
      </c>
      <c r="R559">
        <f t="shared" si="986"/>
        <v>191844772.63303399</v>
      </c>
      <c r="S559">
        <f t="shared" si="987"/>
        <v>1918.4477263303399</v>
      </c>
      <c r="T559">
        <f t="shared" si="988"/>
        <v>1.9184477263303399</v>
      </c>
    </row>
    <row r="560" spans="1:20" x14ac:dyDescent="0.25">
      <c r="A560" s="5">
        <v>44033</v>
      </c>
      <c r="B560">
        <v>0.13561000000000001</v>
      </c>
      <c r="C560">
        <v>0.14191999999999999</v>
      </c>
      <c r="D560">
        <v>0.13471</v>
      </c>
      <c r="E560">
        <v>0.13705000000000001</v>
      </c>
      <c r="F560">
        <v>8756574.6999999993</v>
      </c>
      <c r="G560">
        <v>0</v>
      </c>
      <c r="L560" t="s">
        <v>8</v>
      </c>
      <c r="M560" t="s">
        <v>7</v>
      </c>
      <c r="N560" t="s">
        <v>8</v>
      </c>
      <c r="P560">
        <f t="shared" si="984"/>
        <v>-0.35090152565880428</v>
      </c>
      <c r="Q560">
        <f t="shared" si="985"/>
        <v>-3072695.4217752861</v>
      </c>
      <c r="R560">
        <f t="shared" si="986"/>
        <v>189967427.78595713</v>
      </c>
      <c r="S560">
        <f t="shared" si="987"/>
        <v>1899.6742778595712</v>
      </c>
      <c r="T560">
        <f t="shared" si="988"/>
        <v>1.8996742778595712</v>
      </c>
    </row>
    <row r="561" spans="1:104" x14ac:dyDescent="0.25">
      <c r="A561" s="5">
        <v>44032</v>
      </c>
      <c r="B561">
        <v>0.13813</v>
      </c>
      <c r="C561">
        <v>0.14288000000000001</v>
      </c>
      <c r="D561">
        <v>0.1346</v>
      </c>
      <c r="E561">
        <v>0.13585</v>
      </c>
      <c r="F561">
        <v>15617211.6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-0.69806763285024165</v>
      </c>
      <c r="Q561">
        <f t="shared" si="985"/>
        <v>-10901869.933333335</v>
      </c>
      <c r="R561">
        <f t="shared" si="986"/>
        <v>193040123.20773241</v>
      </c>
      <c r="S561">
        <f t="shared" si="987"/>
        <v>1930.401232077324</v>
      </c>
      <c r="T561">
        <f t="shared" si="988"/>
        <v>1.9304012320773241</v>
      </c>
      <c r="CZ561" t="s">
        <v>7</v>
      </c>
    </row>
    <row r="562" spans="1:104" x14ac:dyDescent="0.25">
      <c r="A562" s="5">
        <v>44031</v>
      </c>
      <c r="B562">
        <v>0.13394</v>
      </c>
      <c r="C562">
        <v>0.13955999999999999</v>
      </c>
      <c r="D562">
        <v>0.13381000000000001</v>
      </c>
      <c r="E562">
        <v>0.1381</v>
      </c>
      <c r="F562">
        <v>8330593.5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0.49217391304348007</v>
      </c>
      <c r="Q562">
        <f t="shared" si="985"/>
        <v>4100100.8008695804</v>
      </c>
      <c r="R562">
        <f t="shared" si="986"/>
        <v>203941993.14106575</v>
      </c>
      <c r="S562">
        <f t="shared" si="987"/>
        <v>2039.4199314106575</v>
      </c>
      <c r="T562">
        <f t="shared" si="988"/>
        <v>2.0394199314106576</v>
      </c>
      <c r="CZ562" t="s">
        <v>7</v>
      </c>
    </row>
    <row r="563" spans="1:104" x14ac:dyDescent="0.25">
      <c r="A563" s="5">
        <v>44030</v>
      </c>
      <c r="B563">
        <v>0.13455</v>
      </c>
      <c r="C563">
        <v>0.13561000000000001</v>
      </c>
      <c r="D563">
        <v>0.13269</v>
      </c>
      <c r="E563">
        <v>0.13395000000000001</v>
      </c>
      <c r="F563">
        <v>4529923.4000000004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-0.13698630136985715</v>
      </c>
      <c r="Q563">
        <f t="shared" si="985"/>
        <v>-620537.45205476799</v>
      </c>
      <c r="R563">
        <f t="shared" si="986"/>
        <v>199841892.34019616</v>
      </c>
      <c r="S563">
        <f t="shared" si="987"/>
        <v>1998.4189234019616</v>
      </c>
      <c r="T563">
        <f t="shared" si="988"/>
        <v>1.9984189234019616</v>
      </c>
      <c r="CZ563" t="s">
        <v>7</v>
      </c>
    </row>
    <row r="564" spans="1:104" x14ac:dyDescent="0.25">
      <c r="A564" s="5">
        <v>44029</v>
      </c>
      <c r="B564">
        <v>0.13074</v>
      </c>
      <c r="C564">
        <v>0.1356</v>
      </c>
      <c r="D564">
        <v>0.13027</v>
      </c>
      <c r="E564">
        <v>0.13444</v>
      </c>
      <c r="F564">
        <v>6956877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0.56472795497185968</v>
      </c>
      <c r="Q564">
        <f t="shared" si="985"/>
        <v>3928742.9212007662</v>
      </c>
      <c r="R564">
        <f t="shared" si="986"/>
        <v>200462429.79225093</v>
      </c>
      <c r="S564">
        <f t="shared" si="987"/>
        <v>2004.6242979225094</v>
      </c>
      <c r="T564">
        <f t="shared" si="988"/>
        <v>2.0046242979225095</v>
      </c>
    </row>
    <row r="565" spans="1:104" x14ac:dyDescent="0.25">
      <c r="A565" s="5">
        <v>44028</v>
      </c>
      <c r="B565">
        <v>0.13786000000000001</v>
      </c>
      <c r="C565">
        <v>0.13941999999999999</v>
      </c>
      <c r="D565">
        <v>0.1275</v>
      </c>
      <c r="E565">
        <v>0.13074</v>
      </c>
      <c r="F565">
        <v>14140350.4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-0.45637583892617506</v>
      </c>
      <c r="Q565">
        <f t="shared" si="985"/>
        <v>-6453314.2765100757</v>
      </c>
      <c r="R565">
        <f t="shared" si="986"/>
        <v>196533686.87105018</v>
      </c>
      <c r="S565">
        <f t="shared" si="987"/>
        <v>1965.3368687105019</v>
      </c>
      <c r="T565">
        <f t="shared" si="988"/>
        <v>1.9653368687105019</v>
      </c>
    </row>
    <row r="566" spans="1:104" x14ac:dyDescent="0.25">
      <c r="A566" s="5">
        <v>44027</v>
      </c>
      <c r="B566">
        <v>0.13775999999999999</v>
      </c>
      <c r="C566">
        <v>0.1449</v>
      </c>
      <c r="D566">
        <v>0.13697999999999999</v>
      </c>
      <c r="E566">
        <v>0.13833000000000001</v>
      </c>
      <c r="F566">
        <v>15506614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-0.65909090909090506</v>
      </c>
      <c r="Q566">
        <f t="shared" si="985"/>
        <v>-10220268.318181755</v>
      </c>
      <c r="R566">
        <f t="shared" si="986"/>
        <v>202987001.14756027</v>
      </c>
      <c r="S566">
        <f t="shared" si="987"/>
        <v>2029.8700114756027</v>
      </c>
      <c r="T566">
        <f t="shared" si="988"/>
        <v>2.0298700114756025</v>
      </c>
    </row>
    <row r="567" spans="1:104" x14ac:dyDescent="0.25">
      <c r="A567" s="5">
        <v>44026</v>
      </c>
      <c r="B567">
        <v>0.13650999999999999</v>
      </c>
      <c r="C567">
        <v>0.14229</v>
      </c>
      <c r="D567">
        <v>0.13458999999999999</v>
      </c>
      <c r="E567">
        <v>0.13775999999999999</v>
      </c>
      <c r="F567">
        <v>9303071.3000000007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-0.17662337662337635</v>
      </c>
      <c r="Q567">
        <f t="shared" si="985"/>
        <v>-1643139.8659740235</v>
      </c>
      <c r="R567">
        <f t="shared" si="986"/>
        <v>213207269.46574202</v>
      </c>
      <c r="S567">
        <f t="shared" si="987"/>
        <v>2132.07269465742</v>
      </c>
      <c r="T567">
        <f t="shared" si="988"/>
        <v>2.13207269465742</v>
      </c>
    </row>
    <row r="568" spans="1:104" x14ac:dyDescent="0.25">
      <c r="A568" s="5">
        <v>44025</v>
      </c>
      <c r="B568">
        <v>0.14152000000000001</v>
      </c>
      <c r="C568">
        <v>0.14221</v>
      </c>
      <c r="D568">
        <v>0.1351</v>
      </c>
      <c r="E568">
        <v>0.13650999999999999</v>
      </c>
      <c r="F568">
        <v>12501159.199999999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-0.60337552742616218</v>
      </c>
      <c r="Q568">
        <f t="shared" si="985"/>
        <v>-7542893.525738419</v>
      </c>
      <c r="R568">
        <f t="shared" si="986"/>
        <v>214850409.33171603</v>
      </c>
      <c r="S568">
        <f t="shared" si="987"/>
        <v>2148.5040933171604</v>
      </c>
      <c r="T568">
        <f t="shared" si="988"/>
        <v>2.1485040933171602</v>
      </c>
    </row>
    <row r="569" spans="1:104" x14ac:dyDescent="0.25">
      <c r="A569" s="5">
        <v>44024</v>
      </c>
      <c r="B569">
        <v>0.14585000000000001</v>
      </c>
      <c r="C569">
        <v>0.14799999999999999</v>
      </c>
      <c r="D569">
        <v>0.13836000000000001</v>
      </c>
      <c r="E569">
        <v>0.14127999999999999</v>
      </c>
      <c r="F569">
        <v>10894085.5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-0.39419087136929798</v>
      </c>
      <c r="Q569">
        <f t="shared" si="985"/>
        <v>-4294349.0560166342</v>
      </c>
      <c r="R569">
        <f t="shared" si="986"/>
        <v>222393302.85745445</v>
      </c>
      <c r="S569">
        <f t="shared" si="987"/>
        <v>2223.9330285745446</v>
      </c>
      <c r="T569">
        <f t="shared" si="988"/>
        <v>2.2239330285745447</v>
      </c>
    </row>
    <row r="570" spans="1:104" x14ac:dyDescent="0.25">
      <c r="A570" s="5">
        <v>44023</v>
      </c>
      <c r="B570">
        <v>0.13941000000000001</v>
      </c>
      <c r="C570">
        <v>0.15137999999999999</v>
      </c>
      <c r="D570">
        <v>0.13805000000000001</v>
      </c>
      <c r="E570">
        <v>0.14621000000000001</v>
      </c>
      <c r="F570">
        <v>16843844.399999999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0.22430607651913165</v>
      </c>
      <c r="Q570">
        <f t="shared" si="985"/>
        <v>3778176.6508627469</v>
      </c>
      <c r="R570">
        <f t="shared" si="986"/>
        <v>226687651.91347107</v>
      </c>
      <c r="S570">
        <f t="shared" si="987"/>
        <v>2266.8765191347106</v>
      </c>
      <c r="T570">
        <f t="shared" si="988"/>
        <v>2.2668765191347107</v>
      </c>
    </row>
    <row r="571" spans="1:104" x14ac:dyDescent="0.25">
      <c r="A571" s="5">
        <v>44022</v>
      </c>
      <c r="B571">
        <v>0.13791999999999999</v>
      </c>
      <c r="C571">
        <v>0.1409</v>
      </c>
      <c r="D571">
        <v>0.13483999999999999</v>
      </c>
      <c r="E571">
        <v>0.13949</v>
      </c>
      <c r="F571">
        <v>10167797.300000001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0.53465346534653724</v>
      </c>
      <c r="Q571">
        <f t="shared" si="985"/>
        <v>5436248.0613861652</v>
      </c>
      <c r="R571">
        <f t="shared" si="986"/>
        <v>222909475.26260832</v>
      </c>
      <c r="S571">
        <f t="shared" si="987"/>
        <v>2229.0947526260834</v>
      </c>
      <c r="T571">
        <f t="shared" si="988"/>
        <v>2.2290947526260836</v>
      </c>
    </row>
    <row r="572" spans="1:104" x14ac:dyDescent="0.25">
      <c r="A572" s="5">
        <v>44021</v>
      </c>
      <c r="B572">
        <v>0.13875999999999999</v>
      </c>
      <c r="C572">
        <v>0.1414</v>
      </c>
      <c r="D572">
        <v>0.13277</v>
      </c>
      <c r="E572">
        <v>0.13800000000000001</v>
      </c>
      <c r="F572">
        <v>12446566.5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0.21205098493627189</v>
      </c>
      <c r="Q572">
        <f t="shared" si="985"/>
        <v>2639306.6853998061</v>
      </c>
      <c r="R572">
        <f t="shared" si="986"/>
        <v>217473227.20122215</v>
      </c>
      <c r="S572">
        <f t="shared" si="987"/>
        <v>2174.7322720122215</v>
      </c>
      <c r="T572">
        <f t="shared" si="988"/>
        <v>2.1747322720122217</v>
      </c>
    </row>
    <row r="573" spans="1:104" x14ac:dyDescent="0.25">
      <c r="A573" s="5">
        <v>44020</v>
      </c>
      <c r="B573">
        <v>0.13800000000000001</v>
      </c>
      <c r="C573">
        <v>0.14280000000000001</v>
      </c>
      <c r="D573">
        <v>0.1353</v>
      </c>
      <c r="E573">
        <v>0.13868</v>
      </c>
      <c r="F573">
        <v>14739362.5</v>
      </c>
      <c r="G573">
        <v>0</v>
      </c>
      <c r="L573" t="s">
        <v>7</v>
      </c>
      <c r="M573" t="s">
        <v>8</v>
      </c>
      <c r="N573" t="s">
        <v>8</v>
      </c>
      <c r="P573">
        <f t="shared" si="984"/>
        <v>-9.866666666666904E-2</v>
      </c>
      <c r="Q573">
        <f t="shared" si="985"/>
        <v>-1454283.7666667015</v>
      </c>
      <c r="R573">
        <f t="shared" si="986"/>
        <v>214833920.51582235</v>
      </c>
      <c r="S573">
        <f t="shared" si="987"/>
        <v>2148.3392051582236</v>
      </c>
      <c r="T573">
        <f t="shared" si="988"/>
        <v>2.1483392051582237</v>
      </c>
    </row>
    <row r="574" spans="1:104" x14ac:dyDescent="0.25">
      <c r="A574" s="5">
        <v>44019</v>
      </c>
      <c r="B574">
        <v>0.13714999999999999</v>
      </c>
      <c r="C574">
        <v>0.13935</v>
      </c>
      <c r="D574">
        <v>0.13477</v>
      </c>
      <c r="E574">
        <v>0.13800000000000001</v>
      </c>
      <c r="F574">
        <v>12335841.699999999</v>
      </c>
      <c r="G574">
        <v>0</v>
      </c>
      <c r="L574" t="s">
        <v>7</v>
      </c>
      <c r="M574" t="s">
        <v>8</v>
      </c>
      <c r="N574" t="s">
        <v>8</v>
      </c>
      <c r="P574">
        <f t="shared" si="984"/>
        <v>0.41048034934498256</v>
      </c>
      <c r="Q574">
        <f t="shared" si="985"/>
        <v>5063620.6104804035</v>
      </c>
      <c r="R574">
        <f t="shared" si="986"/>
        <v>216288204.28248906</v>
      </c>
      <c r="S574">
        <f t="shared" si="987"/>
        <v>2162.8820428248905</v>
      </c>
      <c r="T574">
        <f t="shared" si="988"/>
        <v>2.1628820428248905</v>
      </c>
    </row>
    <row r="575" spans="1:104" x14ac:dyDescent="0.25">
      <c r="A575" s="5">
        <v>44018</v>
      </c>
      <c r="B575">
        <v>0.14080000000000001</v>
      </c>
      <c r="C575">
        <v>0.14660000000000001</v>
      </c>
      <c r="D575">
        <v>0.13450000000000001</v>
      </c>
      <c r="E575">
        <v>0.13714999999999999</v>
      </c>
      <c r="F575">
        <v>20773739.199999999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-0.56198347107438251</v>
      </c>
      <c r="Q575">
        <f t="shared" si="985"/>
        <v>-11674498.062809967</v>
      </c>
      <c r="R575">
        <f t="shared" si="986"/>
        <v>211224583.67200866</v>
      </c>
      <c r="S575">
        <f t="shared" si="987"/>
        <v>2112.2458367200866</v>
      </c>
      <c r="T575">
        <f t="shared" si="988"/>
        <v>2.1122458367200867</v>
      </c>
    </row>
    <row r="576" spans="1:104" x14ac:dyDescent="0.25">
      <c r="A576" s="5">
        <v>44017</v>
      </c>
      <c r="B576">
        <v>0.14022999999999999</v>
      </c>
      <c r="C576">
        <v>0.14399999999999999</v>
      </c>
      <c r="D576">
        <v>0.13389999999999999</v>
      </c>
      <c r="E576">
        <v>0.14066999999999999</v>
      </c>
      <c r="F576">
        <v>15091093.4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0.34059405940594051</v>
      </c>
      <c r="Q576">
        <f t="shared" si="985"/>
        <v>5139936.7619801965</v>
      </c>
      <c r="R576">
        <f t="shared" si="986"/>
        <v>222899081.73481864</v>
      </c>
      <c r="S576">
        <f t="shared" si="987"/>
        <v>2228.9908173481863</v>
      </c>
      <c r="T576">
        <f t="shared" si="988"/>
        <v>2.2289908173481865</v>
      </c>
    </row>
    <row r="577" spans="1:20" x14ac:dyDescent="0.25">
      <c r="A577" s="5">
        <v>44016</v>
      </c>
      <c r="B577">
        <v>0.14169000000000001</v>
      </c>
      <c r="C577">
        <v>0.14202000000000001</v>
      </c>
      <c r="D577">
        <v>0.1323</v>
      </c>
      <c r="E577">
        <v>0.14004</v>
      </c>
      <c r="F577">
        <v>17191053.699999999</v>
      </c>
      <c r="G577">
        <v>0</v>
      </c>
      <c r="L577" t="s">
        <v>7</v>
      </c>
      <c r="M577" t="s">
        <v>8</v>
      </c>
      <c r="N577" t="s">
        <v>8</v>
      </c>
      <c r="P577">
        <f t="shared" si="984"/>
        <v>0.59259259259259089</v>
      </c>
      <c r="Q577">
        <f t="shared" si="985"/>
        <v>10187291.081481451</v>
      </c>
      <c r="R577">
        <f t="shared" si="986"/>
        <v>217759144.97283843</v>
      </c>
      <c r="S577">
        <f t="shared" si="987"/>
        <v>2177.5914497283843</v>
      </c>
      <c r="T577">
        <f t="shared" si="988"/>
        <v>2.1775914497283844</v>
      </c>
    </row>
    <row r="578" spans="1:20" x14ac:dyDescent="0.25">
      <c r="A578" s="5">
        <v>44015</v>
      </c>
      <c r="B578">
        <v>0.13888</v>
      </c>
      <c r="C578">
        <v>0.14899999999999999</v>
      </c>
      <c r="D578">
        <v>0.13616</v>
      </c>
      <c r="E578">
        <v>0.14199999999999999</v>
      </c>
      <c r="F578">
        <v>30493318.100000001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-9.0342679127727643E-2</v>
      </c>
      <c r="Q578">
        <f t="shared" si="985"/>
        <v>-2754848.0526480298</v>
      </c>
      <c r="R578">
        <f t="shared" si="986"/>
        <v>207571853.89135697</v>
      </c>
      <c r="S578">
        <f t="shared" si="987"/>
        <v>2075.7185389135698</v>
      </c>
      <c r="T578">
        <f t="shared" si="988"/>
        <v>2.0757185389135699</v>
      </c>
    </row>
    <row r="579" spans="1:20" x14ac:dyDescent="0.25">
      <c r="A579" s="5">
        <v>44014</v>
      </c>
      <c r="B579">
        <v>0.13366</v>
      </c>
      <c r="C579">
        <v>0.14000000000000001</v>
      </c>
      <c r="D579">
        <v>0.125</v>
      </c>
      <c r="E579">
        <v>0.13904</v>
      </c>
      <c r="F579">
        <v>29879505.899999999</v>
      </c>
      <c r="G579">
        <v>0</v>
      </c>
      <c r="L579" t="s">
        <v>8</v>
      </c>
      <c r="M579" t="s">
        <v>8</v>
      </c>
      <c r="N579" t="s">
        <v>7</v>
      </c>
      <c r="P579">
        <f t="shared" si="984"/>
        <v>0.87199999999999789</v>
      </c>
      <c r="Q579">
        <f t="shared" si="985"/>
        <v>26054929.144799937</v>
      </c>
      <c r="R579">
        <f t="shared" si="986"/>
        <v>210326701.94400501</v>
      </c>
      <c r="S579">
        <f t="shared" si="987"/>
        <v>2103.2670194400503</v>
      </c>
      <c r="T579">
        <f t="shared" si="988"/>
        <v>2.1032670194400502</v>
      </c>
    </row>
    <row r="580" spans="1:20" x14ac:dyDescent="0.25">
      <c r="A580" s="5">
        <v>44013</v>
      </c>
      <c r="B580">
        <v>0.12714</v>
      </c>
      <c r="C580">
        <v>0.13500000000000001</v>
      </c>
      <c r="D580">
        <v>0.12409000000000001</v>
      </c>
      <c r="E580">
        <v>0.13358</v>
      </c>
      <c r="F580">
        <v>15401133.199999999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0.73968835930339061</v>
      </c>
      <c r="Q580">
        <f t="shared" si="985"/>
        <v>11392038.948120978</v>
      </c>
      <c r="R580">
        <f t="shared" si="986"/>
        <v>184271772.79920506</v>
      </c>
      <c r="S580">
        <f t="shared" si="987"/>
        <v>1842.7177279920506</v>
      </c>
      <c r="T580">
        <f t="shared" si="988"/>
        <v>1.8427177279920506</v>
      </c>
    </row>
    <row r="581" spans="1:20" x14ac:dyDescent="0.25">
      <c r="A581" s="5">
        <v>44012</v>
      </c>
      <c r="B581">
        <v>0.12182</v>
      </c>
      <c r="C581">
        <v>0.13</v>
      </c>
      <c r="D581">
        <v>0.11888</v>
      </c>
      <c r="E581">
        <v>0.12689</v>
      </c>
      <c r="F581">
        <v>9657717.0999999996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0.44064748201438841</v>
      </c>
      <c r="Q581">
        <f t="shared" si="985"/>
        <v>4255648.7221223013</v>
      </c>
      <c r="R581">
        <f t="shared" si="986"/>
        <v>172879733.85108408</v>
      </c>
      <c r="S581">
        <f t="shared" si="987"/>
        <v>1728.7973385108407</v>
      </c>
      <c r="T581">
        <f t="shared" si="988"/>
        <v>1.7287973385108408</v>
      </c>
    </row>
    <row r="582" spans="1:20" x14ac:dyDescent="0.25">
      <c r="A582" s="5">
        <v>44011</v>
      </c>
      <c r="B582">
        <v>0.11940000000000001</v>
      </c>
      <c r="C582">
        <v>0.1235</v>
      </c>
      <c r="D582">
        <v>0.11693000000000001</v>
      </c>
      <c r="E582">
        <v>0.12166</v>
      </c>
      <c r="F582">
        <v>5357570.4000000004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0.43987823439878343</v>
      </c>
      <c r="Q582">
        <f t="shared" ref="Q582:Q645" si="990">F582*P582</f>
        <v>2356678.608219184</v>
      </c>
      <c r="R582">
        <f t="shared" ref="R582:R645" si="991">R583+Q582</f>
        <v>168624085.12896177</v>
      </c>
      <c r="S582">
        <f t="shared" ref="S582:S645" si="992">R582/100000</f>
        <v>1686.2408512896177</v>
      </c>
      <c r="T582">
        <f t="shared" ref="T582:T645" si="993">S582/1000</f>
        <v>1.6862408512896176</v>
      </c>
    </row>
    <row r="583" spans="1:20" x14ac:dyDescent="0.25">
      <c r="A583" s="5">
        <v>44010</v>
      </c>
      <c r="B583">
        <v>0.11763</v>
      </c>
      <c r="C583">
        <v>0.12230000000000001</v>
      </c>
      <c r="D583">
        <v>0.11581</v>
      </c>
      <c r="E583">
        <v>0.11940000000000001</v>
      </c>
      <c r="F583">
        <v>6874401.7000000002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0.10631741140215856</v>
      </c>
      <c r="Q583">
        <f t="shared" si="990"/>
        <v>730868.59368259821</v>
      </c>
      <c r="R583">
        <f t="shared" si="991"/>
        <v>166267406.5207426</v>
      </c>
      <c r="S583">
        <f t="shared" si="992"/>
        <v>1662.6740652074259</v>
      </c>
      <c r="T583">
        <f t="shared" si="993"/>
        <v>1.6626740652074259</v>
      </c>
    </row>
    <row r="584" spans="1:20" x14ac:dyDescent="0.25">
      <c r="A584" s="5">
        <v>44009</v>
      </c>
      <c r="B584">
        <v>0.12711</v>
      </c>
      <c r="C584">
        <v>0.12714</v>
      </c>
      <c r="D584">
        <v>0.11502</v>
      </c>
      <c r="E584">
        <v>0.1176</v>
      </c>
      <c r="F584">
        <v>12635065.1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-0.57425742574257466</v>
      </c>
      <c r="Q584">
        <f t="shared" si="990"/>
        <v>-7255779.9584158463</v>
      </c>
      <c r="R584">
        <f t="shared" si="991"/>
        <v>165536537.92706001</v>
      </c>
      <c r="S584">
        <f t="shared" si="992"/>
        <v>1655.3653792706</v>
      </c>
      <c r="T584">
        <f t="shared" si="993"/>
        <v>1.6553653792706</v>
      </c>
    </row>
    <row r="585" spans="1:20" x14ac:dyDescent="0.25">
      <c r="A585" s="5">
        <v>44008</v>
      </c>
      <c r="B585">
        <v>0.13</v>
      </c>
      <c r="C585">
        <v>0.1361</v>
      </c>
      <c r="D585">
        <v>0.12378</v>
      </c>
      <c r="E585">
        <v>0.12684999999999999</v>
      </c>
      <c r="F585">
        <v>23197392.399999999</v>
      </c>
      <c r="G585">
        <v>0</v>
      </c>
      <c r="L585" t="s">
        <v>8</v>
      </c>
      <c r="M585" t="s">
        <v>8</v>
      </c>
      <c r="N585" t="s">
        <v>7</v>
      </c>
      <c r="P585">
        <f t="shared" si="989"/>
        <v>-0.50162337662337819</v>
      </c>
      <c r="Q585">
        <f t="shared" si="990"/>
        <v>-11636354.30454549</v>
      </c>
      <c r="R585">
        <f t="shared" si="991"/>
        <v>172792317.88547584</v>
      </c>
      <c r="S585">
        <f t="shared" si="992"/>
        <v>1727.9231788547584</v>
      </c>
      <c r="T585">
        <f t="shared" si="993"/>
        <v>1.7279231788547584</v>
      </c>
    </row>
    <row r="586" spans="1:20" x14ac:dyDescent="0.25">
      <c r="A586" s="5">
        <v>44007</v>
      </c>
      <c r="B586">
        <v>0.1227</v>
      </c>
      <c r="C586">
        <v>0.13385</v>
      </c>
      <c r="D586">
        <v>0.11828</v>
      </c>
      <c r="E586">
        <v>0.13</v>
      </c>
      <c r="F586">
        <v>22358841.5</v>
      </c>
      <c r="G586">
        <v>0</v>
      </c>
      <c r="L586" t="s">
        <v>7</v>
      </c>
      <c r="M586" t="s">
        <v>8</v>
      </c>
      <c r="N586" t="s">
        <v>7</v>
      </c>
      <c r="P586">
        <f t="shared" si="989"/>
        <v>0.50545921644187641</v>
      </c>
      <c r="Q586">
        <f t="shared" si="990"/>
        <v>11301482.505138109</v>
      </c>
      <c r="R586">
        <f t="shared" si="991"/>
        <v>184428672.19002134</v>
      </c>
      <c r="S586">
        <f t="shared" si="992"/>
        <v>1844.2867219002133</v>
      </c>
      <c r="T586">
        <f t="shared" si="993"/>
        <v>1.8442867219002133</v>
      </c>
    </row>
    <row r="587" spans="1:20" x14ac:dyDescent="0.25">
      <c r="A587" s="5">
        <v>44006</v>
      </c>
      <c r="B587">
        <v>0.12515999999999999</v>
      </c>
      <c r="C587">
        <v>0.12655</v>
      </c>
      <c r="D587">
        <v>0.1208</v>
      </c>
      <c r="E587">
        <v>0.12286</v>
      </c>
      <c r="F587">
        <v>7662852.4000000004</v>
      </c>
      <c r="G587">
        <v>0</v>
      </c>
      <c r="L587" t="s">
        <v>7</v>
      </c>
      <c r="M587" t="s">
        <v>8</v>
      </c>
      <c r="N587" t="s">
        <v>7</v>
      </c>
      <c r="P587">
        <f t="shared" si="989"/>
        <v>-0.28347826086956679</v>
      </c>
      <c r="Q587">
        <f t="shared" si="990"/>
        <v>-2172252.0716521861</v>
      </c>
      <c r="R587">
        <f t="shared" si="991"/>
        <v>173127189.68488324</v>
      </c>
      <c r="S587">
        <f t="shared" si="992"/>
        <v>1731.2718968488323</v>
      </c>
      <c r="T587">
        <f t="shared" si="993"/>
        <v>1.7312718968488323</v>
      </c>
    </row>
    <row r="588" spans="1:20" x14ac:dyDescent="0.25">
      <c r="A588" s="5">
        <v>44005</v>
      </c>
      <c r="B588">
        <v>0.12396</v>
      </c>
      <c r="C588">
        <v>0.12667</v>
      </c>
      <c r="D588">
        <v>0.12250999999999999</v>
      </c>
      <c r="E588">
        <v>0.12501999999999999</v>
      </c>
      <c r="F588">
        <v>4844650.3</v>
      </c>
      <c r="G588">
        <v>0</v>
      </c>
      <c r="L588" t="s">
        <v>7</v>
      </c>
      <c r="M588" t="s">
        <v>8</v>
      </c>
      <c r="N588" t="s">
        <v>7</v>
      </c>
      <c r="P588">
        <f t="shared" si="989"/>
        <v>0.20673076923076528</v>
      </c>
      <c r="Q588">
        <f t="shared" si="990"/>
        <v>1001538.2831730577</v>
      </c>
      <c r="R588">
        <f t="shared" si="991"/>
        <v>175299441.75653541</v>
      </c>
      <c r="S588">
        <f t="shared" si="992"/>
        <v>1752.9944175653541</v>
      </c>
      <c r="T588">
        <f t="shared" si="993"/>
        <v>1.752994417565354</v>
      </c>
    </row>
    <row r="589" spans="1:20" x14ac:dyDescent="0.25">
      <c r="A589" s="5">
        <v>44004</v>
      </c>
      <c r="B589">
        <v>0.12298000000000001</v>
      </c>
      <c r="C589">
        <v>0.126</v>
      </c>
      <c r="D589">
        <v>0.12227</v>
      </c>
      <c r="E589">
        <v>0.12396</v>
      </c>
      <c r="F589">
        <v>3850695.9</v>
      </c>
      <c r="G589">
        <v>0</v>
      </c>
      <c r="L589" t="s">
        <v>7</v>
      </c>
      <c r="M589" t="s">
        <v>8</v>
      </c>
      <c r="N589" t="s">
        <v>7</v>
      </c>
      <c r="P589">
        <f t="shared" si="989"/>
        <v>-9.3833780160858804E-2</v>
      </c>
      <c r="Q589">
        <f t="shared" si="990"/>
        <v>-361325.3525469203</v>
      </c>
      <c r="R589">
        <f t="shared" si="991"/>
        <v>174297903.47336236</v>
      </c>
      <c r="S589">
        <f t="shared" si="992"/>
        <v>1742.9790347336236</v>
      </c>
      <c r="T589">
        <f t="shared" si="993"/>
        <v>1.7429790347336236</v>
      </c>
    </row>
    <row r="590" spans="1:20" x14ac:dyDescent="0.25">
      <c r="A590" s="5">
        <v>44003</v>
      </c>
      <c r="B590">
        <v>0.12499</v>
      </c>
      <c r="C590">
        <v>0.12587000000000001</v>
      </c>
      <c r="D590">
        <v>0.12249</v>
      </c>
      <c r="E590">
        <v>0.12257999999999999</v>
      </c>
      <c r="F590">
        <v>3088966.6</v>
      </c>
      <c r="G590">
        <v>0</v>
      </c>
      <c r="L590" t="s">
        <v>7</v>
      </c>
      <c r="M590" t="s">
        <v>8</v>
      </c>
      <c r="N590" t="s">
        <v>7</v>
      </c>
      <c r="P590">
        <f t="shared" si="989"/>
        <v>-0.94674556213018191</v>
      </c>
      <c r="Q590">
        <f t="shared" si="990"/>
        <v>-2924465.4201183571</v>
      </c>
      <c r="R590">
        <f t="shared" si="991"/>
        <v>174659228.82590929</v>
      </c>
      <c r="S590">
        <f t="shared" si="992"/>
        <v>1746.5922882590928</v>
      </c>
      <c r="T590">
        <f t="shared" si="993"/>
        <v>1.7465922882590927</v>
      </c>
    </row>
    <row r="591" spans="1:20" x14ac:dyDescent="0.25">
      <c r="A591" s="5">
        <v>44002</v>
      </c>
      <c r="B591">
        <v>0.12493</v>
      </c>
      <c r="C591">
        <v>0.12625</v>
      </c>
      <c r="D591">
        <v>0.1206</v>
      </c>
      <c r="E591">
        <v>0.12453</v>
      </c>
      <c r="F591">
        <v>3966225.8</v>
      </c>
      <c r="G591">
        <v>0</v>
      </c>
      <c r="L591" t="s">
        <v>7</v>
      </c>
      <c r="M591" t="s">
        <v>8</v>
      </c>
      <c r="N591" t="s">
        <v>7</v>
      </c>
      <c r="P591">
        <f t="shared" si="989"/>
        <v>0.39115044247787661</v>
      </c>
      <c r="Q591">
        <f t="shared" si="990"/>
        <v>1551390.9766371702</v>
      </c>
      <c r="R591">
        <f t="shared" si="991"/>
        <v>177583694.24602765</v>
      </c>
      <c r="S591">
        <f t="shared" si="992"/>
        <v>1775.8369424602765</v>
      </c>
      <c r="T591">
        <f t="shared" si="993"/>
        <v>1.7758369424602765</v>
      </c>
    </row>
    <row r="592" spans="1:20" x14ac:dyDescent="0.25">
      <c r="A592" s="5">
        <v>44001</v>
      </c>
      <c r="B592">
        <v>0.12895999999999999</v>
      </c>
      <c r="C592">
        <v>0.12898999999999999</v>
      </c>
      <c r="D592">
        <v>0.1211</v>
      </c>
      <c r="E592">
        <v>0.12472999999999999</v>
      </c>
      <c r="F592">
        <v>8604492.1999999993</v>
      </c>
      <c r="G592">
        <v>0</v>
      </c>
      <c r="L592" t="s">
        <v>7</v>
      </c>
      <c r="M592" t="s">
        <v>8</v>
      </c>
      <c r="N592" t="s">
        <v>7</v>
      </c>
      <c r="P592">
        <f t="shared" si="989"/>
        <v>-7.9847908745247914E-2</v>
      </c>
      <c r="Q592">
        <f t="shared" si="990"/>
        <v>-687050.70798479742</v>
      </c>
      <c r="R592">
        <f t="shared" si="991"/>
        <v>176032303.26939046</v>
      </c>
      <c r="S592">
        <f t="shared" si="992"/>
        <v>1760.3230326939047</v>
      </c>
      <c r="T592">
        <f t="shared" si="993"/>
        <v>1.7603230326939048</v>
      </c>
    </row>
    <row r="593" spans="1:20" x14ac:dyDescent="0.25">
      <c r="A593" s="5">
        <v>44000</v>
      </c>
      <c r="B593">
        <v>0.12002</v>
      </c>
      <c r="C593">
        <v>0.13500000000000001</v>
      </c>
      <c r="D593">
        <v>0.11978</v>
      </c>
      <c r="E593">
        <v>0.12881999999999999</v>
      </c>
      <c r="F593">
        <v>20228272.300000001</v>
      </c>
      <c r="G593">
        <v>0</v>
      </c>
      <c r="L593" t="s">
        <v>8</v>
      </c>
      <c r="M593" t="s">
        <v>8</v>
      </c>
      <c r="N593" t="s">
        <v>7</v>
      </c>
      <c r="P593">
        <f t="shared" si="989"/>
        <v>0.18791064388961706</v>
      </c>
      <c r="Q593">
        <f t="shared" si="990"/>
        <v>3801107.6726675052</v>
      </c>
      <c r="R593">
        <f t="shared" si="991"/>
        <v>176719353.97737527</v>
      </c>
      <c r="S593">
        <f t="shared" si="992"/>
        <v>1767.1935397737527</v>
      </c>
      <c r="T593">
        <f t="shared" si="993"/>
        <v>1.7671935397737528</v>
      </c>
    </row>
    <row r="594" spans="1:20" x14ac:dyDescent="0.25">
      <c r="A594" s="5">
        <v>43999</v>
      </c>
      <c r="B594">
        <v>0.12239</v>
      </c>
      <c r="C594">
        <v>0.12332</v>
      </c>
      <c r="D594">
        <v>0.11895</v>
      </c>
      <c r="E594">
        <v>0.12002</v>
      </c>
      <c r="F594">
        <v>4508230.5999999996</v>
      </c>
      <c r="G594">
        <v>0</v>
      </c>
      <c r="L594" t="s">
        <v>8</v>
      </c>
      <c r="M594" t="s">
        <v>7</v>
      </c>
      <c r="N594" t="s">
        <v>7</v>
      </c>
      <c r="P594">
        <f t="shared" si="989"/>
        <v>-0.51029748283752774</v>
      </c>
      <c r="Q594">
        <f t="shared" si="990"/>
        <v>-2300538.727231117</v>
      </c>
      <c r="R594">
        <f t="shared" si="991"/>
        <v>172918246.30470777</v>
      </c>
      <c r="S594">
        <f t="shared" si="992"/>
        <v>1729.1824630470776</v>
      </c>
      <c r="T594">
        <f t="shared" si="993"/>
        <v>1.7291824630470776</v>
      </c>
    </row>
    <row r="595" spans="1:20" x14ac:dyDescent="0.25">
      <c r="A595" s="5">
        <v>43998</v>
      </c>
      <c r="B595">
        <v>0.12493</v>
      </c>
      <c r="C595">
        <v>0.12720999999999999</v>
      </c>
      <c r="D595">
        <v>0.11</v>
      </c>
      <c r="E595">
        <v>0.12232</v>
      </c>
      <c r="F595">
        <v>6137972.5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0.43172574084834459</v>
      </c>
      <c r="Q595">
        <f t="shared" si="990"/>
        <v>2649920.7248692657</v>
      </c>
      <c r="R595">
        <f t="shared" si="991"/>
        <v>175218785.03193888</v>
      </c>
      <c r="S595">
        <f t="shared" si="992"/>
        <v>1752.1878503193889</v>
      </c>
      <c r="T595">
        <f t="shared" si="993"/>
        <v>1.7521878503193888</v>
      </c>
    </row>
    <row r="596" spans="1:20" x14ac:dyDescent="0.25">
      <c r="A596" s="5">
        <v>43997</v>
      </c>
      <c r="B596">
        <v>0.12514</v>
      </c>
      <c r="C596">
        <v>0.12576999999999999</v>
      </c>
      <c r="D596">
        <v>0.11</v>
      </c>
      <c r="E596">
        <v>0.12526000000000001</v>
      </c>
      <c r="F596">
        <v>11863179.4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0.93532022828154937</v>
      </c>
      <c r="Q596">
        <f t="shared" si="990"/>
        <v>11095871.664552974</v>
      </c>
      <c r="R596">
        <f t="shared" si="991"/>
        <v>172568864.30706963</v>
      </c>
      <c r="S596">
        <f t="shared" si="992"/>
        <v>1725.6886430706963</v>
      </c>
      <c r="T596">
        <f t="shared" si="993"/>
        <v>1.7256886430706964</v>
      </c>
    </row>
    <row r="597" spans="1:20" x14ac:dyDescent="0.25">
      <c r="A597" s="5">
        <v>43996</v>
      </c>
      <c r="B597">
        <v>0.12681000000000001</v>
      </c>
      <c r="C597">
        <v>0.13077</v>
      </c>
      <c r="D597">
        <v>0.1232</v>
      </c>
      <c r="E597">
        <v>0.12514</v>
      </c>
      <c r="F597">
        <v>6613755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-0.48745046235138734</v>
      </c>
      <c r="Q597">
        <f t="shared" si="990"/>
        <v>-3223877.9326287997</v>
      </c>
      <c r="R597">
        <f t="shared" si="991"/>
        <v>161472992.64251664</v>
      </c>
      <c r="S597">
        <f t="shared" si="992"/>
        <v>1614.7299264251665</v>
      </c>
      <c r="T597">
        <f t="shared" si="993"/>
        <v>1.6147299264251664</v>
      </c>
    </row>
    <row r="598" spans="1:20" x14ac:dyDescent="0.25">
      <c r="A598" s="5">
        <v>43995</v>
      </c>
      <c r="B598">
        <v>0.12747</v>
      </c>
      <c r="C598">
        <v>0.12881999999999999</v>
      </c>
      <c r="D598">
        <v>0.12399</v>
      </c>
      <c r="E598">
        <v>0.12681000000000001</v>
      </c>
      <c r="F598">
        <v>6158713</v>
      </c>
      <c r="G598">
        <v>0</v>
      </c>
      <c r="L598" t="s">
        <v>7</v>
      </c>
      <c r="M598" t="s">
        <v>7</v>
      </c>
      <c r="N598" t="s">
        <v>8</v>
      </c>
      <c r="P598">
        <f t="shared" si="989"/>
        <v>0.16770186335404166</v>
      </c>
      <c r="Q598">
        <f t="shared" si="990"/>
        <v>1032827.64596276</v>
      </c>
      <c r="R598">
        <f t="shared" si="991"/>
        <v>164696870.57514545</v>
      </c>
      <c r="S598">
        <f t="shared" si="992"/>
        <v>1646.9687057514545</v>
      </c>
      <c r="T598">
        <f t="shared" si="993"/>
        <v>1.6469687057514546</v>
      </c>
    </row>
    <row r="599" spans="1:20" x14ac:dyDescent="0.25">
      <c r="A599" s="5">
        <v>43994</v>
      </c>
      <c r="B599">
        <v>0.13023999999999999</v>
      </c>
      <c r="C599">
        <v>0.13250000000000001</v>
      </c>
      <c r="D599">
        <v>0.12267</v>
      </c>
      <c r="E599">
        <v>0.12739</v>
      </c>
      <c r="F599">
        <v>10656260.300000001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-3.9674465920651193E-2</v>
      </c>
      <c r="Q599">
        <f t="shared" si="990"/>
        <v>-422781.43611393828</v>
      </c>
      <c r="R599">
        <f t="shared" si="991"/>
        <v>163664042.92918268</v>
      </c>
      <c r="S599">
        <f t="shared" si="992"/>
        <v>1636.6404292918269</v>
      </c>
      <c r="T599">
        <f t="shared" si="993"/>
        <v>1.6366404292918268</v>
      </c>
    </row>
    <row r="600" spans="1:20" x14ac:dyDescent="0.25">
      <c r="A600" s="5">
        <v>43993</v>
      </c>
      <c r="B600">
        <v>0.13239999999999999</v>
      </c>
      <c r="C600">
        <v>0.1341</v>
      </c>
      <c r="D600">
        <v>0.12364</v>
      </c>
      <c r="E600">
        <v>0.12983</v>
      </c>
      <c r="F600">
        <v>11743379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0.18355640535372902</v>
      </c>
      <c r="Q600">
        <f t="shared" si="990"/>
        <v>2155572.4359464692</v>
      </c>
      <c r="R600">
        <f t="shared" si="991"/>
        <v>164086824.3652966</v>
      </c>
      <c r="S600">
        <f t="shared" si="992"/>
        <v>1640.8682436529659</v>
      </c>
      <c r="T600">
        <f t="shared" si="993"/>
        <v>1.640868243652966</v>
      </c>
    </row>
    <row r="601" spans="1:20" x14ac:dyDescent="0.25">
      <c r="A601" s="5">
        <v>43992</v>
      </c>
      <c r="B601">
        <v>0.1333</v>
      </c>
      <c r="C601">
        <v>0.13420000000000001</v>
      </c>
      <c r="D601">
        <v>0.13200999999999999</v>
      </c>
      <c r="E601">
        <v>0.13270999999999999</v>
      </c>
      <c r="F601">
        <v>4570734.8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-0.36073059360730769</v>
      </c>
      <c r="Q601">
        <f t="shared" si="990"/>
        <v>-1648803.8776255788</v>
      </c>
      <c r="R601">
        <f t="shared" si="991"/>
        <v>161931251.92935014</v>
      </c>
      <c r="S601">
        <f t="shared" si="992"/>
        <v>1619.3125192935013</v>
      </c>
      <c r="T601">
        <f t="shared" si="993"/>
        <v>1.6193125192935012</v>
      </c>
    </row>
    <row r="602" spans="1:20" x14ac:dyDescent="0.25">
      <c r="A602" s="5">
        <v>43991</v>
      </c>
      <c r="B602">
        <v>0.13299</v>
      </c>
      <c r="C602">
        <v>0.13550000000000001</v>
      </c>
      <c r="D602">
        <v>0.13200000000000001</v>
      </c>
      <c r="E602">
        <v>0.1333</v>
      </c>
      <c r="F602">
        <v>5820886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-0.25714285714286034</v>
      </c>
      <c r="Q602">
        <f t="shared" si="990"/>
        <v>-1496799.2571428758</v>
      </c>
      <c r="R602">
        <f t="shared" si="991"/>
        <v>163580055.80697572</v>
      </c>
      <c r="S602">
        <f t="shared" si="992"/>
        <v>1635.8005580697572</v>
      </c>
      <c r="T602">
        <f t="shared" si="993"/>
        <v>1.6358005580697572</v>
      </c>
    </row>
    <row r="603" spans="1:20" x14ac:dyDescent="0.25">
      <c r="A603" s="5">
        <v>43990</v>
      </c>
      <c r="B603">
        <v>0.13378000000000001</v>
      </c>
      <c r="C603">
        <v>0.1343</v>
      </c>
      <c r="D603">
        <v>0.13166</v>
      </c>
      <c r="E603">
        <v>0.13299</v>
      </c>
      <c r="F603">
        <v>3317815.2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7.5757575757546287E-3</v>
      </c>
      <c r="Q603">
        <f t="shared" si="990"/>
        <v>25134.963636353859</v>
      </c>
      <c r="R603">
        <f t="shared" si="991"/>
        <v>165076855.06411859</v>
      </c>
      <c r="S603">
        <f t="shared" si="992"/>
        <v>1650.768550641186</v>
      </c>
      <c r="T603">
        <f t="shared" si="993"/>
        <v>1.650768550641186</v>
      </c>
    </row>
    <row r="604" spans="1:20" x14ac:dyDescent="0.25">
      <c r="A604" s="5">
        <v>43989</v>
      </c>
      <c r="B604">
        <v>0.13250999999999999</v>
      </c>
      <c r="C604">
        <v>0.13400999999999999</v>
      </c>
      <c r="D604">
        <v>0.13009999999999999</v>
      </c>
      <c r="E604">
        <v>0.13377</v>
      </c>
      <c r="F604">
        <v>4516148.5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0.87723785166240897</v>
      </c>
      <c r="Q604">
        <f t="shared" si="990"/>
        <v>3961736.4079284109</v>
      </c>
      <c r="R604">
        <f t="shared" si="991"/>
        <v>165051720.10048223</v>
      </c>
      <c r="S604">
        <f t="shared" si="992"/>
        <v>1650.5172010048223</v>
      </c>
      <c r="T604">
        <f t="shared" si="993"/>
        <v>1.6505172010048224</v>
      </c>
    </row>
    <row r="605" spans="1:20" x14ac:dyDescent="0.25">
      <c r="A605" s="5">
        <v>43988</v>
      </c>
      <c r="B605">
        <v>0.13439999999999999</v>
      </c>
      <c r="C605">
        <v>0.13439999999999999</v>
      </c>
      <c r="D605">
        <v>0.13178999999999999</v>
      </c>
      <c r="E605">
        <v>0.13252</v>
      </c>
      <c r="F605">
        <v>3430019.6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-0.44061302681991715</v>
      </c>
      <c r="Q605">
        <f t="shared" si="990"/>
        <v>-1511311.3180076415</v>
      </c>
      <c r="R605">
        <f t="shared" si="991"/>
        <v>161089983.69255382</v>
      </c>
      <c r="S605">
        <f t="shared" si="992"/>
        <v>1610.8998369255382</v>
      </c>
      <c r="T605">
        <f t="shared" si="993"/>
        <v>1.6108998369255383</v>
      </c>
    </row>
    <row r="606" spans="1:20" x14ac:dyDescent="0.25">
      <c r="A606" s="5">
        <v>43987</v>
      </c>
      <c r="B606">
        <v>0.13567000000000001</v>
      </c>
      <c r="C606">
        <v>0.13693</v>
      </c>
      <c r="D606">
        <v>0.13347000000000001</v>
      </c>
      <c r="E606">
        <v>0.13439999999999999</v>
      </c>
      <c r="F606">
        <v>5631860.0999999996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-0.46242774566474631</v>
      </c>
      <c r="Q606">
        <f t="shared" si="990"/>
        <v>-2604328.3699422325</v>
      </c>
      <c r="R606">
        <f t="shared" si="991"/>
        <v>162601295.01056147</v>
      </c>
      <c r="S606">
        <f t="shared" si="992"/>
        <v>1626.0129501056147</v>
      </c>
      <c r="T606">
        <f t="shared" si="993"/>
        <v>1.6260129501056146</v>
      </c>
    </row>
    <row r="607" spans="1:20" x14ac:dyDescent="0.25">
      <c r="A607" s="5">
        <v>43986</v>
      </c>
      <c r="B607">
        <v>0.1346</v>
      </c>
      <c r="C607">
        <v>0.13844000000000001</v>
      </c>
      <c r="D607">
        <v>0.13350000000000001</v>
      </c>
      <c r="E607">
        <v>0.13568</v>
      </c>
      <c r="F607">
        <v>7441506.7999999998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-0.11740890688259614</v>
      </c>
      <c r="Q607">
        <f t="shared" si="990"/>
        <v>-873699.17894740601</v>
      </c>
      <c r="R607">
        <f t="shared" si="991"/>
        <v>165205623.38050368</v>
      </c>
      <c r="S607">
        <f t="shared" si="992"/>
        <v>1652.0562338050368</v>
      </c>
      <c r="T607">
        <f t="shared" si="993"/>
        <v>1.6520562338050369</v>
      </c>
    </row>
    <row r="608" spans="1:20" x14ac:dyDescent="0.25">
      <c r="A608" s="5">
        <v>43985</v>
      </c>
      <c r="B608">
        <v>0.13406000000000001</v>
      </c>
      <c r="C608">
        <v>0.13511000000000001</v>
      </c>
      <c r="D608">
        <v>0.13300000000000001</v>
      </c>
      <c r="E608">
        <v>0.1346</v>
      </c>
      <c r="F608">
        <v>5455884.7000000002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0.51658767772510872</v>
      </c>
      <c r="Q608">
        <f t="shared" si="990"/>
        <v>2818442.8071089517</v>
      </c>
      <c r="R608">
        <f t="shared" si="991"/>
        <v>166079322.5594511</v>
      </c>
      <c r="S608">
        <f t="shared" si="992"/>
        <v>1660.7932255945111</v>
      </c>
      <c r="T608">
        <f t="shared" si="993"/>
        <v>1.660793225594511</v>
      </c>
    </row>
    <row r="609" spans="1:20" x14ac:dyDescent="0.25">
      <c r="A609" s="5">
        <v>43984</v>
      </c>
      <c r="B609">
        <v>0.13442999999999999</v>
      </c>
      <c r="C609">
        <v>0.13869000000000001</v>
      </c>
      <c r="D609">
        <v>0.12886</v>
      </c>
      <c r="E609">
        <v>0.13449</v>
      </c>
      <c r="F609">
        <v>16364729.1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0.14547304170905251</v>
      </c>
      <c r="Q609">
        <f t="shared" si="990"/>
        <v>2380626.9189216453</v>
      </c>
      <c r="R609">
        <f t="shared" si="991"/>
        <v>163260879.75234216</v>
      </c>
      <c r="S609">
        <f t="shared" si="992"/>
        <v>1632.6087975234216</v>
      </c>
      <c r="T609">
        <f t="shared" si="993"/>
        <v>1.6326087975234216</v>
      </c>
    </row>
    <row r="610" spans="1:20" x14ac:dyDescent="0.25">
      <c r="A610" s="5">
        <v>43983</v>
      </c>
      <c r="B610">
        <v>0.13094</v>
      </c>
      <c r="C610">
        <v>0.13525000000000001</v>
      </c>
      <c r="D610">
        <v>0.13045999999999999</v>
      </c>
      <c r="E610">
        <v>0.13442999999999999</v>
      </c>
      <c r="F610">
        <v>7659684.4000000004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0.6576200417536483</v>
      </c>
      <c r="Q610">
        <f t="shared" si="990"/>
        <v>5037161.9749477692</v>
      </c>
      <c r="R610">
        <f t="shared" si="991"/>
        <v>160880252.83342052</v>
      </c>
      <c r="S610">
        <f t="shared" si="992"/>
        <v>1608.8025283342051</v>
      </c>
      <c r="T610">
        <f t="shared" si="993"/>
        <v>1.6088025283342051</v>
      </c>
    </row>
    <row r="611" spans="1:20" x14ac:dyDescent="0.25">
      <c r="A611" s="5">
        <v>43982</v>
      </c>
      <c r="B611">
        <v>0.13533999999999999</v>
      </c>
      <c r="C611">
        <v>0.13813</v>
      </c>
      <c r="D611">
        <v>0.13</v>
      </c>
      <c r="E611">
        <v>0.13095999999999999</v>
      </c>
      <c r="F611">
        <v>9309971.1999999993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-0.76383763837638652</v>
      </c>
      <c r="Q611">
        <f t="shared" si="990"/>
        <v>-7111306.4147601724</v>
      </c>
      <c r="R611">
        <f t="shared" si="991"/>
        <v>155843090.85847273</v>
      </c>
      <c r="S611">
        <f t="shared" si="992"/>
        <v>1558.4309085847274</v>
      </c>
      <c r="T611">
        <f t="shared" si="993"/>
        <v>1.5584309085847274</v>
      </c>
    </row>
    <row r="612" spans="1:20" x14ac:dyDescent="0.25">
      <c r="A612" s="5">
        <v>43981</v>
      </c>
      <c r="B612">
        <v>0.13628999999999999</v>
      </c>
      <c r="C612">
        <v>0.13786999999999999</v>
      </c>
      <c r="D612">
        <v>0.13242000000000001</v>
      </c>
      <c r="E612">
        <v>0.13571</v>
      </c>
      <c r="F612">
        <v>10878086.699999999</v>
      </c>
      <c r="G612">
        <v>0</v>
      </c>
      <c r="L612" t="s">
        <v>7</v>
      </c>
      <c r="M612" t="s">
        <v>8</v>
      </c>
      <c r="N612" t="s">
        <v>8</v>
      </c>
      <c r="P612">
        <f t="shared" si="989"/>
        <v>0.20733944954128361</v>
      </c>
      <c r="Q612">
        <f t="shared" si="990"/>
        <v>2255456.5084403581</v>
      </c>
      <c r="R612">
        <f t="shared" si="991"/>
        <v>162954397.27323291</v>
      </c>
      <c r="S612">
        <f t="shared" si="992"/>
        <v>1629.5439727323292</v>
      </c>
      <c r="T612">
        <f t="shared" si="993"/>
        <v>1.6295439727323291</v>
      </c>
    </row>
    <row r="613" spans="1:20" x14ac:dyDescent="0.25">
      <c r="A613" s="5">
        <v>43980</v>
      </c>
      <c r="B613">
        <v>0.13693</v>
      </c>
      <c r="C613">
        <v>0.13918</v>
      </c>
      <c r="D613">
        <v>0.13463</v>
      </c>
      <c r="E613">
        <v>0.13675000000000001</v>
      </c>
      <c r="F613">
        <v>10085290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-6.8131868131863088E-2</v>
      </c>
      <c r="Q613">
        <f t="shared" si="990"/>
        <v>-687129.64835159748</v>
      </c>
      <c r="R613">
        <f t="shared" si="991"/>
        <v>160698940.76479256</v>
      </c>
      <c r="S613">
        <f t="shared" si="992"/>
        <v>1606.9894076479256</v>
      </c>
      <c r="T613">
        <f t="shared" si="993"/>
        <v>1.6069894076479256</v>
      </c>
    </row>
    <row r="614" spans="1:20" x14ac:dyDescent="0.25">
      <c r="A614" s="5">
        <v>43979</v>
      </c>
      <c r="B614">
        <v>0.14136000000000001</v>
      </c>
      <c r="C614">
        <v>0.14169000000000001</v>
      </c>
      <c r="D614">
        <v>0.13600000000000001</v>
      </c>
      <c r="E614">
        <v>0.13693</v>
      </c>
      <c r="F614">
        <v>19412010.899999999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-0.67311072056239496</v>
      </c>
      <c r="Q614">
        <f t="shared" si="990"/>
        <v>-13066432.644464064</v>
      </c>
      <c r="R614">
        <f t="shared" si="991"/>
        <v>161386070.41314417</v>
      </c>
      <c r="S614">
        <f t="shared" si="992"/>
        <v>1613.8607041314417</v>
      </c>
      <c r="T614">
        <f t="shared" si="993"/>
        <v>1.6138607041314417</v>
      </c>
    </row>
    <row r="615" spans="1:20" x14ac:dyDescent="0.25">
      <c r="A615" s="5">
        <v>43978</v>
      </c>
      <c r="B615">
        <v>0.15282000000000001</v>
      </c>
      <c r="C615">
        <v>0.155</v>
      </c>
      <c r="D615">
        <v>0.14000000000000001</v>
      </c>
      <c r="E615">
        <v>0.14165</v>
      </c>
      <c r="F615">
        <v>29475076.100000001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-0.7800000000000018</v>
      </c>
      <c r="Q615">
        <f t="shared" si="990"/>
        <v>-22990559.358000055</v>
      </c>
      <c r="R615">
        <f t="shared" si="991"/>
        <v>174452503.05760825</v>
      </c>
      <c r="S615">
        <f t="shared" si="992"/>
        <v>1744.5250305760824</v>
      </c>
      <c r="T615">
        <f t="shared" si="993"/>
        <v>1.7445250305760824</v>
      </c>
    </row>
    <row r="616" spans="1:20" x14ac:dyDescent="0.25">
      <c r="A616" s="5">
        <v>43977</v>
      </c>
      <c r="B616">
        <v>0.13427</v>
      </c>
      <c r="C616">
        <v>0.155</v>
      </c>
      <c r="D616">
        <v>0.13386000000000001</v>
      </c>
      <c r="E616">
        <v>0.15281</v>
      </c>
      <c r="F616">
        <v>40786517.899999999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0.79280983916745518</v>
      </c>
      <c r="Q616">
        <f t="shared" si="990"/>
        <v>32335952.69649953</v>
      </c>
      <c r="R616">
        <f t="shared" si="991"/>
        <v>197443062.41560829</v>
      </c>
      <c r="S616">
        <f t="shared" si="992"/>
        <v>1974.4306241560828</v>
      </c>
      <c r="T616">
        <f t="shared" si="993"/>
        <v>1.9744306241560827</v>
      </c>
    </row>
    <row r="617" spans="1:20" x14ac:dyDescent="0.25">
      <c r="A617" s="5">
        <v>43976</v>
      </c>
      <c r="B617">
        <v>0.12648999999999999</v>
      </c>
      <c r="C617">
        <v>0.14099999999999999</v>
      </c>
      <c r="D617">
        <v>0.12365</v>
      </c>
      <c r="E617">
        <v>0.13421</v>
      </c>
      <c r="F617">
        <v>24174003.800000001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0.21729106628242142</v>
      </c>
      <c r="Q617">
        <f t="shared" si="990"/>
        <v>5252795.0620173076</v>
      </c>
      <c r="R617">
        <f t="shared" si="991"/>
        <v>165107109.71910876</v>
      </c>
      <c r="S617">
        <f t="shared" si="992"/>
        <v>1651.0710971910876</v>
      </c>
      <c r="T617">
        <f t="shared" si="993"/>
        <v>1.6510710971910876</v>
      </c>
    </row>
    <row r="618" spans="1:20" x14ac:dyDescent="0.25">
      <c r="A618" s="5">
        <v>43975</v>
      </c>
      <c r="B618">
        <v>0.13159000000000001</v>
      </c>
      <c r="C618">
        <v>0.13528000000000001</v>
      </c>
      <c r="D618">
        <v>0.12528</v>
      </c>
      <c r="E618">
        <v>0.1265</v>
      </c>
      <c r="F618">
        <v>11774258.4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-0.75600000000000045</v>
      </c>
      <c r="Q618">
        <f t="shared" si="990"/>
        <v>-8901339.3504000064</v>
      </c>
      <c r="R618">
        <f t="shared" si="991"/>
        <v>159854314.65709144</v>
      </c>
      <c r="S618">
        <f t="shared" si="992"/>
        <v>1598.5431465709144</v>
      </c>
      <c r="T618">
        <f t="shared" si="993"/>
        <v>1.5985431465709143</v>
      </c>
    </row>
    <row r="619" spans="1:20" x14ac:dyDescent="0.25">
      <c r="A619" s="5">
        <v>43974</v>
      </c>
      <c r="B619">
        <v>0.13578000000000001</v>
      </c>
      <c r="C619">
        <v>0.13721</v>
      </c>
      <c r="D619">
        <v>0.13150000000000001</v>
      </c>
      <c r="E619">
        <v>0.13183</v>
      </c>
      <c r="F619">
        <v>7982147.2000000002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-0.88441330998248779</v>
      </c>
      <c r="Q619">
        <f t="shared" si="990"/>
        <v>-7059517.2259194469</v>
      </c>
      <c r="R619">
        <f t="shared" si="991"/>
        <v>168755654.00749144</v>
      </c>
      <c r="S619">
        <f t="shared" si="992"/>
        <v>1687.5565400749144</v>
      </c>
      <c r="T619">
        <f t="shared" si="993"/>
        <v>1.6875565400749144</v>
      </c>
    </row>
    <row r="620" spans="1:20" x14ac:dyDescent="0.25">
      <c r="A620" s="5">
        <v>43973</v>
      </c>
      <c r="B620">
        <v>0.13039999999999999</v>
      </c>
      <c r="C620">
        <v>0.13800000000000001</v>
      </c>
      <c r="D620">
        <v>0.12975999999999999</v>
      </c>
      <c r="E620">
        <v>0.13552</v>
      </c>
      <c r="F620">
        <v>13458988.800000001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0.3980582524271839</v>
      </c>
      <c r="Q620">
        <f t="shared" si="990"/>
        <v>5357461.5611650413</v>
      </c>
      <c r="R620">
        <f t="shared" si="991"/>
        <v>175815171.23341089</v>
      </c>
      <c r="S620">
        <f t="shared" si="992"/>
        <v>1758.1517123341089</v>
      </c>
      <c r="T620">
        <f t="shared" si="993"/>
        <v>1.7581517123341088</v>
      </c>
    </row>
    <row r="621" spans="1:20" x14ac:dyDescent="0.25">
      <c r="A621" s="5">
        <v>43972</v>
      </c>
      <c r="B621">
        <v>0.13371</v>
      </c>
      <c r="C621">
        <v>0.13664999999999999</v>
      </c>
      <c r="D621">
        <v>0.12537999999999999</v>
      </c>
      <c r="E621">
        <v>0.13039999999999999</v>
      </c>
      <c r="F621">
        <v>17963852.300000001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-0.10913930789707264</v>
      </c>
      <c r="Q621">
        <f t="shared" si="990"/>
        <v>-1960562.4071872367</v>
      </c>
      <c r="R621">
        <f t="shared" si="991"/>
        <v>170457709.67224586</v>
      </c>
      <c r="S621">
        <f t="shared" si="992"/>
        <v>1704.5770967224587</v>
      </c>
      <c r="T621">
        <f t="shared" si="993"/>
        <v>1.7045770967224587</v>
      </c>
    </row>
    <row r="622" spans="1:20" x14ac:dyDescent="0.25">
      <c r="A622" s="5">
        <v>43971</v>
      </c>
      <c r="B622">
        <v>0.13531000000000001</v>
      </c>
      <c r="C622">
        <v>0.1414</v>
      </c>
      <c r="D622">
        <v>0.12839</v>
      </c>
      <c r="E622">
        <v>0.13405</v>
      </c>
      <c r="F622">
        <v>21635228.5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-0.12990007686395064</v>
      </c>
      <c r="Q622">
        <f t="shared" si="990"/>
        <v>-2810417.8451191355</v>
      </c>
      <c r="R622">
        <f t="shared" si="991"/>
        <v>172418272.07943308</v>
      </c>
      <c r="S622">
        <f t="shared" si="992"/>
        <v>1724.1827207943309</v>
      </c>
      <c r="T622">
        <f t="shared" si="993"/>
        <v>1.7241827207943308</v>
      </c>
    </row>
    <row r="623" spans="1:20" x14ac:dyDescent="0.25">
      <c r="A623" s="5">
        <v>43970</v>
      </c>
      <c r="B623">
        <v>0.13647000000000001</v>
      </c>
      <c r="C623">
        <v>0.13702</v>
      </c>
      <c r="D623">
        <v>0.13200000000000001</v>
      </c>
      <c r="E623">
        <v>0.13528000000000001</v>
      </c>
      <c r="F623">
        <v>7908359.5999999996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0.30677290836653676</v>
      </c>
      <c r="Q623">
        <f t="shared" si="990"/>
        <v>2426070.4749004212</v>
      </c>
      <c r="R623">
        <f t="shared" si="991"/>
        <v>175228689.92455223</v>
      </c>
      <c r="S623">
        <f t="shared" si="992"/>
        <v>1752.2868992455224</v>
      </c>
      <c r="T623">
        <f t="shared" si="993"/>
        <v>1.7522868992455223</v>
      </c>
    </row>
    <row r="624" spans="1:20" x14ac:dyDescent="0.25">
      <c r="A624" s="5">
        <v>43969</v>
      </c>
      <c r="B624">
        <v>0.13272</v>
      </c>
      <c r="C624">
        <v>0.13686999999999999</v>
      </c>
      <c r="D624">
        <v>0.13150000000000001</v>
      </c>
      <c r="E624">
        <v>0.13686999999999999</v>
      </c>
      <c r="F624">
        <v>7127021.7999999998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1</v>
      </c>
      <c r="Q624">
        <f t="shared" si="990"/>
        <v>7127021.7999999998</v>
      </c>
      <c r="R624">
        <f t="shared" si="991"/>
        <v>172802619.44965181</v>
      </c>
      <c r="S624">
        <f t="shared" si="992"/>
        <v>1728.026194496518</v>
      </c>
      <c r="T624">
        <f t="shared" si="993"/>
        <v>1.7280261944965181</v>
      </c>
    </row>
    <row r="625" spans="1:20" x14ac:dyDescent="0.25">
      <c r="A625" s="5">
        <v>43968</v>
      </c>
      <c r="B625">
        <v>0.13099</v>
      </c>
      <c r="C625">
        <v>0.13422999999999999</v>
      </c>
      <c r="D625">
        <v>0.13059999999999999</v>
      </c>
      <c r="E625">
        <v>0.13272999999999999</v>
      </c>
      <c r="F625">
        <v>5150244.3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0.17355371900826244</v>
      </c>
      <c r="Q625">
        <f t="shared" si="990"/>
        <v>893844.0520661053</v>
      </c>
      <c r="R625">
        <f t="shared" si="991"/>
        <v>165675597.6496518</v>
      </c>
      <c r="S625">
        <f t="shared" si="992"/>
        <v>1656.7559764965179</v>
      </c>
      <c r="T625">
        <f t="shared" si="993"/>
        <v>1.6567559764965178</v>
      </c>
    </row>
    <row r="626" spans="1:20" x14ac:dyDescent="0.25">
      <c r="A626" s="5">
        <v>43967</v>
      </c>
      <c r="B626">
        <v>0.13084999999999999</v>
      </c>
      <c r="C626">
        <v>0.13422999999999999</v>
      </c>
      <c r="D626">
        <v>0.12912000000000001</v>
      </c>
      <c r="E626">
        <v>0.13125999999999999</v>
      </c>
      <c r="F626">
        <v>6329361.7999999998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-0.16242661448141471</v>
      </c>
      <c r="Q626">
        <f t="shared" si="990"/>
        <v>-1028056.809001993</v>
      </c>
      <c r="R626">
        <f t="shared" si="991"/>
        <v>164781753.59758568</v>
      </c>
      <c r="S626">
        <f t="shared" si="992"/>
        <v>1647.8175359758568</v>
      </c>
      <c r="T626">
        <f t="shared" si="993"/>
        <v>1.6478175359758569</v>
      </c>
    </row>
    <row r="627" spans="1:20" x14ac:dyDescent="0.25">
      <c r="A627" s="5">
        <v>43966</v>
      </c>
      <c r="B627">
        <v>0.13341</v>
      </c>
      <c r="C627">
        <v>0.13583999999999999</v>
      </c>
      <c r="D627">
        <v>0.12853999999999999</v>
      </c>
      <c r="E627">
        <v>0.13072</v>
      </c>
      <c r="F627">
        <v>10024467.199999999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-0.40273972602739316</v>
      </c>
      <c r="Q627">
        <f t="shared" si="990"/>
        <v>-4037251.1736985887</v>
      </c>
      <c r="R627">
        <f t="shared" si="991"/>
        <v>165809810.40658766</v>
      </c>
      <c r="S627">
        <f t="shared" si="992"/>
        <v>1658.0981040658767</v>
      </c>
      <c r="T627">
        <f t="shared" si="993"/>
        <v>1.6580981040658767</v>
      </c>
    </row>
    <row r="628" spans="1:20" x14ac:dyDescent="0.25">
      <c r="A628" s="5">
        <v>43965</v>
      </c>
      <c r="B628">
        <v>0.13425000000000001</v>
      </c>
      <c r="C628">
        <v>0.13650000000000001</v>
      </c>
      <c r="D628">
        <v>0.13153999999999999</v>
      </c>
      <c r="E628">
        <v>0.13278000000000001</v>
      </c>
      <c r="F628">
        <v>10834661.6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-0.49999999999999439</v>
      </c>
      <c r="Q628">
        <f t="shared" si="990"/>
        <v>-5417330.7999999393</v>
      </c>
      <c r="R628">
        <f t="shared" si="991"/>
        <v>169847061.58028623</v>
      </c>
      <c r="S628">
        <f t="shared" si="992"/>
        <v>1698.4706158028623</v>
      </c>
      <c r="T628">
        <f t="shared" si="993"/>
        <v>1.6984706158028624</v>
      </c>
    </row>
    <row r="629" spans="1:20" x14ac:dyDescent="0.25">
      <c r="A629" s="5">
        <v>43964</v>
      </c>
      <c r="B629">
        <v>0.13436999999999999</v>
      </c>
      <c r="C629">
        <v>0.14066000000000001</v>
      </c>
      <c r="D629">
        <v>0.13200000000000001</v>
      </c>
      <c r="E629">
        <v>0.13449</v>
      </c>
      <c r="F629">
        <v>16855090.199999999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-0.42494226327944762</v>
      </c>
      <c r="Q629">
        <f t="shared" si="990"/>
        <v>-7162440.1773672374</v>
      </c>
      <c r="R629">
        <f t="shared" si="991"/>
        <v>175264392.38028619</v>
      </c>
      <c r="S629">
        <f t="shared" si="992"/>
        <v>1752.6439238028618</v>
      </c>
      <c r="T629">
        <f t="shared" si="993"/>
        <v>1.7526439238028617</v>
      </c>
    </row>
    <row r="630" spans="1:20" x14ac:dyDescent="0.25">
      <c r="A630" s="5">
        <v>43963</v>
      </c>
      <c r="B630">
        <v>0.12378</v>
      </c>
      <c r="C630">
        <v>0.13619999999999999</v>
      </c>
      <c r="D630">
        <v>0.12328</v>
      </c>
      <c r="E630">
        <v>0.13436999999999999</v>
      </c>
      <c r="F630">
        <v>17256415.399999999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0.71671826625386992</v>
      </c>
      <c r="Q630">
        <f t="shared" si="990"/>
        <v>12367988.127244581</v>
      </c>
      <c r="R630">
        <f t="shared" si="991"/>
        <v>182426832.55765343</v>
      </c>
      <c r="S630">
        <f t="shared" si="992"/>
        <v>1824.2683255765344</v>
      </c>
      <c r="T630">
        <f t="shared" si="993"/>
        <v>1.8242683255765344</v>
      </c>
    </row>
    <row r="631" spans="1:20" x14ac:dyDescent="0.25">
      <c r="A631" s="5">
        <v>43962</v>
      </c>
      <c r="B631">
        <v>0.12636</v>
      </c>
      <c r="C631">
        <v>0.12812999999999999</v>
      </c>
      <c r="D631">
        <v>0.11524</v>
      </c>
      <c r="E631">
        <v>0.12444</v>
      </c>
      <c r="F631">
        <v>12855039.4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0.42746314972847183</v>
      </c>
      <c r="Q631">
        <f t="shared" si="990"/>
        <v>5495055.6318076048</v>
      </c>
      <c r="R631">
        <f t="shared" si="991"/>
        <v>170058844.43040884</v>
      </c>
      <c r="S631">
        <f t="shared" si="992"/>
        <v>1700.5884443040884</v>
      </c>
      <c r="T631">
        <f t="shared" si="993"/>
        <v>1.7005884443040884</v>
      </c>
    </row>
    <row r="632" spans="1:20" x14ac:dyDescent="0.25">
      <c r="A632" s="5">
        <v>43961</v>
      </c>
      <c r="B632">
        <v>0.13725999999999999</v>
      </c>
      <c r="C632">
        <v>0.13771</v>
      </c>
      <c r="D632">
        <v>0.11600000000000001</v>
      </c>
      <c r="E632">
        <v>0.12634999999999999</v>
      </c>
      <c r="F632">
        <v>22724198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-4.6522339935514745E-2</v>
      </c>
      <c r="Q632">
        <f t="shared" si="990"/>
        <v>-1057182.8641179444</v>
      </c>
      <c r="R632">
        <f t="shared" si="991"/>
        <v>164563788.79860124</v>
      </c>
      <c r="S632">
        <f t="shared" si="992"/>
        <v>1645.6378879860124</v>
      </c>
      <c r="T632">
        <f t="shared" si="993"/>
        <v>1.6456378879860123</v>
      </c>
    </row>
    <row r="633" spans="1:20" x14ac:dyDescent="0.25">
      <c r="A633" s="5">
        <v>43960</v>
      </c>
      <c r="B633">
        <v>0.13750000000000001</v>
      </c>
      <c r="C633">
        <v>0.14349999999999999</v>
      </c>
      <c r="D633">
        <v>0.1371</v>
      </c>
      <c r="E633">
        <v>0.13727</v>
      </c>
      <c r="F633">
        <v>14324837.300000001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-0.9468749999999988</v>
      </c>
      <c r="Q633">
        <f t="shared" si="990"/>
        <v>-13563830.318437483</v>
      </c>
      <c r="R633">
        <f t="shared" si="991"/>
        <v>165620971.66271919</v>
      </c>
      <c r="S633">
        <f t="shared" si="992"/>
        <v>1656.2097166271919</v>
      </c>
      <c r="T633">
        <f t="shared" si="993"/>
        <v>1.6562097166271919</v>
      </c>
    </row>
    <row r="634" spans="1:20" x14ac:dyDescent="0.25">
      <c r="A634" s="5">
        <v>43959</v>
      </c>
      <c r="B634">
        <v>0.13477</v>
      </c>
      <c r="C634">
        <v>0.14199999999999999</v>
      </c>
      <c r="D634">
        <v>0.13372999999999999</v>
      </c>
      <c r="E634">
        <v>0.13749</v>
      </c>
      <c r="F634">
        <v>15869300.800000001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-9.0689238210395762E-2</v>
      </c>
      <c r="Q634">
        <f t="shared" si="990"/>
        <v>-1439174.800483624</v>
      </c>
      <c r="R634">
        <f t="shared" si="991"/>
        <v>179184801.98115668</v>
      </c>
      <c r="S634">
        <f t="shared" si="992"/>
        <v>1791.8480198115667</v>
      </c>
      <c r="T634">
        <f t="shared" si="993"/>
        <v>1.7918480198115667</v>
      </c>
    </row>
    <row r="635" spans="1:20" x14ac:dyDescent="0.25">
      <c r="A635" s="5">
        <v>43958</v>
      </c>
      <c r="B635">
        <v>0.13150000000000001</v>
      </c>
      <c r="C635">
        <v>0.14349999999999999</v>
      </c>
      <c r="D635">
        <v>0.13070000000000001</v>
      </c>
      <c r="E635">
        <v>0.13478999999999999</v>
      </c>
      <c r="F635">
        <v>25564220.800000001</v>
      </c>
      <c r="G635">
        <v>0</v>
      </c>
      <c r="L635" t="s">
        <v>8</v>
      </c>
      <c r="M635" t="s">
        <v>7</v>
      </c>
      <c r="N635" t="s">
        <v>8</v>
      </c>
      <c r="P635">
        <f t="shared" si="989"/>
        <v>-0.36093750000000163</v>
      </c>
      <c r="Q635">
        <f t="shared" si="990"/>
        <v>-9227085.9450000413</v>
      </c>
      <c r="R635">
        <f t="shared" si="991"/>
        <v>180623976.78164029</v>
      </c>
      <c r="S635">
        <f t="shared" si="992"/>
        <v>1806.2397678164029</v>
      </c>
      <c r="T635">
        <f t="shared" si="993"/>
        <v>1.8062397678164031</v>
      </c>
    </row>
    <row r="636" spans="1:20" x14ac:dyDescent="0.25">
      <c r="A636" s="5">
        <v>43957</v>
      </c>
      <c r="B636">
        <v>0.13452</v>
      </c>
      <c r="C636">
        <v>0.13749</v>
      </c>
      <c r="D636">
        <v>0.13056000000000001</v>
      </c>
      <c r="E636">
        <v>0.13167999999999999</v>
      </c>
      <c r="F636">
        <v>11944201.5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-0.67676767676768157</v>
      </c>
      <c r="Q636">
        <f t="shared" si="990"/>
        <v>-8083449.5000000577</v>
      </c>
      <c r="R636">
        <f t="shared" si="991"/>
        <v>189851062.72664034</v>
      </c>
      <c r="S636">
        <f t="shared" si="992"/>
        <v>1898.5106272664034</v>
      </c>
      <c r="T636">
        <f t="shared" si="993"/>
        <v>1.8985106272664034</v>
      </c>
    </row>
    <row r="637" spans="1:20" x14ac:dyDescent="0.25">
      <c r="A637" s="5">
        <v>43956</v>
      </c>
      <c r="B637">
        <v>0.13489000000000001</v>
      </c>
      <c r="C637">
        <v>0.13785</v>
      </c>
      <c r="D637">
        <v>0.13231999999999999</v>
      </c>
      <c r="E637">
        <v>0.13457</v>
      </c>
      <c r="F637">
        <v>8171941.7999999998</v>
      </c>
      <c r="G637">
        <v>0</v>
      </c>
      <c r="L637" t="s">
        <v>7</v>
      </c>
      <c r="M637" t="s">
        <v>7</v>
      </c>
      <c r="N637" t="s">
        <v>8</v>
      </c>
      <c r="P637">
        <f t="shared" si="989"/>
        <v>-0.18625678119349037</v>
      </c>
      <c r="Q637">
        <f t="shared" si="990"/>
        <v>-1522079.5757685378</v>
      </c>
      <c r="R637">
        <f t="shared" si="991"/>
        <v>197934512.2266404</v>
      </c>
      <c r="S637">
        <f t="shared" si="992"/>
        <v>1979.3451222664041</v>
      </c>
      <c r="T637">
        <f t="shared" si="993"/>
        <v>1.979345122266404</v>
      </c>
    </row>
    <row r="638" spans="1:20" x14ac:dyDescent="0.25">
      <c r="A638" s="5">
        <v>43955</v>
      </c>
      <c r="B638">
        <v>0.13800000000000001</v>
      </c>
      <c r="C638">
        <v>0.14008000000000001</v>
      </c>
      <c r="D638">
        <v>0.12822</v>
      </c>
      <c r="E638">
        <v>0.13489000000000001</v>
      </c>
      <c r="F638">
        <v>13654273.699999999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0.12478920741989949</v>
      </c>
      <c r="Q638">
        <f t="shared" si="990"/>
        <v>1703905.9929173784</v>
      </c>
      <c r="R638">
        <f t="shared" si="991"/>
        <v>199456591.80240893</v>
      </c>
      <c r="S638">
        <f t="shared" si="992"/>
        <v>1994.5659180240893</v>
      </c>
      <c r="T638">
        <f t="shared" si="993"/>
        <v>1.9945659180240893</v>
      </c>
    </row>
    <row r="639" spans="1:20" x14ac:dyDescent="0.25">
      <c r="A639" s="5">
        <v>43954</v>
      </c>
      <c r="B639">
        <v>0.14327000000000001</v>
      </c>
      <c r="C639">
        <v>0.14419999999999999</v>
      </c>
      <c r="D639">
        <v>0.13250000000000001</v>
      </c>
      <c r="E639">
        <v>0.13800000000000001</v>
      </c>
      <c r="F639">
        <v>16013272.1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-5.9829059829058041E-2</v>
      </c>
      <c r="Q639">
        <f t="shared" si="990"/>
        <v>-958059.01452988584</v>
      </c>
      <c r="R639">
        <f t="shared" si="991"/>
        <v>197752685.80949154</v>
      </c>
      <c r="S639">
        <f t="shared" si="992"/>
        <v>1977.5268580949155</v>
      </c>
      <c r="T639">
        <f t="shared" si="993"/>
        <v>1.9775268580949155</v>
      </c>
    </row>
    <row r="640" spans="1:20" x14ac:dyDescent="0.25">
      <c r="A640" s="5">
        <v>43953</v>
      </c>
      <c r="B640">
        <v>0.14405000000000001</v>
      </c>
      <c r="C640">
        <v>0.14552999999999999</v>
      </c>
      <c r="D640">
        <v>0.14112</v>
      </c>
      <c r="E640">
        <v>0.14330000000000001</v>
      </c>
      <c r="F640">
        <v>11089520.9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-1.1337868480718088E-2</v>
      </c>
      <c r="Q640">
        <f t="shared" si="990"/>
        <v>-125731.52947837449</v>
      </c>
      <c r="R640">
        <f t="shared" si="991"/>
        <v>198710744.82402143</v>
      </c>
      <c r="S640">
        <f t="shared" si="992"/>
        <v>1987.1074482402144</v>
      </c>
      <c r="T640">
        <f t="shared" si="993"/>
        <v>1.9871074482402145</v>
      </c>
    </row>
    <row r="641" spans="1:20" x14ac:dyDescent="0.25">
      <c r="A641" s="5">
        <v>43952</v>
      </c>
      <c r="B641">
        <v>0.1409</v>
      </c>
      <c r="C641">
        <v>0.14799999999999999</v>
      </c>
      <c r="D641">
        <v>0.14019999999999999</v>
      </c>
      <c r="E641">
        <v>0.14426</v>
      </c>
      <c r="F641">
        <v>19565750.699999999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4.1025641025642906E-2</v>
      </c>
      <c r="Q641">
        <f t="shared" si="990"/>
        <v>802697.46461542137</v>
      </c>
      <c r="R641">
        <f t="shared" si="991"/>
        <v>198836476.3534998</v>
      </c>
      <c r="S641">
        <f t="shared" si="992"/>
        <v>1988.364763534998</v>
      </c>
      <c r="T641">
        <f t="shared" si="993"/>
        <v>1.9883647635349979</v>
      </c>
    </row>
    <row r="642" spans="1:20" x14ac:dyDescent="0.25">
      <c r="A642" s="5">
        <v>43951</v>
      </c>
      <c r="B642">
        <v>0.14538999999999999</v>
      </c>
      <c r="C642">
        <v>0.152</v>
      </c>
      <c r="D642">
        <v>0.13950000000000001</v>
      </c>
      <c r="E642">
        <v>0.14102000000000001</v>
      </c>
      <c r="F642">
        <v>31322572.199999999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-0.75680000000000069</v>
      </c>
      <c r="Q642">
        <f t="shared" si="990"/>
        <v>-23704922.640960023</v>
      </c>
      <c r="R642">
        <f t="shared" si="991"/>
        <v>198033778.88888437</v>
      </c>
      <c r="S642">
        <f t="shared" si="992"/>
        <v>1980.3377888888438</v>
      </c>
      <c r="T642">
        <f t="shared" si="993"/>
        <v>1.9803377888888438</v>
      </c>
    </row>
    <row r="643" spans="1:20" x14ac:dyDescent="0.25">
      <c r="A643" s="5">
        <v>43950</v>
      </c>
      <c r="B643">
        <v>0.14011000000000001</v>
      </c>
      <c r="C643">
        <v>0.15171000000000001</v>
      </c>
      <c r="D643">
        <v>0.13965</v>
      </c>
      <c r="E643">
        <v>0.14538999999999999</v>
      </c>
      <c r="F643">
        <v>41578957.600000001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-4.8092868988393385E-2</v>
      </c>
      <c r="Q643">
        <f t="shared" si="990"/>
        <v>-1999651.3605307636</v>
      </c>
      <c r="R643">
        <f t="shared" si="991"/>
        <v>221738701.5298444</v>
      </c>
      <c r="S643">
        <f t="shared" si="992"/>
        <v>2217.3870152984441</v>
      </c>
      <c r="T643">
        <f t="shared" si="993"/>
        <v>2.2173870152984443</v>
      </c>
    </row>
    <row r="644" spans="1:20" x14ac:dyDescent="0.25">
      <c r="A644" s="5">
        <v>43949</v>
      </c>
      <c r="B644">
        <v>0.14357</v>
      </c>
      <c r="C644">
        <v>0.14410999999999999</v>
      </c>
      <c r="D644">
        <v>0.13800000000000001</v>
      </c>
      <c r="E644">
        <v>0.14011000000000001</v>
      </c>
      <c r="F644">
        <v>26198511.300000001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-0.30932896890343409</v>
      </c>
      <c r="Q644">
        <f t="shared" si="990"/>
        <v>-8103958.4872339666</v>
      </c>
      <c r="R644">
        <f t="shared" si="991"/>
        <v>223738352.89037517</v>
      </c>
      <c r="S644">
        <f t="shared" si="992"/>
        <v>2237.3835289037515</v>
      </c>
      <c r="T644">
        <f t="shared" si="993"/>
        <v>2.2373835289037514</v>
      </c>
    </row>
    <row r="645" spans="1:20" x14ac:dyDescent="0.25">
      <c r="A645" s="5">
        <v>43948</v>
      </c>
      <c r="B645">
        <v>0.14698</v>
      </c>
      <c r="C645">
        <v>0.15443999999999999</v>
      </c>
      <c r="D645">
        <v>0.14065</v>
      </c>
      <c r="E645">
        <v>0.14357</v>
      </c>
      <c r="F645">
        <v>46066245.299999997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-0.57650471356055011</v>
      </c>
      <c r="Q645">
        <f t="shared" si="990"/>
        <v>-26557407.551486537</v>
      </c>
      <c r="R645">
        <f t="shared" si="991"/>
        <v>231842311.37760913</v>
      </c>
      <c r="S645">
        <f t="shared" si="992"/>
        <v>2318.4231137760912</v>
      </c>
      <c r="T645">
        <f t="shared" si="993"/>
        <v>2.3184231137760913</v>
      </c>
    </row>
    <row r="646" spans="1:20" x14ac:dyDescent="0.25">
      <c r="A646" s="5">
        <v>43947</v>
      </c>
      <c r="B646">
        <v>0.13800000000000001</v>
      </c>
      <c r="C646">
        <v>0.14765</v>
      </c>
      <c r="D646">
        <v>0.13779</v>
      </c>
      <c r="E646">
        <v>0.14696999999999999</v>
      </c>
      <c r="F646">
        <v>31995765.800000001</v>
      </c>
      <c r="G646">
        <v>0</v>
      </c>
      <c r="L646" t="s">
        <v>8</v>
      </c>
      <c r="M646" t="s">
        <v>7</v>
      </c>
      <c r="N646" t="s">
        <v>8</v>
      </c>
      <c r="P646">
        <f t="shared" ref="P646:P709" si="994">IF(C646=D646,0,((E646-D646)-(C646-E646))/(C646-D646))</f>
        <v>0.86206896551723866</v>
      </c>
      <c r="Q646">
        <f t="shared" ref="Q646:Q709" si="995">F646*P646</f>
        <v>27582556.724137846</v>
      </c>
      <c r="R646">
        <f t="shared" ref="R646:R709" si="996">R647+Q646</f>
        <v>258399718.92909569</v>
      </c>
      <c r="S646">
        <f t="shared" ref="S646:S709" si="997">R646/100000</f>
        <v>2583.9971892909571</v>
      </c>
      <c r="T646">
        <f t="shared" ref="T646:T709" si="998">S646/1000</f>
        <v>2.5839971892909572</v>
      </c>
    </row>
    <row r="647" spans="1:20" x14ac:dyDescent="0.25">
      <c r="A647" s="5">
        <v>43946</v>
      </c>
      <c r="B647">
        <v>0.13542999999999999</v>
      </c>
      <c r="C647">
        <v>0.13958999999999999</v>
      </c>
      <c r="D647">
        <v>0.13356999999999999</v>
      </c>
      <c r="E647">
        <v>0.13800000000000001</v>
      </c>
      <c r="F647">
        <v>16727557</v>
      </c>
      <c r="G647">
        <v>0</v>
      </c>
      <c r="L647" t="s">
        <v>7</v>
      </c>
      <c r="M647" t="s">
        <v>7</v>
      </c>
      <c r="N647" t="s">
        <v>8</v>
      </c>
      <c r="P647">
        <f t="shared" si="994"/>
        <v>0.471760797342199</v>
      </c>
      <c r="Q647">
        <f t="shared" si="995"/>
        <v>7891405.6279070824</v>
      </c>
      <c r="R647">
        <f t="shared" si="996"/>
        <v>230817162.20495784</v>
      </c>
      <c r="S647">
        <f t="shared" si="997"/>
        <v>2308.1716220495782</v>
      </c>
      <c r="T647">
        <f t="shared" si="998"/>
        <v>2.3081716220495783</v>
      </c>
    </row>
    <row r="648" spans="1:20" x14ac:dyDescent="0.25">
      <c r="A648" s="5">
        <v>43945</v>
      </c>
      <c r="B648">
        <v>0.13389000000000001</v>
      </c>
      <c r="C648">
        <v>0.13918</v>
      </c>
      <c r="D648">
        <v>0.13214000000000001</v>
      </c>
      <c r="E648">
        <v>0.13547000000000001</v>
      </c>
      <c r="F648">
        <v>22077938.300000001</v>
      </c>
      <c r="G648">
        <v>0</v>
      </c>
      <c r="L648" t="s">
        <v>7</v>
      </c>
      <c r="M648" t="s">
        <v>7</v>
      </c>
      <c r="N648" t="s">
        <v>8</v>
      </c>
      <c r="P648">
        <f t="shared" si="994"/>
        <v>-5.3977272727271583E-2</v>
      </c>
      <c r="Q648">
        <f t="shared" si="995"/>
        <v>-1191706.8968749747</v>
      </c>
      <c r="R648">
        <f t="shared" si="996"/>
        <v>222925756.57705078</v>
      </c>
      <c r="S648">
        <f t="shared" si="997"/>
        <v>2229.2575657705079</v>
      </c>
      <c r="T648">
        <f t="shared" si="998"/>
        <v>2.2292575657705078</v>
      </c>
    </row>
    <row r="649" spans="1:20" x14ac:dyDescent="0.25">
      <c r="A649" s="5">
        <v>43944</v>
      </c>
      <c r="B649">
        <v>0.13372000000000001</v>
      </c>
      <c r="C649">
        <v>0.14199000000000001</v>
      </c>
      <c r="D649">
        <v>0.128</v>
      </c>
      <c r="E649">
        <v>0.13397000000000001</v>
      </c>
      <c r="F649">
        <v>31564087.699999999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-0.14653323802716198</v>
      </c>
      <c r="Q649">
        <f t="shared" si="995"/>
        <v>-4625187.9760543155</v>
      </c>
      <c r="R649">
        <f t="shared" si="996"/>
        <v>224117463.47392574</v>
      </c>
      <c r="S649">
        <f t="shared" si="997"/>
        <v>2241.1746347392573</v>
      </c>
      <c r="T649">
        <f t="shared" si="998"/>
        <v>2.2411746347392572</v>
      </c>
    </row>
    <row r="650" spans="1:20" x14ac:dyDescent="0.25">
      <c r="A650" s="5">
        <v>43943</v>
      </c>
      <c r="B650">
        <v>0.12956999999999999</v>
      </c>
      <c r="C650">
        <v>0.13544</v>
      </c>
      <c r="D650">
        <v>0.1278</v>
      </c>
      <c r="E650">
        <v>0.13355</v>
      </c>
      <c r="F650">
        <v>19107842.100000001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0.50523560209424057</v>
      </c>
      <c r="Q650">
        <f t="shared" si="995"/>
        <v>9653962.1081151795</v>
      </c>
      <c r="R650">
        <f t="shared" si="996"/>
        <v>228742651.44998005</v>
      </c>
      <c r="S650">
        <f t="shared" si="997"/>
        <v>2287.4265144998003</v>
      </c>
      <c r="T650">
        <f t="shared" si="998"/>
        <v>2.2874265144998005</v>
      </c>
    </row>
    <row r="651" spans="1:20" x14ac:dyDescent="0.25">
      <c r="A651" s="5">
        <v>43942</v>
      </c>
      <c r="B651">
        <v>0.12662000000000001</v>
      </c>
      <c r="C651">
        <v>0.13333</v>
      </c>
      <c r="D651">
        <v>0.12584999999999999</v>
      </c>
      <c r="E651">
        <v>0.12961</v>
      </c>
      <c r="F651">
        <v>22950331.5</v>
      </c>
      <c r="G651">
        <v>0</v>
      </c>
      <c r="L651" t="s">
        <v>8</v>
      </c>
      <c r="M651" t="s">
        <v>7</v>
      </c>
      <c r="N651" t="s">
        <v>8</v>
      </c>
      <c r="P651">
        <f t="shared" si="994"/>
        <v>5.3475935828893274E-3</v>
      </c>
      <c r="Q651">
        <f t="shared" si="995"/>
        <v>122729.0454545828</v>
      </c>
      <c r="R651">
        <f t="shared" si="996"/>
        <v>219088689.34186488</v>
      </c>
      <c r="S651">
        <f t="shared" si="997"/>
        <v>2190.8868934186489</v>
      </c>
      <c r="T651">
        <f t="shared" si="998"/>
        <v>2.1908868934186487</v>
      </c>
    </row>
    <row r="652" spans="1:20" x14ac:dyDescent="0.25">
      <c r="A652" s="5">
        <v>43941</v>
      </c>
      <c r="B652">
        <v>0.14061999999999999</v>
      </c>
      <c r="C652">
        <v>0.14365</v>
      </c>
      <c r="D652">
        <v>0.12490999999999999</v>
      </c>
      <c r="E652">
        <v>0.12667999999999999</v>
      </c>
      <c r="F652">
        <v>39590275.5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-0.81109925293489937</v>
      </c>
      <c r="Q652">
        <f t="shared" si="995"/>
        <v>-32111642.881536849</v>
      </c>
      <c r="R652">
        <f t="shared" si="996"/>
        <v>218965960.29641029</v>
      </c>
      <c r="S652">
        <f t="shared" si="997"/>
        <v>2189.6596029641028</v>
      </c>
      <c r="T652">
        <f t="shared" si="998"/>
        <v>2.1896596029641029</v>
      </c>
    </row>
    <row r="653" spans="1:20" x14ac:dyDescent="0.25">
      <c r="A653" s="5">
        <v>43940</v>
      </c>
      <c r="B653">
        <v>0.14771000000000001</v>
      </c>
      <c r="C653">
        <v>0.14854000000000001</v>
      </c>
      <c r="D653">
        <v>0.13711000000000001</v>
      </c>
      <c r="E653">
        <v>0.1406</v>
      </c>
      <c r="F653">
        <v>32106848.300000001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-0.38932633420822493</v>
      </c>
      <c r="Q653">
        <f t="shared" si="995"/>
        <v>-12500041.551618578</v>
      </c>
      <c r="R653">
        <f t="shared" si="996"/>
        <v>251077603.17794713</v>
      </c>
      <c r="S653">
        <f t="shared" si="997"/>
        <v>2510.7760317794714</v>
      </c>
      <c r="T653">
        <f t="shared" si="998"/>
        <v>2.5107760317794714</v>
      </c>
    </row>
    <row r="654" spans="1:20" x14ac:dyDescent="0.25">
      <c r="A654" s="5">
        <v>43939</v>
      </c>
      <c r="B654">
        <v>0.13427</v>
      </c>
      <c r="C654">
        <v>0.151</v>
      </c>
      <c r="D654">
        <v>0.13422999999999999</v>
      </c>
      <c r="E654">
        <v>0.14771000000000001</v>
      </c>
      <c r="F654">
        <v>53669834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0.60763267740012095</v>
      </c>
      <c r="Q654">
        <f t="shared" si="995"/>
        <v>32611544.929040045</v>
      </c>
      <c r="R654">
        <f t="shared" si="996"/>
        <v>263577644.72956571</v>
      </c>
      <c r="S654">
        <f t="shared" si="997"/>
        <v>2635.7764472956569</v>
      </c>
      <c r="T654">
        <f t="shared" si="998"/>
        <v>2.6357764472956569</v>
      </c>
    </row>
    <row r="655" spans="1:20" x14ac:dyDescent="0.25">
      <c r="A655" s="5">
        <v>43938</v>
      </c>
      <c r="B655">
        <v>0.13852999999999999</v>
      </c>
      <c r="C655">
        <v>0.13900000000000001</v>
      </c>
      <c r="D655">
        <v>0.13142999999999999</v>
      </c>
      <c r="E655">
        <v>0.13427</v>
      </c>
      <c r="F655">
        <v>24761061.5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-0.24966974900924671</v>
      </c>
      <c r="Q655">
        <f t="shared" si="995"/>
        <v>-6182088.0099075222</v>
      </c>
      <c r="R655">
        <f t="shared" si="996"/>
        <v>230966099.80052567</v>
      </c>
      <c r="S655">
        <f t="shared" si="997"/>
        <v>2309.6609980052567</v>
      </c>
      <c r="T655">
        <f t="shared" si="998"/>
        <v>2.3096609980052567</v>
      </c>
    </row>
    <row r="656" spans="1:20" x14ac:dyDescent="0.25">
      <c r="A656" s="5">
        <v>43937</v>
      </c>
      <c r="B656">
        <v>0.12333</v>
      </c>
      <c r="C656">
        <v>0.14000000000000001</v>
      </c>
      <c r="D656">
        <v>0.12021999999999999</v>
      </c>
      <c r="E656">
        <v>0.13829</v>
      </c>
      <c r="F656">
        <v>57723146.100000001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0.82709807886754139</v>
      </c>
      <c r="Q656">
        <f t="shared" si="995"/>
        <v>47742703.245500416</v>
      </c>
      <c r="R656">
        <f t="shared" si="996"/>
        <v>237148187.81043318</v>
      </c>
      <c r="S656">
        <f t="shared" si="997"/>
        <v>2371.4818781043318</v>
      </c>
      <c r="T656">
        <f t="shared" si="998"/>
        <v>2.3714818781043316</v>
      </c>
    </row>
    <row r="657" spans="1:20" x14ac:dyDescent="0.25">
      <c r="A657" s="5">
        <v>43936</v>
      </c>
      <c r="B657">
        <v>0.12787000000000001</v>
      </c>
      <c r="C657">
        <v>0.13056000000000001</v>
      </c>
      <c r="D657">
        <v>0.12333</v>
      </c>
      <c r="E657">
        <v>0.12333</v>
      </c>
      <c r="F657">
        <v>15907216.800000001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-1</v>
      </c>
      <c r="Q657">
        <f t="shared" si="995"/>
        <v>-15907216.800000001</v>
      </c>
      <c r="R657">
        <f t="shared" si="996"/>
        <v>189405484.56493276</v>
      </c>
      <c r="S657">
        <f t="shared" si="997"/>
        <v>1894.0548456493277</v>
      </c>
      <c r="T657">
        <f t="shared" si="998"/>
        <v>1.8940548456493278</v>
      </c>
    </row>
    <row r="658" spans="1:20" x14ac:dyDescent="0.25">
      <c r="A658" s="5">
        <v>43935</v>
      </c>
      <c r="B658">
        <v>0.12590999999999999</v>
      </c>
      <c r="C658">
        <v>0.13371</v>
      </c>
      <c r="D658">
        <v>0.12565999999999999</v>
      </c>
      <c r="E658">
        <v>0.12769</v>
      </c>
      <c r="F658">
        <v>31108170.300000001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-0.49565217391304256</v>
      </c>
      <c r="Q658">
        <f t="shared" si="995"/>
        <v>-15418832.235652145</v>
      </c>
      <c r="R658">
        <f t="shared" si="996"/>
        <v>205312701.36493278</v>
      </c>
      <c r="S658">
        <f t="shared" si="997"/>
        <v>2053.1270136493276</v>
      </c>
      <c r="T658">
        <f t="shared" si="998"/>
        <v>2.0531270136493278</v>
      </c>
    </row>
    <row r="659" spans="1:20" x14ac:dyDescent="0.25">
      <c r="A659" s="5">
        <v>43934</v>
      </c>
      <c r="B659">
        <v>0.12895000000000001</v>
      </c>
      <c r="C659">
        <v>0.13095000000000001</v>
      </c>
      <c r="D659">
        <v>0.12119000000000001</v>
      </c>
      <c r="E659">
        <v>0.12598999999999999</v>
      </c>
      <c r="F659">
        <v>50188653.100000001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-1.6393442622954408E-2</v>
      </c>
      <c r="Q659">
        <f t="shared" si="995"/>
        <v>-822764.80491821293</v>
      </c>
      <c r="R659">
        <f t="shared" si="996"/>
        <v>220731533.60058492</v>
      </c>
      <c r="S659">
        <f t="shared" si="997"/>
        <v>2207.3153360058491</v>
      </c>
      <c r="T659">
        <f t="shared" si="998"/>
        <v>2.2073153360058493</v>
      </c>
    </row>
    <row r="660" spans="1:20" x14ac:dyDescent="0.25">
      <c r="A660" s="5">
        <v>43933</v>
      </c>
      <c r="B660">
        <v>0.12570000000000001</v>
      </c>
      <c r="C660">
        <v>0.14113000000000001</v>
      </c>
      <c r="D660">
        <v>0.1211</v>
      </c>
      <c r="E660">
        <v>0.12928000000000001</v>
      </c>
      <c r="F660">
        <v>54691362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-0.18322516225661467</v>
      </c>
      <c r="Q660">
        <f t="shared" si="995"/>
        <v>-10020833.67648525</v>
      </c>
      <c r="R660">
        <f t="shared" si="996"/>
        <v>221554298.40550312</v>
      </c>
      <c r="S660">
        <f t="shared" si="997"/>
        <v>2215.5429840550314</v>
      </c>
      <c r="T660">
        <f t="shared" si="998"/>
        <v>2.2155429840550314</v>
      </c>
    </row>
    <row r="661" spans="1:20" x14ac:dyDescent="0.25">
      <c r="A661" s="5">
        <v>43932</v>
      </c>
      <c r="B661">
        <v>0.1298</v>
      </c>
      <c r="C661">
        <v>0.13178000000000001</v>
      </c>
      <c r="D661">
        <v>0.11933000000000001</v>
      </c>
      <c r="E661">
        <v>0.12570000000000001</v>
      </c>
      <c r="F661">
        <v>29402350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2.3293172690762934E-2</v>
      </c>
      <c r="Q661">
        <f t="shared" si="995"/>
        <v>684874.01606425352</v>
      </c>
      <c r="R661">
        <f t="shared" si="996"/>
        <v>231575132.08198836</v>
      </c>
      <c r="S661">
        <f t="shared" si="997"/>
        <v>2315.7513208198839</v>
      </c>
      <c r="T661">
        <f t="shared" si="998"/>
        <v>2.3157513208198837</v>
      </c>
    </row>
    <row r="662" spans="1:20" x14ac:dyDescent="0.25">
      <c r="A662" s="5">
        <v>43931</v>
      </c>
      <c r="B662">
        <v>0.14251</v>
      </c>
      <c r="C662">
        <v>0.14482</v>
      </c>
      <c r="D662">
        <v>0.1231</v>
      </c>
      <c r="E662">
        <v>0.1298</v>
      </c>
      <c r="F662">
        <v>56517629.899999999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-0.38305709023941098</v>
      </c>
      <c r="Q662">
        <f t="shared" si="995"/>
        <v>-21649478.85672193</v>
      </c>
      <c r="R662">
        <f t="shared" si="996"/>
        <v>230890258.06592411</v>
      </c>
      <c r="S662">
        <f t="shared" si="997"/>
        <v>2308.9025806592413</v>
      </c>
      <c r="T662">
        <f t="shared" si="998"/>
        <v>2.3089025806592414</v>
      </c>
    </row>
    <row r="663" spans="1:20" x14ac:dyDescent="0.25">
      <c r="A663" s="5">
        <v>43930</v>
      </c>
      <c r="B663">
        <v>0.15326000000000001</v>
      </c>
      <c r="C663">
        <v>0.15357000000000001</v>
      </c>
      <c r="D663">
        <v>0.14000000000000001</v>
      </c>
      <c r="E663">
        <v>0.14249999999999999</v>
      </c>
      <c r="F663">
        <v>50421598.200000003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-0.63154016212233244</v>
      </c>
      <c r="Q663">
        <f t="shared" si="995"/>
        <v>-31843264.301695108</v>
      </c>
      <c r="R663">
        <f t="shared" si="996"/>
        <v>252539736.92264605</v>
      </c>
      <c r="S663">
        <f t="shared" si="997"/>
        <v>2525.3973692264603</v>
      </c>
      <c r="T663">
        <f t="shared" si="998"/>
        <v>2.5253973692264604</v>
      </c>
    </row>
    <row r="664" spans="1:20" x14ac:dyDescent="0.25">
      <c r="A664" s="5">
        <v>43929</v>
      </c>
      <c r="B664">
        <v>0.14899999999999999</v>
      </c>
      <c r="C664">
        <v>0.15598999999999999</v>
      </c>
      <c r="D664">
        <v>0.14532999999999999</v>
      </c>
      <c r="E664">
        <v>0.15373999999999999</v>
      </c>
      <c r="F664">
        <v>57727728.200000003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0.57786116322701664</v>
      </c>
      <c r="Q664">
        <f t="shared" si="995"/>
        <v>33358612.168105055</v>
      </c>
      <c r="R664">
        <f t="shared" si="996"/>
        <v>284383001.22434115</v>
      </c>
      <c r="S664">
        <f t="shared" si="997"/>
        <v>2843.8300122434116</v>
      </c>
      <c r="T664">
        <f t="shared" si="998"/>
        <v>2.8438300122434117</v>
      </c>
    </row>
    <row r="665" spans="1:20" x14ac:dyDescent="0.25">
      <c r="A665" s="5">
        <v>43928</v>
      </c>
      <c r="B665">
        <v>0.14273</v>
      </c>
      <c r="C665">
        <v>0.16</v>
      </c>
      <c r="D665">
        <v>0.13600999999999999</v>
      </c>
      <c r="E665">
        <v>0.14929000000000001</v>
      </c>
      <c r="F665">
        <v>105463518.8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0.10712796998749544</v>
      </c>
      <c r="Q665">
        <f t="shared" si="995"/>
        <v>11298092.67678206</v>
      </c>
      <c r="R665">
        <f t="shared" si="996"/>
        <v>251024389.05623612</v>
      </c>
      <c r="S665">
        <f t="shared" si="997"/>
        <v>2510.2438905623612</v>
      </c>
      <c r="T665">
        <f t="shared" si="998"/>
        <v>2.5102438905623612</v>
      </c>
    </row>
    <row r="666" spans="1:20" x14ac:dyDescent="0.25">
      <c r="A666" s="5">
        <v>43927</v>
      </c>
      <c r="B666">
        <v>0.128</v>
      </c>
      <c r="C666">
        <v>0.14499000000000001</v>
      </c>
      <c r="D666">
        <v>0.12595000000000001</v>
      </c>
      <c r="E666">
        <v>0.14273</v>
      </c>
      <c r="F666">
        <v>67105358</v>
      </c>
      <c r="G666">
        <v>0</v>
      </c>
      <c r="L666" t="s">
        <v>8</v>
      </c>
      <c r="M666" t="s">
        <v>7</v>
      </c>
      <c r="N666" t="s">
        <v>8</v>
      </c>
      <c r="P666">
        <f t="shared" si="994"/>
        <v>0.76260504201680546</v>
      </c>
      <c r="Q666">
        <f t="shared" si="995"/>
        <v>51174884.357142769</v>
      </c>
      <c r="R666">
        <f t="shared" si="996"/>
        <v>239726296.37945405</v>
      </c>
      <c r="S666">
        <f t="shared" si="997"/>
        <v>2397.2629637945406</v>
      </c>
      <c r="T666">
        <f t="shared" si="998"/>
        <v>2.3972629637945406</v>
      </c>
    </row>
    <row r="667" spans="1:20" x14ac:dyDescent="0.25">
      <c r="A667" s="5">
        <v>43926</v>
      </c>
      <c r="B667">
        <v>0.13761000000000001</v>
      </c>
      <c r="C667">
        <v>0.14176</v>
      </c>
      <c r="D667">
        <v>0.12623000000000001</v>
      </c>
      <c r="E667">
        <v>0.128</v>
      </c>
      <c r="F667">
        <v>45991188.100000001</v>
      </c>
      <c r="G667">
        <v>0</v>
      </c>
      <c r="L667" t="s">
        <v>8</v>
      </c>
      <c r="M667" t="s">
        <v>7</v>
      </c>
      <c r="N667" t="s">
        <v>8</v>
      </c>
      <c r="P667">
        <f t="shared" si="994"/>
        <v>-0.77205408886027105</v>
      </c>
      <c r="Q667">
        <f t="shared" si="995"/>
        <v>-35507684.824146844</v>
      </c>
      <c r="R667">
        <f t="shared" si="996"/>
        <v>188551412.02231127</v>
      </c>
      <c r="S667">
        <f t="shared" si="997"/>
        <v>1885.5141202231127</v>
      </c>
      <c r="T667">
        <f t="shared" si="998"/>
        <v>1.8855141202231127</v>
      </c>
    </row>
    <row r="668" spans="1:20" x14ac:dyDescent="0.25">
      <c r="A668" s="5">
        <v>43925</v>
      </c>
      <c r="B668">
        <v>0.13807</v>
      </c>
      <c r="C668">
        <v>0.14360000000000001</v>
      </c>
      <c r="D668">
        <v>0.125</v>
      </c>
      <c r="E668">
        <v>0.13761000000000001</v>
      </c>
      <c r="F668">
        <v>74010119.200000003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0.35591397849462436</v>
      </c>
      <c r="Q668">
        <f t="shared" si="995"/>
        <v>26341235.973333385</v>
      </c>
      <c r="R668">
        <f t="shared" si="996"/>
        <v>224059096.84645811</v>
      </c>
      <c r="S668">
        <f t="shared" si="997"/>
        <v>2240.5909684645812</v>
      </c>
      <c r="T668">
        <f t="shared" si="998"/>
        <v>2.2405909684645811</v>
      </c>
    </row>
    <row r="669" spans="1:20" x14ac:dyDescent="0.25">
      <c r="A669" s="5">
        <v>43924</v>
      </c>
      <c r="B669">
        <v>0.13553000000000001</v>
      </c>
      <c r="C669">
        <v>0.15486</v>
      </c>
      <c r="D669">
        <v>0.13200000000000001</v>
      </c>
      <c r="E669">
        <v>0.13807</v>
      </c>
      <c r="F669">
        <v>126082230.09999999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-0.46894138232720961</v>
      </c>
      <c r="Q669">
        <f t="shared" si="995"/>
        <v>-59125175.269991316</v>
      </c>
      <c r="R669">
        <f t="shared" si="996"/>
        <v>197717860.87312472</v>
      </c>
      <c r="S669">
        <f t="shared" si="997"/>
        <v>1977.1786087312471</v>
      </c>
      <c r="T669">
        <f t="shared" si="998"/>
        <v>1.9771786087312471</v>
      </c>
    </row>
    <row r="670" spans="1:20" x14ac:dyDescent="0.25">
      <c r="A670" s="5">
        <v>43923</v>
      </c>
      <c r="B670">
        <v>0.11899</v>
      </c>
      <c r="C670">
        <v>0.14787</v>
      </c>
      <c r="D670">
        <v>0.1125</v>
      </c>
      <c r="E670">
        <v>0.13603999999999999</v>
      </c>
      <c r="F670">
        <v>153328439.90000001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0.33107152954481156</v>
      </c>
      <c r="Q670">
        <f t="shared" si="995"/>
        <v>50762681.120412715</v>
      </c>
      <c r="R670">
        <f t="shared" si="996"/>
        <v>256843036.14311603</v>
      </c>
      <c r="S670">
        <f t="shared" si="997"/>
        <v>2568.4303614311602</v>
      </c>
      <c r="T670">
        <f t="shared" si="998"/>
        <v>2.5684303614311603</v>
      </c>
    </row>
    <row r="671" spans="1:20" x14ac:dyDescent="0.25">
      <c r="A671" s="5">
        <v>43922</v>
      </c>
      <c r="B671">
        <v>9.6799999999999997E-2</v>
      </c>
      <c r="C671">
        <v>0.11928999999999999</v>
      </c>
      <c r="D671">
        <v>9.3670000000000003E-2</v>
      </c>
      <c r="E671">
        <v>0.11899</v>
      </c>
      <c r="F671">
        <v>107559509.3</v>
      </c>
      <c r="G671">
        <v>0</v>
      </c>
      <c r="L671" t="s">
        <v>8</v>
      </c>
      <c r="M671" t="s">
        <v>8</v>
      </c>
      <c r="N671" t="s">
        <v>7</v>
      </c>
      <c r="P671">
        <f t="shared" si="994"/>
        <v>0.97658079625292782</v>
      </c>
      <c r="Q671">
        <f t="shared" si="995"/>
        <v>105040551.23676819</v>
      </c>
      <c r="R671">
        <f t="shared" si="996"/>
        <v>206080355.02270332</v>
      </c>
      <c r="S671">
        <f t="shared" si="997"/>
        <v>2060.8035502270332</v>
      </c>
      <c r="T671">
        <f t="shared" si="998"/>
        <v>2.0608035502270332</v>
      </c>
    </row>
    <row r="672" spans="1:20" x14ac:dyDescent="0.25">
      <c r="A672" s="5">
        <v>43921</v>
      </c>
      <c r="B672">
        <v>9.4009999999999996E-2</v>
      </c>
      <c r="C672">
        <v>9.8900000000000002E-2</v>
      </c>
      <c r="D672">
        <v>9.2050000000000007E-2</v>
      </c>
      <c r="E672">
        <v>9.6750000000000003E-2</v>
      </c>
      <c r="F672">
        <v>22245654.600000001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0.3722627737226275</v>
      </c>
      <c r="Q672">
        <f t="shared" si="995"/>
        <v>8281229.0846715281</v>
      </c>
      <c r="R672">
        <f t="shared" si="996"/>
        <v>101039803.78593513</v>
      </c>
      <c r="S672">
        <f t="shared" si="997"/>
        <v>1010.3980378593513</v>
      </c>
      <c r="T672">
        <f t="shared" si="998"/>
        <v>1.0103980378593513</v>
      </c>
    </row>
    <row r="673" spans="1:20" x14ac:dyDescent="0.25">
      <c r="A673" s="5">
        <v>43920</v>
      </c>
      <c r="B673">
        <v>8.9340000000000003E-2</v>
      </c>
      <c r="C673">
        <v>9.7540000000000002E-2</v>
      </c>
      <c r="D673">
        <v>8.8550000000000004E-2</v>
      </c>
      <c r="E673">
        <v>9.4E-2</v>
      </c>
      <c r="F673">
        <v>24623819.899999999</v>
      </c>
      <c r="G673">
        <v>0</v>
      </c>
      <c r="L673" t="s">
        <v>8</v>
      </c>
      <c r="M673" t="s">
        <v>8</v>
      </c>
      <c r="N673" t="s">
        <v>7</v>
      </c>
      <c r="P673">
        <f t="shared" si="994"/>
        <v>0.21245828698553898</v>
      </c>
      <c r="Q673">
        <f t="shared" si="995"/>
        <v>5231534.5949944258</v>
      </c>
      <c r="R673">
        <f t="shared" si="996"/>
        <v>92758574.701263607</v>
      </c>
      <c r="S673">
        <f t="shared" si="997"/>
        <v>927.58574701263603</v>
      </c>
      <c r="T673">
        <f t="shared" si="998"/>
        <v>0.92758574701263607</v>
      </c>
    </row>
    <row r="674" spans="1:20" x14ac:dyDescent="0.25">
      <c r="A674" s="5">
        <v>43919</v>
      </c>
      <c r="B674">
        <v>9.3560000000000004E-2</v>
      </c>
      <c r="C674">
        <v>9.4979999999999995E-2</v>
      </c>
      <c r="D674">
        <v>8.8179999999999994E-2</v>
      </c>
      <c r="E674">
        <v>8.8900000000000007E-2</v>
      </c>
      <c r="F674">
        <v>16871499.800000001</v>
      </c>
      <c r="G674">
        <v>0</v>
      </c>
      <c r="L674" t="s">
        <v>8</v>
      </c>
      <c r="M674" t="s">
        <v>8</v>
      </c>
      <c r="N674" t="s">
        <v>7</v>
      </c>
      <c r="P674">
        <f t="shared" si="994"/>
        <v>-0.78823529411764348</v>
      </c>
      <c r="Q674">
        <f t="shared" si="995"/>
        <v>-13298711.607058764</v>
      </c>
      <c r="R674">
        <f t="shared" si="996"/>
        <v>87527040.106269181</v>
      </c>
      <c r="S674">
        <f t="shared" si="997"/>
        <v>875.2704010626918</v>
      </c>
      <c r="T674">
        <f t="shared" si="998"/>
        <v>0.87527040106269183</v>
      </c>
    </row>
    <row r="675" spans="1:20" x14ac:dyDescent="0.25">
      <c r="A675" s="5">
        <v>43918</v>
      </c>
      <c r="B675">
        <v>9.5000000000000001E-2</v>
      </c>
      <c r="C675">
        <v>9.5000000000000001E-2</v>
      </c>
      <c r="D675">
        <v>8.9099999999999999E-2</v>
      </c>
      <c r="E675">
        <v>9.3560000000000004E-2</v>
      </c>
      <c r="F675">
        <v>25378475.399999999</v>
      </c>
      <c r="G675">
        <v>0</v>
      </c>
      <c r="L675" t="s">
        <v>7</v>
      </c>
      <c r="M675" t="s">
        <v>8</v>
      </c>
      <c r="N675" t="s">
        <v>7</v>
      </c>
      <c r="P675">
        <f t="shared" si="994"/>
        <v>0.51186440677966227</v>
      </c>
      <c r="Q675">
        <f t="shared" si="995"/>
        <v>12990338.255593251</v>
      </c>
      <c r="R675">
        <f t="shared" si="996"/>
        <v>100825751.71332794</v>
      </c>
      <c r="S675">
        <f t="shared" si="997"/>
        <v>1008.2575171332794</v>
      </c>
      <c r="T675">
        <f t="shared" si="998"/>
        <v>1.0082575171332795</v>
      </c>
    </row>
    <row r="676" spans="1:20" x14ac:dyDescent="0.25">
      <c r="A676" s="5">
        <v>43917</v>
      </c>
      <c r="B676">
        <v>0.10042</v>
      </c>
      <c r="C676">
        <v>0.10388</v>
      </c>
      <c r="D676">
        <v>9.4500000000000001E-2</v>
      </c>
      <c r="E676">
        <v>9.5000000000000001E-2</v>
      </c>
      <c r="F676">
        <v>29492344</v>
      </c>
      <c r="G676">
        <v>0</v>
      </c>
      <c r="L676" t="s">
        <v>7</v>
      </c>
      <c r="M676" t="s">
        <v>8</v>
      </c>
      <c r="N676" t="s">
        <v>7</v>
      </c>
      <c r="P676">
        <f t="shared" si="994"/>
        <v>-0.89339019189765445</v>
      </c>
      <c r="Q676">
        <f t="shared" si="995"/>
        <v>-26348170.865671638</v>
      </c>
      <c r="R676">
        <f t="shared" si="996"/>
        <v>87835413.457734689</v>
      </c>
      <c r="S676">
        <f t="shared" si="997"/>
        <v>878.35413457734694</v>
      </c>
      <c r="T676">
        <f t="shared" si="998"/>
        <v>0.8783541345773469</v>
      </c>
    </row>
    <row r="677" spans="1:20" x14ac:dyDescent="0.25">
      <c r="A677" s="5">
        <v>43916</v>
      </c>
      <c r="B677">
        <v>0.10105</v>
      </c>
      <c r="C677">
        <v>0.1046</v>
      </c>
      <c r="D677">
        <v>9.6680000000000002E-2</v>
      </c>
      <c r="E677">
        <v>0.10058</v>
      </c>
      <c r="F677">
        <v>32509816.800000001</v>
      </c>
      <c r="G677">
        <v>0</v>
      </c>
      <c r="L677" t="s">
        <v>8</v>
      </c>
      <c r="M677" t="s">
        <v>8</v>
      </c>
      <c r="N677" t="s">
        <v>7</v>
      </c>
      <c r="P677">
        <f t="shared" si="994"/>
        <v>-1.5151515151514541E-2</v>
      </c>
      <c r="Q677">
        <f t="shared" si="995"/>
        <v>-492572.98181816196</v>
      </c>
      <c r="R677">
        <f t="shared" si="996"/>
        <v>114183584.32340632</v>
      </c>
      <c r="S677">
        <f t="shared" si="997"/>
        <v>1141.8358432340633</v>
      </c>
      <c r="T677">
        <f t="shared" si="998"/>
        <v>1.1418358432340634</v>
      </c>
    </row>
    <row r="678" spans="1:20" x14ac:dyDescent="0.25">
      <c r="A678" s="5">
        <v>43915</v>
      </c>
      <c r="B678">
        <v>9.8299999999999998E-2</v>
      </c>
      <c r="C678">
        <v>0.1038</v>
      </c>
      <c r="D678">
        <v>9.3380000000000005E-2</v>
      </c>
      <c r="E678">
        <v>0.10105</v>
      </c>
      <c r="F678">
        <v>39763927</v>
      </c>
      <c r="G678">
        <v>0</v>
      </c>
      <c r="L678" t="s">
        <v>7</v>
      </c>
      <c r="M678" t="s">
        <v>8</v>
      </c>
      <c r="N678" t="s">
        <v>7</v>
      </c>
      <c r="P678">
        <f t="shared" si="994"/>
        <v>0.47216890595009542</v>
      </c>
      <c r="Q678">
        <f t="shared" si="995"/>
        <v>18775289.907869458</v>
      </c>
      <c r="R678">
        <f t="shared" si="996"/>
        <v>114676157.30522449</v>
      </c>
      <c r="S678">
        <f t="shared" si="997"/>
        <v>1146.761573052245</v>
      </c>
      <c r="T678">
        <f t="shared" si="998"/>
        <v>1.1467615730522449</v>
      </c>
    </row>
    <row r="679" spans="1:20" x14ac:dyDescent="0.25">
      <c r="A679" s="5">
        <v>43914</v>
      </c>
      <c r="B679">
        <v>9.6879999999999994E-2</v>
      </c>
      <c r="C679">
        <v>0.10538</v>
      </c>
      <c r="D679">
        <v>9.4520000000000007E-2</v>
      </c>
      <c r="E679">
        <v>9.851E-2</v>
      </c>
      <c r="F679">
        <v>48732271.200000003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-0.26519337016574668</v>
      </c>
      <c r="Q679">
        <f t="shared" si="995"/>
        <v>-12923475.235359157</v>
      </c>
      <c r="R679">
        <f t="shared" si="996"/>
        <v>95900867.397355035</v>
      </c>
      <c r="S679">
        <f t="shared" si="997"/>
        <v>959.00867397355034</v>
      </c>
      <c r="T679">
        <f t="shared" si="998"/>
        <v>0.95900867397355039</v>
      </c>
    </row>
    <row r="680" spans="1:20" x14ac:dyDescent="0.25">
      <c r="A680" s="5">
        <v>43913</v>
      </c>
      <c r="B680">
        <v>8.7770000000000001E-2</v>
      </c>
      <c r="C680">
        <v>0.10199999999999999</v>
      </c>
      <c r="D680">
        <v>8.4529999999999994E-2</v>
      </c>
      <c r="E680">
        <v>9.6879999999999994E-2</v>
      </c>
      <c r="F680">
        <v>45552235.700000003</v>
      </c>
      <c r="G680">
        <v>0</v>
      </c>
      <c r="L680" t="s">
        <v>8</v>
      </c>
      <c r="M680" t="s">
        <v>8</v>
      </c>
      <c r="N680" t="s">
        <v>7</v>
      </c>
      <c r="P680">
        <f t="shared" si="994"/>
        <v>0.41385231825987412</v>
      </c>
      <c r="Q680">
        <f t="shared" si="995"/>
        <v>18851898.346365202</v>
      </c>
      <c r="R680">
        <f t="shared" si="996"/>
        <v>108824342.6327142</v>
      </c>
      <c r="S680">
        <f t="shared" si="997"/>
        <v>1088.2434263271421</v>
      </c>
      <c r="T680">
        <f t="shared" si="998"/>
        <v>1.0882434263271421</v>
      </c>
    </row>
    <row r="681" spans="1:20" x14ac:dyDescent="0.25">
      <c r="A681" s="5">
        <v>43912</v>
      </c>
      <c r="B681">
        <v>0.10227</v>
      </c>
      <c r="C681">
        <v>0.10566</v>
      </c>
      <c r="D681">
        <v>8.5000000000000006E-2</v>
      </c>
      <c r="E681">
        <v>8.7830000000000005E-2</v>
      </c>
      <c r="F681">
        <v>39398245.600000001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-0.72604065827686359</v>
      </c>
      <c r="Q681">
        <f t="shared" si="995"/>
        <v>-28604728.170377545</v>
      </c>
      <c r="R681">
        <f t="shared" si="996"/>
        <v>89972444.286348999</v>
      </c>
      <c r="S681">
        <f t="shared" si="997"/>
        <v>899.72444286349003</v>
      </c>
      <c r="T681">
        <f t="shared" si="998"/>
        <v>0.89972444286349007</v>
      </c>
    </row>
    <row r="682" spans="1:20" x14ac:dyDescent="0.25">
      <c r="A682" s="5">
        <v>43911</v>
      </c>
      <c r="B682">
        <v>0.10162</v>
      </c>
      <c r="C682">
        <v>0.109</v>
      </c>
      <c r="D682">
        <v>9.2999999999999999E-2</v>
      </c>
      <c r="E682">
        <v>0.10259</v>
      </c>
      <c r="F682">
        <v>45828634.399999999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0.19875000000000015</v>
      </c>
      <c r="Q682">
        <f t="shared" si="995"/>
        <v>9108441.0870000068</v>
      </c>
      <c r="R682">
        <f t="shared" si="996"/>
        <v>118577172.45672655</v>
      </c>
      <c r="S682">
        <f t="shared" si="997"/>
        <v>1185.7717245672654</v>
      </c>
      <c r="T682">
        <f t="shared" si="998"/>
        <v>1.1857717245672654</v>
      </c>
    </row>
    <row r="683" spans="1:20" x14ac:dyDescent="0.25">
      <c r="A683" s="5">
        <v>43910</v>
      </c>
      <c r="B683">
        <v>0.10458000000000001</v>
      </c>
      <c r="C683">
        <v>0.12327</v>
      </c>
      <c r="D683">
        <v>8.9620000000000005E-2</v>
      </c>
      <c r="E683">
        <v>0.10150000000000001</v>
      </c>
      <c r="F683">
        <v>114945498.3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-0.29390787518573541</v>
      </c>
      <c r="Q683">
        <f t="shared" si="995"/>
        <v>-33783387.167518564</v>
      </c>
      <c r="R683">
        <f t="shared" si="996"/>
        <v>109468731.36972654</v>
      </c>
      <c r="S683">
        <f t="shared" si="997"/>
        <v>1094.6873136972654</v>
      </c>
      <c r="T683">
        <f t="shared" si="998"/>
        <v>1.0946873136972655</v>
      </c>
    </row>
    <row r="684" spans="1:20" x14ac:dyDescent="0.25">
      <c r="A684" s="5">
        <v>43909</v>
      </c>
      <c r="B684">
        <v>9.8000000000000004E-2</v>
      </c>
      <c r="C684">
        <v>0.12049</v>
      </c>
      <c r="D684">
        <v>9.1800000000000007E-2</v>
      </c>
      <c r="E684">
        <v>0.10417999999999999</v>
      </c>
      <c r="F684">
        <v>140481862.19999999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-0.1369815266643436</v>
      </c>
      <c r="Q684">
        <f t="shared" si="995"/>
        <v>-19243419.95280594</v>
      </c>
      <c r="R684">
        <f t="shared" si="996"/>
        <v>143252118.53724509</v>
      </c>
      <c r="S684">
        <f t="shared" si="997"/>
        <v>1432.5211853724509</v>
      </c>
      <c r="T684">
        <f t="shared" si="998"/>
        <v>1.4325211853724509</v>
      </c>
    </row>
    <row r="685" spans="1:20" x14ac:dyDescent="0.25">
      <c r="A685" s="5">
        <v>43908</v>
      </c>
      <c r="B685">
        <v>9.7850000000000006E-2</v>
      </c>
      <c r="C685">
        <v>0.1057</v>
      </c>
      <c r="D685">
        <v>8.7499999999999994E-2</v>
      </c>
      <c r="E685">
        <v>9.7799999999999998E-2</v>
      </c>
      <c r="F685">
        <v>124146571.3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0.13186813186813179</v>
      </c>
      <c r="Q685">
        <f t="shared" si="995"/>
        <v>16370976.435164824</v>
      </c>
      <c r="R685">
        <f t="shared" si="996"/>
        <v>162495538.49005103</v>
      </c>
      <c r="S685">
        <f t="shared" si="997"/>
        <v>1624.9553849005104</v>
      </c>
      <c r="T685">
        <f t="shared" si="998"/>
        <v>1.6249553849005103</v>
      </c>
    </row>
    <row r="686" spans="1:20" x14ac:dyDescent="0.25">
      <c r="A686" s="5">
        <v>43907</v>
      </c>
      <c r="B686">
        <v>7.6119999999999993E-2</v>
      </c>
      <c r="C686">
        <v>0.109</v>
      </c>
      <c r="D686">
        <v>7.2730000000000003E-2</v>
      </c>
      <c r="E686">
        <v>9.8299999999999998E-2</v>
      </c>
      <c r="F686">
        <v>181023727.69999999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0.40998070030328082</v>
      </c>
      <c r="Q686">
        <f t="shared" si="995"/>
        <v>74216234.653956413</v>
      </c>
      <c r="R686">
        <f t="shared" si="996"/>
        <v>146124562.05488622</v>
      </c>
      <c r="S686">
        <f t="shared" si="997"/>
        <v>1461.2456205488622</v>
      </c>
      <c r="T686">
        <f t="shared" si="998"/>
        <v>1.4612456205488622</v>
      </c>
    </row>
    <row r="687" spans="1:20" x14ac:dyDescent="0.25">
      <c r="A687" s="5">
        <v>43906</v>
      </c>
      <c r="B687">
        <v>9.3979999999999994E-2</v>
      </c>
      <c r="C687">
        <v>9.4339999999999993E-2</v>
      </c>
      <c r="D687">
        <v>6.1920000000000003E-2</v>
      </c>
      <c r="E687">
        <v>7.6109999999999997E-2</v>
      </c>
      <c r="F687">
        <v>114482884.59999999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-0.12461443553362132</v>
      </c>
      <c r="Q687">
        <f t="shared" si="995"/>
        <v>-14266220.042689709</v>
      </c>
      <c r="R687">
        <f t="shared" si="996"/>
        <v>71908327.400929824</v>
      </c>
      <c r="S687">
        <f t="shared" si="997"/>
        <v>719.08327400929818</v>
      </c>
      <c r="T687">
        <f t="shared" si="998"/>
        <v>0.71908327400929817</v>
      </c>
    </row>
    <row r="688" spans="1:20" x14ac:dyDescent="0.25">
      <c r="A688" s="5">
        <v>43905</v>
      </c>
      <c r="B688">
        <v>9.4359999999999999E-2</v>
      </c>
      <c r="C688">
        <v>0.10825</v>
      </c>
      <c r="D688">
        <v>9.0880000000000002E-2</v>
      </c>
      <c r="E688">
        <v>9.3979999999999994E-2</v>
      </c>
      <c r="F688">
        <v>70234112.599999994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-0.64306275187104289</v>
      </c>
      <c r="Q688">
        <f t="shared" si="995"/>
        <v>-45164941.723776683</v>
      </c>
      <c r="R688">
        <f t="shared" si="996"/>
        <v>86174547.443619534</v>
      </c>
      <c r="S688">
        <f t="shared" si="997"/>
        <v>861.74547443619531</v>
      </c>
      <c r="T688">
        <f t="shared" si="998"/>
        <v>0.86174547443619531</v>
      </c>
    </row>
    <row r="689" spans="1:20" x14ac:dyDescent="0.25">
      <c r="A689" s="5">
        <v>43904</v>
      </c>
      <c r="B689">
        <v>0.10484</v>
      </c>
      <c r="C689">
        <v>0.11649</v>
      </c>
      <c r="D689">
        <v>9.0149999999999994E-2</v>
      </c>
      <c r="E689">
        <v>9.4390000000000002E-2</v>
      </c>
      <c r="F689">
        <v>80656048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-0.67805618830675718</v>
      </c>
      <c r="Q689">
        <f t="shared" si="995"/>
        <v>-54689332.470766842</v>
      </c>
      <c r="R689">
        <f t="shared" si="996"/>
        <v>131339489.16739622</v>
      </c>
      <c r="S689">
        <f t="shared" si="997"/>
        <v>1313.3948916739621</v>
      </c>
      <c r="T689">
        <f t="shared" si="998"/>
        <v>1.3133948916739622</v>
      </c>
    </row>
    <row r="690" spans="1:20" x14ac:dyDescent="0.25">
      <c r="A690" s="5">
        <v>43903</v>
      </c>
      <c r="B690">
        <v>8.5879999999999998E-2</v>
      </c>
      <c r="C690">
        <v>0.12</v>
      </c>
      <c r="D690">
        <v>5.1670000000000001E-2</v>
      </c>
      <c r="E690">
        <v>0.10485999999999999</v>
      </c>
      <c r="F690">
        <v>216724862.30000001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0.55685643202107404</v>
      </c>
      <c r="Q690">
        <f t="shared" si="995"/>
        <v>120684633.55063659</v>
      </c>
      <c r="R690">
        <f t="shared" si="996"/>
        <v>186028821.63816306</v>
      </c>
      <c r="S690">
        <f t="shared" si="997"/>
        <v>1860.2882163816305</v>
      </c>
      <c r="T690">
        <f t="shared" si="998"/>
        <v>1.8602882163816306</v>
      </c>
    </row>
    <row r="691" spans="1:20" x14ac:dyDescent="0.25">
      <c r="A691" s="5">
        <v>43902</v>
      </c>
      <c r="B691">
        <v>0.17291999999999999</v>
      </c>
      <c r="C691">
        <v>0.17291999999999999</v>
      </c>
      <c r="D691">
        <v>7.9769999999999994E-2</v>
      </c>
      <c r="E691">
        <v>8.634E-2</v>
      </c>
      <c r="F691">
        <v>193314541.69999999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-0.85893719806763269</v>
      </c>
      <c r="Q691">
        <f t="shared" si="995"/>
        <v>-166045050.79352653</v>
      </c>
      <c r="R691">
        <f t="shared" si="996"/>
        <v>65344188.08752647</v>
      </c>
      <c r="S691">
        <f t="shared" si="997"/>
        <v>653.4418808752647</v>
      </c>
      <c r="T691">
        <f t="shared" si="998"/>
        <v>0.65344188087526467</v>
      </c>
    </row>
    <row r="692" spans="1:20" x14ac:dyDescent="0.25">
      <c r="A692" s="5">
        <v>43901</v>
      </c>
      <c r="B692">
        <v>0.19244</v>
      </c>
      <c r="C692">
        <v>0.19964000000000001</v>
      </c>
      <c r="D692">
        <v>0.15734999999999999</v>
      </c>
      <c r="E692">
        <v>0.17291999999999999</v>
      </c>
      <c r="F692">
        <v>105688826.7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-0.26365571056987502</v>
      </c>
      <c r="Q692">
        <f t="shared" si="995"/>
        <v>-27865462.702884879</v>
      </c>
      <c r="R692">
        <f t="shared" si="996"/>
        <v>231389238.881053</v>
      </c>
      <c r="S692">
        <f t="shared" si="997"/>
        <v>2313.8923888105301</v>
      </c>
      <c r="T692">
        <f t="shared" si="998"/>
        <v>2.3138923888105301</v>
      </c>
    </row>
    <row r="693" spans="1:20" x14ac:dyDescent="0.25">
      <c r="A693" s="5">
        <v>43900</v>
      </c>
      <c r="B693">
        <v>0.20349999999999999</v>
      </c>
      <c r="C693">
        <v>0.2099</v>
      </c>
      <c r="D693">
        <v>0.17931</v>
      </c>
      <c r="E693">
        <v>0.19255</v>
      </c>
      <c r="F693">
        <v>130786903.2</v>
      </c>
      <c r="G693">
        <v>0</v>
      </c>
      <c r="L693" t="s">
        <v>7</v>
      </c>
      <c r="M693" t="s">
        <v>7</v>
      </c>
      <c r="N693" t="s">
        <v>7</v>
      </c>
      <c r="P693">
        <f t="shared" si="994"/>
        <v>-0.1343576332134685</v>
      </c>
      <c r="Q693">
        <f t="shared" si="995"/>
        <v>-17572218.769271009</v>
      </c>
      <c r="R693">
        <f t="shared" si="996"/>
        <v>259254701.58393788</v>
      </c>
      <c r="S693">
        <f t="shared" si="997"/>
        <v>2592.5470158393787</v>
      </c>
      <c r="T693">
        <f t="shared" si="998"/>
        <v>2.5925470158393789</v>
      </c>
    </row>
    <row r="694" spans="1:20" x14ac:dyDescent="0.25">
      <c r="A694" s="5">
        <v>43899</v>
      </c>
      <c r="B694">
        <v>0.16114000000000001</v>
      </c>
      <c r="C694">
        <v>0.21199999999999999</v>
      </c>
      <c r="D694">
        <v>0.15873999999999999</v>
      </c>
      <c r="E694">
        <v>0.20344999999999999</v>
      </c>
      <c r="F694">
        <v>202844060.40000001</v>
      </c>
      <c r="G694">
        <v>0</v>
      </c>
      <c r="L694" t="s">
        <v>8</v>
      </c>
      <c r="M694" t="s">
        <v>8</v>
      </c>
      <c r="N694" t="s">
        <v>7</v>
      </c>
      <c r="P694">
        <f t="shared" si="994"/>
        <v>0.67893353360871189</v>
      </c>
      <c r="Q694">
        <f t="shared" si="995"/>
        <v>137717634.69891098</v>
      </c>
      <c r="R694">
        <f t="shared" si="996"/>
        <v>276826920.3532089</v>
      </c>
      <c r="S694">
        <f t="shared" si="997"/>
        <v>2768.2692035320888</v>
      </c>
      <c r="T694">
        <f t="shared" si="998"/>
        <v>2.7682692035320886</v>
      </c>
    </row>
    <row r="695" spans="1:20" x14ac:dyDescent="0.25">
      <c r="A695" s="5">
        <v>43898</v>
      </c>
      <c r="B695">
        <v>0.20338000000000001</v>
      </c>
      <c r="C695">
        <v>0.20948</v>
      </c>
      <c r="D695">
        <v>0.15185000000000001</v>
      </c>
      <c r="E695">
        <v>0.16114999999999999</v>
      </c>
      <c r="F695">
        <v>239683875.40000001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-0.67725143154607059</v>
      </c>
      <c r="Q695">
        <f t="shared" si="995"/>
        <v>-162326247.73316002</v>
      </c>
      <c r="R695">
        <f t="shared" si="996"/>
        <v>139109285.65429795</v>
      </c>
      <c r="S695">
        <f t="shared" si="997"/>
        <v>1391.0928565429795</v>
      </c>
      <c r="T695">
        <f t="shared" si="998"/>
        <v>1.3910928565429794</v>
      </c>
    </row>
    <row r="696" spans="1:20" x14ac:dyDescent="0.25">
      <c r="A696" s="5">
        <v>43897</v>
      </c>
      <c r="B696">
        <v>0.154</v>
      </c>
      <c r="C696">
        <v>0.22989000000000001</v>
      </c>
      <c r="D696">
        <v>0.15351999999999999</v>
      </c>
      <c r="E696">
        <v>0.20327999999999999</v>
      </c>
      <c r="F696">
        <v>300956968.19999999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0.30312950111300208</v>
      </c>
      <c r="Q696">
        <f t="shared" si="995"/>
        <v>91228935.626947626</v>
      </c>
      <c r="R696">
        <f t="shared" si="996"/>
        <v>301435533.38745797</v>
      </c>
      <c r="S696">
        <f t="shared" si="997"/>
        <v>3014.3553338745796</v>
      </c>
      <c r="T696">
        <f t="shared" si="998"/>
        <v>3.0143553338745797</v>
      </c>
    </row>
    <row r="697" spans="1:20" x14ac:dyDescent="0.25">
      <c r="A697" s="5">
        <v>43896</v>
      </c>
      <c r="B697">
        <v>0.1225</v>
      </c>
      <c r="C697">
        <v>0.16</v>
      </c>
      <c r="D697">
        <v>0.1212</v>
      </c>
      <c r="E697">
        <v>0.154</v>
      </c>
      <c r="F697">
        <v>131559763.5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0.69072164948453585</v>
      </c>
      <c r="Q697">
        <f t="shared" si="995"/>
        <v>90871176.85051544</v>
      </c>
      <c r="R697">
        <f t="shared" si="996"/>
        <v>210206597.76051033</v>
      </c>
      <c r="S697">
        <f t="shared" si="997"/>
        <v>2102.0659776051034</v>
      </c>
      <c r="T697">
        <f t="shared" si="998"/>
        <v>2.1020659776051036</v>
      </c>
    </row>
    <row r="698" spans="1:20" x14ac:dyDescent="0.25">
      <c r="A698" s="5">
        <v>43895</v>
      </c>
      <c r="B698">
        <v>0.12569</v>
      </c>
      <c r="C698">
        <v>0.14560000000000001</v>
      </c>
      <c r="D698">
        <v>0.11928999999999999</v>
      </c>
      <c r="E698">
        <v>0.1225</v>
      </c>
      <c r="F698">
        <v>167851808.19999999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-0.75598631698973751</v>
      </c>
      <c r="Q698">
        <f t="shared" si="995"/>
        <v>-126893670.28118581</v>
      </c>
      <c r="R698">
        <f t="shared" si="996"/>
        <v>119335420.9099949</v>
      </c>
      <c r="S698">
        <f t="shared" si="997"/>
        <v>1193.354209099949</v>
      </c>
      <c r="T698">
        <f t="shared" si="998"/>
        <v>1.1933542090999489</v>
      </c>
    </row>
    <row r="699" spans="1:20" x14ac:dyDescent="0.25">
      <c r="A699" s="5">
        <v>43894</v>
      </c>
      <c r="B699">
        <v>7.4759999999999993E-2</v>
      </c>
      <c r="C699">
        <v>0.12559999999999999</v>
      </c>
      <c r="D699">
        <v>7.3679999999999995E-2</v>
      </c>
      <c r="E699">
        <v>0.12559999999999999</v>
      </c>
      <c r="F699">
        <v>194443293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1</v>
      </c>
      <c r="Q699">
        <f t="shared" si="995"/>
        <v>194443293</v>
      </c>
      <c r="R699">
        <f t="shared" si="996"/>
        <v>246229091.19118071</v>
      </c>
      <c r="S699">
        <f t="shared" si="997"/>
        <v>2462.2909119118071</v>
      </c>
      <c r="T699">
        <f t="shared" si="998"/>
        <v>2.4622909119118073</v>
      </c>
    </row>
    <row r="700" spans="1:20" x14ac:dyDescent="0.25">
      <c r="A700" s="5">
        <v>43893</v>
      </c>
      <c r="B700">
        <v>7.0250000000000007E-2</v>
      </c>
      <c r="C700">
        <v>7.4770000000000003E-2</v>
      </c>
      <c r="D700">
        <v>6.8210000000000007E-2</v>
      </c>
      <c r="E700">
        <v>7.4759999999999993E-2</v>
      </c>
      <c r="F700">
        <v>27872231.699999999</v>
      </c>
      <c r="G700">
        <v>0</v>
      </c>
      <c r="L700" t="s">
        <v>7</v>
      </c>
      <c r="M700" t="s">
        <v>8</v>
      </c>
      <c r="N700" t="s">
        <v>7</v>
      </c>
      <c r="P700">
        <f t="shared" si="994"/>
        <v>0.99695121951219212</v>
      </c>
      <c r="Q700">
        <f t="shared" si="995"/>
        <v>27787255.38384138</v>
      </c>
      <c r="R700">
        <f t="shared" si="996"/>
        <v>51785798.191180691</v>
      </c>
      <c r="S700">
        <f t="shared" si="997"/>
        <v>517.85798191180686</v>
      </c>
      <c r="T700">
        <f t="shared" si="998"/>
        <v>0.51785798191180687</v>
      </c>
    </row>
    <row r="701" spans="1:20" x14ac:dyDescent="0.25">
      <c r="A701" s="5">
        <v>43892</v>
      </c>
      <c r="B701">
        <v>6.2E-2</v>
      </c>
      <c r="C701">
        <v>7.5999999999999998E-2</v>
      </c>
      <c r="D701">
        <v>6.1600000000000002E-2</v>
      </c>
      <c r="E701">
        <v>7.0250000000000007E-2</v>
      </c>
      <c r="F701">
        <v>42730653.899999999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0.20138888888888989</v>
      </c>
      <c r="Q701">
        <f t="shared" si="995"/>
        <v>8605478.9104167093</v>
      </c>
      <c r="R701">
        <f t="shared" si="996"/>
        <v>23998542.807339311</v>
      </c>
      <c r="S701">
        <f t="shared" si="997"/>
        <v>239.98542807339311</v>
      </c>
      <c r="T701">
        <f t="shared" si="998"/>
        <v>0.2399854280733931</v>
      </c>
    </row>
    <row r="702" spans="1:20" x14ac:dyDescent="0.25">
      <c r="A702" s="5">
        <v>43891</v>
      </c>
      <c r="B702">
        <v>0.06</v>
      </c>
      <c r="C702">
        <v>6.3E-2</v>
      </c>
      <c r="D702">
        <v>5.8819999999999997E-2</v>
      </c>
      <c r="E702">
        <v>6.2030000000000002E-2</v>
      </c>
      <c r="F702">
        <v>8333893.2999999998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0.53588516746411585</v>
      </c>
      <c r="Q702">
        <f t="shared" si="995"/>
        <v>4466009.8066985728</v>
      </c>
      <c r="R702">
        <f t="shared" si="996"/>
        <v>15393063.8969226</v>
      </c>
      <c r="S702">
        <f t="shared" si="997"/>
        <v>153.93063896922598</v>
      </c>
      <c r="T702">
        <f t="shared" si="998"/>
        <v>0.15393063896922599</v>
      </c>
    </row>
    <row r="703" spans="1:20" x14ac:dyDescent="0.25">
      <c r="A703" s="5">
        <v>43890</v>
      </c>
      <c r="B703">
        <v>6.2659999999999993E-2</v>
      </c>
      <c r="C703">
        <v>6.4299999999999996E-2</v>
      </c>
      <c r="D703">
        <v>5.9720000000000002E-2</v>
      </c>
      <c r="E703">
        <v>6.0249999999999998E-2</v>
      </c>
      <c r="F703">
        <v>8162578.7999999998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-0.76855895196506707</v>
      </c>
      <c r="Q703">
        <f t="shared" si="995"/>
        <v>-6273423.007860275</v>
      </c>
      <c r="R703">
        <f t="shared" si="996"/>
        <v>10927054.090224026</v>
      </c>
      <c r="S703">
        <f t="shared" si="997"/>
        <v>109.27054090224026</v>
      </c>
      <c r="T703">
        <f t="shared" si="998"/>
        <v>0.10927054090224025</v>
      </c>
    </row>
    <row r="704" spans="1:20" x14ac:dyDescent="0.25">
      <c r="A704" s="5">
        <v>43889</v>
      </c>
      <c r="B704">
        <v>6.2799999999999995E-2</v>
      </c>
      <c r="C704">
        <v>6.6000000000000003E-2</v>
      </c>
      <c r="D704">
        <v>5.5789999999999999E-2</v>
      </c>
      <c r="E704">
        <v>6.2659999999999993E-2</v>
      </c>
      <c r="F704">
        <v>19053585.800000001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0.34573947110675646</v>
      </c>
      <c r="Q704">
        <f t="shared" si="995"/>
        <v>6587576.6771792052</v>
      </c>
      <c r="R704">
        <f t="shared" si="996"/>
        <v>17200477.098084301</v>
      </c>
      <c r="S704">
        <f t="shared" si="997"/>
        <v>172.00477098084301</v>
      </c>
      <c r="T704">
        <f t="shared" si="998"/>
        <v>0.17200477098084302</v>
      </c>
    </row>
    <row r="705" spans="1:20" x14ac:dyDescent="0.25">
      <c r="A705" s="5">
        <v>43888</v>
      </c>
      <c r="B705">
        <v>6.3479999999999995E-2</v>
      </c>
      <c r="C705">
        <v>7.2700000000000001E-2</v>
      </c>
      <c r="D705">
        <v>5.8500000000000003E-2</v>
      </c>
      <c r="E705">
        <v>6.2799999999999995E-2</v>
      </c>
      <c r="F705">
        <v>26288721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-0.39436619718309968</v>
      </c>
      <c r="Q705">
        <f t="shared" si="995"/>
        <v>-10367382.929577494</v>
      </c>
      <c r="R705">
        <f t="shared" si="996"/>
        <v>10612900.420905096</v>
      </c>
      <c r="S705">
        <f t="shared" si="997"/>
        <v>106.12900420905096</v>
      </c>
      <c r="T705">
        <f t="shared" si="998"/>
        <v>0.10612900420905096</v>
      </c>
    </row>
    <row r="706" spans="1:20" x14ac:dyDescent="0.25">
      <c r="A706" s="5">
        <v>43887</v>
      </c>
      <c r="B706">
        <v>7.3380000000000001E-2</v>
      </c>
      <c r="C706">
        <v>7.3980000000000004E-2</v>
      </c>
      <c r="D706">
        <v>5.6820000000000002E-2</v>
      </c>
      <c r="E706">
        <v>6.3589999999999994E-2</v>
      </c>
      <c r="F706">
        <v>26796689.699999999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-0.21095571095571206</v>
      </c>
      <c r="Q706">
        <f t="shared" si="995"/>
        <v>-5652914.7269231062</v>
      </c>
      <c r="R706">
        <f t="shared" si="996"/>
        <v>20980283.35048259</v>
      </c>
      <c r="S706">
        <f t="shared" si="997"/>
        <v>209.80283350482591</v>
      </c>
      <c r="T706">
        <f t="shared" si="998"/>
        <v>0.20980283350482593</v>
      </c>
    </row>
    <row r="707" spans="1:20" x14ac:dyDescent="0.25">
      <c r="A707" s="5">
        <v>43886</v>
      </c>
      <c r="B707">
        <v>7.9600000000000004E-2</v>
      </c>
      <c r="C707">
        <v>7.979E-2</v>
      </c>
      <c r="D707">
        <v>7.1679999999999994E-2</v>
      </c>
      <c r="E707">
        <v>7.4279999999999999E-2</v>
      </c>
      <c r="F707">
        <v>11622054.699999999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-0.35881627620221873</v>
      </c>
      <c r="Q707">
        <f t="shared" si="995"/>
        <v>-4170182.3892724942</v>
      </c>
      <c r="R707">
        <f t="shared" si="996"/>
        <v>26633198.077405699</v>
      </c>
      <c r="S707">
        <f t="shared" si="997"/>
        <v>266.331980774057</v>
      </c>
      <c r="T707">
        <f t="shared" si="998"/>
        <v>0.26633198077405701</v>
      </c>
    </row>
    <row r="708" spans="1:20" x14ac:dyDescent="0.25">
      <c r="A708" s="5">
        <v>43885</v>
      </c>
      <c r="B708">
        <v>8.5819999999999994E-2</v>
      </c>
      <c r="C708">
        <v>8.5860000000000006E-2</v>
      </c>
      <c r="D708">
        <v>7.4539999999999995E-2</v>
      </c>
      <c r="E708">
        <v>7.9350000000000004E-2</v>
      </c>
      <c r="F708">
        <v>11946231.4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-0.15017667844522894</v>
      </c>
      <c r="Q708">
        <f t="shared" si="995"/>
        <v>-1794045.3515900972</v>
      </c>
      <c r="R708">
        <f t="shared" si="996"/>
        <v>30803380.466678195</v>
      </c>
      <c r="S708">
        <f t="shared" si="997"/>
        <v>308.03380466678198</v>
      </c>
      <c r="T708">
        <f t="shared" si="998"/>
        <v>0.30803380466678199</v>
      </c>
    </row>
    <row r="709" spans="1:20" x14ac:dyDescent="0.25">
      <c r="A709" s="5">
        <v>43884</v>
      </c>
      <c r="B709">
        <v>8.0869999999999997E-2</v>
      </c>
      <c r="C709">
        <v>8.5999999999999993E-2</v>
      </c>
      <c r="D709">
        <v>8.029E-2</v>
      </c>
      <c r="E709">
        <v>8.5849999999999996E-2</v>
      </c>
      <c r="F709">
        <v>15050546.1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0.94746059544658578</v>
      </c>
      <c r="Q709">
        <f t="shared" si="995"/>
        <v>14259799.369702289</v>
      </c>
      <c r="R709">
        <f t="shared" si="996"/>
        <v>32597425.818268292</v>
      </c>
      <c r="S709">
        <f t="shared" si="997"/>
        <v>325.97425818268289</v>
      </c>
      <c r="T709">
        <f t="shared" si="998"/>
        <v>0.32597425818268289</v>
      </c>
    </row>
    <row r="710" spans="1:20" x14ac:dyDescent="0.25">
      <c r="A710" s="5">
        <v>43883</v>
      </c>
      <c r="B710">
        <v>8.4229999999999999E-2</v>
      </c>
      <c r="C710">
        <v>8.5569999999999993E-2</v>
      </c>
      <c r="D710">
        <v>7.8520000000000006E-2</v>
      </c>
      <c r="E710">
        <v>8.0890000000000004E-2</v>
      </c>
      <c r="F710">
        <v>11719484.300000001</v>
      </c>
      <c r="G710">
        <v>0</v>
      </c>
      <c r="L710" t="s">
        <v>7</v>
      </c>
      <c r="M710" t="s">
        <v>8</v>
      </c>
      <c r="N710" t="s">
        <v>7</v>
      </c>
      <c r="P710">
        <f t="shared" ref="P710:P766" si="999">IF(C710=D710,0,((E710-D710)-(C710-E710))/(C710-D710))</f>
        <v>-0.32765957446808469</v>
      </c>
      <c r="Q710">
        <f t="shared" ref="Q710:Q766" si="1000">F710*P710</f>
        <v>-3840001.2387233996</v>
      </c>
      <c r="R710">
        <f t="shared" ref="R710:R766" si="1001">R711+Q710</f>
        <v>18337626.448566005</v>
      </c>
      <c r="S710">
        <f t="shared" ref="S710:S766" si="1002">R710/100000</f>
        <v>183.37626448566004</v>
      </c>
      <c r="T710">
        <f t="shared" ref="T710:T766" si="1003">S710/1000</f>
        <v>0.18337626448566005</v>
      </c>
    </row>
    <row r="711" spans="1:20" x14ac:dyDescent="0.25">
      <c r="A711" s="5">
        <v>43882</v>
      </c>
      <c r="B711">
        <v>7.9519999999999993E-2</v>
      </c>
      <c r="C711">
        <v>8.8099999999999998E-2</v>
      </c>
      <c r="D711">
        <v>7.9000000000000001E-2</v>
      </c>
      <c r="E711">
        <v>8.4229999999999999E-2</v>
      </c>
      <c r="F711">
        <v>18680623.100000001</v>
      </c>
      <c r="G711">
        <v>0</v>
      </c>
      <c r="L711" t="s">
        <v>8</v>
      </c>
      <c r="M711" t="s">
        <v>8</v>
      </c>
      <c r="N711" t="s">
        <v>7</v>
      </c>
      <c r="P711">
        <f t="shared" si="999"/>
        <v>0.1494505494505495</v>
      </c>
      <c r="Q711">
        <f t="shared" si="1000"/>
        <v>2791829.3863736275</v>
      </c>
      <c r="R711">
        <f t="shared" si="1001"/>
        <v>22177627.687289406</v>
      </c>
      <c r="S711">
        <f t="shared" si="1002"/>
        <v>221.77627687289404</v>
      </c>
      <c r="T711">
        <f t="shared" si="1003"/>
        <v>0.22177627687289406</v>
      </c>
    </row>
    <row r="712" spans="1:20" x14ac:dyDescent="0.25">
      <c r="A712" s="5">
        <v>43881</v>
      </c>
      <c r="B712">
        <v>8.3909999999999998E-2</v>
      </c>
      <c r="C712">
        <v>8.5980000000000001E-2</v>
      </c>
      <c r="D712">
        <v>7.5289999999999996E-2</v>
      </c>
      <c r="E712">
        <v>7.9969999999999999E-2</v>
      </c>
      <c r="F712">
        <v>17455989.199999999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-0.12441534144059843</v>
      </c>
      <c r="Q712">
        <f t="shared" si="1000"/>
        <v>-2171792.8565013986</v>
      </c>
      <c r="R712">
        <f t="shared" si="1001"/>
        <v>19385798.300915778</v>
      </c>
      <c r="S712">
        <f t="shared" si="1002"/>
        <v>193.85798300915778</v>
      </c>
      <c r="T712">
        <f t="shared" si="1003"/>
        <v>0.19385798300915777</v>
      </c>
    </row>
    <row r="713" spans="1:20" x14ac:dyDescent="0.25">
      <c r="A713" s="5">
        <v>43880</v>
      </c>
      <c r="B713">
        <v>9.1020000000000004E-2</v>
      </c>
      <c r="C713">
        <v>9.6799999999999997E-2</v>
      </c>
      <c r="D713">
        <v>8.1879999999999994E-2</v>
      </c>
      <c r="E713">
        <v>8.4229999999999999E-2</v>
      </c>
      <c r="F713">
        <v>24344225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-0.68498659517426219</v>
      </c>
      <c r="Q713">
        <f t="shared" si="1000"/>
        <v>-16675467.794906152</v>
      </c>
      <c r="R713">
        <f t="shared" si="1001"/>
        <v>21557591.157417178</v>
      </c>
      <c r="S713">
        <f t="shared" si="1002"/>
        <v>215.57591157417178</v>
      </c>
      <c r="T713">
        <f t="shared" si="1003"/>
        <v>0.21557591157417177</v>
      </c>
    </row>
    <row r="714" spans="1:20" x14ac:dyDescent="0.25">
      <c r="A714" s="5">
        <v>43879</v>
      </c>
      <c r="B714">
        <v>8.7510000000000004E-2</v>
      </c>
      <c r="C714">
        <v>9.2520000000000005E-2</v>
      </c>
      <c r="D714">
        <v>8.6660000000000001E-2</v>
      </c>
      <c r="E714">
        <v>9.1020000000000004E-2</v>
      </c>
      <c r="F714">
        <v>23216534.300000001</v>
      </c>
      <c r="G714">
        <v>0</v>
      </c>
      <c r="L714" t="s">
        <v>7</v>
      </c>
      <c r="M714" t="s">
        <v>8</v>
      </c>
      <c r="N714" t="s">
        <v>7</v>
      </c>
      <c r="P714">
        <f t="shared" si="999"/>
        <v>0.4880546075085323</v>
      </c>
      <c r="Q714">
        <f t="shared" si="1000"/>
        <v>11330936.535494879</v>
      </c>
      <c r="R714">
        <f t="shared" si="1001"/>
        <v>38233058.952323332</v>
      </c>
      <c r="S714">
        <f t="shared" si="1002"/>
        <v>382.3305895232333</v>
      </c>
      <c r="T714">
        <f t="shared" si="1003"/>
        <v>0.38233058952323329</v>
      </c>
    </row>
    <row r="715" spans="1:20" x14ac:dyDescent="0.25">
      <c r="A715" s="5">
        <v>43878</v>
      </c>
      <c r="B715">
        <v>9.0010000000000007E-2</v>
      </c>
      <c r="C715">
        <v>9.7100000000000006E-2</v>
      </c>
      <c r="D715">
        <v>8.0100000000000005E-2</v>
      </c>
      <c r="E715">
        <v>8.7620000000000003E-2</v>
      </c>
      <c r="F715">
        <v>49116322.100000001</v>
      </c>
      <c r="G715">
        <v>0</v>
      </c>
      <c r="L715" t="s">
        <v>8</v>
      </c>
      <c r="M715" t="s">
        <v>8</v>
      </c>
      <c r="N715" t="s">
        <v>7</v>
      </c>
      <c r="P715">
        <f t="shared" si="999"/>
        <v>-0.11529411764705902</v>
      </c>
      <c r="Q715">
        <f t="shared" si="1000"/>
        <v>-5662823.0185882449</v>
      </c>
      <c r="R715">
        <f t="shared" si="1001"/>
        <v>26902122.416828457</v>
      </c>
      <c r="S715">
        <f t="shared" si="1002"/>
        <v>269.02122416828456</v>
      </c>
      <c r="T715">
        <f t="shared" si="1003"/>
        <v>0.26902122416828456</v>
      </c>
    </row>
    <row r="716" spans="1:20" x14ac:dyDescent="0.25">
      <c r="A716" s="5">
        <v>43877</v>
      </c>
      <c r="B716">
        <v>9.9690000000000001E-2</v>
      </c>
      <c r="C716">
        <v>0.10215</v>
      </c>
      <c r="D716">
        <v>7.961E-2</v>
      </c>
      <c r="E716">
        <v>9.0160000000000004E-2</v>
      </c>
      <c r="F716">
        <v>38037093.600000001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-6.3886424134871181E-2</v>
      </c>
      <c r="Q716">
        <f t="shared" si="1000"/>
        <v>-2430053.8945873943</v>
      </c>
      <c r="R716">
        <f t="shared" si="1001"/>
        <v>32564945.435416702</v>
      </c>
      <c r="S716">
        <f t="shared" si="1002"/>
        <v>325.64945435416701</v>
      </c>
      <c r="T716">
        <f t="shared" si="1003"/>
        <v>0.32564945435416698</v>
      </c>
    </row>
    <row r="717" spans="1:20" x14ac:dyDescent="0.25">
      <c r="A717" s="5">
        <v>43876</v>
      </c>
      <c r="B717">
        <v>0.11173</v>
      </c>
      <c r="C717">
        <v>0.11835</v>
      </c>
      <c r="D717">
        <v>9.8049999999999998E-2</v>
      </c>
      <c r="E717">
        <v>9.9360000000000004E-2</v>
      </c>
      <c r="F717">
        <v>45550221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-0.87093596059113243</v>
      </c>
      <c r="Q717">
        <f t="shared" si="1000"/>
        <v>-39671325.481773376</v>
      </c>
      <c r="R717">
        <f t="shared" si="1001"/>
        <v>34994999.330004096</v>
      </c>
      <c r="S717">
        <f t="shared" si="1002"/>
        <v>349.94999330004094</v>
      </c>
      <c r="T717">
        <f t="shared" si="1003"/>
        <v>0.34994999330004095</v>
      </c>
    </row>
    <row r="718" spans="1:20" x14ac:dyDescent="0.25">
      <c r="A718" s="5">
        <v>43875</v>
      </c>
      <c r="B718">
        <v>0.10761999999999999</v>
      </c>
      <c r="C718">
        <v>0.11323999999999999</v>
      </c>
      <c r="D718">
        <v>0.10326</v>
      </c>
      <c r="E718">
        <v>0.11119999999999999</v>
      </c>
      <c r="F718">
        <v>41884561.799999997</v>
      </c>
      <c r="G718">
        <v>0</v>
      </c>
      <c r="L718" t="s">
        <v>8</v>
      </c>
      <c r="M718" t="s">
        <v>7</v>
      </c>
      <c r="N718" t="s">
        <v>8</v>
      </c>
      <c r="P718">
        <f t="shared" si="999"/>
        <v>0.5911823647294584</v>
      </c>
      <c r="Q718">
        <f t="shared" si="1000"/>
        <v>24761414.290581137</v>
      </c>
      <c r="R718">
        <f t="shared" si="1001"/>
        <v>74666324.811777472</v>
      </c>
      <c r="S718">
        <f t="shared" si="1002"/>
        <v>746.66324811777474</v>
      </c>
      <c r="T718">
        <f t="shared" si="1003"/>
        <v>0.74666324811777474</v>
      </c>
    </row>
    <row r="719" spans="1:20" x14ac:dyDescent="0.25">
      <c r="A719" s="5">
        <v>43874</v>
      </c>
      <c r="B719">
        <v>0.12113</v>
      </c>
      <c r="C719">
        <v>0.128</v>
      </c>
      <c r="D719">
        <v>9.9390000000000006E-2</v>
      </c>
      <c r="E719">
        <v>0.10761999999999999</v>
      </c>
      <c r="F719">
        <v>107191779.3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-0.4246766864732619</v>
      </c>
      <c r="Q719">
        <f t="shared" si="1000"/>
        <v>-45521849.650297187</v>
      </c>
      <c r="R719">
        <f t="shared" si="1001"/>
        <v>49904910.521196343</v>
      </c>
      <c r="S719">
        <f t="shared" si="1002"/>
        <v>499.04910521196342</v>
      </c>
      <c r="T719">
        <f t="shared" si="1003"/>
        <v>0.49904910521196344</v>
      </c>
    </row>
    <row r="720" spans="1:20" x14ac:dyDescent="0.25">
      <c r="A720" s="5">
        <v>43873</v>
      </c>
      <c r="B720">
        <v>9.2539999999999997E-2</v>
      </c>
      <c r="C720">
        <v>0.13</v>
      </c>
      <c r="D720">
        <v>9.2429999999999998E-2</v>
      </c>
      <c r="E720">
        <v>0.121</v>
      </c>
      <c r="F720">
        <v>147936790.5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0.52089433058291157</v>
      </c>
      <c r="Q720">
        <f t="shared" si="1000"/>
        <v>77059435.456081927</v>
      </c>
      <c r="R720">
        <f t="shared" si="1001"/>
        <v>95426760.17149353</v>
      </c>
      <c r="S720">
        <f t="shared" si="1002"/>
        <v>954.26760171493527</v>
      </c>
      <c r="T720">
        <f t="shared" si="1003"/>
        <v>0.9542676017149353</v>
      </c>
    </row>
    <row r="721" spans="1:20" x14ac:dyDescent="0.25">
      <c r="A721" s="5">
        <v>43872</v>
      </c>
      <c r="B721">
        <v>9.4E-2</v>
      </c>
      <c r="C721">
        <v>0.10172</v>
      </c>
      <c r="D721">
        <v>8.9550000000000005E-2</v>
      </c>
      <c r="E721">
        <v>9.2539999999999997E-2</v>
      </c>
      <c r="F721">
        <v>69514167.900000006</v>
      </c>
      <c r="G721">
        <v>0</v>
      </c>
      <c r="L721" t="s">
        <v>7</v>
      </c>
      <c r="M721" t="s">
        <v>7</v>
      </c>
      <c r="N721" t="s">
        <v>7</v>
      </c>
      <c r="P721">
        <f t="shared" si="999"/>
        <v>-0.5086277732128196</v>
      </c>
      <c r="Q721">
        <f t="shared" si="1000"/>
        <v>-35356836.425719067</v>
      </c>
      <c r="R721">
        <f t="shared" si="1001"/>
        <v>18367324.715411603</v>
      </c>
      <c r="S721">
        <f t="shared" si="1002"/>
        <v>183.67324715411604</v>
      </c>
      <c r="T721">
        <f t="shared" si="1003"/>
        <v>0.18367324715411604</v>
      </c>
    </row>
    <row r="722" spans="1:20" x14ac:dyDescent="0.25">
      <c r="A722" s="5">
        <v>43871</v>
      </c>
      <c r="B722">
        <v>9.35E-2</v>
      </c>
      <c r="C722">
        <v>0.108</v>
      </c>
      <c r="D722">
        <v>8.77E-2</v>
      </c>
      <c r="E722">
        <v>9.4039999999999999E-2</v>
      </c>
      <c r="F722">
        <v>118282980.90000001</v>
      </c>
      <c r="G722">
        <v>0</v>
      </c>
      <c r="L722" t="s">
        <v>8</v>
      </c>
      <c r="M722" t="s">
        <v>8</v>
      </c>
      <c r="N722" t="s">
        <v>7</v>
      </c>
      <c r="P722">
        <f t="shared" si="999"/>
        <v>-0.37536945812807893</v>
      </c>
      <c r="Q722">
        <f t="shared" si="1000"/>
        <v>-44399818.446206912</v>
      </c>
      <c r="R722">
        <f t="shared" si="1001"/>
        <v>53724161.141130671</v>
      </c>
      <c r="S722">
        <f t="shared" si="1002"/>
        <v>537.24161141130674</v>
      </c>
      <c r="T722">
        <f t="shared" si="1003"/>
        <v>0.53724161141130677</v>
      </c>
    </row>
    <row r="723" spans="1:20" x14ac:dyDescent="0.25">
      <c r="A723" s="5">
        <v>43870</v>
      </c>
      <c r="B723">
        <v>0.11181000000000001</v>
      </c>
      <c r="C723">
        <v>0.11928999999999999</v>
      </c>
      <c r="D723">
        <v>8.4269999999999998E-2</v>
      </c>
      <c r="E723">
        <v>9.35E-2</v>
      </c>
      <c r="F723">
        <v>133118558.90000001</v>
      </c>
      <c r="G723">
        <v>0</v>
      </c>
      <c r="L723" t="s">
        <v>7</v>
      </c>
      <c r="M723" t="s">
        <v>7</v>
      </c>
      <c r="N723" t="s">
        <v>7</v>
      </c>
      <c r="P723">
        <f t="shared" si="999"/>
        <v>-0.47287264420331221</v>
      </c>
      <c r="Q723">
        <f t="shared" si="1000"/>
        <v>-62948124.939577363</v>
      </c>
      <c r="R723">
        <f t="shared" si="1001"/>
        <v>98123979.587337583</v>
      </c>
      <c r="S723">
        <f t="shared" si="1002"/>
        <v>981.23979587337578</v>
      </c>
      <c r="T723">
        <f t="shared" si="1003"/>
        <v>0.98123979587337573</v>
      </c>
    </row>
    <row r="724" spans="1:20" x14ac:dyDescent="0.25">
      <c r="A724" s="5">
        <v>43869</v>
      </c>
      <c r="B724">
        <v>0.1125</v>
      </c>
      <c r="C724">
        <v>0.12844</v>
      </c>
      <c r="D724">
        <v>0.10199999999999999</v>
      </c>
      <c r="E724">
        <v>0.11124000000000001</v>
      </c>
      <c r="F724">
        <v>156934667.80000001</v>
      </c>
      <c r="G724">
        <v>0</v>
      </c>
      <c r="L724" t="s">
        <v>7</v>
      </c>
      <c r="M724" t="s">
        <v>7</v>
      </c>
      <c r="N724" t="s">
        <v>7</v>
      </c>
      <c r="P724">
        <f t="shared" si="999"/>
        <v>-0.30105900151285853</v>
      </c>
      <c r="Q724">
        <f t="shared" si="1000"/>
        <v>-47246594.390620157</v>
      </c>
      <c r="R724">
        <f t="shared" si="1001"/>
        <v>161072104.52691495</v>
      </c>
      <c r="S724">
        <f t="shared" si="1002"/>
        <v>1610.7210452691495</v>
      </c>
      <c r="T724">
        <f t="shared" si="1003"/>
        <v>1.6107210452691496</v>
      </c>
    </row>
    <row r="725" spans="1:20" x14ac:dyDescent="0.25">
      <c r="A725" s="5">
        <v>43868</v>
      </c>
      <c r="B725">
        <v>0.12128</v>
      </c>
      <c r="C725">
        <v>0.16488</v>
      </c>
      <c r="D725">
        <v>0.10299999999999999</v>
      </c>
      <c r="E725">
        <v>0.1125</v>
      </c>
      <c r="F725">
        <v>338692056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-0.69295410471881036</v>
      </c>
      <c r="Q725">
        <f t="shared" si="1000"/>
        <v>-234698050.44085318</v>
      </c>
      <c r="R725">
        <f t="shared" si="1001"/>
        <v>208318698.91753513</v>
      </c>
      <c r="S725">
        <f t="shared" si="1002"/>
        <v>2083.1869891753513</v>
      </c>
      <c r="T725">
        <f t="shared" si="1003"/>
        <v>2.0831869891753514</v>
      </c>
    </row>
    <row r="726" spans="1:20" x14ac:dyDescent="0.25">
      <c r="A726" s="5">
        <v>43867</v>
      </c>
      <c r="B726">
        <v>6.5579999999999999E-2</v>
      </c>
      <c r="C726">
        <v>0.14399999999999999</v>
      </c>
      <c r="D726">
        <v>5.8500000000000003E-2</v>
      </c>
      <c r="E726">
        <v>0.12142</v>
      </c>
      <c r="F726">
        <v>551333954.60000002</v>
      </c>
      <c r="G726">
        <v>0</v>
      </c>
      <c r="L726" t="s">
        <v>7</v>
      </c>
      <c r="M726" t="s">
        <v>7</v>
      </c>
      <c r="N726" t="s">
        <v>7</v>
      </c>
      <c r="P726">
        <f t="shared" si="999"/>
        <v>0.47181286549707624</v>
      </c>
      <c r="Q726">
        <f t="shared" si="1000"/>
        <v>260126452.96566096</v>
      </c>
      <c r="R726">
        <f t="shared" si="1001"/>
        <v>443016749.3583883</v>
      </c>
      <c r="S726">
        <f t="shared" si="1002"/>
        <v>4430.1674935838828</v>
      </c>
      <c r="T726">
        <f t="shared" si="1003"/>
        <v>4.4301674935838831</v>
      </c>
    </row>
    <row r="727" spans="1:20" x14ac:dyDescent="0.25">
      <c r="A727" s="5">
        <v>43866</v>
      </c>
      <c r="B727">
        <v>0.02</v>
      </c>
      <c r="C727">
        <v>7.4999999999999997E-2</v>
      </c>
      <c r="D727">
        <v>0.02</v>
      </c>
      <c r="E727">
        <v>6.5500000000000003E-2</v>
      </c>
      <c r="F727">
        <v>279415730.60000002</v>
      </c>
      <c r="G727">
        <v>0</v>
      </c>
      <c r="P727">
        <f t="shared" si="999"/>
        <v>0.65454545454545465</v>
      </c>
      <c r="Q727">
        <f t="shared" si="1000"/>
        <v>182890296.39272732</v>
      </c>
      <c r="R727">
        <f t="shared" si="1001"/>
        <v>182890296.39272732</v>
      </c>
      <c r="S727">
        <f t="shared" si="1002"/>
        <v>1828.902963927273</v>
      </c>
      <c r="T727">
        <f t="shared" si="1003"/>
        <v>1.8289029639272731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MI596" sqref="MI59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$A$595</v>
      </c>
      <c r="D111" s="1" t="str">
        <f>ADDRESS(C121-1,D121,1,1)</f>
        <v>$MI$595</v>
      </c>
      <c r="E111"/>
    </row>
    <row r="112" spans="1:5" x14ac:dyDescent="0.25">
      <c r="A112" s="7">
        <v>12164.144957890772</v>
      </c>
      <c r="C112" s="1" t="str">
        <f>ADDRESS(C121,1,1,1)</f>
        <v>$A$596</v>
      </c>
      <c r="D112" s="1" t="str">
        <f>ADDRESS(C121,D121-1,1,1)</f>
        <v>$MH$596</v>
      </c>
      <c r="E112"/>
    </row>
    <row r="113" spans="1:5" x14ac:dyDescent="0.25">
      <c r="A113" s="7">
        <v>11925.63231165762</v>
      </c>
      <c r="C113" s="1" t="str">
        <f>ADDRESS(C121+1,1,1,1)</f>
        <v>$A$597</v>
      </c>
      <c r="D113" s="1" t="str">
        <f>ADDRESS(C121-1,D121+1,1,1)</f>
        <v>$MJ$595</v>
      </c>
    </row>
    <row r="114" spans="1:5" x14ac:dyDescent="0.25">
      <c r="A114" s="7">
        <v>11691.796383978059</v>
      </c>
      <c r="C114" s="1" t="str">
        <f>ADDRESS(C121,D121,1,1)</f>
        <v>$MI$596</v>
      </c>
      <c r="D114" s="1" t="str">
        <f>ADDRESS(C121+1,D121+1,1,1)</f>
        <v>$MJ$597</v>
      </c>
    </row>
    <row r="115" spans="1:5" x14ac:dyDescent="0.25">
      <c r="A115" s="7">
        <v>11462.545474488292</v>
      </c>
      <c r="C115" s="1" t="str">
        <f>ADDRESS(C121+1,D121,1,1)</f>
        <v>$MI$597</v>
      </c>
    </row>
    <row r="116" spans="1:5" x14ac:dyDescent="0.25">
      <c r="A116" s="7">
        <v>11237.789680870874</v>
      </c>
      <c r="C116" s="1">
        <f>C117-1</f>
        <v>595</v>
      </c>
    </row>
    <row r="117" spans="1:5" x14ac:dyDescent="0.25">
      <c r="A117" s="7">
        <v>11017.440863598895</v>
      </c>
      <c r="C117" s="1">
        <f>C121</f>
        <v>596</v>
      </c>
      <c r="D117" s="1">
        <f>D121</f>
        <v>347</v>
      </c>
    </row>
    <row r="118" spans="1:5" x14ac:dyDescent="0.25">
      <c r="A118" s="7">
        <v>10801.412611371465</v>
      </c>
      <c r="C118" s="1">
        <f>C117+1</f>
        <v>597</v>
      </c>
      <c r="D118" s="1">
        <f>D117+1</f>
        <v>348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596</v>
      </c>
      <c r="D121" s="19">
        <v>347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R596</v>
      </c>
      <c r="D123" s="1" t="str">
        <f>"C"&amp;D121</f>
        <v>C347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0.83675526587265858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194" x14ac:dyDescent="0.25">
      <c r="A481" s="7">
        <v>8.1586481992426112</v>
      </c>
      <c r="B481"/>
      <c r="C481"/>
      <c r="D481"/>
      <c r="E481"/>
    </row>
    <row r="482" spans="1:194" x14ac:dyDescent="0.25">
      <c r="A482" s="7">
        <v>7.9986747051398144</v>
      </c>
      <c r="B482"/>
      <c r="C482"/>
      <c r="D482"/>
      <c r="E482"/>
    </row>
    <row r="483" spans="1:194" x14ac:dyDescent="0.25">
      <c r="A483" s="7">
        <v>7.8418379462155041</v>
      </c>
      <c r="B483"/>
      <c r="C483"/>
      <c r="D483"/>
      <c r="E483"/>
    </row>
    <row r="484" spans="1:194" x14ac:dyDescent="0.25">
      <c r="A484" s="7">
        <v>7.688076417858337</v>
      </c>
      <c r="B484"/>
      <c r="C484"/>
      <c r="D484"/>
      <c r="E484"/>
    </row>
    <row r="485" spans="1:194" x14ac:dyDescent="0.25">
      <c r="A485" s="7">
        <v>7.5373298214297417</v>
      </c>
      <c r="B485"/>
      <c r="C485"/>
      <c r="D485"/>
      <c r="E485"/>
    </row>
    <row r="486" spans="1:194" x14ac:dyDescent="0.25">
      <c r="A486" s="7">
        <v>7.389539040617394</v>
      </c>
      <c r="B486"/>
      <c r="C486"/>
      <c r="D486"/>
      <c r="E486"/>
    </row>
    <row r="487" spans="1:194" x14ac:dyDescent="0.25">
      <c r="A487" s="7">
        <v>7.2446461182523469</v>
      </c>
      <c r="B487"/>
      <c r="C487"/>
      <c r="D487"/>
      <c r="E487"/>
    </row>
    <row r="488" spans="1:194" x14ac:dyDescent="0.25">
      <c r="A488" s="7">
        <v>7.1025942335807324</v>
      </c>
      <c r="B488"/>
      <c r="C488"/>
      <c r="D488"/>
      <c r="E488"/>
    </row>
    <row r="489" spans="1:194" x14ac:dyDescent="0.25">
      <c r="A489" s="7">
        <v>6.9633276799811101</v>
      </c>
      <c r="B489"/>
      <c r="C489"/>
      <c r="D489"/>
      <c r="E489"/>
    </row>
    <row r="490" spans="1:194" x14ac:dyDescent="0.25">
      <c r="A490" s="7">
        <v>6.8267918431187349</v>
      </c>
      <c r="B490"/>
      <c r="C490"/>
      <c r="D490"/>
      <c r="E490"/>
    </row>
    <row r="491" spans="1:194" x14ac:dyDescent="0.25">
      <c r="A491" s="7">
        <v>6.692933179528171</v>
      </c>
      <c r="B491"/>
      <c r="C491"/>
      <c r="D491"/>
      <c r="E491"/>
    </row>
    <row r="492" spans="1:194" x14ac:dyDescent="0.25">
      <c r="A492" s="7">
        <v>6.5616991956158541</v>
      </c>
      <c r="B492"/>
      <c r="C492"/>
      <c r="D492"/>
      <c r="E492"/>
      <c r="GK492" s="27" t="s">
        <v>8</v>
      </c>
    </row>
    <row r="493" spans="1:194" x14ac:dyDescent="0.25">
      <c r="A493" s="7">
        <v>6.4330384270743668</v>
      </c>
      <c r="B493"/>
      <c r="C493"/>
      <c r="D493"/>
      <c r="E493"/>
      <c r="GK493" s="27" t="s">
        <v>8</v>
      </c>
      <c r="GL493" s="27" t="s">
        <v>7</v>
      </c>
    </row>
    <row r="494" spans="1:194" x14ac:dyDescent="0.25">
      <c r="A494" s="7">
        <v>6.3069004187003594</v>
      </c>
      <c r="B494"/>
      <c r="C494"/>
      <c r="D494"/>
      <c r="E494"/>
      <c r="GK494" s="27" t="s">
        <v>8</v>
      </c>
      <c r="GL494" s="27" t="s">
        <v>7</v>
      </c>
    </row>
    <row r="495" spans="1:194" x14ac:dyDescent="0.25">
      <c r="A495" s="7">
        <v>6.1832357046081956</v>
      </c>
      <c r="B495"/>
      <c r="C495"/>
      <c r="D495"/>
      <c r="E495"/>
      <c r="GK495" s="27" t="s">
        <v>8</v>
      </c>
      <c r="GL495" s="27" t="s">
        <v>7</v>
      </c>
    </row>
    <row r="496" spans="1:194" x14ac:dyDescent="0.25">
      <c r="A496" s="7">
        <v>6.0619957888315641</v>
      </c>
      <c r="B496"/>
      <c r="C496"/>
      <c r="D496"/>
      <c r="E496"/>
      <c r="GK496" s="27" t="s">
        <v>8</v>
      </c>
      <c r="GL496" s="27" t="s">
        <v>7</v>
      </c>
    </row>
    <row r="497" spans="1:200" x14ac:dyDescent="0.25">
      <c r="A497" s="7">
        <v>5.9431331263054545</v>
      </c>
      <c r="B497"/>
      <c r="C497"/>
      <c r="D497"/>
      <c r="E497"/>
      <c r="GK497" s="27" t="s">
        <v>8</v>
      </c>
      <c r="GL497" s="27" t="s">
        <v>7</v>
      </c>
    </row>
    <row r="498" spans="1:200" x14ac:dyDescent="0.25">
      <c r="A498" s="7">
        <v>5.8266011042210337</v>
      </c>
      <c r="B498"/>
      <c r="C498"/>
      <c r="D498"/>
      <c r="E498"/>
      <c r="GK498" s="27" t="s">
        <v>8</v>
      </c>
      <c r="GL498" s="27" t="s">
        <v>7</v>
      </c>
    </row>
    <row r="499" spans="1:200" x14ac:dyDescent="0.25">
      <c r="A499" s="7">
        <v>5.7123540237461112</v>
      </c>
      <c r="B499"/>
      <c r="C499"/>
      <c r="D499"/>
      <c r="E499"/>
      <c r="GK499" s="27" t="s">
        <v>8</v>
      </c>
      <c r="GL499" s="27" t="s">
        <v>7</v>
      </c>
    </row>
    <row r="500" spans="1:200" x14ac:dyDescent="0.25">
      <c r="A500" s="7">
        <v>5.6003470821040304</v>
      </c>
      <c r="B500"/>
      <c r="C500"/>
      <c r="D500"/>
      <c r="E500"/>
      <c r="GK500" s="27" t="s">
        <v>8</v>
      </c>
      <c r="GL500" s="27" t="s">
        <v>7</v>
      </c>
    </row>
    <row r="501" spans="1:200" x14ac:dyDescent="0.25">
      <c r="A501" s="7">
        <v>5.4905363550039512</v>
      </c>
      <c r="B501"/>
      <c r="C501"/>
      <c r="D501"/>
      <c r="E501"/>
      <c r="GK501" s="27" t="s">
        <v>8</v>
      </c>
      <c r="GL501" s="27" t="s">
        <v>7</v>
      </c>
    </row>
    <row r="502" spans="1:200" x14ac:dyDescent="0.25">
      <c r="A502" s="7">
        <v>5.3828787794156385</v>
      </c>
      <c r="B502"/>
      <c r="C502"/>
      <c r="D502"/>
      <c r="E502"/>
      <c r="GK502" s="27" t="s">
        <v>8</v>
      </c>
      <c r="GL502" s="27" t="s">
        <v>7</v>
      </c>
    </row>
    <row r="503" spans="1:200" x14ac:dyDescent="0.25">
      <c r="A503" s="7">
        <v>5.2773321366819985</v>
      </c>
      <c r="B503"/>
      <c r="C503"/>
      <c r="D503"/>
      <c r="E503"/>
      <c r="GK503" s="27" t="s">
        <v>8</v>
      </c>
      <c r="GL503" s="27" t="s">
        <v>7</v>
      </c>
    </row>
    <row r="504" spans="1:200" x14ac:dyDescent="0.25">
      <c r="A504" s="7">
        <v>5.1738550359627435</v>
      </c>
      <c r="B504"/>
      <c r="C504"/>
      <c r="D504"/>
      <c r="E504"/>
      <c r="GK504" s="27" t="s">
        <v>8</v>
      </c>
      <c r="GL504" s="27" t="s">
        <v>7</v>
      </c>
    </row>
    <row r="505" spans="1:200" x14ac:dyDescent="0.25">
      <c r="A505" s="7">
        <v>5.07240689800269</v>
      </c>
      <c r="B505"/>
      <c r="C505"/>
      <c r="D505"/>
      <c r="E505"/>
      <c r="GK505" s="27" t="s">
        <v>8</v>
      </c>
      <c r="GL505" s="27" t="s">
        <v>7</v>
      </c>
    </row>
    <row r="506" spans="1:200" x14ac:dyDescent="0.25">
      <c r="A506" s="7">
        <v>4.9729479392183231</v>
      </c>
      <c r="B506"/>
      <c r="C506"/>
      <c r="D506"/>
      <c r="E506"/>
      <c r="GK506" s="27" t="s">
        <v>8</v>
      </c>
      <c r="GL506" s="27" t="s">
        <v>7</v>
      </c>
    </row>
    <row r="507" spans="1:200" x14ac:dyDescent="0.25">
      <c r="A507" s="7">
        <v>4.8754391560963954</v>
      </c>
      <c r="B507"/>
      <c r="C507"/>
      <c r="D507"/>
      <c r="E507"/>
      <c r="GK507" s="27" t="s">
        <v>8</v>
      </c>
      <c r="GL507" s="27" t="s">
        <v>7</v>
      </c>
    </row>
    <row r="508" spans="1:200" x14ac:dyDescent="0.25">
      <c r="A508" s="7">
        <v>4.7798423098984264</v>
      </c>
      <c r="B508"/>
      <c r="C508"/>
      <c r="D508"/>
      <c r="E508"/>
      <c r="GK508" s="27" t="s">
        <v>8</v>
      </c>
      <c r="GL508" s="27" t="s">
        <v>7</v>
      </c>
    </row>
    <row r="509" spans="1:200" x14ac:dyDescent="0.25">
      <c r="A509" s="7">
        <v>4.6861199116651235</v>
      </c>
      <c r="B509"/>
      <c r="C509"/>
      <c r="D509"/>
      <c r="E509"/>
      <c r="GK509" s="27" t="s">
        <v>8</v>
      </c>
      <c r="GL509" s="27" t="s">
        <v>7</v>
      </c>
    </row>
    <row r="510" spans="1:200" x14ac:dyDescent="0.25">
      <c r="A510" s="7">
        <v>4.5942352075148269</v>
      </c>
      <c r="B510"/>
      <c r="C510"/>
      <c r="D510"/>
      <c r="E510"/>
      <c r="GK510" s="27" t="s">
        <v>8</v>
      </c>
      <c r="GL510" s="27" t="s">
        <v>7</v>
      </c>
    </row>
    <row r="511" spans="1:200" x14ac:dyDescent="0.25">
      <c r="A511" s="7">
        <v>4.5041521642302227</v>
      </c>
      <c r="B511"/>
      <c r="C511"/>
      <c r="D511"/>
      <c r="E511"/>
      <c r="GK511" s="27" t="s">
        <v>8</v>
      </c>
      <c r="GL511" s="27" t="s">
        <v>7</v>
      </c>
      <c r="GM511" s="27" t="s">
        <v>8</v>
      </c>
      <c r="GQ511" s="27" t="s">
        <v>8</v>
      </c>
    </row>
    <row r="512" spans="1:200" x14ac:dyDescent="0.25">
      <c r="A512" s="7">
        <v>4.4158354551276693</v>
      </c>
      <c r="B512"/>
      <c r="C512"/>
      <c r="D512"/>
      <c r="E512"/>
      <c r="GK512" s="27" t="s">
        <v>8</v>
      </c>
      <c r="GL512" s="27" t="s">
        <v>7</v>
      </c>
      <c r="GM512" s="27" t="s">
        <v>8</v>
      </c>
      <c r="GN512" s="27" t="s">
        <v>7</v>
      </c>
      <c r="GQ512" s="27" t="s">
        <v>8</v>
      </c>
      <c r="GR512" s="27" t="s">
        <v>7</v>
      </c>
    </row>
    <row r="513" spans="1:210" x14ac:dyDescent="0.25">
      <c r="A513" s="7">
        <v>4.3292504462035977</v>
      </c>
      <c r="B513"/>
      <c r="C513"/>
      <c r="D513"/>
      <c r="E513"/>
      <c r="GK513" s="27" t="s">
        <v>8</v>
      </c>
      <c r="GL513" s="27" t="s">
        <v>7</v>
      </c>
      <c r="GM513" s="27" t="s">
        <v>8</v>
      </c>
      <c r="GN513" s="27" t="s">
        <v>7</v>
      </c>
      <c r="GQ513" s="27" t="s">
        <v>8</v>
      </c>
      <c r="GR513" s="27" t="s">
        <v>7</v>
      </c>
    </row>
    <row r="514" spans="1:210" x14ac:dyDescent="0.25">
      <c r="A514" s="7">
        <v>4.2443631825525463</v>
      </c>
      <c r="B514"/>
      <c r="C514"/>
      <c r="D514"/>
      <c r="E514"/>
      <c r="GK514" s="27" t="s">
        <v>8</v>
      </c>
      <c r="GL514" s="27" t="s">
        <v>7</v>
      </c>
      <c r="GM514" s="27" t="s">
        <v>8</v>
      </c>
      <c r="GN514" s="27" t="s">
        <v>7</v>
      </c>
      <c r="GQ514" s="27" t="s">
        <v>8</v>
      </c>
      <c r="GR514" s="27" t="s">
        <v>7</v>
      </c>
    </row>
    <row r="515" spans="1:210" x14ac:dyDescent="0.25">
      <c r="A515" s="7">
        <v>4.1611403750515157</v>
      </c>
      <c r="B515"/>
      <c r="C515"/>
      <c r="D515"/>
      <c r="E515"/>
      <c r="GK515" s="27" t="s">
        <v>8</v>
      </c>
      <c r="GL515" s="27" t="s">
        <v>7</v>
      </c>
      <c r="GM515" s="27" t="s">
        <v>8</v>
      </c>
      <c r="GN515" s="27" t="s">
        <v>7</v>
      </c>
      <c r="GQ515" s="27" t="s">
        <v>8</v>
      </c>
      <c r="GR515" s="27" t="s">
        <v>7</v>
      </c>
    </row>
    <row r="516" spans="1:210" x14ac:dyDescent="0.25">
      <c r="A516" s="7">
        <v>4.0795493873054074</v>
      </c>
      <c r="B516"/>
      <c r="C516"/>
      <c r="D516"/>
      <c r="E516"/>
      <c r="GK516" s="27" t="s">
        <v>8</v>
      </c>
      <c r="GL516" s="27" t="s">
        <v>7</v>
      </c>
      <c r="GM516" s="27" t="s">
        <v>8</v>
      </c>
      <c r="GN516" s="27" t="s">
        <v>7</v>
      </c>
      <c r="GQ516" s="27" t="s">
        <v>8</v>
      </c>
      <c r="GR516" s="27" t="s">
        <v>7</v>
      </c>
    </row>
    <row r="517" spans="1:210" x14ac:dyDescent="0.25">
      <c r="A517" s="7">
        <v>3.9995582228484383</v>
      </c>
      <c r="B517"/>
      <c r="C517"/>
      <c r="D517"/>
      <c r="E517"/>
      <c r="GK517" s="27" t="s">
        <v>8</v>
      </c>
      <c r="GL517" s="27" t="s">
        <v>7</v>
      </c>
      <c r="GM517" s="27" t="s">
        <v>8</v>
      </c>
      <c r="GN517" s="27" t="s">
        <v>7</v>
      </c>
      <c r="GQ517" s="27" t="s">
        <v>8</v>
      </c>
      <c r="GR517" s="27" t="s">
        <v>7</v>
      </c>
    </row>
    <row r="518" spans="1:210" x14ac:dyDescent="0.25">
      <c r="A518" s="7">
        <v>3.9211355125965079</v>
      </c>
      <c r="B518"/>
      <c r="C518"/>
      <c r="D518"/>
      <c r="E518"/>
      <c r="GK518" s="27" t="s">
        <v>8</v>
      </c>
      <c r="GL518" s="27" t="s">
        <v>7</v>
      </c>
      <c r="GM518" s="27" t="s">
        <v>8</v>
      </c>
      <c r="GN518" s="27" t="s">
        <v>7</v>
      </c>
      <c r="GQ518" s="27" t="s">
        <v>8</v>
      </c>
      <c r="GR518" s="27" t="s">
        <v>7</v>
      </c>
    </row>
    <row r="519" spans="1:210" x14ac:dyDescent="0.25">
      <c r="A519" s="7">
        <v>3.844250502545596</v>
      </c>
      <c r="B519"/>
      <c r="C519"/>
      <c r="D519"/>
      <c r="E519"/>
      <c r="GK519" s="27" t="s">
        <v>8</v>
      </c>
      <c r="GL519" s="27" t="s">
        <v>7</v>
      </c>
      <c r="GM519" s="27" t="s">
        <v>8</v>
      </c>
      <c r="GN519" s="27" t="s">
        <v>7</v>
      </c>
      <c r="GO519" s="27" t="s">
        <v>8</v>
      </c>
      <c r="GQ519" s="27" t="s">
        <v>8</v>
      </c>
      <c r="GR519" s="27" t="s">
        <v>7</v>
      </c>
      <c r="GS519" s="27" t="s">
        <v>8</v>
      </c>
    </row>
    <row r="520" spans="1:210" x14ac:dyDescent="0.25">
      <c r="A520" s="7">
        <v>3.7688730417113687</v>
      </c>
      <c r="B520"/>
      <c r="C520"/>
      <c r="D520"/>
      <c r="E520"/>
      <c r="GK520" s="27" t="s">
        <v>8</v>
      </c>
      <c r="GL520" s="27" t="s">
        <v>7</v>
      </c>
      <c r="GM520" s="27" t="s">
        <v>8</v>
      </c>
      <c r="GN520" s="27" t="s">
        <v>7</v>
      </c>
      <c r="GO520" s="27" t="s">
        <v>8</v>
      </c>
      <c r="GP520" s="27" t="s">
        <v>7</v>
      </c>
      <c r="GQ520" s="27" t="s">
        <v>8</v>
      </c>
      <c r="GR520" s="27" t="s">
        <v>7</v>
      </c>
      <c r="GS520" s="27" t="s">
        <v>8</v>
      </c>
      <c r="GT520" s="27" t="s">
        <v>7</v>
      </c>
    </row>
    <row r="521" spans="1:210" x14ac:dyDescent="0.25">
      <c r="A521" s="7">
        <v>3.6949735703052635</v>
      </c>
      <c r="B521"/>
      <c r="C521"/>
      <c r="D521"/>
      <c r="E521"/>
      <c r="GK521" s="27" t="s">
        <v>8</v>
      </c>
      <c r="GL521" s="27" t="s">
        <v>7</v>
      </c>
      <c r="GM521" s="27" t="s">
        <v>8</v>
      </c>
      <c r="GN521" s="27" t="s">
        <v>7</v>
      </c>
      <c r="GO521" s="27" t="s">
        <v>8</v>
      </c>
      <c r="GP521" s="27" t="s">
        <v>7</v>
      </c>
      <c r="GQ521" s="27" t="s">
        <v>8</v>
      </c>
      <c r="GR521" s="27" t="s">
        <v>7</v>
      </c>
      <c r="GS521" s="27" t="s">
        <v>8</v>
      </c>
      <c r="GT521" s="27" t="s">
        <v>7</v>
      </c>
    </row>
    <row r="522" spans="1:210" x14ac:dyDescent="0.25">
      <c r="A522" s="7">
        <v>3.6225231081424152</v>
      </c>
      <c r="B522"/>
      <c r="C522"/>
      <c r="D522"/>
      <c r="E522"/>
      <c r="GK522" s="27" t="s">
        <v>8</v>
      </c>
      <c r="GL522" s="27" t="s">
        <v>7</v>
      </c>
      <c r="GM522" s="27" t="s">
        <v>8</v>
      </c>
      <c r="GN522" s="27" t="s">
        <v>7</v>
      </c>
      <c r="GO522" s="27" t="s">
        <v>8</v>
      </c>
      <c r="GP522" s="27" t="s">
        <v>7</v>
      </c>
      <c r="GQ522" s="27" t="s">
        <v>8</v>
      </c>
      <c r="GR522" s="27" t="s">
        <v>7</v>
      </c>
      <c r="GS522" s="27" t="s">
        <v>8</v>
      </c>
      <c r="GT522" s="27" t="s">
        <v>7</v>
      </c>
    </row>
    <row r="523" spans="1:210" x14ac:dyDescent="0.25">
      <c r="A523" s="7">
        <v>3.5514932432768775</v>
      </c>
      <c r="B523"/>
      <c r="C523"/>
      <c r="D523"/>
      <c r="E523"/>
      <c r="GK523" s="27" t="s">
        <v>8</v>
      </c>
      <c r="GL523" s="27" t="s">
        <v>7</v>
      </c>
      <c r="GM523" s="27" t="s">
        <v>8</v>
      </c>
      <c r="GN523" s="27" t="s">
        <v>7</v>
      </c>
      <c r="GO523" s="27" t="s">
        <v>8</v>
      </c>
      <c r="GP523" s="27" t="s">
        <v>7</v>
      </c>
      <c r="GQ523" s="27" t="s">
        <v>8</v>
      </c>
      <c r="GR523" s="27" t="s">
        <v>7</v>
      </c>
      <c r="GS523" s="27" t="s">
        <v>8</v>
      </c>
      <c r="GT523" s="27" t="s">
        <v>7</v>
      </c>
    </row>
    <row r="524" spans="1:210" x14ac:dyDescent="0.25">
      <c r="A524" s="7">
        <v>3.4818561208596837</v>
      </c>
      <c r="B524"/>
      <c r="C524"/>
      <c r="D524"/>
      <c r="E524"/>
      <c r="GK524" s="27" t="s">
        <v>8</v>
      </c>
      <c r="GL524" s="27" t="s">
        <v>7</v>
      </c>
      <c r="GM524" s="27" t="s">
        <v>8</v>
      </c>
      <c r="GN524" s="27" t="s">
        <v>7</v>
      </c>
      <c r="GO524" s="27" t="s">
        <v>8</v>
      </c>
      <c r="GP524" s="27" t="s">
        <v>7</v>
      </c>
      <c r="GQ524" s="27" t="s">
        <v>8</v>
      </c>
      <c r="GR524" s="27" t="s">
        <v>7</v>
      </c>
      <c r="GS524" s="27" t="s">
        <v>8</v>
      </c>
      <c r="GT524" s="27" t="s">
        <v>7</v>
      </c>
    </row>
    <row r="525" spans="1:210" x14ac:dyDescent="0.25">
      <c r="A525" s="7">
        <v>3.4135844322153761</v>
      </c>
      <c r="B525"/>
      <c r="C525"/>
      <c r="D525"/>
      <c r="E525"/>
      <c r="GK525" s="27" t="s">
        <v>8</v>
      </c>
      <c r="GL525" s="27" t="s">
        <v>7</v>
      </c>
      <c r="GM525" s="27" t="s">
        <v>8</v>
      </c>
      <c r="GN525" s="27" t="s">
        <v>7</v>
      </c>
      <c r="GO525" s="27" t="s">
        <v>8</v>
      </c>
      <c r="GP525" s="27" t="s">
        <v>7</v>
      </c>
      <c r="GQ525" s="27" t="s">
        <v>8</v>
      </c>
      <c r="GR525" s="27" t="s">
        <v>7</v>
      </c>
      <c r="GS525" s="27" t="s">
        <v>8</v>
      </c>
      <c r="GT525" s="27" t="s">
        <v>7</v>
      </c>
    </row>
    <row r="526" spans="1:210" x14ac:dyDescent="0.25">
      <c r="A526" s="7">
        <v>3.3466514041327216</v>
      </c>
      <c r="B526"/>
      <c r="C526"/>
      <c r="D526"/>
      <c r="E526"/>
      <c r="GK526" s="27" t="s">
        <v>8</v>
      </c>
      <c r="GL526" s="27" t="s">
        <v>7</v>
      </c>
      <c r="GM526" s="27" t="s">
        <v>8</v>
      </c>
      <c r="GN526" s="27" t="s">
        <v>7</v>
      </c>
      <c r="GP526" s="27" t="s">
        <v>7</v>
      </c>
      <c r="GQ526" s="27" t="s">
        <v>8</v>
      </c>
      <c r="GR526" s="27" t="s">
        <v>7</v>
      </c>
      <c r="GS526" s="27" t="s">
        <v>8</v>
      </c>
      <c r="GT526" s="27" t="s">
        <v>7</v>
      </c>
      <c r="GU526" s="27" t="s">
        <v>8</v>
      </c>
    </row>
    <row r="527" spans="1:210" x14ac:dyDescent="0.25">
      <c r="A527" s="7">
        <v>3.2810307883654133</v>
      </c>
      <c r="B527"/>
      <c r="C527"/>
      <c r="D527"/>
      <c r="E527"/>
      <c r="GK527" s="27" t="s">
        <v>8</v>
      </c>
      <c r="GL527" s="27" t="s">
        <v>7</v>
      </c>
      <c r="GM527" s="27" t="s">
        <v>8</v>
      </c>
      <c r="GP527" s="27" t="s">
        <v>7</v>
      </c>
      <c r="GQ527" s="27" t="s">
        <v>8</v>
      </c>
      <c r="GR527" s="27" t="s">
        <v>7</v>
      </c>
      <c r="GT527" s="27" t="s">
        <v>7</v>
      </c>
      <c r="GU527" s="27" t="s">
        <v>8</v>
      </c>
      <c r="GV527" s="27" t="s">
        <v>7</v>
      </c>
      <c r="HA527" s="27" t="s">
        <v>8</v>
      </c>
    </row>
    <row r="528" spans="1:210" x14ac:dyDescent="0.25">
      <c r="A528" s="7">
        <v>3.2166968513386403</v>
      </c>
      <c r="B528"/>
      <c r="C528"/>
      <c r="D528"/>
      <c r="E528"/>
      <c r="GK528" s="27" t="s">
        <v>8</v>
      </c>
      <c r="GL528" s="27" t="s">
        <v>7</v>
      </c>
      <c r="GM528" s="27" t="s">
        <v>8</v>
      </c>
      <c r="GP528" s="27" t="s">
        <v>7</v>
      </c>
      <c r="GQ528" s="27" t="s">
        <v>8</v>
      </c>
      <c r="GT528" s="27" t="s">
        <v>7</v>
      </c>
      <c r="GU528" s="27" t="s">
        <v>8</v>
      </c>
      <c r="GV528" s="27" t="s">
        <v>7</v>
      </c>
      <c r="GW528" s="27" t="s">
        <v>8</v>
      </c>
      <c r="HA528" s="27" t="s">
        <v>8</v>
      </c>
      <c r="HB528" s="27" t="s">
        <v>7</v>
      </c>
    </row>
    <row r="529" spans="1:235" x14ac:dyDescent="0.25">
      <c r="A529" s="7">
        <v>3.1536243640574906</v>
      </c>
      <c r="B529"/>
      <c r="C529"/>
      <c r="D529"/>
      <c r="E529"/>
      <c r="GK529" s="27" t="s">
        <v>8</v>
      </c>
      <c r="GL529" s="27" t="s">
        <v>7</v>
      </c>
      <c r="GM529" s="27" t="s">
        <v>8</v>
      </c>
      <c r="GP529" s="27" t="s">
        <v>7</v>
      </c>
      <c r="GQ529" s="27" t="s">
        <v>8</v>
      </c>
      <c r="GT529" s="27" t="s">
        <v>7</v>
      </c>
      <c r="GU529" s="27" t="s">
        <v>8</v>
      </c>
      <c r="GV529" s="27" t="s">
        <v>7</v>
      </c>
      <c r="GW529" s="27" t="s">
        <v>8</v>
      </c>
      <c r="GX529" s="27" t="s">
        <v>7</v>
      </c>
      <c r="HA529" s="27" t="s">
        <v>8</v>
      </c>
      <c r="HB529" s="27" t="s">
        <v>7</v>
      </c>
    </row>
    <row r="530" spans="1:235" x14ac:dyDescent="0.25">
      <c r="A530" s="7">
        <v>3.0917885922132262</v>
      </c>
      <c r="B530"/>
      <c r="C530"/>
      <c r="D530"/>
      <c r="E530"/>
      <c r="GK530" s="27" t="s">
        <v>8</v>
      </c>
      <c r="GL530" s="27" t="s">
        <v>7</v>
      </c>
      <c r="GM530" s="27" t="s">
        <v>8</v>
      </c>
      <c r="GP530" s="27" t="s">
        <v>7</v>
      </c>
      <c r="GQ530" s="27" t="s">
        <v>8</v>
      </c>
      <c r="GT530" s="27" t="s">
        <v>7</v>
      </c>
      <c r="GU530" s="27" t="s">
        <v>8</v>
      </c>
      <c r="GV530" s="27" t="s">
        <v>7</v>
      </c>
      <c r="GW530" s="27" t="s">
        <v>8</v>
      </c>
      <c r="GX530" s="27" t="s">
        <v>7</v>
      </c>
      <c r="HA530" s="27" t="s">
        <v>8</v>
      </c>
      <c r="HB530" s="27" t="s">
        <v>7</v>
      </c>
    </row>
    <row r="531" spans="1:235" x14ac:dyDescent="0.25">
      <c r="A531" s="7">
        <v>3.0311652864835552</v>
      </c>
      <c r="B531"/>
      <c r="C531"/>
      <c r="D531"/>
      <c r="E531"/>
      <c r="GK531" s="27" t="s">
        <v>8</v>
      </c>
      <c r="GL531" s="27" t="s">
        <v>7</v>
      </c>
      <c r="GM531" s="27" t="s">
        <v>8</v>
      </c>
      <c r="GP531" s="27" t="s">
        <v>7</v>
      </c>
      <c r="GQ531" s="27" t="s">
        <v>8</v>
      </c>
      <c r="GT531" s="27" t="s">
        <v>7</v>
      </c>
      <c r="GU531" s="27" t="s">
        <v>8</v>
      </c>
      <c r="GV531" s="27" t="s">
        <v>7</v>
      </c>
      <c r="GW531" s="27" t="s">
        <v>8</v>
      </c>
      <c r="GX531" s="27" t="s">
        <v>7</v>
      </c>
      <c r="HA531" s="27" t="s">
        <v>8</v>
      </c>
      <c r="HB531" s="27" t="s">
        <v>7</v>
      </c>
    </row>
    <row r="532" spans="1:235" x14ac:dyDescent="0.25">
      <c r="A532" s="7">
        <v>2.9717306730230932</v>
      </c>
      <c r="B532"/>
      <c r="C532"/>
      <c r="D532"/>
      <c r="E532"/>
      <c r="GK532" s="27" t="s">
        <v>8</v>
      </c>
      <c r="GL532" s="27" t="s">
        <v>7</v>
      </c>
      <c r="GM532" s="27" t="s">
        <v>8</v>
      </c>
      <c r="GP532" s="27" t="s">
        <v>7</v>
      </c>
      <c r="GT532" s="27" t="s">
        <v>7</v>
      </c>
      <c r="GU532" s="27" t="s">
        <v>8</v>
      </c>
      <c r="GV532" s="27" t="s">
        <v>7</v>
      </c>
      <c r="GW532" s="27" t="s">
        <v>8</v>
      </c>
      <c r="GX532" s="27" t="s">
        <v>7</v>
      </c>
      <c r="HA532" s="27" t="s">
        <v>8</v>
      </c>
      <c r="HB532" s="27" t="s">
        <v>7</v>
      </c>
    </row>
    <row r="533" spans="1:235" x14ac:dyDescent="0.25">
      <c r="A533" s="7">
        <v>2.9134614441402875</v>
      </c>
      <c r="B533"/>
      <c r="C533"/>
      <c r="D533"/>
      <c r="E533"/>
      <c r="GK533" s="27" t="s">
        <v>8</v>
      </c>
      <c r="GL533" s="27" t="s">
        <v>7</v>
      </c>
      <c r="GM533" s="27" t="s">
        <v>8</v>
      </c>
      <c r="GT533" s="27" t="s">
        <v>7</v>
      </c>
      <c r="GU533" s="27" t="s">
        <v>8</v>
      </c>
      <c r="GV533" s="27" t="s">
        <v>7</v>
      </c>
      <c r="GW533" s="27" t="s">
        <v>8</v>
      </c>
      <c r="GX533" s="27" t="s">
        <v>7</v>
      </c>
      <c r="HA533" s="27" t="s">
        <v>8</v>
      </c>
      <c r="HB533" s="27" t="s">
        <v>7</v>
      </c>
    </row>
    <row r="534" spans="1:235" x14ac:dyDescent="0.25">
      <c r="A534" s="7">
        <v>2.8563347491571447</v>
      </c>
      <c r="B534"/>
      <c r="C534"/>
      <c r="D534"/>
      <c r="E534"/>
      <c r="GK534" s="27" t="s">
        <v>8</v>
      </c>
      <c r="GL534" s="27" t="s">
        <v>7</v>
      </c>
      <c r="GM534" s="27" t="s">
        <v>8</v>
      </c>
      <c r="GT534" s="27" t="s">
        <v>7</v>
      </c>
      <c r="GU534" s="27" t="s">
        <v>8</v>
      </c>
      <c r="GV534" s="27" t="s">
        <v>7</v>
      </c>
      <c r="GW534" s="27" t="s">
        <v>8</v>
      </c>
      <c r="GX534" s="27" t="s">
        <v>7</v>
      </c>
      <c r="GY534" s="27" t="s">
        <v>8</v>
      </c>
      <c r="HA534" s="27" t="s">
        <v>8</v>
      </c>
      <c r="HB534" s="27" t="s">
        <v>7</v>
      </c>
      <c r="HC534" s="27" t="s">
        <v>8</v>
      </c>
      <c r="HG534" s="27" t="s">
        <v>8</v>
      </c>
    </row>
    <row r="535" spans="1:235" x14ac:dyDescent="0.25">
      <c r="A535" s="7">
        <v>2.8003281854481812</v>
      </c>
      <c r="B535"/>
      <c r="C535"/>
      <c r="D535"/>
      <c r="E535"/>
      <c r="GK535" s="27" t="s">
        <v>8</v>
      </c>
      <c r="GL535" s="27" t="s">
        <v>7</v>
      </c>
      <c r="GM535" s="27" t="s">
        <v>8</v>
      </c>
      <c r="GT535" s="27" t="s">
        <v>7</v>
      </c>
      <c r="GU535" s="27" t="s">
        <v>8</v>
      </c>
      <c r="GV535" s="27" t="s">
        <v>7</v>
      </c>
      <c r="GW535" s="27" t="s">
        <v>8</v>
      </c>
      <c r="GX535" s="27" t="s">
        <v>7</v>
      </c>
      <c r="GY535" s="27" t="s">
        <v>8</v>
      </c>
      <c r="GZ535" s="27" t="s">
        <v>7</v>
      </c>
      <c r="HA535" s="27" t="s">
        <v>8</v>
      </c>
      <c r="HB535" s="27" t="s">
        <v>7</v>
      </c>
      <c r="HC535" s="27" t="s">
        <v>8</v>
      </c>
      <c r="HD535" s="27" t="s">
        <v>7</v>
      </c>
      <c r="HG535" s="27" t="s">
        <v>8</v>
      </c>
      <c r="HH535" s="27" t="s">
        <v>7</v>
      </c>
    </row>
    <row r="536" spans="1:235" x14ac:dyDescent="0.25">
      <c r="A536" s="7">
        <v>2.7454197896550796</v>
      </c>
      <c r="B536"/>
      <c r="C536"/>
      <c r="D536"/>
      <c r="E536"/>
      <c r="GK536" s="27" t="s">
        <v>8</v>
      </c>
      <c r="GL536" s="27" t="s">
        <v>7</v>
      </c>
      <c r="GM536" s="27" t="s">
        <v>8</v>
      </c>
      <c r="GT536" s="27" t="s">
        <v>7</v>
      </c>
      <c r="GV536" s="27" t="s">
        <v>7</v>
      </c>
      <c r="GX536" s="27" t="s">
        <v>7</v>
      </c>
      <c r="GY536" s="27" t="s">
        <v>8</v>
      </c>
      <c r="GZ536" s="27" t="s">
        <v>7</v>
      </c>
      <c r="HA536" s="27" t="s">
        <v>8</v>
      </c>
      <c r="HB536" s="27" t="s">
        <v>7</v>
      </c>
      <c r="HC536" s="27" t="s">
        <v>8</v>
      </c>
      <c r="HD536" s="27" t="s">
        <v>7</v>
      </c>
      <c r="HG536" s="27" t="s">
        <v>8</v>
      </c>
      <c r="HH536" s="27" t="s">
        <v>7</v>
      </c>
    </row>
    <row r="537" spans="1:235" x14ac:dyDescent="0.25">
      <c r="A537" s="7">
        <v>2.6915880290736074</v>
      </c>
      <c r="B537"/>
      <c r="C537"/>
      <c r="D537"/>
      <c r="E537"/>
      <c r="GK537" s="27" t="s">
        <v>8</v>
      </c>
      <c r="GL537" s="27" t="s">
        <v>7</v>
      </c>
      <c r="GX537" s="27" t="s">
        <v>7</v>
      </c>
      <c r="GY537" s="27" t="s">
        <v>8</v>
      </c>
      <c r="GZ537" s="27" t="s">
        <v>7</v>
      </c>
      <c r="HA537" s="27" t="s">
        <v>8</v>
      </c>
      <c r="HB537" s="27" t="s">
        <v>7</v>
      </c>
      <c r="HD537" s="27" t="s">
        <v>7</v>
      </c>
      <c r="HG537" s="27" t="s">
        <v>8</v>
      </c>
      <c r="HH537" s="27" t="s">
        <v>7</v>
      </c>
    </row>
    <row r="538" spans="1:235" x14ac:dyDescent="0.25">
      <c r="A538" s="7">
        <v>2.6388117932094191</v>
      </c>
      <c r="B538"/>
      <c r="C538"/>
      <c r="D538"/>
      <c r="E538"/>
      <c r="GK538" s="27" t="s">
        <v>8</v>
      </c>
      <c r="GX538" s="27" t="s">
        <v>7</v>
      </c>
      <c r="GY538" s="27" t="s">
        <v>8</v>
      </c>
      <c r="GZ538" s="27" t="s">
        <v>7</v>
      </c>
      <c r="HA538" s="27" t="s">
        <v>8</v>
      </c>
      <c r="HD538" s="27" t="s">
        <v>7</v>
      </c>
      <c r="HG538" s="27" t="s">
        <v>8</v>
      </c>
      <c r="HH538" s="27" t="s">
        <v>7</v>
      </c>
    </row>
    <row r="539" spans="1:235" x14ac:dyDescent="0.25">
      <c r="A539" s="7">
        <v>2.5870703854994304</v>
      </c>
      <c r="B539"/>
      <c r="C539"/>
      <c r="D539"/>
      <c r="E539"/>
      <c r="GK539" s="27" t="s">
        <v>8</v>
      </c>
      <c r="GX539" s="27" t="s">
        <v>7</v>
      </c>
      <c r="GY539" s="27" t="s">
        <v>8</v>
      </c>
      <c r="GZ539" s="27" t="s">
        <v>7</v>
      </c>
      <c r="HA539" s="27" t="s">
        <v>8</v>
      </c>
      <c r="HD539" s="27" t="s">
        <v>7</v>
      </c>
      <c r="HE539" s="27" t="s">
        <v>8</v>
      </c>
      <c r="HG539" s="27" t="s">
        <v>8</v>
      </c>
      <c r="HH539" s="27" t="s">
        <v>7</v>
      </c>
    </row>
    <row r="540" spans="1:235" x14ac:dyDescent="0.25">
      <c r="A540" s="7">
        <v>2.53634351519552</v>
      </c>
      <c r="B540"/>
      <c r="C540"/>
      <c r="D540"/>
      <c r="E540"/>
      <c r="GK540" s="27" t="s">
        <v>8</v>
      </c>
      <c r="GX540" s="27" t="s">
        <v>7</v>
      </c>
      <c r="GY540" s="27" t="s">
        <v>8</v>
      </c>
      <c r="GZ540" s="27" t="s">
        <v>7</v>
      </c>
      <c r="HA540" s="27" t="s">
        <v>8</v>
      </c>
      <c r="HD540" s="27" t="s">
        <v>7</v>
      </c>
      <c r="HE540" s="27" t="s">
        <v>8</v>
      </c>
      <c r="HF540" s="27" t="s">
        <v>7</v>
      </c>
      <c r="HG540" s="27" t="s">
        <v>8</v>
      </c>
      <c r="HH540" s="27" t="s">
        <v>7</v>
      </c>
    </row>
    <row r="541" spans="1:235" x14ac:dyDescent="0.25">
      <c r="A541" s="7">
        <v>2.4866112894073726</v>
      </c>
      <c r="B541"/>
      <c r="C541"/>
      <c r="D541"/>
      <c r="E541"/>
      <c r="GK541" s="27" t="s">
        <v>8</v>
      </c>
      <c r="GX541" s="27" t="s">
        <v>7</v>
      </c>
      <c r="GY541" s="27" t="s">
        <v>8</v>
      </c>
      <c r="GZ541" s="27" t="s">
        <v>7</v>
      </c>
      <c r="HA541" s="27" t="s">
        <v>8</v>
      </c>
      <c r="HD541" s="27" t="s">
        <v>7</v>
      </c>
      <c r="HE541" s="27" t="s">
        <v>8</v>
      </c>
      <c r="HF541" s="27" t="s">
        <v>7</v>
      </c>
      <c r="HG541" s="27" t="s">
        <v>8</v>
      </c>
      <c r="HH541" s="27" t="s">
        <v>7</v>
      </c>
      <c r="HI541" s="27" t="s">
        <v>8</v>
      </c>
    </row>
    <row r="542" spans="1:235" x14ac:dyDescent="0.25">
      <c r="A542" s="7">
        <v>2.4378542053013459</v>
      </c>
      <c r="B542"/>
      <c r="C542"/>
      <c r="D542"/>
      <c r="E542"/>
      <c r="GK542" s="27" t="s">
        <v>8</v>
      </c>
      <c r="GX542" s="27" t="s">
        <v>7</v>
      </c>
      <c r="GY542" s="27" t="s">
        <v>8</v>
      </c>
      <c r="GZ542" s="27" t="s">
        <v>7</v>
      </c>
      <c r="HA542" s="27" t="s">
        <v>8</v>
      </c>
      <c r="HD542" s="27" t="s">
        <v>7</v>
      </c>
      <c r="HE542" s="27" t="s">
        <v>8</v>
      </c>
      <c r="HF542" s="27" t="s">
        <v>7</v>
      </c>
      <c r="HG542" s="27" t="s">
        <v>8</v>
      </c>
      <c r="HH542" s="27" t="s">
        <v>7</v>
      </c>
      <c r="HI542" s="27" t="s">
        <v>8</v>
      </c>
      <c r="HJ542" s="27" t="s">
        <v>7</v>
      </c>
      <c r="HM542" s="27" t="s">
        <v>8</v>
      </c>
    </row>
    <row r="543" spans="1:235" x14ac:dyDescent="0.25">
      <c r="A543" s="7">
        <v>2.3900531424522997</v>
      </c>
      <c r="B543"/>
      <c r="C543"/>
      <c r="D543"/>
      <c r="E543"/>
      <c r="GK543" s="27" t="s">
        <v>8</v>
      </c>
      <c r="GX543" s="27" t="s">
        <v>7</v>
      </c>
      <c r="GY543" s="27" t="s">
        <v>8</v>
      </c>
      <c r="GZ543" s="27" t="s">
        <v>7</v>
      </c>
      <c r="HA543" s="27" t="s">
        <v>8</v>
      </c>
      <c r="HD543" s="27" t="s">
        <v>7</v>
      </c>
      <c r="HE543" s="27" t="s">
        <v>8</v>
      </c>
      <c r="HF543" s="27" t="s">
        <v>7</v>
      </c>
      <c r="HG543" s="27" t="s">
        <v>8</v>
      </c>
      <c r="HH543" s="27" t="s">
        <v>7</v>
      </c>
      <c r="HI543" s="27" t="s">
        <v>8</v>
      </c>
      <c r="HJ543" s="27" t="s">
        <v>7</v>
      </c>
      <c r="HM543" s="27" t="s">
        <v>8</v>
      </c>
      <c r="HN543" s="27" t="s">
        <v>7</v>
      </c>
    </row>
    <row r="544" spans="1:235" x14ac:dyDescent="0.25">
      <c r="A544" s="7">
        <v>2.343189355345392</v>
      </c>
      <c r="B544"/>
      <c r="C544"/>
      <c r="D544"/>
      <c r="E544"/>
      <c r="GK544" s="27" t="s">
        <v>8</v>
      </c>
      <c r="GX544" s="27" t="s">
        <v>7</v>
      </c>
      <c r="GY544" s="27" t="s">
        <v>8</v>
      </c>
      <c r="GZ544" s="27" t="s">
        <v>7</v>
      </c>
      <c r="HA544" s="27" t="s">
        <v>8</v>
      </c>
      <c r="HD544" s="27" t="s">
        <v>7</v>
      </c>
      <c r="HE544" s="27" t="s">
        <v>8</v>
      </c>
      <c r="HF544" s="27" t="s">
        <v>7</v>
      </c>
      <c r="HG544" s="27" t="s">
        <v>8</v>
      </c>
      <c r="HH544" s="27" t="s">
        <v>7</v>
      </c>
      <c r="HI544" s="27" t="s">
        <v>8</v>
      </c>
      <c r="HJ544" s="27" t="s">
        <v>7</v>
      </c>
      <c r="HM544" s="27" t="s">
        <v>8</v>
      </c>
      <c r="HN544" s="27" t="s">
        <v>7</v>
      </c>
      <c r="IA544" s="27" t="s">
        <v>8</v>
      </c>
    </row>
    <row r="545" spans="1:330" x14ac:dyDescent="0.25">
      <c r="A545" s="7">
        <v>2.2972444660248938</v>
      </c>
      <c r="B545"/>
      <c r="C545"/>
      <c r="D545"/>
      <c r="E545"/>
      <c r="GK545" s="27" t="s">
        <v>8</v>
      </c>
      <c r="GX545" s="27" t="s">
        <v>7</v>
      </c>
      <c r="GY545" s="27" t="s">
        <v>8</v>
      </c>
      <c r="GZ545" s="27" t="s">
        <v>7</v>
      </c>
      <c r="HA545" s="27" t="s">
        <v>8</v>
      </c>
      <c r="HD545" s="27" t="s">
        <v>7</v>
      </c>
      <c r="HE545" s="27" t="s">
        <v>8</v>
      </c>
      <c r="HF545" s="27" t="s">
        <v>7</v>
      </c>
      <c r="HG545" s="27" t="s">
        <v>8</v>
      </c>
      <c r="HH545" s="27" t="s">
        <v>7</v>
      </c>
      <c r="HI545" s="27" t="s">
        <v>8</v>
      </c>
      <c r="HJ545" s="27" t="s">
        <v>7</v>
      </c>
      <c r="HM545" s="27" t="s">
        <v>8</v>
      </c>
      <c r="HN545" s="27" t="s">
        <v>7</v>
      </c>
      <c r="IA545" s="27" t="s">
        <v>8</v>
      </c>
      <c r="IB545" s="27" t="s">
        <v>7</v>
      </c>
    </row>
    <row r="546" spans="1:330" x14ac:dyDescent="0.25">
      <c r="A546" s="7">
        <v>2.252200456887151</v>
      </c>
      <c r="B546"/>
      <c r="C546"/>
      <c r="D546"/>
      <c r="E546"/>
      <c r="GK546" s="27" t="s">
        <v>8</v>
      </c>
      <c r="GX546" s="27" t="s">
        <v>7</v>
      </c>
      <c r="GY546" s="27" t="s">
        <v>8</v>
      </c>
      <c r="GZ546" s="27" t="s">
        <v>7</v>
      </c>
      <c r="HD546" s="27" t="s">
        <v>7</v>
      </c>
      <c r="HF546" s="27" t="s">
        <v>7</v>
      </c>
      <c r="HG546" s="27" t="s">
        <v>8</v>
      </c>
      <c r="HH546" s="27" t="s">
        <v>7</v>
      </c>
      <c r="HI546" s="27" t="s">
        <v>8</v>
      </c>
      <c r="HJ546" s="27" t="s">
        <v>7</v>
      </c>
      <c r="HM546" s="27" t="s">
        <v>8</v>
      </c>
      <c r="HN546" s="27" t="s">
        <v>7</v>
      </c>
      <c r="IA546" s="27" t="s">
        <v>8</v>
      </c>
      <c r="IB546" s="27" t="s">
        <v>7</v>
      </c>
    </row>
    <row r="547" spans="1:330" x14ac:dyDescent="0.25">
      <c r="A547" s="7">
        <v>2.208039663614854</v>
      </c>
      <c r="B547"/>
      <c r="C547"/>
      <c r="D547"/>
      <c r="E547"/>
      <c r="GK547" s="27" t="s">
        <v>8</v>
      </c>
      <c r="GX547" s="27" t="s">
        <v>7</v>
      </c>
      <c r="GY547" s="27" t="s">
        <v>8</v>
      </c>
      <c r="HF547" s="27" t="s">
        <v>7</v>
      </c>
      <c r="HH547" s="27" t="s">
        <v>7</v>
      </c>
      <c r="HJ547" s="27" t="s">
        <v>7</v>
      </c>
      <c r="HK547" s="27" t="s">
        <v>8</v>
      </c>
      <c r="HM547" s="27" t="s">
        <v>8</v>
      </c>
      <c r="HN547" s="27" t="s">
        <v>7</v>
      </c>
      <c r="IA547" s="27" t="s">
        <v>8</v>
      </c>
      <c r="IB547" s="27" t="s">
        <v>7</v>
      </c>
    </row>
    <row r="548" spans="1:330" x14ac:dyDescent="0.25">
      <c r="A548" s="7">
        <v>2.1647447682498568</v>
      </c>
      <c r="B548"/>
      <c r="C548"/>
      <c r="D548"/>
      <c r="E548"/>
      <c r="GK548" s="27" t="s">
        <v>8</v>
      </c>
      <c r="GX548" s="27" t="s">
        <v>7</v>
      </c>
      <c r="GY548" s="27" t="s">
        <v>8</v>
      </c>
      <c r="HJ548" s="27" t="s">
        <v>7</v>
      </c>
      <c r="HK548" s="27" t="s">
        <v>8</v>
      </c>
      <c r="HL548" s="27" t="s">
        <v>7</v>
      </c>
      <c r="HM548" s="27" t="s">
        <v>8</v>
      </c>
      <c r="HN548" s="27" t="s">
        <v>7</v>
      </c>
      <c r="IA548" s="27" t="s">
        <v>8</v>
      </c>
      <c r="IB548" s="27" t="s">
        <v>7</v>
      </c>
      <c r="IC548" s="27" t="s">
        <v>8</v>
      </c>
    </row>
    <row r="549" spans="1:330" x14ac:dyDescent="0.25">
      <c r="A549" s="7">
        <v>2.1222987924018204</v>
      </c>
      <c r="B549"/>
      <c r="C549"/>
      <c r="D549"/>
      <c r="E549"/>
      <c r="GK549" s="27" t="s">
        <v>8</v>
      </c>
      <c r="GX549" s="27" t="s">
        <v>7</v>
      </c>
      <c r="GY549" s="27" t="s">
        <v>8</v>
      </c>
      <c r="HJ549" s="27" t="s">
        <v>7</v>
      </c>
      <c r="HK549" s="27" t="s">
        <v>8</v>
      </c>
      <c r="HL549" s="27" t="s">
        <v>7</v>
      </c>
      <c r="HM549" s="27" t="s">
        <v>8</v>
      </c>
      <c r="HN549" s="27" t="s">
        <v>7</v>
      </c>
      <c r="IA549" s="27" t="s">
        <v>8</v>
      </c>
      <c r="IB549" s="27" t="s">
        <v>7</v>
      </c>
      <c r="IC549" s="27" t="s">
        <v>8</v>
      </c>
      <c r="ID549" s="27" t="s">
        <v>7</v>
      </c>
    </row>
    <row r="550" spans="1:330" x14ac:dyDescent="0.25">
      <c r="A550" s="7">
        <v>2.0806850905900198</v>
      </c>
      <c r="B550"/>
      <c r="C550"/>
      <c r="D550"/>
      <c r="E550"/>
      <c r="GK550" s="27" t="s">
        <v>8</v>
      </c>
      <c r="GX550" s="27" t="s">
        <v>7</v>
      </c>
      <c r="GY550" s="27" t="s">
        <v>8</v>
      </c>
      <c r="HJ550" s="27" t="s">
        <v>7</v>
      </c>
      <c r="HK550" s="27" t="s">
        <v>8</v>
      </c>
      <c r="HL550" s="27" t="s">
        <v>7</v>
      </c>
      <c r="HM550" s="27" t="s">
        <v>8</v>
      </c>
      <c r="HN550" s="27" t="s">
        <v>7</v>
      </c>
      <c r="HO550" s="27" t="s">
        <v>8</v>
      </c>
      <c r="IA550" s="27" t="s">
        <v>8</v>
      </c>
      <c r="IB550" s="27" t="s">
        <v>7</v>
      </c>
      <c r="IC550" s="27" t="s">
        <v>8</v>
      </c>
      <c r="ID550" s="27" t="s">
        <v>7</v>
      </c>
      <c r="LE550" s="27" t="s">
        <v>8</v>
      </c>
    </row>
    <row r="551" spans="1:330" x14ac:dyDescent="0.25">
      <c r="A551" s="7">
        <v>2.0398873437157055</v>
      </c>
      <c r="B551"/>
      <c r="C551"/>
      <c r="D551"/>
      <c r="E551"/>
      <c r="GK551" s="27" t="s">
        <v>8</v>
      </c>
      <c r="GX551" s="27" t="s">
        <v>7</v>
      </c>
      <c r="GY551" s="27" t="s">
        <v>8</v>
      </c>
      <c r="HJ551" s="27" t="s">
        <v>7</v>
      </c>
      <c r="HK551" s="27" t="s">
        <v>8</v>
      </c>
      <c r="HL551" s="27" t="s">
        <v>7</v>
      </c>
      <c r="HM551" s="27" t="s">
        <v>8</v>
      </c>
      <c r="HN551" s="27" t="s">
        <v>7</v>
      </c>
      <c r="HO551" s="27" t="s">
        <v>8</v>
      </c>
      <c r="HP551" s="27" t="s">
        <v>7</v>
      </c>
      <c r="IA551" s="27" t="s">
        <v>8</v>
      </c>
      <c r="IB551" s="27" t="s">
        <v>7</v>
      </c>
      <c r="IC551" s="27" t="s">
        <v>8</v>
      </c>
      <c r="ID551" s="27" t="s">
        <v>7</v>
      </c>
      <c r="IG551" s="27" t="s">
        <v>8</v>
      </c>
      <c r="LE551" s="27" t="s">
        <v>8</v>
      </c>
      <c r="LF551" s="27" t="s">
        <v>7</v>
      </c>
    </row>
    <row r="552" spans="1:330" x14ac:dyDescent="0.25">
      <c r="A552" s="7">
        <v>1.9998895526624565</v>
      </c>
      <c r="B552"/>
      <c r="C552"/>
      <c r="D552"/>
      <c r="E552"/>
      <c r="GK552" s="27" t="s">
        <v>8</v>
      </c>
      <c r="GX552" s="27" t="s">
        <v>7</v>
      </c>
      <c r="GY552" s="27" t="s">
        <v>8</v>
      </c>
      <c r="HJ552" s="27" t="s">
        <v>7</v>
      </c>
      <c r="HK552" s="27" t="s">
        <v>8</v>
      </c>
      <c r="HL552" s="27" t="s">
        <v>7</v>
      </c>
      <c r="HM552" s="27" t="s">
        <v>8</v>
      </c>
      <c r="HN552" s="27" t="s">
        <v>7</v>
      </c>
      <c r="HO552" s="27" t="s">
        <v>8</v>
      </c>
      <c r="HP552" s="27" t="s">
        <v>7</v>
      </c>
      <c r="IA552" s="27" t="s">
        <v>8</v>
      </c>
      <c r="IB552" s="27" t="s">
        <v>7</v>
      </c>
      <c r="IC552" s="27" t="s">
        <v>8</v>
      </c>
      <c r="ID552" s="27" t="s">
        <v>7</v>
      </c>
      <c r="IG552" s="27" t="s">
        <v>8</v>
      </c>
      <c r="IH552" s="27" t="s">
        <v>7</v>
      </c>
      <c r="LE552" s="27" t="s">
        <v>8</v>
      </c>
      <c r="LF552" s="27" t="s">
        <v>7</v>
      </c>
    </row>
    <row r="553" spans="1:330" x14ac:dyDescent="0.25">
      <c r="A553" s="7">
        <v>1.9606760320220162</v>
      </c>
      <c r="B553"/>
      <c r="C553"/>
      <c r="D553"/>
      <c r="E553"/>
      <c r="GI553" s="27" t="s">
        <v>8</v>
      </c>
      <c r="GK553" s="27" t="s">
        <v>8</v>
      </c>
      <c r="GX553" s="27" t="s">
        <v>7</v>
      </c>
      <c r="GY553" s="27" t="s">
        <v>8</v>
      </c>
      <c r="HJ553" s="27" t="s">
        <v>7</v>
      </c>
      <c r="HK553" s="27" t="s">
        <v>8</v>
      </c>
      <c r="HL553" s="27" t="s">
        <v>7</v>
      </c>
      <c r="HM553" s="27" t="s">
        <v>8</v>
      </c>
      <c r="HN553" s="27" t="s">
        <v>7</v>
      </c>
      <c r="HO553" s="27" t="s">
        <v>8</v>
      </c>
      <c r="HP553" s="27" t="s">
        <v>7</v>
      </c>
      <c r="IA553" s="27" t="s">
        <v>8</v>
      </c>
      <c r="IB553" s="27" t="s">
        <v>7</v>
      </c>
      <c r="IC553" s="27" t="s">
        <v>8</v>
      </c>
      <c r="ID553" s="27" t="s">
        <v>7</v>
      </c>
      <c r="IG553" s="27" t="s">
        <v>8</v>
      </c>
      <c r="IH553" s="27" t="s">
        <v>7</v>
      </c>
      <c r="LE553" s="27" t="s">
        <v>8</v>
      </c>
      <c r="LF553" s="27" t="s">
        <v>7</v>
      </c>
    </row>
    <row r="554" spans="1:330" x14ac:dyDescent="0.25">
      <c r="A554" s="7">
        <v>1.9222314039431532</v>
      </c>
      <c r="B554"/>
      <c r="C554"/>
      <c r="D554"/>
      <c r="E554"/>
      <c r="GI554" s="27" t="s">
        <v>8</v>
      </c>
      <c r="GJ554" s="27" t="s">
        <v>7</v>
      </c>
      <c r="GK554" s="27" t="s">
        <v>8</v>
      </c>
      <c r="GX554" s="27" t="s">
        <v>7</v>
      </c>
      <c r="GY554" s="27" t="s">
        <v>8</v>
      </c>
      <c r="HJ554" s="27" t="s">
        <v>7</v>
      </c>
      <c r="HK554" s="27" t="s">
        <v>8</v>
      </c>
      <c r="HL554" s="27" t="s">
        <v>7</v>
      </c>
      <c r="HN554" s="27" t="s">
        <v>7</v>
      </c>
      <c r="HO554" s="27" t="s">
        <v>8</v>
      </c>
      <c r="HP554" s="27" t="s">
        <v>7</v>
      </c>
      <c r="HU554" s="27" t="s">
        <v>8</v>
      </c>
      <c r="IA554" s="27" t="s">
        <v>8</v>
      </c>
      <c r="IB554" s="27" t="s">
        <v>7</v>
      </c>
      <c r="IC554" s="27" t="s">
        <v>8</v>
      </c>
      <c r="ID554" s="27" t="s">
        <v>7</v>
      </c>
      <c r="IE554" s="27" t="s">
        <v>8</v>
      </c>
      <c r="IG554" s="27" t="s">
        <v>8</v>
      </c>
      <c r="IH554" s="27" t="s">
        <v>7</v>
      </c>
      <c r="LE554" s="27" t="s">
        <v>8</v>
      </c>
      <c r="LF554" s="27" t="s">
        <v>7</v>
      </c>
    </row>
    <row r="555" spans="1:330" x14ac:dyDescent="0.25">
      <c r="A555" s="7">
        <v>1.8845405921011305</v>
      </c>
      <c r="B555"/>
      <c r="C555"/>
      <c r="D555"/>
      <c r="E555"/>
      <c r="GI555" s="27" t="s">
        <v>8</v>
      </c>
      <c r="GJ555" s="27" t="s">
        <v>7</v>
      </c>
      <c r="GK555" s="27" t="s">
        <v>8</v>
      </c>
      <c r="GX555" s="27" t="s">
        <v>7</v>
      </c>
      <c r="GY555" s="27" t="s">
        <v>8</v>
      </c>
      <c r="HJ555" s="27" t="s">
        <v>7</v>
      </c>
      <c r="HK555" s="27" t="s">
        <v>8</v>
      </c>
      <c r="HN555" s="27" t="s">
        <v>7</v>
      </c>
      <c r="HO555" s="27" t="s">
        <v>8</v>
      </c>
      <c r="HP555" s="27" t="s">
        <v>7</v>
      </c>
      <c r="HU555" s="27" t="s">
        <v>8</v>
      </c>
      <c r="HV555" s="27" t="s">
        <v>7</v>
      </c>
      <c r="IA555" s="27" t="s">
        <v>8</v>
      </c>
      <c r="IB555" s="27" t="s">
        <v>7</v>
      </c>
      <c r="IC555" s="27" t="s">
        <v>8</v>
      </c>
      <c r="ID555" s="27" t="s">
        <v>7</v>
      </c>
      <c r="IE555" s="27" t="s">
        <v>8</v>
      </c>
      <c r="IF555" s="27" t="s">
        <v>7</v>
      </c>
      <c r="IG555" s="27" t="s">
        <v>8</v>
      </c>
      <c r="IH555" s="27" t="s">
        <v>7</v>
      </c>
      <c r="LE555" s="27" t="s">
        <v>8</v>
      </c>
      <c r="LF555" s="27" t="s">
        <v>7</v>
      </c>
    </row>
    <row r="556" spans="1:330" x14ac:dyDescent="0.25">
      <c r="A556" s="7">
        <v>1.8475888157854219</v>
      </c>
      <c r="B556"/>
      <c r="C556"/>
      <c r="D556"/>
      <c r="E556"/>
      <c r="GI556" s="27" t="s">
        <v>8</v>
      </c>
      <c r="GJ556" s="27" t="s">
        <v>7</v>
      </c>
      <c r="GK556" s="27" t="s">
        <v>8</v>
      </c>
      <c r="GX556" s="27" t="s">
        <v>7</v>
      </c>
      <c r="GY556" s="27" t="s">
        <v>8</v>
      </c>
      <c r="HJ556" s="27" t="s">
        <v>7</v>
      </c>
      <c r="HK556" s="27" t="s">
        <v>8</v>
      </c>
      <c r="HN556" s="27" t="s">
        <v>7</v>
      </c>
      <c r="HP556" s="27" t="s">
        <v>7</v>
      </c>
      <c r="HU556" s="27" t="s">
        <v>8</v>
      </c>
      <c r="HV556" s="27" t="s">
        <v>7</v>
      </c>
      <c r="IA556" s="27" t="s">
        <v>8</v>
      </c>
      <c r="IB556" s="27" t="s">
        <v>7</v>
      </c>
      <c r="IC556" s="27" t="s">
        <v>8</v>
      </c>
      <c r="ID556" s="27" t="s">
        <v>7</v>
      </c>
      <c r="IE556" s="27" t="s">
        <v>8</v>
      </c>
      <c r="IF556" s="27" t="s">
        <v>7</v>
      </c>
      <c r="IG556" s="27" t="s">
        <v>8</v>
      </c>
      <c r="IH556" s="27" t="s">
        <v>7</v>
      </c>
      <c r="LE556" s="27" t="s">
        <v>8</v>
      </c>
      <c r="LF556" s="27" t="s">
        <v>7</v>
      </c>
      <c r="LQ556" s="27" t="s">
        <v>8</v>
      </c>
    </row>
    <row r="557" spans="1:330" x14ac:dyDescent="0.25">
      <c r="A557" s="7">
        <v>1.8113615841033548</v>
      </c>
      <c r="B557"/>
      <c r="C557"/>
      <c r="D557"/>
      <c r="E557"/>
      <c r="GI557" s="27" t="s">
        <v>8</v>
      </c>
      <c r="GJ557" s="27" t="s">
        <v>7</v>
      </c>
      <c r="GK557" s="27" t="s">
        <v>8</v>
      </c>
      <c r="GX557" s="27" t="s">
        <v>7</v>
      </c>
      <c r="HJ557" s="27" t="s">
        <v>7</v>
      </c>
      <c r="HK557" s="27" t="s">
        <v>8</v>
      </c>
      <c r="HP557" s="27" t="s">
        <v>7</v>
      </c>
      <c r="HU557" s="27" t="s">
        <v>8</v>
      </c>
      <c r="HV557" s="27" t="s">
        <v>7</v>
      </c>
      <c r="IA557" s="27" t="s">
        <v>8</v>
      </c>
      <c r="IB557" s="27" t="s">
        <v>7</v>
      </c>
      <c r="IC557" s="27" t="s">
        <v>8</v>
      </c>
      <c r="ID557" s="27" t="s">
        <v>7</v>
      </c>
      <c r="IE557" s="27" t="s">
        <v>8</v>
      </c>
      <c r="IF557" s="27" t="s">
        <v>7</v>
      </c>
      <c r="IG557" s="27" t="s">
        <v>8</v>
      </c>
      <c r="IH557" s="27" t="s">
        <v>7</v>
      </c>
      <c r="LE557" s="27" t="s">
        <v>8</v>
      </c>
      <c r="LF557" s="27" t="s">
        <v>7</v>
      </c>
      <c r="LQ557" s="27" t="s">
        <v>8</v>
      </c>
      <c r="LR557" s="27" t="s">
        <v>7</v>
      </c>
    </row>
    <row r="558" spans="1:330" x14ac:dyDescent="0.25">
      <c r="A558" s="7">
        <v>1.7758446902974065</v>
      </c>
      <c r="B558"/>
      <c r="C558"/>
      <c r="D558"/>
      <c r="E558"/>
      <c r="GI558" s="27" t="s">
        <v>8</v>
      </c>
      <c r="GJ558" s="27" t="s">
        <v>7</v>
      </c>
      <c r="GK558" s="27" t="s">
        <v>8</v>
      </c>
      <c r="HJ558" s="27" t="s">
        <v>7</v>
      </c>
      <c r="HP558" s="27" t="s">
        <v>7</v>
      </c>
      <c r="HU558" s="27" t="s">
        <v>8</v>
      </c>
      <c r="HV558" s="27" t="s">
        <v>7</v>
      </c>
      <c r="IA558" s="27" t="s">
        <v>8</v>
      </c>
      <c r="IB558" s="27" t="s">
        <v>7</v>
      </c>
      <c r="ID558" s="27" t="s">
        <v>7</v>
      </c>
      <c r="IE558" s="27" t="s">
        <v>8</v>
      </c>
      <c r="IF558" s="27" t="s">
        <v>7</v>
      </c>
      <c r="IG558" s="27" t="s">
        <v>8</v>
      </c>
      <c r="IH558" s="27" t="s">
        <v>7</v>
      </c>
      <c r="LE558" s="27" t="s">
        <v>8</v>
      </c>
      <c r="LF558" s="27" t="s">
        <v>7</v>
      </c>
      <c r="LQ558" s="27" t="s">
        <v>8</v>
      </c>
      <c r="LR558" s="27" t="s">
        <v>7</v>
      </c>
    </row>
    <row r="559" spans="1:330" x14ac:dyDescent="0.25">
      <c r="A559" s="7">
        <v>1.7410242061739281</v>
      </c>
      <c r="B559"/>
      <c r="C559"/>
      <c r="D559"/>
      <c r="E559"/>
      <c r="GI559" s="27" t="s">
        <v>8</v>
      </c>
      <c r="GJ559" s="27" t="s">
        <v>7</v>
      </c>
      <c r="GK559" s="27" t="s">
        <v>8</v>
      </c>
      <c r="HP559" s="27" t="s">
        <v>7</v>
      </c>
      <c r="HU559" s="27" t="s">
        <v>8</v>
      </c>
      <c r="HV559" s="27" t="s">
        <v>7</v>
      </c>
      <c r="HW559" s="27" t="s">
        <v>8</v>
      </c>
      <c r="IA559" s="27" t="s">
        <v>8</v>
      </c>
      <c r="ID559" s="27" t="s">
        <v>7</v>
      </c>
      <c r="IE559" s="27" t="s">
        <v>8</v>
      </c>
      <c r="IF559" s="27" t="s">
        <v>7</v>
      </c>
      <c r="IG559" s="27" t="s">
        <v>8</v>
      </c>
      <c r="IH559" s="27" t="s">
        <v>7</v>
      </c>
      <c r="JU559" s="27" t="s">
        <v>8</v>
      </c>
      <c r="LE559" s="27" t="s">
        <v>8</v>
      </c>
      <c r="LF559" s="27" t="s">
        <v>7</v>
      </c>
      <c r="LI559" s="27" t="s">
        <v>8</v>
      </c>
      <c r="LQ559" s="27" t="s">
        <v>8</v>
      </c>
      <c r="LR559" s="27" t="s">
        <v>7</v>
      </c>
    </row>
    <row r="560" spans="1:330" x14ac:dyDescent="0.25">
      <c r="A560" s="7">
        <v>1.7068864766411058</v>
      </c>
      <c r="B560"/>
      <c r="C560"/>
      <c r="D560"/>
      <c r="E560"/>
      <c r="GI560" s="27" t="s">
        <v>8</v>
      </c>
      <c r="GJ560" s="27" t="s">
        <v>7</v>
      </c>
      <c r="GK560" s="27" t="s">
        <v>8</v>
      </c>
      <c r="HP560" s="27" t="s">
        <v>7</v>
      </c>
      <c r="HU560" s="27" t="s">
        <v>8</v>
      </c>
      <c r="HV560" s="27" t="s">
        <v>7</v>
      </c>
      <c r="HW560" s="27" t="s">
        <v>8</v>
      </c>
      <c r="HX560" s="27" t="s">
        <v>7</v>
      </c>
      <c r="IA560" s="27" t="s">
        <v>8</v>
      </c>
      <c r="ID560" s="27" t="s">
        <v>7</v>
      </c>
      <c r="IE560" s="27" t="s">
        <v>8</v>
      </c>
      <c r="IF560" s="27" t="s">
        <v>7</v>
      </c>
      <c r="IG560" s="27" t="s">
        <v>8</v>
      </c>
      <c r="IH560" s="27" t="s">
        <v>7</v>
      </c>
      <c r="JU560" s="27" t="s">
        <v>8</v>
      </c>
      <c r="JV560" s="27" t="s">
        <v>7</v>
      </c>
      <c r="LE560" s="27" t="s">
        <v>8</v>
      </c>
      <c r="LF560" s="27" t="s">
        <v>7</v>
      </c>
      <c r="LI560" s="27" t="s">
        <v>8</v>
      </c>
      <c r="LJ560" s="27" t="s">
        <v>7</v>
      </c>
      <c r="LQ560" s="27" t="s">
        <v>8</v>
      </c>
      <c r="LR560" s="27" t="s">
        <v>7</v>
      </c>
    </row>
    <row r="561" spans="1:341" x14ac:dyDescent="0.25">
      <c r="A561" s="7">
        <v>1.6734181143540252</v>
      </c>
      <c r="B561"/>
      <c r="C561"/>
      <c r="D561"/>
      <c r="E561"/>
      <c r="GI561" s="27" t="s">
        <v>8</v>
      </c>
      <c r="GJ561" s="27" t="s">
        <v>7</v>
      </c>
      <c r="GK561" s="27" t="s">
        <v>8</v>
      </c>
      <c r="HP561" s="27" t="s">
        <v>7</v>
      </c>
      <c r="HU561" s="27" t="s">
        <v>8</v>
      </c>
      <c r="HV561" s="27" t="s">
        <v>7</v>
      </c>
      <c r="HW561" s="27" t="s">
        <v>8</v>
      </c>
      <c r="HX561" s="27" t="s">
        <v>7</v>
      </c>
      <c r="IA561" s="27" t="s">
        <v>8</v>
      </c>
      <c r="ID561" s="27" t="s">
        <v>7</v>
      </c>
      <c r="IE561" s="27" t="s">
        <v>8</v>
      </c>
      <c r="IF561" s="27" t="s">
        <v>7</v>
      </c>
      <c r="IG561" s="27" t="s">
        <v>8</v>
      </c>
      <c r="IH561" s="27" t="s">
        <v>7</v>
      </c>
      <c r="II561" s="27" t="s">
        <v>8</v>
      </c>
      <c r="JU561" s="27" t="s">
        <v>8</v>
      </c>
      <c r="JV561" s="27" t="s">
        <v>7</v>
      </c>
      <c r="LE561" s="27" t="s">
        <v>8</v>
      </c>
      <c r="LF561" s="27" t="s">
        <v>7</v>
      </c>
      <c r="LI561" s="27" t="s">
        <v>8</v>
      </c>
      <c r="LJ561" s="27" t="s">
        <v>7</v>
      </c>
      <c r="LQ561" s="27" t="s">
        <v>8</v>
      </c>
      <c r="LR561" s="27" t="s">
        <v>7</v>
      </c>
    </row>
    <row r="562" spans="1:341" x14ac:dyDescent="0.25">
      <c r="A562" s="7">
        <v>1.6406059944647307</v>
      </c>
      <c r="B562"/>
      <c r="C562"/>
      <c r="D562"/>
      <c r="E562"/>
      <c r="GI562" s="27" t="s">
        <v>8</v>
      </c>
      <c r="GJ562" s="27" t="s">
        <v>7</v>
      </c>
      <c r="GK562" s="27" t="s">
        <v>8</v>
      </c>
      <c r="HP562" s="27" t="s">
        <v>7</v>
      </c>
      <c r="HU562" s="27" t="s">
        <v>8</v>
      </c>
      <c r="HV562" s="27" t="s">
        <v>7</v>
      </c>
      <c r="HW562" s="27" t="s">
        <v>8</v>
      </c>
      <c r="HX562" s="27" t="s">
        <v>7</v>
      </c>
      <c r="IA562" s="27" t="s">
        <v>8</v>
      </c>
      <c r="ID562" s="27" t="s">
        <v>7</v>
      </c>
      <c r="IF562" s="27" t="s">
        <v>7</v>
      </c>
      <c r="IG562" s="27" t="s">
        <v>8</v>
      </c>
      <c r="IH562" s="27" t="s">
        <v>7</v>
      </c>
      <c r="II562" s="27" t="s">
        <v>8</v>
      </c>
      <c r="IJ562" s="27" t="s">
        <v>7</v>
      </c>
      <c r="JU562" s="27" t="s">
        <v>8</v>
      </c>
      <c r="JV562" s="27" t="s">
        <v>7</v>
      </c>
      <c r="LE562" s="27" t="s">
        <v>8</v>
      </c>
      <c r="LF562" s="27" t="s">
        <v>7</v>
      </c>
      <c r="LI562" s="27" t="s">
        <v>8</v>
      </c>
      <c r="LJ562" s="27" t="s">
        <v>7</v>
      </c>
      <c r="LQ562" s="27" t="s">
        <v>8</v>
      </c>
      <c r="LR562" s="27" t="s">
        <v>7</v>
      </c>
    </row>
    <row r="563" spans="1:341" x14ac:dyDescent="0.25">
      <c r="A563" s="7">
        <v>1.6084372494752261</v>
      </c>
      <c r="B563"/>
      <c r="C563"/>
      <c r="D563"/>
      <c r="E563"/>
      <c r="GI563" s="27" t="s">
        <v>8</v>
      </c>
      <c r="GJ563" s="27" t="s">
        <v>7</v>
      </c>
      <c r="GK563" s="27" t="s">
        <v>8</v>
      </c>
      <c r="HP563" s="27" t="s">
        <v>7</v>
      </c>
      <c r="HU563" s="27" t="s">
        <v>8</v>
      </c>
      <c r="HV563" s="27" t="s">
        <v>7</v>
      </c>
      <c r="HW563" s="27" t="s">
        <v>8</v>
      </c>
      <c r="HX563" s="27" t="s">
        <v>7</v>
      </c>
      <c r="IA563" s="27" t="s">
        <v>8</v>
      </c>
      <c r="IF563" s="27" t="s">
        <v>7</v>
      </c>
      <c r="IG563" s="27" t="s">
        <v>8</v>
      </c>
      <c r="IH563" s="27" t="s">
        <v>7</v>
      </c>
      <c r="II563" s="27" t="s">
        <v>8</v>
      </c>
      <c r="IJ563" s="27" t="s">
        <v>7</v>
      </c>
      <c r="JU563" s="27" t="s">
        <v>8</v>
      </c>
      <c r="JV563" s="27" t="s">
        <v>7</v>
      </c>
      <c r="LE563" s="27" t="s">
        <v>8</v>
      </c>
      <c r="LF563" s="27" t="s">
        <v>7</v>
      </c>
      <c r="LG563" s="27" t="s">
        <v>8</v>
      </c>
      <c r="LI563" s="27" t="s">
        <v>8</v>
      </c>
      <c r="LJ563" s="27" t="s">
        <v>7</v>
      </c>
      <c r="LK563" s="27" t="s">
        <v>8</v>
      </c>
      <c r="LQ563" s="27" t="s">
        <v>8</v>
      </c>
      <c r="LR563" s="27" t="s">
        <v>7</v>
      </c>
    </row>
    <row r="564" spans="1:341" x14ac:dyDescent="0.25">
      <c r="A564" s="7">
        <v>1.5768992641913981</v>
      </c>
      <c r="B564"/>
      <c r="C564"/>
      <c r="D564"/>
      <c r="E564"/>
      <c r="GI564" s="27" t="s">
        <v>8</v>
      </c>
      <c r="GJ564" s="27" t="s">
        <v>7</v>
      </c>
      <c r="GK564" s="27" t="s">
        <v>8</v>
      </c>
      <c r="HP564" s="27" t="s">
        <v>7</v>
      </c>
      <c r="HU564" s="27" t="s">
        <v>8</v>
      </c>
      <c r="HV564" s="27" t="s">
        <v>7</v>
      </c>
      <c r="HW564" s="27" t="s">
        <v>8</v>
      </c>
      <c r="HX564" s="27" t="s">
        <v>7</v>
      </c>
      <c r="IA564" s="27" t="s">
        <v>8</v>
      </c>
      <c r="IF564" s="27" t="s">
        <v>7</v>
      </c>
      <c r="IG564" s="27" t="s">
        <v>8</v>
      </c>
      <c r="IH564" s="27" t="s">
        <v>7</v>
      </c>
      <c r="II564" s="27" t="s">
        <v>8</v>
      </c>
      <c r="IJ564" s="27" t="s">
        <v>7</v>
      </c>
      <c r="JO564" s="27" t="s">
        <v>8</v>
      </c>
      <c r="JU564" s="27" t="s">
        <v>8</v>
      </c>
      <c r="JV564" s="27" t="s">
        <v>7</v>
      </c>
      <c r="JY564" s="27" t="s">
        <v>8</v>
      </c>
      <c r="LE564" s="27" t="s">
        <v>8</v>
      </c>
      <c r="LF564" s="27" t="s">
        <v>7</v>
      </c>
      <c r="LG564" s="27" t="s">
        <v>8</v>
      </c>
      <c r="LH564" s="27" t="s">
        <v>7</v>
      </c>
      <c r="LI564" s="27" t="s">
        <v>8</v>
      </c>
      <c r="LJ564" s="27" t="s">
        <v>7</v>
      </c>
      <c r="LK564" s="27" t="s">
        <v>8</v>
      </c>
      <c r="LL564" s="27" t="s">
        <v>7</v>
      </c>
      <c r="LQ564" s="27" t="s">
        <v>8</v>
      </c>
      <c r="LR564" s="27" t="s">
        <v>7</v>
      </c>
    </row>
    <row r="565" spans="1:341" x14ac:dyDescent="0.25">
      <c r="A565" s="7">
        <v>1.5459796707758806</v>
      </c>
      <c r="B565"/>
      <c r="C565"/>
      <c r="D565"/>
      <c r="E565"/>
      <c r="GI565" s="27" t="s">
        <v>8</v>
      </c>
      <c r="GJ565" s="27" t="s">
        <v>7</v>
      </c>
      <c r="GK565" s="27" t="s">
        <v>8</v>
      </c>
      <c r="HP565" s="27" t="s">
        <v>7</v>
      </c>
      <c r="HQ565" s="27" t="s">
        <v>8</v>
      </c>
      <c r="HU565" s="27" t="s">
        <v>8</v>
      </c>
      <c r="HV565" s="27" t="s">
        <v>7</v>
      </c>
      <c r="HW565" s="27" t="s">
        <v>8</v>
      </c>
      <c r="HX565" s="27" t="s">
        <v>7</v>
      </c>
      <c r="IA565" s="27" t="s">
        <v>8</v>
      </c>
      <c r="IF565" s="27" t="s">
        <v>7</v>
      </c>
      <c r="IG565" s="27" t="s">
        <v>8</v>
      </c>
      <c r="IH565" s="27" t="s">
        <v>7</v>
      </c>
      <c r="II565" s="27" t="s">
        <v>8</v>
      </c>
      <c r="IJ565" s="27" t="s">
        <v>7</v>
      </c>
      <c r="JO565" s="27" t="s">
        <v>8</v>
      </c>
      <c r="JP565" s="27" t="s">
        <v>7</v>
      </c>
      <c r="JQ565" s="27" t="s">
        <v>8</v>
      </c>
      <c r="JS565" s="27" t="s">
        <v>8</v>
      </c>
      <c r="JU565" s="27" t="s">
        <v>8</v>
      </c>
      <c r="JV565" s="27" t="s">
        <v>7</v>
      </c>
      <c r="JW565" s="27" t="s">
        <v>8</v>
      </c>
      <c r="JY565" s="27" t="s">
        <v>8</v>
      </c>
      <c r="JZ565" s="27" t="s">
        <v>7</v>
      </c>
      <c r="LC565" s="27" t="s">
        <v>8</v>
      </c>
      <c r="LE565" s="27" t="s">
        <v>8</v>
      </c>
      <c r="LF565" s="27" t="s">
        <v>7</v>
      </c>
      <c r="LG565" s="27" t="s">
        <v>8</v>
      </c>
      <c r="LH565" s="27" t="s">
        <v>7</v>
      </c>
      <c r="LI565" s="27" t="s">
        <v>8</v>
      </c>
      <c r="LJ565" s="27" t="s">
        <v>7</v>
      </c>
      <c r="LK565" s="27" t="s">
        <v>8</v>
      </c>
      <c r="LL565" s="27" t="s">
        <v>7</v>
      </c>
      <c r="LQ565" s="27" t="s">
        <v>8</v>
      </c>
      <c r="LR565" s="27" t="s">
        <v>7</v>
      </c>
    </row>
    <row r="566" spans="1:341" x14ac:dyDescent="0.25">
      <c r="A566" s="7">
        <v>1.5156663438979221</v>
      </c>
      <c r="B566"/>
      <c r="C566"/>
      <c r="D566"/>
      <c r="E566"/>
      <c r="GI566" s="27" t="s">
        <v>8</v>
      </c>
      <c r="GJ566" s="27" t="s">
        <v>7</v>
      </c>
      <c r="GK566" s="27" t="s">
        <v>8</v>
      </c>
      <c r="HP566" s="27" t="s">
        <v>7</v>
      </c>
      <c r="HQ566" s="27" t="s">
        <v>8</v>
      </c>
      <c r="HR566" s="27" t="s">
        <v>7</v>
      </c>
      <c r="HU566" s="27" t="s">
        <v>8</v>
      </c>
      <c r="HV566" s="27" t="s">
        <v>7</v>
      </c>
      <c r="HW566" s="27" t="s">
        <v>8</v>
      </c>
      <c r="HX566" s="27" t="s">
        <v>7</v>
      </c>
      <c r="HY566" s="27" t="s">
        <v>8</v>
      </c>
      <c r="IA566" s="27" t="s">
        <v>8</v>
      </c>
      <c r="IF566" s="27" t="s">
        <v>7</v>
      </c>
      <c r="IG566" s="27" t="s">
        <v>8</v>
      </c>
      <c r="IH566" s="27" t="s">
        <v>7</v>
      </c>
      <c r="II566" s="27" t="s">
        <v>8</v>
      </c>
      <c r="IJ566" s="27" t="s">
        <v>7</v>
      </c>
      <c r="JO566" s="27" t="s">
        <v>8</v>
      </c>
      <c r="JP566" s="27" t="s">
        <v>7</v>
      </c>
      <c r="JQ566" s="27" t="s">
        <v>8</v>
      </c>
      <c r="JR566" s="27" t="s">
        <v>7</v>
      </c>
      <c r="JS566" s="27" t="s">
        <v>8</v>
      </c>
      <c r="JT566" s="27" t="s">
        <v>7</v>
      </c>
      <c r="JU566" s="27" t="s">
        <v>8</v>
      </c>
      <c r="JV566" s="27" t="s">
        <v>7</v>
      </c>
      <c r="JW566" s="27" t="s">
        <v>8</v>
      </c>
      <c r="JX566" s="27" t="s">
        <v>7</v>
      </c>
      <c r="JY566" s="27" t="s">
        <v>8</v>
      </c>
      <c r="JZ566" s="27" t="s">
        <v>7</v>
      </c>
      <c r="LC566" s="27" t="s">
        <v>8</v>
      </c>
      <c r="LD566" s="27" t="s">
        <v>7</v>
      </c>
      <c r="LE566" s="27" t="s">
        <v>8</v>
      </c>
      <c r="LF566" s="27" t="s">
        <v>7</v>
      </c>
      <c r="LH566" s="27" t="s">
        <v>7</v>
      </c>
      <c r="LI566" s="27" t="s">
        <v>8</v>
      </c>
      <c r="LJ566" s="27" t="s">
        <v>7</v>
      </c>
      <c r="LK566" s="27" t="s">
        <v>8</v>
      </c>
      <c r="LL566" s="27" t="s">
        <v>7</v>
      </c>
      <c r="LQ566" s="27" t="s">
        <v>8</v>
      </c>
      <c r="LR566" s="27" t="s">
        <v>7</v>
      </c>
    </row>
    <row r="567" spans="1:341" x14ac:dyDescent="0.25">
      <c r="A567" s="7">
        <v>1.4859473959783549</v>
      </c>
      <c r="B567"/>
      <c r="C567"/>
      <c r="D567"/>
      <c r="E567"/>
      <c r="GI567" s="27" t="s">
        <v>8</v>
      </c>
      <c r="GJ567" s="27" t="s">
        <v>7</v>
      </c>
      <c r="HP567" s="27" t="s">
        <v>7</v>
      </c>
      <c r="HQ567" s="27" t="s">
        <v>8</v>
      </c>
      <c r="HR567" s="27" t="s">
        <v>7</v>
      </c>
      <c r="HU567" s="27" t="s">
        <v>8</v>
      </c>
      <c r="HV567" s="27" t="s">
        <v>7</v>
      </c>
      <c r="HW567" s="27" t="s">
        <v>8</v>
      </c>
      <c r="HX567" s="27" t="s">
        <v>7</v>
      </c>
      <c r="HY567" s="27" t="s">
        <v>8</v>
      </c>
      <c r="HZ567" s="27" t="s">
        <v>7</v>
      </c>
      <c r="IA567" s="27" t="s">
        <v>8</v>
      </c>
      <c r="IF567" s="27" t="s">
        <v>7</v>
      </c>
      <c r="IG567" s="27" t="s">
        <v>8</v>
      </c>
      <c r="IH567" s="27" t="s">
        <v>7</v>
      </c>
      <c r="II567" s="27" t="s">
        <v>8</v>
      </c>
      <c r="IJ567" s="27" t="s">
        <v>7</v>
      </c>
      <c r="IK567" s="27" t="s">
        <v>8</v>
      </c>
      <c r="JO567" s="27" t="s">
        <v>8</v>
      </c>
      <c r="JP567" s="27" t="s">
        <v>7</v>
      </c>
      <c r="JQ567" s="27" t="s">
        <v>8</v>
      </c>
      <c r="JR567" s="27" t="s">
        <v>7</v>
      </c>
      <c r="JS567" s="27" t="s">
        <v>8</v>
      </c>
      <c r="JT567" s="27" t="s">
        <v>7</v>
      </c>
      <c r="JU567" s="27" t="s">
        <v>8</v>
      </c>
      <c r="JV567" s="27" t="s">
        <v>7</v>
      </c>
      <c r="JW567" s="27" t="s">
        <v>8</v>
      </c>
      <c r="JX567" s="27" t="s">
        <v>7</v>
      </c>
      <c r="JY567" s="27" t="s">
        <v>8</v>
      </c>
      <c r="JZ567" s="27" t="s">
        <v>7</v>
      </c>
      <c r="LC567" s="27" t="s">
        <v>8</v>
      </c>
      <c r="LD567" s="27" t="s">
        <v>7</v>
      </c>
      <c r="LE567" s="27" t="s">
        <v>8</v>
      </c>
      <c r="LH567" s="27" t="s">
        <v>7</v>
      </c>
      <c r="LJ567" s="27" t="s">
        <v>7</v>
      </c>
      <c r="LK567" s="27" t="s">
        <v>8</v>
      </c>
      <c r="LL567" s="27" t="s">
        <v>7</v>
      </c>
      <c r="LQ567" s="27" t="s">
        <v>8</v>
      </c>
      <c r="LR567" s="27" t="s">
        <v>7</v>
      </c>
    </row>
    <row r="568" spans="1:341" x14ac:dyDescent="0.25">
      <c r="A568" s="7">
        <v>1.4568111725277988</v>
      </c>
      <c r="B568"/>
      <c r="C568"/>
      <c r="D568"/>
      <c r="E568"/>
      <c r="GI568" s="27" t="s">
        <v>8</v>
      </c>
      <c r="HP568" s="27" t="s">
        <v>7</v>
      </c>
      <c r="HQ568" s="27" t="s">
        <v>8</v>
      </c>
      <c r="HR568" s="27" t="s">
        <v>7</v>
      </c>
      <c r="HU568" s="27" t="s">
        <v>8</v>
      </c>
      <c r="HV568" s="27" t="s">
        <v>7</v>
      </c>
      <c r="HW568" s="27" t="s">
        <v>8</v>
      </c>
      <c r="HX568" s="27" t="s">
        <v>7</v>
      </c>
      <c r="HY568" s="27" t="s">
        <v>8</v>
      </c>
      <c r="HZ568" s="27" t="s">
        <v>7</v>
      </c>
      <c r="IA568" s="27" t="s">
        <v>8</v>
      </c>
      <c r="IF568" s="27" t="s">
        <v>7</v>
      </c>
      <c r="IG568" s="27" t="s">
        <v>8</v>
      </c>
      <c r="IH568" s="27" t="s">
        <v>7</v>
      </c>
      <c r="IJ568" s="27" t="s">
        <v>7</v>
      </c>
      <c r="IK568" s="27" t="s">
        <v>8</v>
      </c>
      <c r="IL568" s="27" t="s">
        <v>7</v>
      </c>
      <c r="JM568" s="27" t="s">
        <v>8</v>
      </c>
      <c r="JO568" s="27" t="s">
        <v>8</v>
      </c>
      <c r="JP568" s="27" t="s">
        <v>7</v>
      </c>
      <c r="JQ568" s="27" t="s">
        <v>8</v>
      </c>
      <c r="JR568" s="27" t="s">
        <v>7</v>
      </c>
      <c r="JT568" s="27" t="s">
        <v>7</v>
      </c>
      <c r="JU568" s="27" t="s">
        <v>8</v>
      </c>
      <c r="JV568" s="27" t="s">
        <v>7</v>
      </c>
      <c r="JW568" s="27" t="s">
        <v>8</v>
      </c>
      <c r="JX568" s="27" t="s">
        <v>7</v>
      </c>
      <c r="JY568" s="27" t="s">
        <v>8</v>
      </c>
      <c r="JZ568" s="27" t="s">
        <v>7</v>
      </c>
      <c r="LA568" s="27" t="s">
        <v>8</v>
      </c>
      <c r="LC568" s="27" t="s">
        <v>8</v>
      </c>
      <c r="LD568" s="27" t="s">
        <v>7</v>
      </c>
      <c r="LE568" s="27" t="s">
        <v>8</v>
      </c>
      <c r="LJ568" s="27" t="s">
        <v>7</v>
      </c>
      <c r="LL568" s="27" t="s">
        <v>7</v>
      </c>
      <c r="LQ568" s="27" t="s">
        <v>8</v>
      </c>
      <c r="LR568" s="27" t="s">
        <v>7</v>
      </c>
    </row>
    <row r="569" spans="1:341" x14ac:dyDescent="0.25">
      <c r="A569" s="7">
        <v>1.4282462475762734</v>
      </c>
      <c r="B569"/>
      <c r="C569"/>
      <c r="D569"/>
      <c r="E569"/>
      <c r="GI569" s="27" t="s">
        <v>8</v>
      </c>
      <c r="HP569" s="27" t="s">
        <v>7</v>
      </c>
      <c r="HQ569" s="27" t="s">
        <v>8</v>
      </c>
      <c r="HR569" s="27" t="s">
        <v>7</v>
      </c>
      <c r="HU569" s="27" t="s">
        <v>8</v>
      </c>
      <c r="HV569" s="27" t="s">
        <v>7</v>
      </c>
      <c r="HW569" s="27" t="s">
        <v>8</v>
      </c>
      <c r="HX569" s="27" t="s">
        <v>7</v>
      </c>
      <c r="HY569" s="27" t="s">
        <v>8</v>
      </c>
      <c r="HZ569" s="27" t="s">
        <v>7</v>
      </c>
      <c r="IA569" s="27" t="s">
        <v>8</v>
      </c>
      <c r="IF569" s="27" t="s">
        <v>7</v>
      </c>
      <c r="IG569" s="27" t="s">
        <v>8</v>
      </c>
      <c r="IJ569" s="27" t="s">
        <v>7</v>
      </c>
      <c r="IK569" s="27" t="s">
        <v>8</v>
      </c>
      <c r="IL569" s="27" t="s">
        <v>7</v>
      </c>
      <c r="JM569" s="27" t="s">
        <v>8</v>
      </c>
      <c r="JN569" s="27" t="s">
        <v>7</v>
      </c>
      <c r="JO569" s="27" t="s">
        <v>8</v>
      </c>
      <c r="JP569" s="27" t="s">
        <v>7</v>
      </c>
      <c r="JQ569" s="27" t="s">
        <v>8</v>
      </c>
      <c r="JT569" s="27" t="s">
        <v>7</v>
      </c>
      <c r="JU569" s="27" t="s">
        <v>8</v>
      </c>
      <c r="JV569" s="27" t="s">
        <v>7</v>
      </c>
      <c r="JW569" s="27" t="s">
        <v>8</v>
      </c>
      <c r="JX569" s="27" t="s">
        <v>7</v>
      </c>
      <c r="JY569" s="27" t="s">
        <v>8</v>
      </c>
      <c r="JZ569" s="27" t="s">
        <v>7</v>
      </c>
      <c r="LA569" s="27" t="s">
        <v>8</v>
      </c>
      <c r="LB569" s="27" t="s">
        <v>7</v>
      </c>
      <c r="LC569" s="27" t="s">
        <v>8</v>
      </c>
      <c r="LD569" s="27" t="s">
        <v>7</v>
      </c>
      <c r="LE569" s="27" t="s">
        <v>8</v>
      </c>
      <c r="LL569" s="27" t="s">
        <v>7</v>
      </c>
      <c r="LQ569" s="27" t="s">
        <v>8</v>
      </c>
      <c r="LR569" s="27" t="s">
        <v>7</v>
      </c>
    </row>
    <row r="570" spans="1:341" x14ac:dyDescent="0.25">
      <c r="A570" s="7">
        <v>1.4002414191924248</v>
      </c>
      <c r="B570"/>
      <c r="C570"/>
      <c r="D570"/>
      <c r="E570"/>
      <c r="GI570" s="27" t="s">
        <v>8</v>
      </c>
      <c r="HP570" s="27" t="s">
        <v>7</v>
      </c>
      <c r="HQ570" s="27" t="s">
        <v>8</v>
      </c>
      <c r="HR570" s="27" t="s">
        <v>7</v>
      </c>
      <c r="HU570" s="27" t="s">
        <v>8</v>
      </c>
      <c r="HV570" s="27" t="s">
        <v>7</v>
      </c>
      <c r="HW570" s="27" t="s">
        <v>8</v>
      </c>
      <c r="HX570" s="27" t="s">
        <v>7</v>
      </c>
      <c r="HY570" s="27" t="s">
        <v>8</v>
      </c>
      <c r="HZ570" s="27" t="s">
        <v>7</v>
      </c>
      <c r="IA570" s="27" t="s">
        <v>8</v>
      </c>
      <c r="IF570" s="27" t="s">
        <v>7</v>
      </c>
      <c r="IG570" s="27" t="s">
        <v>8</v>
      </c>
      <c r="IJ570" s="27" t="s">
        <v>7</v>
      </c>
      <c r="IL570" s="27" t="s">
        <v>7</v>
      </c>
      <c r="JM570" s="27" t="s">
        <v>8</v>
      </c>
      <c r="JN570" s="27" t="s">
        <v>7</v>
      </c>
      <c r="JO570" s="27" t="s">
        <v>8</v>
      </c>
      <c r="JP570" s="27" t="s">
        <v>7</v>
      </c>
      <c r="JQ570" s="27" t="s">
        <v>8</v>
      </c>
      <c r="JT570" s="27" t="s">
        <v>7</v>
      </c>
      <c r="JU570" s="27" t="s">
        <v>8</v>
      </c>
      <c r="JV570" s="27" t="s">
        <v>7</v>
      </c>
      <c r="JX570" s="27" t="s">
        <v>7</v>
      </c>
      <c r="JY570" s="27" t="s">
        <v>8</v>
      </c>
      <c r="JZ570" s="27" t="s">
        <v>7</v>
      </c>
      <c r="KW570" s="27" t="s">
        <v>8</v>
      </c>
      <c r="LA570" s="27" t="s">
        <v>8</v>
      </c>
      <c r="LB570" s="27" t="s">
        <v>7</v>
      </c>
      <c r="LC570" s="27" t="s">
        <v>8</v>
      </c>
      <c r="LD570" s="27" t="s">
        <v>7</v>
      </c>
      <c r="LL570" s="27" t="s">
        <v>7</v>
      </c>
      <c r="LQ570" s="27" t="s">
        <v>8</v>
      </c>
      <c r="LR570" s="27" t="s">
        <v>7</v>
      </c>
    </row>
    <row r="571" spans="1:341" x14ac:dyDescent="0.25">
      <c r="A571" s="7">
        <v>1.3727857050906125</v>
      </c>
      <c r="B571"/>
      <c r="C571"/>
      <c r="D571"/>
      <c r="E571"/>
      <c r="GI571" s="27" t="s">
        <v>8</v>
      </c>
      <c r="HP571" s="27" t="s">
        <v>7</v>
      </c>
      <c r="HQ571" s="27" t="s">
        <v>8</v>
      </c>
      <c r="HR571" s="27" t="s">
        <v>7</v>
      </c>
      <c r="HU571" s="27" t="s">
        <v>8</v>
      </c>
      <c r="HV571" s="27" t="s">
        <v>7</v>
      </c>
      <c r="HX571" s="27" t="s">
        <v>7</v>
      </c>
      <c r="HY571" s="27" t="s">
        <v>8</v>
      </c>
      <c r="HZ571" s="27" t="s">
        <v>7</v>
      </c>
      <c r="IA571" s="27" t="s">
        <v>8</v>
      </c>
      <c r="IF571" s="27" t="s">
        <v>7</v>
      </c>
      <c r="IG571" s="27" t="s">
        <v>8</v>
      </c>
      <c r="IL571" s="27" t="s">
        <v>7</v>
      </c>
      <c r="JM571" s="27" t="s">
        <v>8</v>
      </c>
      <c r="JN571" s="27" t="s">
        <v>7</v>
      </c>
      <c r="JO571" s="27" t="s">
        <v>8</v>
      </c>
      <c r="JP571" s="27" t="s">
        <v>7</v>
      </c>
      <c r="JQ571" s="27" t="s">
        <v>8</v>
      </c>
      <c r="JT571" s="27" t="s">
        <v>7</v>
      </c>
      <c r="JU571" s="27" t="s">
        <v>8</v>
      </c>
      <c r="JX571" s="27" t="s">
        <v>7</v>
      </c>
      <c r="JZ571" s="27" t="s">
        <v>7</v>
      </c>
      <c r="KG571" s="27" t="s">
        <v>8</v>
      </c>
      <c r="KW571" s="27" t="s">
        <v>8</v>
      </c>
      <c r="KX571" s="27" t="s">
        <v>7</v>
      </c>
      <c r="KY571" s="27" t="s">
        <v>8</v>
      </c>
      <c r="LA571" s="27" t="s">
        <v>8</v>
      </c>
      <c r="LB571" s="27" t="s">
        <v>7</v>
      </c>
      <c r="LC571" s="27" t="s">
        <v>8</v>
      </c>
      <c r="LL571" s="27" t="s">
        <v>7</v>
      </c>
      <c r="LQ571" s="27" t="s">
        <v>8</v>
      </c>
      <c r="LR571" s="27" t="s">
        <v>7</v>
      </c>
    </row>
    <row r="572" spans="1:341" x14ac:dyDescent="0.25">
      <c r="A572" s="7">
        <v>1.3458683383241299</v>
      </c>
      <c r="B572"/>
      <c r="C572"/>
      <c r="D572"/>
      <c r="E572"/>
      <c r="GI572" s="27" t="s">
        <v>8</v>
      </c>
      <c r="HP572" s="27" t="s">
        <v>7</v>
      </c>
      <c r="HQ572" s="27" t="s">
        <v>8</v>
      </c>
      <c r="HR572" s="27" t="s">
        <v>7</v>
      </c>
      <c r="HU572" s="27" t="s">
        <v>8</v>
      </c>
      <c r="HX572" s="27" t="s">
        <v>7</v>
      </c>
      <c r="HY572" s="27" t="s">
        <v>8</v>
      </c>
      <c r="HZ572" s="27" t="s">
        <v>7</v>
      </c>
      <c r="IA572" s="27" t="s">
        <v>8</v>
      </c>
      <c r="IF572" s="27" t="s">
        <v>7</v>
      </c>
      <c r="IG572" s="27" t="s">
        <v>8</v>
      </c>
      <c r="IL572" s="27" t="s">
        <v>7</v>
      </c>
      <c r="JM572" s="27" t="s">
        <v>8</v>
      </c>
      <c r="JN572" s="27" t="s">
        <v>7</v>
      </c>
      <c r="JP572" s="27" t="s">
        <v>7</v>
      </c>
      <c r="JT572" s="27" t="s">
        <v>7</v>
      </c>
      <c r="JU572" s="27" t="s">
        <v>8</v>
      </c>
      <c r="JZ572" s="27" t="s">
        <v>7</v>
      </c>
      <c r="KG572" s="27" t="s">
        <v>8</v>
      </c>
      <c r="KH572" s="27" t="s">
        <v>7</v>
      </c>
      <c r="KW572" s="27" t="s">
        <v>8</v>
      </c>
      <c r="KX572" s="27" t="s">
        <v>7</v>
      </c>
      <c r="KY572" s="27" t="s">
        <v>8</v>
      </c>
      <c r="KZ572" s="27" t="s">
        <v>7</v>
      </c>
      <c r="LA572" s="27" t="s">
        <v>8</v>
      </c>
      <c r="LB572" s="27" t="s">
        <v>7</v>
      </c>
      <c r="LC572" s="27" t="s">
        <v>8</v>
      </c>
      <c r="LL572" s="27" t="s">
        <v>7</v>
      </c>
      <c r="LM572" s="27" t="s">
        <v>8</v>
      </c>
      <c r="LQ572" s="27" t="s">
        <v>8</v>
      </c>
      <c r="LR572" s="27" t="s">
        <v>7</v>
      </c>
      <c r="LU572" s="27" t="s">
        <v>8</v>
      </c>
      <c r="MA572" s="27" t="s">
        <v>8</v>
      </c>
    </row>
    <row r="573" spans="1:341" x14ac:dyDescent="0.25">
      <c r="A573" s="7">
        <v>1.3194787630628724</v>
      </c>
      <c r="B573"/>
      <c r="C573"/>
      <c r="D573"/>
      <c r="E573"/>
      <c r="GI573" s="27" t="s">
        <v>8</v>
      </c>
      <c r="HP573" s="27" t="s">
        <v>7</v>
      </c>
      <c r="HQ573" s="27" t="s">
        <v>8</v>
      </c>
      <c r="HR573" s="27" t="s">
        <v>7</v>
      </c>
      <c r="HU573" s="27" t="s">
        <v>8</v>
      </c>
      <c r="HX573" s="27" t="s">
        <v>7</v>
      </c>
      <c r="HY573" s="27" t="s">
        <v>8</v>
      </c>
      <c r="HZ573" s="27" t="s">
        <v>7</v>
      </c>
      <c r="IA573" s="27" t="s">
        <v>8</v>
      </c>
      <c r="IF573" s="27" t="s">
        <v>7</v>
      </c>
      <c r="IL573" s="27" t="s">
        <v>7</v>
      </c>
      <c r="IO573" s="27" t="s">
        <v>8</v>
      </c>
      <c r="JM573" s="27" t="s">
        <v>8</v>
      </c>
      <c r="JT573" s="27" t="s">
        <v>7</v>
      </c>
      <c r="JU573" s="27" t="s">
        <v>8</v>
      </c>
      <c r="JZ573" s="27" t="s">
        <v>7</v>
      </c>
      <c r="KG573" s="27" t="s">
        <v>8</v>
      </c>
      <c r="KH573" s="27" t="s">
        <v>7</v>
      </c>
      <c r="KW573" s="27" t="s">
        <v>8</v>
      </c>
      <c r="KX573" s="27" t="s">
        <v>7</v>
      </c>
      <c r="KY573" s="27" t="s">
        <v>8</v>
      </c>
      <c r="KZ573" s="27" t="s">
        <v>7</v>
      </c>
      <c r="LA573" s="27" t="s">
        <v>8</v>
      </c>
      <c r="LB573" s="27" t="s">
        <v>7</v>
      </c>
      <c r="LC573" s="27" t="s">
        <v>8</v>
      </c>
      <c r="LL573" s="27" t="s">
        <v>7</v>
      </c>
      <c r="LM573" s="27" t="s">
        <v>8</v>
      </c>
      <c r="LN573" s="27" t="s">
        <v>7</v>
      </c>
      <c r="LQ573" s="27" t="s">
        <v>8</v>
      </c>
      <c r="LR573" s="27" t="s">
        <v>7</v>
      </c>
      <c r="LU573" s="27" t="s">
        <v>8</v>
      </c>
      <c r="LV573" s="27" t="s">
        <v>7</v>
      </c>
      <c r="MA573" s="27" t="s">
        <v>8</v>
      </c>
      <c r="MB573" s="27" t="s">
        <v>7</v>
      </c>
    </row>
    <row r="574" spans="1:341" x14ac:dyDescent="0.25">
      <c r="A574" s="7">
        <v>1.2936066304537963</v>
      </c>
      <c r="B574"/>
      <c r="C574"/>
      <c r="D574"/>
      <c r="E574"/>
      <c r="GI574" s="27" t="s">
        <v>8</v>
      </c>
      <c r="HP574" s="27" t="s">
        <v>7</v>
      </c>
      <c r="HQ574" s="27" t="s">
        <v>8</v>
      </c>
      <c r="HR574" s="27" t="s">
        <v>7</v>
      </c>
      <c r="HU574" s="27" t="s">
        <v>8</v>
      </c>
      <c r="HX574" s="27" t="s">
        <v>7</v>
      </c>
      <c r="HY574" s="27" t="s">
        <v>8</v>
      </c>
      <c r="HZ574" s="27" t="s">
        <v>7</v>
      </c>
      <c r="IA574" s="27" t="s">
        <v>8</v>
      </c>
      <c r="IL574" s="27" t="s">
        <v>7</v>
      </c>
      <c r="IM574" s="27" t="s">
        <v>8</v>
      </c>
      <c r="IO574" s="27" t="s">
        <v>8</v>
      </c>
      <c r="IP574" s="27" t="s">
        <v>7</v>
      </c>
      <c r="JM574" s="27" t="s">
        <v>8</v>
      </c>
      <c r="JT574" s="27" t="s">
        <v>7</v>
      </c>
      <c r="JZ574" s="27" t="s">
        <v>7</v>
      </c>
      <c r="KA574" s="27" t="s">
        <v>8</v>
      </c>
      <c r="KG574" s="27" t="s">
        <v>8</v>
      </c>
      <c r="KH574" s="27" t="s">
        <v>7</v>
      </c>
      <c r="KQ574" s="27" t="s">
        <v>8</v>
      </c>
      <c r="KS574" s="27" t="s">
        <v>8</v>
      </c>
      <c r="KW574" s="27" t="s">
        <v>8</v>
      </c>
      <c r="KX574" s="27" t="s">
        <v>7</v>
      </c>
      <c r="KY574" s="27" t="s">
        <v>8</v>
      </c>
      <c r="KZ574" s="27" t="s">
        <v>7</v>
      </c>
      <c r="LB574" s="27" t="s">
        <v>7</v>
      </c>
      <c r="LC574" s="27" t="s">
        <v>8</v>
      </c>
      <c r="LL574" s="27" t="s">
        <v>7</v>
      </c>
      <c r="LM574" s="27" t="s">
        <v>8</v>
      </c>
      <c r="LN574" s="27" t="s">
        <v>7</v>
      </c>
      <c r="LO574" s="27" t="s">
        <v>8</v>
      </c>
      <c r="LQ574" s="27" t="s">
        <v>8</v>
      </c>
      <c r="LR574" s="27" t="s">
        <v>7</v>
      </c>
      <c r="LU574" s="27" t="s">
        <v>8</v>
      </c>
      <c r="LV574" s="27" t="s">
        <v>7</v>
      </c>
      <c r="MA574" s="27" t="s">
        <v>8</v>
      </c>
      <c r="MB574" s="27" t="s">
        <v>7</v>
      </c>
    </row>
    <row r="575" spans="1:341" x14ac:dyDescent="0.25">
      <c r="A575" s="7">
        <v>1.2682417945625455</v>
      </c>
      <c r="B575"/>
      <c r="C575"/>
      <c r="D575"/>
      <c r="E575"/>
      <c r="GI575" s="27" t="s">
        <v>8</v>
      </c>
      <c r="HP575" s="27" t="s">
        <v>7</v>
      </c>
      <c r="HQ575" s="27" t="s">
        <v>8</v>
      </c>
      <c r="HR575" s="27" t="s">
        <v>7</v>
      </c>
      <c r="HS575" s="27" t="s">
        <v>8</v>
      </c>
      <c r="HU575" s="27" t="s">
        <v>8</v>
      </c>
      <c r="HX575" s="27" t="s">
        <v>7</v>
      </c>
      <c r="HY575" s="27" t="s">
        <v>8</v>
      </c>
      <c r="HZ575" s="27" t="s">
        <v>7</v>
      </c>
      <c r="IA575" s="27" t="s">
        <v>8</v>
      </c>
      <c r="IL575" s="27" t="s">
        <v>7</v>
      </c>
      <c r="IM575" s="27" t="s">
        <v>8</v>
      </c>
      <c r="IN575" s="27" t="s">
        <v>7</v>
      </c>
      <c r="IO575" s="27" t="s">
        <v>8</v>
      </c>
      <c r="IP575" s="27" t="s">
        <v>7</v>
      </c>
      <c r="IS575" s="27" t="s">
        <v>8</v>
      </c>
      <c r="JG575" s="27" t="s">
        <v>8</v>
      </c>
      <c r="JK575" s="27" t="s">
        <v>8</v>
      </c>
      <c r="JM575" s="27" t="s">
        <v>8</v>
      </c>
      <c r="JZ575" s="27" t="s">
        <v>7</v>
      </c>
      <c r="KA575" s="27" t="s">
        <v>8</v>
      </c>
      <c r="KB575" s="27" t="s">
        <v>7</v>
      </c>
      <c r="KG575" s="27" t="s">
        <v>8</v>
      </c>
      <c r="KH575" s="27" t="s">
        <v>7</v>
      </c>
      <c r="KQ575" s="27" t="s">
        <v>8</v>
      </c>
      <c r="KR575" s="27" t="s">
        <v>7</v>
      </c>
      <c r="KS575" s="27" t="s">
        <v>8</v>
      </c>
      <c r="KT575" s="27" t="s">
        <v>7</v>
      </c>
      <c r="KU575" s="27" t="s">
        <v>8</v>
      </c>
      <c r="KW575" s="27" t="s">
        <v>8</v>
      </c>
      <c r="KX575" s="27" t="s">
        <v>7</v>
      </c>
      <c r="KY575" s="27" t="s">
        <v>8</v>
      </c>
      <c r="LB575" s="27" t="s">
        <v>7</v>
      </c>
      <c r="LL575" s="27" t="s">
        <v>7</v>
      </c>
      <c r="LM575" s="27" t="s">
        <v>8</v>
      </c>
      <c r="LN575" s="27" t="s">
        <v>7</v>
      </c>
      <c r="LO575" s="27" t="s">
        <v>8</v>
      </c>
      <c r="LP575" s="27" t="s">
        <v>7</v>
      </c>
      <c r="LQ575" s="27" t="s">
        <v>8</v>
      </c>
      <c r="LR575" s="27" t="s">
        <v>7</v>
      </c>
      <c r="LU575" s="27" t="s">
        <v>8</v>
      </c>
      <c r="LV575" s="27" t="s">
        <v>7</v>
      </c>
      <c r="MA575" s="27" t="s">
        <v>8</v>
      </c>
      <c r="MB575" s="27" t="s">
        <v>7</v>
      </c>
    </row>
    <row r="576" spans="1:341" x14ac:dyDescent="0.25">
      <c r="A576" s="7">
        <v>1.2433743083946525</v>
      </c>
      <c r="B576"/>
      <c r="C576"/>
      <c r="D576"/>
      <c r="E576"/>
      <c r="GI576" s="27" t="s">
        <v>8</v>
      </c>
      <c r="HP576" s="27" t="s">
        <v>7</v>
      </c>
      <c r="HQ576" s="27" t="s">
        <v>8</v>
      </c>
      <c r="HR576" s="27" t="s">
        <v>7</v>
      </c>
      <c r="HS576" s="27" t="s">
        <v>8</v>
      </c>
      <c r="HT576" s="27" t="s">
        <v>7</v>
      </c>
      <c r="HU576" s="27" t="s">
        <v>8</v>
      </c>
      <c r="HX576" s="27" t="s">
        <v>7</v>
      </c>
      <c r="HY576" s="27" t="s">
        <v>8</v>
      </c>
      <c r="HZ576" s="27" t="s">
        <v>7</v>
      </c>
      <c r="IL576" s="27" t="s">
        <v>7</v>
      </c>
      <c r="IM576" s="27" t="s">
        <v>8</v>
      </c>
      <c r="IN576" s="27" t="s">
        <v>7</v>
      </c>
      <c r="IO576" s="27" t="s">
        <v>8</v>
      </c>
      <c r="IP576" s="27" t="s">
        <v>7</v>
      </c>
      <c r="IS576" s="27" t="s">
        <v>8</v>
      </c>
      <c r="IT576" s="27" t="s">
        <v>7</v>
      </c>
      <c r="JG576" s="27" t="s">
        <v>8</v>
      </c>
      <c r="JH576" s="27" t="s">
        <v>7</v>
      </c>
      <c r="JK576" s="27" t="s">
        <v>8</v>
      </c>
      <c r="JL576" s="27" t="s">
        <v>7</v>
      </c>
      <c r="JM576" s="27" t="s">
        <v>8</v>
      </c>
      <c r="JZ576" s="27" t="s">
        <v>7</v>
      </c>
      <c r="KA576" s="27" t="s">
        <v>8</v>
      </c>
      <c r="KB576" s="27" t="s">
        <v>7</v>
      </c>
      <c r="KE576" s="27" t="s">
        <v>8</v>
      </c>
      <c r="KG576" s="27" t="s">
        <v>8</v>
      </c>
      <c r="KH576" s="27" t="s">
        <v>7</v>
      </c>
      <c r="KQ576" s="27" t="s">
        <v>8</v>
      </c>
      <c r="KR576" s="27" t="s">
        <v>7</v>
      </c>
      <c r="KS576" s="27" t="s">
        <v>8</v>
      </c>
      <c r="KT576" s="27" t="s">
        <v>7</v>
      </c>
      <c r="KU576" s="27" t="s">
        <v>8</v>
      </c>
      <c r="KV576" s="27" t="s">
        <v>7</v>
      </c>
      <c r="KW576" s="27" t="s">
        <v>8</v>
      </c>
      <c r="KX576" s="27" t="s">
        <v>7</v>
      </c>
      <c r="KY576" s="27" t="s">
        <v>8</v>
      </c>
      <c r="LL576" s="27" t="s">
        <v>7</v>
      </c>
      <c r="LM576" s="27" t="s">
        <v>8</v>
      </c>
      <c r="LN576" s="27" t="s">
        <v>7</v>
      </c>
      <c r="LO576" s="27" t="s">
        <v>8</v>
      </c>
      <c r="LP576" s="27" t="s">
        <v>7</v>
      </c>
      <c r="LQ576" s="27" t="s">
        <v>8</v>
      </c>
      <c r="LR576" s="27" t="s">
        <v>7</v>
      </c>
      <c r="LS576" s="27" t="s">
        <v>8</v>
      </c>
      <c r="LU576" s="27" t="s">
        <v>8</v>
      </c>
      <c r="LV576" s="27" t="s">
        <v>7</v>
      </c>
      <c r="MA576" s="27" t="s">
        <v>8</v>
      </c>
      <c r="MB576" s="27" t="s">
        <v>7</v>
      </c>
      <c r="MC576" s="27" t="s">
        <v>8</v>
      </c>
    </row>
    <row r="577" spans="1:344" x14ac:dyDescent="0.25">
      <c r="A577" s="7">
        <v>1.2189944199947573</v>
      </c>
      <c r="B577"/>
      <c r="C577"/>
      <c r="D577"/>
      <c r="E577"/>
      <c r="GI577" s="27" t="s">
        <v>8</v>
      </c>
      <c r="HP577" s="27" t="s">
        <v>7</v>
      </c>
      <c r="HQ577" s="27" t="s">
        <v>8</v>
      </c>
      <c r="HR577" s="27" t="s">
        <v>7</v>
      </c>
      <c r="HS577" s="27" t="s">
        <v>8</v>
      </c>
      <c r="HT577" s="27" t="s">
        <v>7</v>
      </c>
      <c r="HU577" s="27" t="s">
        <v>8</v>
      </c>
      <c r="HX577" s="27" t="s">
        <v>7</v>
      </c>
      <c r="IL577" s="27" t="s">
        <v>7</v>
      </c>
      <c r="IM577" s="27" t="s">
        <v>8</v>
      </c>
      <c r="IN577" s="27" t="s">
        <v>7</v>
      </c>
      <c r="IO577" s="27" t="s">
        <v>8</v>
      </c>
      <c r="IP577" s="27" t="s">
        <v>7</v>
      </c>
      <c r="IS577" s="27" t="s">
        <v>8</v>
      </c>
      <c r="IT577" s="27" t="s">
        <v>7</v>
      </c>
      <c r="JG577" s="27" t="s">
        <v>8</v>
      </c>
      <c r="JH577" s="27" t="s">
        <v>7</v>
      </c>
      <c r="JK577" s="27" t="s">
        <v>8</v>
      </c>
      <c r="JL577" s="27" t="s">
        <v>7</v>
      </c>
      <c r="JM577" s="27" t="s">
        <v>8</v>
      </c>
      <c r="JZ577" s="27" t="s">
        <v>7</v>
      </c>
      <c r="KA577" s="27" t="s">
        <v>8</v>
      </c>
      <c r="KB577" s="27" t="s">
        <v>7</v>
      </c>
      <c r="KC577" s="27" t="s">
        <v>8</v>
      </c>
      <c r="KE577" s="27" t="s">
        <v>8</v>
      </c>
      <c r="KF577" s="27" t="s">
        <v>7</v>
      </c>
      <c r="KG577" s="27" t="s">
        <v>8</v>
      </c>
      <c r="KH577" s="27" t="s">
        <v>7</v>
      </c>
      <c r="KQ577" s="27" t="s">
        <v>8</v>
      </c>
      <c r="KR577" s="27" t="s">
        <v>7</v>
      </c>
      <c r="KS577" s="27" t="s">
        <v>8</v>
      </c>
      <c r="KT577" s="27" t="s">
        <v>7</v>
      </c>
      <c r="KU577" s="27" t="s">
        <v>8</v>
      </c>
      <c r="KV577" s="27" t="s">
        <v>7</v>
      </c>
      <c r="KW577" s="27" t="s">
        <v>8</v>
      </c>
      <c r="KX577" s="27" t="s">
        <v>7</v>
      </c>
      <c r="LL577" s="27" t="s">
        <v>7</v>
      </c>
      <c r="LM577" s="27" t="s">
        <v>8</v>
      </c>
      <c r="LN577" s="27" t="s">
        <v>7</v>
      </c>
      <c r="LO577" s="27" t="s">
        <v>8</v>
      </c>
      <c r="LP577" s="27" t="s">
        <v>7</v>
      </c>
      <c r="LQ577" s="27" t="s">
        <v>8</v>
      </c>
      <c r="LR577" s="27" t="s">
        <v>7</v>
      </c>
      <c r="LS577" s="27" t="s">
        <v>8</v>
      </c>
      <c r="LT577" s="27" t="s">
        <v>7</v>
      </c>
      <c r="LU577" s="27" t="s">
        <v>8</v>
      </c>
      <c r="LV577" s="27" t="s">
        <v>7</v>
      </c>
      <c r="MA577" s="27" t="s">
        <v>8</v>
      </c>
      <c r="MB577" s="27" t="s">
        <v>7</v>
      </c>
      <c r="MC577" s="27" t="s">
        <v>8</v>
      </c>
      <c r="MD577" s="27" t="s">
        <v>7</v>
      </c>
    </row>
    <row r="578" spans="1:344" x14ac:dyDescent="0.25">
      <c r="A578" s="7">
        <v>1.1950925686223111</v>
      </c>
      <c r="B578"/>
      <c r="C578"/>
      <c r="D578"/>
      <c r="E578"/>
      <c r="GI578" s="27" t="s">
        <v>8</v>
      </c>
      <c r="HP578" s="27" t="s">
        <v>7</v>
      </c>
      <c r="HQ578" s="27" t="s">
        <v>8</v>
      </c>
      <c r="HR578" s="27" t="s">
        <v>7</v>
      </c>
      <c r="HS578" s="27" t="s">
        <v>8</v>
      </c>
      <c r="HT578" s="27" t="s">
        <v>7</v>
      </c>
      <c r="HU578" s="27" t="s">
        <v>8</v>
      </c>
      <c r="IL578" s="27" t="s">
        <v>7</v>
      </c>
      <c r="IM578" s="27" t="s">
        <v>8</v>
      </c>
      <c r="IN578" s="27" t="s">
        <v>7</v>
      </c>
      <c r="IO578" s="27" t="s">
        <v>8</v>
      </c>
      <c r="IP578" s="27" t="s">
        <v>7</v>
      </c>
      <c r="IQ578" s="27" t="s">
        <v>8</v>
      </c>
      <c r="IS578" s="27" t="s">
        <v>8</v>
      </c>
      <c r="IT578" s="27" t="s">
        <v>7</v>
      </c>
      <c r="IU578" s="27" t="s">
        <v>8</v>
      </c>
      <c r="JG578" s="27" t="s">
        <v>8</v>
      </c>
      <c r="JH578" s="27" t="s">
        <v>7</v>
      </c>
      <c r="JK578" s="27" t="s">
        <v>8</v>
      </c>
      <c r="JL578" s="27" t="s">
        <v>7</v>
      </c>
      <c r="JM578" s="27" t="s">
        <v>8</v>
      </c>
      <c r="JZ578" s="27" t="s">
        <v>7</v>
      </c>
      <c r="KA578" s="27" t="s">
        <v>8</v>
      </c>
      <c r="KB578" s="27" t="s">
        <v>7</v>
      </c>
      <c r="KC578" s="27" t="s">
        <v>8</v>
      </c>
      <c r="KD578" s="27" t="s">
        <v>7</v>
      </c>
      <c r="KE578" s="27" t="s">
        <v>8</v>
      </c>
      <c r="KF578" s="27" t="s">
        <v>7</v>
      </c>
      <c r="KG578" s="27" t="s">
        <v>8</v>
      </c>
      <c r="KH578" s="27" t="s">
        <v>7</v>
      </c>
      <c r="KQ578" s="27" t="s">
        <v>8</v>
      </c>
      <c r="KR578" s="27" t="s">
        <v>7</v>
      </c>
      <c r="KS578" s="27" t="s">
        <v>8</v>
      </c>
      <c r="KT578" s="27" t="s">
        <v>7</v>
      </c>
      <c r="KU578" s="27" t="s">
        <v>8</v>
      </c>
      <c r="KV578" s="27" t="s">
        <v>7</v>
      </c>
      <c r="LL578" s="27" t="s">
        <v>7</v>
      </c>
      <c r="LN578" s="27" t="s">
        <v>7</v>
      </c>
      <c r="LO578" s="27" t="s">
        <v>8</v>
      </c>
      <c r="LP578" s="27" t="s">
        <v>7</v>
      </c>
      <c r="LQ578" s="27" t="s">
        <v>8</v>
      </c>
      <c r="LR578" s="27" t="s">
        <v>7</v>
      </c>
      <c r="LS578" s="27" t="s">
        <v>8</v>
      </c>
      <c r="LT578" s="27" t="s">
        <v>7</v>
      </c>
      <c r="LU578" s="27" t="s">
        <v>8</v>
      </c>
      <c r="LV578" s="27" t="s">
        <v>7</v>
      </c>
      <c r="MA578" s="27" t="s">
        <v>8</v>
      </c>
      <c r="MB578" s="27" t="s">
        <v>7</v>
      </c>
      <c r="MC578" s="27" t="s">
        <v>8</v>
      </c>
      <c r="MD578" s="27" t="s">
        <v>7</v>
      </c>
    </row>
    <row r="579" spans="1:344" x14ac:dyDescent="0.25">
      <c r="A579" s="7">
        <v>1.1716593810022657</v>
      </c>
      <c r="B579"/>
      <c r="C579"/>
      <c r="D579"/>
      <c r="E579"/>
      <c r="GI579" s="27" t="s">
        <v>8</v>
      </c>
      <c r="HP579" s="27" t="s">
        <v>7</v>
      </c>
      <c r="HQ579" s="27" t="s">
        <v>8</v>
      </c>
      <c r="HR579" s="27" t="s">
        <v>7</v>
      </c>
      <c r="HS579" s="27" t="s">
        <v>8</v>
      </c>
      <c r="HT579" s="27" t="s">
        <v>7</v>
      </c>
      <c r="HU579" s="27" t="s">
        <v>8</v>
      </c>
      <c r="IL579" s="27" t="s">
        <v>7</v>
      </c>
      <c r="IM579" s="27" t="s">
        <v>8</v>
      </c>
      <c r="IN579" s="27" t="s">
        <v>7</v>
      </c>
      <c r="IO579" s="27" t="s">
        <v>8</v>
      </c>
      <c r="IP579" s="27" t="s">
        <v>7</v>
      </c>
      <c r="IQ579" s="27" t="s">
        <v>8</v>
      </c>
      <c r="IR579" s="27" t="s">
        <v>7</v>
      </c>
      <c r="IS579" s="27" t="s">
        <v>8</v>
      </c>
      <c r="IT579" s="27" t="s">
        <v>7</v>
      </c>
      <c r="IU579" s="27" t="s">
        <v>8</v>
      </c>
      <c r="IV579" s="27" t="s">
        <v>7</v>
      </c>
      <c r="JG579" s="27" t="s">
        <v>8</v>
      </c>
      <c r="JH579" s="27" t="s">
        <v>7</v>
      </c>
      <c r="JK579" s="27" t="s">
        <v>8</v>
      </c>
      <c r="JL579" s="27" t="s">
        <v>7</v>
      </c>
      <c r="JM579" s="27" t="s">
        <v>8</v>
      </c>
      <c r="JZ579" s="27" t="s">
        <v>7</v>
      </c>
      <c r="KA579" s="27" t="s">
        <v>8</v>
      </c>
      <c r="KB579" s="27" t="s">
        <v>7</v>
      </c>
      <c r="KC579" s="27" t="s">
        <v>8</v>
      </c>
      <c r="KD579" s="27" t="s">
        <v>7</v>
      </c>
      <c r="KE579" s="27" t="s">
        <v>8</v>
      </c>
      <c r="KF579" s="27" t="s">
        <v>7</v>
      </c>
      <c r="KG579" s="27" t="s">
        <v>8</v>
      </c>
      <c r="KH579" s="27" t="s">
        <v>7</v>
      </c>
      <c r="KO579" s="27" t="s">
        <v>8</v>
      </c>
      <c r="KQ579" s="27" t="s">
        <v>8</v>
      </c>
      <c r="KR579" s="27" t="s">
        <v>7</v>
      </c>
      <c r="KT579" s="27" t="s">
        <v>7</v>
      </c>
      <c r="KU579" s="27" t="s">
        <v>8</v>
      </c>
      <c r="LN579" s="27" t="s">
        <v>7</v>
      </c>
      <c r="LO579" s="27" t="s">
        <v>8</v>
      </c>
      <c r="LP579" s="27" t="s">
        <v>7</v>
      </c>
      <c r="LQ579" s="27" t="s">
        <v>8</v>
      </c>
      <c r="LR579" s="27" t="s">
        <v>7</v>
      </c>
      <c r="LS579" s="27" t="s">
        <v>8</v>
      </c>
      <c r="LT579" s="27" t="s">
        <v>7</v>
      </c>
      <c r="LU579" s="27" t="s">
        <v>8</v>
      </c>
      <c r="LV579" s="27" t="s">
        <v>7</v>
      </c>
      <c r="LW579" s="27" t="s">
        <v>8</v>
      </c>
      <c r="LY579" s="27" t="s">
        <v>8</v>
      </c>
      <c r="MA579" s="27" t="s">
        <v>8</v>
      </c>
      <c r="MB579" s="27" t="s">
        <v>7</v>
      </c>
      <c r="MC579" s="27" t="s">
        <v>8</v>
      </c>
      <c r="MD579" s="27" t="s">
        <v>7</v>
      </c>
    </row>
    <row r="580" spans="1:344" x14ac:dyDescent="0.25">
      <c r="A580" s="7">
        <v>1.14868566764928</v>
      </c>
      <c r="B580"/>
      <c r="C580"/>
      <c r="D580"/>
      <c r="E580"/>
      <c r="GI580" s="27" t="s">
        <v>8</v>
      </c>
      <c r="HP580" s="27" t="s">
        <v>7</v>
      </c>
      <c r="HQ580" s="27" t="s">
        <v>8</v>
      </c>
      <c r="HR580" s="27" t="s">
        <v>7</v>
      </c>
      <c r="HS580" s="27" t="s">
        <v>8</v>
      </c>
      <c r="HT580" s="27" t="s">
        <v>7</v>
      </c>
      <c r="HU580" s="27" t="s">
        <v>8</v>
      </c>
      <c r="IL580" s="27" t="s">
        <v>7</v>
      </c>
      <c r="IM580" s="27" t="s">
        <v>8</v>
      </c>
      <c r="IN580" s="27" t="s">
        <v>7</v>
      </c>
      <c r="IO580" s="27" t="s">
        <v>8</v>
      </c>
      <c r="IP580" s="27" t="s">
        <v>7</v>
      </c>
      <c r="IQ580" s="27" t="s">
        <v>8</v>
      </c>
      <c r="IR580" s="27" t="s">
        <v>7</v>
      </c>
      <c r="IS580" s="27" t="s">
        <v>8</v>
      </c>
      <c r="IT580" s="27" t="s">
        <v>7</v>
      </c>
      <c r="IU580" s="27" t="s">
        <v>8</v>
      </c>
      <c r="IV580" s="27" t="s">
        <v>7</v>
      </c>
      <c r="JG580" s="27" t="s">
        <v>8</v>
      </c>
      <c r="JH580" s="27" t="s">
        <v>7</v>
      </c>
      <c r="JI580" s="27" t="s">
        <v>8</v>
      </c>
      <c r="JK580" s="27" t="s">
        <v>8</v>
      </c>
      <c r="JL580" s="27" t="s">
        <v>7</v>
      </c>
      <c r="JM580" s="27" t="s">
        <v>8</v>
      </c>
      <c r="JZ580" s="27" t="s">
        <v>7</v>
      </c>
      <c r="KA580" s="27" t="s">
        <v>8</v>
      </c>
      <c r="KB580" s="27" t="s">
        <v>7</v>
      </c>
      <c r="KD580" s="27" t="s">
        <v>7</v>
      </c>
      <c r="KE580" s="27" t="s">
        <v>8</v>
      </c>
      <c r="KF580" s="27" t="s">
        <v>7</v>
      </c>
      <c r="KG580" s="27" t="s">
        <v>8</v>
      </c>
      <c r="KH580" s="27" t="s">
        <v>7</v>
      </c>
      <c r="KO580" s="27" t="s">
        <v>8</v>
      </c>
      <c r="KP580" s="27" t="s">
        <v>7</v>
      </c>
      <c r="KQ580" s="27" t="s">
        <v>8</v>
      </c>
      <c r="KT580" s="27" t="s">
        <v>7</v>
      </c>
      <c r="KU580" s="27" t="s">
        <v>8</v>
      </c>
      <c r="LN580" s="27" t="s">
        <v>7</v>
      </c>
      <c r="LP580" s="27" t="s">
        <v>7</v>
      </c>
      <c r="LQ580" s="27" t="s">
        <v>8</v>
      </c>
      <c r="LR580" s="27" t="s">
        <v>7</v>
      </c>
      <c r="LS580" s="27" t="s">
        <v>8</v>
      </c>
      <c r="LT580" s="27" t="s">
        <v>7</v>
      </c>
      <c r="LU580" s="27" t="s">
        <v>8</v>
      </c>
      <c r="LV580" s="27" t="s">
        <v>7</v>
      </c>
      <c r="LW580" s="27" t="s">
        <v>8</v>
      </c>
      <c r="LX580" s="27" t="s">
        <v>7</v>
      </c>
      <c r="LY580" s="27" t="s">
        <v>8</v>
      </c>
      <c r="LZ580" s="27" t="s">
        <v>7</v>
      </c>
      <c r="MA580" s="27" t="s">
        <v>8</v>
      </c>
      <c r="MB580" s="27" t="s">
        <v>7</v>
      </c>
      <c r="MD580" s="27" t="s">
        <v>7</v>
      </c>
    </row>
    <row r="581" spans="1:344" x14ac:dyDescent="0.25">
      <c r="A581" s="7">
        <v>1.1261624192640001</v>
      </c>
      <c r="B581"/>
      <c r="C581"/>
      <c r="D581"/>
      <c r="E581"/>
      <c r="GI581" s="27" t="s">
        <v>8</v>
      </c>
      <c r="HP581" s="27" t="s">
        <v>7</v>
      </c>
      <c r="HQ581" s="27" t="s">
        <v>8</v>
      </c>
      <c r="HR581" s="27" t="s">
        <v>7</v>
      </c>
      <c r="HS581" s="27" t="s">
        <v>8</v>
      </c>
      <c r="HT581" s="27" t="s">
        <v>7</v>
      </c>
      <c r="HU581" s="27" t="s">
        <v>8</v>
      </c>
      <c r="IL581" s="27" t="s">
        <v>7</v>
      </c>
      <c r="IM581" s="27" t="s">
        <v>8</v>
      </c>
      <c r="IN581" s="27" t="s">
        <v>7</v>
      </c>
      <c r="IO581" s="27" t="s">
        <v>8</v>
      </c>
      <c r="IP581" s="27" t="s">
        <v>7</v>
      </c>
      <c r="IR581" s="27" t="s">
        <v>7</v>
      </c>
      <c r="IS581" s="27" t="s">
        <v>8</v>
      </c>
      <c r="IT581" s="27" t="s">
        <v>7</v>
      </c>
      <c r="IV581" s="27" t="s">
        <v>7</v>
      </c>
      <c r="IW581" s="27" t="s">
        <v>8</v>
      </c>
      <c r="JG581" s="27" t="s">
        <v>8</v>
      </c>
      <c r="JH581" s="27" t="s">
        <v>7</v>
      </c>
      <c r="JI581" s="27" t="s">
        <v>8</v>
      </c>
      <c r="JJ581" s="27" t="s">
        <v>7</v>
      </c>
      <c r="JK581" s="27" t="s">
        <v>8</v>
      </c>
      <c r="JL581" s="27" t="s">
        <v>7</v>
      </c>
      <c r="JZ581" s="27" t="s">
        <v>7</v>
      </c>
      <c r="KA581" s="27" t="s">
        <v>8</v>
      </c>
      <c r="KD581" s="27" t="s">
        <v>7</v>
      </c>
      <c r="KE581" s="27" t="s">
        <v>8</v>
      </c>
      <c r="KF581" s="27" t="s">
        <v>7</v>
      </c>
      <c r="KH581" s="27" t="s">
        <v>7</v>
      </c>
      <c r="KI581" s="27" t="s">
        <v>8</v>
      </c>
      <c r="KO581" s="27" t="s">
        <v>8</v>
      </c>
      <c r="KP581" s="27" t="s">
        <v>7</v>
      </c>
      <c r="KQ581" s="27" t="s">
        <v>8</v>
      </c>
      <c r="KT581" s="27" t="s">
        <v>7</v>
      </c>
      <c r="LP581" s="27" t="s">
        <v>7</v>
      </c>
      <c r="LQ581" s="27" t="s">
        <v>8</v>
      </c>
      <c r="LR581" s="27" t="s">
        <v>7</v>
      </c>
      <c r="LS581" s="27" t="s">
        <v>8</v>
      </c>
      <c r="LT581" s="27" t="s">
        <v>7</v>
      </c>
      <c r="LU581" s="27" t="s">
        <v>8</v>
      </c>
      <c r="LV581" s="27" t="s">
        <v>7</v>
      </c>
      <c r="LW581" s="27" t="s">
        <v>8</v>
      </c>
      <c r="LX581" s="27" t="s">
        <v>7</v>
      </c>
      <c r="LY581" s="27" t="s">
        <v>8</v>
      </c>
      <c r="LZ581" s="27" t="s">
        <v>7</v>
      </c>
      <c r="MA581" s="27" t="s">
        <v>8</v>
      </c>
      <c r="MD581" s="27" t="s">
        <v>7</v>
      </c>
      <c r="ME581" s="27" t="s">
        <v>8</v>
      </c>
    </row>
    <row r="582" spans="1:344" x14ac:dyDescent="0.25">
      <c r="A582" s="7">
        <v>1.1040808032</v>
      </c>
      <c r="B582"/>
      <c r="C582"/>
      <c r="D582"/>
      <c r="E582"/>
      <c r="GI582" s="27" t="s">
        <v>8</v>
      </c>
      <c r="HP582" s="27" t="s">
        <v>7</v>
      </c>
      <c r="HQ582" s="27" t="s">
        <v>8</v>
      </c>
      <c r="HR582" s="27" t="s">
        <v>7</v>
      </c>
      <c r="HS582" s="27" t="s">
        <v>8</v>
      </c>
      <c r="HT582" s="27" t="s">
        <v>7</v>
      </c>
      <c r="HU582" s="27" t="s">
        <v>8</v>
      </c>
      <c r="IL582" s="27" t="s">
        <v>7</v>
      </c>
      <c r="IM582" s="27" t="s">
        <v>8</v>
      </c>
      <c r="IN582" s="27" t="s">
        <v>7</v>
      </c>
      <c r="IO582" s="27" t="s">
        <v>8</v>
      </c>
      <c r="IR582" s="27" t="s">
        <v>7</v>
      </c>
      <c r="IS582" s="27" t="s">
        <v>8</v>
      </c>
      <c r="IV582" s="27" t="s">
        <v>7</v>
      </c>
      <c r="IW582" s="27" t="s">
        <v>8</v>
      </c>
      <c r="IX582" s="27" t="s">
        <v>7</v>
      </c>
      <c r="JG582" s="27" t="s">
        <v>8</v>
      </c>
      <c r="JH582" s="27" t="s">
        <v>7</v>
      </c>
      <c r="JI582" s="27" t="s">
        <v>8</v>
      </c>
      <c r="JJ582" s="27" t="s">
        <v>7</v>
      </c>
      <c r="JK582" s="27" t="s">
        <v>8</v>
      </c>
      <c r="JZ582" s="27" t="s">
        <v>7</v>
      </c>
      <c r="KA582" s="27" t="s">
        <v>8</v>
      </c>
      <c r="KD582" s="27" t="s">
        <v>7</v>
      </c>
      <c r="KH582" s="27" t="s">
        <v>7</v>
      </c>
      <c r="KI582" s="27" t="s">
        <v>8</v>
      </c>
      <c r="KJ582" s="27" t="s">
        <v>7</v>
      </c>
      <c r="KO582" s="27" t="s">
        <v>8</v>
      </c>
      <c r="KP582" s="27" t="s">
        <v>7</v>
      </c>
      <c r="LP582" s="27" t="s">
        <v>7</v>
      </c>
      <c r="LQ582" s="27" t="s">
        <v>8</v>
      </c>
      <c r="LR582" s="27" t="s">
        <v>7</v>
      </c>
      <c r="LS582" s="27" t="s">
        <v>8</v>
      </c>
      <c r="LT582" s="27" t="s">
        <v>7</v>
      </c>
      <c r="LU582" s="27" t="s">
        <v>8</v>
      </c>
      <c r="LV582" s="27" t="s">
        <v>7</v>
      </c>
      <c r="LX582" s="27" t="s">
        <v>7</v>
      </c>
      <c r="LY582" s="27" t="s">
        <v>8</v>
      </c>
      <c r="LZ582" s="27" t="s">
        <v>7</v>
      </c>
      <c r="MA582" s="27" t="s">
        <v>8</v>
      </c>
      <c r="MD582" s="27" t="s">
        <v>7</v>
      </c>
      <c r="ME582" s="27" t="s">
        <v>8</v>
      </c>
      <c r="MF582" s="27" t="s">
        <v>7</v>
      </c>
    </row>
    <row r="583" spans="1:344" x14ac:dyDescent="0.25">
      <c r="A583" s="7">
        <v>1.08243216</v>
      </c>
      <c r="B583"/>
      <c r="C583"/>
      <c r="D583"/>
      <c r="E583"/>
      <c r="GI583" s="27" t="s">
        <v>8</v>
      </c>
      <c r="HP583" s="27" t="s">
        <v>7</v>
      </c>
      <c r="HQ583" s="27" t="s">
        <v>8</v>
      </c>
      <c r="HR583" s="27" t="s">
        <v>7</v>
      </c>
      <c r="HS583" s="27" t="s">
        <v>8</v>
      </c>
      <c r="HT583" s="27" t="s">
        <v>7</v>
      </c>
      <c r="HU583" s="27" t="s">
        <v>8</v>
      </c>
      <c r="IL583" s="27" t="s">
        <v>7</v>
      </c>
      <c r="IM583" s="27" t="s">
        <v>8</v>
      </c>
      <c r="IN583" s="27" t="s">
        <v>7</v>
      </c>
      <c r="IO583" s="27" t="s">
        <v>8</v>
      </c>
      <c r="IR583" s="27" t="s">
        <v>7</v>
      </c>
      <c r="IV583" s="27" t="s">
        <v>7</v>
      </c>
      <c r="IW583" s="27" t="s">
        <v>8</v>
      </c>
      <c r="IX583" s="27" t="s">
        <v>7</v>
      </c>
      <c r="JE583" s="27" t="s">
        <v>8</v>
      </c>
      <c r="JG583" s="27" t="s">
        <v>8</v>
      </c>
      <c r="JH583" s="27" t="s">
        <v>7</v>
      </c>
      <c r="JJ583" s="27" t="s">
        <v>7</v>
      </c>
      <c r="JK583" s="27" t="s">
        <v>8</v>
      </c>
      <c r="JZ583" s="27" t="s">
        <v>7</v>
      </c>
      <c r="KA583" s="27" t="s">
        <v>8</v>
      </c>
      <c r="KH583" s="27" t="s">
        <v>7</v>
      </c>
      <c r="KI583" s="27" t="s">
        <v>8</v>
      </c>
      <c r="KJ583" s="27" t="s">
        <v>7</v>
      </c>
      <c r="KO583" s="27" t="s">
        <v>8</v>
      </c>
      <c r="LP583" s="27" t="s">
        <v>7</v>
      </c>
      <c r="LR583" s="27" t="s">
        <v>7</v>
      </c>
      <c r="LS583" s="27" t="s">
        <v>8</v>
      </c>
      <c r="LT583" s="27" t="s">
        <v>7</v>
      </c>
      <c r="LX583" s="27" t="s">
        <v>7</v>
      </c>
      <c r="LY583" s="27" t="s">
        <v>8</v>
      </c>
      <c r="LZ583" s="27" t="s">
        <v>7</v>
      </c>
      <c r="MA583" s="27" t="s">
        <v>8</v>
      </c>
      <c r="MD583" s="27" t="s">
        <v>7</v>
      </c>
      <c r="ME583" s="27" t="s">
        <v>8</v>
      </c>
      <c r="MF583" s="27" t="s">
        <v>7</v>
      </c>
    </row>
    <row r="584" spans="1:344" x14ac:dyDescent="0.25">
      <c r="A584" s="7">
        <v>1.0612079999999999</v>
      </c>
      <c r="B584"/>
      <c r="C584"/>
      <c r="D584"/>
      <c r="E584"/>
      <c r="GI584" s="27" t="s">
        <v>8</v>
      </c>
      <c r="HP584" s="27" t="s">
        <v>7</v>
      </c>
      <c r="HQ584" s="27" t="s">
        <v>8</v>
      </c>
      <c r="HR584" s="27" t="s">
        <v>7</v>
      </c>
      <c r="HS584" s="27" t="s">
        <v>8</v>
      </c>
      <c r="HT584" s="27" t="s">
        <v>7</v>
      </c>
      <c r="HU584" s="27" t="s">
        <v>8</v>
      </c>
      <c r="IL584" s="27" t="s">
        <v>7</v>
      </c>
      <c r="IM584" s="27" t="s">
        <v>8</v>
      </c>
      <c r="IN584" s="27" t="s">
        <v>7</v>
      </c>
      <c r="IO584" s="27" t="s">
        <v>8</v>
      </c>
      <c r="IV584" s="27" t="s">
        <v>7</v>
      </c>
      <c r="IW584" s="27" t="s">
        <v>8</v>
      </c>
      <c r="IX584" s="27" t="s">
        <v>7</v>
      </c>
      <c r="JE584" s="27" t="s">
        <v>8</v>
      </c>
      <c r="JF584" s="27" t="s">
        <v>7</v>
      </c>
      <c r="JG584" s="27" t="s">
        <v>8</v>
      </c>
      <c r="JJ584" s="27" t="s">
        <v>7</v>
      </c>
      <c r="JK584" s="27" t="s">
        <v>8</v>
      </c>
      <c r="JZ584" s="27" t="s">
        <v>7</v>
      </c>
      <c r="KH584" s="27" t="s">
        <v>7</v>
      </c>
      <c r="KI584" s="27" t="s">
        <v>8</v>
      </c>
      <c r="KJ584" s="27" t="s">
        <v>7</v>
      </c>
      <c r="KK584" s="27" t="s">
        <v>8</v>
      </c>
      <c r="KM584" s="27" t="s">
        <v>8</v>
      </c>
      <c r="KO584" s="27" t="s">
        <v>8</v>
      </c>
      <c r="LR584" s="27" t="s">
        <v>7</v>
      </c>
      <c r="LS584" s="27" t="s">
        <v>8</v>
      </c>
      <c r="LX584" s="27" t="s">
        <v>7</v>
      </c>
      <c r="LY584" s="27" t="s">
        <v>8</v>
      </c>
      <c r="LZ584" s="27" t="s">
        <v>7</v>
      </c>
      <c r="MA584" s="27" t="s">
        <v>8</v>
      </c>
      <c r="MD584" s="27" t="s">
        <v>7</v>
      </c>
      <c r="ME584" s="27" t="s">
        <v>8</v>
      </c>
      <c r="MF584" s="27" t="s">
        <v>7</v>
      </c>
    </row>
    <row r="585" spans="1:344" x14ac:dyDescent="0.25">
      <c r="A585" s="7">
        <v>1.0404</v>
      </c>
      <c r="B585"/>
      <c r="C585"/>
      <c r="D585"/>
      <c r="E585"/>
      <c r="GI585" s="27" t="s">
        <v>8</v>
      </c>
      <c r="HP585" s="27" t="s">
        <v>7</v>
      </c>
      <c r="HQ585" s="27" t="s">
        <v>8</v>
      </c>
      <c r="HR585" s="27" t="s">
        <v>7</v>
      </c>
      <c r="HS585" s="27" t="s">
        <v>8</v>
      </c>
      <c r="HT585" s="27" t="s">
        <v>7</v>
      </c>
      <c r="HU585" s="27" t="s">
        <v>8</v>
      </c>
      <c r="IL585" s="27" t="s">
        <v>7</v>
      </c>
      <c r="IM585" s="27" t="s">
        <v>8</v>
      </c>
      <c r="IN585" s="27" t="s">
        <v>7</v>
      </c>
      <c r="IV585" s="27" t="s">
        <v>7</v>
      </c>
      <c r="IX585" s="27" t="s">
        <v>7</v>
      </c>
      <c r="IY585" s="27" t="s">
        <v>8</v>
      </c>
      <c r="JE585" s="27" t="s">
        <v>8</v>
      </c>
      <c r="JF585" s="27" t="s">
        <v>7</v>
      </c>
      <c r="JG585" s="27" t="s">
        <v>8</v>
      </c>
      <c r="JJ585" s="27" t="s">
        <v>7</v>
      </c>
      <c r="KH585" s="27" t="s">
        <v>7</v>
      </c>
      <c r="KI585" s="27" t="s">
        <v>8</v>
      </c>
      <c r="KJ585" s="27" t="s">
        <v>7</v>
      </c>
      <c r="KK585" s="27" t="s">
        <v>8</v>
      </c>
      <c r="KL585" s="27" t="s">
        <v>7</v>
      </c>
      <c r="KM585" s="27" t="s">
        <v>8</v>
      </c>
      <c r="KN585" s="27" t="s">
        <v>7</v>
      </c>
      <c r="KO585" s="27" t="s">
        <v>8</v>
      </c>
      <c r="LR585" s="27" t="s">
        <v>7</v>
      </c>
      <c r="LS585" s="27" t="s">
        <v>8</v>
      </c>
      <c r="LX585" s="27" t="s">
        <v>7</v>
      </c>
      <c r="LZ585" s="27" t="s">
        <v>7</v>
      </c>
      <c r="MA585" s="27" t="s">
        <v>8</v>
      </c>
      <c r="MD585" s="27" t="s">
        <v>7</v>
      </c>
      <c r="ME585" s="27" t="s">
        <v>8</v>
      </c>
      <c r="MF585" s="27" t="s">
        <v>7</v>
      </c>
    </row>
    <row r="586" spans="1:344" x14ac:dyDescent="0.25">
      <c r="A586" s="7">
        <v>1.02</v>
      </c>
      <c r="B586"/>
      <c r="C586"/>
      <c r="D586"/>
      <c r="E586"/>
      <c r="GI586" s="27" t="s">
        <v>8</v>
      </c>
      <c r="HP586" s="27" t="s">
        <v>7</v>
      </c>
      <c r="HQ586" s="27" t="s">
        <v>8</v>
      </c>
      <c r="HR586" s="27" t="s">
        <v>7</v>
      </c>
      <c r="HT586" s="27" t="s">
        <v>7</v>
      </c>
      <c r="HU586" s="27" t="s">
        <v>8</v>
      </c>
      <c r="IL586" s="27" t="s">
        <v>7</v>
      </c>
      <c r="IM586" s="27" t="s">
        <v>8</v>
      </c>
      <c r="IX586" s="27" t="s">
        <v>7</v>
      </c>
      <c r="IY586" s="27" t="s">
        <v>8</v>
      </c>
      <c r="IZ586" s="27" t="s">
        <v>7</v>
      </c>
      <c r="JE586" s="27" t="s">
        <v>8</v>
      </c>
      <c r="JF586" s="27" t="s">
        <v>7</v>
      </c>
      <c r="JG586" s="27" t="s">
        <v>8</v>
      </c>
      <c r="KH586" s="27" t="s">
        <v>7</v>
      </c>
      <c r="KI586" s="27" t="s">
        <v>8</v>
      </c>
      <c r="KJ586" s="27" t="s">
        <v>7</v>
      </c>
      <c r="KK586" s="27" t="s">
        <v>8</v>
      </c>
      <c r="KL586" s="27" t="s">
        <v>7</v>
      </c>
      <c r="KM586" s="27" t="s">
        <v>8</v>
      </c>
      <c r="KN586" s="27" t="s">
        <v>7</v>
      </c>
      <c r="KO586" s="27" t="s">
        <v>8</v>
      </c>
      <c r="LR586" s="27" t="s">
        <v>7</v>
      </c>
      <c r="LZ586" s="27" t="s">
        <v>7</v>
      </c>
      <c r="MD586" s="27" t="s">
        <v>7</v>
      </c>
      <c r="ME586" s="27" t="s">
        <v>8</v>
      </c>
      <c r="MF586" s="27" t="s">
        <v>7</v>
      </c>
    </row>
    <row r="587" spans="1:344" x14ac:dyDescent="0.25">
      <c r="A587" s="7">
        <v>1</v>
      </c>
      <c r="B587"/>
      <c r="C587"/>
      <c r="D587"/>
      <c r="E587" s="29" t="s">
        <v>8</v>
      </c>
      <c r="GI587" s="27" t="s">
        <v>8</v>
      </c>
      <c r="HP587" s="27" t="s">
        <v>7</v>
      </c>
      <c r="HQ587" s="27" t="s">
        <v>8</v>
      </c>
      <c r="HT587" s="27" t="s">
        <v>7</v>
      </c>
      <c r="HU587" s="27" t="s">
        <v>8</v>
      </c>
      <c r="IL587" s="27" t="s">
        <v>7</v>
      </c>
      <c r="IM587" s="27" t="s">
        <v>8</v>
      </c>
      <c r="IX587" s="27" t="s">
        <v>7</v>
      </c>
      <c r="IY587" s="27" t="s">
        <v>8</v>
      </c>
      <c r="IZ587" s="27" t="s">
        <v>7</v>
      </c>
      <c r="JA587" s="27" t="s">
        <v>8</v>
      </c>
      <c r="JC587" s="27" t="s">
        <v>8</v>
      </c>
      <c r="JE587" s="27" t="s">
        <v>8</v>
      </c>
      <c r="JF587" s="27" t="s">
        <v>7</v>
      </c>
      <c r="JG587" s="27" t="s">
        <v>8</v>
      </c>
      <c r="KH587" s="27" t="s">
        <v>7</v>
      </c>
      <c r="KI587" s="27" t="s">
        <v>8</v>
      </c>
      <c r="KJ587" s="27" t="s">
        <v>7</v>
      </c>
      <c r="KK587" s="27" t="s">
        <v>8</v>
      </c>
      <c r="KL587" s="27" t="s">
        <v>7</v>
      </c>
      <c r="KN587" s="27" t="s">
        <v>7</v>
      </c>
      <c r="MD587" s="27" t="s">
        <v>7</v>
      </c>
      <c r="ME587" s="27" t="s">
        <v>8</v>
      </c>
      <c r="MF587" s="27" t="s">
        <v>7</v>
      </c>
    </row>
    <row r="588" spans="1:344" x14ac:dyDescent="0.25">
      <c r="A588" s="7">
        <v>0.98039215686274506</v>
      </c>
      <c r="B588"/>
      <c r="C588"/>
      <c r="D588"/>
      <c r="E588"/>
      <c r="F588" s="27" t="s">
        <v>7</v>
      </c>
      <c r="GI588" s="27" t="s">
        <v>8</v>
      </c>
      <c r="HP588" s="27" t="s">
        <v>7</v>
      </c>
      <c r="HQ588" s="27" t="s">
        <v>8</v>
      </c>
      <c r="HT588" s="27" t="s">
        <v>7</v>
      </c>
      <c r="HU588" s="27" t="s">
        <v>8</v>
      </c>
      <c r="IL588" s="27" t="s">
        <v>7</v>
      </c>
      <c r="IM588" s="27" t="s">
        <v>8</v>
      </c>
      <c r="IX588" s="27" t="s">
        <v>7</v>
      </c>
      <c r="IZ588" s="27" t="s">
        <v>7</v>
      </c>
      <c r="JA588" s="27" t="s">
        <v>8</v>
      </c>
      <c r="JB588" s="27" t="s">
        <v>7</v>
      </c>
      <c r="JC588" s="27" t="s">
        <v>8</v>
      </c>
      <c r="JD588" s="27" t="s">
        <v>7</v>
      </c>
      <c r="JE588" s="27" t="s">
        <v>8</v>
      </c>
      <c r="JF588" s="27" t="s">
        <v>7</v>
      </c>
      <c r="JG588" s="27" t="s">
        <v>8</v>
      </c>
      <c r="KH588" s="27" t="s">
        <v>7</v>
      </c>
      <c r="KJ588" s="27" t="s">
        <v>7</v>
      </c>
      <c r="KK588" s="27" t="s">
        <v>8</v>
      </c>
      <c r="MD588" s="27" t="s">
        <v>7</v>
      </c>
      <c r="ME588" s="27" t="s">
        <v>8</v>
      </c>
      <c r="MF588" s="27" t="s">
        <v>7</v>
      </c>
    </row>
    <row r="589" spans="1:344" x14ac:dyDescent="0.25">
      <c r="A589" s="7">
        <v>0.96116878123798544</v>
      </c>
      <c r="B589"/>
      <c r="C589"/>
      <c r="D589"/>
      <c r="E589"/>
      <c r="F589" s="27" t="s">
        <v>7</v>
      </c>
      <c r="GI589" s="27" t="s">
        <v>8</v>
      </c>
      <c r="HP589" s="27" t="s">
        <v>7</v>
      </c>
      <c r="HQ589" s="27" t="s">
        <v>8</v>
      </c>
      <c r="HT589" s="27" t="s">
        <v>7</v>
      </c>
      <c r="HU589" s="27" t="s">
        <v>8</v>
      </c>
      <c r="IL589" s="27" t="s">
        <v>7</v>
      </c>
      <c r="IM589" s="27" t="s">
        <v>8</v>
      </c>
      <c r="IZ589" s="27" t="s">
        <v>7</v>
      </c>
      <c r="JA589" s="27" t="s">
        <v>8</v>
      </c>
      <c r="JB589" s="27" t="s">
        <v>7</v>
      </c>
      <c r="JC589" s="27" t="s">
        <v>8</v>
      </c>
      <c r="JD589" s="27" t="s">
        <v>7</v>
      </c>
      <c r="JE589" s="27" t="s">
        <v>8</v>
      </c>
      <c r="JF589" s="27" t="s">
        <v>7</v>
      </c>
      <c r="KJ589" s="27" t="s">
        <v>7</v>
      </c>
      <c r="MD589" s="27" t="s">
        <v>7</v>
      </c>
      <c r="MF589" s="27" t="s">
        <v>7</v>
      </c>
    </row>
    <row r="590" spans="1:344" x14ac:dyDescent="0.25">
      <c r="A590" s="7">
        <v>0.94232233454704462</v>
      </c>
      <c r="B590"/>
      <c r="C590"/>
      <c r="D590"/>
      <c r="E590"/>
      <c r="F590" s="27" t="s">
        <v>7</v>
      </c>
      <c r="GG590" s="27" t="s">
        <v>8</v>
      </c>
      <c r="GI590" s="27" t="s">
        <v>8</v>
      </c>
      <c r="HP590" s="27" t="s">
        <v>7</v>
      </c>
      <c r="HQ590" s="27" t="s">
        <v>8</v>
      </c>
      <c r="HT590" s="27" t="s">
        <v>7</v>
      </c>
      <c r="HU590" s="27" t="s">
        <v>8</v>
      </c>
      <c r="IL590" s="27" t="s">
        <v>7</v>
      </c>
      <c r="IM590" s="27" t="s">
        <v>8</v>
      </c>
      <c r="IZ590" s="27" t="s">
        <v>7</v>
      </c>
      <c r="JA590" s="27" t="s">
        <v>8</v>
      </c>
      <c r="JB590" s="27" t="s">
        <v>7</v>
      </c>
      <c r="JC590" s="27" t="s">
        <v>8</v>
      </c>
      <c r="JD590" s="27" t="s">
        <v>7</v>
      </c>
      <c r="MF590" s="27" t="s">
        <v>7</v>
      </c>
    </row>
    <row r="591" spans="1:344" x14ac:dyDescent="0.25">
      <c r="A591" s="7">
        <v>0.92384542602651432</v>
      </c>
      <c r="B591"/>
      <c r="C591"/>
      <c r="D591"/>
      <c r="E591"/>
      <c r="F591" s="27" t="s">
        <v>7</v>
      </c>
      <c r="GG591" s="27" t="s">
        <v>8</v>
      </c>
      <c r="GH591" s="27" t="s">
        <v>7</v>
      </c>
      <c r="GI591" s="27" t="s">
        <v>8</v>
      </c>
      <c r="HP591" s="27" t="s">
        <v>7</v>
      </c>
      <c r="HQ591" s="27" t="s">
        <v>8</v>
      </c>
      <c r="HT591" s="27" t="s">
        <v>7</v>
      </c>
      <c r="HU591" s="27" t="s">
        <v>8</v>
      </c>
      <c r="IL591" s="27" t="s">
        <v>7</v>
      </c>
      <c r="IM591" s="27" t="s">
        <v>8</v>
      </c>
      <c r="IZ591" s="27" t="s">
        <v>7</v>
      </c>
      <c r="JA591" s="27" t="s">
        <v>8</v>
      </c>
      <c r="JB591" s="18" t="s">
        <v>7</v>
      </c>
      <c r="JC591" s="27" t="s">
        <v>8</v>
      </c>
      <c r="MF591" s="27" t="s">
        <v>7</v>
      </c>
    </row>
    <row r="592" spans="1:344" x14ac:dyDescent="0.25">
      <c r="A592" s="7">
        <v>0.90573080982991594</v>
      </c>
      <c r="B592"/>
      <c r="C592"/>
      <c r="D592"/>
      <c r="E592"/>
      <c r="F592" s="27" t="s">
        <v>7</v>
      </c>
      <c r="GG592" s="27" t="s">
        <v>8</v>
      </c>
      <c r="GH592" s="27" t="s">
        <v>7</v>
      </c>
      <c r="GI592" s="27" t="s">
        <v>8</v>
      </c>
      <c r="HP592" s="27" t="s">
        <v>7</v>
      </c>
      <c r="HQ592" s="27" t="s">
        <v>8</v>
      </c>
      <c r="HT592" s="27" t="s">
        <v>7</v>
      </c>
      <c r="HU592" s="27" t="s">
        <v>8</v>
      </c>
      <c r="IL592" s="27" t="s">
        <v>7</v>
      </c>
      <c r="IZ592" s="27" t="s">
        <v>7</v>
      </c>
      <c r="JB592" s="27" t="s">
        <v>7</v>
      </c>
      <c r="JC592" s="27" t="s">
        <v>8</v>
      </c>
      <c r="MF592" s="27" t="s">
        <v>7</v>
      </c>
    </row>
    <row r="593" spans="1:347" x14ac:dyDescent="0.25">
      <c r="A593" s="7">
        <v>0.8879713821861922</v>
      </c>
      <c r="B593"/>
      <c r="C593"/>
      <c r="D593"/>
      <c r="E593"/>
      <c r="F593" s="27" t="s">
        <v>7</v>
      </c>
      <c r="GG593" s="27" t="s">
        <v>8</v>
      </c>
      <c r="GH593" s="27" t="s">
        <v>7</v>
      </c>
      <c r="GI593" s="27" t="s">
        <v>8</v>
      </c>
      <c r="HP593" s="27" t="s">
        <v>7</v>
      </c>
      <c r="HQ593" s="27" t="s">
        <v>8</v>
      </c>
      <c r="HT593" s="27" t="s">
        <v>7</v>
      </c>
      <c r="HU593" s="27" t="s">
        <v>8</v>
      </c>
      <c r="JB593" s="27" t="s">
        <v>7</v>
      </c>
      <c r="JC593" s="27" t="s">
        <v>8</v>
      </c>
      <c r="MF593" s="27" t="s">
        <v>7</v>
      </c>
    </row>
    <row r="594" spans="1:347" x14ac:dyDescent="0.25">
      <c r="A594" s="7">
        <v>0.87056017861391399</v>
      </c>
      <c r="B594"/>
      <c r="C594"/>
      <c r="D594"/>
      <c r="E594"/>
      <c r="F594" s="27" t="s">
        <v>7</v>
      </c>
      <c r="GG594" s="27" t="s">
        <v>8</v>
      </c>
      <c r="GH594" s="27" t="s">
        <v>7</v>
      </c>
      <c r="GI594" s="27" t="s">
        <v>8</v>
      </c>
      <c r="HP594" s="27" t="s">
        <v>7</v>
      </c>
      <c r="HQ594" s="27" t="s">
        <v>8</v>
      </c>
      <c r="HT594" s="27" t="s">
        <v>7</v>
      </c>
      <c r="HU594" s="27" t="s">
        <v>8</v>
      </c>
      <c r="JB594" s="27" t="s">
        <v>7</v>
      </c>
      <c r="JC594" s="27" t="s">
        <v>8</v>
      </c>
      <c r="MF594" s="27" t="s">
        <v>7</v>
      </c>
    </row>
    <row r="595" spans="1:347" x14ac:dyDescent="0.25">
      <c r="A595" s="7">
        <v>0.85349037119011173</v>
      </c>
      <c r="B595"/>
      <c r="C595"/>
      <c r="D595"/>
      <c r="E595"/>
      <c r="F595" s="27" t="s">
        <v>7</v>
      </c>
      <c r="GG595" s="27" t="s">
        <v>8</v>
      </c>
      <c r="GH595" s="27" t="s">
        <v>7</v>
      </c>
      <c r="GI595" s="27" t="s">
        <v>8</v>
      </c>
      <c r="HP595" s="27" t="s">
        <v>7</v>
      </c>
      <c r="HQ595" s="27" t="s">
        <v>8</v>
      </c>
      <c r="HT595" s="27" t="s">
        <v>7</v>
      </c>
      <c r="HU595" s="27" t="s">
        <v>8</v>
      </c>
      <c r="JB595" s="27" t="s">
        <v>7</v>
      </c>
      <c r="JC595" s="27" t="s">
        <v>8</v>
      </c>
      <c r="MF595" s="27" t="s">
        <v>7</v>
      </c>
    </row>
    <row r="596" spans="1:347" x14ac:dyDescent="0.25">
      <c r="A596" s="7">
        <v>0.83675526587265858</v>
      </c>
      <c r="B596"/>
      <c r="C596"/>
      <c r="D596"/>
      <c r="E596"/>
      <c r="F596" s="27" t="s">
        <v>7</v>
      </c>
      <c r="GG596" s="27" t="s">
        <v>8</v>
      </c>
      <c r="GH596" s="27" t="s">
        <v>7</v>
      </c>
      <c r="GI596" s="27" t="s">
        <v>8</v>
      </c>
      <c r="HP596" s="27" t="s">
        <v>7</v>
      </c>
      <c r="HQ596" s="27" t="s">
        <v>8</v>
      </c>
      <c r="HT596" s="27" t="s">
        <v>7</v>
      </c>
      <c r="HU596" s="27" t="s">
        <v>8</v>
      </c>
      <c r="JB596" s="27" t="s">
        <v>7</v>
      </c>
      <c r="JC596" s="27" t="s">
        <v>8</v>
      </c>
      <c r="MF596" s="27" t="s">
        <v>7</v>
      </c>
      <c r="MI596" s="27" t="s">
        <v>8</v>
      </c>
    </row>
    <row r="597" spans="1:347" x14ac:dyDescent="0.25">
      <c r="A597" s="7">
        <v>0.82034829987515545</v>
      </c>
      <c r="B597"/>
      <c r="C597"/>
      <c r="D597"/>
      <c r="E597"/>
      <c r="F597" s="27" t="s">
        <v>7</v>
      </c>
      <c r="GG597" s="27" t="s">
        <v>8</v>
      </c>
      <c r="GH597" s="27" t="s">
        <v>7</v>
      </c>
      <c r="GI597" s="27" t="s">
        <v>8</v>
      </c>
      <c r="HP597" s="27" t="s">
        <v>7</v>
      </c>
      <c r="HQ597" s="27" t="s">
        <v>8</v>
      </c>
      <c r="HT597" s="27" t="s">
        <v>7</v>
      </c>
      <c r="HU597" s="27" t="s">
        <v>8</v>
      </c>
      <c r="JB597" s="27" t="s">
        <v>7</v>
      </c>
      <c r="MF597" s="27" t="s">
        <v>7</v>
      </c>
      <c r="MG597" s="27" t="s">
        <v>8</v>
      </c>
      <c r="MI597" s="27" t="s">
        <v>8</v>
      </c>
    </row>
    <row r="598" spans="1:347" x14ac:dyDescent="0.25">
      <c r="A598" s="7">
        <v>0.80426303909328967</v>
      </c>
      <c r="B598"/>
      <c r="C598"/>
      <c r="D598"/>
      <c r="E598"/>
      <c r="F598" s="27" t="s">
        <v>7</v>
      </c>
      <c r="GG598" s="27" t="s">
        <v>8</v>
      </c>
      <c r="GH598" s="27" t="s">
        <v>7</v>
      </c>
      <c r="GI598" s="27" t="s">
        <v>8</v>
      </c>
      <c r="HP598" s="27" t="s">
        <v>7</v>
      </c>
      <c r="HT598" s="27" t="s">
        <v>7</v>
      </c>
      <c r="HU598" s="27" t="s">
        <v>8</v>
      </c>
      <c r="MF598" s="27" t="s">
        <v>7</v>
      </c>
      <c r="MG598" s="27" t="s">
        <v>8</v>
      </c>
      <c r="MH598" s="27" t="s">
        <v>7</v>
      </c>
      <c r="MI598" s="27" t="s">
        <v>8</v>
      </c>
    </row>
    <row r="599" spans="1:347" x14ac:dyDescent="0.25">
      <c r="A599" s="7">
        <v>0.78849317558165644</v>
      </c>
      <c r="B599"/>
      <c r="C599"/>
      <c r="D599"/>
      <c r="E599"/>
      <c r="F599" s="27" t="s">
        <v>7</v>
      </c>
      <c r="GG599" s="27" t="s">
        <v>8</v>
      </c>
      <c r="GH599" s="27" t="s">
        <v>7</v>
      </c>
      <c r="GI599" s="27" t="s">
        <v>8</v>
      </c>
      <c r="HT599" s="27" t="s">
        <v>7</v>
      </c>
      <c r="HU599" s="27" t="s">
        <v>8</v>
      </c>
      <c r="MF599" s="27" t="s">
        <v>7</v>
      </c>
      <c r="MG599" s="27" t="s">
        <v>8</v>
      </c>
      <c r="MH599" s="27" t="s">
        <v>7</v>
      </c>
      <c r="MI599" s="27" t="s">
        <v>8</v>
      </c>
    </row>
    <row r="600" spans="1:347" x14ac:dyDescent="0.25">
      <c r="A600" s="7">
        <v>0.77303252508005538</v>
      </c>
      <c r="B600"/>
      <c r="C600"/>
      <c r="D600"/>
      <c r="E600"/>
      <c r="F600" s="27" t="s">
        <v>7</v>
      </c>
      <c r="GG600" s="27" t="s">
        <v>8</v>
      </c>
      <c r="GH600" s="27" t="s">
        <v>7</v>
      </c>
      <c r="GI600" s="27" t="s">
        <v>8</v>
      </c>
      <c r="HT600" s="27" t="s">
        <v>7</v>
      </c>
      <c r="HU600" s="27" t="s">
        <v>8</v>
      </c>
      <c r="MF600" s="27" t="s">
        <v>7</v>
      </c>
      <c r="MG600" s="27" t="s">
        <v>8</v>
      </c>
      <c r="MH600" s="27" t="s">
        <v>7</v>
      </c>
      <c r="MI600" s="27" t="s">
        <v>8</v>
      </c>
    </row>
    <row r="601" spans="1:347" x14ac:dyDescent="0.25">
      <c r="A601" s="7">
        <v>0.75787502458828959</v>
      </c>
      <c r="B601"/>
      <c r="C601"/>
      <c r="D601"/>
      <c r="E601"/>
      <c r="F601" s="27" t="s">
        <v>7</v>
      </c>
      <c r="GG601" s="27" t="s">
        <v>8</v>
      </c>
      <c r="GH601" s="27" t="s">
        <v>7</v>
      </c>
      <c r="HT601" s="27" t="s">
        <v>7</v>
      </c>
      <c r="HU601" s="27" t="s">
        <v>8</v>
      </c>
      <c r="MF601" s="27" t="s">
        <v>7</v>
      </c>
      <c r="MG601" s="27" t="s">
        <v>8</v>
      </c>
      <c r="MH601" s="27" t="s">
        <v>7</v>
      </c>
      <c r="MI601" s="27" t="s">
        <v>8</v>
      </c>
    </row>
    <row r="602" spans="1:347" x14ac:dyDescent="0.25">
      <c r="A602" s="7">
        <v>0.74301472998851925</v>
      </c>
      <c r="B602"/>
      <c r="C602"/>
      <c r="D602"/>
      <c r="E602"/>
      <c r="F602" s="27" t="s">
        <v>7</v>
      </c>
      <c r="GG602" s="27" t="s">
        <v>8</v>
      </c>
      <c r="HT602" s="27" t="s">
        <v>7</v>
      </c>
      <c r="HU602" s="27" t="s">
        <v>8</v>
      </c>
      <c r="MF602" s="27" t="s">
        <v>7</v>
      </c>
      <c r="MG602" s="27" t="s">
        <v>8</v>
      </c>
      <c r="MH602" s="27" t="s">
        <v>7</v>
      </c>
      <c r="MI602" s="27" t="s">
        <v>8</v>
      </c>
    </row>
    <row r="603" spans="1:347" x14ac:dyDescent="0.25">
      <c r="A603" s="7">
        <v>0.72844581371423456</v>
      </c>
      <c r="B603"/>
      <c r="C603"/>
      <c r="D603"/>
      <c r="E603"/>
      <c r="F603" s="27" t="s">
        <v>7</v>
      </c>
      <c r="GG603" s="27" t="s">
        <v>8</v>
      </c>
      <c r="HT603" s="27" t="s">
        <v>7</v>
      </c>
      <c r="HU603" s="27" t="s">
        <v>8</v>
      </c>
      <c r="MF603" s="27" t="s">
        <v>7</v>
      </c>
      <c r="MG603" s="27" t="s">
        <v>8</v>
      </c>
      <c r="MH603" s="27" t="s">
        <v>7</v>
      </c>
      <c r="MI603" s="27" t="s">
        <v>8</v>
      </c>
    </row>
    <row r="604" spans="1:347" x14ac:dyDescent="0.25">
      <c r="A604" s="7">
        <v>0.71416256246493581</v>
      </c>
      <c r="B604"/>
      <c r="C604"/>
      <c r="D604"/>
      <c r="E604"/>
      <c r="F604" s="27" t="s">
        <v>7</v>
      </c>
      <c r="GG604" s="27" t="s">
        <v>8</v>
      </c>
      <c r="HT604" s="27" t="s">
        <v>7</v>
      </c>
      <c r="HU604" s="27" t="s">
        <v>8</v>
      </c>
      <c r="MF604" s="27" t="s">
        <v>7</v>
      </c>
      <c r="MG604" s="27" t="s">
        <v>8</v>
      </c>
      <c r="MH604" s="27" t="s">
        <v>7</v>
      </c>
      <c r="MI604" s="27" t="s">
        <v>8</v>
      </c>
    </row>
    <row r="605" spans="1:347" x14ac:dyDescent="0.25">
      <c r="A605" s="7">
        <v>0.7001593749656233</v>
      </c>
      <c r="B605"/>
      <c r="C605"/>
      <c r="D605"/>
      <c r="E605"/>
      <c r="F605" s="27" t="s">
        <v>7</v>
      </c>
      <c r="GG605" s="27" t="s">
        <v>8</v>
      </c>
      <c r="HT605" s="27" t="s">
        <v>7</v>
      </c>
      <c r="HU605" s="27" t="s">
        <v>8</v>
      </c>
      <c r="MF605" s="27" t="s">
        <v>7</v>
      </c>
      <c r="MG605" s="27" t="s">
        <v>8</v>
      </c>
      <c r="MH605" s="27" t="s">
        <v>7</v>
      </c>
      <c r="MI605" s="27" t="s">
        <v>8</v>
      </c>
    </row>
    <row r="606" spans="1:347" x14ac:dyDescent="0.25">
      <c r="A606" s="7">
        <v>0.68643075977021883</v>
      </c>
      <c r="B606"/>
      <c r="C606"/>
      <c r="D606"/>
      <c r="E606"/>
      <c r="F606" s="27" t="s">
        <v>7</v>
      </c>
      <c r="GG606" s="27" t="s">
        <v>8</v>
      </c>
      <c r="HT606" s="27" t="s">
        <v>7</v>
      </c>
      <c r="MF606" s="27" t="s">
        <v>7</v>
      </c>
      <c r="MH606" s="27" t="s">
        <v>7</v>
      </c>
    </row>
    <row r="607" spans="1:347" x14ac:dyDescent="0.25">
      <c r="A607" s="7">
        <v>0.67297133310805768</v>
      </c>
      <c r="B607"/>
      <c r="C607"/>
      <c r="D607"/>
      <c r="E607"/>
      <c r="F607" s="27" t="s">
        <v>7</v>
      </c>
      <c r="GG607" s="27" t="s">
        <v>8</v>
      </c>
    </row>
    <row r="608" spans="1:347" x14ac:dyDescent="0.25">
      <c r="A608" s="7">
        <v>0.65977581677260566</v>
      </c>
      <c r="B608"/>
      <c r="C608"/>
      <c r="D608"/>
      <c r="E608"/>
      <c r="F608" s="27" t="s">
        <v>7</v>
      </c>
      <c r="GG608" s="27" t="s">
        <v>8</v>
      </c>
    </row>
    <row r="609" spans="1:189" x14ac:dyDescent="0.25">
      <c r="A609" s="7">
        <v>0.64683903605157422</v>
      </c>
      <c r="B609"/>
      <c r="C609"/>
      <c r="D609"/>
      <c r="E609"/>
      <c r="F609" s="27" t="s">
        <v>7</v>
      </c>
      <c r="GG609" s="27" t="s">
        <v>8</v>
      </c>
    </row>
    <row r="610" spans="1:189" x14ac:dyDescent="0.25">
      <c r="A610" s="7">
        <v>0.63415591769762181</v>
      </c>
      <c r="B610"/>
      <c r="C610"/>
      <c r="D610"/>
      <c r="E610"/>
      <c r="F610" s="27" t="s">
        <v>7</v>
      </c>
      <c r="GG610" s="27" t="s">
        <v>8</v>
      </c>
    </row>
    <row r="611" spans="1:189" x14ac:dyDescent="0.25">
      <c r="A611" s="7">
        <v>0.62172148793884496</v>
      </c>
      <c r="B611"/>
      <c r="C611"/>
      <c r="D611"/>
      <c r="E611"/>
      <c r="F611" s="27" t="s">
        <v>7</v>
      </c>
      <c r="GG611" s="27" t="s">
        <v>8</v>
      </c>
    </row>
    <row r="612" spans="1:189" x14ac:dyDescent="0.25">
      <c r="A612" s="7">
        <v>0.60953087052827937</v>
      </c>
      <c r="B612"/>
      <c r="C612"/>
      <c r="D612"/>
      <c r="E612"/>
      <c r="F612" s="27" t="s">
        <v>7</v>
      </c>
      <c r="GG612" s="27" t="s">
        <v>8</v>
      </c>
    </row>
    <row r="613" spans="1:189" x14ac:dyDescent="0.25">
      <c r="A613" s="7">
        <v>0.59757928483164646</v>
      </c>
      <c r="B613"/>
      <c r="C613"/>
      <c r="D613"/>
      <c r="E613"/>
      <c r="F613" s="27" t="s">
        <v>7</v>
      </c>
      <c r="GG613" s="27" t="s">
        <v>8</v>
      </c>
    </row>
    <row r="614" spans="1:189" x14ac:dyDescent="0.25">
      <c r="A614" s="7">
        <v>0.58586204395259456</v>
      </c>
      <c r="B614"/>
      <c r="C614"/>
      <c r="D614"/>
      <c r="E614"/>
      <c r="F614" s="27" t="s">
        <v>7</v>
      </c>
      <c r="FY614" s="27" t="s">
        <v>8</v>
      </c>
      <c r="GG614" s="27" t="s">
        <v>8</v>
      </c>
    </row>
    <row r="615" spans="1:189" x14ac:dyDescent="0.25">
      <c r="A615" s="7">
        <v>0.57437455289470052</v>
      </c>
      <c r="B615"/>
      <c r="C615"/>
      <c r="D615"/>
      <c r="E615"/>
      <c r="F615" s="27" t="s">
        <v>7</v>
      </c>
      <c r="FY615" s="27" t="s">
        <v>8</v>
      </c>
      <c r="FZ615" s="27" t="s">
        <v>7</v>
      </c>
      <c r="GA615" s="27" t="s">
        <v>8</v>
      </c>
      <c r="GC615" s="27" t="s">
        <v>8</v>
      </c>
      <c r="GG615" s="27" t="s">
        <v>8</v>
      </c>
    </row>
    <row r="616" spans="1:189" x14ac:dyDescent="0.25">
      <c r="A616" s="7">
        <v>0.56311230675951029</v>
      </c>
      <c r="B616"/>
      <c r="C616"/>
      <c r="D616"/>
      <c r="E616"/>
      <c r="F616" s="27" t="s">
        <v>7</v>
      </c>
      <c r="FY616" s="27" t="s">
        <v>8</v>
      </c>
      <c r="FZ616" s="27" t="s">
        <v>7</v>
      </c>
      <c r="GA616" s="27" t="s">
        <v>8</v>
      </c>
      <c r="GB616" s="27" t="s">
        <v>7</v>
      </c>
      <c r="GC616" s="27" t="s">
        <v>8</v>
      </c>
      <c r="GD616" s="27" t="s">
        <v>7</v>
      </c>
      <c r="GG616" s="27" t="s">
        <v>8</v>
      </c>
    </row>
    <row r="617" spans="1:189" x14ac:dyDescent="0.25">
      <c r="A617" s="7">
        <v>0.55207088897991208</v>
      </c>
      <c r="B617"/>
      <c r="C617"/>
      <c r="D617"/>
      <c r="E617"/>
      <c r="F617" s="27" t="s">
        <v>7</v>
      </c>
      <c r="FY617" s="27" t="s">
        <v>8</v>
      </c>
      <c r="FZ617" s="27" t="s">
        <v>7</v>
      </c>
      <c r="GA617" s="27" t="s">
        <v>8</v>
      </c>
      <c r="GB617" s="27" t="s">
        <v>7</v>
      </c>
      <c r="GC617" s="27" t="s">
        <v>8</v>
      </c>
      <c r="GD617" s="27" t="s">
        <v>7</v>
      </c>
      <c r="GG617" s="27" t="s">
        <v>8</v>
      </c>
    </row>
    <row r="618" spans="1:189" x14ac:dyDescent="0.25">
      <c r="A618" s="7">
        <v>0.54124596958814908</v>
      </c>
      <c r="B618"/>
      <c r="C618"/>
      <c r="D618"/>
      <c r="E618"/>
      <c r="F618" s="27" t="s">
        <v>7</v>
      </c>
      <c r="FY618" s="27" t="s">
        <v>8</v>
      </c>
      <c r="FZ618" s="27" t="s">
        <v>7</v>
      </c>
      <c r="GA618" s="27" t="s">
        <v>8</v>
      </c>
      <c r="GB618" s="27" t="s">
        <v>7</v>
      </c>
      <c r="GC618" s="27" t="s">
        <v>8</v>
      </c>
      <c r="GD618" s="27" t="s">
        <v>7</v>
      </c>
      <c r="GG618" s="27" t="s">
        <v>8</v>
      </c>
    </row>
    <row r="619" spans="1:189" x14ac:dyDescent="0.25">
      <c r="A619" s="7">
        <v>0.53063330351779314</v>
      </c>
      <c r="B619"/>
      <c r="C619"/>
      <c r="D619"/>
      <c r="E619"/>
      <c r="F619" s="27" t="s">
        <v>7</v>
      </c>
      <c r="FY619" s="27" t="s">
        <v>8</v>
      </c>
      <c r="FZ619" s="27" t="s">
        <v>7</v>
      </c>
      <c r="GA619" s="27" t="s">
        <v>8</v>
      </c>
      <c r="GB619" s="27" t="s">
        <v>7</v>
      </c>
      <c r="GC619" s="27" t="s">
        <v>8</v>
      </c>
      <c r="GD619" s="27" t="s">
        <v>7</v>
      </c>
      <c r="GG619" s="27" t="s">
        <v>8</v>
      </c>
    </row>
    <row r="620" spans="1:189" x14ac:dyDescent="0.25">
      <c r="A620" s="7">
        <v>0.52022872893901284</v>
      </c>
      <c r="B620"/>
      <c r="C620"/>
      <c r="D620"/>
      <c r="E620"/>
      <c r="F620" s="27" t="s">
        <v>7</v>
      </c>
      <c r="FY620" s="27" t="s">
        <v>8</v>
      </c>
      <c r="FZ620" s="27" t="s">
        <v>7</v>
      </c>
      <c r="GA620" s="27" t="s">
        <v>8</v>
      </c>
      <c r="GB620" s="27" t="s">
        <v>7</v>
      </c>
      <c r="GD620" s="27" t="s">
        <v>7</v>
      </c>
      <c r="GG620" s="27" t="s">
        <v>8</v>
      </c>
    </row>
    <row r="621" spans="1:189" x14ac:dyDescent="0.25">
      <c r="A621" s="7">
        <v>0.51002816562648323</v>
      </c>
      <c r="B621"/>
      <c r="C621"/>
      <c r="D621"/>
      <c r="E621"/>
      <c r="F621" s="27" t="s">
        <v>7</v>
      </c>
      <c r="FY621" s="27" t="s">
        <v>8</v>
      </c>
      <c r="FZ621" s="27" t="s">
        <v>7</v>
      </c>
      <c r="GA621" s="27" t="s">
        <v>8</v>
      </c>
      <c r="GD621" s="27" t="s">
        <v>7</v>
      </c>
      <c r="GE621" s="27" t="s">
        <v>8</v>
      </c>
      <c r="GG621" s="27" t="s">
        <v>8</v>
      </c>
    </row>
    <row r="622" spans="1:189" x14ac:dyDescent="0.25">
      <c r="A622" s="7">
        <v>0.50002761335929735</v>
      </c>
      <c r="B622"/>
      <c r="C622"/>
      <c r="D622"/>
      <c r="E622"/>
      <c r="F622" s="27" t="s">
        <v>7</v>
      </c>
      <c r="FY622" s="27" t="s">
        <v>8</v>
      </c>
      <c r="FZ622" s="27" t="s">
        <v>7</v>
      </c>
      <c r="GA622" s="27" t="s">
        <v>8</v>
      </c>
      <c r="GD622" s="27" t="s">
        <v>7</v>
      </c>
      <c r="GE622" s="27" t="s">
        <v>8</v>
      </c>
      <c r="GF622" s="27" t="s">
        <v>7</v>
      </c>
      <c r="GG622" s="27" t="s">
        <v>8</v>
      </c>
    </row>
    <row r="623" spans="1:189" x14ac:dyDescent="0.25">
      <c r="A623" s="7">
        <v>0.49022315035225228</v>
      </c>
      <c r="B623"/>
      <c r="C623"/>
      <c r="D623"/>
      <c r="E623"/>
      <c r="F623" s="27" t="s">
        <v>7</v>
      </c>
      <c r="FY623" s="27" t="s">
        <v>8</v>
      </c>
      <c r="FZ623" s="27" t="s">
        <v>7</v>
      </c>
      <c r="GA623" s="27" t="s">
        <v>8</v>
      </c>
      <c r="GD623" s="27" t="s">
        <v>7</v>
      </c>
      <c r="GE623" s="27" t="s">
        <v>8</v>
      </c>
      <c r="GF623" s="27" t="s">
        <v>7</v>
      </c>
      <c r="GG623" s="27" t="s">
        <v>8</v>
      </c>
    </row>
    <row r="624" spans="1:189" x14ac:dyDescent="0.25">
      <c r="A624" s="7">
        <v>0.48061093171789437</v>
      </c>
      <c r="B624"/>
      <c r="C624"/>
      <c r="D624"/>
      <c r="E624"/>
      <c r="F624" s="27" t="s">
        <v>7</v>
      </c>
      <c r="FY624" s="27" t="s">
        <v>8</v>
      </c>
      <c r="FZ624" s="27" t="s">
        <v>7</v>
      </c>
      <c r="GA624" s="27" t="s">
        <v>8</v>
      </c>
      <c r="GD624" s="27" t="s">
        <v>7</v>
      </c>
      <c r="GE624" s="27" t="s">
        <v>8</v>
      </c>
      <c r="GF624" s="27" t="s">
        <v>7</v>
      </c>
      <c r="GG624" s="27" t="s">
        <v>8</v>
      </c>
    </row>
    <row r="625" spans="1:189" x14ac:dyDescent="0.25">
      <c r="A625" s="7">
        <v>0.47118718795871994</v>
      </c>
      <c r="B625"/>
      <c r="C625"/>
      <c r="D625"/>
      <c r="E625"/>
      <c r="F625" s="27" t="s">
        <v>7</v>
      </c>
      <c r="FY625" s="27" t="s">
        <v>8</v>
      </c>
      <c r="FZ625" s="27" t="s">
        <v>7</v>
      </c>
      <c r="GA625" s="27" t="s">
        <v>8</v>
      </c>
      <c r="GD625" s="27" t="s">
        <v>7</v>
      </c>
      <c r="GE625" s="27" t="s">
        <v>8</v>
      </c>
      <c r="GF625" s="27" t="s">
        <v>7</v>
      </c>
      <c r="GG625" s="27" t="s">
        <v>8</v>
      </c>
    </row>
    <row r="626" spans="1:189" x14ac:dyDescent="0.25">
      <c r="A626" s="7">
        <v>0.46194822348894116</v>
      </c>
      <c r="B626"/>
      <c r="C626"/>
      <c r="D626"/>
      <c r="E626"/>
      <c r="F626" s="27" t="s">
        <v>7</v>
      </c>
      <c r="FY626" s="27" t="s">
        <v>8</v>
      </c>
      <c r="FZ626" s="27" t="s">
        <v>7</v>
      </c>
      <c r="GA626" s="27" t="s">
        <v>8</v>
      </c>
      <c r="GD626" s="27" t="s">
        <v>7</v>
      </c>
      <c r="GF626" s="27" t="s">
        <v>7</v>
      </c>
      <c r="GG626" s="27" t="s">
        <v>8</v>
      </c>
    </row>
    <row r="627" spans="1:189" x14ac:dyDescent="0.25">
      <c r="A627" s="7">
        <v>0.45289041518523643</v>
      </c>
      <c r="B627"/>
      <c r="C627"/>
      <c r="D627"/>
      <c r="E627"/>
      <c r="F627" s="27" t="s">
        <v>7</v>
      </c>
      <c r="FY627" s="27" t="s">
        <v>8</v>
      </c>
      <c r="FZ627" s="27" t="s">
        <v>7</v>
      </c>
      <c r="GA627" s="27" t="s">
        <v>8</v>
      </c>
      <c r="GF627" s="27" t="s">
        <v>7</v>
      </c>
      <c r="GG627" s="27" t="s">
        <v>8</v>
      </c>
    </row>
    <row r="628" spans="1:189" x14ac:dyDescent="0.25">
      <c r="A628" s="7">
        <v>0.44401021096591808</v>
      </c>
      <c r="B628"/>
      <c r="C628"/>
      <c r="D628"/>
      <c r="E628"/>
      <c r="F628" s="27" t="s">
        <v>7</v>
      </c>
      <c r="FY628" s="27" t="s">
        <v>8</v>
      </c>
      <c r="FZ628" s="27" t="s">
        <v>7</v>
      </c>
      <c r="GA628" s="27" t="s">
        <v>8</v>
      </c>
      <c r="GF628" s="27" t="s">
        <v>7</v>
      </c>
      <c r="GG628" s="27" t="s">
        <v>8</v>
      </c>
    </row>
    <row r="629" spans="1:189" x14ac:dyDescent="0.25">
      <c r="A629" s="7">
        <v>0.4353041283979589</v>
      </c>
      <c r="B629"/>
      <c r="C629"/>
      <c r="D629"/>
      <c r="E629"/>
      <c r="F629" s="27" t="s">
        <v>7</v>
      </c>
      <c r="FY629" s="27" t="s">
        <v>8</v>
      </c>
      <c r="FZ629" s="27" t="s">
        <v>7</v>
      </c>
      <c r="GA629" s="27" t="s">
        <v>8</v>
      </c>
      <c r="GF629" s="27" t="s">
        <v>7</v>
      </c>
      <c r="GG629" s="27" t="s">
        <v>8</v>
      </c>
    </row>
    <row r="630" spans="1:189" x14ac:dyDescent="0.25">
      <c r="A630" s="7">
        <v>0.4267687533313323</v>
      </c>
      <c r="B630"/>
      <c r="C630"/>
      <c r="D630"/>
      <c r="E630"/>
      <c r="F630" s="27" t="s">
        <v>7</v>
      </c>
      <c r="FW630" s="27" t="s">
        <v>8</v>
      </c>
      <c r="FY630" s="27" t="s">
        <v>8</v>
      </c>
      <c r="FZ630" s="27" t="s">
        <v>7</v>
      </c>
      <c r="GA630" s="27" t="s">
        <v>8</v>
      </c>
      <c r="GF630" s="27" t="s">
        <v>7</v>
      </c>
      <c r="GG630" s="27" t="s">
        <v>8</v>
      </c>
    </row>
    <row r="631" spans="1:189" x14ac:dyDescent="0.25">
      <c r="A631" s="7">
        <v>0.41840073856012971</v>
      </c>
      <c r="B631"/>
      <c r="C631"/>
      <c r="D631"/>
      <c r="E631"/>
      <c r="F631" s="27" t="s">
        <v>7</v>
      </c>
      <c r="FW631" s="27" t="s">
        <v>8</v>
      </c>
      <c r="FX631" s="27" t="s">
        <v>7</v>
      </c>
      <c r="FY631" s="27" t="s">
        <v>8</v>
      </c>
      <c r="FZ631" s="27" t="s">
        <v>7</v>
      </c>
      <c r="GA631" s="27" t="s">
        <v>8</v>
      </c>
      <c r="GF631" s="27" t="s">
        <v>7</v>
      </c>
      <c r="GG631" s="27" t="s">
        <v>8</v>
      </c>
    </row>
    <row r="632" spans="1:189" x14ac:dyDescent="0.25">
      <c r="A632" s="7">
        <v>0.41019680250993112</v>
      </c>
      <c r="B632"/>
      <c r="C632"/>
      <c r="D632"/>
      <c r="E632"/>
      <c r="F632" s="27" t="s">
        <v>7</v>
      </c>
      <c r="FW632" s="27" t="s">
        <v>8</v>
      </c>
      <c r="FX632" s="27" t="s">
        <v>7</v>
      </c>
      <c r="FY632" s="27" t="s">
        <v>8</v>
      </c>
      <c r="FZ632" s="27" t="s">
        <v>7</v>
      </c>
      <c r="GF632" s="27" t="s">
        <v>7</v>
      </c>
      <c r="GG632" s="27" t="s">
        <v>8</v>
      </c>
    </row>
    <row r="633" spans="1:189" x14ac:dyDescent="0.25">
      <c r="A633" s="7">
        <v>0.40215372795091286</v>
      </c>
      <c r="B633"/>
      <c r="C633"/>
      <c r="D633"/>
      <c r="E633"/>
      <c r="F633" s="27" t="s">
        <v>7</v>
      </c>
      <c r="FW633" s="27" t="s">
        <v>8</v>
      </c>
      <c r="FX633" s="27" t="s">
        <v>7</v>
      </c>
      <c r="FY633" s="27" t="s">
        <v>8</v>
      </c>
      <c r="GF633" s="27" t="s">
        <v>7</v>
      </c>
    </row>
    <row r="634" spans="1:189" x14ac:dyDescent="0.25">
      <c r="A634" s="7">
        <v>0.39426836073618904</v>
      </c>
      <c r="B634"/>
      <c r="C634"/>
      <c r="D634"/>
      <c r="E634"/>
      <c r="F634" s="27" t="s">
        <v>7</v>
      </c>
      <c r="FO634" s="27" t="s">
        <v>8</v>
      </c>
      <c r="FW634" s="27" t="s">
        <v>8</v>
      </c>
      <c r="FX634" s="27" t="s">
        <v>7</v>
      </c>
      <c r="FY634" s="27" t="s">
        <v>8</v>
      </c>
    </row>
    <row r="635" spans="1:189" x14ac:dyDescent="0.25">
      <c r="A635" s="7">
        <v>0.38653760856489122</v>
      </c>
      <c r="B635"/>
      <c r="C635"/>
      <c r="D635"/>
      <c r="E635"/>
      <c r="F635" s="27" t="s">
        <v>7</v>
      </c>
      <c r="FO635" s="27" t="s">
        <v>8</v>
      </c>
      <c r="FP635" s="27" t="s">
        <v>7</v>
      </c>
      <c r="FW635" s="27" t="s">
        <v>8</v>
      </c>
      <c r="FX635" s="27" t="s">
        <v>7</v>
      </c>
      <c r="FY635" s="27" t="s">
        <v>8</v>
      </c>
    </row>
    <row r="636" spans="1:189" x14ac:dyDescent="0.25">
      <c r="A636" s="7">
        <v>0.37895843976950117</v>
      </c>
      <c r="B636"/>
      <c r="C636"/>
      <c r="D636"/>
      <c r="E636"/>
      <c r="F636" s="27" t="s">
        <v>7</v>
      </c>
      <c r="FO636" s="27" t="s">
        <v>8</v>
      </c>
      <c r="FP636" s="27" t="s">
        <v>7</v>
      </c>
      <c r="FW636" s="27" t="s">
        <v>8</v>
      </c>
      <c r="FX636" s="27" t="s">
        <v>7</v>
      </c>
      <c r="FY636" s="27" t="s">
        <v>8</v>
      </c>
    </row>
    <row r="637" spans="1:189" x14ac:dyDescent="0.25">
      <c r="A637" s="7">
        <v>0.37152788212696197</v>
      </c>
      <c r="B637"/>
      <c r="C637"/>
      <c r="D637"/>
      <c r="E637"/>
      <c r="F637" s="27" t="s">
        <v>7</v>
      </c>
      <c r="FO637" s="27" t="s">
        <v>8</v>
      </c>
      <c r="FP637" s="27" t="s">
        <v>7</v>
      </c>
      <c r="FW637" s="27" t="s">
        <v>8</v>
      </c>
      <c r="FX637" s="27" t="s">
        <v>7</v>
      </c>
      <c r="FY637" s="27" t="s">
        <v>8</v>
      </c>
    </row>
    <row r="638" spans="1:189" x14ac:dyDescent="0.25">
      <c r="A638" s="7">
        <v>0.36424302169310002</v>
      </c>
      <c r="B638"/>
      <c r="C638"/>
      <c r="D638"/>
      <c r="E638"/>
      <c r="F638" s="27" t="s">
        <v>7</v>
      </c>
      <c r="FO638" s="27" t="s">
        <v>8</v>
      </c>
      <c r="FP638" s="27" t="s">
        <v>7</v>
      </c>
      <c r="FW638" s="27" t="s">
        <v>8</v>
      </c>
      <c r="FX638" s="27" t="s">
        <v>7</v>
      </c>
      <c r="FY638" s="27" t="s">
        <v>8</v>
      </c>
    </row>
    <row r="639" spans="1:189" x14ac:dyDescent="0.25">
      <c r="A639" s="7">
        <v>0.35710100165990194</v>
      </c>
      <c r="B639"/>
      <c r="C639"/>
      <c r="D639"/>
      <c r="E639"/>
      <c r="F639" s="27" t="s">
        <v>7</v>
      </c>
      <c r="FO639" s="27" t="s">
        <v>8</v>
      </c>
      <c r="FP639" s="27" t="s">
        <v>7</v>
      </c>
      <c r="FW639" s="27" t="s">
        <v>8</v>
      </c>
      <c r="FX639" s="27" t="s">
        <v>7</v>
      </c>
      <c r="FY639" s="27" t="s">
        <v>8</v>
      </c>
    </row>
    <row r="640" spans="1:189" x14ac:dyDescent="0.25">
      <c r="A640" s="7">
        <v>0.35009902123519804</v>
      </c>
      <c r="B640"/>
      <c r="C640"/>
      <c r="D640"/>
      <c r="E640"/>
      <c r="F640" s="27" t="s">
        <v>7</v>
      </c>
      <c r="FO640" s="27" t="s">
        <v>8</v>
      </c>
      <c r="FP640" s="27" t="s">
        <v>7</v>
      </c>
      <c r="FW640" s="27" t="s">
        <v>8</v>
      </c>
      <c r="FX640" s="27" t="s">
        <v>7</v>
      </c>
      <c r="FY640" s="27" t="s">
        <v>8</v>
      </c>
    </row>
    <row r="641" spans="1:181" x14ac:dyDescent="0.25">
      <c r="A641" s="7">
        <v>0.34323433454431179</v>
      </c>
      <c r="B641"/>
      <c r="C641"/>
      <c r="D641"/>
      <c r="E641"/>
      <c r="F641" s="27" t="s">
        <v>7</v>
      </c>
      <c r="FO641" s="27" t="s">
        <v>8</v>
      </c>
      <c r="FP641" s="27" t="s">
        <v>7</v>
      </c>
      <c r="FW641" s="27" t="s">
        <v>8</v>
      </c>
      <c r="FX641" s="27" t="s">
        <v>7</v>
      </c>
      <c r="FY641" s="27" t="s">
        <v>8</v>
      </c>
    </row>
    <row r="642" spans="1:181" x14ac:dyDescent="0.25">
      <c r="A642" s="7">
        <v>0.33650424955324681</v>
      </c>
      <c r="B642"/>
      <c r="C642"/>
      <c r="D642"/>
      <c r="E642"/>
      <c r="F642" s="27" t="s">
        <v>7</v>
      </c>
      <c r="FO642" s="27" t="s">
        <v>8</v>
      </c>
      <c r="FP642" s="27" t="s">
        <v>7</v>
      </c>
      <c r="FW642" s="27" t="s">
        <v>8</v>
      </c>
      <c r="FX642" s="27" t="s">
        <v>7</v>
      </c>
    </row>
    <row r="643" spans="1:181" x14ac:dyDescent="0.25">
      <c r="A643" s="7">
        <v>0.3299061270129871</v>
      </c>
      <c r="B643"/>
      <c r="C643"/>
      <c r="D643"/>
      <c r="E643"/>
      <c r="F643" s="27" t="s">
        <v>7</v>
      </c>
      <c r="FO643" s="27" t="s">
        <v>8</v>
      </c>
      <c r="FP643" s="27" t="s">
        <v>7</v>
      </c>
      <c r="FU643" s="27" t="s">
        <v>8</v>
      </c>
      <c r="FW643" s="27" t="s">
        <v>8</v>
      </c>
    </row>
    <row r="644" spans="1:181" x14ac:dyDescent="0.25">
      <c r="A644" s="7">
        <v>0.32343737942449713</v>
      </c>
      <c r="B644"/>
      <c r="C644"/>
      <c r="D644"/>
      <c r="E644"/>
      <c r="F644" s="27" t="s">
        <v>7</v>
      </c>
      <c r="FO644" s="27" t="s">
        <v>8</v>
      </c>
      <c r="FP644" s="27" t="s">
        <v>7</v>
      </c>
      <c r="FQ644" s="27" t="s">
        <v>8</v>
      </c>
      <c r="FU644" s="27" t="s">
        <v>8</v>
      </c>
      <c r="FV644" s="27" t="s">
        <v>7</v>
      </c>
      <c r="FW644" s="27" t="s">
        <v>8</v>
      </c>
    </row>
    <row r="645" spans="1:181" x14ac:dyDescent="0.25">
      <c r="A645" s="7">
        <v>0.31709547002401678</v>
      </c>
      <c r="B645"/>
      <c r="C645"/>
      <c r="D645"/>
      <c r="E645"/>
      <c r="F645" s="27" t="s">
        <v>7</v>
      </c>
      <c r="FO645" s="27" t="s">
        <v>8</v>
      </c>
      <c r="FP645" s="27" t="s">
        <v>7</v>
      </c>
      <c r="FQ645" s="27" t="s">
        <v>8</v>
      </c>
      <c r="FR645" s="27" t="s">
        <v>7</v>
      </c>
      <c r="FU645" s="27" t="s">
        <v>8</v>
      </c>
      <c r="FV645" s="27" t="s">
        <v>7</v>
      </c>
      <c r="FW645" s="27" t="s">
        <v>8</v>
      </c>
    </row>
    <row r="646" spans="1:181" x14ac:dyDescent="0.25">
      <c r="A646" s="7">
        <v>0.31087791178825175</v>
      </c>
      <c r="B646"/>
      <c r="C646"/>
      <c r="D646"/>
      <c r="E646"/>
      <c r="F646" s="27" t="s">
        <v>7</v>
      </c>
      <c r="FO646" s="27" t="s">
        <v>8</v>
      </c>
      <c r="FP646" s="27" t="s">
        <v>7</v>
      </c>
      <c r="FQ646" s="27" t="s">
        <v>8</v>
      </c>
      <c r="FR646" s="27" t="s">
        <v>7</v>
      </c>
      <c r="FU646" s="27" t="s">
        <v>8</v>
      </c>
      <c r="FV646" s="27" t="s">
        <v>7</v>
      </c>
      <c r="FW646" s="27" t="s">
        <v>8</v>
      </c>
    </row>
    <row r="647" spans="1:181" x14ac:dyDescent="0.25">
      <c r="A647" s="7">
        <v>0.30478226645907036</v>
      </c>
      <c r="B647"/>
      <c r="C647"/>
      <c r="D647"/>
      <c r="E647"/>
      <c r="F647" s="27" t="s">
        <v>7</v>
      </c>
      <c r="FO647" s="27" t="s">
        <v>8</v>
      </c>
      <c r="FP647" s="27" t="s">
        <v>7</v>
      </c>
      <c r="FQ647" s="27" t="s">
        <v>8</v>
      </c>
      <c r="FR647" s="27" t="s">
        <v>7</v>
      </c>
      <c r="FU647" s="27" t="s">
        <v>8</v>
      </c>
      <c r="FV647" s="27" t="s">
        <v>7</v>
      </c>
      <c r="FW647" s="27" t="s">
        <v>8</v>
      </c>
    </row>
    <row r="648" spans="1:181" x14ac:dyDescent="0.25">
      <c r="A648" s="7">
        <v>0.29880614358732388</v>
      </c>
      <c r="B648"/>
      <c r="C648"/>
      <c r="D648"/>
      <c r="E648"/>
      <c r="F648" s="27" t="s">
        <v>7</v>
      </c>
      <c r="FO648" s="27" t="s">
        <v>8</v>
      </c>
      <c r="FP648" s="27" t="s">
        <v>7</v>
      </c>
      <c r="FQ648" s="27" t="s">
        <v>8</v>
      </c>
      <c r="FR648" s="27" t="s">
        <v>7</v>
      </c>
      <c r="FS648" s="27" t="s">
        <v>8</v>
      </c>
      <c r="FU648" s="27" t="s">
        <v>8</v>
      </c>
      <c r="FV648" s="27" t="s">
        <v>7</v>
      </c>
      <c r="FW648" s="27" t="s">
        <v>8</v>
      </c>
    </row>
    <row r="649" spans="1:181" x14ac:dyDescent="0.25">
      <c r="A649" s="7">
        <v>0.2929471995954156</v>
      </c>
      <c r="B649"/>
      <c r="C649"/>
      <c r="D649"/>
      <c r="E649"/>
      <c r="F649" s="27" t="s">
        <v>7</v>
      </c>
      <c r="FO649" s="27" t="s">
        <v>8</v>
      </c>
      <c r="FP649" s="27" t="s">
        <v>7</v>
      </c>
      <c r="FQ649" s="27" t="s">
        <v>8</v>
      </c>
      <c r="FR649" s="27" t="s">
        <v>7</v>
      </c>
      <c r="FS649" s="27" t="s">
        <v>8</v>
      </c>
      <c r="FT649" s="27" t="s">
        <v>7</v>
      </c>
      <c r="FU649" s="27" t="s">
        <v>8</v>
      </c>
      <c r="FV649" s="27" t="s">
        <v>7</v>
      </c>
      <c r="FW649" s="27" t="s">
        <v>8</v>
      </c>
    </row>
    <row r="650" spans="1:181" x14ac:dyDescent="0.25">
      <c r="A650" s="7">
        <v>0.28720313685825055</v>
      </c>
      <c r="B650"/>
      <c r="C650"/>
      <c r="D650"/>
      <c r="E650"/>
      <c r="F650" s="27" t="s">
        <v>7</v>
      </c>
      <c r="FO650" s="27" t="s">
        <v>8</v>
      </c>
      <c r="FP650" s="27" t="s">
        <v>7</v>
      </c>
      <c r="FQ650" s="27" t="s">
        <v>8</v>
      </c>
      <c r="FR650" s="27" t="s">
        <v>7</v>
      </c>
      <c r="FS650" s="27" t="s">
        <v>8</v>
      </c>
      <c r="FT650" s="27" t="s">
        <v>7</v>
      </c>
      <c r="FU650" s="27" t="s">
        <v>8</v>
      </c>
      <c r="FV650" s="27" t="s">
        <v>7</v>
      </c>
      <c r="FW650" s="27" t="s">
        <v>8</v>
      </c>
    </row>
    <row r="651" spans="1:181" x14ac:dyDescent="0.25">
      <c r="A651" s="7">
        <v>0.28157170280220645</v>
      </c>
      <c r="B651"/>
      <c r="C651"/>
      <c r="D651"/>
      <c r="E651"/>
      <c r="F651" s="27" t="s">
        <v>7</v>
      </c>
      <c r="FO651" s="27" t="s">
        <v>8</v>
      </c>
      <c r="FP651" s="27" t="s">
        <v>7</v>
      </c>
      <c r="FQ651" s="27" t="s">
        <v>8</v>
      </c>
      <c r="FR651" s="27" t="s">
        <v>7</v>
      </c>
      <c r="FS651" s="27" t="s">
        <v>8</v>
      </c>
      <c r="FT651" s="27" t="s">
        <v>7</v>
      </c>
      <c r="FU651" s="27" t="s">
        <v>8</v>
      </c>
      <c r="FV651" s="27" t="s">
        <v>7</v>
      </c>
      <c r="FW651" s="27" t="s">
        <v>8</v>
      </c>
    </row>
    <row r="652" spans="1:181" x14ac:dyDescent="0.25">
      <c r="A652" s="7">
        <v>0.27605068902177105</v>
      </c>
      <c r="B652"/>
      <c r="C652"/>
      <c r="D652"/>
      <c r="E652"/>
      <c r="F652" s="27" t="s">
        <v>7</v>
      </c>
      <c r="FO652" s="27" t="s">
        <v>8</v>
      </c>
      <c r="FP652" s="27" t="s">
        <v>7</v>
      </c>
      <c r="FQ652" s="27" t="s">
        <v>8</v>
      </c>
      <c r="FR652" s="27" t="s">
        <v>7</v>
      </c>
      <c r="FS652" s="27" t="s">
        <v>8</v>
      </c>
      <c r="FT652" s="27" t="s">
        <v>7</v>
      </c>
      <c r="FU652" s="27" t="s">
        <v>8</v>
      </c>
      <c r="FV652" s="27" t="s">
        <v>7</v>
      </c>
      <c r="FW652" s="27" t="s">
        <v>8</v>
      </c>
    </row>
    <row r="653" spans="1:181" x14ac:dyDescent="0.25">
      <c r="A653" s="7">
        <v>0.27063793041350104</v>
      </c>
      <c r="B653"/>
      <c r="C653"/>
      <c r="D653"/>
      <c r="E653"/>
      <c r="F653" s="27" t="s">
        <v>7</v>
      </c>
      <c r="FO653" s="27" t="s">
        <v>8</v>
      </c>
      <c r="FP653" s="27" t="s">
        <v>7</v>
      </c>
      <c r="FQ653" s="27" t="s">
        <v>8</v>
      </c>
      <c r="FR653" s="27" t="s">
        <v>7</v>
      </c>
      <c r="FS653" s="27" t="s">
        <v>8</v>
      </c>
      <c r="FT653" s="27" t="s">
        <v>7</v>
      </c>
      <c r="FU653" s="27" t="s">
        <v>8</v>
      </c>
      <c r="FV653" s="27" t="s">
        <v>7</v>
      </c>
      <c r="FW653" s="27" t="s">
        <v>8</v>
      </c>
    </row>
    <row r="654" spans="1:181" x14ac:dyDescent="0.25">
      <c r="A654" s="7">
        <v>0.26533130432696184</v>
      </c>
      <c r="B654"/>
      <c r="C654"/>
      <c r="D654"/>
      <c r="E654"/>
      <c r="F654" s="27" t="s">
        <v>7</v>
      </c>
      <c r="FK654" s="27" t="s">
        <v>8</v>
      </c>
      <c r="FO654" s="27" t="s">
        <v>8</v>
      </c>
      <c r="FP654" s="27" t="s">
        <v>7</v>
      </c>
      <c r="FQ654" s="27" t="s">
        <v>8</v>
      </c>
      <c r="FR654" s="27" t="s">
        <v>7</v>
      </c>
      <c r="FS654" s="27" t="s">
        <v>8</v>
      </c>
      <c r="FT654" s="27" t="s">
        <v>7</v>
      </c>
      <c r="FU654" s="27" t="s">
        <v>8</v>
      </c>
      <c r="FV654" s="27" t="s">
        <v>7</v>
      </c>
      <c r="FW654" s="27" t="s">
        <v>8</v>
      </c>
    </row>
    <row r="655" spans="1:181" x14ac:dyDescent="0.25">
      <c r="A655" s="7">
        <v>0.26012872973231554</v>
      </c>
      <c r="B655"/>
      <c r="C655"/>
      <c r="D655"/>
      <c r="E655"/>
      <c r="F655" s="27" t="s">
        <v>7</v>
      </c>
      <c r="FK655" s="27" t="s">
        <v>8</v>
      </c>
      <c r="FL655" s="27" t="s">
        <v>7</v>
      </c>
      <c r="FO655" s="27" t="s">
        <v>8</v>
      </c>
      <c r="FP655" s="27" t="s">
        <v>7</v>
      </c>
      <c r="FQ655" s="27" t="s">
        <v>8</v>
      </c>
      <c r="FR655" s="27" t="s">
        <v>7</v>
      </c>
      <c r="FS655" s="27" t="s">
        <v>8</v>
      </c>
      <c r="FT655" s="27" t="s">
        <v>7</v>
      </c>
      <c r="FU655" s="27" t="s">
        <v>8</v>
      </c>
      <c r="FV655" s="27" t="s">
        <v>7</v>
      </c>
      <c r="FW655" s="27" t="s">
        <v>8</v>
      </c>
    </row>
    <row r="656" spans="1:181" x14ac:dyDescent="0.25">
      <c r="A656" s="7">
        <v>0.25502816640423093</v>
      </c>
      <c r="B656"/>
      <c r="C656"/>
      <c r="D656"/>
      <c r="E656"/>
      <c r="F656" s="27" t="s">
        <v>7</v>
      </c>
      <c r="FK656" s="27" t="s">
        <v>8</v>
      </c>
      <c r="FL656" s="27" t="s">
        <v>7</v>
      </c>
      <c r="FO656" s="27" t="s">
        <v>8</v>
      </c>
      <c r="FP656" s="27" t="s">
        <v>7</v>
      </c>
      <c r="FQ656" s="27" t="s">
        <v>8</v>
      </c>
      <c r="FR656" s="27" t="s">
        <v>7</v>
      </c>
      <c r="FS656" s="27" t="s">
        <v>8</v>
      </c>
      <c r="FT656" s="27" t="s">
        <v>7</v>
      </c>
      <c r="FU656" s="27" t="s">
        <v>8</v>
      </c>
      <c r="FV656" s="27" t="s">
        <v>7</v>
      </c>
      <c r="FW656" s="27" t="s">
        <v>8</v>
      </c>
    </row>
    <row r="657" spans="1:179" x14ac:dyDescent="0.25">
      <c r="A657" s="7">
        <v>0.25002761412179503</v>
      </c>
      <c r="B657"/>
      <c r="C657"/>
      <c r="D657"/>
      <c r="E657"/>
      <c r="F657" s="27" t="s">
        <v>7</v>
      </c>
      <c r="FK657" s="27" t="s">
        <v>8</v>
      </c>
      <c r="FL657" s="27" t="s">
        <v>7</v>
      </c>
      <c r="FO657" s="27" t="s">
        <v>8</v>
      </c>
      <c r="FP657" s="27" t="s">
        <v>7</v>
      </c>
      <c r="FQ657" s="27" t="s">
        <v>8</v>
      </c>
      <c r="FR657" s="27" t="s">
        <v>7</v>
      </c>
      <c r="FT657" s="27" t="s">
        <v>7</v>
      </c>
      <c r="FU657" s="27" t="s">
        <v>8</v>
      </c>
      <c r="FV657" s="27" t="s">
        <v>7</v>
      </c>
      <c r="FW657" s="27" t="s">
        <v>8</v>
      </c>
    </row>
    <row r="658" spans="1:179" x14ac:dyDescent="0.25">
      <c r="A658" s="7">
        <v>0.24512511188411276</v>
      </c>
      <c r="B658"/>
      <c r="C658"/>
      <c r="D658"/>
      <c r="E658"/>
      <c r="F658" s="27" t="s">
        <v>7</v>
      </c>
      <c r="FK658" s="27" t="s">
        <v>8</v>
      </c>
      <c r="FL658" s="27" t="s">
        <v>7</v>
      </c>
      <c r="FO658" s="27" t="s">
        <v>8</v>
      </c>
      <c r="FP658" s="27" t="s">
        <v>7</v>
      </c>
      <c r="FQ658" s="27" t="s">
        <v>8</v>
      </c>
      <c r="FT658" s="27" t="s">
        <v>7</v>
      </c>
      <c r="FU658" s="27" t="s">
        <v>8</v>
      </c>
      <c r="FV658" s="27" t="s">
        <v>7</v>
      </c>
      <c r="FW658" s="27" t="s">
        <v>8</v>
      </c>
    </row>
    <row r="659" spans="1:179" x14ac:dyDescent="0.25">
      <c r="A659" s="7">
        <v>0.24031873714128701</v>
      </c>
      <c r="B659"/>
      <c r="C659"/>
      <c r="D659"/>
      <c r="E659"/>
      <c r="F659" s="27" t="s">
        <v>7</v>
      </c>
      <c r="FK659" s="27" t="s">
        <v>8</v>
      </c>
      <c r="FL659" s="27" t="s">
        <v>7</v>
      </c>
      <c r="FO659" s="27" t="s">
        <v>8</v>
      </c>
      <c r="FP659" s="27" t="s">
        <v>7</v>
      </c>
      <c r="FQ659" s="27" t="s">
        <v>8</v>
      </c>
      <c r="FT659" s="27" t="s">
        <v>7</v>
      </c>
      <c r="FU659" s="27" t="s">
        <v>8</v>
      </c>
      <c r="FV659" s="27" t="s">
        <v>7</v>
      </c>
    </row>
    <row r="660" spans="1:179" x14ac:dyDescent="0.25">
      <c r="A660" s="7">
        <v>0.23560660504047748</v>
      </c>
      <c r="B660"/>
      <c r="C660"/>
      <c r="D660"/>
      <c r="E660"/>
      <c r="F660" s="27" t="s">
        <v>7</v>
      </c>
      <c r="FK660" s="27" t="s">
        <v>8</v>
      </c>
      <c r="FL660" s="27" t="s">
        <v>7</v>
      </c>
      <c r="FO660" s="27" t="s">
        <v>8</v>
      </c>
      <c r="FP660" s="27" t="s">
        <v>7</v>
      </c>
      <c r="FQ660" s="27" t="s">
        <v>8</v>
      </c>
      <c r="FT660" s="27" t="s">
        <v>7</v>
      </c>
      <c r="FU660" s="27" t="s">
        <v>8</v>
      </c>
    </row>
    <row r="661" spans="1:179" x14ac:dyDescent="0.25">
      <c r="A661" s="7">
        <v>0.23098686768674265</v>
      </c>
      <c r="B661"/>
      <c r="C661"/>
      <c r="D661"/>
      <c r="E661"/>
      <c r="F661" s="27" t="s">
        <v>7</v>
      </c>
      <c r="FK661" s="27" t="s">
        <v>8</v>
      </c>
      <c r="FL661" s="27" t="s">
        <v>7</v>
      </c>
      <c r="FO661" s="27" t="s">
        <v>8</v>
      </c>
      <c r="FP661" s="27" t="s">
        <v>7</v>
      </c>
      <c r="FT661" s="27" t="s">
        <v>7</v>
      </c>
    </row>
    <row r="662" spans="1:179" x14ac:dyDescent="0.25">
      <c r="A662" s="7">
        <v>0.22645771341837515</v>
      </c>
      <c r="B662"/>
      <c r="C662"/>
      <c r="D662"/>
      <c r="E662"/>
      <c r="F662" s="27" t="s">
        <v>7</v>
      </c>
      <c r="AA662" s="27" t="s">
        <v>8</v>
      </c>
      <c r="FI662" s="27" t="s">
        <v>8</v>
      </c>
      <c r="FK662" s="27" t="s">
        <v>8</v>
      </c>
      <c r="FL662" s="27" t="s">
        <v>7</v>
      </c>
      <c r="FO662" s="27" t="s">
        <v>8</v>
      </c>
    </row>
    <row r="663" spans="1:179" x14ac:dyDescent="0.25">
      <c r="A663" s="7">
        <v>0.22201736609644623</v>
      </c>
      <c r="B663"/>
      <c r="C663"/>
      <c r="D663"/>
      <c r="E663"/>
      <c r="F663" s="27" t="s">
        <v>7</v>
      </c>
      <c r="AA663" s="27" t="s">
        <v>8</v>
      </c>
      <c r="AB663" s="27" t="s">
        <v>7</v>
      </c>
      <c r="FI663" s="27" t="s">
        <v>8</v>
      </c>
      <c r="FJ663" s="27" t="s">
        <v>7</v>
      </c>
      <c r="FK663" s="27" t="s">
        <v>8</v>
      </c>
      <c r="FL663" s="27" t="s">
        <v>7</v>
      </c>
      <c r="FO663" s="27" t="s">
        <v>8</v>
      </c>
    </row>
    <row r="664" spans="1:179" x14ac:dyDescent="0.25">
      <c r="A664" s="7">
        <v>0.21766408440828061</v>
      </c>
      <c r="B664"/>
      <c r="C664"/>
      <c r="D664"/>
      <c r="E664"/>
      <c r="F664" s="27" t="s">
        <v>7</v>
      </c>
      <c r="AA664" s="27" t="s">
        <v>8</v>
      </c>
      <c r="AB664" s="27" t="s">
        <v>7</v>
      </c>
      <c r="FI664" s="27" t="s">
        <v>8</v>
      </c>
      <c r="FJ664" s="27" t="s">
        <v>7</v>
      </c>
      <c r="FK664" s="27" t="s">
        <v>8</v>
      </c>
      <c r="FL664" s="27" t="s">
        <v>7</v>
      </c>
      <c r="FM664" s="27" t="s">
        <v>8</v>
      </c>
      <c r="FO664" s="27" t="s">
        <v>8</v>
      </c>
    </row>
    <row r="665" spans="1:179" x14ac:dyDescent="0.25">
      <c r="A665" s="7">
        <v>0.21339616118458882</v>
      </c>
      <c r="B665"/>
      <c r="C665"/>
      <c r="D665"/>
      <c r="E665"/>
      <c r="F665" s="27" t="s">
        <v>7</v>
      </c>
      <c r="AA665" s="27" t="s">
        <v>8</v>
      </c>
      <c r="AB665" s="27" t="s">
        <v>7</v>
      </c>
      <c r="FI665" s="27" t="s">
        <v>8</v>
      </c>
      <c r="FJ665" s="27" t="s">
        <v>7</v>
      </c>
      <c r="FK665" s="27" t="s">
        <v>8</v>
      </c>
      <c r="FL665" s="27" t="s">
        <v>7</v>
      </c>
      <c r="FM665" s="27" t="s">
        <v>8</v>
      </c>
      <c r="FN665" s="27" t="s">
        <v>7</v>
      </c>
      <c r="FO665" s="27" t="s">
        <v>8</v>
      </c>
    </row>
    <row r="666" spans="1:179" x14ac:dyDescent="0.25">
      <c r="A666" s="7">
        <v>0.20921192272998904</v>
      </c>
      <c r="B666"/>
      <c r="C666"/>
      <c r="D666"/>
      <c r="E666"/>
      <c r="F666" s="27" t="s">
        <v>7</v>
      </c>
      <c r="AA666" s="27" t="s">
        <v>8</v>
      </c>
      <c r="AB666" s="27" t="s">
        <v>7</v>
      </c>
      <c r="AC666" s="27" t="s">
        <v>8</v>
      </c>
      <c r="FI666" s="27" t="s">
        <v>8</v>
      </c>
      <c r="FJ666" s="27" t="s">
        <v>7</v>
      </c>
      <c r="FK666" s="27" t="s">
        <v>8</v>
      </c>
      <c r="FL666" s="27" t="s">
        <v>7</v>
      </c>
      <c r="FM666" s="27" t="s">
        <v>8</v>
      </c>
      <c r="FN666" s="27" t="s">
        <v>7</v>
      </c>
      <c r="FO666" s="27" t="s">
        <v>8</v>
      </c>
    </row>
    <row r="667" spans="1:179" x14ac:dyDescent="0.25">
      <c r="A667" s="7">
        <v>0.20510972816665593</v>
      </c>
      <c r="B667"/>
      <c r="C667"/>
      <c r="D667"/>
      <c r="E667"/>
      <c r="F667" s="27" t="s">
        <v>7</v>
      </c>
      <c r="AA667" s="27" t="s">
        <v>8</v>
      </c>
      <c r="AB667" s="27" t="s">
        <v>7</v>
      </c>
      <c r="AC667" s="27" t="s">
        <v>8</v>
      </c>
      <c r="AD667" s="27" t="s">
        <v>7</v>
      </c>
      <c r="FI667" s="27" t="s">
        <v>8</v>
      </c>
      <c r="FJ667" s="27" t="s">
        <v>7</v>
      </c>
      <c r="FK667" s="27" t="s">
        <v>8</v>
      </c>
      <c r="FL667" s="27" t="s">
        <v>7</v>
      </c>
      <c r="FM667" s="27" t="s">
        <v>8</v>
      </c>
      <c r="FN667" s="27" t="s">
        <v>7</v>
      </c>
      <c r="FO667" s="27" t="s">
        <v>8</v>
      </c>
    </row>
    <row r="668" spans="1:179" x14ac:dyDescent="0.25">
      <c r="A668" s="7">
        <v>0.20108796879083912</v>
      </c>
      <c r="B668"/>
      <c r="C668"/>
      <c r="D668"/>
      <c r="E668"/>
      <c r="F668" s="27" t="s">
        <v>7</v>
      </c>
      <c r="AA668" s="27" t="s">
        <v>8</v>
      </c>
      <c r="AB668" s="27" t="s">
        <v>7</v>
      </c>
      <c r="AC668" s="27" t="s">
        <v>8</v>
      </c>
      <c r="AD668" s="27" t="s">
        <v>7</v>
      </c>
      <c r="FI668" s="27" t="s">
        <v>8</v>
      </c>
      <c r="FJ668" s="27" t="s">
        <v>7</v>
      </c>
      <c r="FK668" s="27" t="s">
        <v>8</v>
      </c>
      <c r="FL668" s="27" t="s">
        <v>7</v>
      </c>
      <c r="FM668" s="27" t="s">
        <v>8</v>
      </c>
      <c r="FN668" s="27" t="s">
        <v>7</v>
      </c>
      <c r="FO668" s="27" t="s">
        <v>8</v>
      </c>
    </row>
    <row r="669" spans="1:179" x14ac:dyDescent="0.25">
      <c r="A669" s="7">
        <v>0.19714506744199917</v>
      </c>
      <c r="B669"/>
      <c r="C669"/>
      <c r="D669"/>
      <c r="E669"/>
      <c r="F669" s="27" t="s">
        <v>7</v>
      </c>
      <c r="AA669" s="27" t="s">
        <v>8</v>
      </c>
      <c r="AB669" s="27" t="s">
        <v>7</v>
      </c>
      <c r="AC669" s="27" t="s">
        <v>8</v>
      </c>
      <c r="AD669" s="27" t="s">
        <v>7</v>
      </c>
      <c r="FI669" s="27" t="s">
        <v>8</v>
      </c>
      <c r="FJ669" s="27" t="s">
        <v>7</v>
      </c>
      <c r="FK669" s="27" t="s">
        <v>8</v>
      </c>
      <c r="FL669" s="27" t="s">
        <v>7</v>
      </c>
      <c r="FM669" s="27" t="s">
        <v>8</v>
      </c>
      <c r="FN669" s="27" t="s">
        <v>7</v>
      </c>
    </row>
    <row r="670" spans="1:179" x14ac:dyDescent="0.25">
      <c r="A670" s="7">
        <v>0.19327947788431293</v>
      </c>
      <c r="B670"/>
      <c r="C670"/>
      <c r="D670"/>
      <c r="E670"/>
      <c r="F670" s="27" t="s">
        <v>7</v>
      </c>
      <c r="AA670" s="27" t="s">
        <v>8</v>
      </c>
      <c r="AB670" s="27" t="s">
        <v>7</v>
      </c>
      <c r="AC670" s="27" t="s">
        <v>8</v>
      </c>
      <c r="AD670" s="27" t="s">
        <v>7</v>
      </c>
      <c r="FI670" s="27" t="s">
        <v>8</v>
      </c>
      <c r="FJ670" s="27" t="s">
        <v>7</v>
      </c>
      <c r="FK670" s="27" t="s">
        <v>8</v>
      </c>
      <c r="FL670" s="27" t="s">
        <v>7</v>
      </c>
      <c r="FM670" s="27" t="s">
        <v>8</v>
      </c>
    </row>
    <row r="671" spans="1:179" x14ac:dyDescent="0.25">
      <c r="A671" s="7">
        <v>0.18948968420030682</v>
      </c>
      <c r="B671"/>
      <c r="C671"/>
      <c r="D671"/>
      <c r="E671"/>
      <c r="F671" s="27" t="s">
        <v>7</v>
      </c>
      <c r="AA671" s="27" t="s">
        <v>8</v>
      </c>
      <c r="AB671" s="27" t="s">
        <v>7</v>
      </c>
      <c r="AC671" s="27" t="s">
        <v>8</v>
      </c>
      <c r="AD671" s="27" t="s">
        <v>7</v>
      </c>
      <c r="CM671" s="27" t="s">
        <v>8</v>
      </c>
      <c r="FI671" s="27" t="s">
        <v>8</v>
      </c>
      <c r="FJ671" s="27" t="s">
        <v>7</v>
      </c>
      <c r="FK671" s="27" t="s">
        <v>8</v>
      </c>
      <c r="FL671" s="27" t="s">
        <v>7</v>
      </c>
      <c r="FM671" s="27" t="s">
        <v>8</v>
      </c>
    </row>
    <row r="672" spans="1:179" x14ac:dyDescent="0.25">
      <c r="A672" s="7">
        <v>0.18577420019637925</v>
      </c>
      <c r="B672"/>
      <c r="C672"/>
      <c r="D672"/>
      <c r="E672"/>
      <c r="F672" s="27" t="s">
        <v>7</v>
      </c>
      <c r="AA672" s="27" t="s">
        <v>8</v>
      </c>
      <c r="AB672" s="27" t="s">
        <v>7</v>
      </c>
      <c r="AC672" s="27" t="s">
        <v>8</v>
      </c>
      <c r="AD672" s="27" t="s">
        <v>7</v>
      </c>
      <c r="CM672" s="27" t="s">
        <v>8</v>
      </c>
      <c r="CN672" s="27" t="s">
        <v>7</v>
      </c>
      <c r="FI672" s="27" t="s">
        <v>8</v>
      </c>
      <c r="FJ672" s="27" t="s">
        <v>7</v>
      </c>
      <c r="FK672" s="27" t="s">
        <v>8</v>
      </c>
      <c r="FL672" s="27" t="s">
        <v>7</v>
      </c>
      <c r="FM672" s="27" t="s">
        <v>8</v>
      </c>
    </row>
    <row r="673" spans="1:169" x14ac:dyDescent="0.25">
      <c r="A673" s="7">
        <v>0.18213156881997963</v>
      </c>
      <c r="B673"/>
      <c r="C673"/>
      <c r="D673"/>
      <c r="E673"/>
      <c r="F673" s="27" t="s">
        <v>7</v>
      </c>
      <c r="AA673" s="27" t="s">
        <v>8</v>
      </c>
      <c r="AB673" s="27" t="s">
        <v>7</v>
      </c>
      <c r="AC673" s="27" t="s">
        <v>8</v>
      </c>
      <c r="AD673" s="27" t="s">
        <v>7</v>
      </c>
      <c r="CM673" s="27" t="s">
        <v>8</v>
      </c>
      <c r="CN673" s="27" t="s">
        <v>7</v>
      </c>
      <c r="FI673" s="27" t="s">
        <v>8</v>
      </c>
      <c r="FJ673" s="27" t="s">
        <v>7</v>
      </c>
      <c r="FK673" s="27" t="s">
        <v>8</v>
      </c>
      <c r="FL673" s="27" t="s">
        <v>7</v>
      </c>
      <c r="FM673" s="27" t="s">
        <v>8</v>
      </c>
    </row>
    <row r="674" spans="1:169" x14ac:dyDescent="0.25">
      <c r="A674" s="7">
        <v>0.17856036158821534</v>
      </c>
      <c r="B674"/>
      <c r="C674"/>
      <c r="D674"/>
      <c r="E674"/>
      <c r="F674" s="27" t="s">
        <v>7</v>
      </c>
      <c r="AA674" s="27" t="s">
        <v>8</v>
      </c>
      <c r="AB674" s="27" t="s">
        <v>7</v>
      </c>
      <c r="AC674" s="27" t="s">
        <v>8</v>
      </c>
      <c r="AD674" s="27" t="s">
        <v>7</v>
      </c>
      <c r="CM674" s="27" t="s">
        <v>8</v>
      </c>
      <c r="CN674" s="27" t="s">
        <v>7</v>
      </c>
      <c r="FI674" s="27" t="s">
        <v>8</v>
      </c>
      <c r="FJ674" s="27" t="s">
        <v>7</v>
      </c>
      <c r="FK674" s="27" t="s">
        <v>8</v>
      </c>
      <c r="FL674" s="27" t="s">
        <v>7</v>
      </c>
      <c r="FM674" s="27" t="s">
        <v>8</v>
      </c>
    </row>
    <row r="675" spans="1:169" x14ac:dyDescent="0.25">
      <c r="A675" s="7">
        <v>0.17505917802766208</v>
      </c>
      <c r="B675"/>
      <c r="C675"/>
      <c r="D675"/>
      <c r="E675"/>
      <c r="F675" s="27" t="s">
        <v>7</v>
      </c>
      <c r="AA675" s="27" t="s">
        <v>8</v>
      </c>
      <c r="AB675" s="27" t="s">
        <v>7</v>
      </c>
      <c r="AC675" s="27" t="s">
        <v>8</v>
      </c>
      <c r="AD675" s="27" t="s">
        <v>7</v>
      </c>
      <c r="CM675" s="27" t="s">
        <v>8</v>
      </c>
      <c r="CN675" s="27" t="s">
        <v>7</v>
      </c>
      <c r="FI675" s="27" t="s">
        <v>8</v>
      </c>
      <c r="FJ675" s="27" t="s">
        <v>7</v>
      </c>
      <c r="FK675" s="27" t="s">
        <v>8</v>
      </c>
      <c r="FL675" s="27" t="s">
        <v>7</v>
      </c>
      <c r="FM675" s="27" t="s">
        <v>8</v>
      </c>
    </row>
    <row r="676" spans="1:169" x14ac:dyDescent="0.25">
      <c r="A676" s="7">
        <v>0.17162664512515888</v>
      </c>
      <c r="B676"/>
      <c r="C676"/>
      <c r="D676"/>
      <c r="E676"/>
      <c r="F676" s="27" t="s">
        <v>7</v>
      </c>
      <c r="AA676" s="27" t="s">
        <v>8</v>
      </c>
      <c r="AB676" s="27" t="s">
        <v>7</v>
      </c>
      <c r="AC676" s="27" t="s">
        <v>8</v>
      </c>
      <c r="AD676" s="27" t="s">
        <v>7</v>
      </c>
      <c r="CM676" s="27" t="s">
        <v>8</v>
      </c>
      <c r="CN676" s="27" t="s">
        <v>7</v>
      </c>
      <c r="FI676" s="27" t="s">
        <v>8</v>
      </c>
      <c r="FJ676" s="27" t="s">
        <v>7</v>
      </c>
      <c r="FK676" s="27" t="s">
        <v>8</v>
      </c>
      <c r="FL676" s="27" t="s">
        <v>7</v>
      </c>
    </row>
    <row r="677" spans="1:169" x14ac:dyDescent="0.25">
      <c r="A677" s="7">
        <v>0.16826141678937145</v>
      </c>
      <c r="B677"/>
      <c r="C677"/>
      <c r="D677"/>
      <c r="E677"/>
      <c r="F677" s="27" t="s">
        <v>7</v>
      </c>
      <c r="AA677" s="27" t="s">
        <v>8</v>
      </c>
      <c r="AB677" s="27" t="s">
        <v>7</v>
      </c>
      <c r="AC677" s="27" t="s">
        <v>8</v>
      </c>
      <c r="AD677" s="27" t="s">
        <v>7</v>
      </c>
      <c r="CM677" s="27" t="s">
        <v>8</v>
      </c>
      <c r="CN677" s="27" t="s">
        <v>7</v>
      </c>
      <c r="CO677" s="27" t="s">
        <v>8</v>
      </c>
      <c r="FI677" s="27" t="s">
        <v>8</v>
      </c>
      <c r="FJ677" s="27" t="s">
        <v>7</v>
      </c>
      <c r="FK677" s="27" t="s">
        <v>8</v>
      </c>
    </row>
    <row r="678" spans="1:169" x14ac:dyDescent="0.25">
      <c r="A678" s="7">
        <v>0.16496217332291319</v>
      </c>
      <c r="B678"/>
      <c r="C678"/>
      <c r="D678"/>
      <c r="E678"/>
      <c r="F678" s="27" t="s">
        <v>7</v>
      </c>
      <c r="AA678" s="27" t="s">
        <v>8</v>
      </c>
      <c r="AB678" s="27" t="s">
        <v>7</v>
      </c>
      <c r="AC678" s="27" t="s">
        <v>8</v>
      </c>
      <c r="AD678" s="27" t="s">
        <v>7</v>
      </c>
      <c r="CM678" s="27" t="s">
        <v>8</v>
      </c>
      <c r="CN678" s="27" t="s">
        <v>7</v>
      </c>
      <c r="CO678" s="27" t="s">
        <v>8</v>
      </c>
      <c r="CP678" s="27" t="s">
        <v>7</v>
      </c>
      <c r="FI678" s="27" t="s">
        <v>8</v>
      </c>
      <c r="FJ678" s="27" t="s">
        <v>7</v>
      </c>
      <c r="FK678" s="27" t="s">
        <v>8</v>
      </c>
    </row>
    <row r="679" spans="1:169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  <c r="AA679" s="27" t="s">
        <v>8</v>
      </c>
      <c r="AB679" s="27" t="s">
        <v>7</v>
      </c>
      <c r="AC679" s="27" t="s">
        <v>8</v>
      </c>
      <c r="AD679" s="27" t="s">
        <v>7</v>
      </c>
      <c r="CM679" s="27" t="s">
        <v>8</v>
      </c>
      <c r="CN679" s="27" t="s">
        <v>7</v>
      </c>
      <c r="CO679" s="27" t="s">
        <v>8</v>
      </c>
      <c r="CP679" s="27" t="s">
        <v>7</v>
      </c>
      <c r="FI679" s="27" t="s">
        <v>8</v>
      </c>
      <c r="FJ679" s="27" t="s">
        <v>7</v>
      </c>
    </row>
    <row r="680" spans="1:169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  <c r="H680" s="27" t="s">
        <v>7</v>
      </c>
      <c r="AA680" s="27" t="s">
        <v>8</v>
      </c>
      <c r="AB680" s="27" t="s">
        <v>7</v>
      </c>
      <c r="AC680" s="27" t="s">
        <v>8</v>
      </c>
      <c r="AD680" s="27" t="s">
        <v>7</v>
      </c>
      <c r="AQ680" s="27" t="s">
        <v>8</v>
      </c>
      <c r="CM680" s="27" t="s">
        <v>8</v>
      </c>
      <c r="CN680" s="27" t="s">
        <v>7</v>
      </c>
      <c r="CO680" s="27" t="s">
        <v>8</v>
      </c>
      <c r="CP680" s="27" t="s">
        <v>7</v>
      </c>
      <c r="FI680" s="27" t="s">
        <v>8</v>
      </c>
    </row>
    <row r="681" spans="1:169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  <c r="H681" s="27" t="s">
        <v>7</v>
      </c>
      <c r="AA681" s="27" t="s">
        <v>8</v>
      </c>
      <c r="AB681" s="27" t="s">
        <v>7</v>
      </c>
      <c r="AC681" s="27" t="s">
        <v>8</v>
      </c>
      <c r="AD681" s="27" t="s">
        <v>7</v>
      </c>
      <c r="AQ681" s="27" t="s">
        <v>8</v>
      </c>
      <c r="AR681" s="27" t="s">
        <v>7</v>
      </c>
      <c r="CM681" s="27" t="s">
        <v>8</v>
      </c>
      <c r="CN681" s="27" t="s">
        <v>7</v>
      </c>
      <c r="CP681" s="27" t="s">
        <v>7</v>
      </c>
      <c r="FI681" s="27" t="s">
        <v>8</v>
      </c>
    </row>
    <row r="682" spans="1:169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  <c r="H682" s="27" t="s">
        <v>7</v>
      </c>
      <c r="AA682" s="27" t="s">
        <v>8</v>
      </c>
      <c r="AB682" s="27" t="s">
        <v>7</v>
      </c>
      <c r="AD682" s="27" t="s">
        <v>7</v>
      </c>
      <c r="AO682" s="27" t="s">
        <v>8</v>
      </c>
      <c r="AQ682" s="27" t="s">
        <v>8</v>
      </c>
      <c r="AR682" s="27" t="s">
        <v>7</v>
      </c>
      <c r="BA682" s="27" t="s">
        <v>8</v>
      </c>
      <c r="BM682" s="27" t="s">
        <v>8</v>
      </c>
      <c r="CM682" s="27" t="s">
        <v>8</v>
      </c>
      <c r="CP682" s="27" t="s">
        <v>7</v>
      </c>
      <c r="FI682" s="27" t="s">
        <v>8</v>
      </c>
    </row>
    <row r="683" spans="1:169" x14ac:dyDescent="0.25">
      <c r="A683" s="7">
        <v>0.14941132283506509</v>
      </c>
      <c r="B683"/>
      <c r="C683"/>
      <c r="D683"/>
      <c r="E683"/>
      <c r="F683" s="27" t="s">
        <v>7</v>
      </c>
      <c r="G683" s="27" t="s">
        <v>8</v>
      </c>
      <c r="H683" s="27" t="s">
        <v>7</v>
      </c>
      <c r="AA683" s="27" t="s">
        <v>8</v>
      </c>
      <c r="AD683" s="27" t="s">
        <v>7</v>
      </c>
      <c r="AO683" s="27" t="s">
        <v>8</v>
      </c>
      <c r="AP683" s="27" t="s">
        <v>7</v>
      </c>
      <c r="AQ683" s="27" t="s">
        <v>8</v>
      </c>
      <c r="AR683" s="27" t="s">
        <v>7</v>
      </c>
      <c r="AW683" s="27" t="s">
        <v>8</v>
      </c>
      <c r="BA683" s="27" t="s">
        <v>8</v>
      </c>
      <c r="BB683" s="27" t="s">
        <v>7</v>
      </c>
      <c r="BC683" s="27" t="s">
        <v>8</v>
      </c>
      <c r="BM683" s="27" t="s">
        <v>8</v>
      </c>
      <c r="BN683" s="27" t="s">
        <v>7</v>
      </c>
      <c r="BY683" s="27" t="s">
        <v>8</v>
      </c>
      <c r="CM683" s="27" t="s">
        <v>8</v>
      </c>
      <c r="CP683" s="27" t="s">
        <v>7</v>
      </c>
      <c r="CQ683" s="27" t="s">
        <v>8</v>
      </c>
      <c r="FI683" s="27" t="s">
        <v>8</v>
      </c>
    </row>
    <row r="684" spans="1:169" x14ac:dyDescent="0.25">
      <c r="A684" s="7">
        <v>0.14648168905398537</v>
      </c>
      <c r="B684"/>
      <c r="C684"/>
      <c r="D684"/>
      <c r="E684"/>
      <c r="F684" s="27" t="s">
        <v>7</v>
      </c>
      <c r="G684" s="27" t="s">
        <v>8</v>
      </c>
      <c r="H684" s="27" t="s">
        <v>7</v>
      </c>
      <c r="AA684" s="27" t="s">
        <v>8</v>
      </c>
      <c r="AD684" s="27" t="s">
        <v>7</v>
      </c>
      <c r="AO684" s="27" t="s">
        <v>8</v>
      </c>
      <c r="AP684" s="27" t="s">
        <v>7</v>
      </c>
      <c r="AQ684" s="27" t="s">
        <v>8</v>
      </c>
      <c r="AR684" s="27" t="s">
        <v>7</v>
      </c>
      <c r="AW684" s="27" t="s">
        <v>8</v>
      </c>
      <c r="AX684" s="27" t="s">
        <v>7</v>
      </c>
      <c r="BA684" s="27" t="s">
        <v>8</v>
      </c>
      <c r="BB684" s="27" t="s">
        <v>7</v>
      </c>
      <c r="BC684" s="27" t="s">
        <v>8</v>
      </c>
      <c r="BD684" s="27" t="s">
        <v>7</v>
      </c>
      <c r="BM684" s="27" t="s">
        <v>8</v>
      </c>
      <c r="BN684" s="27" t="s">
        <v>7</v>
      </c>
      <c r="BU684" s="27" t="s">
        <v>8</v>
      </c>
      <c r="BW684" s="27" t="s">
        <v>8</v>
      </c>
      <c r="BY684" s="27" t="s">
        <v>8</v>
      </c>
      <c r="BZ684" s="27" t="s">
        <v>7</v>
      </c>
      <c r="CM684" s="27" t="s">
        <v>8</v>
      </c>
      <c r="CP684" s="27" t="s">
        <v>7</v>
      </c>
      <c r="CQ684" s="27" t="s">
        <v>8</v>
      </c>
      <c r="CR684" s="27" t="s">
        <v>7</v>
      </c>
      <c r="FI684" s="27" t="s">
        <v>8</v>
      </c>
    </row>
    <row r="685" spans="1:169" x14ac:dyDescent="0.25">
      <c r="A685" s="7">
        <v>0.14360949907253467</v>
      </c>
      <c r="B685"/>
      <c r="C685"/>
      <c r="D685"/>
      <c r="E685"/>
      <c r="F685" s="27" t="s">
        <v>7</v>
      </c>
      <c r="G685" s="27" t="s">
        <v>8</v>
      </c>
      <c r="H685" s="27" t="s">
        <v>7</v>
      </c>
      <c r="AA685" s="27" t="s">
        <v>8</v>
      </c>
      <c r="AD685" s="27" t="s">
        <v>7</v>
      </c>
      <c r="AO685" s="27" t="s">
        <v>8</v>
      </c>
      <c r="AP685" s="27" t="s">
        <v>7</v>
      </c>
      <c r="AQ685" s="27" t="s">
        <v>8</v>
      </c>
      <c r="AR685" s="27" t="s">
        <v>7</v>
      </c>
      <c r="AW685" s="27" t="s">
        <v>8</v>
      </c>
      <c r="AX685" s="27" t="s">
        <v>7</v>
      </c>
      <c r="BA685" s="27" t="s">
        <v>8</v>
      </c>
      <c r="BB685" s="27" t="s">
        <v>7</v>
      </c>
      <c r="BC685" s="27" t="s">
        <v>8</v>
      </c>
      <c r="BD685" s="27" t="s">
        <v>7</v>
      </c>
      <c r="BM685" s="27" t="s">
        <v>8</v>
      </c>
      <c r="BN685" s="27" t="s">
        <v>7</v>
      </c>
      <c r="BU685" s="27" t="s">
        <v>8</v>
      </c>
      <c r="BV685" s="27" t="s">
        <v>7</v>
      </c>
      <c r="BW685" s="27" t="s">
        <v>8</v>
      </c>
      <c r="BX685" s="27" t="s">
        <v>7</v>
      </c>
      <c r="BY685" s="27" t="s">
        <v>8</v>
      </c>
      <c r="BZ685" s="27" t="s">
        <v>7</v>
      </c>
      <c r="CA685" s="27" t="s">
        <v>8</v>
      </c>
      <c r="CM685" s="27" t="s">
        <v>8</v>
      </c>
      <c r="CP685" s="27" t="s">
        <v>7</v>
      </c>
      <c r="CQ685" s="27" t="s">
        <v>8</v>
      </c>
      <c r="CR685" s="27" t="s">
        <v>7</v>
      </c>
      <c r="CS685" s="27" t="s">
        <v>8</v>
      </c>
      <c r="FI685" s="27" t="s">
        <v>8</v>
      </c>
    </row>
    <row r="686" spans="1:169" x14ac:dyDescent="0.25">
      <c r="A686" s="7">
        <v>0.14079362654170066</v>
      </c>
      <c r="B686"/>
      <c r="C686"/>
      <c r="D686"/>
      <c r="E686"/>
      <c r="F686" s="27" t="s">
        <v>7</v>
      </c>
      <c r="G686" s="27" t="s">
        <v>8</v>
      </c>
      <c r="H686" s="27" t="s">
        <v>7</v>
      </c>
      <c r="AA686" s="27" t="s">
        <v>8</v>
      </c>
      <c r="AD686" s="27" t="s">
        <v>7</v>
      </c>
      <c r="AO686" s="27" t="s">
        <v>8</v>
      </c>
      <c r="AP686" s="27" t="s">
        <v>7</v>
      </c>
      <c r="AQ686" s="27" t="s">
        <v>8</v>
      </c>
      <c r="AR686" s="27" t="s">
        <v>7</v>
      </c>
      <c r="AS686" s="27" t="s">
        <v>8</v>
      </c>
      <c r="AW686" s="27" t="s">
        <v>8</v>
      </c>
      <c r="AX686" s="27" t="s">
        <v>7</v>
      </c>
      <c r="AY686" s="27" t="s">
        <v>8</v>
      </c>
      <c r="BA686" s="27" t="s">
        <v>8</v>
      </c>
      <c r="BB686" s="27" t="s">
        <v>7</v>
      </c>
      <c r="BC686" s="27" t="s">
        <v>8</v>
      </c>
      <c r="BD686" s="27" t="s">
        <v>7</v>
      </c>
      <c r="BE686" s="27" t="s">
        <v>8</v>
      </c>
      <c r="BI686" s="27" t="s">
        <v>8</v>
      </c>
      <c r="BM686" s="27" t="s">
        <v>8</v>
      </c>
      <c r="BN686" s="27" t="s">
        <v>7</v>
      </c>
      <c r="BU686" s="27" t="s">
        <v>8</v>
      </c>
      <c r="BV686" s="27" t="s">
        <v>7</v>
      </c>
      <c r="BW686" s="27" t="s">
        <v>8</v>
      </c>
      <c r="BX686" s="27" t="s">
        <v>7</v>
      </c>
      <c r="BY686" s="27" t="s">
        <v>8</v>
      </c>
      <c r="BZ686" s="27" t="s">
        <v>7</v>
      </c>
      <c r="CA686" s="27" t="s">
        <v>8</v>
      </c>
      <c r="CB686" s="27" t="s">
        <v>7</v>
      </c>
      <c r="CC686" s="27" t="s">
        <v>8</v>
      </c>
      <c r="CK686" s="27" t="s">
        <v>8</v>
      </c>
      <c r="CM686" s="27" t="s">
        <v>8</v>
      </c>
      <c r="CP686" s="27" t="s">
        <v>7</v>
      </c>
      <c r="CQ686" s="27" t="s">
        <v>8</v>
      </c>
      <c r="CR686" s="27" t="s">
        <v>7</v>
      </c>
      <c r="CS686" s="27" t="s">
        <v>8</v>
      </c>
      <c r="CT686" s="27" t="s">
        <v>7</v>
      </c>
      <c r="FI686" s="27" t="s">
        <v>8</v>
      </c>
    </row>
    <row r="687" spans="1:169" x14ac:dyDescent="0.25">
      <c r="A687" s="7">
        <v>0.13803296719774574</v>
      </c>
      <c r="B687"/>
      <c r="C687"/>
      <c r="D687"/>
      <c r="E687"/>
      <c r="F687" s="27" t="s">
        <v>7</v>
      </c>
      <c r="G687" s="27" t="s">
        <v>8</v>
      </c>
      <c r="H687" s="27" t="s">
        <v>7</v>
      </c>
      <c r="AA687" s="27" t="s">
        <v>8</v>
      </c>
      <c r="AD687" s="27" t="s">
        <v>7</v>
      </c>
      <c r="AO687" s="27" t="s">
        <v>8</v>
      </c>
      <c r="AP687" s="27" t="s">
        <v>7</v>
      </c>
      <c r="AQ687" s="27" t="s">
        <v>8</v>
      </c>
      <c r="AR687" s="27" t="s">
        <v>7</v>
      </c>
      <c r="AS687" s="27" t="s">
        <v>8</v>
      </c>
      <c r="AT687" s="27" t="s">
        <v>7</v>
      </c>
      <c r="AW687" s="27" t="s">
        <v>8</v>
      </c>
      <c r="AX687" s="27" t="s">
        <v>7</v>
      </c>
      <c r="AY687" s="27" t="s">
        <v>8</v>
      </c>
      <c r="AZ687" s="27" t="s">
        <v>7</v>
      </c>
      <c r="BA687" s="27" t="s">
        <v>8</v>
      </c>
      <c r="BB687" s="27" t="s">
        <v>7</v>
      </c>
      <c r="BD687" s="27" t="s">
        <v>7</v>
      </c>
      <c r="BE687" s="27" t="s">
        <v>8</v>
      </c>
      <c r="BF687" s="27" t="s">
        <v>7</v>
      </c>
      <c r="BG687" s="27" t="s">
        <v>8</v>
      </c>
      <c r="BI687" s="27" t="s">
        <v>8</v>
      </c>
      <c r="BJ687" s="27" t="s">
        <v>7</v>
      </c>
      <c r="BM687" s="27" t="s">
        <v>8</v>
      </c>
      <c r="BN687" s="27" t="s">
        <v>7</v>
      </c>
      <c r="BO687" s="27" t="s">
        <v>8</v>
      </c>
      <c r="BU687" s="27" t="s">
        <v>8</v>
      </c>
      <c r="BV687" s="27" t="s">
        <v>7</v>
      </c>
      <c r="BW687" s="27" t="s">
        <v>8</v>
      </c>
      <c r="BX687" s="27" t="s">
        <v>7</v>
      </c>
      <c r="BY687" s="27" t="s">
        <v>8</v>
      </c>
      <c r="BZ687" s="27" t="s">
        <v>7</v>
      </c>
      <c r="CA687" s="27" t="s">
        <v>8</v>
      </c>
      <c r="CB687" s="27" t="s">
        <v>7</v>
      </c>
      <c r="CC687" s="27" t="s">
        <v>8</v>
      </c>
      <c r="CD687" s="27" t="s">
        <v>7</v>
      </c>
      <c r="CK687" s="27" t="s">
        <v>8</v>
      </c>
      <c r="CL687" s="27" t="s">
        <v>7</v>
      </c>
      <c r="CM687" s="27" t="s">
        <v>8</v>
      </c>
      <c r="CP687" s="27" t="s">
        <v>7</v>
      </c>
      <c r="CQ687" s="27" t="s">
        <v>8</v>
      </c>
      <c r="CR687" s="27" t="s">
        <v>7</v>
      </c>
      <c r="CS687" s="27" t="s">
        <v>8</v>
      </c>
      <c r="CT687" s="27" t="s">
        <v>7</v>
      </c>
      <c r="CU687" s="27" t="s">
        <v>8</v>
      </c>
      <c r="FI687" s="27" t="s">
        <v>8</v>
      </c>
    </row>
    <row r="688" spans="1:169" x14ac:dyDescent="0.25">
      <c r="A688" s="7">
        <v>0.1353264384291625</v>
      </c>
      <c r="B688"/>
      <c r="C688"/>
      <c r="D688"/>
      <c r="E688"/>
      <c r="F688" s="27" t="s">
        <v>7</v>
      </c>
      <c r="G688" s="27" t="s">
        <v>8</v>
      </c>
      <c r="H688" s="27" t="s">
        <v>7</v>
      </c>
      <c r="AA688" s="27" t="s">
        <v>8</v>
      </c>
      <c r="AD688" s="27" t="s">
        <v>7</v>
      </c>
      <c r="AO688" s="27" t="s">
        <v>8</v>
      </c>
      <c r="AP688" s="27" t="s">
        <v>7</v>
      </c>
      <c r="AQ688" s="27" t="s">
        <v>8</v>
      </c>
      <c r="AR688" s="27" t="s">
        <v>7</v>
      </c>
      <c r="AS688" s="27" t="s">
        <v>8</v>
      </c>
      <c r="AT688" s="27" t="s">
        <v>7</v>
      </c>
      <c r="AW688" s="27" t="s">
        <v>8</v>
      </c>
      <c r="AX688" s="27" t="s">
        <v>7</v>
      </c>
      <c r="AY688" s="27" t="s">
        <v>8</v>
      </c>
      <c r="AZ688" s="27" t="s">
        <v>7</v>
      </c>
      <c r="BA688" s="27" t="s">
        <v>8</v>
      </c>
      <c r="BD688" s="27" t="s">
        <v>7</v>
      </c>
      <c r="BE688" s="27" t="s">
        <v>8</v>
      </c>
      <c r="BF688" s="27" t="s">
        <v>7</v>
      </c>
      <c r="BG688" s="27" t="s">
        <v>8</v>
      </c>
      <c r="BH688" s="27" t="s">
        <v>7</v>
      </c>
      <c r="BI688" s="27" t="s">
        <v>8</v>
      </c>
      <c r="BJ688" s="27" t="s">
        <v>7</v>
      </c>
      <c r="BK688" s="27" t="s">
        <v>8</v>
      </c>
      <c r="BM688" s="27" t="s">
        <v>8</v>
      </c>
      <c r="BN688" s="27" t="s">
        <v>7</v>
      </c>
      <c r="BO688" s="27" t="s">
        <v>8</v>
      </c>
      <c r="BP688" s="27" t="s">
        <v>7</v>
      </c>
      <c r="BS688" s="27" t="s">
        <v>8</v>
      </c>
      <c r="BU688" s="27" t="s">
        <v>8</v>
      </c>
      <c r="BV688" s="27" t="s">
        <v>7</v>
      </c>
      <c r="BW688" s="27" t="s">
        <v>8</v>
      </c>
      <c r="BX688" s="27" t="s">
        <v>7</v>
      </c>
      <c r="BZ688" s="27" t="s">
        <v>7</v>
      </c>
      <c r="CB688" s="27" t="s">
        <v>7</v>
      </c>
      <c r="CC688" s="27" t="s">
        <v>8</v>
      </c>
      <c r="CD688" s="27" t="s">
        <v>7</v>
      </c>
      <c r="CE688" s="27" t="s">
        <v>8</v>
      </c>
      <c r="CK688" s="27" t="s">
        <v>8</v>
      </c>
      <c r="CL688" s="27" t="s">
        <v>7</v>
      </c>
      <c r="CM688" s="27" t="s">
        <v>8</v>
      </c>
      <c r="CP688" s="27" t="s">
        <v>7</v>
      </c>
      <c r="CQ688" s="27" t="s">
        <v>8</v>
      </c>
      <c r="CR688" s="27" t="s">
        <v>7</v>
      </c>
      <c r="CS688" s="27" t="s">
        <v>8</v>
      </c>
      <c r="CT688" s="27" t="s">
        <v>7</v>
      </c>
      <c r="CU688" s="27" t="s">
        <v>8</v>
      </c>
      <c r="CV688" s="27" t="s">
        <v>7</v>
      </c>
      <c r="FI688" s="27" t="s">
        <v>8</v>
      </c>
    </row>
    <row r="689" spans="1:165" x14ac:dyDescent="0.25">
      <c r="A689" s="7">
        <v>0.13267297885212009</v>
      </c>
      <c r="B689"/>
      <c r="C689"/>
      <c r="D689"/>
      <c r="E689"/>
      <c r="F689" s="27" t="s">
        <v>7</v>
      </c>
      <c r="G689" s="27" t="s">
        <v>8</v>
      </c>
      <c r="H689" s="27" t="s">
        <v>7</v>
      </c>
      <c r="AA689" s="27" t="s">
        <v>8</v>
      </c>
      <c r="AD689" s="27" t="s">
        <v>7</v>
      </c>
      <c r="AO689" s="27" t="s">
        <v>8</v>
      </c>
      <c r="AP689" s="27" t="s">
        <v>7</v>
      </c>
      <c r="AQ689" s="27" t="s">
        <v>8</v>
      </c>
      <c r="AR689" s="27" t="s">
        <v>7</v>
      </c>
      <c r="AS689" s="27" t="s">
        <v>8</v>
      </c>
      <c r="AT689" s="27" t="s">
        <v>7</v>
      </c>
      <c r="AU689" s="27" t="s">
        <v>8</v>
      </c>
      <c r="AW689" s="27" t="s">
        <v>8</v>
      </c>
      <c r="AX689" s="27" t="s">
        <v>7</v>
      </c>
      <c r="AY689" s="27" t="s">
        <v>8</v>
      </c>
      <c r="AZ689" s="27" t="s">
        <v>7</v>
      </c>
      <c r="BD689" s="27" t="s">
        <v>7</v>
      </c>
      <c r="BE689" s="27" t="s">
        <v>8</v>
      </c>
      <c r="BF689" s="27" t="s">
        <v>7</v>
      </c>
      <c r="BG689" s="27" t="s">
        <v>8</v>
      </c>
      <c r="BH689" s="27" t="s">
        <v>7</v>
      </c>
      <c r="BI689" s="27" t="s">
        <v>8</v>
      </c>
      <c r="BJ689" s="27" t="s">
        <v>7</v>
      </c>
      <c r="BK689" s="27" t="s">
        <v>8</v>
      </c>
      <c r="BL689" s="27" t="s">
        <v>7</v>
      </c>
      <c r="BM689" s="27" t="s">
        <v>8</v>
      </c>
      <c r="BN689" s="27" t="s">
        <v>7</v>
      </c>
      <c r="BO689" s="27" t="s">
        <v>8</v>
      </c>
      <c r="BP689" s="27" t="s">
        <v>7</v>
      </c>
      <c r="BQ689" s="27" t="s">
        <v>8</v>
      </c>
      <c r="BS689" s="27" t="s">
        <v>8</v>
      </c>
      <c r="BT689" s="27" t="s">
        <v>7</v>
      </c>
      <c r="BU689" s="27" t="s">
        <v>8</v>
      </c>
      <c r="BV689" s="27" t="s">
        <v>7</v>
      </c>
      <c r="CB689" s="27" t="s">
        <v>7</v>
      </c>
      <c r="CC689" s="27" t="s">
        <v>8</v>
      </c>
      <c r="CD689" s="27" t="s">
        <v>7</v>
      </c>
      <c r="CE689" s="27" t="s">
        <v>8</v>
      </c>
      <c r="CF689" s="27" t="s">
        <v>7</v>
      </c>
      <c r="CK689" s="27" t="s">
        <v>8</v>
      </c>
      <c r="CL689" s="27" t="s">
        <v>7</v>
      </c>
      <c r="CM689" s="27" t="s">
        <v>8</v>
      </c>
      <c r="CP689" s="27" t="s">
        <v>7</v>
      </c>
      <c r="CQ689" s="27" t="s">
        <v>8</v>
      </c>
      <c r="CR689" s="27" t="s">
        <v>7</v>
      </c>
      <c r="CS689" s="27" t="s">
        <v>8</v>
      </c>
      <c r="CT689" s="27" t="s">
        <v>7</v>
      </c>
      <c r="CU689" s="27" t="s">
        <v>8</v>
      </c>
      <c r="CV689" s="27" t="s">
        <v>7</v>
      </c>
      <c r="FI689" s="27" t="s">
        <v>8</v>
      </c>
    </row>
    <row r="690" spans="1:165" x14ac:dyDescent="0.25">
      <c r="A690" s="7">
        <v>0.13007154789423539</v>
      </c>
      <c r="B690"/>
      <c r="C690"/>
      <c r="D690"/>
      <c r="E690"/>
      <c r="F690" s="27" t="s">
        <v>7</v>
      </c>
      <c r="G690" s="27" t="s">
        <v>8</v>
      </c>
      <c r="H690" s="27" t="s">
        <v>7</v>
      </c>
      <c r="AA690" s="27" t="s">
        <v>8</v>
      </c>
      <c r="AD690" s="27" t="s">
        <v>7</v>
      </c>
      <c r="AO690" s="27" t="s">
        <v>8</v>
      </c>
      <c r="AP690" s="27" t="s">
        <v>7</v>
      </c>
      <c r="AQ690" s="27" t="s">
        <v>8</v>
      </c>
      <c r="AR690" s="27" t="s">
        <v>7</v>
      </c>
      <c r="AS690" s="27" t="s">
        <v>8</v>
      </c>
      <c r="AT690" s="27" t="s">
        <v>7</v>
      </c>
      <c r="AU690" s="27" t="s">
        <v>8</v>
      </c>
      <c r="AV690" s="27" t="s">
        <v>7</v>
      </c>
      <c r="AW690" s="27" t="s">
        <v>8</v>
      </c>
      <c r="AX690" s="27" t="s">
        <v>7</v>
      </c>
      <c r="AY690" s="27" t="s">
        <v>8</v>
      </c>
      <c r="BD690" s="27" t="s">
        <v>7</v>
      </c>
      <c r="BF690" s="27" t="s">
        <v>7</v>
      </c>
      <c r="BG690" s="27" t="s">
        <v>8</v>
      </c>
      <c r="BH690" s="27" t="s">
        <v>7</v>
      </c>
      <c r="BJ690" s="27" t="s">
        <v>7</v>
      </c>
      <c r="BK690" s="27" t="s">
        <v>8</v>
      </c>
      <c r="BL690" s="27" t="s">
        <v>7</v>
      </c>
      <c r="BM690" s="27" t="s">
        <v>8</v>
      </c>
      <c r="BN690" s="27" t="s">
        <v>7</v>
      </c>
      <c r="BP690" s="27" t="s">
        <v>7</v>
      </c>
      <c r="BQ690" s="27" t="s">
        <v>8</v>
      </c>
      <c r="BR690" s="27" t="s">
        <v>7</v>
      </c>
      <c r="BS690" s="27" t="s">
        <v>8</v>
      </c>
      <c r="BT690" s="27" t="s">
        <v>7</v>
      </c>
      <c r="BU690" s="27" t="s">
        <v>8</v>
      </c>
      <c r="CB690" s="27" t="s">
        <v>7</v>
      </c>
      <c r="CC690" s="27" t="s">
        <v>8</v>
      </c>
      <c r="CD690" s="27" t="s">
        <v>7</v>
      </c>
      <c r="CE690" s="27" t="s">
        <v>8</v>
      </c>
      <c r="CF690" s="27" t="s">
        <v>7</v>
      </c>
      <c r="CG690" s="27" t="s">
        <v>8</v>
      </c>
      <c r="CK690" s="27" t="s">
        <v>8</v>
      </c>
      <c r="CL690" s="27" t="s">
        <v>7</v>
      </c>
      <c r="CM690" s="27" t="s">
        <v>8</v>
      </c>
      <c r="CP690" s="27" t="s">
        <v>7</v>
      </c>
      <c r="CR690" s="27" t="s">
        <v>7</v>
      </c>
      <c r="CS690" s="27" t="s">
        <v>8</v>
      </c>
      <c r="CT690" s="27" t="s">
        <v>7</v>
      </c>
      <c r="CV690" s="27" t="s">
        <v>7</v>
      </c>
      <c r="FI690" s="27" t="s">
        <v>8</v>
      </c>
    </row>
    <row r="691" spans="1:165" x14ac:dyDescent="0.25">
      <c r="A691" s="7">
        <v>0.12752112538650529</v>
      </c>
      <c r="B691"/>
      <c r="C691"/>
      <c r="D691"/>
      <c r="E691"/>
      <c r="F691" s="27" t="s">
        <v>7</v>
      </c>
      <c r="G691" s="27" t="s">
        <v>8</v>
      </c>
      <c r="H691" s="27" t="s">
        <v>7</v>
      </c>
      <c r="K691" s="27" t="s">
        <v>8</v>
      </c>
      <c r="AA691" s="27" t="s">
        <v>8</v>
      </c>
      <c r="AD691" s="27" t="s">
        <v>7</v>
      </c>
      <c r="AO691" s="27" t="s">
        <v>8</v>
      </c>
      <c r="AP691" s="27" t="s">
        <v>7</v>
      </c>
      <c r="AQ691" s="27" t="s">
        <v>8</v>
      </c>
      <c r="AR691" s="27" t="s">
        <v>7</v>
      </c>
      <c r="AS691" s="27" t="s">
        <v>8</v>
      </c>
      <c r="AT691" s="27" t="s">
        <v>7</v>
      </c>
      <c r="AU691" s="27" t="s">
        <v>8</v>
      </c>
      <c r="AV691" s="27" t="s">
        <v>7</v>
      </c>
      <c r="AW691" s="27" t="s">
        <v>8</v>
      </c>
      <c r="AX691" s="27" t="s">
        <v>7</v>
      </c>
      <c r="AY691" s="27" t="s">
        <v>8</v>
      </c>
      <c r="BF691" s="27" t="s">
        <v>7</v>
      </c>
      <c r="BG691" s="27" t="s">
        <v>8</v>
      </c>
      <c r="BJ691" s="27" t="s">
        <v>7</v>
      </c>
      <c r="BL691" s="27" t="s">
        <v>7</v>
      </c>
      <c r="BM691" s="27" t="s">
        <v>8</v>
      </c>
      <c r="BP691" s="27" t="s">
        <v>7</v>
      </c>
      <c r="BQ691" s="27" t="s">
        <v>8</v>
      </c>
      <c r="BR691" s="27" t="s">
        <v>7</v>
      </c>
      <c r="BS691" s="27" t="s">
        <v>8</v>
      </c>
      <c r="BT691" s="27" t="s">
        <v>7</v>
      </c>
      <c r="BU691" s="27" t="s">
        <v>8</v>
      </c>
      <c r="CB691" s="27" t="s">
        <v>7</v>
      </c>
      <c r="CD691" s="27" t="s">
        <v>7</v>
      </c>
      <c r="CE691" s="27" t="s">
        <v>8</v>
      </c>
      <c r="CF691" s="27" t="s">
        <v>7</v>
      </c>
      <c r="CG691" s="27" t="s">
        <v>8</v>
      </c>
      <c r="CH691" s="27" t="s">
        <v>7</v>
      </c>
      <c r="CI691" s="27" t="s">
        <v>8</v>
      </c>
      <c r="CK691" s="27" t="s">
        <v>8</v>
      </c>
      <c r="CL691" s="27" t="s">
        <v>7</v>
      </c>
      <c r="CM691" s="27" t="s">
        <v>8</v>
      </c>
      <c r="CR691" s="27" t="s">
        <v>7</v>
      </c>
      <c r="CV691" s="27" t="s">
        <v>7</v>
      </c>
      <c r="FC691" s="27" t="s">
        <v>8</v>
      </c>
      <c r="FG691" s="27" t="s">
        <v>8</v>
      </c>
      <c r="FI691" s="27" t="s">
        <v>8</v>
      </c>
    </row>
    <row r="692" spans="1:165" x14ac:dyDescent="0.25">
      <c r="A692" s="7">
        <v>0.12502071116324048</v>
      </c>
      <c r="B692"/>
      <c r="C692"/>
      <c r="D692"/>
      <c r="E692"/>
      <c r="F692" s="27" t="s">
        <v>7</v>
      </c>
      <c r="G692" s="27" t="s">
        <v>8</v>
      </c>
      <c r="H692" s="27" t="s">
        <v>7</v>
      </c>
      <c r="K692" s="27" t="s">
        <v>8</v>
      </c>
      <c r="L692" s="27" t="s">
        <v>7</v>
      </c>
      <c r="AA692" s="27" t="s">
        <v>8</v>
      </c>
      <c r="AD692" s="27" t="s">
        <v>7</v>
      </c>
      <c r="AO692" s="27" t="s">
        <v>8</v>
      </c>
      <c r="AP692" s="27" t="s">
        <v>7</v>
      </c>
      <c r="AR692" s="27" t="s">
        <v>7</v>
      </c>
      <c r="AS692" s="27" t="s">
        <v>8</v>
      </c>
      <c r="AT692" s="27" t="s">
        <v>7</v>
      </c>
      <c r="AU692" s="27" t="s">
        <v>8</v>
      </c>
      <c r="AV692" s="27" t="s">
        <v>7</v>
      </c>
      <c r="AW692" s="27" t="s">
        <v>8</v>
      </c>
      <c r="AX692" s="27" t="s">
        <v>7</v>
      </c>
      <c r="BF692" s="27" t="s">
        <v>7</v>
      </c>
      <c r="BG692" s="27" t="s">
        <v>8</v>
      </c>
      <c r="BL692" s="27" t="s">
        <v>7</v>
      </c>
      <c r="BP692" s="27" t="s">
        <v>7</v>
      </c>
      <c r="BQ692" s="27" t="s">
        <v>8</v>
      </c>
      <c r="BR692" s="27" t="s">
        <v>7</v>
      </c>
      <c r="BS692" s="27" t="s">
        <v>8</v>
      </c>
      <c r="BT692" s="27" t="s">
        <v>7</v>
      </c>
      <c r="BU692" s="27" t="s">
        <v>8</v>
      </c>
      <c r="CD692" s="27" t="s">
        <v>7</v>
      </c>
      <c r="CE692" s="27" t="s">
        <v>8</v>
      </c>
      <c r="CF692" s="27" t="s">
        <v>7</v>
      </c>
      <c r="CG692" s="27" t="s">
        <v>8</v>
      </c>
      <c r="CH692" s="27" t="s">
        <v>7</v>
      </c>
      <c r="CI692" s="27" t="s">
        <v>8</v>
      </c>
      <c r="CJ692" s="27" t="s">
        <v>7</v>
      </c>
      <c r="CK692" s="27" t="s">
        <v>8</v>
      </c>
      <c r="CL692" s="27" t="s">
        <v>7</v>
      </c>
      <c r="CM692" s="27" t="s">
        <v>8</v>
      </c>
      <c r="CV692" s="27" t="s">
        <v>7</v>
      </c>
      <c r="FC692" s="27" t="s">
        <v>8</v>
      </c>
      <c r="FD692" s="27" t="s">
        <v>7</v>
      </c>
      <c r="FG692" s="27" t="s">
        <v>8</v>
      </c>
      <c r="FH692" s="27" t="s">
        <v>7</v>
      </c>
      <c r="FI692" s="27" t="s">
        <v>8</v>
      </c>
    </row>
    <row r="693" spans="1:165" x14ac:dyDescent="0.25">
      <c r="A693" s="7">
        <v>0.1225693246698436</v>
      </c>
      <c r="B693"/>
      <c r="C693"/>
      <c r="D693"/>
      <c r="E693"/>
      <c r="F693" s="27" t="s">
        <v>7</v>
      </c>
      <c r="G693" s="27" t="s">
        <v>8</v>
      </c>
      <c r="H693" s="27" t="s">
        <v>7</v>
      </c>
      <c r="K693" s="27" t="s">
        <v>8</v>
      </c>
      <c r="L693" s="27" t="s">
        <v>7</v>
      </c>
      <c r="AA693" s="27" t="s">
        <v>8</v>
      </c>
      <c r="AD693" s="27" t="s">
        <v>7</v>
      </c>
      <c r="AI693" s="27" t="s">
        <v>8</v>
      </c>
      <c r="AO693" s="27" t="s">
        <v>8</v>
      </c>
      <c r="AR693" s="27" t="s">
        <v>7</v>
      </c>
      <c r="AS693" s="27" t="s">
        <v>8</v>
      </c>
      <c r="AT693" s="27" t="s">
        <v>7</v>
      </c>
      <c r="AV693" s="27" t="s">
        <v>7</v>
      </c>
      <c r="BF693" s="27" t="s">
        <v>7</v>
      </c>
      <c r="BG693" s="27" t="s">
        <v>8</v>
      </c>
      <c r="BP693" s="27" t="s">
        <v>7</v>
      </c>
      <c r="BQ693" s="27" t="s">
        <v>8</v>
      </c>
      <c r="BR693" s="27" t="s">
        <v>7</v>
      </c>
      <c r="BS693" s="27" t="s">
        <v>8</v>
      </c>
      <c r="BT693" s="27" t="s">
        <v>7</v>
      </c>
      <c r="BU693" s="27" t="s">
        <v>8</v>
      </c>
      <c r="CD693" s="27" t="s">
        <v>7</v>
      </c>
      <c r="CE693" s="27" t="s">
        <v>8</v>
      </c>
      <c r="CF693" s="27" t="s">
        <v>7</v>
      </c>
      <c r="CH693" s="27" t="s">
        <v>7</v>
      </c>
      <c r="CI693" s="27" t="s">
        <v>8</v>
      </c>
      <c r="CJ693" s="27" t="s">
        <v>7</v>
      </c>
      <c r="CK693" s="27" t="s">
        <v>8</v>
      </c>
      <c r="CL693" s="27" t="s">
        <v>7</v>
      </c>
      <c r="CM693" s="27" t="s">
        <v>8</v>
      </c>
      <c r="CV693" s="27" t="s">
        <v>7</v>
      </c>
      <c r="DC693" s="27" t="s">
        <v>8</v>
      </c>
      <c r="FC693" s="27" t="s">
        <v>8</v>
      </c>
      <c r="FD693" s="27" t="s">
        <v>7</v>
      </c>
      <c r="FG693" s="27" t="s">
        <v>8</v>
      </c>
      <c r="FH693" s="27" t="s">
        <v>7</v>
      </c>
      <c r="FI693" s="27" t="s">
        <v>8</v>
      </c>
    </row>
    <row r="694" spans="1:165" x14ac:dyDescent="0.25">
      <c r="A694" s="7">
        <v>0.12016600457827803</v>
      </c>
      <c r="B694"/>
      <c r="C694"/>
      <c r="D694"/>
      <c r="E694"/>
      <c r="F694" s="27" t="s">
        <v>7</v>
      </c>
      <c r="G694" s="27" t="s">
        <v>8</v>
      </c>
      <c r="H694" s="27" t="s">
        <v>7</v>
      </c>
      <c r="K694" s="27" t="s">
        <v>8</v>
      </c>
      <c r="L694" s="27" t="s">
        <v>7</v>
      </c>
      <c r="AA694" s="27" t="s">
        <v>8</v>
      </c>
      <c r="AD694" s="27" t="s">
        <v>7</v>
      </c>
      <c r="AI694" s="27" t="s">
        <v>8</v>
      </c>
      <c r="AJ694" s="27" t="s">
        <v>7</v>
      </c>
      <c r="AO694" s="27" t="s">
        <v>8</v>
      </c>
      <c r="AR694" s="27" t="s">
        <v>7</v>
      </c>
      <c r="BF694" s="27" t="s">
        <v>7</v>
      </c>
      <c r="BG694" s="27" t="s">
        <v>8</v>
      </c>
      <c r="BP694" s="27" t="s">
        <v>7</v>
      </c>
      <c r="BQ694" s="27" t="s">
        <v>8</v>
      </c>
      <c r="BR694" s="27" t="s">
        <v>7</v>
      </c>
      <c r="BT694" s="27" t="s">
        <v>7</v>
      </c>
      <c r="BU694" s="27" t="s">
        <v>8</v>
      </c>
      <c r="CD694" s="27" t="s">
        <v>7</v>
      </c>
      <c r="CE694" s="27" t="s">
        <v>8</v>
      </c>
      <c r="CH694" s="27" t="s">
        <v>7</v>
      </c>
      <c r="CI694" s="27" t="s">
        <v>8</v>
      </c>
      <c r="CJ694" s="27" t="s">
        <v>7</v>
      </c>
      <c r="CL694" s="27" t="s">
        <v>7</v>
      </c>
      <c r="CV694" s="27" t="s">
        <v>7</v>
      </c>
      <c r="DC694" s="27" t="s">
        <v>8</v>
      </c>
      <c r="DD694" s="27" t="s">
        <v>7</v>
      </c>
      <c r="FC694" s="27" t="s">
        <v>8</v>
      </c>
      <c r="FD694" s="27" t="s">
        <v>7</v>
      </c>
      <c r="FG694" s="27" t="s">
        <v>8</v>
      </c>
      <c r="FH694" s="27" t="s">
        <v>7</v>
      </c>
      <c r="FI694" s="27" t="s">
        <v>8</v>
      </c>
    </row>
    <row r="695" spans="1:165" x14ac:dyDescent="0.25">
      <c r="A695" s="7">
        <v>0.1178098084100765</v>
      </c>
      <c r="B695"/>
      <c r="C695"/>
      <c r="D695"/>
      <c r="E695"/>
      <c r="F695" s="27" t="s">
        <v>7</v>
      </c>
      <c r="G695" s="27" t="s">
        <v>8</v>
      </c>
      <c r="H695" s="27" t="s">
        <v>7</v>
      </c>
      <c r="K695" s="27" t="s">
        <v>8</v>
      </c>
      <c r="L695" s="27" t="s">
        <v>7</v>
      </c>
      <c r="M695" s="27" t="s">
        <v>8</v>
      </c>
      <c r="AA695" s="27" t="s">
        <v>8</v>
      </c>
      <c r="AD695" s="27" t="s">
        <v>7</v>
      </c>
      <c r="AI695" s="27" t="s">
        <v>8</v>
      </c>
      <c r="AJ695" s="27" t="s">
        <v>7</v>
      </c>
      <c r="AO695" s="27" t="s">
        <v>8</v>
      </c>
      <c r="BF695" s="27" t="s">
        <v>7</v>
      </c>
      <c r="BG695" s="27" t="s">
        <v>8</v>
      </c>
      <c r="BP695" s="27" t="s">
        <v>7</v>
      </c>
      <c r="BQ695" s="27" t="s">
        <v>8</v>
      </c>
      <c r="BT695" s="27" t="s">
        <v>7</v>
      </c>
      <c r="BU695" s="27" t="s">
        <v>8</v>
      </c>
      <c r="CD695" s="27" t="s">
        <v>7</v>
      </c>
      <c r="CE695" s="27" t="s">
        <v>8</v>
      </c>
      <c r="CH695" s="27" t="s">
        <v>7</v>
      </c>
      <c r="CV695" s="27" t="s">
        <v>7</v>
      </c>
      <c r="DC695" s="27" t="s">
        <v>8</v>
      </c>
      <c r="DD695" s="27" t="s">
        <v>7</v>
      </c>
      <c r="FC695" s="27" t="s">
        <v>8</v>
      </c>
      <c r="FD695" s="27" t="s">
        <v>7</v>
      </c>
      <c r="FE695" s="27" t="s">
        <v>8</v>
      </c>
      <c r="FG695" s="27" t="s">
        <v>8</v>
      </c>
      <c r="FH695" s="27" t="s">
        <v>7</v>
      </c>
      <c r="FI695" s="27" t="s">
        <v>8</v>
      </c>
    </row>
    <row r="696" spans="1:165" x14ac:dyDescent="0.25">
      <c r="A696" s="7">
        <v>0.11549981216674166</v>
      </c>
      <c r="B696"/>
      <c r="C696"/>
      <c r="D696"/>
      <c r="E696"/>
      <c r="F696" s="27" t="s">
        <v>7</v>
      </c>
      <c r="G696" s="27" t="s">
        <v>8</v>
      </c>
      <c r="H696" s="27" t="s">
        <v>7</v>
      </c>
      <c r="K696" s="27" t="s">
        <v>8</v>
      </c>
      <c r="L696" s="27" t="s">
        <v>7</v>
      </c>
      <c r="M696" s="27" t="s">
        <v>8</v>
      </c>
      <c r="N696" s="27" t="s">
        <v>7</v>
      </c>
      <c r="AA696" s="27" t="s">
        <v>8</v>
      </c>
      <c r="AD696" s="27" t="s">
        <v>7</v>
      </c>
      <c r="AE696" s="27" t="s">
        <v>8</v>
      </c>
      <c r="AI696" s="27" t="s">
        <v>8</v>
      </c>
      <c r="AJ696" s="27" t="s">
        <v>7</v>
      </c>
      <c r="AO696" s="27" t="s">
        <v>8</v>
      </c>
      <c r="BF696" s="27" t="s">
        <v>7</v>
      </c>
      <c r="BP696" s="27" t="s">
        <v>7</v>
      </c>
      <c r="BQ696" s="27" t="s">
        <v>8</v>
      </c>
      <c r="BT696" s="27" t="s">
        <v>7</v>
      </c>
      <c r="CD696" s="27" t="s">
        <v>7</v>
      </c>
      <c r="CV696" s="27" t="s">
        <v>7</v>
      </c>
      <c r="CW696" s="27" t="s">
        <v>8</v>
      </c>
      <c r="DC696" s="27" t="s">
        <v>8</v>
      </c>
      <c r="DD696" s="27" t="s">
        <v>7</v>
      </c>
      <c r="FC696" s="27" t="s">
        <v>8</v>
      </c>
      <c r="FD696" s="27" t="s">
        <v>7</v>
      </c>
      <c r="FE696" s="27" t="s">
        <v>8</v>
      </c>
      <c r="FF696" s="27" t="s">
        <v>7</v>
      </c>
      <c r="FG696" s="27" t="s">
        <v>8</v>
      </c>
      <c r="FH696" s="27" t="s">
        <v>7</v>
      </c>
      <c r="FI696" s="27" t="s">
        <v>8</v>
      </c>
    </row>
    <row r="697" spans="1:165" x14ac:dyDescent="0.25">
      <c r="A697" s="7">
        <v>0.11323510996739378</v>
      </c>
      <c r="B697"/>
      <c r="C697"/>
      <c r="D697"/>
      <c r="E697"/>
      <c r="F697" s="27" t="s">
        <v>7</v>
      </c>
      <c r="G697" s="27" t="s">
        <v>8</v>
      </c>
      <c r="H697" s="27" t="s">
        <v>7</v>
      </c>
      <c r="K697" s="27" t="s">
        <v>8</v>
      </c>
      <c r="L697" s="27" t="s">
        <v>7</v>
      </c>
      <c r="M697" s="27" t="s">
        <v>8</v>
      </c>
      <c r="N697" s="27" t="s">
        <v>7</v>
      </c>
      <c r="AA697" s="27" t="s">
        <v>8</v>
      </c>
      <c r="AD697" s="27" t="s">
        <v>7</v>
      </c>
      <c r="AE697" s="27" t="s">
        <v>8</v>
      </c>
      <c r="AF697" s="27" t="s">
        <v>7</v>
      </c>
      <c r="AI697" s="27" t="s">
        <v>8</v>
      </c>
      <c r="AJ697" s="27" t="s">
        <v>7</v>
      </c>
      <c r="AO697" s="27" t="s">
        <v>8</v>
      </c>
      <c r="BP697" s="27" t="s">
        <v>7</v>
      </c>
      <c r="BQ697" s="27" t="s">
        <v>8</v>
      </c>
      <c r="CV697" s="27" t="s">
        <v>7</v>
      </c>
      <c r="CW697" s="27" t="s">
        <v>8</v>
      </c>
      <c r="CX697" s="27" t="s">
        <v>7</v>
      </c>
      <c r="DA697" s="27" t="s">
        <v>8</v>
      </c>
      <c r="DC697" s="27" t="s">
        <v>8</v>
      </c>
      <c r="DD697" s="27" t="s">
        <v>7</v>
      </c>
      <c r="FC697" s="27" t="s">
        <v>8</v>
      </c>
      <c r="FD697" s="27" t="s">
        <v>7</v>
      </c>
      <c r="FE697" s="27" t="s">
        <v>8</v>
      </c>
      <c r="FF697" s="27" t="s">
        <v>7</v>
      </c>
      <c r="FG697" s="27" t="s">
        <v>8</v>
      </c>
      <c r="FH697" s="27" t="s">
        <v>7</v>
      </c>
    </row>
    <row r="698" spans="1:165" x14ac:dyDescent="0.25">
      <c r="A698" s="7">
        <v>0.11101481369352331</v>
      </c>
      <c r="B698"/>
      <c r="C698"/>
      <c r="D698"/>
      <c r="E698"/>
      <c r="F698" s="27" t="s">
        <v>7</v>
      </c>
      <c r="G698" s="27" t="s">
        <v>8</v>
      </c>
      <c r="H698" s="27" t="s">
        <v>7</v>
      </c>
      <c r="K698" s="27" t="s">
        <v>8</v>
      </c>
      <c r="L698" s="27" t="s">
        <v>7</v>
      </c>
      <c r="M698" s="27" t="s">
        <v>8</v>
      </c>
      <c r="N698" s="27" t="s">
        <v>7</v>
      </c>
      <c r="AA698" s="27" t="s">
        <v>8</v>
      </c>
      <c r="AD698" s="27" t="s">
        <v>7</v>
      </c>
      <c r="AE698" s="27" t="s">
        <v>8</v>
      </c>
      <c r="AF698" s="27" t="s">
        <v>7</v>
      </c>
      <c r="AI698" s="27" t="s">
        <v>8</v>
      </c>
      <c r="AJ698" s="27" t="s">
        <v>7</v>
      </c>
      <c r="AO698" s="27" t="s">
        <v>8</v>
      </c>
      <c r="BP698" s="27" t="s">
        <v>7</v>
      </c>
      <c r="CV698" s="27" t="s">
        <v>7</v>
      </c>
      <c r="CW698" s="27" t="s">
        <v>8</v>
      </c>
      <c r="CX698" s="27" t="s">
        <v>7</v>
      </c>
      <c r="DA698" s="27" t="s">
        <v>8</v>
      </c>
      <c r="DB698" s="27" t="s">
        <v>7</v>
      </c>
      <c r="DC698" s="27" t="s">
        <v>8</v>
      </c>
      <c r="DD698" s="27" t="s">
        <v>7</v>
      </c>
      <c r="FC698" s="27" t="s">
        <v>8</v>
      </c>
      <c r="FD698" s="27" t="s">
        <v>7</v>
      </c>
      <c r="FE698" s="27" t="s">
        <v>8</v>
      </c>
      <c r="FF698" s="27" t="s">
        <v>7</v>
      </c>
    </row>
    <row r="699" spans="1:165" x14ac:dyDescent="0.25">
      <c r="A699" s="7">
        <v>0.10883805264070913</v>
      </c>
      <c r="B699"/>
      <c r="C699"/>
      <c r="D699"/>
      <c r="E699"/>
      <c r="F699" s="27" t="s">
        <v>7</v>
      </c>
      <c r="G699" s="27" t="s">
        <v>8</v>
      </c>
      <c r="H699" s="27" t="s">
        <v>7</v>
      </c>
      <c r="K699" s="27" t="s">
        <v>8</v>
      </c>
      <c r="L699" s="27" t="s">
        <v>7</v>
      </c>
      <c r="M699" s="27" t="s">
        <v>8</v>
      </c>
      <c r="N699" s="27" t="s">
        <v>7</v>
      </c>
      <c r="AA699" s="27" t="s">
        <v>8</v>
      </c>
      <c r="AD699" s="27" t="s">
        <v>7</v>
      </c>
      <c r="AE699" s="27" t="s">
        <v>8</v>
      </c>
      <c r="AF699" s="27" t="s">
        <v>7</v>
      </c>
      <c r="AG699" s="27" t="s">
        <v>8</v>
      </c>
      <c r="AI699" s="27" t="s">
        <v>8</v>
      </c>
      <c r="AJ699" s="27" t="s">
        <v>7</v>
      </c>
      <c r="AO699" s="27" t="s">
        <v>8</v>
      </c>
      <c r="CV699" s="27" t="s">
        <v>7</v>
      </c>
      <c r="CW699" s="27" t="s">
        <v>8</v>
      </c>
      <c r="CX699" s="27" t="s">
        <v>7</v>
      </c>
      <c r="DA699" s="27" t="s">
        <v>8</v>
      </c>
      <c r="DB699" s="27" t="s">
        <v>7</v>
      </c>
      <c r="DC699" s="27" t="s">
        <v>8</v>
      </c>
      <c r="DD699" s="27" t="s">
        <v>7</v>
      </c>
      <c r="DE699" s="27" t="s">
        <v>8</v>
      </c>
      <c r="EY699" s="27" t="s">
        <v>8</v>
      </c>
      <c r="FC699" s="27" t="s">
        <v>8</v>
      </c>
      <c r="FD699" s="27" t="s">
        <v>7</v>
      </c>
      <c r="FE699" s="27" t="s">
        <v>8</v>
      </c>
    </row>
    <row r="700" spans="1:165" x14ac:dyDescent="0.25">
      <c r="A700" s="7">
        <v>0.10670397317716582</v>
      </c>
      <c r="B700"/>
      <c r="C700"/>
      <c r="D700"/>
      <c r="E700"/>
      <c r="F700" s="27" t="s">
        <v>7</v>
      </c>
      <c r="G700" s="27" t="s">
        <v>8</v>
      </c>
      <c r="H700" s="27" t="s">
        <v>7</v>
      </c>
      <c r="I700" s="27" t="s">
        <v>8</v>
      </c>
      <c r="K700" s="27" t="s">
        <v>8</v>
      </c>
      <c r="L700" s="27" t="s">
        <v>7</v>
      </c>
      <c r="M700" s="27" t="s">
        <v>8</v>
      </c>
      <c r="N700" s="27" t="s">
        <v>7</v>
      </c>
      <c r="AA700" s="27" t="s">
        <v>8</v>
      </c>
      <c r="AD700" s="27" t="s">
        <v>7</v>
      </c>
      <c r="AE700" s="27" t="s">
        <v>8</v>
      </c>
      <c r="AF700" s="27" t="s">
        <v>7</v>
      </c>
      <c r="AG700" s="27" t="s">
        <v>8</v>
      </c>
      <c r="AH700" s="27" t="s">
        <v>7</v>
      </c>
      <c r="AI700" s="27" t="s">
        <v>8</v>
      </c>
      <c r="AJ700" s="27" t="s">
        <v>7</v>
      </c>
      <c r="AO700" s="27" t="s">
        <v>8</v>
      </c>
      <c r="CV700" s="27" t="s">
        <v>7</v>
      </c>
      <c r="CW700" s="27" t="s">
        <v>8</v>
      </c>
      <c r="CX700" s="27" t="s">
        <v>7</v>
      </c>
      <c r="DA700" s="27" t="s">
        <v>8</v>
      </c>
      <c r="DB700" s="27" t="s">
        <v>7</v>
      </c>
      <c r="DD700" s="27" t="s">
        <v>7</v>
      </c>
      <c r="DE700" s="27" t="s">
        <v>8</v>
      </c>
      <c r="DF700" s="27" t="s">
        <v>7</v>
      </c>
      <c r="EY700" s="27" t="s">
        <v>8</v>
      </c>
      <c r="EZ700" s="27" t="s">
        <v>7</v>
      </c>
      <c r="FC700" s="27" t="s">
        <v>8</v>
      </c>
      <c r="FD700" s="27" t="s">
        <v>7</v>
      </c>
      <c r="FE700" s="27" t="s">
        <v>8</v>
      </c>
    </row>
    <row r="701" spans="1:165" x14ac:dyDescent="0.25">
      <c r="A701" s="7">
        <v>0.1046117384089861</v>
      </c>
      <c r="B701"/>
      <c r="C701"/>
      <c r="D701"/>
      <c r="E701"/>
      <c r="F701" s="27" t="s">
        <v>7</v>
      </c>
      <c r="G701" s="27" t="s">
        <v>8</v>
      </c>
      <c r="H701" s="27" t="s">
        <v>7</v>
      </c>
      <c r="I701" s="27" t="s">
        <v>8</v>
      </c>
      <c r="J701" s="27" t="s">
        <v>7</v>
      </c>
      <c r="K701" s="27" t="s">
        <v>8</v>
      </c>
      <c r="L701" s="27" t="s">
        <v>7</v>
      </c>
      <c r="M701" s="27" t="s">
        <v>8</v>
      </c>
      <c r="N701" s="27" t="s">
        <v>7</v>
      </c>
      <c r="AA701" s="27" t="s">
        <v>8</v>
      </c>
      <c r="AD701" s="27" t="s">
        <v>7</v>
      </c>
      <c r="AE701" s="27" t="s">
        <v>8</v>
      </c>
      <c r="AF701" s="27" t="s">
        <v>7</v>
      </c>
      <c r="AG701" s="27" t="s">
        <v>8</v>
      </c>
      <c r="AH701" s="27" t="s">
        <v>7</v>
      </c>
      <c r="AI701" s="27" t="s">
        <v>8</v>
      </c>
      <c r="AJ701" s="27" t="s">
        <v>7</v>
      </c>
      <c r="AK701" s="27" t="s">
        <v>8</v>
      </c>
      <c r="AO701" s="27" t="s">
        <v>8</v>
      </c>
      <c r="CV701" s="27" t="s">
        <v>7</v>
      </c>
      <c r="CW701" s="27" t="s">
        <v>8</v>
      </c>
      <c r="CX701" s="27" t="s">
        <v>7</v>
      </c>
      <c r="CY701" s="27" t="s">
        <v>8</v>
      </c>
      <c r="DA701" s="27" t="s">
        <v>8</v>
      </c>
      <c r="DD701" s="27" t="s">
        <v>7</v>
      </c>
      <c r="DE701" s="27" t="s">
        <v>8</v>
      </c>
      <c r="DF701" s="27" t="s">
        <v>7</v>
      </c>
      <c r="DM701" s="27" t="s">
        <v>8</v>
      </c>
      <c r="EY701" s="27" t="s">
        <v>8</v>
      </c>
      <c r="EZ701" s="27" t="s">
        <v>7</v>
      </c>
      <c r="FC701" s="27" t="s">
        <v>8</v>
      </c>
      <c r="FD701" s="27" t="s">
        <v>7</v>
      </c>
      <c r="FE701" s="27" t="s">
        <v>8</v>
      </c>
    </row>
    <row r="702" spans="1:165" x14ac:dyDescent="0.25">
      <c r="A702" s="7">
        <v>0.10256052785194716</v>
      </c>
      <c r="B702"/>
      <c r="C702"/>
      <c r="D702"/>
      <c r="E702"/>
      <c r="F702" s="27" t="s">
        <v>7</v>
      </c>
      <c r="G702" s="27" t="s">
        <v>8</v>
      </c>
      <c r="H702" s="27" t="s">
        <v>7</v>
      </c>
      <c r="I702" s="27" t="s">
        <v>8</v>
      </c>
      <c r="J702" s="27" t="s">
        <v>7</v>
      </c>
      <c r="K702" s="27" t="s">
        <v>8</v>
      </c>
      <c r="L702" s="27" t="s">
        <v>7</v>
      </c>
      <c r="M702" s="27" t="s">
        <v>8</v>
      </c>
      <c r="N702" s="27" t="s">
        <v>7</v>
      </c>
      <c r="AA702" s="27" t="s">
        <v>8</v>
      </c>
      <c r="AD702" s="27" t="s">
        <v>7</v>
      </c>
      <c r="AE702" s="27" t="s">
        <v>8</v>
      </c>
      <c r="AF702" s="27" t="s">
        <v>7</v>
      </c>
      <c r="AG702" s="27" t="s">
        <v>8</v>
      </c>
      <c r="AH702" s="27" t="s">
        <v>7</v>
      </c>
      <c r="AI702" s="27" t="s">
        <v>8</v>
      </c>
      <c r="AJ702" s="27" t="s">
        <v>7</v>
      </c>
      <c r="AK702" s="27" t="s">
        <v>8</v>
      </c>
      <c r="AL702" s="27" t="s">
        <v>7</v>
      </c>
      <c r="AM702" s="27" t="s">
        <v>8</v>
      </c>
      <c r="AO702" s="27" t="s">
        <v>8</v>
      </c>
      <c r="CV702" s="27" t="s">
        <v>7</v>
      </c>
      <c r="CW702" s="27" t="s">
        <v>8</v>
      </c>
      <c r="CX702" s="27" t="s">
        <v>7</v>
      </c>
      <c r="CY702" s="27" t="s">
        <v>8</v>
      </c>
      <c r="CZ702" s="27" t="s">
        <v>7</v>
      </c>
      <c r="DA702" s="27" t="s">
        <v>8</v>
      </c>
      <c r="DD702" s="27" t="s">
        <v>7</v>
      </c>
      <c r="DE702" s="27" t="s">
        <v>8</v>
      </c>
      <c r="DF702" s="27" t="s">
        <v>7</v>
      </c>
      <c r="DM702" s="27" t="s">
        <v>8</v>
      </c>
      <c r="DN702" s="27" t="s">
        <v>7</v>
      </c>
      <c r="EY702" s="27" t="s">
        <v>8</v>
      </c>
      <c r="EZ702" s="27" t="s">
        <v>7</v>
      </c>
      <c r="FC702" s="27" t="s">
        <v>8</v>
      </c>
      <c r="FD702" s="27" t="s">
        <v>7</v>
      </c>
      <c r="FE702" s="27" t="s">
        <v>8</v>
      </c>
    </row>
    <row r="703" spans="1:165" x14ac:dyDescent="0.25">
      <c r="A703" s="7">
        <v>0.10054953710975212</v>
      </c>
      <c r="B703"/>
      <c r="C703"/>
      <c r="D703"/>
      <c r="E703"/>
      <c r="F703" s="27" t="s">
        <v>7</v>
      </c>
      <c r="G703" s="27" t="s">
        <v>8</v>
      </c>
      <c r="H703" s="27" t="s">
        <v>7</v>
      </c>
      <c r="I703" s="27" t="s">
        <v>8</v>
      </c>
      <c r="J703" s="27" t="s">
        <v>7</v>
      </c>
      <c r="K703" s="27" t="s">
        <v>8</v>
      </c>
      <c r="L703" s="27" t="s">
        <v>7</v>
      </c>
      <c r="N703" s="27" t="s">
        <v>7</v>
      </c>
      <c r="AA703" s="27" t="s">
        <v>8</v>
      </c>
      <c r="AD703" s="27" t="s">
        <v>7</v>
      </c>
      <c r="AE703" s="27" t="s">
        <v>8</v>
      </c>
      <c r="AF703" s="27" t="s">
        <v>7</v>
      </c>
      <c r="AG703" s="27" t="s">
        <v>8</v>
      </c>
      <c r="AH703" s="27" t="s">
        <v>7</v>
      </c>
      <c r="AI703" s="27" t="s">
        <v>8</v>
      </c>
      <c r="AJ703" s="27" t="s">
        <v>7</v>
      </c>
      <c r="AK703" s="27" t="s">
        <v>8</v>
      </c>
      <c r="AL703" s="27" t="s">
        <v>7</v>
      </c>
      <c r="AM703" s="27" t="s">
        <v>8</v>
      </c>
      <c r="AN703" s="27" t="s">
        <v>7</v>
      </c>
      <c r="AO703" s="27" t="s">
        <v>8</v>
      </c>
      <c r="CV703" s="27" t="s">
        <v>7</v>
      </c>
      <c r="CW703" s="27" t="s">
        <v>8</v>
      </c>
      <c r="CX703" s="27" t="s">
        <v>7</v>
      </c>
      <c r="CY703" s="27" t="s">
        <v>8</v>
      </c>
      <c r="CZ703" s="27" t="s">
        <v>7</v>
      </c>
      <c r="DA703" s="27" t="s">
        <v>8</v>
      </c>
      <c r="DD703" s="27" t="s">
        <v>7</v>
      </c>
      <c r="DE703" s="27" t="s">
        <v>8</v>
      </c>
      <c r="DF703" s="27" t="s">
        <v>7</v>
      </c>
      <c r="DI703" s="27" t="s">
        <v>8</v>
      </c>
      <c r="DM703" s="27" t="s">
        <v>8</v>
      </c>
      <c r="DN703" s="27" t="s">
        <v>7</v>
      </c>
      <c r="EY703" s="27" t="s">
        <v>8</v>
      </c>
      <c r="EZ703" s="27" t="s">
        <v>7</v>
      </c>
      <c r="FC703" s="27" t="s">
        <v>8</v>
      </c>
      <c r="FD703" s="27" t="s">
        <v>7</v>
      </c>
    </row>
    <row r="704" spans="1:165" x14ac:dyDescent="0.25">
      <c r="A704" s="7">
        <v>9.8577977558580512E-2</v>
      </c>
      <c r="B704"/>
      <c r="C704"/>
      <c r="D704"/>
      <c r="E704"/>
      <c r="F704" s="27" t="s">
        <v>7</v>
      </c>
      <c r="G704" s="27" t="s">
        <v>8</v>
      </c>
      <c r="H704" s="27" t="s">
        <v>7</v>
      </c>
      <c r="I704" s="27" t="s">
        <v>8</v>
      </c>
      <c r="J704" s="27" t="s">
        <v>7</v>
      </c>
      <c r="K704" s="27" t="s">
        <v>8</v>
      </c>
      <c r="N704" s="27" t="s">
        <v>7</v>
      </c>
      <c r="AA704" s="27" t="s">
        <v>8</v>
      </c>
      <c r="AD704" s="27" t="s">
        <v>7</v>
      </c>
      <c r="AE704" s="27" t="s">
        <v>8</v>
      </c>
      <c r="AF704" s="27" t="s">
        <v>7</v>
      </c>
      <c r="AG704" s="27" t="s">
        <v>8</v>
      </c>
      <c r="AH704" s="27" t="s">
        <v>7</v>
      </c>
      <c r="AI704" s="27" t="s">
        <v>8</v>
      </c>
      <c r="AJ704" s="27" t="s">
        <v>7</v>
      </c>
      <c r="AK704" s="27" t="s">
        <v>8</v>
      </c>
      <c r="AL704" s="27" t="s">
        <v>7</v>
      </c>
      <c r="AM704" s="27" t="s">
        <v>8</v>
      </c>
      <c r="AN704" s="27" t="s">
        <v>7</v>
      </c>
      <c r="AO704" s="27" t="s">
        <v>8</v>
      </c>
      <c r="CV704" s="27" t="s">
        <v>7</v>
      </c>
      <c r="CW704" s="27" t="s">
        <v>8</v>
      </c>
      <c r="CX704" s="27" t="s">
        <v>7</v>
      </c>
      <c r="CY704" s="27" t="s">
        <v>8</v>
      </c>
      <c r="CZ704" s="27" t="s">
        <v>7</v>
      </c>
      <c r="DA704" s="27" t="s">
        <v>8</v>
      </c>
      <c r="DD704" s="27" t="s">
        <v>7</v>
      </c>
      <c r="DE704" s="27" t="s">
        <v>8</v>
      </c>
      <c r="DF704" s="27" t="s">
        <v>7</v>
      </c>
      <c r="DI704" s="27" t="s">
        <v>8</v>
      </c>
      <c r="DJ704" s="27" t="s">
        <v>7</v>
      </c>
      <c r="DK704" s="27" t="s">
        <v>8</v>
      </c>
      <c r="DM704" s="27" t="s">
        <v>8</v>
      </c>
      <c r="DN704" s="27" t="s">
        <v>7</v>
      </c>
      <c r="DO704" s="27" t="s">
        <v>8</v>
      </c>
      <c r="EY704" s="27" t="s">
        <v>8</v>
      </c>
      <c r="EZ704" s="27" t="s">
        <v>7</v>
      </c>
      <c r="FC704" s="27" t="s">
        <v>8</v>
      </c>
    </row>
    <row r="705" spans="1:159" x14ac:dyDescent="0.25">
      <c r="A705" s="7">
        <v>9.6645076037824032E-2</v>
      </c>
      <c r="B705"/>
      <c r="C705"/>
      <c r="D705"/>
      <c r="E705"/>
      <c r="F705" s="27" t="s">
        <v>7</v>
      </c>
      <c r="G705" s="27" t="s">
        <v>8</v>
      </c>
      <c r="H705" s="27" t="s">
        <v>7</v>
      </c>
      <c r="I705" s="27" t="s">
        <v>8</v>
      </c>
      <c r="J705" s="27" t="s">
        <v>7</v>
      </c>
      <c r="K705" s="27" t="s">
        <v>8</v>
      </c>
      <c r="N705" s="27" t="s">
        <v>7</v>
      </c>
      <c r="O705" s="27" t="s">
        <v>8</v>
      </c>
      <c r="AA705" s="27" t="s">
        <v>8</v>
      </c>
      <c r="AD705" s="27" t="s">
        <v>7</v>
      </c>
      <c r="AE705" s="27" t="s">
        <v>8</v>
      </c>
      <c r="AF705" s="27" t="s">
        <v>7</v>
      </c>
      <c r="AG705" s="27" t="s">
        <v>8</v>
      </c>
      <c r="AH705" s="27" t="s">
        <v>7</v>
      </c>
      <c r="AI705" s="27" t="s">
        <v>8</v>
      </c>
      <c r="AJ705" s="27" t="s">
        <v>7</v>
      </c>
      <c r="AK705" s="27" t="s">
        <v>8</v>
      </c>
      <c r="AL705" s="27" t="s">
        <v>7</v>
      </c>
      <c r="AM705" s="27" t="s">
        <v>8</v>
      </c>
      <c r="AN705" s="27" t="s">
        <v>7</v>
      </c>
      <c r="AO705" s="27" t="s">
        <v>8</v>
      </c>
      <c r="CV705" s="27" t="s">
        <v>7</v>
      </c>
      <c r="CW705" s="27" t="s">
        <v>8</v>
      </c>
      <c r="CX705" s="27" t="s">
        <v>7</v>
      </c>
      <c r="CY705" s="27" t="s">
        <v>8</v>
      </c>
      <c r="CZ705" s="27" t="s">
        <v>7</v>
      </c>
      <c r="DD705" s="27" t="s">
        <v>7</v>
      </c>
      <c r="DE705" s="27" t="s">
        <v>8</v>
      </c>
      <c r="DF705" s="27" t="s">
        <v>7</v>
      </c>
      <c r="DG705" s="27" t="s">
        <v>8</v>
      </c>
      <c r="DI705" s="27" t="s">
        <v>8</v>
      </c>
      <c r="DJ705" s="27" t="s">
        <v>7</v>
      </c>
      <c r="DK705" s="27" t="s">
        <v>8</v>
      </c>
      <c r="DL705" s="27" t="s">
        <v>7</v>
      </c>
      <c r="DM705" s="27" t="s">
        <v>8</v>
      </c>
      <c r="DN705" s="27" t="s">
        <v>7</v>
      </c>
      <c r="DO705" s="27" t="s">
        <v>8</v>
      </c>
      <c r="DP705" s="27" t="s">
        <v>7</v>
      </c>
      <c r="EY705" s="27" t="s">
        <v>8</v>
      </c>
      <c r="EZ705" s="27" t="s">
        <v>7</v>
      </c>
      <c r="FA705" s="27" t="s">
        <v>8</v>
      </c>
      <c r="FC705" s="27" t="s">
        <v>8</v>
      </c>
    </row>
    <row r="706" spans="1:159" x14ac:dyDescent="0.25">
      <c r="A706" s="7">
        <v>9.4750074546886304E-2</v>
      </c>
      <c r="B706"/>
      <c r="C706"/>
      <c r="D706"/>
      <c r="E706"/>
      <c r="F706" s="27" t="s">
        <v>7</v>
      </c>
      <c r="G706" s="27" t="s">
        <v>8</v>
      </c>
      <c r="H706" s="27" t="s">
        <v>7</v>
      </c>
      <c r="I706" s="27" t="s">
        <v>8</v>
      </c>
      <c r="J706" s="27" t="s">
        <v>7</v>
      </c>
      <c r="K706" s="27" t="s">
        <v>8</v>
      </c>
      <c r="N706" s="27" t="s">
        <v>7</v>
      </c>
      <c r="O706" s="27" t="s">
        <v>8</v>
      </c>
      <c r="P706" s="27" t="s">
        <v>7</v>
      </c>
      <c r="AA706" s="27" t="s">
        <v>8</v>
      </c>
      <c r="AD706" s="27" t="s">
        <v>7</v>
      </c>
      <c r="AE706" s="27" t="s">
        <v>8</v>
      </c>
      <c r="AF706" s="27" t="s">
        <v>7</v>
      </c>
      <c r="AG706" s="27" t="s">
        <v>8</v>
      </c>
      <c r="AH706" s="27" t="s">
        <v>7</v>
      </c>
      <c r="AI706" s="27" t="s">
        <v>8</v>
      </c>
      <c r="AJ706" s="27" t="s">
        <v>7</v>
      </c>
      <c r="AK706" s="27" t="s">
        <v>8</v>
      </c>
      <c r="AL706" s="27" t="s">
        <v>7</v>
      </c>
      <c r="AN706" s="27" t="s">
        <v>7</v>
      </c>
      <c r="AO706" s="27" t="s">
        <v>8</v>
      </c>
      <c r="CV706" s="27" t="s">
        <v>7</v>
      </c>
      <c r="CW706" s="27" t="s">
        <v>8</v>
      </c>
      <c r="CX706" s="27" t="s">
        <v>7</v>
      </c>
      <c r="DD706" s="27" t="s">
        <v>7</v>
      </c>
      <c r="DE706" s="27" t="s">
        <v>8</v>
      </c>
      <c r="DF706" s="27" t="s">
        <v>7</v>
      </c>
      <c r="DG706" s="27" t="s">
        <v>8</v>
      </c>
      <c r="DH706" s="27" t="s">
        <v>7</v>
      </c>
      <c r="DI706" s="27" t="s">
        <v>8</v>
      </c>
      <c r="DJ706" s="27" t="s">
        <v>7</v>
      </c>
      <c r="DK706" s="27" t="s">
        <v>8</v>
      </c>
      <c r="DL706" s="27" t="s">
        <v>7</v>
      </c>
      <c r="DM706" s="27" t="s">
        <v>8</v>
      </c>
      <c r="DN706" s="27" t="s">
        <v>7</v>
      </c>
      <c r="DO706" s="27" t="s">
        <v>8</v>
      </c>
      <c r="DP706" s="27" t="s">
        <v>7</v>
      </c>
      <c r="EY706" s="27" t="s">
        <v>8</v>
      </c>
      <c r="EZ706" s="27" t="s">
        <v>7</v>
      </c>
      <c r="FA706" s="27" t="s">
        <v>8</v>
      </c>
      <c r="FB706" s="27" t="s">
        <v>7</v>
      </c>
      <c r="FC706" s="27" t="s">
        <v>8</v>
      </c>
    </row>
    <row r="707" spans="1:159" x14ac:dyDescent="0.25">
      <c r="A707" s="7">
        <v>9.2892229947927743E-2</v>
      </c>
      <c r="B707"/>
      <c r="C707"/>
      <c r="D707"/>
      <c r="E707"/>
      <c r="F707" s="27" t="s">
        <v>7</v>
      </c>
      <c r="G707" s="27" t="s">
        <v>8</v>
      </c>
      <c r="H707" s="27" t="s">
        <v>7</v>
      </c>
      <c r="I707" s="27" t="s">
        <v>8</v>
      </c>
      <c r="J707" s="27" t="s">
        <v>7</v>
      </c>
      <c r="K707" s="27" t="s">
        <v>8</v>
      </c>
      <c r="N707" s="27" t="s">
        <v>7</v>
      </c>
      <c r="O707" s="27" t="s">
        <v>8</v>
      </c>
      <c r="P707" s="27" t="s">
        <v>7</v>
      </c>
      <c r="AA707" s="27" t="s">
        <v>8</v>
      </c>
      <c r="AD707" s="27" t="s">
        <v>7</v>
      </c>
      <c r="AE707" s="27" t="s">
        <v>8</v>
      </c>
      <c r="AF707" s="27" t="s">
        <v>7</v>
      </c>
      <c r="AG707" s="27" t="s">
        <v>8</v>
      </c>
      <c r="AH707" s="27" t="s">
        <v>7</v>
      </c>
      <c r="AI707" s="27" t="s">
        <v>8</v>
      </c>
      <c r="AJ707" s="27" t="s">
        <v>7</v>
      </c>
      <c r="AK707" s="27" t="s">
        <v>8</v>
      </c>
      <c r="AN707" s="27" t="s">
        <v>7</v>
      </c>
      <c r="AO707" s="27" t="s">
        <v>8</v>
      </c>
      <c r="CV707" s="27" t="s">
        <v>7</v>
      </c>
      <c r="CW707" s="27" t="s">
        <v>8</v>
      </c>
      <c r="DD707" s="27" t="s">
        <v>7</v>
      </c>
      <c r="DE707" s="27" t="s">
        <v>8</v>
      </c>
      <c r="DF707" s="27" t="s">
        <v>7</v>
      </c>
      <c r="DG707" s="27" t="s">
        <v>8</v>
      </c>
      <c r="DH707" s="27" t="s">
        <v>7</v>
      </c>
      <c r="DI707" s="27" t="s">
        <v>8</v>
      </c>
      <c r="DJ707" s="27" t="s">
        <v>7</v>
      </c>
      <c r="DL707" s="27" t="s">
        <v>7</v>
      </c>
      <c r="DM707" s="27" t="s">
        <v>8</v>
      </c>
      <c r="DN707" s="27" t="s">
        <v>7</v>
      </c>
      <c r="DO707" s="27" t="s">
        <v>8</v>
      </c>
      <c r="DP707" s="27" t="s">
        <v>7</v>
      </c>
      <c r="DQ707" s="27" t="s">
        <v>8</v>
      </c>
      <c r="EA707" s="27" t="s">
        <v>8</v>
      </c>
      <c r="ES707" s="27" t="s">
        <v>8</v>
      </c>
      <c r="EY707" s="27" t="s">
        <v>8</v>
      </c>
      <c r="EZ707" s="27" t="s">
        <v>7</v>
      </c>
      <c r="FA707" s="27" t="s">
        <v>8</v>
      </c>
      <c r="FB707" s="27" t="s">
        <v>7</v>
      </c>
      <c r="FC707" s="27" t="s">
        <v>8</v>
      </c>
    </row>
    <row r="708" spans="1:159" x14ac:dyDescent="0.25">
      <c r="A708" s="7">
        <v>9.1070813674438963E-2</v>
      </c>
      <c r="B708"/>
      <c r="C708"/>
      <c r="D708"/>
      <c r="E708"/>
      <c r="F708" s="27" t="s">
        <v>7</v>
      </c>
      <c r="G708" s="27" t="s">
        <v>8</v>
      </c>
      <c r="H708" s="27" t="s">
        <v>7</v>
      </c>
      <c r="I708" s="27" t="s">
        <v>8</v>
      </c>
      <c r="J708" s="27" t="s">
        <v>7</v>
      </c>
      <c r="N708" s="27" t="s">
        <v>7</v>
      </c>
      <c r="O708" s="27" t="s">
        <v>8</v>
      </c>
      <c r="P708" s="27" t="s">
        <v>7</v>
      </c>
      <c r="AA708" s="27" t="s">
        <v>8</v>
      </c>
      <c r="AD708" s="27" t="s">
        <v>7</v>
      </c>
      <c r="AE708" s="27" t="s">
        <v>8</v>
      </c>
      <c r="AF708" s="27" t="s">
        <v>7</v>
      </c>
      <c r="AG708" s="27" t="s">
        <v>8</v>
      </c>
      <c r="AH708" s="27" t="s">
        <v>7</v>
      </c>
      <c r="AI708" s="27" t="s">
        <v>8</v>
      </c>
      <c r="AJ708" s="27" t="s">
        <v>7</v>
      </c>
      <c r="AK708" s="27" t="s">
        <v>8</v>
      </c>
      <c r="AN708" s="27" t="s">
        <v>7</v>
      </c>
      <c r="AO708" s="27" t="s">
        <v>8</v>
      </c>
      <c r="CV708" s="27" t="s">
        <v>7</v>
      </c>
      <c r="DD708" s="27" t="s">
        <v>7</v>
      </c>
      <c r="DE708" s="27" t="s">
        <v>8</v>
      </c>
      <c r="DF708" s="27" t="s">
        <v>7</v>
      </c>
      <c r="DG708" s="27" t="s">
        <v>8</v>
      </c>
      <c r="DH708" s="27" t="s">
        <v>7</v>
      </c>
      <c r="DL708" s="27" t="s">
        <v>7</v>
      </c>
      <c r="DM708" s="27" t="s">
        <v>8</v>
      </c>
      <c r="DN708" s="27" t="s">
        <v>7</v>
      </c>
      <c r="DP708" s="27" t="s">
        <v>7</v>
      </c>
      <c r="DQ708" s="27" t="s">
        <v>8</v>
      </c>
      <c r="DR708" s="27" t="s">
        <v>7</v>
      </c>
      <c r="EA708" s="27" t="s">
        <v>8</v>
      </c>
      <c r="EB708" s="27" t="s">
        <v>7</v>
      </c>
      <c r="ES708" s="27" t="s">
        <v>8</v>
      </c>
      <c r="ET708" s="27" t="s">
        <v>7</v>
      </c>
      <c r="EY708" s="27" t="s">
        <v>8</v>
      </c>
      <c r="EZ708" s="27" t="s">
        <v>7</v>
      </c>
      <c r="FA708" s="27" t="s">
        <v>8</v>
      </c>
      <c r="FB708" s="27" t="s">
        <v>7</v>
      </c>
      <c r="FC708" s="27" t="s">
        <v>8</v>
      </c>
    </row>
    <row r="709" spans="1:159" x14ac:dyDescent="0.25">
      <c r="A709" s="7">
        <v>8.9285111445528392E-2</v>
      </c>
      <c r="B709"/>
      <c r="C709"/>
      <c r="D709"/>
      <c r="E709"/>
      <c r="F709" s="27" t="s">
        <v>7</v>
      </c>
      <c r="G709" s="27" t="s">
        <v>8</v>
      </c>
      <c r="H709" s="27" t="s">
        <v>7</v>
      </c>
      <c r="I709" s="27" t="s">
        <v>8</v>
      </c>
      <c r="N709" s="27" t="s">
        <v>7</v>
      </c>
      <c r="O709" s="27" t="s">
        <v>8</v>
      </c>
      <c r="P709" s="27" t="s">
        <v>7</v>
      </c>
      <c r="AA709" s="27" t="s">
        <v>8</v>
      </c>
      <c r="AD709" s="27" t="s">
        <v>7</v>
      </c>
      <c r="AE709" s="27" t="s">
        <v>8</v>
      </c>
      <c r="AF709" s="27" t="s">
        <v>7</v>
      </c>
      <c r="AG709" s="27" t="s">
        <v>8</v>
      </c>
      <c r="AH709" s="27" t="s">
        <v>7</v>
      </c>
      <c r="AI709" s="27" t="s">
        <v>8</v>
      </c>
      <c r="AJ709" s="27" t="s">
        <v>7</v>
      </c>
      <c r="AK709" s="27" t="s">
        <v>8</v>
      </c>
      <c r="AN709" s="27" t="s">
        <v>7</v>
      </c>
      <c r="DD709" s="27" t="s">
        <v>7</v>
      </c>
      <c r="DF709" s="27" t="s">
        <v>7</v>
      </c>
      <c r="DG709" s="27" t="s">
        <v>8</v>
      </c>
      <c r="DL709" s="27" t="s">
        <v>7</v>
      </c>
      <c r="DP709" s="27" t="s">
        <v>7</v>
      </c>
      <c r="DQ709" s="27" t="s">
        <v>8</v>
      </c>
      <c r="DR709" s="27" t="s">
        <v>7</v>
      </c>
      <c r="DS709" s="27" t="s">
        <v>8</v>
      </c>
      <c r="EA709" s="27" t="s">
        <v>8</v>
      </c>
      <c r="EB709" s="27" t="s">
        <v>7</v>
      </c>
      <c r="EQ709" s="27" t="s">
        <v>8</v>
      </c>
      <c r="ES709" s="27" t="s">
        <v>8</v>
      </c>
      <c r="ET709" s="27" t="s">
        <v>7</v>
      </c>
      <c r="EW709" s="27" t="s">
        <v>8</v>
      </c>
      <c r="EY709" s="27" t="s">
        <v>8</v>
      </c>
      <c r="EZ709" s="27" t="s">
        <v>7</v>
      </c>
      <c r="FA709" s="27" t="s">
        <v>8</v>
      </c>
      <c r="FB709" s="27" t="s">
        <v>7</v>
      </c>
      <c r="FC709" s="27" t="s">
        <v>8</v>
      </c>
    </row>
    <row r="710" spans="1:159" x14ac:dyDescent="0.25">
      <c r="A710" s="7">
        <v>8.7534422985812155E-2</v>
      </c>
      <c r="B710"/>
      <c r="C710"/>
      <c r="D710"/>
      <c r="E710"/>
      <c r="F710" s="27" t="s">
        <v>7</v>
      </c>
      <c r="G710" s="27" t="s">
        <v>8</v>
      </c>
      <c r="H710" s="27" t="s">
        <v>7</v>
      </c>
      <c r="I710" s="27" t="s">
        <v>8</v>
      </c>
      <c r="N710" s="27" t="s">
        <v>7</v>
      </c>
      <c r="O710" s="27" t="s">
        <v>8</v>
      </c>
      <c r="P710" s="27" t="s">
        <v>7</v>
      </c>
      <c r="Q710" s="27" t="s">
        <v>8</v>
      </c>
      <c r="AA710" s="27" t="s">
        <v>8</v>
      </c>
      <c r="AD710" s="27" t="s">
        <v>7</v>
      </c>
      <c r="AE710" s="27" t="s">
        <v>8</v>
      </c>
      <c r="AF710" s="27" t="s">
        <v>7</v>
      </c>
      <c r="AG710" s="27" t="s">
        <v>8</v>
      </c>
      <c r="AH710" s="27" t="s">
        <v>7</v>
      </c>
      <c r="AJ710" s="27" t="s">
        <v>7</v>
      </c>
      <c r="AK710" s="27" t="s">
        <v>8</v>
      </c>
      <c r="DF710" s="27" t="s">
        <v>7</v>
      </c>
      <c r="DG710" s="27" t="s">
        <v>8</v>
      </c>
      <c r="DP710" s="27" t="s">
        <v>7</v>
      </c>
      <c r="DQ710" s="27" t="s">
        <v>8</v>
      </c>
      <c r="DR710" s="27" t="s">
        <v>7</v>
      </c>
      <c r="DS710" s="27" t="s">
        <v>8</v>
      </c>
      <c r="DT710" s="27" t="s">
        <v>7</v>
      </c>
      <c r="EA710" s="27" t="s">
        <v>8</v>
      </c>
      <c r="EB710" s="27" t="s">
        <v>7</v>
      </c>
      <c r="EQ710" s="27" t="s">
        <v>8</v>
      </c>
      <c r="ER710" s="27" t="s">
        <v>7</v>
      </c>
      <c r="ES710" s="27" t="s">
        <v>8</v>
      </c>
      <c r="ET710" s="27" t="s">
        <v>7</v>
      </c>
      <c r="EW710" s="27" t="s">
        <v>8</v>
      </c>
      <c r="EX710" s="27" t="s">
        <v>7</v>
      </c>
      <c r="EY710" s="27" t="s">
        <v>8</v>
      </c>
      <c r="EZ710" s="27" t="s">
        <v>7</v>
      </c>
      <c r="FA710" s="27" t="s">
        <v>8</v>
      </c>
      <c r="FB710" s="27" t="s">
        <v>7</v>
      </c>
      <c r="FC710" s="27" t="s">
        <v>8</v>
      </c>
    </row>
    <row r="711" spans="1:159" x14ac:dyDescent="0.25">
      <c r="A711" s="7">
        <v>8.5818061750796232E-2</v>
      </c>
      <c r="B711"/>
      <c r="C711"/>
      <c r="D711"/>
      <c r="E711"/>
      <c r="F711" s="27" t="s">
        <v>7</v>
      </c>
      <c r="G711" s="27" t="s">
        <v>8</v>
      </c>
      <c r="H711" s="27" t="s">
        <v>7</v>
      </c>
      <c r="N711" s="27" t="s">
        <v>7</v>
      </c>
      <c r="O711" s="27" t="s">
        <v>8</v>
      </c>
      <c r="P711" s="27" t="s">
        <v>7</v>
      </c>
      <c r="Q711" s="27" t="s">
        <v>8</v>
      </c>
      <c r="R711" s="27" t="s">
        <v>7</v>
      </c>
      <c r="S711" s="27" t="s">
        <v>8</v>
      </c>
      <c r="AA711" s="27" t="s">
        <v>8</v>
      </c>
      <c r="AD711" s="27" t="s">
        <v>7</v>
      </c>
      <c r="AE711" s="27" t="s">
        <v>8</v>
      </c>
      <c r="AF711" s="27" t="s">
        <v>7</v>
      </c>
      <c r="AG711" s="27" t="s">
        <v>8</v>
      </c>
      <c r="AJ711" s="27" t="s">
        <v>7</v>
      </c>
      <c r="DF711" s="27" t="s">
        <v>7</v>
      </c>
      <c r="DP711" s="27" t="s">
        <v>7</v>
      </c>
      <c r="DQ711" s="27" t="s">
        <v>8</v>
      </c>
      <c r="DR711" s="27" t="s">
        <v>7</v>
      </c>
      <c r="DS711" s="27" t="s">
        <v>8</v>
      </c>
      <c r="DT711" s="27" t="s">
        <v>7</v>
      </c>
      <c r="EA711" s="27" t="s">
        <v>8</v>
      </c>
      <c r="EB711" s="27" t="s">
        <v>7</v>
      </c>
      <c r="EQ711" s="27" t="s">
        <v>8</v>
      </c>
      <c r="ER711" s="27" t="s">
        <v>7</v>
      </c>
      <c r="ES711" s="27" t="s">
        <v>8</v>
      </c>
      <c r="ET711" s="27" t="s">
        <v>7</v>
      </c>
      <c r="EU711" s="27" t="s">
        <v>8</v>
      </c>
      <c r="EW711" s="27" t="s">
        <v>8</v>
      </c>
      <c r="EX711" s="27" t="s">
        <v>7</v>
      </c>
      <c r="EY711" s="27" t="s">
        <v>8</v>
      </c>
      <c r="EZ711" s="27" t="s">
        <v>7</v>
      </c>
      <c r="FA711" s="27" t="s">
        <v>8</v>
      </c>
      <c r="FB711" s="27" t="s">
        <v>7</v>
      </c>
      <c r="FC711" s="27" t="s">
        <v>8</v>
      </c>
    </row>
    <row r="712" spans="1:159" x14ac:dyDescent="0.25">
      <c r="A712" s="7">
        <v>8.4135354657643366E-2</v>
      </c>
      <c r="B712"/>
      <c r="C712"/>
      <c r="D712"/>
      <c r="E712"/>
      <c r="F712" s="27" t="s">
        <v>7</v>
      </c>
      <c r="G712" s="27" t="s">
        <v>8</v>
      </c>
      <c r="N712" s="27" t="s">
        <v>7</v>
      </c>
      <c r="O712" s="27" t="s">
        <v>8</v>
      </c>
      <c r="P712" s="27" t="s">
        <v>7</v>
      </c>
      <c r="Q712" s="27" t="s">
        <v>8</v>
      </c>
      <c r="R712" s="27" t="s">
        <v>7</v>
      </c>
      <c r="S712" s="27" t="s">
        <v>8</v>
      </c>
      <c r="T712" s="27" t="s">
        <v>7</v>
      </c>
      <c r="AA712" s="27" t="s">
        <v>8</v>
      </c>
      <c r="AD712" s="27" t="s">
        <v>7</v>
      </c>
      <c r="AE712" s="27" t="s">
        <v>8</v>
      </c>
      <c r="AF712" s="27" t="s">
        <v>7</v>
      </c>
      <c r="AG712" s="27" t="s">
        <v>8</v>
      </c>
      <c r="DP712" s="27" t="s">
        <v>7</v>
      </c>
      <c r="DR712" s="27" t="s">
        <v>7</v>
      </c>
      <c r="DS712" s="27" t="s">
        <v>8</v>
      </c>
      <c r="DT712" s="27" t="s">
        <v>7</v>
      </c>
      <c r="DY712" s="27" t="s">
        <v>8</v>
      </c>
      <c r="EA712" s="27" t="s">
        <v>8</v>
      </c>
      <c r="EB712" s="27" t="s">
        <v>7</v>
      </c>
      <c r="EQ712" s="27" t="s">
        <v>8</v>
      </c>
      <c r="ER712" s="27" t="s">
        <v>7</v>
      </c>
      <c r="ES712" s="27" t="s">
        <v>8</v>
      </c>
      <c r="ET712" s="27" t="s">
        <v>7</v>
      </c>
      <c r="EU712" s="27" t="s">
        <v>8</v>
      </c>
      <c r="EV712" s="27" t="s">
        <v>7</v>
      </c>
      <c r="EW712" s="27" t="s">
        <v>8</v>
      </c>
      <c r="EX712" s="27" t="s">
        <v>7</v>
      </c>
      <c r="EY712" s="27" t="s">
        <v>8</v>
      </c>
      <c r="EZ712" s="27" t="s">
        <v>7</v>
      </c>
      <c r="FB712" s="27" t="s">
        <v>7</v>
      </c>
    </row>
    <row r="713" spans="1:159" x14ac:dyDescent="0.25">
      <c r="A713" s="7">
        <v>8.248564182121898E-2</v>
      </c>
      <c r="B713"/>
      <c r="C713"/>
      <c r="D713"/>
      <c r="E713"/>
      <c r="F713" s="27" t="s">
        <v>7</v>
      </c>
      <c r="G713" s="27" t="s">
        <v>8</v>
      </c>
      <c r="N713" s="27" t="s">
        <v>7</v>
      </c>
      <c r="O713" s="27" t="s">
        <v>8</v>
      </c>
      <c r="P713" s="27" t="s">
        <v>7</v>
      </c>
      <c r="Q713" s="27" t="s">
        <v>8</v>
      </c>
      <c r="R713" s="27" t="s">
        <v>7</v>
      </c>
      <c r="S713" s="27" t="s">
        <v>8</v>
      </c>
      <c r="T713" s="27" t="s">
        <v>7</v>
      </c>
      <c r="AA713" s="27" t="s">
        <v>8</v>
      </c>
      <c r="AD713" s="27" t="s">
        <v>7</v>
      </c>
      <c r="AE713" s="27" t="s">
        <v>8</v>
      </c>
      <c r="AF713" s="27" t="s">
        <v>7</v>
      </c>
      <c r="AG713" s="27" t="s">
        <v>8</v>
      </c>
      <c r="DR713" s="27" t="s">
        <v>7</v>
      </c>
      <c r="DS713" s="27" t="s">
        <v>8</v>
      </c>
      <c r="DT713" s="27" t="s">
        <v>7</v>
      </c>
      <c r="DY713" s="27" t="s">
        <v>8</v>
      </c>
      <c r="DZ713" s="27" t="s">
        <v>7</v>
      </c>
      <c r="EA713" s="27" t="s">
        <v>8</v>
      </c>
      <c r="EB713" s="27" t="s">
        <v>7</v>
      </c>
      <c r="EC713" s="27" t="s">
        <v>8</v>
      </c>
      <c r="EG713" s="27" t="s">
        <v>8</v>
      </c>
      <c r="EQ713" s="27" t="s">
        <v>8</v>
      </c>
      <c r="ER713" s="27" t="s">
        <v>7</v>
      </c>
      <c r="ES713" s="27" t="s">
        <v>8</v>
      </c>
      <c r="ET713" s="27" t="s">
        <v>7</v>
      </c>
      <c r="EU713" s="27" t="s">
        <v>8</v>
      </c>
      <c r="EV713" s="27" t="s">
        <v>7</v>
      </c>
      <c r="EW713" s="27" t="s">
        <v>8</v>
      </c>
      <c r="EX713" s="27" t="s">
        <v>7</v>
      </c>
    </row>
    <row r="714" spans="1:159" x14ac:dyDescent="0.25">
      <c r="A714" s="7">
        <v>8.0868276295312735E-2</v>
      </c>
      <c r="B714"/>
      <c r="C714"/>
      <c r="D714"/>
      <c r="E714"/>
      <c r="F714" s="27" t="s">
        <v>7</v>
      </c>
      <c r="G714" s="27" t="s">
        <v>8</v>
      </c>
      <c r="N714" s="27" t="s">
        <v>7</v>
      </c>
      <c r="P714" s="27" t="s">
        <v>7</v>
      </c>
      <c r="Q714" s="27" t="s">
        <v>8</v>
      </c>
      <c r="R714" s="27" t="s">
        <v>7</v>
      </c>
      <c r="S714" s="27" t="s">
        <v>8</v>
      </c>
      <c r="T714" s="27" t="s">
        <v>7</v>
      </c>
      <c r="AA714" s="27" t="s">
        <v>8</v>
      </c>
      <c r="AD714" s="27" t="s">
        <v>7</v>
      </c>
      <c r="AE714" s="27" t="s">
        <v>8</v>
      </c>
      <c r="AF714" s="27" t="s">
        <v>7</v>
      </c>
      <c r="AG714" s="27" t="s">
        <v>8</v>
      </c>
      <c r="DR714" s="27" t="s">
        <v>7</v>
      </c>
      <c r="DS714" s="27" t="s">
        <v>8</v>
      </c>
      <c r="DT714" s="27" t="s">
        <v>7</v>
      </c>
      <c r="DU714" s="27" t="s">
        <v>8</v>
      </c>
      <c r="DW714" s="27" t="s">
        <v>8</v>
      </c>
      <c r="DY714" s="27" t="s">
        <v>8</v>
      </c>
      <c r="DZ714" s="27" t="s">
        <v>7</v>
      </c>
      <c r="EA714" s="27" t="s">
        <v>8</v>
      </c>
      <c r="EB714" s="27" t="s">
        <v>7</v>
      </c>
      <c r="EC714" s="27" t="s">
        <v>8</v>
      </c>
      <c r="ED714" s="27" t="s">
        <v>7</v>
      </c>
      <c r="EG714" s="27" t="s">
        <v>8</v>
      </c>
      <c r="EH714" s="27" t="s">
        <v>7</v>
      </c>
      <c r="EQ714" s="27" t="s">
        <v>8</v>
      </c>
      <c r="ER714" s="27" t="s">
        <v>7</v>
      </c>
      <c r="ES714" s="27" t="s">
        <v>8</v>
      </c>
      <c r="ET714" s="27" t="s">
        <v>7</v>
      </c>
      <c r="EU714" s="27" t="s">
        <v>8</v>
      </c>
      <c r="EV714" s="27" t="s">
        <v>7</v>
      </c>
      <c r="EW714" s="27" t="s">
        <v>8</v>
      </c>
    </row>
    <row r="715" spans="1:159" x14ac:dyDescent="0.25">
      <c r="A715" s="7">
        <v>7.9282623818934056E-2</v>
      </c>
      <c r="B715"/>
      <c r="C715"/>
      <c r="D715"/>
      <c r="E715"/>
      <c r="F715" s="27" t="s">
        <v>7</v>
      </c>
      <c r="G715" s="27" t="s">
        <v>8</v>
      </c>
      <c r="P715" s="27" t="s">
        <v>7</v>
      </c>
      <c r="Q715" s="27" t="s">
        <v>8</v>
      </c>
      <c r="R715" s="27" t="s">
        <v>7</v>
      </c>
      <c r="T715" s="27" t="s">
        <v>7</v>
      </c>
      <c r="AA715" s="27" t="s">
        <v>8</v>
      </c>
      <c r="AD715" s="27" t="s">
        <v>7</v>
      </c>
      <c r="AE715" s="27" t="s">
        <v>8</v>
      </c>
      <c r="AF715" s="27" t="s">
        <v>7</v>
      </c>
      <c r="AG715" s="27" t="s">
        <v>8</v>
      </c>
      <c r="DR715" s="27" t="s">
        <v>7</v>
      </c>
      <c r="DS715" s="27" t="s">
        <v>8</v>
      </c>
      <c r="DT715" s="27" t="s">
        <v>7</v>
      </c>
      <c r="DU715" s="27" t="s">
        <v>8</v>
      </c>
      <c r="DV715" s="27" t="s">
        <v>7</v>
      </c>
      <c r="DW715" s="27" t="s">
        <v>8</v>
      </c>
      <c r="DX715" s="27" t="s">
        <v>7</v>
      </c>
      <c r="DY715" s="27" t="s">
        <v>8</v>
      </c>
      <c r="DZ715" s="27" t="s">
        <v>7</v>
      </c>
      <c r="EA715" s="27" t="s">
        <v>8</v>
      </c>
      <c r="EB715" s="27" t="s">
        <v>7</v>
      </c>
      <c r="EC715" s="27" t="s">
        <v>8</v>
      </c>
      <c r="ED715" s="27" t="s">
        <v>7</v>
      </c>
      <c r="EG715" s="27" t="s">
        <v>8</v>
      </c>
      <c r="EH715" s="27" t="s">
        <v>7</v>
      </c>
      <c r="EI715" s="27" t="s">
        <v>8</v>
      </c>
      <c r="EQ715" s="27" t="s">
        <v>8</v>
      </c>
      <c r="ER715" s="27" t="s">
        <v>7</v>
      </c>
      <c r="ES715" s="27" t="s">
        <v>8</v>
      </c>
      <c r="ET715" s="27" t="s">
        <v>7</v>
      </c>
      <c r="EU715" s="27" t="s">
        <v>8</v>
      </c>
      <c r="EV715" s="27" t="s">
        <v>7</v>
      </c>
      <c r="EW715" s="27" t="s">
        <v>8</v>
      </c>
    </row>
    <row r="716" spans="1:159" x14ac:dyDescent="0.25">
      <c r="A716" s="7">
        <v>7.7728062567582412E-2</v>
      </c>
      <c r="B716"/>
      <c r="C716"/>
      <c r="D716"/>
      <c r="E716"/>
      <c r="F716" s="27" t="s">
        <v>7</v>
      </c>
      <c r="G716" s="27" t="s">
        <v>8</v>
      </c>
      <c r="P716" s="27" t="s">
        <v>7</v>
      </c>
      <c r="Q716" s="27" t="s">
        <v>8</v>
      </c>
      <c r="T716" s="27" t="s">
        <v>7</v>
      </c>
      <c r="AA716" s="27" t="s">
        <v>8</v>
      </c>
      <c r="AD716" s="27" t="s">
        <v>7</v>
      </c>
      <c r="AE716" s="27" t="s">
        <v>8</v>
      </c>
      <c r="AF716" s="27" t="s">
        <v>7</v>
      </c>
      <c r="AG716" s="27" t="s">
        <v>8</v>
      </c>
      <c r="DR716" s="27" t="s">
        <v>7</v>
      </c>
      <c r="DS716" s="27" t="s">
        <v>8</v>
      </c>
      <c r="DT716" s="27" t="s">
        <v>7</v>
      </c>
      <c r="DU716" s="27" t="s">
        <v>8</v>
      </c>
      <c r="DV716" s="27" t="s">
        <v>7</v>
      </c>
      <c r="DW716" s="27" t="s">
        <v>8</v>
      </c>
      <c r="DX716" s="27" t="s">
        <v>7</v>
      </c>
      <c r="DY716" s="27" t="s">
        <v>8</v>
      </c>
      <c r="DZ716" s="27" t="s">
        <v>7</v>
      </c>
      <c r="EB716" s="27" t="s">
        <v>7</v>
      </c>
      <c r="EC716" s="27" t="s">
        <v>8</v>
      </c>
      <c r="ED716" s="27" t="s">
        <v>7</v>
      </c>
      <c r="EG716" s="27" t="s">
        <v>8</v>
      </c>
      <c r="EH716" s="27" t="s">
        <v>7</v>
      </c>
      <c r="EI716" s="27" t="s">
        <v>8</v>
      </c>
      <c r="EJ716" s="27" t="s">
        <v>7</v>
      </c>
      <c r="EQ716" s="27" t="s">
        <v>8</v>
      </c>
      <c r="ER716" s="27" t="s">
        <v>7</v>
      </c>
      <c r="ET716" s="27" t="s">
        <v>7</v>
      </c>
      <c r="EU716" s="27" t="s">
        <v>8</v>
      </c>
      <c r="EV716" s="27" t="s">
        <v>7</v>
      </c>
    </row>
    <row r="717" spans="1:159" x14ac:dyDescent="0.25">
      <c r="A717" s="7">
        <v>7.6203982909394521E-2</v>
      </c>
      <c r="B717"/>
      <c r="C717"/>
      <c r="D717"/>
      <c r="E717"/>
      <c r="F717" s="27" t="s">
        <v>7</v>
      </c>
      <c r="G717" s="27" t="s">
        <v>8</v>
      </c>
      <c r="P717" s="27" t="s">
        <v>7</v>
      </c>
      <c r="T717" s="27" t="s">
        <v>7</v>
      </c>
      <c r="AA717" s="27" t="s">
        <v>8</v>
      </c>
      <c r="AD717" s="27" t="s">
        <v>7</v>
      </c>
      <c r="AE717" s="27" t="s">
        <v>8</v>
      </c>
      <c r="AF717" s="27" t="s">
        <v>7</v>
      </c>
      <c r="AG717" s="27" t="s">
        <v>8</v>
      </c>
      <c r="DR717" s="27" t="s">
        <v>7</v>
      </c>
      <c r="DS717" s="27" t="s">
        <v>8</v>
      </c>
      <c r="DT717" s="27" t="s">
        <v>7</v>
      </c>
      <c r="DV717" s="27" t="s">
        <v>7</v>
      </c>
      <c r="DX717" s="27" t="s">
        <v>7</v>
      </c>
      <c r="EB717" s="27" t="s">
        <v>7</v>
      </c>
      <c r="EC717" s="27" t="s">
        <v>8</v>
      </c>
      <c r="ED717" s="27" t="s">
        <v>7</v>
      </c>
      <c r="EE717" s="27" t="s">
        <v>8</v>
      </c>
      <c r="EG717" s="27" t="s">
        <v>8</v>
      </c>
      <c r="EH717" s="27" t="s">
        <v>7</v>
      </c>
      <c r="EI717" s="27" t="s">
        <v>8</v>
      </c>
      <c r="EJ717" s="27" t="s">
        <v>7</v>
      </c>
      <c r="EQ717" s="27" t="s">
        <v>8</v>
      </c>
      <c r="ET717" s="27" t="s">
        <v>7</v>
      </c>
    </row>
    <row r="718" spans="1:159" x14ac:dyDescent="0.25">
      <c r="A718" s="7">
        <v>7.4709787166073058E-2</v>
      </c>
      <c r="B718"/>
      <c r="C718"/>
      <c r="D718"/>
      <c r="E718"/>
      <c r="F718" s="27" t="s">
        <v>7</v>
      </c>
      <c r="G718" s="27" t="s">
        <v>8</v>
      </c>
      <c r="T718" s="27" t="s">
        <v>7</v>
      </c>
      <c r="Y718" s="27" t="s">
        <v>8</v>
      </c>
      <c r="AA718" s="27" t="s">
        <v>8</v>
      </c>
      <c r="AD718" s="27" t="s">
        <v>7</v>
      </c>
      <c r="AE718" s="27" t="s">
        <v>8</v>
      </c>
      <c r="AF718" s="27" t="s">
        <v>7</v>
      </c>
      <c r="AG718" s="27" t="s">
        <v>8</v>
      </c>
      <c r="DR718" s="27" t="s">
        <v>7</v>
      </c>
      <c r="DS718" s="27" t="s">
        <v>8</v>
      </c>
      <c r="EB718" s="27" t="s">
        <v>7</v>
      </c>
      <c r="EC718" s="27" t="s">
        <v>8</v>
      </c>
      <c r="ED718" s="27" t="s">
        <v>7</v>
      </c>
      <c r="EE718" s="27" t="s">
        <v>8</v>
      </c>
      <c r="EF718" s="27" t="s">
        <v>7</v>
      </c>
      <c r="EG718" s="27" t="s">
        <v>8</v>
      </c>
      <c r="EH718" s="27" t="s">
        <v>7</v>
      </c>
      <c r="EJ718" s="27" t="s">
        <v>7</v>
      </c>
      <c r="EQ718" s="27" t="s">
        <v>8</v>
      </c>
    </row>
    <row r="719" spans="1:159" x14ac:dyDescent="0.25">
      <c r="A719" s="7">
        <v>7.3244889378503E-2</v>
      </c>
      <c r="B719"/>
      <c r="C719"/>
      <c r="D719"/>
      <c r="E719"/>
      <c r="F719" s="27" t="s">
        <v>7</v>
      </c>
      <c r="G719" s="27" t="s">
        <v>8</v>
      </c>
      <c r="T719" s="27" t="s">
        <v>7</v>
      </c>
      <c r="Y719" s="27" t="s">
        <v>8</v>
      </c>
      <c r="Z719" s="27" t="s">
        <v>7</v>
      </c>
      <c r="AA719" s="27" t="s">
        <v>8</v>
      </c>
      <c r="AD719" s="27" t="s">
        <v>7</v>
      </c>
      <c r="AE719" s="27" t="s">
        <v>8</v>
      </c>
      <c r="AF719" s="27" t="s">
        <v>7</v>
      </c>
      <c r="AG719" s="27" t="s">
        <v>8</v>
      </c>
      <c r="DR719" s="27" t="s">
        <v>7</v>
      </c>
      <c r="DS719" s="27" t="s">
        <v>8</v>
      </c>
      <c r="EB719" s="27" t="s">
        <v>7</v>
      </c>
      <c r="EC719" s="27" t="s">
        <v>8</v>
      </c>
      <c r="ED719" s="27" t="s">
        <v>7</v>
      </c>
      <c r="EE719" s="27" t="s">
        <v>8</v>
      </c>
      <c r="EF719" s="27" t="s">
        <v>7</v>
      </c>
      <c r="EG719" s="27" t="s">
        <v>8</v>
      </c>
      <c r="EJ719" s="27" t="s">
        <v>7</v>
      </c>
      <c r="EO719" s="27" t="s">
        <v>8</v>
      </c>
      <c r="EQ719" s="27" t="s">
        <v>8</v>
      </c>
    </row>
    <row r="720" spans="1:159" x14ac:dyDescent="0.25">
      <c r="A720" s="7">
        <v>7.1808715076963722E-2</v>
      </c>
      <c r="B720"/>
      <c r="C720"/>
      <c r="D720"/>
      <c r="E720"/>
      <c r="F720" s="27" t="s">
        <v>7</v>
      </c>
      <c r="G720" s="27" t="s">
        <v>8</v>
      </c>
      <c r="T720" s="27" t="s">
        <v>7</v>
      </c>
      <c r="U720" s="27" t="s">
        <v>8</v>
      </c>
      <c r="Y720" s="27" t="s">
        <v>8</v>
      </c>
      <c r="Z720" s="27" t="s">
        <v>7</v>
      </c>
      <c r="AA720" s="27" t="s">
        <v>8</v>
      </c>
      <c r="AD720" s="27" t="s">
        <v>7</v>
      </c>
      <c r="AE720" s="27" t="s">
        <v>8</v>
      </c>
      <c r="AF720" s="27" t="s">
        <v>7</v>
      </c>
      <c r="AG720" s="27" t="s">
        <v>8</v>
      </c>
      <c r="DR720" s="27" t="s">
        <v>7</v>
      </c>
      <c r="DS720" s="27" t="s">
        <v>8</v>
      </c>
      <c r="EB720" s="27" t="s">
        <v>7</v>
      </c>
      <c r="ED720" s="27" t="s">
        <v>7</v>
      </c>
      <c r="EE720" s="27" t="s">
        <v>8</v>
      </c>
      <c r="EF720" s="27" t="s">
        <v>7</v>
      </c>
      <c r="EJ720" s="27" t="s">
        <v>7</v>
      </c>
      <c r="EK720" s="27" t="s">
        <v>8</v>
      </c>
      <c r="EO720" s="27" t="s">
        <v>8</v>
      </c>
      <c r="EP720" s="27" t="s">
        <v>7</v>
      </c>
      <c r="EQ720" s="27" t="s">
        <v>8</v>
      </c>
    </row>
    <row r="721" spans="1:147" x14ac:dyDescent="0.25">
      <c r="A721" s="7">
        <v>7.0400701055846782E-2</v>
      </c>
      <c r="B721"/>
      <c r="C721"/>
      <c r="D721"/>
      <c r="E721"/>
      <c r="F721" s="27" t="s">
        <v>7</v>
      </c>
      <c r="G721" s="27" t="s">
        <v>8</v>
      </c>
      <c r="T721" s="27" t="s">
        <v>7</v>
      </c>
      <c r="U721" s="27" t="s">
        <v>8</v>
      </c>
      <c r="V721" s="27" t="s">
        <v>7</v>
      </c>
      <c r="Y721" s="27" t="s">
        <v>8</v>
      </c>
      <c r="Z721" s="27" t="s">
        <v>7</v>
      </c>
      <c r="AA721" s="27" t="s">
        <v>8</v>
      </c>
      <c r="AD721" s="27" t="s">
        <v>7</v>
      </c>
      <c r="AE721" s="27" t="s">
        <v>8</v>
      </c>
      <c r="AF721" s="27" t="s">
        <v>7</v>
      </c>
      <c r="AG721" s="27" t="s">
        <v>8</v>
      </c>
      <c r="DR721" s="27" t="s">
        <v>7</v>
      </c>
      <c r="DS721" s="27" t="s">
        <v>8</v>
      </c>
      <c r="ED721" s="27" t="s">
        <v>7</v>
      </c>
      <c r="EJ721" s="27" t="s">
        <v>7</v>
      </c>
      <c r="EK721" s="27" t="s">
        <v>8</v>
      </c>
      <c r="EL721" s="27" t="s">
        <v>7</v>
      </c>
      <c r="EO721" s="27" t="s">
        <v>8</v>
      </c>
      <c r="EP721" s="27" t="s">
        <v>7</v>
      </c>
      <c r="EQ721" s="27" t="s">
        <v>8</v>
      </c>
    </row>
    <row r="722" spans="1:147" x14ac:dyDescent="0.25">
      <c r="A722" s="7">
        <v>6.9020295152790956E-2</v>
      </c>
      <c r="B722"/>
      <c r="C722"/>
      <c r="D722"/>
      <c r="E722"/>
      <c r="F722" s="27" t="s">
        <v>7</v>
      </c>
      <c r="G722" s="27" t="s">
        <v>8</v>
      </c>
      <c r="T722" s="27" t="s">
        <v>7</v>
      </c>
      <c r="U722" s="27" t="s">
        <v>8</v>
      </c>
      <c r="V722" s="27" t="s">
        <v>7</v>
      </c>
      <c r="Y722" s="27" t="s">
        <v>8</v>
      </c>
      <c r="Z722" s="27" t="s">
        <v>7</v>
      </c>
      <c r="AD722" s="27" t="s">
        <v>7</v>
      </c>
      <c r="AE722" s="27" t="s">
        <v>8</v>
      </c>
      <c r="AF722" s="27" t="s">
        <v>7</v>
      </c>
      <c r="AG722" s="27" t="s">
        <v>8</v>
      </c>
      <c r="DR722" s="27" t="s">
        <v>7</v>
      </c>
      <c r="DS722" s="27" t="s">
        <v>8</v>
      </c>
      <c r="EJ722" s="27" t="s">
        <v>7</v>
      </c>
      <c r="EK722" s="27" t="s">
        <v>8</v>
      </c>
      <c r="EL722" s="27" t="s">
        <v>7</v>
      </c>
      <c r="EM722" s="27" t="s">
        <v>8</v>
      </c>
      <c r="EO722" s="27" t="s">
        <v>8</v>
      </c>
      <c r="EP722" s="27" t="s">
        <v>7</v>
      </c>
      <c r="EQ722" s="27" t="s">
        <v>8</v>
      </c>
    </row>
    <row r="723" spans="1:147" x14ac:dyDescent="0.25">
      <c r="A723" s="7">
        <v>6.7666956032147993E-2</v>
      </c>
      <c r="B723"/>
      <c r="C723"/>
      <c r="D723"/>
      <c r="E723"/>
      <c r="F723" s="27" t="s">
        <v>7</v>
      </c>
      <c r="G723" s="27" t="s">
        <v>8</v>
      </c>
      <c r="T723" s="27" t="s">
        <v>7</v>
      </c>
      <c r="U723" s="27" t="s">
        <v>8</v>
      </c>
      <c r="V723" s="27" t="s">
        <v>7</v>
      </c>
      <c r="Y723" s="27" t="s">
        <v>8</v>
      </c>
      <c r="AD723" s="27" t="s">
        <v>7</v>
      </c>
      <c r="AE723" s="27" t="s">
        <v>8</v>
      </c>
      <c r="AF723" s="27" t="s">
        <v>7</v>
      </c>
      <c r="AG723" s="27" t="s">
        <v>8</v>
      </c>
      <c r="DR723" s="27" t="s">
        <v>7</v>
      </c>
      <c r="DS723" s="27" t="s">
        <v>8</v>
      </c>
      <c r="EJ723" s="27" t="s">
        <v>7</v>
      </c>
      <c r="EK723" s="27" t="s">
        <v>8</v>
      </c>
      <c r="EL723" s="27" t="s">
        <v>7</v>
      </c>
      <c r="EM723" s="27" t="s">
        <v>8</v>
      </c>
      <c r="EN723" s="27" t="s">
        <v>7</v>
      </c>
      <c r="EO723" s="27" t="s">
        <v>8</v>
      </c>
      <c r="EP723" s="27" t="s">
        <v>7</v>
      </c>
      <c r="EQ723" s="27" t="s">
        <v>8</v>
      </c>
    </row>
    <row r="724" spans="1:147" x14ac:dyDescent="0.25">
      <c r="A724" s="7">
        <v>6.6340152972694105E-2</v>
      </c>
      <c r="B724"/>
      <c r="C724"/>
      <c r="D724"/>
      <c r="E724"/>
      <c r="F724" s="27" t="s">
        <v>7</v>
      </c>
      <c r="G724" s="27" t="s">
        <v>8</v>
      </c>
      <c r="T724" s="27" t="s">
        <v>7</v>
      </c>
      <c r="U724" s="27" t="s">
        <v>8</v>
      </c>
      <c r="V724" s="27" t="s">
        <v>7</v>
      </c>
      <c r="Y724" s="27" t="s">
        <v>8</v>
      </c>
      <c r="AD724" s="27" t="s">
        <v>7</v>
      </c>
      <c r="AE724" s="27" t="s">
        <v>8</v>
      </c>
      <c r="AF724" s="27" t="s">
        <v>7</v>
      </c>
      <c r="AG724" s="27" t="s">
        <v>8</v>
      </c>
      <c r="DR724" s="27" t="s">
        <v>7</v>
      </c>
      <c r="DS724" s="27" t="s">
        <v>8</v>
      </c>
      <c r="EJ724" s="27" t="s">
        <v>7</v>
      </c>
      <c r="EK724" s="27" t="s">
        <v>8</v>
      </c>
      <c r="EL724" s="27" t="s">
        <v>7</v>
      </c>
      <c r="EM724" s="27" t="s">
        <v>8</v>
      </c>
      <c r="EN724" s="27" t="s">
        <v>7</v>
      </c>
      <c r="EO724" s="27" t="s">
        <v>8</v>
      </c>
      <c r="EP724" s="27" t="s">
        <v>7</v>
      </c>
    </row>
    <row r="725" spans="1:147" x14ac:dyDescent="0.25">
      <c r="A725" s="7">
        <v>6.5039365659504023E-2</v>
      </c>
      <c r="B725"/>
      <c r="C725"/>
      <c r="D725"/>
      <c r="E725"/>
      <c r="F725" s="27" t="s">
        <v>7</v>
      </c>
      <c r="G725" s="27" t="s">
        <v>8</v>
      </c>
      <c r="T725" s="27" t="s">
        <v>7</v>
      </c>
      <c r="U725" s="27" t="s">
        <v>8</v>
      </c>
      <c r="V725" s="27" t="s">
        <v>7</v>
      </c>
      <c r="Y725" s="27" t="s">
        <v>8</v>
      </c>
      <c r="AD725" s="27" t="s">
        <v>7</v>
      </c>
      <c r="AE725" s="27" t="s">
        <v>8</v>
      </c>
      <c r="AF725" s="27" t="s">
        <v>7</v>
      </c>
      <c r="AG725" s="27" t="s">
        <v>8</v>
      </c>
      <c r="DR725" s="27" t="s">
        <v>7</v>
      </c>
      <c r="EJ725" s="27" t="s">
        <v>7</v>
      </c>
      <c r="EK725" s="27" t="s">
        <v>8</v>
      </c>
      <c r="EL725" s="27" t="s">
        <v>7</v>
      </c>
      <c r="EM725" s="27" t="s">
        <v>8</v>
      </c>
      <c r="EN725" s="27" t="s">
        <v>7</v>
      </c>
      <c r="EO725" s="27" t="s">
        <v>8</v>
      </c>
    </row>
    <row r="726" spans="1:147" x14ac:dyDescent="0.25">
      <c r="A726" s="7">
        <v>6.3764083979905906E-2</v>
      </c>
      <c r="B726"/>
      <c r="C726"/>
      <c r="D726"/>
      <c r="E726"/>
      <c r="F726" s="27" t="s">
        <v>7</v>
      </c>
      <c r="G726" s="27" t="s">
        <v>8</v>
      </c>
      <c r="T726" s="27" t="s">
        <v>7</v>
      </c>
      <c r="U726" s="27" t="s">
        <v>8</v>
      </c>
      <c r="V726" s="27" t="s">
        <v>7</v>
      </c>
      <c r="W726" s="27" t="s">
        <v>8</v>
      </c>
      <c r="Y726" s="27" t="s">
        <v>8</v>
      </c>
      <c r="AD726" s="27" t="s">
        <v>7</v>
      </c>
      <c r="AE726" s="27" t="s">
        <v>8</v>
      </c>
      <c r="AF726" s="27" t="s">
        <v>7</v>
      </c>
      <c r="AG726" s="27" t="s">
        <v>8</v>
      </c>
      <c r="EJ726" s="27" t="s">
        <v>7</v>
      </c>
      <c r="EL726" s="27" t="s">
        <v>7</v>
      </c>
      <c r="EM726" s="27" t="s">
        <v>8</v>
      </c>
      <c r="EN726" s="27" t="s">
        <v>7</v>
      </c>
      <c r="EO726" s="27" t="s">
        <v>8</v>
      </c>
    </row>
    <row r="727" spans="1:147" x14ac:dyDescent="0.25">
      <c r="A727" s="7">
        <v>6.251380782343717E-2</v>
      </c>
      <c r="B727"/>
      <c r="C727"/>
      <c r="D727"/>
      <c r="E727"/>
      <c r="F727" s="27" t="s">
        <v>7</v>
      </c>
      <c r="G727" s="27" t="s">
        <v>8</v>
      </c>
      <c r="T727" s="27" t="s">
        <v>7</v>
      </c>
      <c r="U727" s="27" t="s">
        <v>8</v>
      </c>
      <c r="V727" s="27" t="s">
        <v>7</v>
      </c>
      <c r="W727" s="27" t="s">
        <v>8</v>
      </c>
      <c r="X727" s="27" t="s">
        <v>7</v>
      </c>
      <c r="Y727" s="27" t="s">
        <v>8</v>
      </c>
      <c r="AD727" s="27" t="s">
        <v>7</v>
      </c>
      <c r="AE727" s="27" t="s">
        <v>8</v>
      </c>
      <c r="AF727" s="27" t="s">
        <v>7</v>
      </c>
      <c r="EL727" s="27" t="s">
        <v>7</v>
      </c>
      <c r="EN727" s="27" t="s">
        <v>7</v>
      </c>
    </row>
    <row r="728" spans="1:147" x14ac:dyDescent="0.25">
      <c r="A728" s="7">
        <v>6.1288046885722716E-2</v>
      </c>
      <c r="B728"/>
      <c r="C728"/>
      <c r="D728"/>
      <c r="E728"/>
      <c r="F728" s="27" t="s">
        <v>7</v>
      </c>
      <c r="G728" s="27" t="s">
        <v>8</v>
      </c>
      <c r="T728" s="27" t="s">
        <v>7</v>
      </c>
      <c r="U728" s="27" t="s">
        <v>8</v>
      </c>
      <c r="V728" s="27" t="s">
        <v>7</v>
      </c>
      <c r="W728" s="27" t="s">
        <v>8</v>
      </c>
      <c r="X728" s="27" t="s">
        <v>7</v>
      </c>
      <c r="Y728" s="27" t="s">
        <v>8</v>
      </c>
      <c r="AD728" s="27" t="s">
        <v>7</v>
      </c>
      <c r="AE728" s="27" t="s">
        <v>8</v>
      </c>
    </row>
    <row r="729" spans="1:147" x14ac:dyDescent="0.25">
      <c r="A729" s="7">
        <v>6.0086320476198739E-2</v>
      </c>
      <c r="B729"/>
      <c r="C729"/>
      <c r="D729"/>
      <c r="E729"/>
      <c r="F729" s="27" t="s">
        <v>7</v>
      </c>
      <c r="G729" s="27" t="s">
        <v>8</v>
      </c>
      <c r="T729" s="27" t="s">
        <v>7</v>
      </c>
      <c r="U729" s="27" t="s">
        <v>8</v>
      </c>
      <c r="V729" s="27" t="s">
        <v>7</v>
      </c>
      <c r="W729" s="27" t="s">
        <v>8</v>
      </c>
      <c r="X729" s="27" t="s">
        <v>7</v>
      </c>
      <c r="Y729" s="27" t="s">
        <v>8</v>
      </c>
      <c r="AD729" s="27" t="s">
        <v>7</v>
      </c>
      <c r="AE729" s="27" t="s">
        <v>8</v>
      </c>
    </row>
    <row r="730" spans="1:147" x14ac:dyDescent="0.25">
      <c r="A730" s="7">
        <v>5.8908157329606609E-2</v>
      </c>
      <c r="B730"/>
      <c r="C730"/>
      <c r="D730"/>
      <c r="E730"/>
      <c r="F730" s="27" t="s">
        <v>7</v>
      </c>
      <c r="T730" s="27" t="s">
        <v>7</v>
      </c>
      <c r="U730" s="27" t="s">
        <v>8</v>
      </c>
      <c r="V730" s="27" t="s">
        <v>7</v>
      </c>
      <c r="W730" s="27" t="s">
        <v>8</v>
      </c>
      <c r="X730" s="27" t="s">
        <v>7</v>
      </c>
      <c r="AD730" s="27" t="s">
        <v>7</v>
      </c>
      <c r="AE730" s="27" t="s">
        <v>8</v>
      </c>
    </row>
    <row r="731" spans="1:147" x14ac:dyDescent="0.25">
      <c r="A731" s="7">
        <v>5.7753095421182947E-2</v>
      </c>
      <c r="B731"/>
      <c r="C731"/>
      <c r="D731"/>
      <c r="E731"/>
      <c r="T731" s="27" t="s">
        <v>7</v>
      </c>
      <c r="V731" s="27" t="s">
        <v>7</v>
      </c>
      <c r="W731" s="27" t="s">
        <v>8</v>
      </c>
      <c r="AD731" s="27" t="s">
        <v>7</v>
      </c>
      <c r="AE731" s="27" t="s">
        <v>8</v>
      </c>
    </row>
    <row r="732" spans="1:147" x14ac:dyDescent="0.25">
      <c r="A732" s="7">
        <v>5.6620681785473484E-2</v>
      </c>
      <c r="B732"/>
      <c r="C732"/>
      <c r="D732"/>
      <c r="E732"/>
      <c r="V732" s="27" t="s">
        <v>7</v>
      </c>
      <c r="AD732" s="27" t="s">
        <v>7</v>
      </c>
      <c r="AE732" s="27" t="s">
        <v>8</v>
      </c>
    </row>
    <row r="733" spans="1:147" x14ac:dyDescent="0.25">
      <c r="A733" s="7">
        <v>5.5510472338699497E-2</v>
      </c>
      <c r="B733"/>
      <c r="C733"/>
      <c r="D733"/>
      <c r="E733"/>
      <c r="AD733" s="27" t="s">
        <v>7</v>
      </c>
      <c r="AE733" s="27" t="s">
        <v>8</v>
      </c>
    </row>
    <row r="734" spans="1:147" x14ac:dyDescent="0.25">
      <c r="A734" s="7">
        <v>5.4422031704607354E-2</v>
      </c>
      <c r="B734"/>
      <c r="C734"/>
      <c r="D734"/>
      <c r="E734"/>
      <c r="AD734" s="27" t="s">
        <v>7</v>
      </c>
      <c r="AE734" s="27" t="s">
        <v>8</v>
      </c>
    </row>
    <row r="735" spans="1:147" x14ac:dyDescent="0.25">
      <c r="A735" s="7">
        <v>5.3354933043732705E-2</v>
      </c>
      <c r="B735"/>
      <c r="C735"/>
      <c r="D735"/>
      <c r="E735"/>
      <c r="AD735" s="27" t="s">
        <v>7</v>
      </c>
      <c r="AE735" s="27" t="s">
        <v>8</v>
      </c>
    </row>
    <row r="736" spans="1:147" x14ac:dyDescent="0.25">
      <c r="A736" s="7">
        <v>5.2308757886012455E-2</v>
      </c>
      <c r="B736"/>
      <c r="C736"/>
      <c r="D736"/>
      <c r="E736"/>
      <c r="AD736" s="27" t="s">
        <v>7</v>
      </c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28" operator="equal">
      <formula>$U$1</formula>
    </cfRule>
    <cfRule type="cellIs" dxfId="89" priority="1129" operator="equal">
      <formula>$S$1</formula>
    </cfRule>
  </conditionalFormatting>
  <conditionalFormatting sqref="D27">
    <cfRule type="cellIs" dxfId="88" priority="1126" operator="equal">
      <formula>$S$1</formula>
    </cfRule>
    <cfRule type="cellIs" dxfId="87" priority="1127" operator="equal">
      <formula>$U$1</formula>
    </cfRule>
  </conditionalFormatting>
  <conditionalFormatting sqref="C164">
    <cfRule type="cellIs" dxfId="86" priority="1124" operator="equal">
      <formula>$U$1</formula>
    </cfRule>
    <cfRule type="cellIs" dxfId="85" priority="1125" operator="equal">
      <formula>$S$1</formula>
    </cfRule>
  </conditionalFormatting>
  <conditionalFormatting sqref="D164">
    <cfRule type="cellIs" dxfId="84" priority="1122" operator="equal">
      <formula>$S$1</formula>
    </cfRule>
    <cfRule type="cellIs" dxfId="83" priority="1123" operator="equal">
      <formula>$U$1</formula>
    </cfRule>
  </conditionalFormatting>
  <conditionalFormatting sqref="C55">
    <cfRule type="cellIs" dxfId="82" priority="1120" operator="equal">
      <formula>$U$1</formula>
    </cfRule>
    <cfRule type="cellIs" dxfId="81" priority="1121" operator="equal">
      <formula>$S$1</formula>
    </cfRule>
  </conditionalFormatting>
  <conditionalFormatting sqref="D55">
    <cfRule type="cellIs" dxfId="80" priority="1118" operator="equal">
      <formula>$S$1</formula>
    </cfRule>
    <cfRule type="cellIs" dxfId="79" priority="1119" operator="equal">
      <formula>$U$1</formula>
    </cfRule>
  </conditionalFormatting>
  <conditionalFormatting sqref="C89">
    <cfRule type="cellIs" dxfId="78" priority="1116" operator="equal">
      <formula>$U$1</formula>
    </cfRule>
    <cfRule type="cellIs" dxfId="77" priority="1117" operator="equal">
      <formula>$S$1</formula>
    </cfRule>
  </conditionalFormatting>
  <conditionalFormatting sqref="D89">
    <cfRule type="cellIs" dxfId="76" priority="1114" operator="equal">
      <formula>$S$1</formula>
    </cfRule>
    <cfRule type="cellIs" dxfId="75" priority="1115" operator="equal">
      <formula>$U$1</formula>
    </cfRule>
  </conditionalFormatting>
  <conditionalFormatting sqref="C136">
    <cfRule type="cellIs" dxfId="74" priority="1112" operator="equal">
      <formula>$U$1</formula>
    </cfRule>
    <cfRule type="cellIs" dxfId="73" priority="1113" operator="equal">
      <formula>$S$1</formula>
    </cfRule>
  </conditionalFormatting>
  <conditionalFormatting sqref="D136">
    <cfRule type="cellIs" dxfId="72" priority="1110" operator="equal">
      <formula>$S$1</formula>
    </cfRule>
    <cfRule type="cellIs" dxfId="71" priority="1111" operator="equal">
      <formula>$U$1</formula>
    </cfRule>
  </conditionalFormatting>
  <conditionalFormatting sqref="C1">
    <cfRule type="cellIs" dxfId="70" priority="110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C244" sqref="FC24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$A$243</v>
      </c>
      <c r="D111" s="1" t="str">
        <f>ADDRESS(C121-1,D121,1,1)</f>
        <v>$FC$243</v>
      </c>
      <c r="E111"/>
    </row>
    <row r="112" spans="1:5" x14ac:dyDescent="0.25">
      <c r="A112" s="30">
        <v>515.50191262726139</v>
      </c>
      <c r="C112" s="1" t="str">
        <f>ADDRESS(C121,1,1,1)</f>
        <v>$A$244</v>
      </c>
      <c r="D112" s="1" t="str">
        <f>ADDRESS(C121,D121-1,1,1)</f>
        <v>$FB$244</v>
      </c>
      <c r="E112"/>
    </row>
    <row r="113" spans="1:5" x14ac:dyDescent="0.25">
      <c r="A113" s="30">
        <v>490.95420250215363</v>
      </c>
      <c r="C113" s="1" t="str">
        <f>ADDRESS(C121+1,1,1,1)</f>
        <v>$A$245</v>
      </c>
      <c r="D113" s="1" t="str">
        <f>ADDRESS(C121-1,D121+1,1,1)</f>
        <v>$FD$243</v>
      </c>
    </row>
    <row r="114" spans="1:5" x14ac:dyDescent="0.25">
      <c r="A114" s="30">
        <v>467.57543095443202</v>
      </c>
      <c r="C114" s="1" t="str">
        <f>ADDRESS(C121,D121,1,1)</f>
        <v>$FC$244</v>
      </c>
      <c r="D114" s="1" t="str">
        <f>ADDRESS(C121+1,D121+1,1,1)</f>
        <v>$FD$245</v>
      </c>
    </row>
    <row r="115" spans="1:5" x14ac:dyDescent="0.25">
      <c r="A115" s="30">
        <v>445.30993424231622</v>
      </c>
      <c r="C115" s="1" t="str">
        <f>ADDRESS(C121+1,D121,1,1)</f>
        <v>$FC$245</v>
      </c>
    </row>
    <row r="116" spans="1:5" x14ac:dyDescent="0.25">
      <c r="A116" s="30">
        <v>424.10469927839637</v>
      </c>
      <c r="C116" s="1">
        <f>C117-1</f>
        <v>243</v>
      </c>
    </row>
    <row r="117" spans="1:5" x14ac:dyDescent="0.25">
      <c r="A117" s="30">
        <v>403.9092374079965</v>
      </c>
      <c r="C117" s="1">
        <f>C121</f>
        <v>244</v>
      </c>
      <c r="D117" s="1">
        <f>D121</f>
        <v>159</v>
      </c>
    </row>
    <row r="118" spans="1:5" x14ac:dyDescent="0.25">
      <c r="A118" s="30">
        <v>384.6754641980919</v>
      </c>
      <c r="C118" s="1">
        <f>C117+1</f>
        <v>245</v>
      </c>
      <c r="D118" s="1">
        <f>D117+1</f>
        <v>160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244</v>
      </c>
      <c r="D121" s="19">
        <v>159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R244</v>
      </c>
      <c r="D123" s="1" t="str">
        <f>"C"&amp;D121</f>
        <v>C159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0.82270247479188063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92" x14ac:dyDescent="0.25">
      <c r="A193" s="30">
        <v>9.9059710923258422</v>
      </c>
      <c r="E193"/>
    </row>
    <row r="194" spans="1:92" x14ac:dyDescent="0.25">
      <c r="A194" s="30">
        <v>9.4342581831674686</v>
      </c>
      <c r="E194"/>
    </row>
    <row r="195" spans="1:92" x14ac:dyDescent="0.25">
      <c r="A195" s="30">
        <v>8.9850077934928265</v>
      </c>
      <c r="E195"/>
    </row>
    <row r="196" spans="1:92" x14ac:dyDescent="0.25">
      <c r="A196" s="30">
        <v>8.5571502795169767</v>
      </c>
      <c r="E196"/>
    </row>
    <row r="197" spans="1:92" x14ac:dyDescent="0.25">
      <c r="A197" s="30">
        <v>8.1496669328733109</v>
      </c>
      <c r="E197"/>
    </row>
    <row r="198" spans="1:92" x14ac:dyDescent="0.25">
      <c r="A198" s="30">
        <v>7.7615875551174378</v>
      </c>
      <c r="E198"/>
    </row>
    <row r="199" spans="1:92" x14ac:dyDescent="0.25">
      <c r="A199" s="30">
        <v>7.3919881477308929</v>
      </c>
      <c r="E199"/>
    </row>
    <row r="200" spans="1:92" x14ac:dyDescent="0.25">
      <c r="A200" s="30">
        <v>7.0399887121246598</v>
      </c>
      <c r="E200"/>
    </row>
    <row r="201" spans="1:92" x14ac:dyDescent="0.25">
      <c r="A201" s="30">
        <v>6.7047511544044376</v>
      </c>
      <c r="E201"/>
    </row>
    <row r="202" spans="1:92" x14ac:dyDescent="0.25">
      <c r="A202" s="30">
        <v>6.3854772899089882</v>
      </c>
      <c r="E202"/>
      <c r="CM202" s="27" t="s">
        <v>8</v>
      </c>
    </row>
    <row r="203" spans="1:92" x14ac:dyDescent="0.25">
      <c r="A203" s="30">
        <v>6.0814069427704647</v>
      </c>
      <c r="C203" s="7"/>
      <c r="D203"/>
      <c r="E203"/>
      <c r="CM203" s="27" t="s">
        <v>8</v>
      </c>
      <c r="CN203" s="27" t="s">
        <v>7</v>
      </c>
    </row>
    <row r="204" spans="1:92" x14ac:dyDescent="0.25">
      <c r="A204" s="30">
        <v>5.7918161359718709</v>
      </c>
      <c r="E204"/>
      <c r="CM204" s="27" t="s">
        <v>8</v>
      </c>
      <c r="CN204" s="27" t="s">
        <v>7</v>
      </c>
    </row>
    <row r="205" spans="1:92" x14ac:dyDescent="0.25">
      <c r="A205" s="30">
        <v>5.5160153675922574</v>
      </c>
      <c r="E205"/>
      <c r="CM205" s="27" t="s">
        <v>8</v>
      </c>
      <c r="CN205" s="27" t="s">
        <v>7</v>
      </c>
    </row>
    <row r="206" spans="1:92" x14ac:dyDescent="0.25">
      <c r="A206" s="30">
        <v>5.2533479691354827</v>
      </c>
      <c r="C206"/>
      <c r="D206"/>
      <c r="E206"/>
      <c r="CM206" s="27" t="s">
        <v>8</v>
      </c>
      <c r="CN206" s="27" t="s">
        <v>7</v>
      </c>
    </row>
    <row r="207" spans="1:92" x14ac:dyDescent="0.25">
      <c r="A207" s="30">
        <v>5.0031885420337927</v>
      </c>
      <c r="E207"/>
      <c r="CM207" s="27" t="s">
        <v>8</v>
      </c>
      <c r="CN207" s="27" t="s">
        <v>7</v>
      </c>
    </row>
    <row r="208" spans="1:92" x14ac:dyDescent="0.25">
      <c r="A208" s="30">
        <v>4.7649414686036122</v>
      </c>
      <c r="E208"/>
      <c r="CM208" s="27" t="s">
        <v>8</v>
      </c>
      <c r="CN208" s="27" t="s">
        <v>7</v>
      </c>
    </row>
    <row r="209" spans="1:121" x14ac:dyDescent="0.25">
      <c r="A209" s="30">
        <v>4.5380394939082018</v>
      </c>
      <c r="E209"/>
      <c r="CM209" s="27" t="s">
        <v>8</v>
      </c>
      <c r="CN209" s="27" t="s">
        <v>7</v>
      </c>
      <c r="CO209" s="27" t="s">
        <v>8</v>
      </c>
      <c r="CQ209" s="27" t="s">
        <v>8</v>
      </c>
    </row>
    <row r="210" spans="1:121" x14ac:dyDescent="0.25">
      <c r="A210" s="30">
        <v>4.3219423751506678</v>
      </c>
      <c r="C210"/>
      <c r="E210"/>
      <c r="CM210" s="27" t="s">
        <v>8</v>
      </c>
      <c r="CN210" s="27" t="s">
        <v>7</v>
      </c>
      <c r="CO210" s="27" t="s">
        <v>8</v>
      </c>
      <c r="CP210" s="27" t="s">
        <v>7</v>
      </c>
      <c r="CQ210" s="27" t="s">
        <v>8</v>
      </c>
      <c r="CR210" s="27" t="s">
        <v>7</v>
      </c>
    </row>
    <row r="211" spans="1:121" x14ac:dyDescent="0.25">
      <c r="A211" s="30">
        <v>4.1161355953815884</v>
      </c>
      <c r="E211"/>
      <c r="CM211" s="27" t="s">
        <v>8</v>
      </c>
      <c r="CN211" s="27" t="s">
        <v>7</v>
      </c>
      <c r="CO211" s="27" t="s">
        <v>8</v>
      </c>
      <c r="CP211" s="27" t="s">
        <v>7</v>
      </c>
      <c r="CQ211" s="27" t="s">
        <v>8</v>
      </c>
      <c r="CR211" s="27" t="s">
        <v>7</v>
      </c>
    </row>
    <row r="212" spans="1:121" x14ac:dyDescent="0.25">
      <c r="A212" s="30">
        <v>3.9201291384586554</v>
      </c>
      <c r="E212"/>
      <c r="CM212" s="27" t="s">
        <v>8</v>
      </c>
      <c r="CN212" s="27" t="s">
        <v>7</v>
      </c>
      <c r="CO212" s="27" t="s">
        <v>8</v>
      </c>
      <c r="CP212" s="27" t="s">
        <v>7</v>
      </c>
      <c r="CQ212" s="27" t="s">
        <v>8</v>
      </c>
      <c r="CR212" s="27" t="s">
        <v>7</v>
      </c>
    </row>
    <row r="213" spans="1:121" x14ac:dyDescent="0.25">
      <c r="A213" s="30">
        <v>3.7334563223415764</v>
      </c>
      <c r="E213"/>
      <c r="CM213" s="27" t="s">
        <v>8</v>
      </c>
      <c r="CN213" s="27" t="s">
        <v>7</v>
      </c>
      <c r="CO213" s="27" t="s">
        <v>8</v>
      </c>
      <c r="CP213" s="27" t="s">
        <v>7</v>
      </c>
      <c r="CQ213" s="27" t="s">
        <v>8</v>
      </c>
      <c r="CR213" s="27" t="s">
        <v>7</v>
      </c>
    </row>
    <row r="214" spans="1:121" x14ac:dyDescent="0.25">
      <c r="A214" s="30">
        <v>3.5556726879443583</v>
      </c>
      <c r="E214"/>
      <c r="CM214" s="27" t="s">
        <v>8</v>
      </c>
      <c r="CN214" s="27" t="s">
        <v>7</v>
      </c>
      <c r="CO214" s="27" t="s">
        <v>8</v>
      </c>
      <c r="CP214" s="27" t="s">
        <v>7</v>
      </c>
      <c r="CQ214" s="27" t="s">
        <v>8</v>
      </c>
      <c r="CR214" s="27" t="s">
        <v>7</v>
      </c>
    </row>
    <row r="215" spans="1:121" x14ac:dyDescent="0.25">
      <c r="A215" s="30">
        <v>3.3863549408993889</v>
      </c>
      <c r="E215"/>
      <c r="CM215" s="27" t="s">
        <v>8</v>
      </c>
      <c r="CN215" s="27" t="s">
        <v>7</v>
      </c>
      <c r="CO215" s="27" t="s">
        <v>8</v>
      </c>
      <c r="CP215" s="27" t="s">
        <v>7</v>
      </c>
      <c r="CQ215" s="27" t="s">
        <v>8</v>
      </c>
      <c r="CR215" s="27" t="s">
        <v>7</v>
      </c>
      <c r="CS215" s="27" t="s">
        <v>8</v>
      </c>
    </row>
    <row r="216" spans="1:121" x14ac:dyDescent="0.25">
      <c r="A216" s="30">
        <v>3.2250999437137038</v>
      </c>
      <c r="E216"/>
      <c r="CM216" s="27" t="s">
        <v>8</v>
      </c>
      <c r="CN216" s="27" t="s">
        <v>7</v>
      </c>
      <c r="CO216" s="27" t="s">
        <v>8</v>
      </c>
      <c r="CP216" s="27" t="s">
        <v>7</v>
      </c>
      <c r="CQ216" s="27" t="s">
        <v>8</v>
      </c>
      <c r="CR216" s="27" t="s">
        <v>7</v>
      </c>
      <c r="CS216" s="27" t="s">
        <v>8</v>
      </c>
      <c r="CT216" s="27" t="s">
        <v>7</v>
      </c>
      <c r="CU216" s="27" t="s">
        <v>8</v>
      </c>
      <c r="CY216" s="27" t="s">
        <v>8</v>
      </c>
    </row>
    <row r="217" spans="1:121" x14ac:dyDescent="0.25">
      <c r="A217" s="30">
        <v>3.0715237559178128</v>
      </c>
      <c r="E217"/>
      <c r="CM217" s="27" t="s">
        <v>8</v>
      </c>
      <c r="CN217" s="27" t="s">
        <v>7</v>
      </c>
      <c r="CO217" s="27" t="s">
        <v>8</v>
      </c>
      <c r="CP217" s="27" t="s">
        <v>7</v>
      </c>
      <c r="CR217" s="27" t="s">
        <v>7</v>
      </c>
      <c r="CS217" s="27" t="s">
        <v>8</v>
      </c>
      <c r="CT217" s="27" t="s">
        <v>7</v>
      </c>
      <c r="CU217" s="27" t="s">
        <v>8</v>
      </c>
      <c r="CV217" s="27" t="s">
        <v>7</v>
      </c>
      <c r="CY217" s="27" t="s">
        <v>8</v>
      </c>
      <c r="CZ217" s="27" t="s">
        <v>7</v>
      </c>
    </row>
    <row r="218" spans="1:121" x14ac:dyDescent="0.25">
      <c r="A218" s="30">
        <v>2.9252607199217264</v>
      </c>
      <c r="E218"/>
      <c r="CM218" s="27" t="s">
        <v>8</v>
      </c>
      <c r="CN218" s="27" t="s">
        <v>7</v>
      </c>
      <c r="CO218" s="27" t="s">
        <v>8</v>
      </c>
      <c r="CR218" s="27" t="s">
        <v>7</v>
      </c>
      <c r="CS218" s="27" t="s">
        <v>8</v>
      </c>
      <c r="CT218" s="27" t="s">
        <v>7</v>
      </c>
      <c r="CU218" s="27" t="s">
        <v>8</v>
      </c>
      <c r="CV218" s="27" t="s">
        <v>7</v>
      </c>
      <c r="CY218" s="27" t="s">
        <v>8</v>
      </c>
      <c r="CZ218" s="27" t="s">
        <v>7</v>
      </c>
    </row>
    <row r="219" spans="1:121" x14ac:dyDescent="0.25">
      <c r="A219" s="30">
        <v>2.7859625904016441</v>
      </c>
      <c r="E219"/>
      <c r="CM219" s="27" t="s">
        <v>8</v>
      </c>
      <c r="CN219" s="27" t="s">
        <v>7</v>
      </c>
      <c r="CO219" s="27" t="s">
        <v>8</v>
      </c>
      <c r="CR219" s="27" t="s">
        <v>7</v>
      </c>
      <c r="CT219" s="27" t="s">
        <v>7</v>
      </c>
      <c r="CV219" s="27" t="s">
        <v>7</v>
      </c>
      <c r="CW219" s="27" t="s">
        <v>8</v>
      </c>
      <c r="CY219" s="27" t="s">
        <v>8</v>
      </c>
      <c r="CZ219" s="27" t="s">
        <v>7</v>
      </c>
      <c r="DA219" s="27" t="s">
        <v>8</v>
      </c>
    </row>
    <row r="220" spans="1:121" x14ac:dyDescent="0.25">
      <c r="A220" s="30">
        <v>2.6532977051444226</v>
      </c>
      <c r="E220"/>
      <c r="CM220" s="27" t="s">
        <v>8</v>
      </c>
      <c r="CN220" s="27" t="s">
        <v>7</v>
      </c>
      <c r="CV220" s="27" t="s">
        <v>7</v>
      </c>
      <c r="CW220" s="27" t="s">
        <v>8</v>
      </c>
      <c r="CX220" s="27" t="s">
        <v>7</v>
      </c>
      <c r="CY220" s="27" t="s">
        <v>8</v>
      </c>
      <c r="CZ220" s="27" t="s">
        <v>7</v>
      </c>
      <c r="DA220" s="27" t="s">
        <v>8</v>
      </c>
      <c r="DB220" s="27" t="s">
        <v>7</v>
      </c>
    </row>
    <row r="221" spans="1:121" x14ac:dyDescent="0.25">
      <c r="A221" s="30">
        <v>2.5269501953756404</v>
      </c>
      <c r="E221"/>
      <c r="CM221" s="27" t="s">
        <v>8</v>
      </c>
      <c r="CV221" s="27" t="s">
        <v>7</v>
      </c>
      <c r="CW221" s="27" t="s">
        <v>8</v>
      </c>
      <c r="CX221" s="27" t="s">
        <v>7</v>
      </c>
      <c r="CY221" s="27" t="s">
        <v>8</v>
      </c>
      <c r="CZ221" s="27" t="s">
        <v>7</v>
      </c>
      <c r="DA221" s="27" t="s">
        <v>8</v>
      </c>
      <c r="DB221" s="27" t="s">
        <v>7</v>
      </c>
    </row>
    <row r="222" spans="1:121" x14ac:dyDescent="0.25">
      <c r="A222" s="30">
        <v>2.4066192336910861</v>
      </c>
      <c r="E222"/>
      <c r="CM222" s="27" t="s">
        <v>8</v>
      </c>
      <c r="CV222" s="27" t="s">
        <v>7</v>
      </c>
      <c r="CW222" s="27" t="s">
        <v>8</v>
      </c>
      <c r="CX222" s="27" t="s">
        <v>7</v>
      </c>
      <c r="CY222" s="27" t="s">
        <v>8</v>
      </c>
      <c r="CZ222" s="27" t="s">
        <v>7</v>
      </c>
      <c r="DA222" s="27" t="s">
        <v>8</v>
      </c>
      <c r="DB222" s="27" t="s">
        <v>7</v>
      </c>
      <c r="DC222" s="27" t="s">
        <v>8</v>
      </c>
    </row>
    <row r="223" spans="1:121" x14ac:dyDescent="0.25">
      <c r="A223" s="30">
        <v>2.2920183178010345</v>
      </c>
      <c r="E223"/>
      <c r="CM223" s="27" t="s">
        <v>8</v>
      </c>
      <c r="CV223" s="27" t="s">
        <v>7</v>
      </c>
      <c r="CW223" s="27" t="s">
        <v>8</v>
      </c>
      <c r="CX223" s="27" t="s">
        <v>7</v>
      </c>
      <c r="CZ223" s="27" t="s">
        <v>7</v>
      </c>
      <c r="DB223" s="27" t="s">
        <v>7</v>
      </c>
      <c r="DC223" s="27" t="s">
        <v>8</v>
      </c>
      <c r="DD223" s="27" t="s">
        <v>7</v>
      </c>
      <c r="DO223" s="27" t="s">
        <v>8</v>
      </c>
    </row>
    <row r="224" spans="1:121" x14ac:dyDescent="0.25">
      <c r="A224" s="30">
        <v>2.1828745883819374</v>
      </c>
      <c r="E224"/>
      <c r="CM224" s="27" t="s">
        <v>8</v>
      </c>
      <c r="CV224" s="27" t="s">
        <v>7</v>
      </c>
      <c r="CW224" s="27" t="s">
        <v>8</v>
      </c>
      <c r="DB224" s="27" t="s">
        <v>7</v>
      </c>
      <c r="DC224" s="27" t="s">
        <v>8</v>
      </c>
      <c r="DD224" s="27" t="s">
        <v>7</v>
      </c>
      <c r="DO224" s="27" t="s">
        <v>8</v>
      </c>
      <c r="DP224" s="27" t="s">
        <v>7</v>
      </c>
      <c r="DQ224" s="27" t="s">
        <v>8</v>
      </c>
    </row>
    <row r="225" spans="1:156" x14ac:dyDescent="0.25">
      <c r="A225" s="30">
        <v>2.0789281794113688</v>
      </c>
      <c r="E225"/>
      <c r="CM225" s="27" t="s">
        <v>8</v>
      </c>
      <c r="CV225" s="27" t="s">
        <v>7</v>
      </c>
      <c r="CW225" s="27" t="s">
        <v>8</v>
      </c>
      <c r="DB225" s="27" t="s">
        <v>7</v>
      </c>
      <c r="DC225" s="27" t="s">
        <v>8</v>
      </c>
      <c r="DD225" s="27" t="s">
        <v>7</v>
      </c>
      <c r="DO225" s="27" t="s">
        <v>8</v>
      </c>
      <c r="DP225" s="27" t="s">
        <v>7</v>
      </c>
      <c r="DQ225" s="27" t="s">
        <v>8</v>
      </c>
      <c r="DR225" s="27" t="s">
        <v>7</v>
      </c>
      <c r="EO225" s="27" t="s">
        <v>8</v>
      </c>
    </row>
    <row r="226" spans="1:156" x14ac:dyDescent="0.25">
      <c r="A226" s="30">
        <v>1.9799315994393987</v>
      </c>
      <c r="E226"/>
      <c r="CM226" s="27" t="s">
        <v>8</v>
      </c>
      <c r="CV226" s="27" t="s">
        <v>7</v>
      </c>
      <c r="CW226" s="27" t="s">
        <v>8</v>
      </c>
      <c r="DB226" s="27" t="s">
        <v>7</v>
      </c>
      <c r="DC226" s="27" t="s">
        <v>8</v>
      </c>
      <c r="DD226" s="27" t="s">
        <v>7</v>
      </c>
      <c r="DO226" s="27" t="s">
        <v>8</v>
      </c>
      <c r="DP226" s="27" t="s">
        <v>7</v>
      </c>
      <c r="DQ226" s="27" t="s">
        <v>8</v>
      </c>
      <c r="DR226" s="27" t="s">
        <v>7</v>
      </c>
      <c r="DS226" s="27" t="s">
        <v>8</v>
      </c>
      <c r="EO226" s="27" t="s">
        <v>8</v>
      </c>
      <c r="EP226" s="27" t="s">
        <v>7</v>
      </c>
    </row>
    <row r="227" spans="1:156" x14ac:dyDescent="0.25">
      <c r="A227" s="30">
        <v>1.8856491423232367</v>
      </c>
      <c r="E227"/>
      <c r="CK227" s="27" t="s">
        <v>8</v>
      </c>
      <c r="CM227" s="27" t="s">
        <v>8</v>
      </c>
      <c r="CV227" s="27" t="s">
        <v>7</v>
      </c>
      <c r="DB227" s="27" t="s">
        <v>7</v>
      </c>
      <c r="DC227" s="27" t="s">
        <v>8</v>
      </c>
      <c r="DD227" s="27" t="s">
        <v>7</v>
      </c>
      <c r="DI227" s="27" t="s">
        <v>8</v>
      </c>
      <c r="DO227" s="27" t="s">
        <v>8</v>
      </c>
      <c r="DP227" s="27" t="s">
        <v>7</v>
      </c>
      <c r="DQ227" s="27" t="s">
        <v>8</v>
      </c>
      <c r="DR227" s="27" t="s">
        <v>7</v>
      </c>
      <c r="DS227" s="27" t="s">
        <v>8</v>
      </c>
      <c r="DT227" s="27" t="s">
        <v>7</v>
      </c>
      <c r="EO227" s="27" t="s">
        <v>8</v>
      </c>
      <c r="EP227" s="27" t="s">
        <v>7</v>
      </c>
    </row>
    <row r="228" spans="1:156" x14ac:dyDescent="0.25">
      <c r="A228" s="30">
        <v>1.7958563260221301</v>
      </c>
      <c r="C228" s="7"/>
      <c r="D228"/>
      <c r="E228"/>
      <c r="CK228" s="27" t="s">
        <v>8</v>
      </c>
      <c r="CL228" s="27" t="s">
        <v>7</v>
      </c>
      <c r="CM228" s="27" t="s">
        <v>8</v>
      </c>
      <c r="DB228" s="27" t="s">
        <v>7</v>
      </c>
      <c r="DD228" s="27" t="s">
        <v>7</v>
      </c>
      <c r="DI228" s="27" t="s">
        <v>8</v>
      </c>
      <c r="DJ228" s="27" t="s">
        <v>7</v>
      </c>
      <c r="DO228" s="27" t="s">
        <v>8</v>
      </c>
      <c r="DP228" s="27" t="s">
        <v>7</v>
      </c>
      <c r="DR228" s="27" t="s">
        <v>7</v>
      </c>
      <c r="DS228" s="27" t="s">
        <v>8</v>
      </c>
      <c r="DT228" s="27" t="s">
        <v>7</v>
      </c>
      <c r="EO228" s="27" t="s">
        <v>8</v>
      </c>
      <c r="EP228" s="27" t="s">
        <v>7</v>
      </c>
      <c r="ES228" s="27" t="s">
        <v>8</v>
      </c>
    </row>
    <row r="229" spans="1:156" x14ac:dyDescent="0.25">
      <c r="A229" s="30">
        <v>1.7103393581163142</v>
      </c>
      <c r="E229"/>
      <c r="CK229" s="27" t="s">
        <v>8</v>
      </c>
      <c r="CL229" s="27" t="s">
        <v>7</v>
      </c>
      <c r="CM229" s="27" t="s">
        <v>8</v>
      </c>
      <c r="DD229" s="27" t="s">
        <v>7</v>
      </c>
      <c r="DI229" s="27" t="s">
        <v>8</v>
      </c>
      <c r="DJ229" s="27" t="s">
        <v>7</v>
      </c>
      <c r="DK229" s="27" t="s">
        <v>8</v>
      </c>
      <c r="DO229" s="27" t="s">
        <v>8</v>
      </c>
      <c r="DR229" s="27" t="s">
        <v>7</v>
      </c>
      <c r="DS229" s="27" t="s">
        <v>8</v>
      </c>
      <c r="DT229" s="27" t="s">
        <v>7</v>
      </c>
      <c r="EG229" s="27" t="s">
        <v>8</v>
      </c>
      <c r="EO229" s="27" t="s">
        <v>8</v>
      </c>
      <c r="EP229" s="27" t="s">
        <v>7</v>
      </c>
      <c r="EQ229" s="27" t="s">
        <v>8</v>
      </c>
      <c r="ES229" s="27" t="s">
        <v>8</v>
      </c>
      <c r="ET229" s="27" t="s">
        <v>7</v>
      </c>
    </row>
    <row r="230" spans="1:156" x14ac:dyDescent="0.25">
      <c r="A230" s="30">
        <v>1.628894626777442</v>
      </c>
      <c r="E230"/>
      <c r="CK230" s="27" t="s">
        <v>8</v>
      </c>
      <c r="CL230" s="27" t="s">
        <v>7</v>
      </c>
      <c r="CM230" s="27" t="s">
        <v>8</v>
      </c>
      <c r="DD230" s="27" t="s">
        <v>7</v>
      </c>
      <c r="DI230" s="27" t="s">
        <v>8</v>
      </c>
      <c r="DJ230" s="27" t="s">
        <v>7</v>
      </c>
      <c r="DK230" s="27" t="s">
        <v>8</v>
      </c>
      <c r="DL230" s="27" t="s">
        <v>7</v>
      </c>
      <c r="DO230" s="27" t="s">
        <v>8</v>
      </c>
      <c r="DR230" s="27" t="s">
        <v>7</v>
      </c>
      <c r="DS230" s="27" t="s">
        <v>8</v>
      </c>
      <c r="DT230" s="27" t="s">
        <v>7</v>
      </c>
      <c r="EG230" s="27" t="s">
        <v>8</v>
      </c>
      <c r="EH230" s="27" t="s">
        <v>7</v>
      </c>
      <c r="EO230" s="27" t="s">
        <v>8</v>
      </c>
      <c r="EP230" s="27" t="s">
        <v>7</v>
      </c>
      <c r="EQ230" s="27" t="s">
        <v>8</v>
      </c>
      <c r="ER230" s="27" t="s">
        <v>7</v>
      </c>
      <c r="ES230" s="27" t="s">
        <v>8</v>
      </c>
      <c r="ET230" s="27" t="s">
        <v>7</v>
      </c>
    </row>
    <row r="231" spans="1:156" x14ac:dyDescent="0.25">
      <c r="A231" s="30">
        <v>1.5513282159785162</v>
      </c>
      <c r="C231"/>
      <c r="D231"/>
      <c r="E231"/>
      <c r="CK231" s="27" t="s">
        <v>8</v>
      </c>
      <c r="CL231" s="27" t="s">
        <v>7</v>
      </c>
      <c r="CM231" s="27" t="s">
        <v>8</v>
      </c>
      <c r="DD231" s="27" t="s">
        <v>7</v>
      </c>
      <c r="DE231" s="27" t="s">
        <v>8</v>
      </c>
      <c r="DI231" s="27" t="s">
        <v>8</v>
      </c>
      <c r="DJ231" s="27" t="s">
        <v>7</v>
      </c>
      <c r="DK231" s="27" t="s">
        <v>8</v>
      </c>
      <c r="DL231" s="27" t="s">
        <v>7</v>
      </c>
      <c r="DO231" s="27" t="s">
        <v>8</v>
      </c>
      <c r="DR231" s="27" t="s">
        <v>7</v>
      </c>
      <c r="DS231" s="27" t="s">
        <v>8</v>
      </c>
      <c r="DT231" s="27" t="s">
        <v>7</v>
      </c>
      <c r="EC231" s="27" t="s">
        <v>8</v>
      </c>
      <c r="EE231" s="27" t="s">
        <v>8</v>
      </c>
      <c r="EG231" s="27" t="s">
        <v>8</v>
      </c>
      <c r="EH231" s="27" t="s">
        <v>7</v>
      </c>
      <c r="EO231" s="27" t="s">
        <v>8</v>
      </c>
      <c r="EP231" s="27" t="s">
        <v>7</v>
      </c>
      <c r="EQ231" s="27" t="s">
        <v>8</v>
      </c>
      <c r="ER231" s="27" t="s">
        <v>7</v>
      </c>
      <c r="ES231" s="27" t="s">
        <v>8</v>
      </c>
      <c r="ET231" s="27" t="s">
        <v>7</v>
      </c>
    </row>
    <row r="232" spans="1:156" x14ac:dyDescent="0.25">
      <c r="A232" s="30">
        <v>1.477455443789063</v>
      </c>
      <c r="E232"/>
      <c r="CK232" s="27" t="s">
        <v>8</v>
      </c>
      <c r="CL232" s="27" t="s">
        <v>7</v>
      </c>
      <c r="DD232" s="27" t="s">
        <v>7</v>
      </c>
      <c r="DE232" s="27" t="s">
        <v>8</v>
      </c>
      <c r="DF232" s="27" t="s">
        <v>7</v>
      </c>
      <c r="DI232" s="27" t="s">
        <v>8</v>
      </c>
      <c r="DJ232" s="27" t="s">
        <v>7</v>
      </c>
      <c r="DK232" s="27" t="s">
        <v>8</v>
      </c>
      <c r="DL232" s="27" t="s">
        <v>7</v>
      </c>
      <c r="DM232" s="27" t="s">
        <v>8</v>
      </c>
      <c r="DO232" s="27" t="s">
        <v>8</v>
      </c>
      <c r="DR232" s="27" t="s">
        <v>7</v>
      </c>
      <c r="DS232" s="27" t="s">
        <v>8</v>
      </c>
      <c r="DT232" s="27" t="s">
        <v>7</v>
      </c>
      <c r="EC232" s="27" t="s">
        <v>8</v>
      </c>
      <c r="ED232" s="27" t="s">
        <v>7</v>
      </c>
      <c r="EE232" s="27" t="s">
        <v>8</v>
      </c>
      <c r="EF232" s="27" t="s">
        <v>7</v>
      </c>
      <c r="EG232" s="27" t="s">
        <v>8</v>
      </c>
      <c r="EH232" s="27" t="s">
        <v>7</v>
      </c>
      <c r="EO232" s="27" t="s">
        <v>8</v>
      </c>
      <c r="EP232" s="27" t="s">
        <v>7</v>
      </c>
      <c r="ER232" s="27" t="s">
        <v>7</v>
      </c>
      <c r="ES232" s="27" t="s">
        <v>8</v>
      </c>
      <c r="ET232" s="27" t="s">
        <v>7</v>
      </c>
    </row>
    <row r="233" spans="1:156" x14ac:dyDescent="0.25">
      <c r="A233" s="30">
        <v>1.4071004226562505</v>
      </c>
      <c r="E233"/>
      <c r="CK233" s="27" t="s">
        <v>8</v>
      </c>
      <c r="DD233" s="27" t="s">
        <v>7</v>
      </c>
      <c r="DE233" s="27" t="s">
        <v>8</v>
      </c>
      <c r="DF233" s="27" t="s">
        <v>7</v>
      </c>
      <c r="DI233" s="27" t="s">
        <v>8</v>
      </c>
      <c r="DJ233" s="27" t="s">
        <v>7</v>
      </c>
      <c r="DL233" s="27" t="s">
        <v>7</v>
      </c>
      <c r="DM233" s="27" t="s">
        <v>8</v>
      </c>
      <c r="DN233" s="27" t="s">
        <v>7</v>
      </c>
      <c r="DO233" s="27" t="s">
        <v>8</v>
      </c>
      <c r="DR233" s="27" t="s">
        <v>7</v>
      </c>
      <c r="DS233" s="27" t="s">
        <v>8</v>
      </c>
      <c r="DT233" s="27" t="s">
        <v>7</v>
      </c>
      <c r="EC233" s="27" t="s">
        <v>8</v>
      </c>
      <c r="ED233" s="27" t="s">
        <v>7</v>
      </c>
      <c r="EE233" s="27" t="s">
        <v>8</v>
      </c>
      <c r="EF233" s="27" t="s">
        <v>7</v>
      </c>
      <c r="EG233" s="27" t="s">
        <v>8</v>
      </c>
      <c r="EH233" s="27" t="s">
        <v>7</v>
      </c>
      <c r="EM233" s="27" t="s">
        <v>8</v>
      </c>
      <c r="EO233" s="27" t="s">
        <v>8</v>
      </c>
      <c r="ER233" s="27" t="s">
        <v>7</v>
      </c>
      <c r="ES233" s="27" t="s">
        <v>8</v>
      </c>
      <c r="ET233" s="27" t="s">
        <v>7</v>
      </c>
    </row>
    <row r="234" spans="1:156" x14ac:dyDescent="0.25">
      <c r="A234" s="30">
        <v>1.3400956406250004</v>
      </c>
      <c r="E234"/>
      <c r="CK234" s="27" t="s">
        <v>8</v>
      </c>
      <c r="DD234" s="27" t="s">
        <v>7</v>
      </c>
      <c r="DE234" s="27" t="s">
        <v>8</v>
      </c>
      <c r="DF234" s="27" t="s">
        <v>7</v>
      </c>
      <c r="DI234" s="27" t="s">
        <v>8</v>
      </c>
      <c r="DL234" s="27" t="s">
        <v>7</v>
      </c>
      <c r="DM234" s="27" t="s">
        <v>8</v>
      </c>
      <c r="DN234" s="27" t="s">
        <v>7</v>
      </c>
      <c r="DO234" s="27" t="s">
        <v>8</v>
      </c>
      <c r="DR234" s="27" t="s">
        <v>7</v>
      </c>
      <c r="DT234" s="27" t="s">
        <v>7</v>
      </c>
      <c r="EC234" s="27" t="s">
        <v>8</v>
      </c>
      <c r="ED234" s="27" t="s">
        <v>7</v>
      </c>
      <c r="EF234" s="27" t="s">
        <v>7</v>
      </c>
      <c r="EH234" s="27" t="s">
        <v>7</v>
      </c>
      <c r="EK234" s="27" t="s">
        <v>8</v>
      </c>
      <c r="EM234" s="27" t="s">
        <v>8</v>
      </c>
      <c r="EN234" s="27" t="s">
        <v>7</v>
      </c>
      <c r="EO234" s="27" t="s">
        <v>8</v>
      </c>
      <c r="ER234" s="27" t="s">
        <v>7</v>
      </c>
      <c r="ES234" s="27" t="s">
        <v>8</v>
      </c>
      <c r="ET234" s="27" t="s">
        <v>7</v>
      </c>
      <c r="EU234" s="27" t="s">
        <v>8</v>
      </c>
      <c r="EW234" s="27" t="s">
        <v>8</v>
      </c>
    </row>
    <row r="235" spans="1:156" x14ac:dyDescent="0.25">
      <c r="A235" s="30">
        <v>1.2762815625000004</v>
      </c>
      <c r="C235"/>
      <c r="E235"/>
      <c r="CK235" s="27" t="s">
        <v>8</v>
      </c>
      <c r="DD235" s="27" t="s">
        <v>7</v>
      </c>
      <c r="DE235" s="27" t="s">
        <v>8</v>
      </c>
      <c r="DF235" s="27" t="s">
        <v>7</v>
      </c>
      <c r="DG235" s="27" t="s">
        <v>8</v>
      </c>
      <c r="DI235" s="27" t="s">
        <v>8</v>
      </c>
      <c r="DL235" s="27" t="s">
        <v>7</v>
      </c>
      <c r="DM235" s="27" t="s">
        <v>8</v>
      </c>
      <c r="DN235" s="27" t="s">
        <v>7</v>
      </c>
      <c r="DT235" s="27" t="s">
        <v>7</v>
      </c>
      <c r="DU235" s="27" t="s">
        <v>8</v>
      </c>
      <c r="DW235" s="27" t="s">
        <v>8</v>
      </c>
      <c r="DY235" s="27" t="s">
        <v>8</v>
      </c>
      <c r="EA235" s="27" t="s">
        <v>8</v>
      </c>
      <c r="EC235" s="27" t="s">
        <v>8</v>
      </c>
      <c r="EH235" s="27" t="s">
        <v>7</v>
      </c>
      <c r="EI235" s="27" t="s">
        <v>8</v>
      </c>
      <c r="EK235" s="27" t="s">
        <v>8</v>
      </c>
      <c r="EL235" s="27" t="s">
        <v>7</v>
      </c>
      <c r="EM235" s="27" t="s">
        <v>8</v>
      </c>
      <c r="EN235" s="27" t="s">
        <v>7</v>
      </c>
      <c r="EO235" s="27" t="s">
        <v>8</v>
      </c>
      <c r="ER235" s="27" t="s">
        <v>7</v>
      </c>
      <c r="ES235" s="27" t="s">
        <v>8</v>
      </c>
      <c r="ET235" s="27" t="s">
        <v>7</v>
      </c>
      <c r="EU235" s="27" t="s">
        <v>8</v>
      </c>
      <c r="EV235" s="27" t="s">
        <v>7</v>
      </c>
      <c r="EW235" s="27" t="s">
        <v>8</v>
      </c>
      <c r="EX235" s="27" t="s">
        <v>7</v>
      </c>
    </row>
    <row r="236" spans="1:156" x14ac:dyDescent="0.25">
      <c r="A236" s="30">
        <v>1.2155062500000002</v>
      </c>
      <c r="E236"/>
      <c r="CK236" s="27" t="s">
        <v>8</v>
      </c>
      <c r="DD236" s="27" t="s">
        <v>7</v>
      </c>
      <c r="DE236" s="27" t="s">
        <v>8</v>
      </c>
      <c r="DF236" s="27" t="s">
        <v>7</v>
      </c>
      <c r="DG236" s="27" t="s">
        <v>8</v>
      </c>
      <c r="DH236" s="27" t="s">
        <v>7</v>
      </c>
      <c r="DI236" s="27" t="s">
        <v>8</v>
      </c>
      <c r="DL236" s="27" t="s">
        <v>7</v>
      </c>
      <c r="DT236" s="27" t="s">
        <v>7</v>
      </c>
      <c r="DU236" s="27" t="s">
        <v>8</v>
      </c>
      <c r="DV236" s="27" t="s">
        <v>7</v>
      </c>
      <c r="DW236" s="27" t="s">
        <v>8</v>
      </c>
      <c r="DX236" s="27" t="s">
        <v>7</v>
      </c>
      <c r="DY236" s="27" t="s">
        <v>8</v>
      </c>
      <c r="DZ236" s="27" t="s">
        <v>7</v>
      </c>
      <c r="EA236" s="27" t="s">
        <v>8</v>
      </c>
      <c r="EB236" s="27" t="s">
        <v>7</v>
      </c>
      <c r="EC236" s="27" t="s">
        <v>8</v>
      </c>
      <c r="EH236" s="27" t="s">
        <v>7</v>
      </c>
      <c r="EI236" s="27" t="s">
        <v>8</v>
      </c>
      <c r="EJ236" s="27" t="s">
        <v>7</v>
      </c>
      <c r="EK236" s="27" t="s">
        <v>8</v>
      </c>
      <c r="EL236" s="27" t="s">
        <v>7</v>
      </c>
      <c r="EM236" s="27" t="s">
        <v>8</v>
      </c>
      <c r="EN236" s="27" t="s">
        <v>7</v>
      </c>
      <c r="ER236" s="27" t="s">
        <v>7</v>
      </c>
      <c r="ES236" s="27" t="s">
        <v>8</v>
      </c>
      <c r="ET236" s="27" t="s">
        <v>7</v>
      </c>
      <c r="EU236" s="27" t="s">
        <v>8</v>
      </c>
      <c r="EV236" s="27" t="s">
        <v>7</v>
      </c>
      <c r="EW236" s="27" t="s">
        <v>8</v>
      </c>
      <c r="EX236" s="27" t="s">
        <v>7</v>
      </c>
    </row>
    <row r="237" spans="1:15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CK237" s="27" t="s">
        <v>8</v>
      </c>
      <c r="DD237" s="27" t="s">
        <v>7</v>
      </c>
      <c r="DE237" s="27" t="s">
        <v>8</v>
      </c>
      <c r="DF237" s="27" t="s">
        <v>7</v>
      </c>
      <c r="DG237" s="27" t="s">
        <v>8</v>
      </c>
      <c r="DH237" s="27" t="s">
        <v>7</v>
      </c>
      <c r="DI237" s="27" t="s">
        <v>8</v>
      </c>
      <c r="DT237" s="27" t="s">
        <v>7</v>
      </c>
      <c r="DU237" s="27" t="s">
        <v>8</v>
      </c>
      <c r="DV237" s="27" t="s">
        <v>7</v>
      </c>
      <c r="DW237" s="27" t="s">
        <v>8</v>
      </c>
      <c r="DX237" s="27" t="s">
        <v>7</v>
      </c>
      <c r="DY237" s="27" t="s">
        <v>8</v>
      </c>
      <c r="DZ237" s="27" t="s">
        <v>7</v>
      </c>
      <c r="EA237" s="27" t="s">
        <v>8</v>
      </c>
      <c r="EB237" s="27" t="s">
        <v>7</v>
      </c>
      <c r="EC237" s="27" t="s">
        <v>8</v>
      </c>
      <c r="EH237" s="27" t="s">
        <v>7</v>
      </c>
      <c r="EI237" s="27" t="s">
        <v>8</v>
      </c>
      <c r="EJ237" s="27" t="s">
        <v>7</v>
      </c>
      <c r="EK237" s="27" t="s">
        <v>8</v>
      </c>
      <c r="EL237" s="27" t="s">
        <v>7</v>
      </c>
      <c r="EM237" s="27" t="s">
        <v>8</v>
      </c>
      <c r="ER237" s="27" t="s">
        <v>7</v>
      </c>
      <c r="ES237" s="27" t="s">
        <v>8</v>
      </c>
      <c r="ET237" s="27" t="s">
        <v>7</v>
      </c>
      <c r="EU237" s="27" t="s">
        <v>8</v>
      </c>
      <c r="EV237" s="27" t="s">
        <v>7</v>
      </c>
      <c r="EW237" s="27" t="s">
        <v>8</v>
      </c>
      <c r="EX237" s="27" t="s">
        <v>7</v>
      </c>
    </row>
    <row r="238" spans="1:156" x14ac:dyDescent="0.25">
      <c r="A238" s="30">
        <v>1.1025</v>
      </c>
      <c r="E238"/>
      <c r="CK238" s="27" t="s">
        <v>8</v>
      </c>
      <c r="DD238" s="27" t="s">
        <v>7</v>
      </c>
      <c r="DE238" s="27" t="s">
        <v>8</v>
      </c>
      <c r="DF238" s="27" t="s">
        <v>7</v>
      </c>
      <c r="DG238" s="27" t="s">
        <v>8</v>
      </c>
      <c r="DH238" s="27" t="s">
        <v>7</v>
      </c>
      <c r="DI238" s="27" t="s">
        <v>8</v>
      </c>
      <c r="DT238" s="27" t="s">
        <v>7</v>
      </c>
      <c r="DU238" s="27" t="s">
        <v>8</v>
      </c>
      <c r="DV238" s="27" t="s">
        <v>7</v>
      </c>
      <c r="DW238" s="27" t="s">
        <v>8</v>
      </c>
      <c r="DX238" s="27" t="s">
        <v>7</v>
      </c>
      <c r="DZ238" s="27" t="s">
        <v>7</v>
      </c>
      <c r="EA238" s="27" t="s">
        <v>8</v>
      </c>
      <c r="EB238" s="27" t="s">
        <v>7</v>
      </c>
      <c r="EC238" s="27" t="s">
        <v>8</v>
      </c>
      <c r="EH238" s="27" t="s">
        <v>7</v>
      </c>
      <c r="EJ238" s="27" t="s">
        <v>7</v>
      </c>
      <c r="EL238" s="27" t="s">
        <v>7</v>
      </c>
      <c r="EM238" s="27" t="s">
        <v>8</v>
      </c>
      <c r="ER238" s="27" t="s">
        <v>7</v>
      </c>
      <c r="ET238" s="27" t="s">
        <v>7</v>
      </c>
      <c r="EU238" s="27" t="s">
        <v>8</v>
      </c>
      <c r="EV238" s="27" t="s">
        <v>7</v>
      </c>
      <c r="EW238" s="27" t="s">
        <v>8</v>
      </c>
      <c r="EX238" s="27" t="s">
        <v>7</v>
      </c>
      <c r="EY238" s="27" t="s">
        <v>8</v>
      </c>
    </row>
    <row r="239" spans="1:156" x14ac:dyDescent="0.25">
      <c r="A239" s="30">
        <v>1.05</v>
      </c>
      <c r="E239"/>
      <c r="CK239" s="27" t="s">
        <v>8</v>
      </c>
      <c r="DD239" s="27" t="s">
        <v>7</v>
      </c>
      <c r="DE239" s="27" t="s">
        <v>8</v>
      </c>
      <c r="DF239" s="27" t="s">
        <v>7</v>
      </c>
      <c r="DH239" s="27" t="s">
        <v>7</v>
      </c>
      <c r="DI239" s="27" t="s">
        <v>8</v>
      </c>
      <c r="DT239" s="27" t="s">
        <v>7</v>
      </c>
      <c r="DU239" s="27" t="s">
        <v>8</v>
      </c>
      <c r="DV239" s="27" t="s">
        <v>7</v>
      </c>
      <c r="DZ239" s="27" t="s">
        <v>7</v>
      </c>
      <c r="EA239" s="27" t="s">
        <v>8</v>
      </c>
      <c r="EB239" s="27" t="s">
        <v>7</v>
      </c>
      <c r="EL239" s="27" t="s">
        <v>7</v>
      </c>
      <c r="EM239" s="27" t="s">
        <v>8</v>
      </c>
      <c r="ET239" s="27" t="s">
        <v>7</v>
      </c>
      <c r="EV239" s="27" t="s">
        <v>7</v>
      </c>
      <c r="EX239" s="27" t="s">
        <v>7</v>
      </c>
      <c r="EY239" s="27" t="s">
        <v>8</v>
      </c>
      <c r="EZ239" s="27" t="s">
        <v>7</v>
      </c>
    </row>
    <row r="240" spans="1:156" x14ac:dyDescent="0.25">
      <c r="A240" s="30">
        <v>1</v>
      </c>
      <c r="E240" s="29" t="s">
        <v>8</v>
      </c>
      <c r="CK240" s="27" t="s">
        <v>8</v>
      </c>
      <c r="DD240" s="27" t="s">
        <v>7</v>
      </c>
      <c r="DE240" s="27" t="s">
        <v>8</v>
      </c>
      <c r="DH240" s="27" t="s">
        <v>7</v>
      </c>
      <c r="DI240" s="27" t="s">
        <v>8</v>
      </c>
      <c r="DT240" s="27" t="s">
        <v>7</v>
      </c>
      <c r="DU240" s="27" t="s">
        <v>8</v>
      </c>
      <c r="DZ240" s="27" t="s">
        <v>7</v>
      </c>
      <c r="EA240" s="27" t="s">
        <v>8</v>
      </c>
      <c r="EL240" s="27" t="s">
        <v>7</v>
      </c>
      <c r="EX240" s="27" t="s">
        <v>7</v>
      </c>
      <c r="EY240" s="27" t="s">
        <v>8</v>
      </c>
      <c r="EZ240" s="27" t="s">
        <v>7</v>
      </c>
    </row>
    <row r="241" spans="1:159" x14ac:dyDescent="0.25">
      <c r="A241" s="30">
        <v>0.952380952380952</v>
      </c>
      <c r="B241"/>
      <c r="C241"/>
      <c r="D241"/>
      <c r="E241"/>
      <c r="F241" s="27" t="s">
        <v>7</v>
      </c>
      <c r="CI241" s="27" t="s">
        <v>8</v>
      </c>
      <c r="CK241" s="27" t="s">
        <v>8</v>
      </c>
      <c r="DD241" s="27" t="s">
        <v>7</v>
      </c>
      <c r="DE241" s="27" t="s">
        <v>8</v>
      </c>
      <c r="DH241" s="27" t="s">
        <v>7</v>
      </c>
      <c r="DI241" s="27" t="s">
        <v>8</v>
      </c>
      <c r="DT241" s="27" t="s">
        <v>7</v>
      </c>
      <c r="DU241" s="27" t="s">
        <v>8</v>
      </c>
      <c r="DZ241" s="27" t="s">
        <v>7</v>
      </c>
      <c r="EA241" s="27" t="s">
        <v>8</v>
      </c>
      <c r="EX241" s="27" t="s">
        <v>7</v>
      </c>
      <c r="EZ241" s="27" t="s">
        <v>7</v>
      </c>
    </row>
    <row r="242" spans="1:159" x14ac:dyDescent="0.25">
      <c r="A242" s="30">
        <v>0.90702947845804915</v>
      </c>
      <c r="B242"/>
      <c r="C242"/>
      <c r="D242"/>
      <c r="E242"/>
      <c r="F242" s="27" t="s">
        <v>7</v>
      </c>
      <c r="CI242" s="27" t="s">
        <v>8</v>
      </c>
      <c r="CJ242" s="27" t="s">
        <v>7</v>
      </c>
      <c r="CK242" s="27" t="s">
        <v>8</v>
      </c>
      <c r="DD242" s="27" t="s">
        <v>7</v>
      </c>
      <c r="DE242" s="27" t="s">
        <v>8</v>
      </c>
      <c r="DH242" s="27" t="s">
        <v>7</v>
      </c>
      <c r="DI242" s="27" t="s">
        <v>8</v>
      </c>
      <c r="DT242" s="27" t="s">
        <v>7</v>
      </c>
      <c r="DZ242" s="18" t="s">
        <v>7</v>
      </c>
      <c r="EA242" s="27" t="s">
        <v>8</v>
      </c>
      <c r="EZ242" s="27" t="s">
        <v>7</v>
      </c>
    </row>
    <row r="243" spans="1:159" x14ac:dyDescent="0.25">
      <c r="A243" s="30">
        <v>0.86383759853147501</v>
      </c>
      <c r="B243"/>
      <c r="C243"/>
      <c r="D243"/>
      <c r="E243"/>
      <c r="F243" s="27" t="s">
        <v>7</v>
      </c>
      <c r="CI243" s="27" t="s">
        <v>8</v>
      </c>
      <c r="CJ243" s="27" t="s">
        <v>7</v>
      </c>
      <c r="CK243" s="27" t="s">
        <v>8</v>
      </c>
      <c r="DD243" s="27" t="s">
        <v>7</v>
      </c>
      <c r="DE243" s="27" t="s">
        <v>8</v>
      </c>
      <c r="DH243" s="27" t="s">
        <v>7</v>
      </c>
      <c r="DI243" s="27" t="s">
        <v>8</v>
      </c>
      <c r="DZ243" s="27" t="s">
        <v>7</v>
      </c>
      <c r="EA243" s="27" t="s">
        <v>8</v>
      </c>
      <c r="EZ243" s="27" t="s">
        <v>7</v>
      </c>
    </row>
    <row r="244" spans="1:159" x14ac:dyDescent="0.25">
      <c r="A244" s="30">
        <v>0.82270247479188063</v>
      </c>
      <c r="B244"/>
      <c r="C244"/>
      <c r="D244"/>
      <c r="E244"/>
      <c r="F244" s="27" t="s">
        <v>7</v>
      </c>
      <c r="CI244" s="27" t="s">
        <v>8</v>
      </c>
      <c r="CJ244" s="27" t="s">
        <v>7</v>
      </c>
      <c r="CK244" s="27" t="s">
        <v>8</v>
      </c>
      <c r="DD244" s="27" t="s">
        <v>7</v>
      </c>
      <c r="DH244" s="27" t="s">
        <v>7</v>
      </c>
      <c r="DI244" s="27" t="s">
        <v>8</v>
      </c>
      <c r="DZ244" s="27" t="s">
        <v>7</v>
      </c>
      <c r="EZ244" s="27" t="s">
        <v>7</v>
      </c>
      <c r="FA244" s="27" t="s">
        <v>8</v>
      </c>
      <c r="FC244" s="27" t="s">
        <v>8</v>
      </c>
    </row>
    <row r="245" spans="1:159" x14ac:dyDescent="0.25">
      <c r="A245" s="30">
        <v>0.78352616646845741</v>
      </c>
      <c r="B245"/>
      <c r="C245"/>
      <c r="D245"/>
      <c r="E245"/>
      <c r="F245" s="27" t="s">
        <v>7</v>
      </c>
      <c r="CI245" s="27" t="s">
        <v>8</v>
      </c>
      <c r="CJ245" s="27" t="s">
        <v>7</v>
      </c>
      <c r="CK245" s="27" t="s">
        <v>8</v>
      </c>
      <c r="DH245" s="27" t="s">
        <v>7</v>
      </c>
      <c r="DI245" s="27" t="s">
        <v>8</v>
      </c>
      <c r="EZ245" s="27" t="s">
        <v>7</v>
      </c>
      <c r="FA245" s="27" t="s">
        <v>8</v>
      </c>
      <c r="FB245" s="27" t="s">
        <v>7</v>
      </c>
      <c r="FC245" s="27" t="s">
        <v>8</v>
      </c>
    </row>
    <row r="246" spans="1:159" x14ac:dyDescent="0.25">
      <c r="A246" s="30">
        <v>0.74621539663662584</v>
      </c>
      <c r="B246"/>
      <c r="C246"/>
      <c r="D246"/>
      <c r="E246"/>
      <c r="F246" s="27" t="s">
        <v>7</v>
      </c>
      <c r="CI246" s="27" t="s">
        <v>8</v>
      </c>
      <c r="CJ246" s="27" t="s">
        <v>7</v>
      </c>
      <c r="DH246" s="27" t="s">
        <v>7</v>
      </c>
      <c r="DI246" s="27" t="s">
        <v>8</v>
      </c>
      <c r="EZ246" s="27" t="s">
        <v>7</v>
      </c>
      <c r="FA246" s="27" t="s">
        <v>8</v>
      </c>
      <c r="FB246" s="27" t="s">
        <v>7</v>
      </c>
      <c r="FC246" s="27" t="s">
        <v>8</v>
      </c>
    </row>
    <row r="247" spans="1:159" x14ac:dyDescent="0.25">
      <c r="A247" s="30">
        <v>0.71068133013011958</v>
      </c>
      <c r="B247"/>
      <c r="C247"/>
      <c r="D247"/>
      <c r="E247"/>
      <c r="F247" s="27" t="s">
        <v>7</v>
      </c>
      <c r="CI247" s="27" t="s">
        <v>8</v>
      </c>
      <c r="DH247" s="27" t="s">
        <v>7</v>
      </c>
      <c r="DI247" s="27" t="s">
        <v>8</v>
      </c>
      <c r="EZ247" s="27" t="s">
        <v>7</v>
      </c>
      <c r="FB247" s="27" t="s">
        <v>7</v>
      </c>
    </row>
    <row r="248" spans="1:159" x14ac:dyDescent="0.25">
      <c r="A248" s="30">
        <v>0.676839362028685</v>
      </c>
      <c r="B248"/>
      <c r="C248"/>
      <c r="D248"/>
      <c r="E248"/>
      <c r="F248" s="27" t="s">
        <v>7</v>
      </c>
      <c r="CI248" s="27" t="s">
        <v>8</v>
      </c>
      <c r="DH248" s="27" t="s">
        <v>7</v>
      </c>
    </row>
    <row r="249" spans="1:159" x14ac:dyDescent="0.25">
      <c r="A249" s="30">
        <v>0.64460891621779492</v>
      </c>
      <c r="B249"/>
      <c r="C249"/>
      <c r="D249"/>
      <c r="E249"/>
      <c r="F249" s="27" t="s">
        <v>7</v>
      </c>
      <c r="CI249" s="27" t="s">
        <v>8</v>
      </c>
    </row>
    <row r="250" spans="1:159" x14ac:dyDescent="0.25">
      <c r="A250" s="30">
        <v>0.61391325354075688</v>
      </c>
      <c r="B250"/>
      <c r="C250"/>
      <c r="D250"/>
      <c r="E250"/>
      <c r="F250" s="27" t="s">
        <v>7</v>
      </c>
      <c r="CI250" s="27" t="s">
        <v>8</v>
      </c>
    </row>
    <row r="251" spans="1:159" x14ac:dyDescent="0.25">
      <c r="A251" s="30">
        <v>0.58467928908643485</v>
      </c>
      <c r="B251"/>
      <c r="C251"/>
      <c r="D251"/>
      <c r="E251"/>
      <c r="F251" s="27" t="s">
        <v>7</v>
      </c>
      <c r="CE251" s="27" t="s">
        <v>8</v>
      </c>
      <c r="CI251" s="27" t="s">
        <v>8</v>
      </c>
    </row>
    <row r="252" spans="1:159" x14ac:dyDescent="0.25">
      <c r="A252" s="30">
        <v>0.55683741817755672</v>
      </c>
      <c r="B252"/>
      <c r="C252"/>
      <c r="D252"/>
      <c r="E252"/>
      <c r="F252" s="27" t="s">
        <v>7</v>
      </c>
      <c r="CE252" s="27" t="s">
        <v>8</v>
      </c>
      <c r="CF252" s="27" t="s">
        <v>7</v>
      </c>
      <c r="CG252" s="27" t="s">
        <v>8</v>
      </c>
      <c r="CI252" s="27" t="s">
        <v>8</v>
      </c>
    </row>
    <row r="253" spans="1:159" x14ac:dyDescent="0.25">
      <c r="A253" s="30">
        <v>0.53032135064529184</v>
      </c>
      <c r="B253"/>
      <c r="C253"/>
      <c r="D253"/>
      <c r="E253"/>
      <c r="F253" s="27" t="s">
        <v>7</v>
      </c>
      <c r="CE253" s="27" t="s">
        <v>8</v>
      </c>
      <c r="CF253" s="27" t="s">
        <v>7</v>
      </c>
      <c r="CG253" s="27" t="s">
        <v>8</v>
      </c>
      <c r="CH253" s="27" t="s">
        <v>7</v>
      </c>
      <c r="CI253" s="27" t="s">
        <v>8</v>
      </c>
    </row>
    <row r="254" spans="1:159" x14ac:dyDescent="0.25">
      <c r="A254" s="30">
        <v>0.50506795299551588</v>
      </c>
      <c r="B254"/>
      <c r="C254"/>
      <c r="D254"/>
      <c r="E254"/>
      <c r="F254" s="27" t="s">
        <v>7</v>
      </c>
      <c r="CE254" s="27" t="s">
        <v>8</v>
      </c>
      <c r="CF254" s="27" t="s">
        <v>7</v>
      </c>
      <c r="CG254" s="27" t="s">
        <v>8</v>
      </c>
      <c r="CH254" s="27" t="s">
        <v>7</v>
      </c>
      <c r="CI254" s="27" t="s">
        <v>8</v>
      </c>
    </row>
    <row r="255" spans="1:159" x14ac:dyDescent="0.25">
      <c r="A255" s="30">
        <v>0.48101709809096732</v>
      </c>
      <c r="E255"/>
      <c r="F255" s="27" t="s">
        <v>7</v>
      </c>
      <c r="CE255" s="27" t="s">
        <v>8</v>
      </c>
      <c r="CF255" s="27" t="s">
        <v>7</v>
      </c>
      <c r="CG255" s="27" t="s">
        <v>8</v>
      </c>
      <c r="CH255" s="27" t="s">
        <v>7</v>
      </c>
      <c r="CI255" s="27" t="s">
        <v>8</v>
      </c>
    </row>
    <row r="256" spans="1:159" x14ac:dyDescent="0.25">
      <c r="A256" s="30">
        <v>0.45811152199139726</v>
      </c>
      <c r="E256"/>
      <c r="F256" s="27" t="s">
        <v>7</v>
      </c>
      <c r="CE256" s="27" t="s">
        <v>8</v>
      </c>
      <c r="CF256" s="27" t="s">
        <v>7</v>
      </c>
      <c r="CG256" s="27" t="s">
        <v>8</v>
      </c>
      <c r="CH256" s="27" t="s">
        <v>7</v>
      </c>
      <c r="CI256" s="27" t="s">
        <v>8</v>
      </c>
    </row>
    <row r="257" spans="1:87" x14ac:dyDescent="0.25">
      <c r="A257" s="30">
        <v>0.43629668761085438</v>
      </c>
      <c r="B257"/>
      <c r="C257"/>
      <c r="D257"/>
      <c r="E257"/>
      <c r="F257" s="27" t="s">
        <v>7</v>
      </c>
      <c r="CE257" s="27" t="s">
        <v>8</v>
      </c>
      <c r="CF257" s="27" t="s">
        <v>7</v>
      </c>
      <c r="CG257" s="27" t="s">
        <v>8</v>
      </c>
      <c r="CH257" s="27" t="s">
        <v>7</v>
      </c>
      <c r="CI257" s="27" t="s">
        <v>8</v>
      </c>
    </row>
    <row r="258" spans="1:87" x14ac:dyDescent="0.25">
      <c r="A258" s="30">
        <v>0.41552065486748019</v>
      </c>
      <c r="B258"/>
      <c r="C258"/>
      <c r="D258"/>
      <c r="E258"/>
      <c r="F258" s="27" t="s">
        <v>7</v>
      </c>
      <c r="CC258" s="27" t="s">
        <v>8</v>
      </c>
      <c r="CE258" s="27" t="s">
        <v>8</v>
      </c>
      <c r="CF258" s="27" t="s">
        <v>7</v>
      </c>
      <c r="CH258" s="27" t="s">
        <v>7</v>
      </c>
    </row>
    <row r="259" spans="1:87" x14ac:dyDescent="0.25">
      <c r="A259" s="30">
        <v>0.39573395701664765</v>
      </c>
      <c r="B259"/>
      <c r="C259"/>
      <c r="D259"/>
      <c r="E259"/>
      <c r="F259" s="27" t="s">
        <v>7</v>
      </c>
      <c r="CC259" s="27" t="s">
        <v>8</v>
      </c>
      <c r="CD259" s="27" t="s">
        <v>7</v>
      </c>
      <c r="CE259" s="27" t="s">
        <v>8</v>
      </c>
    </row>
    <row r="260" spans="1:87" x14ac:dyDescent="0.25">
      <c r="A260" s="30">
        <v>0.37688948287299762</v>
      </c>
      <c r="B260"/>
      <c r="C260"/>
      <c r="D260"/>
      <c r="E260"/>
      <c r="F260" s="27" t="s">
        <v>7</v>
      </c>
      <c r="BU260" s="27" t="s">
        <v>8</v>
      </c>
      <c r="CC260" s="27" t="s">
        <v>8</v>
      </c>
      <c r="CD260" s="27" t="s">
        <v>7</v>
      </c>
      <c r="CE260" s="27" t="s">
        <v>8</v>
      </c>
    </row>
    <row r="261" spans="1:87" x14ac:dyDescent="0.25">
      <c r="A261" s="30">
        <v>0.35894236464094997</v>
      </c>
      <c r="B261"/>
      <c r="C261"/>
      <c r="D261"/>
      <c r="E261"/>
      <c r="F261" s="27" t="s">
        <v>7</v>
      </c>
      <c r="BU261" s="27" t="s">
        <v>8</v>
      </c>
      <c r="BV261" s="27" t="s">
        <v>7</v>
      </c>
      <c r="CC261" s="27" t="s">
        <v>8</v>
      </c>
      <c r="CD261" s="27" t="s">
        <v>7</v>
      </c>
      <c r="CE261" s="27" t="s">
        <v>8</v>
      </c>
    </row>
    <row r="262" spans="1:87" x14ac:dyDescent="0.25">
      <c r="A262" s="30">
        <v>0.34184987108661891</v>
      </c>
      <c r="B262"/>
      <c r="C262"/>
      <c r="D262"/>
      <c r="E262"/>
      <c r="F262" s="27" t="s">
        <v>7</v>
      </c>
      <c r="BU262" s="27" t="s">
        <v>8</v>
      </c>
      <c r="BV262" s="27" t="s">
        <v>7</v>
      </c>
      <c r="CC262" s="27" t="s">
        <v>8</v>
      </c>
      <c r="CD262" s="27" t="s">
        <v>7</v>
      </c>
    </row>
    <row r="263" spans="1:87" x14ac:dyDescent="0.25">
      <c r="A263" s="30">
        <v>0.32557130579677979</v>
      </c>
      <c r="B263"/>
      <c r="C263"/>
      <c r="D263"/>
      <c r="E263"/>
      <c r="F263" s="27" t="s">
        <v>7</v>
      </c>
      <c r="BU263" s="27" t="s">
        <v>8</v>
      </c>
      <c r="BV263" s="27" t="s">
        <v>7</v>
      </c>
      <c r="CA263" s="27" t="s">
        <v>8</v>
      </c>
      <c r="CC263" s="27" t="s">
        <v>8</v>
      </c>
    </row>
    <row r="264" spans="1:87" x14ac:dyDescent="0.25">
      <c r="A264" s="30">
        <v>0.3100679102826473</v>
      </c>
      <c r="B264"/>
      <c r="C264"/>
      <c r="D264"/>
      <c r="E264"/>
      <c r="F264" s="27" t="s">
        <v>7</v>
      </c>
      <c r="BU264" s="27" t="s">
        <v>8</v>
      </c>
      <c r="BV264" s="27" t="s">
        <v>7</v>
      </c>
      <c r="BW264" s="27" t="s">
        <v>8</v>
      </c>
      <c r="CA264" s="27" t="s">
        <v>8</v>
      </c>
      <c r="CB264" s="27" t="s">
        <v>7</v>
      </c>
      <c r="CC264" s="27" t="s">
        <v>8</v>
      </c>
    </row>
    <row r="265" spans="1:87" x14ac:dyDescent="0.25">
      <c r="A265" s="30">
        <v>0.2953027716977592</v>
      </c>
      <c r="B265"/>
      <c r="C265"/>
      <c r="D265"/>
      <c r="E265"/>
      <c r="F265" s="27" t="s">
        <v>7</v>
      </c>
      <c r="BU265" s="27" t="s">
        <v>8</v>
      </c>
      <c r="BV265" s="27" t="s">
        <v>7</v>
      </c>
      <c r="BW265" s="27" t="s">
        <v>8</v>
      </c>
      <c r="BX265" s="27" t="s">
        <v>7</v>
      </c>
      <c r="BY265" s="27" t="s">
        <v>8</v>
      </c>
      <c r="CA265" s="27" t="s">
        <v>8</v>
      </c>
      <c r="CB265" s="27" t="s">
        <v>7</v>
      </c>
      <c r="CC265" s="27" t="s">
        <v>8</v>
      </c>
    </row>
    <row r="266" spans="1:87" x14ac:dyDescent="0.25">
      <c r="A266" s="30">
        <v>0.28124073495024676</v>
      </c>
      <c r="B266"/>
      <c r="C266"/>
      <c r="D266"/>
      <c r="E266"/>
      <c r="F266" s="27" t="s">
        <v>7</v>
      </c>
      <c r="BU266" s="27" t="s">
        <v>8</v>
      </c>
      <c r="BV266" s="27" t="s">
        <v>7</v>
      </c>
      <c r="BW266" s="27" t="s">
        <v>8</v>
      </c>
      <c r="BX266" s="27" t="s">
        <v>7</v>
      </c>
      <c r="BY266" s="27" t="s">
        <v>8</v>
      </c>
      <c r="BZ266" s="27" t="s">
        <v>7</v>
      </c>
      <c r="CA266" s="27" t="s">
        <v>8</v>
      </c>
      <c r="CB266" s="27" t="s">
        <v>7</v>
      </c>
      <c r="CC266" s="27" t="s">
        <v>8</v>
      </c>
    </row>
    <row r="267" spans="1:87" x14ac:dyDescent="0.25">
      <c r="A267" s="30">
        <v>0.26784831900023492</v>
      </c>
      <c r="B267"/>
      <c r="C267"/>
      <c r="D267"/>
      <c r="E267"/>
      <c r="F267" s="27" t="s">
        <v>7</v>
      </c>
      <c r="BS267" s="27" t="s">
        <v>8</v>
      </c>
      <c r="BU267" s="27" t="s">
        <v>8</v>
      </c>
      <c r="BV267" s="27" t="s">
        <v>7</v>
      </c>
      <c r="BW267" s="27" t="s">
        <v>8</v>
      </c>
      <c r="BX267" s="27" t="s">
        <v>7</v>
      </c>
      <c r="BY267" s="27" t="s">
        <v>8</v>
      </c>
      <c r="BZ267" s="27" t="s">
        <v>7</v>
      </c>
      <c r="CA267" s="27" t="s">
        <v>8</v>
      </c>
      <c r="CB267" s="27" t="s">
        <v>7</v>
      </c>
      <c r="CC267" s="27" t="s">
        <v>8</v>
      </c>
    </row>
    <row r="268" spans="1:87" x14ac:dyDescent="0.25">
      <c r="A268" s="30">
        <v>0.25509363714308075</v>
      </c>
      <c r="B268"/>
      <c r="C268"/>
      <c r="D268"/>
      <c r="E268"/>
      <c r="F268" s="27" t="s">
        <v>7</v>
      </c>
      <c r="BS268" s="27" t="s">
        <v>8</v>
      </c>
      <c r="BT268" s="27" t="s">
        <v>7</v>
      </c>
      <c r="BU268" s="27" t="s">
        <v>8</v>
      </c>
      <c r="BV268" s="27" t="s">
        <v>7</v>
      </c>
      <c r="BW268" s="27" t="s">
        <v>8</v>
      </c>
      <c r="BX268" s="27" t="s">
        <v>7</v>
      </c>
      <c r="BZ268" s="27" t="s">
        <v>7</v>
      </c>
      <c r="CA268" s="27" t="s">
        <v>8</v>
      </c>
      <c r="CB268" s="27" t="s">
        <v>7</v>
      </c>
      <c r="CC268" s="27" t="s">
        <v>8</v>
      </c>
    </row>
    <row r="269" spans="1:87" x14ac:dyDescent="0.25">
      <c r="A269" s="30">
        <v>0.24294632108864825</v>
      </c>
      <c r="B269"/>
      <c r="C269"/>
      <c r="D269"/>
      <c r="E269"/>
      <c r="F269" s="27" t="s">
        <v>7</v>
      </c>
      <c r="BS269" s="27" t="s">
        <v>8</v>
      </c>
      <c r="BT269" s="27" t="s">
        <v>7</v>
      </c>
      <c r="BU269" s="27" t="s">
        <v>8</v>
      </c>
      <c r="BV269" s="27" t="s">
        <v>7</v>
      </c>
      <c r="BW269" s="27" t="s">
        <v>8</v>
      </c>
      <c r="BZ269" s="27" t="s">
        <v>7</v>
      </c>
      <c r="CA269" s="27" t="s">
        <v>8</v>
      </c>
      <c r="CB269" s="27" t="s">
        <v>7</v>
      </c>
    </row>
    <row r="270" spans="1:87" x14ac:dyDescent="0.25">
      <c r="A270" s="30">
        <v>0.23137744865585538</v>
      </c>
      <c r="B270"/>
      <c r="C270"/>
      <c r="D270"/>
      <c r="E270"/>
      <c r="F270" s="27" t="s">
        <v>7</v>
      </c>
      <c r="BS270" s="27" t="s">
        <v>8</v>
      </c>
      <c r="BT270" s="27" t="s">
        <v>7</v>
      </c>
      <c r="BU270" s="27" t="s">
        <v>8</v>
      </c>
      <c r="BV270" s="27" t="s">
        <v>7</v>
      </c>
      <c r="BZ270" s="27" t="s">
        <v>7</v>
      </c>
    </row>
    <row r="271" spans="1:87" x14ac:dyDescent="0.25">
      <c r="A271" s="30">
        <v>0.22035947491033836</v>
      </c>
      <c r="B271"/>
      <c r="C271"/>
      <c r="D271"/>
      <c r="E271"/>
      <c r="F271" s="27" t="s">
        <v>7</v>
      </c>
      <c r="U271" s="27" t="s">
        <v>8</v>
      </c>
      <c r="BQ271" s="27" t="s">
        <v>8</v>
      </c>
      <c r="BS271" s="27" t="s">
        <v>8</v>
      </c>
      <c r="BT271" s="27" t="s">
        <v>7</v>
      </c>
      <c r="BU271" s="27" t="s">
        <v>8</v>
      </c>
    </row>
    <row r="272" spans="1:87" x14ac:dyDescent="0.25">
      <c r="A272" s="30">
        <v>0.20986616658127455</v>
      </c>
      <c r="B272"/>
      <c r="C272"/>
      <c r="D272"/>
      <c r="E272"/>
      <c r="F272" s="27" t="s">
        <v>7</v>
      </c>
      <c r="U272" s="27" t="s">
        <v>8</v>
      </c>
      <c r="V272" s="27" t="s">
        <v>7</v>
      </c>
      <c r="W272" s="27" t="s">
        <v>8</v>
      </c>
      <c r="BQ272" s="27" t="s">
        <v>8</v>
      </c>
      <c r="BR272" s="27" t="s">
        <v>7</v>
      </c>
      <c r="BS272" s="27" t="s">
        <v>8</v>
      </c>
      <c r="BT272" s="27" t="s">
        <v>7</v>
      </c>
      <c r="BU272" s="27" t="s">
        <v>8</v>
      </c>
    </row>
    <row r="273" spans="1:73" x14ac:dyDescent="0.25">
      <c r="A273" s="30">
        <v>0.19987253960121379</v>
      </c>
      <c r="B273"/>
      <c r="C273"/>
      <c r="D273"/>
      <c r="E273"/>
      <c r="F273" s="27" t="s">
        <v>7</v>
      </c>
      <c r="U273" s="27" t="s">
        <v>8</v>
      </c>
      <c r="V273" s="27" t="s">
        <v>7</v>
      </c>
      <c r="W273" s="27" t="s">
        <v>8</v>
      </c>
      <c r="X273" s="27" t="s">
        <v>7</v>
      </c>
      <c r="BQ273" s="27" t="s">
        <v>8</v>
      </c>
      <c r="BR273" s="27" t="s">
        <v>7</v>
      </c>
      <c r="BS273" s="27" t="s">
        <v>8</v>
      </c>
      <c r="BT273" s="27" t="s">
        <v>7</v>
      </c>
      <c r="BU273" s="27" t="s">
        <v>8</v>
      </c>
    </row>
    <row r="274" spans="1:73" x14ac:dyDescent="0.25">
      <c r="A274" s="30">
        <v>0.19035479962020352</v>
      </c>
      <c r="B274"/>
      <c r="C274"/>
      <c r="D274"/>
      <c r="E274"/>
      <c r="F274" s="27" t="s">
        <v>7</v>
      </c>
      <c r="U274" s="27" t="s">
        <v>8</v>
      </c>
      <c r="V274" s="27" t="s">
        <v>7</v>
      </c>
      <c r="W274" s="27" t="s">
        <v>8</v>
      </c>
      <c r="X274" s="27" t="s">
        <v>7</v>
      </c>
      <c r="AW274" s="27" t="s">
        <v>8</v>
      </c>
      <c r="BQ274" s="27" t="s">
        <v>8</v>
      </c>
      <c r="BR274" s="27" t="s">
        <v>7</v>
      </c>
      <c r="BS274" s="27" t="s">
        <v>8</v>
      </c>
      <c r="BT274" s="27" t="s">
        <v>7</v>
      </c>
      <c r="BU274" s="27" t="s">
        <v>8</v>
      </c>
    </row>
    <row r="275" spans="1:73" x14ac:dyDescent="0.25">
      <c r="A275" s="30">
        <v>0.18129028535257471</v>
      </c>
      <c r="B275"/>
      <c r="C275"/>
      <c r="D275"/>
      <c r="E275"/>
      <c r="F275" s="27" t="s">
        <v>7</v>
      </c>
      <c r="U275" s="27" t="s">
        <v>8</v>
      </c>
      <c r="V275" s="27" t="s">
        <v>7</v>
      </c>
      <c r="W275" s="27" t="s">
        <v>8</v>
      </c>
      <c r="X275" s="27" t="s">
        <v>7</v>
      </c>
      <c r="AW275" s="27" t="s">
        <v>8</v>
      </c>
      <c r="AX275" s="27" t="s">
        <v>7</v>
      </c>
      <c r="BQ275" s="27" t="s">
        <v>8</v>
      </c>
      <c r="BR275" s="27" t="s">
        <v>7</v>
      </c>
      <c r="BS275" s="27" t="s">
        <v>8</v>
      </c>
      <c r="BT275" s="27" t="s">
        <v>7</v>
      </c>
      <c r="BU275" s="27" t="s">
        <v>8</v>
      </c>
    </row>
    <row r="276" spans="1:73" x14ac:dyDescent="0.25">
      <c r="A276" s="30">
        <v>0.17265741462149967</v>
      </c>
      <c r="B276"/>
      <c r="C276"/>
      <c r="D276"/>
      <c r="E276"/>
      <c r="F276" s="27" t="s">
        <v>7</v>
      </c>
      <c r="U276" s="27" t="s">
        <v>8</v>
      </c>
      <c r="V276" s="27" t="s">
        <v>7</v>
      </c>
      <c r="W276" s="27" t="s">
        <v>8</v>
      </c>
      <c r="X276" s="27" t="s">
        <v>7</v>
      </c>
      <c r="AW276" s="27" t="s">
        <v>8</v>
      </c>
      <c r="AX276" s="27" t="s">
        <v>7</v>
      </c>
      <c r="BQ276" s="27" t="s">
        <v>8</v>
      </c>
      <c r="BR276" s="27" t="s">
        <v>7</v>
      </c>
      <c r="BS276" s="27" t="s">
        <v>8</v>
      </c>
      <c r="BT276" s="27" t="s">
        <v>7</v>
      </c>
    </row>
    <row r="277" spans="1:73" x14ac:dyDescent="0.25">
      <c r="A277" s="30">
        <v>0.16443563297285677</v>
      </c>
      <c r="B277"/>
      <c r="C277"/>
      <c r="D277"/>
      <c r="E277"/>
      <c r="F277" s="27" t="s">
        <v>7</v>
      </c>
      <c r="G277" s="27" t="s">
        <v>8</v>
      </c>
      <c r="U277" s="27" t="s">
        <v>8</v>
      </c>
      <c r="V277" s="27" t="s">
        <v>7</v>
      </c>
      <c r="W277" s="27" t="s">
        <v>8</v>
      </c>
      <c r="X277" s="27" t="s">
        <v>7</v>
      </c>
      <c r="AW277" s="27" t="s">
        <v>8</v>
      </c>
      <c r="AX277" s="27" t="s">
        <v>7</v>
      </c>
      <c r="BQ277" s="27" t="s">
        <v>8</v>
      </c>
      <c r="BR277" s="27" t="s">
        <v>7</v>
      </c>
    </row>
    <row r="278" spans="1:73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  <c r="H278" s="27" t="s">
        <v>7</v>
      </c>
      <c r="U278" s="27" t="s">
        <v>8</v>
      </c>
      <c r="V278" s="27" t="s">
        <v>7</v>
      </c>
      <c r="X278" s="27" t="s">
        <v>7</v>
      </c>
      <c r="AG278" s="27" t="s">
        <v>8</v>
      </c>
      <c r="AW278" s="27" t="s">
        <v>8</v>
      </c>
      <c r="AX278" s="27" t="s">
        <v>7</v>
      </c>
      <c r="BQ278" s="27" t="s">
        <v>8</v>
      </c>
    </row>
    <row r="279" spans="1:73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  <c r="H279" s="27" t="s">
        <v>7</v>
      </c>
      <c r="U279" s="27" t="s">
        <v>8</v>
      </c>
      <c r="X279" s="27" t="s">
        <v>7</v>
      </c>
      <c r="AE279" s="27" t="s">
        <v>8</v>
      </c>
      <c r="AG279" s="27" t="s">
        <v>8</v>
      </c>
      <c r="AH279" s="27" t="s">
        <v>7</v>
      </c>
      <c r="AI279" s="27" t="s">
        <v>8</v>
      </c>
      <c r="AK279" s="27" t="s">
        <v>8</v>
      </c>
      <c r="AM279" s="27" t="s">
        <v>8</v>
      </c>
      <c r="AQ279" s="27" t="s">
        <v>8</v>
      </c>
      <c r="AW279" s="27" t="s">
        <v>8</v>
      </c>
      <c r="AX279" s="27" t="s">
        <v>7</v>
      </c>
      <c r="BQ279" s="27" t="s">
        <v>8</v>
      </c>
    </row>
    <row r="280" spans="1:73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  <c r="H280" s="27" t="s">
        <v>7</v>
      </c>
      <c r="U280" s="27" t="s">
        <v>8</v>
      </c>
      <c r="X280" s="27" t="s">
        <v>7</v>
      </c>
      <c r="AE280" s="27" t="s">
        <v>8</v>
      </c>
      <c r="AF280" s="27" t="s">
        <v>7</v>
      </c>
      <c r="AG280" s="27" t="s">
        <v>8</v>
      </c>
      <c r="AH280" s="27" t="s">
        <v>7</v>
      </c>
      <c r="AI280" s="27" t="s">
        <v>8</v>
      </c>
      <c r="AJ280" s="27" t="s">
        <v>7</v>
      </c>
      <c r="AK280" s="27" t="s">
        <v>8</v>
      </c>
      <c r="AL280" s="27" t="s">
        <v>7</v>
      </c>
      <c r="AM280" s="27" t="s">
        <v>8</v>
      </c>
      <c r="AN280" s="27" t="s">
        <v>7</v>
      </c>
      <c r="AQ280" s="27" t="s">
        <v>8</v>
      </c>
      <c r="AR280" s="27" t="s">
        <v>7</v>
      </c>
      <c r="AU280" s="27" t="s">
        <v>8</v>
      </c>
      <c r="AW280" s="27" t="s">
        <v>8</v>
      </c>
      <c r="AX280" s="27" t="s">
        <v>7</v>
      </c>
      <c r="BQ280" s="27" t="s">
        <v>8</v>
      </c>
    </row>
    <row r="281" spans="1:73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  <c r="H281" s="27" t="s">
        <v>7</v>
      </c>
      <c r="U281" s="27" t="s">
        <v>8</v>
      </c>
      <c r="X281" s="27" t="s">
        <v>7</v>
      </c>
      <c r="AE281" s="27" t="s">
        <v>8</v>
      </c>
      <c r="AF281" s="27" t="s">
        <v>7</v>
      </c>
      <c r="AG281" s="27" t="s">
        <v>8</v>
      </c>
      <c r="AH281" s="27" t="s">
        <v>7</v>
      </c>
      <c r="AI281" s="27" t="s">
        <v>8</v>
      </c>
      <c r="AJ281" s="27" t="s">
        <v>7</v>
      </c>
      <c r="AK281" s="27" t="s">
        <v>8</v>
      </c>
      <c r="AL281" s="27" t="s">
        <v>7</v>
      </c>
      <c r="AM281" s="27" t="s">
        <v>8</v>
      </c>
      <c r="AN281" s="27" t="s">
        <v>7</v>
      </c>
      <c r="AO281" s="27" t="s">
        <v>8</v>
      </c>
      <c r="AQ281" s="27" t="s">
        <v>8</v>
      </c>
      <c r="AR281" s="27" t="s">
        <v>7</v>
      </c>
      <c r="AS281" s="27" t="s">
        <v>8</v>
      </c>
      <c r="AU281" s="27" t="s">
        <v>8</v>
      </c>
      <c r="AV281" s="27" t="s">
        <v>7</v>
      </c>
      <c r="AW281" s="27" t="s">
        <v>8</v>
      </c>
      <c r="AX281" s="27" t="s">
        <v>7</v>
      </c>
      <c r="BQ281" s="27" t="s">
        <v>8</v>
      </c>
    </row>
    <row r="282" spans="1:73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  <c r="H282" s="27" t="s">
        <v>7</v>
      </c>
      <c r="K282" s="27" t="s">
        <v>8</v>
      </c>
      <c r="U282" s="27" t="s">
        <v>8</v>
      </c>
      <c r="X282" s="27" t="s">
        <v>7</v>
      </c>
      <c r="AE282" s="27" t="s">
        <v>8</v>
      </c>
      <c r="AF282" s="27" t="s">
        <v>7</v>
      </c>
      <c r="AH282" s="27" t="s">
        <v>7</v>
      </c>
      <c r="AI282" s="27" t="s">
        <v>8</v>
      </c>
      <c r="AJ282" s="27" t="s">
        <v>7</v>
      </c>
      <c r="AL282" s="27" t="s">
        <v>7</v>
      </c>
      <c r="AM282" s="27" t="s">
        <v>8</v>
      </c>
      <c r="AN282" s="27" t="s">
        <v>7</v>
      </c>
      <c r="AO282" s="27" t="s">
        <v>8</v>
      </c>
      <c r="AP282" s="27" t="s">
        <v>7</v>
      </c>
      <c r="AQ282" s="27" t="s">
        <v>8</v>
      </c>
      <c r="AR282" s="27" t="s">
        <v>7</v>
      </c>
      <c r="AS282" s="27" t="s">
        <v>8</v>
      </c>
      <c r="AT282" s="27" t="s">
        <v>7</v>
      </c>
      <c r="AU282" s="27" t="s">
        <v>8</v>
      </c>
      <c r="AV282" s="27" t="s">
        <v>7</v>
      </c>
      <c r="AW282" s="27" t="s">
        <v>8</v>
      </c>
      <c r="AX282" s="27" t="s">
        <v>7</v>
      </c>
      <c r="BO282" s="27" t="s">
        <v>8</v>
      </c>
      <c r="BQ282" s="27" t="s">
        <v>8</v>
      </c>
    </row>
    <row r="283" spans="1:73" x14ac:dyDescent="0.25">
      <c r="A283" s="30">
        <v>0.12270440108003494</v>
      </c>
      <c r="B283"/>
      <c r="C283"/>
      <c r="D283"/>
      <c r="E283"/>
      <c r="F283" s="27" t="s">
        <v>7</v>
      </c>
      <c r="G283" s="27" t="s">
        <v>8</v>
      </c>
      <c r="H283" s="27" t="s">
        <v>7</v>
      </c>
      <c r="K283" s="27" t="s">
        <v>8</v>
      </c>
      <c r="L283" s="27" t="s">
        <v>7</v>
      </c>
      <c r="U283" s="27" t="s">
        <v>8</v>
      </c>
      <c r="X283" s="27" t="s">
        <v>7</v>
      </c>
      <c r="AC283" s="27" t="s">
        <v>8</v>
      </c>
      <c r="AE283" s="27" t="s">
        <v>8</v>
      </c>
      <c r="AH283" s="27" t="s">
        <v>7</v>
      </c>
      <c r="AL283" s="27" t="s">
        <v>7</v>
      </c>
      <c r="AM283" s="27" t="s">
        <v>8</v>
      </c>
      <c r="AN283" s="27" t="s">
        <v>7</v>
      </c>
      <c r="AO283" s="27" t="s">
        <v>8</v>
      </c>
      <c r="AP283" s="27" t="s">
        <v>7</v>
      </c>
      <c r="AQ283" s="27" t="s">
        <v>8</v>
      </c>
      <c r="AR283" s="27" t="s">
        <v>7</v>
      </c>
      <c r="AS283" s="27" t="s">
        <v>8</v>
      </c>
      <c r="AT283" s="27" t="s">
        <v>7</v>
      </c>
      <c r="AU283" s="27" t="s">
        <v>8</v>
      </c>
      <c r="AV283" s="27" t="s">
        <v>7</v>
      </c>
      <c r="AX283" s="27" t="s">
        <v>7</v>
      </c>
      <c r="BA283" s="27" t="s">
        <v>8</v>
      </c>
      <c r="BO283" s="27" t="s">
        <v>8</v>
      </c>
      <c r="BP283" s="27" t="s">
        <v>7</v>
      </c>
      <c r="BQ283" s="27" t="s">
        <v>8</v>
      </c>
    </row>
    <row r="284" spans="1:73" x14ac:dyDescent="0.25">
      <c r="A284" s="30">
        <v>0.11686133436193799</v>
      </c>
      <c r="B284"/>
      <c r="C284"/>
      <c r="D284"/>
      <c r="E284"/>
      <c r="F284" s="27" t="s">
        <v>7</v>
      </c>
      <c r="G284" s="27" t="s">
        <v>8</v>
      </c>
      <c r="H284" s="27" t="s">
        <v>7</v>
      </c>
      <c r="K284" s="27" t="s">
        <v>8</v>
      </c>
      <c r="L284" s="27" t="s">
        <v>7</v>
      </c>
      <c r="M284" s="27" t="s">
        <v>8</v>
      </c>
      <c r="U284" s="27" t="s">
        <v>8</v>
      </c>
      <c r="X284" s="27" t="s">
        <v>7</v>
      </c>
      <c r="AC284" s="27" t="s">
        <v>8</v>
      </c>
      <c r="AD284" s="27" t="s">
        <v>7</v>
      </c>
      <c r="AE284" s="27" t="s">
        <v>8</v>
      </c>
      <c r="AL284" s="27" t="s">
        <v>7</v>
      </c>
      <c r="AN284" s="27" t="s">
        <v>7</v>
      </c>
      <c r="AO284" s="27" t="s">
        <v>8</v>
      </c>
      <c r="AP284" s="27" t="s">
        <v>7</v>
      </c>
      <c r="AR284" s="27" t="s">
        <v>7</v>
      </c>
      <c r="AT284" s="27" t="s">
        <v>7</v>
      </c>
      <c r="AX284" s="27" t="s">
        <v>7</v>
      </c>
      <c r="AY284" s="27" t="s">
        <v>8</v>
      </c>
      <c r="BA284" s="27" t="s">
        <v>8</v>
      </c>
      <c r="BB284" s="27" t="s">
        <v>7</v>
      </c>
      <c r="BO284" s="27" t="s">
        <v>8</v>
      </c>
      <c r="BP284" s="27" t="s">
        <v>7</v>
      </c>
      <c r="BQ284" s="27" t="s">
        <v>8</v>
      </c>
    </row>
    <row r="285" spans="1:73" x14ac:dyDescent="0.25">
      <c r="A285" s="30">
        <v>0.11129650891613138</v>
      </c>
      <c r="B285"/>
      <c r="C285"/>
      <c r="D285"/>
      <c r="E285"/>
      <c r="F285" s="27" t="s">
        <v>7</v>
      </c>
      <c r="G285" s="27" t="s">
        <v>8</v>
      </c>
      <c r="H285" s="27" t="s">
        <v>7</v>
      </c>
      <c r="K285" s="27" t="s">
        <v>8</v>
      </c>
      <c r="L285" s="27" t="s">
        <v>7</v>
      </c>
      <c r="M285" s="27" t="s">
        <v>8</v>
      </c>
      <c r="N285" s="27" t="s">
        <v>7</v>
      </c>
      <c r="U285" s="27" t="s">
        <v>8</v>
      </c>
      <c r="X285" s="27" t="s">
        <v>7</v>
      </c>
      <c r="Y285" s="27" t="s">
        <v>8</v>
      </c>
      <c r="AC285" s="27" t="s">
        <v>8</v>
      </c>
      <c r="AD285" s="27" t="s">
        <v>7</v>
      </c>
      <c r="AE285" s="27" t="s">
        <v>8</v>
      </c>
      <c r="AN285" s="27" t="s">
        <v>7</v>
      </c>
      <c r="AX285" s="27" t="s">
        <v>7</v>
      </c>
      <c r="AY285" s="27" t="s">
        <v>8</v>
      </c>
      <c r="AZ285" s="27" t="s">
        <v>7</v>
      </c>
      <c r="BA285" s="27" t="s">
        <v>8</v>
      </c>
      <c r="BB285" s="27" t="s">
        <v>7</v>
      </c>
      <c r="BO285" s="27" t="s">
        <v>8</v>
      </c>
      <c r="BP285" s="27" t="s">
        <v>7</v>
      </c>
      <c r="BQ285" s="27" t="s">
        <v>8</v>
      </c>
    </row>
    <row r="286" spans="1:73" x14ac:dyDescent="0.25">
      <c r="A286" s="30">
        <v>0.10599667515822032</v>
      </c>
      <c r="B286"/>
      <c r="C286"/>
      <c r="D286"/>
      <c r="E286"/>
      <c r="F286" s="27" t="s">
        <v>7</v>
      </c>
      <c r="G286" s="27" t="s">
        <v>8</v>
      </c>
      <c r="H286" s="27" t="s">
        <v>7</v>
      </c>
      <c r="I286" s="27" t="s">
        <v>8</v>
      </c>
      <c r="K286" s="27" t="s">
        <v>8</v>
      </c>
      <c r="L286" s="27" t="s">
        <v>7</v>
      </c>
      <c r="M286" s="27" t="s">
        <v>8</v>
      </c>
      <c r="N286" s="27" t="s">
        <v>7</v>
      </c>
      <c r="U286" s="27" t="s">
        <v>8</v>
      </c>
      <c r="X286" s="27" t="s">
        <v>7</v>
      </c>
      <c r="Y286" s="27" t="s">
        <v>8</v>
      </c>
      <c r="Z286" s="27" t="s">
        <v>7</v>
      </c>
      <c r="AA286" s="27" t="s">
        <v>8</v>
      </c>
      <c r="AC286" s="27" t="s">
        <v>8</v>
      </c>
      <c r="AD286" s="27" t="s">
        <v>7</v>
      </c>
      <c r="AE286" s="27" t="s">
        <v>8</v>
      </c>
      <c r="AX286" s="27" t="s">
        <v>7</v>
      </c>
      <c r="AY286" s="27" t="s">
        <v>8</v>
      </c>
      <c r="AZ286" s="27" t="s">
        <v>7</v>
      </c>
      <c r="BA286" s="27" t="s">
        <v>8</v>
      </c>
      <c r="BB286" s="27" t="s">
        <v>7</v>
      </c>
      <c r="BC286" s="27" t="s">
        <v>8</v>
      </c>
      <c r="BE286" s="27" t="s">
        <v>8</v>
      </c>
      <c r="BM286" s="27" t="s">
        <v>8</v>
      </c>
      <c r="BO286" s="27" t="s">
        <v>8</v>
      </c>
      <c r="BP286" s="27" t="s">
        <v>7</v>
      </c>
      <c r="BQ286" s="27" t="s">
        <v>8</v>
      </c>
    </row>
    <row r="287" spans="1:73" x14ac:dyDescent="0.25">
      <c r="A287" s="30">
        <v>0.10094921443640027</v>
      </c>
      <c r="B287"/>
      <c r="C287"/>
      <c r="D287"/>
      <c r="E287"/>
      <c r="F287" s="27" t="s">
        <v>7</v>
      </c>
      <c r="G287" s="27" t="s">
        <v>8</v>
      </c>
      <c r="H287" s="27" t="s">
        <v>7</v>
      </c>
      <c r="I287" s="27" t="s">
        <v>8</v>
      </c>
      <c r="J287" s="27" t="s">
        <v>7</v>
      </c>
      <c r="K287" s="27" t="s">
        <v>8</v>
      </c>
      <c r="L287" s="27" t="s">
        <v>7</v>
      </c>
      <c r="N287" s="27" t="s">
        <v>7</v>
      </c>
      <c r="U287" s="27" t="s">
        <v>8</v>
      </c>
      <c r="X287" s="27" t="s">
        <v>7</v>
      </c>
      <c r="Y287" s="27" t="s">
        <v>8</v>
      </c>
      <c r="Z287" s="27" t="s">
        <v>7</v>
      </c>
      <c r="AA287" s="27" t="s">
        <v>8</v>
      </c>
      <c r="AB287" s="27" t="s">
        <v>7</v>
      </c>
      <c r="AC287" s="27" t="s">
        <v>8</v>
      </c>
      <c r="AD287" s="27" t="s">
        <v>7</v>
      </c>
      <c r="AE287" s="27" t="s">
        <v>8</v>
      </c>
      <c r="AX287" s="27" t="s">
        <v>7</v>
      </c>
      <c r="AY287" s="27" t="s">
        <v>8</v>
      </c>
      <c r="AZ287" s="27" t="s">
        <v>7</v>
      </c>
      <c r="BA287" s="27" t="s">
        <v>8</v>
      </c>
      <c r="BB287" s="27" t="s">
        <v>7</v>
      </c>
      <c r="BC287" s="27" t="s">
        <v>8</v>
      </c>
      <c r="BD287" s="27" t="s">
        <v>7</v>
      </c>
      <c r="BE287" s="27" t="s">
        <v>8</v>
      </c>
      <c r="BF287" s="27" t="s">
        <v>7</v>
      </c>
      <c r="BM287" s="27" t="s">
        <v>8</v>
      </c>
      <c r="BN287" s="27" t="s">
        <v>7</v>
      </c>
      <c r="BO287" s="27" t="s">
        <v>8</v>
      </c>
      <c r="BP287" s="27" t="s">
        <v>7</v>
      </c>
    </row>
    <row r="288" spans="1:73" x14ac:dyDescent="0.25">
      <c r="A288" s="30">
        <v>9.6142108987047836E-2</v>
      </c>
      <c r="B288"/>
      <c r="C288"/>
      <c r="D288"/>
      <c r="E288"/>
      <c r="F288" s="27" t="s">
        <v>7</v>
      </c>
      <c r="G288" s="27" t="s">
        <v>8</v>
      </c>
      <c r="H288" s="27" t="s">
        <v>7</v>
      </c>
      <c r="I288" s="27" t="s">
        <v>8</v>
      </c>
      <c r="J288" s="27" t="s">
        <v>7</v>
      </c>
      <c r="K288" s="27" t="s">
        <v>8</v>
      </c>
      <c r="N288" s="27" t="s">
        <v>7</v>
      </c>
      <c r="O288" s="27" t="s">
        <v>8</v>
      </c>
      <c r="U288" s="27" t="s">
        <v>8</v>
      </c>
      <c r="X288" s="27" t="s">
        <v>7</v>
      </c>
      <c r="Y288" s="27" t="s">
        <v>8</v>
      </c>
      <c r="Z288" s="27" t="s">
        <v>7</v>
      </c>
      <c r="AA288" s="27" t="s">
        <v>8</v>
      </c>
      <c r="AB288" s="27" t="s">
        <v>7</v>
      </c>
      <c r="AC288" s="27" t="s">
        <v>8</v>
      </c>
      <c r="AD288" s="27" t="s">
        <v>7</v>
      </c>
      <c r="AE288" s="27" t="s">
        <v>8</v>
      </c>
      <c r="AX288" s="27" t="s">
        <v>7</v>
      </c>
      <c r="AY288" s="27" t="s">
        <v>8</v>
      </c>
      <c r="AZ288" s="27" t="s">
        <v>7</v>
      </c>
      <c r="BB288" s="27" t="s">
        <v>7</v>
      </c>
      <c r="BC288" s="27" t="s">
        <v>8</v>
      </c>
      <c r="BD288" s="27" t="s">
        <v>7</v>
      </c>
      <c r="BE288" s="27" t="s">
        <v>8</v>
      </c>
      <c r="BF288" s="27" t="s">
        <v>7</v>
      </c>
      <c r="BM288" s="27" t="s">
        <v>8</v>
      </c>
      <c r="BN288" s="27" t="s">
        <v>7</v>
      </c>
      <c r="BO288" s="27" t="s">
        <v>8</v>
      </c>
    </row>
    <row r="289" spans="1:67" x14ac:dyDescent="0.25">
      <c r="A289" s="30">
        <v>9.1563913320997906E-2</v>
      </c>
      <c r="B289"/>
      <c r="C289"/>
      <c r="D289"/>
      <c r="E289"/>
      <c r="F289" s="27" t="s">
        <v>7</v>
      </c>
      <c r="G289" s="27" t="s">
        <v>8</v>
      </c>
      <c r="H289" s="27" t="s">
        <v>7</v>
      </c>
      <c r="I289" s="27" t="s">
        <v>8</v>
      </c>
      <c r="J289" s="27" t="s">
        <v>7</v>
      </c>
      <c r="N289" s="27" t="s">
        <v>7</v>
      </c>
      <c r="O289" s="27" t="s">
        <v>8</v>
      </c>
      <c r="P289" s="27" t="s">
        <v>7</v>
      </c>
      <c r="U289" s="27" t="s">
        <v>8</v>
      </c>
      <c r="X289" s="27" t="s">
        <v>7</v>
      </c>
      <c r="Y289" s="27" t="s">
        <v>8</v>
      </c>
      <c r="Z289" s="27" t="s">
        <v>7</v>
      </c>
      <c r="AA289" s="27" t="s">
        <v>8</v>
      </c>
      <c r="AB289" s="27" t="s">
        <v>7</v>
      </c>
      <c r="AD289" s="27" t="s">
        <v>7</v>
      </c>
      <c r="AE289" s="27" t="s">
        <v>8</v>
      </c>
      <c r="AX289" s="27" t="s">
        <v>7</v>
      </c>
      <c r="BB289" s="27" t="s">
        <v>7</v>
      </c>
      <c r="BD289" s="27" t="s">
        <v>7</v>
      </c>
      <c r="BE289" s="27" t="s">
        <v>8</v>
      </c>
      <c r="BF289" s="27" t="s">
        <v>7</v>
      </c>
      <c r="BI289" s="27" t="s">
        <v>8</v>
      </c>
      <c r="BK289" s="27" t="s">
        <v>8</v>
      </c>
      <c r="BM289" s="27" t="s">
        <v>8</v>
      </c>
      <c r="BN289" s="27" t="s">
        <v>7</v>
      </c>
      <c r="BO289" s="27" t="s">
        <v>8</v>
      </c>
    </row>
    <row r="290" spans="1:67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  <c r="H290" s="27" t="s">
        <v>7</v>
      </c>
      <c r="N290" s="27" t="s">
        <v>7</v>
      </c>
      <c r="O290" s="27" t="s">
        <v>8</v>
      </c>
      <c r="P290" s="27" t="s">
        <v>7</v>
      </c>
      <c r="Q290" s="27" t="s">
        <v>8</v>
      </c>
      <c r="U290" s="27" t="s">
        <v>8</v>
      </c>
      <c r="X290" s="27" t="s">
        <v>7</v>
      </c>
      <c r="Y290" s="27" t="s">
        <v>8</v>
      </c>
      <c r="Z290" s="27" t="s">
        <v>7</v>
      </c>
      <c r="AA290" s="27" t="s">
        <v>8</v>
      </c>
      <c r="AD290" s="27" t="s">
        <v>7</v>
      </c>
      <c r="BD290" s="27" t="s">
        <v>7</v>
      </c>
      <c r="BF290" s="27" t="s">
        <v>7</v>
      </c>
      <c r="BG290" s="27" t="s">
        <v>8</v>
      </c>
      <c r="BI290" s="27" t="s">
        <v>8</v>
      </c>
      <c r="BJ290" s="27" t="s">
        <v>7</v>
      </c>
      <c r="BK290" s="27" t="s">
        <v>8</v>
      </c>
      <c r="BL290" s="27" t="s">
        <v>7</v>
      </c>
      <c r="BM290" s="27" t="s">
        <v>8</v>
      </c>
      <c r="BN290" s="27" t="s">
        <v>7</v>
      </c>
    </row>
    <row r="291" spans="1:67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  <c r="N291" s="27" t="s">
        <v>7</v>
      </c>
      <c r="P291" s="27" t="s">
        <v>7</v>
      </c>
      <c r="Q291" s="27" t="s">
        <v>8</v>
      </c>
      <c r="R291" s="27" t="s">
        <v>7</v>
      </c>
      <c r="U291" s="27" t="s">
        <v>8</v>
      </c>
      <c r="X291" s="27" t="s">
        <v>7</v>
      </c>
      <c r="Y291" s="27" t="s">
        <v>8</v>
      </c>
      <c r="Z291" s="27" t="s">
        <v>7</v>
      </c>
      <c r="AA291" s="27" t="s">
        <v>8</v>
      </c>
      <c r="BF291" s="27" t="s">
        <v>7</v>
      </c>
      <c r="BG291" s="27" t="s">
        <v>8</v>
      </c>
      <c r="BH291" s="27" t="s">
        <v>7</v>
      </c>
      <c r="BI291" s="27" t="s">
        <v>8</v>
      </c>
      <c r="BJ291" s="27" t="s">
        <v>7</v>
      </c>
      <c r="BK291" s="27" t="s">
        <v>8</v>
      </c>
      <c r="BL291" s="27" t="s">
        <v>7</v>
      </c>
      <c r="BM291" s="27" t="s">
        <v>8</v>
      </c>
    </row>
    <row r="292" spans="1:67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  <c r="P292" s="27" t="s">
        <v>7</v>
      </c>
      <c r="Q292" s="27" t="s">
        <v>8</v>
      </c>
      <c r="R292" s="27" t="s">
        <v>7</v>
      </c>
      <c r="U292" s="27" t="s">
        <v>8</v>
      </c>
      <c r="X292" s="27" t="s">
        <v>7</v>
      </c>
      <c r="Y292" s="27" t="s">
        <v>8</v>
      </c>
      <c r="Z292" s="27" t="s">
        <v>7</v>
      </c>
      <c r="AA292" s="27" t="s">
        <v>8</v>
      </c>
      <c r="BF292" s="27" t="s">
        <v>7</v>
      </c>
      <c r="BG292" s="27" t="s">
        <v>8</v>
      </c>
      <c r="BH292" s="27" t="s">
        <v>7</v>
      </c>
      <c r="BI292" s="27" t="s">
        <v>8</v>
      </c>
      <c r="BJ292" s="27" t="s">
        <v>7</v>
      </c>
      <c r="BK292" s="27" t="s">
        <v>8</v>
      </c>
      <c r="BL292" s="27" t="s">
        <v>7</v>
      </c>
      <c r="BM292" s="27" t="s">
        <v>8</v>
      </c>
    </row>
    <row r="293" spans="1:67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P293" s="27" t="s">
        <v>7</v>
      </c>
      <c r="R293" s="27" t="s">
        <v>7</v>
      </c>
      <c r="U293" s="27" t="s">
        <v>8</v>
      </c>
      <c r="X293" s="27" t="s">
        <v>7</v>
      </c>
      <c r="Y293" s="27" t="s">
        <v>8</v>
      </c>
      <c r="Z293" s="27" t="s">
        <v>7</v>
      </c>
      <c r="AA293" s="27" t="s">
        <v>8</v>
      </c>
      <c r="BF293" s="27" t="s">
        <v>7</v>
      </c>
      <c r="BG293" s="27" t="s">
        <v>8</v>
      </c>
      <c r="BH293" s="27" t="s">
        <v>7</v>
      </c>
      <c r="BJ293" s="27" t="s">
        <v>7</v>
      </c>
      <c r="BK293" s="27" t="s">
        <v>8</v>
      </c>
      <c r="BL293" s="27" t="s">
        <v>7</v>
      </c>
    </row>
    <row r="294" spans="1:67" x14ac:dyDescent="0.25">
      <c r="A294" s="30">
        <v>7.1742721991251604E-2</v>
      </c>
      <c r="B294"/>
      <c r="C294"/>
      <c r="D294"/>
      <c r="E294"/>
      <c r="F294" s="27" t="s">
        <v>7</v>
      </c>
      <c r="G294" s="27" t="s">
        <v>8</v>
      </c>
      <c r="R294" s="27" t="s">
        <v>7</v>
      </c>
      <c r="S294" s="27" t="s">
        <v>8</v>
      </c>
      <c r="U294" s="27" t="s">
        <v>8</v>
      </c>
      <c r="X294" s="27" t="s">
        <v>7</v>
      </c>
      <c r="Y294" s="27" t="s">
        <v>8</v>
      </c>
      <c r="Z294" s="27" t="s">
        <v>7</v>
      </c>
      <c r="AA294" s="27" t="s">
        <v>8</v>
      </c>
      <c r="BF294" s="27" t="s">
        <v>7</v>
      </c>
      <c r="BG294" s="27" t="s">
        <v>8</v>
      </c>
      <c r="BJ294" s="27" t="s">
        <v>7</v>
      </c>
      <c r="BK294" s="27" t="s">
        <v>8</v>
      </c>
    </row>
    <row r="295" spans="1:67" x14ac:dyDescent="0.25">
      <c r="A295" s="30">
        <v>6.8326401896430078E-2</v>
      </c>
      <c r="B295"/>
      <c r="C295"/>
      <c r="D295"/>
      <c r="E295"/>
      <c r="F295" s="27" t="s">
        <v>7</v>
      </c>
      <c r="G295" s="27" t="s">
        <v>8</v>
      </c>
      <c r="R295" s="27" t="s">
        <v>7</v>
      </c>
      <c r="S295" s="27" t="s">
        <v>8</v>
      </c>
      <c r="T295" s="27" t="s">
        <v>7</v>
      </c>
      <c r="U295" s="27" t="s">
        <v>8</v>
      </c>
      <c r="X295" s="27" t="s">
        <v>7</v>
      </c>
      <c r="Y295" s="27" t="s">
        <v>8</v>
      </c>
      <c r="Z295" s="27" t="s">
        <v>7</v>
      </c>
      <c r="AA295" s="27" t="s">
        <v>8</v>
      </c>
      <c r="BF295" s="27" t="s">
        <v>7</v>
      </c>
      <c r="BG295" s="27" t="s">
        <v>8</v>
      </c>
      <c r="BJ295" s="27" t="s">
        <v>7</v>
      </c>
      <c r="BK295" s="27" t="s">
        <v>8</v>
      </c>
    </row>
    <row r="296" spans="1:67" x14ac:dyDescent="0.25">
      <c r="A296" s="30">
        <v>6.5072763710885759E-2</v>
      </c>
      <c r="B296"/>
      <c r="C296"/>
      <c r="D296"/>
      <c r="E296"/>
      <c r="F296" s="27" t="s">
        <v>7</v>
      </c>
      <c r="G296" s="27" t="s">
        <v>8</v>
      </c>
      <c r="R296" s="27" t="s">
        <v>7</v>
      </c>
      <c r="S296" s="27" t="s">
        <v>8</v>
      </c>
      <c r="T296" s="27" t="s">
        <v>7</v>
      </c>
      <c r="U296" s="27" t="s">
        <v>8</v>
      </c>
      <c r="X296" s="27" t="s">
        <v>7</v>
      </c>
      <c r="Y296" s="27" t="s">
        <v>8</v>
      </c>
      <c r="Z296" s="27" t="s">
        <v>7</v>
      </c>
      <c r="AA296" s="27" t="s">
        <v>8</v>
      </c>
      <c r="BF296" s="27" t="s">
        <v>7</v>
      </c>
      <c r="BJ296" s="27" t="s">
        <v>7</v>
      </c>
    </row>
    <row r="297" spans="1:67" x14ac:dyDescent="0.25">
      <c r="A297" s="30">
        <v>6.197406067703403E-2</v>
      </c>
      <c r="B297"/>
      <c r="C297"/>
      <c r="D297"/>
      <c r="E297"/>
      <c r="F297" s="27" t="s">
        <v>7</v>
      </c>
      <c r="G297" s="27" t="s">
        <v>8</v>
      </c>
      <c r="R297" s="27" t="s">
        <v>7</v>
      </c>
      <c r="S297" s="27" t="s">
        <v>8</v>
      </c>
      <c r="T297" s="27" t="s">
        <v>7</v>
      </c>
      <c r="U297" s="27" t="s">
        <v>8</v>
      </c>
      <c r="X297" s="27" t="s">
        <v>7</v>
      </c>
      <c r="Y297" s="27" t="s">
        <v>8</v>
      </c>
      <c r="Z297" s="27" t="s">
        <v>7</v>
      </c>
    </row>
    <row r="298" spans="1:67" x14ac:dyDescent="0.25">
      <c r="A298" s="30">
        <v>5.9022914930508576E-2</v>
      </c>
      <c r="B298"/>
      <c r="C298"/>
      <c r="D298"/>
      <c r="E298"/>
      <c r="F298" s="27" t="s">
        <v>7</v>
      </c>
      <c r="R298" s="27" t="s">
        <v>7</v>
      </c>
      <c r="T298" s="27" t="s">
        <v>7</v>
      </c>
      <c r="U298" s="27" t="s">
        <v>8</v>
      </c>
      <c r="X298" s="27" t="s">
        <v>7</v>
      </c>
      <c r="Y298" s="27" t="s">
        <v>8</v>
      </c>
    </row>
    <row r="299" spans="1:67" x14ac:dyDescent="0.25">
      <c r="A299" s="30">
        <v>5.6212299933817669E-2</v>
      </c>
      <c r="B299"/>
      <c r="C299"/>
      <c r="D299"/>
      <c r="E299"/>
      <c r="T299" s="27" t="s">
        <v>7</v>
      </c>
      <c r="X299" s="27" t="s">
        <v>7</v>
      </c>
      <c r="Y299" s="27" t="s">
        <v>8</v>
      </c>
    </row>
    <row r="300" spans="1:67" x14ac:dyDescent="0.25">
      <c r="A300" s="30">
        <v>5.3535523746492994E-2</v>
      </c>
      <c r="B300"/>
      <c r="C300"/>
      <c r="D300"/>
      <c r="E300"/>
      <c r="X300" s="27" t="s">
        <v>7</v>
      </c>
    </row>
    <row r="301" spans="1:67" x14ac:dyDescent="0.25">
      <c r="A301" s="30">
        <v>5.0986213091898068E-2</v>
      </c>
      <c r="B301"/>
      <c r="C301"/>
      <c r="D301"/>
      <c r="E301"/>
    </row>
    <row r="302" spans="1:67" x14ac:dyDescent="0.25">
      <c r="A302" s="30">
        <v>4.8558298182760043E-2</v>
      </c>
      <c r="B302"/>
      <c r="C302"/>
      <c r="D302"/>
      <c r="E302"/>
    </row>
    <row r="303" spans="1:67" x14ac:dyDescent="0.25">
      <c r="A303" s="30">
        <v>4.6245998269295263E-2</v>
      </c>
      <c r="B303"/>
      <c r="C303"/>
      <c r="D303"/>
      <c r="E303"/>
    </row>
    <row r="304" spans="1:67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43" operator="equal">
      <formula>$U$1</formula>
    </cfRule>
    <cfRule type="cellIs" dxfId="67" priority="1144" operator="equal">
      <formula>$S$1</formula>
    </cfRule>
  </conditionalFormatting>
  <conditionalFormatting sqref="D136">
    <cfRule type="cellIs" dxfId="66" priority="1141" operator="equal">
      <formula>$S$1</formula>
    </cfRule>
    <cfRule type="cellIs" dxfId="65" priority="1142" operator="equal">
      <formula>$U$1</formula>
    </cfRule>
  </conditionalFormatting>
  <conditionalFormatting sqref="C162">
    <cfRule type="cellIs" dxfId="64" priority="1139" operator="equal">
      <formula>$U$1</formula>
    </cfRule>
    <cfRule type="cellIs" dxfId="63" priority="1140" operator="equal">
      <formula>$S$1</formula>
    </cfRule>
  </conditionalFormatting>
  <conditionalFormatting sqref="D162">
    <cfRule type="cellIs" dxfId="62" priority="1137" operator="equal">
      <formula>$S$1</formula>
    </cfRule>
    <cfRule type="cellIs" dxfId="61" priority="1138" operator="equal">
      <formula>$U$1</formula>
    </cfRule>
  </conditionalFormatting>
  <conditionalFormatting sqref="C187">
    <cfRule type="cellIs" dxfId="60" priority="1135" operator="equal">
      <formula>$U$1</formula>
    </cfRule>
    <cfRule type="cellIs" dxfId="59" priority="1136" operator="equal">
      <formula>$S$1</formula>
    </cfRule>
  </conditionalFormatting>
  <conditionalFormatting sqref="D187">
    <cfRule type="cellIs" dxfId="58" priority="1133" operator="equal">
      <formula>$S$1</formula>
    </cfRule>
    <cfRule type="cellIs" dxfId="57" priority="1134" operator="equal">
      <formula>$U$1</formula>
    </cfRule>
  </conditionalFormatting>
  <conditionalFormatting sqref="C212">
    <cfRule type="cellIs" dxfId="56" priority="1131" operator="equal">
      <formula>$U$1</formula>
    </cfRule>
    <cfRule type="cellIs" dxfId="55" priority="1132" operator="equal">
      <formula>$S$1</formula>
    </cfRule>
  </conditionalFormatting>
  <conditionalFormatting sqref="D212">
    <cfRule type="cellIs" dxfId="54" priority="1129" operator="equal">
      <formula>$S$1</formula>
    </cfRule>
    <cfRule type="cellIs" dxfId="53" priority="1130" operator="equal">
      <formula>$U$1</formula>
    </cfRule>
  </conditionalFormatting>
  <conditionalFormatting sqref="C237">
    <cfRule type="cellIs" dxfId="52" priority="1127" operator="equal">
      <formula>$U$1</formula>
    </cfRule>
    <cfRule type="cellIs" dxfId="51" priority="1128" operator="equal">
      <formula>$S$1</formula>
    </cfRule>
  </conditionalFormatting>
  <conditionalFormatting sqref="D237">
    <cfRule type="cellIs" dxfId="50" priority="1125" operator="equal">
      <formula>$S$1</formula>
    </cfRule>
    <cfRule type="cellIs" dxfId="49" priority="1126" operator="equal">
      <formula>$U$1</formula>
    </cfRule>
  </conditionalFormatting>
  <conditionalFormatting sqref="C106">
    <cfRule type="cellIs" dxfId="48" priority="1123" operator="equal">
      <formula>$U$1</formula>
    </cfRule>
    <cfRule type="cellIs" dxfId="47" priority="1124" operator="equal">
      <formula>$S$1</formula>
    </cfRule>
  </conditionalFormatting>
  <conditionalFormatting sqref="D106">
    <cfRule type="cellIs" dxfId="46" priority="1121" operator="equal">
      <formula>$S$1</formula>
    </cfRule>
    <cfRule type="cellIs" dxfId="45" priority="1122" operator="equal">
      <formula>$U$1</formula>
    </cfRule>
  </conditionalFormatting>
  <conditionalFormatting sqref="C81">
    <cfRule type="cellIs" dxfId="44" priority="1119" operator="equal">
      <formula>$U$1</formula>
    </cfRule>
    <cfRule type="cellIs" dxfId="43" priority="1120" operator="equal">
      <formula>$S$1</formula>
    </cfRule>
  </conditionalFormatting>
  <conditionalFormatting sqref="D81">
    <cfRule type="cellIs" dxfId="42" priority="1117" operator="equal">
      <formula>$S$1</formula>
    </cfRule>
    <cfRule type="cellIs" dxfId="41" priority="1118" operator="equal">
      <formula>$U$1</formula>
    </cfRule>
  </conditionalFormatting>
  <conditionalFormatting sqref="C56">
    <cfRule type="cellIs" dxfId="40" priority="1115" operator="equal">
      <formula>$U$1</formula>
    </cfRule>
    <cfRule type="cellIs" dxfId="39" priority="1116" operator="equal">
      <formula>$S$1</formula>
    </cfRule>
  </conditionalFormatting>
  <conditionalFormatting sqref="D56">
    <cfRule type="cellIs" dxfId="38" priority="1113" operator="equal">
      <formula>$S$1</formula>
    </cfRule>
    <cfRule type="cellIs" dxfId="37" priority="1114" operator="equal">
      <formula>$U$1</formula>
    </cfRule>
  </conditionalFormatting>
  <conditionalFormatting sqref="C31">
    <cfRule type="cellIs" dxfId="36" priority="1111" operator="equal">
      <formula>$U$1</formula>
    </cfRule>
    <cfRule type="cellIs" dxfId="35" priority="1112" operator="equal">
      <formula>$S$1</formula>
    </cfRule>
  </conditionalFormatting>
  <conditionalFormatting sqref="D31">
    <cfRule type="cellIs" dxfId="34" priority="1109" operator="equal">
      <formula>$S$1</formula>
    </cfRule>
    <cfRule type="cellIs" dxfId="33" priority="111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J124" sqref="BJ12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1" x14ac:dyDescent="0.25">
      <c r="A97" s="30">
        <v>9.849732675807628</v>
      </c>
      <c r="E97"/>
    </row>
    <row r="98" spans="1:51" x14ac:dyDescent="0.25">
      <c r="A98" s="30">
        <v>8.9543024325523888</v>
      </c>
      <c r="C98" s="1" t="s">
        <v>13</v>
      </c>
      <c r="E98"/>
    </row>
    <row r="99" spans="1:51" x14ac:dyDescent="0.25">
      <c r="A99" s="30">
        <v>8.140274938683989</v>
      </c>
      <c r="C99" s="1">
        <f>C88</f>
        <v>0</v>
      </c>
      <c r="E99"/>
    </row>
    <row r="100" spans="1:51" x14ac:dyDescent="0.25">
      <c r="A100" s="30">
        <v>7.4002499442581717</v>
      </c>
      <c r="C100"/>
      <c r="D100"/>
      <c r="E100"/>
    </row>
    <row r="101" spans="1:51" x14ac:dyDescent="0.25">
      <c r="A101" s="30">
        <v>6.72749994932561</v>
      </c>
      <c r="C101" s="1" t="s">
        <v>14</v>
      </c>
      <c r="E101"/>
    </row>
    <row r="102" spans="1:51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K102" s="27" t="s">
        <v>8</v>
      </c>
    </row>
    <row r="103" spans="1:51" x14ac:dyDescent="0.25">
      <c r="A103" s="30">
        <v>5.5599173134922388</v>
      </c>
      <c r="E103"/>
      <c r="AK103" s="27" t="s">
        <v>8</v>
      </c>
      <c r="AL103" s="27" t="s">
        <v>7</v>
      </c>
    </row>
    <row r="104" spans="1:51" x14ac:dyDescent="0.25">
      <c r="A104" s="30">
        <v>5.0544702849929442</v>
      </c>
      <c r="E104"/>
      <c r="AK104" s="27" t="s">
        <v>8</v>
      </c>
      <c r="AL104" s="27" t="s">
        <v>7</v>
      </c>
    </row>
    <row r="105" spans="1:51" x14ac:dyDescent="0.25">
      <c r="A105" s="30">
        <v>4.594972986357222</v>
      </c>
      <c r="E105"/>
      <c r="AK105" s="27" t="s">
        <v>8</v>
      </c>
      <c r="AL105" s="27" t="s">
        <v>7</v>
      </c>
    </row>
    <row r="106" spans="1:51" x14ac:dyDescent="0.25">
      <c r="A106" s="30">
        <v>4.1772481694156562</v>
      </c>
      <c r="E106"/>
      <c r="AK106" s="27" t="s">
        <v>8</v>
      </c>
      <c r="AL106" s="27" t="s">
        <v>7</v>
      </c>
      <c r="AM106" s="27" t="s">
        <v>8</v>
      </c>
      <c r="AO106" s="27" t="s">
        <v>8</v>
      </c>
    </row>
    <row r="107" spans="1:51" x14ac:dyDescent="0.25">
      <c r="A107" s="30">
        <v>3.7974983358324148</v>
      </c>
      <c r="E107"/>
      <c r="AK107" s="27" t="s">
        <v>8</v>
      </c>
      <c r="AL107" s="27" t="s">
        <v>7</v>
      </c>
      <c r="AM107" s="27" t="s">
        <v>8</v>
      </c>
      <c r="AN107" s="27" t="s">
        <v>7</v>
      </c>
      <c r="AO107" s="27" t="s">
        <v>8</v>
      </c>
      <c r="AP107" s="27" t="s">
        <v>7</v>
      </c>
    </row>
    <row r="108" spans="1:51" x14ac:dyDescent="0.25">
      <c r="A108" s="30">
        <v>3.4522712143931042</v>
      </c>
      <c r="E108"/>
      <c r="AK108" s="27" t="s">
        <v>8</v>
      </c>
      <c r="AL108" s="27" t="s">
        <v>7</v>
      </c>
      <c r="AM108" s="27" t="s">
        <v>8</v>
      </c>
      <c r="AN108" s="27" t="s">
        <v>7</v>
      </c>
      <c r="AO108" s="27" t="s">
        <v>8</v>
      </c>
      <c r="AP108" s="27" t="s">
        <v>7</v>
      </c>
    </row>
    <row r="109" spans="1:51" x14ac:dyDescent="0.25">
      <c r="A109" s="30">
        <v>3.1384283767210035</v>
      </c>
      <c r="E109"/>
      <c r="AK109" s="27" t="s">
        <v>8</v>
      </c>
      <c r="AL109" s="27" t="s">
        <v>7</v>
      </c>
      <c r="AM109" s="27" t="s">
        <v>8</v>
      </c>
      <c r="AN109" s="27" t="s">
        <v>7</v>
      </c>
      <c r="AP109" s="27" t="s">
        <v>7</v>
      </c>
      <c r="AQ109" s="27" t="s">
        <v>8</v>
      </c>
    </row>
    <row r="110" spans="1:51" x14ac:dyDescent="0.25">
      <c r="A110" s="30">
        <v>2.8531167061100029</v>
      </c>
      <c r="E110"/>
      <c r="AK110" s="27" t="s">
        <v>8</v>
      </c>
      <c r="AL110" s="27" t="s">
        <v>7</v>
      </c>
      <c r="AP110" s="27" t="s">
        <v>7</v>
      </c>
      <c r="AQ110" s="27" t="s">
        <v>8</v>
      </c>
      <c r="AR110" s="27" t="s">
        <v>7</v>
      </c>
    </row>
    <row r="111" spans="1:51" x14ac:dyDescent="0.25">
      <c r="A111" s="30">
        <v>2.5937424601000023</v>
      </c>
      <c r="C111" s="1" t="str">
        <f>ADDRESS(C121-1,1,1,1)</f>
        <v>$A$123</v>
      </c>
      <c r="D111" s="1" t="str">
        <f>ADDRESS(C121-1,D121,1,1)</f>
        <v>$BJ$123</v>
      </c>
      <c r="E111"/>
      <c r="AK111" s="27" t="s">
        <v>8</v>
      </c>
      <c r="AP111" s="27" t="s">
        <v>7</v>
      </c>
      <c r="AQ111" s="27" t="s">
        <v>8</v>
      </c>
      <c r="AR111" s="27" t="s">
        <v>7</v>
      </c>
    </row>
    <row r="112" spans="1:51" x14ac:dyDescent="0.25">
      <c r="A112" s="30">
        <v>2.3579476910000019</v>
      </c>
      <c r="C112" s="1" t="str">
        <f>ADDRESS(C121,1,1,1)</f>
        <v>$A$124</v>
      </c>
      <c r="D112" s="1" t="str">
        <f>ADDRESS(C121,D121-1,1,1)</f>
        <v>$BI$124</v>
      </c>
      <c r="E112"/>
      <c r="AK112" s="27" t="s">
        <v>8</v>
      </c>
      <c r="AP112" s="27" t="s">
        <v>7</v>
      </c>
      <c r="AQ112" s="27" t="s">
        <v>8</v>
      </c>
      <c r="AR112" s="27" t="s">
        <v>7</v>
      </c>
      <c r="AS112" s="27" t="s">
        <v>8</v>
      </c>
      <c r="AY112" s="27" t="s">
        <v>8</v>
      </c>
    </row>
    <row r="113" spans="1:62" x14ac:dyDescent="0.25">
      <c r="A113" s="30">
        <v>2.1435888100000016</v>
      </c>
      <c r="C113" s="1" t="str">
        <f>ADDRESS(C121+1,1,1,1)</f>
        <v>$A$125</v>
      </c>
      <c r="D113" s="1" t="str">
        <f>ADDRESS(C121-1,D121+1,1,1)</f>
        <v>$BK$123</v>
      </c>
      <c r="AK113" s="27" t="s">
        <v>8</v>
      </c>
      <c r="AP113" s="27" t="s">
        <v>7</v>
      </c>
      <c r="AQ113" s="27" t="s">
        <v>8</v>
      </c>
      <c r="AR113" s="27" t="s">
        <v>7</v>
      </c>
      <c r="AS113" s="27" t="s">
        <v>8</v>
      </c>
      <c r="AT113" s="27" t="s">
        <v>7</v>
      </c>
      <c r="AY113" s="27" t="s">
        <v>8</v>
      </c>
      <c r="AZ113" s="27" t="s">
        <v>7</v>
      </c>
    </row>
    <row r="114" spans="1:62" x14ac:dyDescent="0.25">
      <c r="A114" s="30">
        <v>1.9487171000000014</v>
      </c>
      <c r="C114" s="1" t="str">
        <f>ADDRESS(C121,D121,1,1)</f>
        <v>$BJ$124</v>
      </c>
      <c r="D114" s="1" t="str">
        <f>ADDRESS(C121+1,D121+1,1,1)</f>
        <v>$BK$125</v>
      </c>
      <c r="AK114" s="27" t="s">
        <v>8</v>
      </c>
      <c r="AP114" s="27" t="s">
        <v>7</v>
      </c>
      <c r="AR114" s="27" t="s">
        <v>7</v>
      </c>
      <c r="AS114" s="27" t="s">
        <v>8</v>
      </c>
      <c r="AT114" s="27" t="s">
        <v>7</v>
      </c>
      <c r="AW114" s="27" t="s">
        <v>8</v>
      </c>
      <c r="AY114" s="27" t="s">
        <v>8</v>
      </c>
      <c r="AZ114" s="27" t="s">
        <v>7</v>
      </c>
      <c r="BA114" s="27" t="s">
        <v>8</v>
      </c>
      <c r="BG114" s="27" t="s">
        <v>8</v>
      </c>
    </row>
    <row r="115" spans="1:62" x14ac:dyDescent="0.25">
      <c r="A115" s="30">
        <v>1.7715610000000011</v>
      </c>
      <c r="C115" s="1" t="str">
        <f>ADDRESS(C121+1,D121,1,1)</f>
        <v>$BJ$125</v>
      </c>
      <c r="AK115" s="27" t="s">
        <v>8</v>
      </c>
      <c r="AR115" s="27" t="s">
        <v>7</v>
      </c>
      <c r="AT115" s="27" t="s">
        <v>7</v>
      </c>
      <c r="AW115" s="27" t="s">
        <v>8</v>
      </c>
      <c r="AX115" s="27" t="s">
        <v>7</v>
      </c>
      <c r="AY115" s="27" t="s">
        <v>8</v>
      </c>
      <c r="AZ115" s="27" t="s">
        <v>7</v>
      </c>
      <c r="BA115" s="27" t="s">
        <v>8</v>
      </c>
      <c r="BB115" s="27" t="s">
        <v>7</v>
      </c>
      <c r="BG115" s="27" t="s">
        <v>8</v>
      </c>
      <c r="BH115" s="27" t="s">
        <v>7</v>
      </c>
      <c r="BI115" s="27" t="s">
        <v>8</v>
      </c>
    </row>
    <row r="116" spans="1:62" x14ac:dyDescent="0.25">
      <c r="A116" s="30">
        <v>1.6105100000000008</v>
      </c>
      <c r="C116" s="1">
        <f>C117-1</f>
        <v>123</v>
      </c>
      <c r="AK116" s="27" t="s">
        <v>8</v>
      </c>
      <c r="AT116" s="27" t="s">
        <v>7</v>
      </c>
      <c r="AW116" s="27" t="s">
        <v>8</v>
      </c>
      <c r="AX116" s="27" t="s">
        <v>7</v>
      </c>
      <c r="AY116" s="27" t="s">
        <v>8</v>
      </c>
      <c r="AZ116" s="27" t="s">
        <v>7</v>
      </c>
      <c r="BA116" s="27" t="s">
        <v>8</v>
      </c>
      <c r="BB116" s="27" t="s">
        <v>7</v>
      </c>
      <c r="BE116" s="27" t="s">
        <v>8</v>
      </c>
      <c r="BG116" s="27" t="s">
        <v>8</v>
      </c>
      <c r="BH116" s="27" t="s">
        <v>7</v>
      </c>
      <c r="BI116" s="27" t="s">
        <v>8</v>
      </c>
      <c r="BJ116" s="27" t="s">
        <v>7</v>
      </c>
    </row>
    <row r="117" spans="1:62" x14ac:dyDescent="0.25">
      <c r="A117" s="30">
        <v>1.4641000000000006</v>
      </c>
      <c r="C117" s="1">
        <f>C121</f>
        <v>124</v>
      </c>
      <c r="D117" s="1">
        <f>D121</f>
        <v>62</v>
      </c>
      <c r="AK117" s="27" t="s">
        <v>8</v>
      </c>
      <c r="AT117" s="27" t="s">
        <v>7</v>
      </c>
      <c r="AU117" s="27" t="s">
        <v>8</v>
      </c>
      <c r="AW117" s="27" t="s">
        <v>8</v>
      </c>
      <c r="AX117" s="27" t="s">
        <v>7</v>
      </c>
      <c r="AY117" s="27" t="s">
        <v>8</v>
      </c>
      <c r="AZ117" s="27" t="s">
        <v>7</v>
      </c>
      <c r="BA117" s="27" t="s">
        <v>8</v>
      </c>
      <c r="BB117" s="27" t="s">
        <v>7</v>
      </c>
      <c r="BE117" s="27" t="s">
        <v>8</v>
      </c>
      <c r="BF117" s="27" t="s">
        <v>7</v>
      </c>
      <c r="BG117" s="27" t="s">
        <v>8</v>
      </c>
      <c r="BH117" s="27" t="s">
        <v>7</v>
      </c>
      <c r="BI117" s="27" t="s">
        <v>8</v>
      </c>
      <c r="BJ117" s="27" t="s">
        <v>7</v>
      </c>
    </row>
    <row r="118" spans="1:62" x14ac:dyDescent="0.25">
      <c r="A118" s="30">
        <v>1.3310000000000004</v>
      </c>
      <c r="C118" s="1">
        <f>C117+1</f>
        <v>125</v>
      </c>
      <c r="D118" s="1">
        <f>D117+1</f>
        <v>63</v>
      </c>
      <c r="AK118" s="27" t="s">
        <v>8</v>
      </c>
      <c r="AT118" s="27" t="s">
        <v>7</v>
      </c>
      <c r="AU118" s="27" t="s">
        <v>8</v>
      </c>
      <c r="AV118" s="27" t="s">
        <v>7</v>
      </c>
      <c r="AW118" s="27" t="s">
        <v>8</v>
      </c>
      <c r="AX118" s="27" t="s">
        <v>7</v>
      </c>
      <c r="AY118" s="27" t="s">
        <v>8</v>
      </c>
      <c r="AZ118" s="27" t="s">
        <v>7</v>
      </c>
      <c r="BB118" s="27" t="s">
        <v>7</v>
      </c>
      <c r="BE118" s="27" t="s">
        <v>8</v>
      </c>
      <c r="BF118" s="27" t="s">
        <v>7</v>
      </c>
      <c r="BG118" s="27" t="s">
        <v>8</v>
      </c>
      <c r="BH118" s="27" t="s">
        <v>7</v>
      </c>
      <c r="BI118" s="27" t="s">
        <v>8</v>
      </c>
      <c r="BJ118" s="27" t="s">
        <v>7</v>
      </c>
    </row>
    <row r="119" spans="1:62" x14ac:dyDescent="0.25">
      <c r="A119" s="30">
        <v>1.2100000000000002</v>
      </c>
      <c r="AK119" s="27" t="s">
        <v>8</v>
      </c>
      <c r="AT119" s="27" t="s">
        <v>7</v>
      </c>
      <c r="AU119" s="27" t="s">
        <v>8</v>
      </c>
      <c r="AV119" s="27" t="s">
        <v>7</v>
      </c>
      <c r="AW119" s="27" t="s">
        <v>8</v>
      </c>
      <c r="AX119" s="27" t="s">
        <v>7</v>
      </c>
      <c r="BB119" s="27" t="s">
        <v>7</v>
      </c>
      <c r="BC119" s="27" t="s">
        <v>8</v>
      </c>
      <c r="BE119" s="27" t="s">
        <v>8</v>
      </c>
      <c r="BF119" s="27" t="s">
        <v>7</v>
      </c>
      <c r="BG119" s="27" t="s">
        <v>8</v>
      </c>
      <c r="BH119" s="27" t="s">
        <v>7</v>
      </c>
      <c r="BI119" s="27" t="s">
        <v>8</v>
      </c>
      <c r="BJ119" s="27" t="s">
        <v>7</v>
      </c>
    </row>
    <row r="120" spans="1:62" x14ac:dyDescent="0.25">
      <c r="A120" s="30">
        <v>1.1000000000000001</v>
      </c>
      <c r="C120" s="1" t="s">
        <v>9</v>
      </c>
      <c r="AK120" s="27" t="s">
        <v>8</v>
      </c>
      <c r="AT120" s="27" t="s">
        <v>7</v>
      </c>
      <c r="AU120" s="27" t="s">
        <v>8</v>
      </c>
      <c r="AV120" s="27" t="s">
        <v>7</v>
      </c>
      <c r="AW120" s="27" t="s">
        <v>8</v>
      </c>
      <c r="BB120" s="27" t="s">
        <v>7</v>
      </c>
      <c r="BC120" s="27" t="s">
        <v>8</v>
      </c>
      <c r="BD120" s="27" t="s">
        <v>7</v>
      </c>
      <c r="BE120" s="27" t="s">
        <v>8</v>
      </c>
      <c r="BF120" s="27" t="s">
        <v>7</v>
      </c>
      <c r="BG120" s="27" t="s">
        <v>8</v>
      </c>
      <c r="BH120" s="27" t="s">
        <v>7</v>
      </c>
      <c r="BJ120" s="27" t="s">
        <v>7</v>
      </c>
    </row>
    <row r="121" spans="1:62" x14ac:dyDescent="0.25">
      <c r="A121" s="30">
        <v>1</v>
      </c>
      <c r="C121" s="18">
        <v>124</v>
      </c>
      <c r="D121" s="19">
        <v>62</v>
      </c>
      <c r="E121" s="18" t="s">
        <v>8</v>
      </c>
      <c r="AK121" s="27" t="s">
        <v>8</v>
      </c>
      <c r="AT121" s="27" t="s">
        <v>7</v>
      </c>
      <c r="AU121" s="27" t="s">
        <v>8</v>
      </c>
      <c r="AV121" s="27" t="s">
        <v>7</v>
      </c>
      <c r="AW121" s="27" t="s">
        <v>8</v>
      </c>
      <c r="BB121" s="27" t="s">
        <v>7</v>
      </c>
      <c r="BC121" s="27" t="s">
        <v>8</v>
      </c>
      <c r="BD121" s="27" t="s">
        <v>7</v>
      </c>
      <c r="BE121" s="27" t="s">
        <v>8</v>
      </c>
      <c r="BF121" s="27" t="s">
        <v>7</v>
      </c>
      <c r="BJ121" s="27" t="s">
        <v>7</v>
      </c>
    </row>
    <row r="122" spans="1:62" x14ac:dyDescent="0.25">
      <c r="A122" s="30">
        <v>0.90909090909090895</v>
      </c>
      <c r="C122" s="1" t="str">
        <f>INDEX(1:1048576,C117,D117)</f>
        <v>O</v>
      </c>
      <c r="F122" s="27" t="s">
        <v>7</v>
      </c>
      <c r="AK122" s="27" t="s">
        <v>8</v>
      </c>
      <c r="AT122" s="27" t="s">
        <v>7</v>
      </c>
      <c r="AU122" s="27" t="s">
        <v>8</v>
      </c>
      <c r="AV122" s="27" t="s">
        <v>7</v>
      </c>
      <c r="AW122" s="27" t="s">
        <v>8</v>
      </c>
      <c r="BB122" s="27" t="s">
        <v>7</v>
      </c>
      <c r="BD122" s="18" t="s">
        <v>7</v>
      </c>
      <c r="BE122" s="27" t="s">
        <v>8</v>
      </c>
      <c r="BJ122" s="27" t="s">
        <v>7</v>
      </c>
    </row>
    <row r="123" spans="1:62" x14ac:dyDescent="0.25">
      <c r="A123" s="30">
        <v>0.82644628099173523</v>
      </c>
      <c r="C123" s="1" t="str">
        <f>"R"&amp;C121</f>
        <v>R124</v>
      </c>
      <c r="D123" s="1" t="str">
        <f>"C"&amp;D121</f>
        <v>C62</v>
      </c>
      <c r="F123" s="27" t="s">
        <v>7</v>
      </c>
      <c r="AK123" s="27" t="s">
        <v>8</v>
      </c>
      <c r="AT123" s="27" t="s">
        <v>7</v>
      </c>
      <c r="AV123" s="27" t="s">
        <v>7</v>
      </c>
      <c r="AW123" s="27" t="s">
        <v>8</v>
      </c>
      <c r="BD123" s="27" t="s">
        <v>7</v>
      </c>
      <c r="BJ123" s="27" t="s">
        <v>7</v>
      </c>
    </row>
    <row r="124" spans="1:6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K124" s="27" t="s">
        <v>8</v>
      </c>
      <c r="AV124" s="27" t="s">
        <v>7</v>
      </c>
      <c r="AW124" s="27" t="s">
        <v>8</v>
      </c>
      <c r="BJ124" s="27" t="s">
        <v>7</v>
      </c>
    </row>
    <row r="125" spans="1:62" x14ac:dyDescent="0.25">
      <c r="A125" s="30">
        <v>0.68301345536507019</v>
      </c>
      <c r="F125" s="27" t="s">
        <v>7</v>
      </c>
      <c r="AK125" s="27" t="s">
        <v>8</v>
      </c>
      <c r="AV125" s="27" t="s">
        <v>7</v>
      </c>
    </row>
    <row r="126" spans="1:62" x14ac:dyDescent="0.25">
      <c r="A126" s="30">
        <v>0.6209213230591546</v>
      </c>
      <c r="C126" s="1" t="s">
        <v>10</v>
      </c>
      <c r="F126" s="27" t="s">
        <v>7</v>
      </c>
      <c r="AK126" s="27" t="s">
        <v>8</v>
      </c>
    </row>
    <row r="127" spans="1:62" x14ac:dyDescent="0.25">
      <c r="A127" s="30">
        <v>0.56447393005377677</v>
      </c>
      <c r="C127" s="30">
        <v>0.75131480090157732</v>
      </c>
      <c r="D127"/>
      <c r="F127" s="27" t="s">
        <v>7</v>
      </c>
      <c r="AG127" s="27" t="s">
        <v>8</v>
      </c>
      <c r="AI127" s="27" t="s">
        <v>8</v>
      </c>
      <c r="AK127" s="27" t="s">
        <v>8</v>
      </c>
    </row>
    <row r="128" spans="1:62" x14ac:dyDescent="0.25">
      <c r="A128" s="30">
        <v>0.51315811823070612</v>
      </c>
      <c r="F128" s="27" t="s">
        <v>7</v>
      </c>
      <c r="AG128" s="27" t="s">
        <v>8</v>
      </c>
      <c r="AH128" s="27" t="s">
        <v>7</v>
      </c>
      <c r="AI128" s="27" t="s">
        <v>8</v>
      </c>
      <c r="AJ128" s="27" t="s">
        <v>7</v>
      </c>
      <c r="AK128" s="27" t="s">
        <v>8</v>
      </c>
    </row>
    <row r="129" spans="1:37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G129" s="27" t="s">
        <v>8</v>
      </c>
      <c r="AH129" s="27" t="s">
        <v>7</v>
      </c>
      <c r="AI129" s="27" t="s">
        <v>8</v>
      </c>
      <c r="AJ129" s="27" t="s">
        <v>7</v>
      </c>
      <c r="AK129" s="27" t="s">
        <v>8</v>
      </c>
    </row>
    <row r="130" spans="1:37" x14ac:dyDescent="0.25">
      <c r="A130" s="30">
        <v>0.42409761837248428</v>
      </c>
      <c r="C130" s="6"/>
      <c r="D130" s="6"/>
      <c r="E130"/>
      <c r="F130" s="27" t="s">
        <v>7</v>
      </c>
      <c r="AG130" s="27" t="s">
        <v>8</v>
      </c>
      <c r="AH130" s="27" t="s">
        <v>7</v>
      </c>
      <c r="AJ130" s="27" t="s">
        <v>7</v>
      </c>
    </row>
    <row r="131" spans="1:37" x14ac:dyDescent="0.25">
      <c r="A131" s="30">
        <v>0.38554328942953109</v>
      </c>
      <c r="E131"/>
      <c r="F131" s="27" t="s">
        <v>7</v>
      </c>
      <c r="AC131" s="27" t="s">
        <v>8</v>
      </c>
      <c r="AG131" s="27" t="s">
        <v>8</v>
      </c>
    </row>
    <row r="132" spans="1:37" x14ac:dyDescent="0.25">
      <c r="A132" s="30">
        <v>0.35049389948139187</v>
      </c>
      <c r="C132" s="1" t="s">
        <v>13</v>
      </c>
      <c r="E132"/>
      <c r="F132" s="27" t="s">
        <v>7</v>
      </c>
      <c r="AC132" s="27" t="s">
        <v>8</v>
      </c>
      <c r="AD132" s="27" t="s">
        <v>7</v>
      </c>
      <c r="AG132" s="27" t="s">
        <v>8</v>
      </c>
    </row>
    <row r="133" spans="1:37" x14ac:dyDescent="0.25">
      <c r="A133" s="30">
        <v>0.31863081771035617</v>
      </c>
      <c r="C133" s="1" t="str">
        <f>C122</f>
        <v>O</v>
      </c>
      <c r="E133"/>
      <c r="F133" s="27" t="s">
        <v>7</v>
      </c>
      <c r="AC133" s="27" t="s">
        <v>8</v>
      </c>
      <c r="AD133" s="27" t="s">
        <v>7</v>
      </c>
      <c r="AE133" s="27" t="s">
        <v>8</v>
      </c>
      <c r="AG133" s="27" t="s">
        <v>8</v>
      </c>
    </row>
    <row r="134" spans="1:37" x14ac:dyDescent="0.25">
      <c r="A134" s="30">
        <v>0.28966437973668741</v>
      </c>
      <c r="C134"/>
      <c r="D134"/>
      <c r="E134"/>
      <c r="F134" s="27" t="s">
        <v>7</v>
      </c>
      <c r="AC134" s="27" t="s">
        <v>8</v>
      </c>
      <c r="AD134" s="27" t="s">
        <v>7</v>
      </c>
      <c r="AE134" s="27" t="s">
        <v>8</v>
      </c>
      <c r="AF134" s="27" t="s">
        <v>7</v>
      </c>
      <c r="AG134" s="27" t="s">
        <v>8</v>
      </c>
    </row>
    <row r="135" spans="1:37" x14ac:dyDescent="0.25">
      <c r="A135" s="30">
        <v>0.2633312543060794</v>
      </c>
      <c r="C135" s="1" t="s">
        <v>14</v>
      </c>
      <c r="E135"/>
      <c r="F135" s="27" t="s">
        <v>7</v>
      </c>
      <c r="AA135" s="27" t="s">
        <v>8</v>
      </c>
      <c r="AC135" s="27" t="s">
        <v>8</v>
      </c>
      <c r="AD135" s="27" t="s">
        <v>7</v>
      </c>
      <c r="AE135" s="27" t="s">
        <v>8</v>
      </c>
      <c r="AF135" s="27" t="s">
        <v>7</v>
      </c>
      <c r="AG135" s="27" t="s">
        <v>8</v>
      </c>
    </row>
    <row r="136" spans="1:37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A136" s="27" t="s">
        <v>8</v>
      </c>
      <c r="AB136" s="27" t="s">
        <v>7</v>
      </c>
      <c r="AC136" s="27" t="s">
        <v>8</v>
      </c>
      <c r="AD136" s="27" t="s">
        <v>7</v>
      </c>
      <c r="AF136" s="27" t="s">
        <v>7</v>
      </c>
    </row>
    <row r="137" spans="1:37" x14ac:dyDescent="0.25">
      <c r="A137" s="30">
        <v>0.2176291357901482</v>
      </c>
      <c r="E137"/>
      <c r="F137" s="27" t="s">
        <v>7</v>
      </c>
      <c r="K137" s="27" t="s">
        <v>8</v>
      </c>
      <c r="Y137" s="27" t="s">
        <v>8</v>
      </c>
      <c r="AA137" s="27" t="s">
        <v>8</v>
      </c>
      <c r="AB137" s="27" t="s">
        <v>7</v>
      </c>
      <c r="AC137" s="27" t="s">
        <v>8</v>
      </c>
    </row>
    <row r="138" spans="1:37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K138" s="27" t="s">
        <v>8</v>
      </c>
      <c r="L138" s="27" t="s">
        <v>7</v>
      </c>
      <c r="Y138" s="27" t="s">
        <v>8</v>
      </c>
      <c r="Z138" s="27" t="s">
        <v>7</v>
      </c>
      <c r="AA138" s="27" t="s">
        <v>8</v>
      </c>
      <c r="AB138" s="27" t="s">
        <v>7</v>
      </c>
      <c r="AC138" s="27" t="s">
        <v>8</v>
      </c>
    </row>
    <row r="139" spans="1:37" x14ac:dyDescent="0.25">
      <c r="A139" s="30">
        <v>0.17985878990921333</v>
      </c>
      <c r="E139"/>
      <c r="F139" s="27" t="s">
        <v>7</v>
      </c>
      <c r="K139" s="27" t="s">
        <v>8</v>
      </c>
      <c r="L139" s="27" t="s">
        <v>7</v>
      </c>
      <c r="S139" s="27" t="s">
        <v>8</v>
      </c>
      <c r="Y139" s="27" t="s">
        <v>8</v>
      </c>
      <c r="Z139" s="27" t="s">
        <v>7</v>
      </c>
      <c r="AA139" s="27" t="s">
        <v>8</v>
      </c>
      <c r="AB139" s="27" t="s">
        <v>7</v>
      </c>
    </row>
    <row r="140" spans="1:37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K140" s="27" t="s">
        <v>8</v>
      </c>
      <c r="L140" s="27" t="s">
        <v>7</v>
      </c>
      <c r="S140" s="27" t="s">
        <v>8</v>
      </c>
      <c r="T140" s="27" t="s">
        <v>7</v>
      </c>
      <c r="Y140" s="27" t="s">
        <v>8</v>
      </c>
      <c r="Z140" s="27" t="s">
        <v>7</v>
      </c>
    </row>
    <row r="141" spans="1:37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H141" s="27" t="s">
        <v>7</v>
      </c>
      <c r="K141" s="27" t="s">
        <v>8</v>
      </c>
      <c r="L141" s="27" t="s">
        <v>7</v>
      </c>
      <c r="Q141" s="27" t="s">
        <v>8</v>
      </c>
      <c r="S141" s="27" t="s">
        <v>8</v>
      </c>
      <c r="T141" s="27" t="s">
        <v>7</v>
      </c>
      <c r="Y141" s="27" t="s">
        <v>8</v>
      </c>
    </row>
    <row r="142" spans="1:37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H142" s="27" t="s">
        <v>7</v>
      </c>
      <c r="K142" s="27" t="s">
        <v>8</v>
      </c>
      <c r="L142" s="27" t="s">
        <v>7</v>
      </c>
      <c r="Q142" s="27" t="s">
        <v>8</v>
      </c>
      <c r="R142" s="27" t="s">
        <v>7</v>
      </c>
      <c r="S142" s="27" t="s">
        <v>8</v>
      </c>
      <c r="T142" s="27" t="s">
        <v>7</v>
      </c>
      <c r="Y142" s="27" t="s">
        <v>8</v>
      </c>
    </row>
    <row r="143" spans="1:37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  <c r="K143" s="27" t="s">
        <v>8</v>
      </c>
      <c r="L143" s="27" t="s">
        <v>7</v>
      </c>
      <c r="O143" s="27" t="s">
        <v>8</v>
      </c>
      <c r="Q143" s="27" t="s">
        <v>8</v>
      </c>
      <c r="R143" s="27" t="s">
        <v>7</v>
      </c>
      <c r="S143" s="27" t="s">
        <v>8</v>
      </c>
      <c r="T143" s="27" t="s">
        <v>7</v>
      </c>
      <c r="U143" s="27" t="s">
        <v>8</v>
      </c>
      <c r="Y143" s="27" t="s">
        <v>8</v>
      </c>
    </row>
    <row r="144" spans="1:37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I144" s="27" t="s">
        <v>8</v>
      </c>
      <c r="J144" s="27" t="s">
        <v>7</v>
      </c>
      <c r="K144" s="27" t="s">
        <v>8</v>
      </c>
      <c r="L144" s="27" t="s">
        <v>7</v>
      </c>
      <c r="M144" s="27" t="s">
        <v>8</v>
      </c>
      <c r="O144" s="27" t="s">
        <v>8</v>
      </c>
      <c r="P144" s="27" t="s">
        <v>7</v>
      </c>
      <c r="Q144" s="27" t="s">
        <v>8</v>
      </c>
      <c r="R144" s="27" t="s">
        <v>7</v>
      </c>
      <c r="T144" s="27" t="s">
        <v>7</v>
      </c>
      <c r="U144" s="27" t="s">
        <v>8</v>
      </c>
      <c r="V144" s="27" t="s">
        <v>7</v>
      </c>
      <c r="Y144" s="27" t="s">
        <v>8</v>
      </c>
    </row>
    <row r="145" spans="1:25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H145" s="27" t="s">
        <v>7</v>
      </c>
      <c r="I145" s="27" t="s">
        <v>8</v>
      </c>
      <c r="J145" s="27" t="s">
        <v>7</v>
      </c>
      <c r="K145" s="27" t="s">
        <v>8</v>
      </c>
      <c r="L145" s="27" t="s">
        <v>7</v>
      </c>
      <c r="M145" s="27" t="s">
        <v>8</v>
      </c>
      <c r="N145" s="27" t="s">
        <v>7</v>
      </c>
      <c r="O145" s="27" t="s">
        <v>8</v>
      </c>
      <c r="P145" s="27" t="s">
        <v>7</v>
      </c>
      <c r="Q145" s="27" t="s">
        <v>8</v>
      </c>
      <c r="T145" s="27" t="s">
        <v>7</v>
      </c>
      <c r="U145" s="27" t="s">
        <v>8</v>
      </c>
      <c r="V145" s="27" t="s">
        <v>7</v>
      </c>
      <c r="Y145" s="27" t="s">
        <v>8</v>
      </c>
    </row>
    <row r="146" spans="1:25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  <c r="H146" s="27" t="s">
        <v>7</v>
      </c>
      <c r="J146" s="27" t="s">
        <v>7</v>
      </c>
      <c r="K146" s="27" t="s">
        <v>8</v>
      </c>
      <c r="L146" s="27" t="s">
        <v>7</v>
      </c>
      <c r="M146" s="27" t="s">
        <v>8</v>
      </c>
      <c r="N146" s="27" t="s">
        <v>7</v>
      </c>
      <c r="O146" s="27" t="s">
        <v>8</v>
      </c>
      <c r="P146" s="27" t="s">
        <v>7</v>
      </c>
      <c r="T146" s="27" t="s">
        <v>7</v>
      </c>
      <c r="V146" s="27" t="s">
        <v>7</v>
      </c>
      <c r="W146" s="27" t="s">
        <v>8</v>
      </c>
      <c r="Y146" s="27" t="s">
        <v>8</v>
      </c>
    </row>
    <row r="147" spans="1:25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  <c r="J147" s="27" t="s">
        <v>7</v>
      </c>
      <c r="K147" s="27" t="s">
        <v>8</v>
      </c>
      <c r="L147" s="27" t="s">
        <v>7</v>
      </c>
      <c r="M147" s="27" t="s">
        <v>8</v>
      </c>
      <c r="N147" s="27" t="s">
        <v>7</v>
      </c>
      <c r="O147" s="27" t="s">
        <v>8</v>
      </c>
      <c r="V147" s="27" t="s">
        <v>7</v>
      </c>
      <c r="W147" s="27" t="s">
        <v>8</v>
      </c>
      <c r="X147" s="27" t="s">
        <v>7</v>
      </c>
      <c r="Y147" s="27" t="s">
        <v>8</v>
      </c>
    </row>
    <row r="148" spans="1:25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  <c r="J148" s="27" t="s">
        <v>7</v>
      </c>
      <c r="K148" s="27" t="s">
        <v>8</v>
      </c>
      <c r="L148" s="27" t="s">
        <v>7</v>
      </c>
      <c r="M148" s="27" t="s">
        <v>8</v>
      </c>
      <c r="N148" s="27" t="s">
        <v>7</v>
      </c>
      <c r="O148" s="27" t="s">
        <v>8</v>
      </c>
      <c r="V148" s="27" t="s">
        <v>7</v>
      </c>
      <c r="W148" s="27" t="s">
        <v>8</v>
      </c>
      <c r="X148" s="27" t="s">
        <v>7</v>
      </c>
      <c r="Y148" s="27" t="s">
        <v>8</v>
      </c>
    </row>
    <row r="149" spans="1:25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J149" s="27" t="s">
        <v>7</v>
      </c>
      <c r="K149" s="27" t="s">
        <v>8</v>
      </c>
      <c r="L149" s="27" t="s">
        <v>7</v>
      </c>
      <c r="M149" s="27" t="s">
        <v>8</v>
      </c>
      <c r="N149" s="27" t="s">
        <v>7</v>
      </c>
      <c r="O149" s="27" t="s">
        <v>8</v>
      </c>
      <c r="V149" s="27" t="s">
        <v>7</v>
      </c>
      <c r="X149" s="27" t="s">
        <v>7</v>
      </c>
      <c r="Y149" s="27" t="s">
        <v>8</v>
      </c>
    </row>
    <row r="150" spans="1:25" x14ac:dyDescent="0.25">
      <c r="A150" s="30">
        <v>6.3039408631284613E-2</v>
      </c>
      <c r="B150"/>
      <c r="C150"/>
      <c r="D150"/>
      <c r="E150"/>
      <c r="F150" s="27" t="s">
        <v>7</v>
      </c>
      <c r="J150" s="27" t="s">
        <v>7</v>
      </c>
      <c r="K150" s="27" t="s">
        <v>8</v>
      </c>
      <c r="L150" s="27" t="s">
        <v>7</v>
      </c>
      <c r="M150" s="27" t="s">
        <v>8</v>
      </c>
      <c r="N150" s="27" t="s">
        <v>7</v>
      </c>
      <c r="X150" s="27" t="s">
        <v>7</v>
      </c>
    </row>
    <row r="151" spans="1:25" x14ac:dyDescent="0.25">
      <c r="A151" s="30">
        <v>5.7308553301167818E-2</v>
      </c>
      <c r="B151"/>
      <c r="C151"/>
      <c r="D151"/>
      <c r="E151"/>
      <c r="J151" s="27" t="s">
        <v>7</v>
      </c>
      <c r="L151" s="27" t="s">
        <v>7</v>
      </c>
      <c r="M151" s="27" t="s">
        <v>8</v>
      </c>
    </row>
    <row r="152" spans="1:25" x14ac:dyDescent="0.25">
      <c r="A152" s="30">
        <v>5.2098684819243464E-2</v>
      </c>
      <c r="B152"/>
      <c r="C152"/>
      <c r="D152"/>
      <c r="E152"/>
      <c r="L152" s="27" t="s">
        <v>7</v>
      </c>
    </row>
    <row r="153" spans="1:25" x14ac:dyDescent="0.25">
      <c r="A153" s="30">
        <v>4.7362440744766775E-2</v>
      </c>
      <c r="B153"/>
      <c r="C153"/>
      <c r="D153"/>
      <c r="E153"/>
    </row>
    <row r="154" spans="1:25" x14ac:dyDescent="0.25">
      <c r="A154" s="30">
        <v>4.3056764313424332E-2</v>
      </c>
      <c r="B154"/>
      <c r="C154"/>
      <c r="D154"/>
      <c r="E154"/>
    </row>
    <row r="155" spans="1:25" x14ac:dyDescent="0.25">
      <c r="A155" s="30">
        <v>3.9142513012203929E-2</v>
      </c>
      <c r="B155"/>
      <c r="C155"/>
      <c r="D155"/>
      <c r="E155"/>
    </row>
    <row r="156" spans="1:25" x14ac:dyDescent="0.25">
      <c r="A156" s="30">
        <v>3.55841027383672E-2</v>
      </c>
      <c r="B156"/>
      <c r="C156"/>
      <c r="D156"/>
      <c r="E156"/>
    </row>
    <row r="157" spans="1:25" x14ac:dyDescent="0.25">
      <c r="A157" s="30">
        <v>3.2349184307606541E-2</v>
      </c>
      <c r="B157"/>
      <c r="C157"/>
      <c r="D157"/>
      <c r="E157"/>
    </row>
    <row r="158" spans="1:25" x14ac:dyDescent="0.25">
      <c r="A158" s="30">
        <v>2.9408349370551395E-2</v>
      </c>
      <c r="B158"/>
      <c r="C158"/>
      <c r="D158"/>
      <c r="E158"/>
    </row>
    <row r="159" spans="1:25" x14ac:dyDescent="0.25">
      <c r="A159" s="30">
        <v>2.6734863064137627E-2</v>
      </c>
      <c r="B159"/>
      <c r="C159"/>
      <c r="D159"/>
      <c r="E159"/>
    </row>
    <row r="160" spans="1:2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27" operator="equal">
      <formula>$U$1</formula>
    </cfRule>
    <cfRule type="cellIs" dxfId="30" priority="1128" operator="equal">
      <formula>$S$1</formula>
    </cfRule>
  </conditionalFormatting>
  <conditionalFormatting sqref="D136">
    <cfRule type="cellIs" dxfId="29" priority="1125" operator="equal">
      <formula>$S$1</formula>
    </cfRule>
    <cfRule type="cellIs" dxfId="28" priority="1126" operator="equal">
      <formula>$U$1</formula>
    </cfRule>
  </conditionalFormatting>
  <conditionalFormatting sqref="C102">
    <cfRule type="cellIs" dxfId="27" priority="1123" operator="equal">
      <formula>$U$1</formula>
    </cfRule>
    <cfRule type="cellIs" dxfId="26" priority="1124" operator="equal">
      <formula>$S$1</formula>
    </cfRule>
  </conditionalFormatting>
  <conditionalFormatting sqref="D102">
    <cfRule type="cellIs" dxfId="25" priority="1121" operator="equal">
      <formula>$S$1</formula>
    </cfRule>
    <cfRule type="cellIs" dxfId="24" priority="1122" operator="equal">
      <formula>$U$1</formula>
    </cfRule>
  </conditionalFormatting>
  <conditionalFormatting sqref="C77">
    <cfRule type="cellIs" dxfId="23" priority="1119" operator="equal">
      <formula>$U$1</formula>
    </cfRule>
    <cfRule type="cellIs" dxfId="22" priority="1120" operator="equal">
      <formula>$S$1</formula>
    </cfRule>
  </conditionalFormatting>
  <conditionalFormatting sqref="D77">
    <cfRule type="cellIs" dxfId="21" priority="1117" operator="equal">
      <formula>$S$1</formula>
    </cfRule>
    <cfRule type="cellIs" dxfId="20" priority="1118" operator="equal">
      <formula>$U$1</formula>
    </cfRule>
  </conditionalFormatting>
  <conditionalFormatting sqref="C52">
    <cfRule type="cellIs" dxfId="19" priority="1115" operator="equal">
      <formula>$U$1</formula>
    </cfRule>
    <cfRule type="cellIs" dxfId="18" priority="1116" operator="equal">
      <formula>$S$1</formula>
    </cfRule>
  </conditionalFormatting>
  <conditionalFormatting sqref="D52">
    <cfRule type="cellIs" dxfId="17" priority="1113" operator="equal">
      <formula>$S$1</formula>
    </cfRule>
    <cfRule type="cellIs" dxfId="16" priority="1114" operator="equal">
      <formula>$U$1</formula>
    </cfRule>
  </conditionalFormatting>
  <conditionalFormatting sqref="C26">
    <cfRule type="cellIs" dxfId="15" priority="1111" operator="equal">
      <formula>$U$1</formula>
    </cfRule>
    <cfRule type="cellIs" dxfId="14" priority="1112" operator="equal">
      <formula>$S$1</formula>
    </cfRule>
  </conditionalFormatting>
  <conditionalFormatting sqref="D26">
    <cfRule type="cellIs" dxfId="13" priority="1109" operator="equal">
      <formula>$S$1</formula>
    </cfRule>
    <cfRule type="cellIs" dxfId="12" priority="111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2022-01-28T01:23:07Z</dcterms:modified>
</cp:coreProperties>
</file>