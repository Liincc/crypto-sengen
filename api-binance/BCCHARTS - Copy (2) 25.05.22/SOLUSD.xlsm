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83CD655-730A-46F2-8108-6D3BA004ED7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5"/>
  <c r="C122" i="4"/>
  <c r="C133" i="4" s="1"/>
  <c r="D136" i="4" s="1"/>
  <c r="R765" i="1"/>
  <c r="S765" i="1" s="1"/>
  <c r="T765" i="1" s="1"/>
  <c r="C118" i="4"/>
  <c r="C116" i="4"/>
  <c r="C118" i="3"/>
  <c r="C122" i="3"/>
  <c r="C133" i="3" s="1"/>
  <c r="D136" i="3" s="1"/>
  <c r="D136" i="5" l="1"/>
  <c r="C138" i="5" s="1"/>
  <c r="R764" i="1"/>
  <c r="R763" i="1" s="1"/>
  <c r="C136" i="4"/>
  <c r="C138" i="4" s="1"/>
  <c r="S764" i="1"/>
  <c r="T764" i="1" s="1"/>
  <c r="C136" i="3"/>
  <c r="C138" i="3" s="1"/>
  <c r="S763" i="1" l="1"/>
  <c r="T763" i="1" s="1"/>
  <c r="R762" i="1"/>
  <c r="S762" i="1" l="1"/>
  <c r="T762" i="1" s="1"/>
  <c r="R761" i="1"/>
  <c r="S761" i="1" l="1"/>
  <c r="T761" i="1" s="1"/>
  <c r="R760" i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S121" i="1" l="1"/>
  <c r="T121" i="1" s="1"/>
  <c r="R120" i="1"/>
  <c r="R119" i="1" l="1"/>
  <c r="S120" i="1"/>
  <c r="T120" i="1" s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<sst xmlns="http://schemas.openxmlformats.org/spreadsheetml/2006/main" count="5709" uniqueCount="34">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</sst>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89.56</c:v>
                </c:pt>
                <c:pt idx="1">
                  <c:v>92.12</c:v>
                </c:pt>
                <c:pt idx="2">
                  <c:v>94.67</c:v>
                </c:pt>
                <c:pt idx="3">
                  <c:v>91.93</c:v>
                </c:pt>
                <c:pt idx="4">
                  <c:v>99.78</c:v>
                </c:pt>
                <c:pt idx="5">
                  <c:v>94.54</c:v>
                </c:pt>
                <c:pt idx="6">
                  <c:v>112.27</c:v>
                </c:pt>
                <c:pt idx="7">
                  <c:v>127.54</c:v>
                </c:pt>
                <c:pt idx="8">
                  <c:v>135.25</c:v>
                </c:pt>
                <c:pt idx="9">
                  <c:v>141.18</c:v>
                </c:pt>
                <c:pt idx="10">
                  <c:v>139.80000000000001</c:v>
                </c:pt>
                <c:pt idx="11">
                  <c:v>147.97999999999999</c:v>
                </c:pt>
                <c:pt idx="12">
                  <c:v>147.63999999999999</c:v>
                </c:pt>
                <c:pt idx="13">
                  <c:v>146.16999999999999</c:v>
                </c:pt>
                <c:pt idx="14">
                  <c:v>146.13999999999999</c:v>
                </c:pt>
                <c:pt idx="15">
                  <c:v>151.51</c:v>
                </c:pt>
                <c:pt idx="16">
                  <c:v>140.19999999999999</c:v>
                </c:pt>
                <c:pt idx="17">
                  <c:v>135.86000000000001</c:v>
                </c:pt>
                <c:pt idx="18">
                  <c:v>140.82</c:v>
                </c:pt>
                <c:pt idx="19">
                  <c:v>142.13999999999999</c:v>
                </c:pt>
                <c:pt idx="20">
                  <c:v>136.44999999999999</c:v>
                </c:pt>
                <c:pt idx="21">
                  <c:v>150.26</c:v>
                </c:pt>
                <c:pt idx="22">
                  <c:v>154.52000000000001</c:v>
                </c:pt>
                <c:pt idx="23">
                  <c:v>167.72</c:v>
                </c:pt>
                <c:pt idx="24">
                  <c:v>170.15</c:v>
                </c:pt>
                <c:pt idx="25">
                  <c:v>176.35</c:v>
                </c:pt>
                <c:pt idx="26">
                  <c:v>179.06</c:v>
                </c:pt>
                <c:pt idx="27">
                  <c:v>169.99</c:v>
                </c:pt>
                <c:pt idx="28">
                  <c:v>172.52</c:v>
                </c:pt>
                <c:pt idx="29">
                  <c:v>170.63</c:v>
                </c:pt>
                <c:pt idx="30">
                  <c:v>177.32</c:v>
                </c:pt>
                <c:pt idx="31">
                  <c:v>195.67</c:v>
                </c:pt>
                <c:pt idx="32">
                  <c:v>197.81</c:v>
                </c:pt>
                <c:pt idx="33">
                  <c:v>193.1</c:v>
                </c:pt>
                <c:pt idx="34">
                  <c:v>190.36</c:v>
                </c:pt>
                <c:pt idx="35">
                  <c:v>190.03</c:v>
                </c:pt>
                <c:pt idx="36">
                  <c:v>178.4</c:v>
                </c:pt>
                <c:pt idx="37">
                  <c:v>179.63</c:v>
                </c:pt>
                <c:pt idx="38">
                  <c:v>173.9</c:v>
                </c:pt>
                <c:pt idx="39">
                  <c:v>179.93</c:v>
                </c:pt>
                <c:pt idx="40">
                  <c:v>182.78</c:v>
                </c:pt>
                <c:pt idx="41">
                  <c:v>175.51</c:v>
                </c:pt>
                <c:pt idx="42">
                  <c:v>176.86</c:v>
                </c:pt>
                <c:pt idx="43">
                  <c:v>178.52</c:v>
                </c:pt>
                <c:pt idx="44">
                  <c:v>161.26</c:v>
                </c:pt>
                <c:pt idx="45">
                  <c:v>155.21</c:v>
                </c:pt>
                <c:pt idx="46">
                  <c:v>172.8</c:v>
                </c:pt>
                <c:pt idx="47">
                  <c:v>167.47</c:v>
                </c:pt>
                <c:pt idx="48">
                  <c:v>167.39</c:v>
                </c:pt>
                <c:pt idx="49">
                  <c:v>181.11</c:v>
                </c:pt>
                <c:pt idx="50">
                  <c:v>194.61</c:v>
                </c:pt>
                <c:pt idx="51">
                  <c:v>190.19</c:v>
                </c:pt>
                <c:pt idx="52">
                  <c:v>193.56</c:v>
                </c:pt>
                <c:pt idx="53">
                  <c:v>196.43</c:v>
                </c:pt>
                <c:pt idx="54">
                  <c:v>200.67</c:v>
                </c:pt>
                <c:pt idx="55">
                  <c:v>211.65</c:v>
                </c:pt>
                <c:pt idx="56">
                  <c:v>233.6</c:v>
                </c:pt>
                <c:pt idx="57">
                  <c:v>229.81</c:v>
                </c:pt>
                <c:pt idx="58">
                  <c:v>208.53</c:v>
                </c:pt>
                <c:pt idx="59">
                  <c:v>204.09</c:v>
                </c:pt>
                <c:pt idx="60">
                  <c:v>200.69</c:v>
                </c:pt>
                <c:pt idx="61">
                  <c:v>192.74</c:v>
                </c:pt>
                <c:pt idx="62">
                  <c:v>192.42</c:v>
                </c:pt>
                <c:pt idx="63">
                  <c:v>209.97</c:v>
                </c:pt>
                <c:pt idx="64">
                  <c:v>216.98</c:v>
                </c:pt>
                <c:pt idx="65">
                  <c:v>221.75</c:v>
                </c:pt>
                <c:pt idx="66">
                  <c:v>215.59</c:v>
                </c:pt>
                <c:pt idx="67">
                  <c:v>230.51</c:v>
                </c:pt>
                <c:pt idx="68">
                  <c:v>217.63</c:v>
                </c:pt>
                <c:pt idx="69">
                  <c:v>215.25</c:v>
                </c:pt>
                <c:pt idx="70">
                  <c:v>195.01</c:v>
                </c:pt>
                <c:pt idx="71">
                  <c:v>218.94</c:v>
                </c:pt>
                <c:pt idx="72">
                  <c:v>219.04</c:v>
                </c:pt>
                <c:pt idx="73">
                  <c:v>238.2</c:v>
                </c:pt>
                <c:pt idx="74">
                  <c:v>238.64</c:v>
                </c:pt>
                <c:pt idx="75">
                  <c:v>241.59</c:v>
                </c:pt>
                <c:pt idx="76">
                  <c:v>228.48</c:v>
                </c:pt>
                <c:pt idx="77">
                  <c:v>233.37</c:v>
                </c:pt>
                <c:pt idx="78">
                  <c:v>233.09</c:v>
                </c:pt>
                <c:pt idx="79">
                  <c:v>239.04</c:v>
                </c:pt>
                <c:pt idx="80">
                  <c:v>248.26</c:v>
                </c:pt>
                <c:pt idx="81">
                  <c:v>249.68</c:v>
                </c:pt>
                <c:pt idx="82">
                  <c:v>258.44</c:v>
                </c:pt>
                <c:pt idx="83">
                  <c:v>236.06</c:v>
                </c:pt>
                <c:pt idx="84">
                  <c:v>247.07</c:v>
                </c:pt>
                <c:pt idx="85">
                  <c:v>243.37</c:v>
                </c:pt>
                <c:pt idx="86">
                  <c:v>220.82</c:v>
                </c:pt>
                <c:pt idx="87">
                  <c:v>203.9</c:v>
                </c:pt>
                <c:pt idx="88">
                  <c:v>202.49</c:v>
                </c:pt>
                <c:pt idx="89">
                  <c:v>195.7</c:v>
                </c:pt>
                <c:pt idx="90">
                  <c:v>200.41</c:v>
                </c:pt>
                <c:pt idx="91">
                  <c:v>195.42</c:v>
                </c:pt>
                <c:pt idx="92">
                  <c:v>184.49</c:v>
                </c:pt>
                <c:pt idx="93">
                  <c:v>199.85</c:v>
                </c:pt>
                <c:pt idx="94">
                  <c:v>209.7</c:v>
                </c:pt>
                <c:pt idx="95">
                  <c:v>202.14</c:v>
                </c:pt>
                <c:pt idx="96">
                  <c:v>197.75</c:v>
                </c:pt>
                <c:pt idx="97">
                  <c:v>196.29</c:v>
                </c:pt>
                <c:pt idx="98">
                  <c:v>190.5</c:v>
                </c:pt>
                <c:pt idx="99">
                  <c:v>176.72</c:v>
                </c:pt>
                <c:pt idx="100">
                  <c:v>155.78</c:v>
                </c:pt>
                <c:pt idx="101">
                  <c:v>157.12</c:v>
                </c:pt>
                <c:pt idx="102">
                  <c:v>160.12</c:v>
                </c:pt>
                <c:pt idx="103">
                  <c:v>157.54</c:v>
                </c:pt>
                <c:pt idx="104">
                  <c:v>163.18</c:v>
                </c:pt>
                <c:pt idx="105">
                  <c:v>150.02000000000001</c:v>
                </c:pt>
                <c:pt idx="106">
                  <c:v>148.04</c:v>
                </c:pt>
                <c:pt idx="107">
                  <c:v>152.32</c:v>
                </c:pt>
                <c:pt idx="108">
                  <c:v>144.77000000000001</c:v>
                </c:pt>
                <c:pt idx="109">
                  <c:v>147.55000000000001</c:v>
                </c:pt>
                <c:pt idx="110">
                  <c:v>156.84</c:v>
                </c:pt>
                <c:pt idx="111">
                  <c:v>158.86000000000001</c:v>
                </c:pt>
                <c:pt idx="112">
                  <c:v>154.26</c:v>
                </c:pt>
                <c:pt idx="113">
                  <c:v>153.87</c:v>
                </c:pt>
                <c:pt idx="114">
                  <c:v>164.62</c:v>
                </c:pt>
                <c:pt idx="115">
                  <c:v>167.49</c:v>
                </c:pt>
                <c:pt idx="116">
                  <c:v>173.21</c:v>
                </c:pt>
                <c:pt idx="117">
                  <c:v>168.98</c:v>
                </c:pt>
                <c:pt idx="118">
                  <c:v>161.56</c:v>
                </c:pt>
                <c:pt idx="119">
                  <c:v>141.37</c:v>
                </c:pt>
                <c:pt idx="120">
                  <c:v>135.25</c:v>
                </c:pt>
                <c:pt idx="121">
                  <c:v>132.19999999999999</c:v>
                </c:pt>
                <c:pt idx="122">
                  <c:v>136.35</c:v>
                </c:pt>
                <c:pt idx="123">
                  <c:v>135.63999999999999</c:v>
                </c:pt>
                <c:pt idx="124">
                  <c:v>136.06</c:v>
                </c:pt>
                <c:pt idx="125">
                  <c:v>139.13</c:v>
                </c:pt>
                <c:pt idx="126">
                  <c:v>149.91</c:v>
                </c:pt>
                <c:pt idx="127">
                  <c:v>148.02000000000001</c:v>
                </c:pt>
                <c:pt idx="128">
                  <c:v>124.29</c:v>
                </c:pt>
                <c:pt idx="129">
                  <c:v>141.6</c:v>
                </c:pt>
                <c:pt idx="130">
                  <c:v>152.76</c:v>
                </c:pt>
                <c:pt idx="131">
                  <c:v>169.22</c:v>
                </c:pt>
                <c:pt idx="132">
                  <c:v>147.58000000000001</c:v>
                </c:pt>
                <c:pt idx="133">
                  <c:v>152.29</c:v>
                </c:pt>
                <c:pt idx="134">
                  <c:v>158.79</c:v>
                </c:pt>
                <c:pt idx="135">
                  <c:v>158.88</c:v>
                </c:pt>
                <c:pt idx="136">
                  <c:v>169.53</c:v>
                </c:pt>
                <c:pt idx="137">
                  <c:v>174.29</c:v>
                </c:pt>
                <c:pt idx="138">
                  <c:v>179.04</c:v>
                </c:pt>
                <c:pt idx="139">
                  <c:v>179.6</c:v>
                </c:pt>
                <c:pt idx="140">
                  <c:v>187.9</c:v>
                </c:pt>
                <c:pt idx="141">
                  <c:v>191.02</c:v>
                </c:pt>
                <c:pt idx="142">
                  <c:v>173.46</c:v>
                </c:pt>
                <c:pt idx="143">
                  <c:v>164.22</c:v>
                </c:pt>
                <c:pt idx="144">
                  <c:v>142</c:v>
                </c:pt>
                <c:pt idx="145">
                  <c:v>138.88</c:v>
                </c:pt>
                <c:pt idx="146">
                  <c:v>146.4</c:v>
                </c:pt>
                <c:pt idx="147">
                  <c:v>128.22999999999999</c:v>
                </c:pt>
                <c:pt idx="148">
                  <c:v>110.71</c:v>
                </c:pt>
                <c:pt idx="149">
                  <c:v>108.27</c:v>
                </c:pt>
                <c:pt idx="150">
                  <c:v>110.25</c:v>
                </c:pt>
                <c:pt idx="151">
                  <c:v>94.23</c:v>
                </c:pt>
                <c:pt idx="152">
                  <c:v>96.22</c:v>
                </c:pt>
                <c:pt idx="153">
                  <c:v>87.98</c:v>
                </c:pt>
                <c:pt idx="154">
                  <c:v>74.92</c:v>
                </c:pt>
                <c:pt idx="155">
                  <c:v>71.972999999999999</c:v>
                </c:pt>
                <c:pt idx="156">
                  <c:v>70.527000000000001</c:v>
                </c:pt>
                <c:pt idx="157">
                  <c:v>75.623000000000005</c:v>
                </c:pt>
                <c:pt idx="158">
                  <c:v>74.75</c:v>
                </c:pt>
                <c:pt idx="159">
                  <c:v>73.801000000000002</c:v>
                </c:pt>
                <c:pt idx="160">
                  <c:v>78.643000000000001</c:v>
                </c:pt>
                <c:pt idx="161">
                  <c:v>72.763999999999996</c:v>
                </c:pt>
                <c:pt idx="162">
                  <c:v>72.662999999999997</c:v>
                </c:pt>
                <c:pt idx="163">
                  <c:v>64.123000000000005</c:v>
                </c:pt>
                <c:pt idx="164">
                  <c:v>62.015999999999998</c:v>
                </c:pt>
                <c:pt idx="165">
                  <c:v>53.530999999999999</c:v>
                </c:pt>
                <c:pt idx="166">
                  <c:v>44.14</c:v>
                </c:pt>
                <c:pt idx="167">
                  <c:v>44.83</c:v>
                </c:pt>
                <c:pt idx="168">
                  <c:v>41.101999999999997</c:v>
                </c:pt>
                <c:pt idx="169">
                  <c:v>41.621000000000002</c:v>
                </c:pt>
                <c:pt idx="170">
                  <c:v>40.64</c:v>
                </c:pt>
                <c:pt idx="171">
                  <c:v>38.646000000000001</c:v>
                </c:pt>
                <c:pt idx="172">
                  <c:v>37.65</c:v>
                </c:pt>
                <c:pt idx="173">
                  <c:v>39.469000000000001</c:v>
                </c:pt>
                <c:pt idx="174">
                  <c:v>39.524999999999999</c:v>
                </c:pt>
                <c:pt idx="175">
                  <c:v>37.353000000000002</c:v>
                </c:pt>
                <c:pt idx="176">
                  <c:v>35.76</c:v>
                </c:pt>
                <c:pt idx="177">
                  <c:v>34.104999999999997</c:v>
                </c:pt>
                <c:pt idx="178">
                  <c:v>33.167000000000002</c:v>
                </c:pt>
                <c:pt idx="179">
                  <c:v>34.164999999999999</c:v>
                </c:pt>
                <c:pt idx="180">
                  <c:v>36.744</c:v>
                </c:pt>
                <c:pt idx="181">
                  <c:v>32.353999999999999</c:v>
                </c:pt>
                <c:pt idx="182">
                  <c:v>31.234999999999999</c:v>
                </c:pt>
                <c:pt idx="183">
                  <c:v>27.875</c:v>
                </c:pt>
                <c:pt idx="184">
                  <c:v>28.103000000000002</c:v>
                </c:pt>
                <c:pt idx="185">
                  <c:v>28.184000000000001</c:v>
                </c:pt>
                <c:pt idx="186">
                  <c:v>28.248000000000001</c:v>
                </c:pt>
                <c:pt idx="187">
                  <c:v>28.616</c:v>
                </c:pt>
                <c:pt idx="188">
                  <c:v>28.515999999999998</c:v>
                </c:pt>
                <c:pt idx="189">
                  <c:v>27.699000000000002</c:v>
                </c:pt>
                <c:pt idx="190">
                  <c:v>26.7</c:v>
                </c:pt>
                <c:pt idx="191">
                  <c:v>23.474</c:v>
                </c:pt>
                <c:pt idx="192">
                  <c:v>24.509</c:v>
                </c:pt>
                <c:pt idx="193">
                  <c:v>26.672999999999998</c:v>
                </c:pt>
                <c:pt idx="194">
                  <c:v>26.802</c:v>
                </c:pt>
                <c:pt idx="195">
                  <c:v>26.271000000000001</c:v>
                </c:pt>
                <c:pt idx="196">
                  <c:v>28.545000000000002</c:v>
                </c:pt>
                <c:pt idx="197">
                  <c:v>31.364999999999998</c:v>
                </c:pt>
                <c:pt idx="198">
                  <c:v>29.135999999999999</c:v>
                </c:pt>
                <c:pt idx="199">
                  <c:v>30.77</c:v>
                </c:pt>
                <c:pt idx="200">
                  <c:v>32.182000000000002</c:v>
                </c:pt>
                <c:pt idx="201">
                  <c:v>31.693000000000001</c:v>
                </c:pt>
                <c:pt idx="202">
                  <c:v>33.314999999999998</c:v>
                </c:pt>
                <c:pt idx="203">
                  <c:v>33.142000000000003</c:v>
                </c:pt>
                <c:pt idx="204">
                  <c:v>36.673000000000002</c:v>
                </c:pt>
                <c:pt idx="205">
                  <c:v>34.225999999999999</c:v>
                </c:pt>
                <c:pt idx="206">
                  <c:v>32.908000000000001</c:v>
                </c:pt>
                <c:pt idx="207">
                  <c:v>34.28</c:v>
                </c:pt>
                <c:pt idx="208">
                  <c:v>34.497999999999998</c:v>
                </c:pt>
                <c:pt idx="209">
                  <c:v>34</c:v>
                </c:pt>
                <c:pt idx="210">
                  <c:v>33.271000000000001</c:v>
                </c:pt>
                <c:pt idx="211">
                  <c:v>35.51</c:v>
                </c:pt>
                <c:pt idx="212">
                  <c:v>33.97</c:v>
                </c:pt>
                <c:pt idx="213">
                  <c:v>33.000999999999998</c:v>
                </c:pt>
                <c:pt idx="214">
                  <c:v>31.896999999999998</c:v>
                </c:pt>
                <c:pt idx="215">
                  <c:v>29.698</c:v>
                </c:pt>
                <c:pt idx="216">
                  <c:v>28.640999999999998</c:v>
                </c:pt>
                <c:pt idx="217">
                  <c:v>31.140999999999998</c:v>
                </c:pt>
                <c:pt idx="218">
                  <c:v>30.837</c:v>
                </c:pt>
                <c:pt idx="219">
                  <c:v>26.957999999999998</c:v>
                </c:pt>
                <c:pt idx="220">
                  <c:v>26.59</c:v>
                </c:pt>
                <c:pt idx="221">
                  <c:v>35.256999999999998</c:v>
                </c:pt>
                <c:pt idx="222">
                  <c:v>35.19</c:v>
                </c:pt>
                <c:pt idx="223">
                  <c:v>36.82</c:v>
                </c:pt>
                <c:pt idx="224">
                  <c:v>39.265000000000001</c:v>
                </c:pt>
                <c:pt idx="225">
                  <c:v>39.728000000000002</c:v>
                </c:pt>
                <c:pt idx="226">
                  <c:v>39.536000000000001</c:v>
                </c:pt>
                <c:pt idx="227">
                  <c:v>39.694000000000003</c:v>
                </c:pt>
                <c:pt idx="228">
                  <c:v>38.706000000000003</c:v>
                </c:pt>
                <c:pt idx="229">
                  <c:v>36.475999999999999</c:v>
                </c:pt>
                <c:pt idx="230">
                  <c:v>36.156999999999996</c:v>
                </c:pt>
                <c:pt idx="231">
                  <c:v>41.104999999999997</c:v>
                </c:pt>
                <c:pt idx="232">
                  <c:v>42.031999999999996</c:v>
                </c:pt>
                <c:pt idx="233">
                  <c:v>41.244999999999997</c:v>
                </c:pt>
                <c:pt idx="234">
                  <c:v>38.234999999999999</c:v>
                </c:pt>
                <c:pt idx="235">
                  <c:v>42.204999999999998</c:v>
                </c:pt>
                <c:pt idx="236">
                  <c:v>39.633000000000003</c:v>
                </c:pt>
                <c:pt idx="237">
                  <c:v>37.338000000000001</c:v>
                </c:pt>
                <c:pt idx="238">
                  <c:v>39.601999999999997</c:v>
                </c:pt>
                <c:pt idx="239">
                  <c:v>33.994</c:v>
                </c:pt>
                <c:pt idx="240">
                  <c:v>30.937999999999999</c:v>
                </c:pt>
                <c:pt idx="241">
                  <c:v>32.75</c:v>
                </c:pt>
                <c:pt idx="242">
                  <c:v>28.588000000000001</c:v>
                </c:pt>
                <c:pt idx="243">
                  <c:v>27.388000000000002</c:v>
                </c:pt>
                <c:pt idx="244">
                  <c:v>28.989000000000001</c:v>
                </c:pt>
                <c:pt idx="245">
                  <c:v>33.747</c:v>
                </c:pt>
                <c:pt idx="246">
                  <c:v>35.43</c:v>
                </c:pt>
                <c:pt idx="247">
                  <c:v>29.972999999999999</c:v>
                </c:pt>
                <c:pt idx="248">
                  <c:v>31.416</c:v>
                </c:pt>
                <c:pt idx="249">
                  <c:v>24.536000000000001</c:v>
                </c:pt>
                <c:pt idx="250">
                  <c:v>31.222000000000001</c:v>
                </c:pt>
                <c:pt idx="251">
                  <c:v>38.924999999999997</c:v>
                </c:pt>
                <c:pt idx="252">
                  <c:v>44.42</c:v>
                </c:pt>
                <c:pt idx="253">
                  <c:v>34.988</c:v>
                </c:pt>
                <c:pt idx="254">
                  <c:v>55.976999999999997</c:v>
                </c:pt>
                <c:pt idx="255">
                  <c:v>46.707999999999998</c:v>
                </c:pt>
                <c:pt idx="256">
                  <c:v>46.85</c:v>
                </c:pt>
                <c:pt idx="257">
                  <c:v>43.485999999999997</c:v>
                </c:pt>
                <c:pt idx="258">
                  <c:v>42.7</c:v>
                </c:pt>
                <c:pt idx="259">
                  <c:v>41.048999999999999</c:v>
                </c:pt>
                <c:pt idx="260">
                  <c:v>43.709000000000003</c:v>
                </c:pt>
                <c:pt idx="261">
                  <c:v>44.537999999999997</c:v>
                </c:pt>
                <c:pt idx="262">
                  <c:v>42.853999999999999</c:v>
                </c:pt>
                <c:pt idx="263">
                  <c:v>44.33</c:v>
                </c:pt>
                <c:pt idx="264">
                  <c:v>45.612000000000002</c:v>
                </c:pt>
                <c:pt idx="265">
                  <c:v>43.182000000000002</c:v>
                </c:pt>
                <c:pt idx="266">
                  <c:v>43.496000000000002</c:v>
                </c:pt>
                <c:pt idx="267">
                  <c:v>44.98</c:v>
                </c:pt>
                <c:pt idx="268">
                  <c:v>42.636000000000003</c:v>
                </c:pt>
                <c:pt idx="269">
                  <c:v>45.911999999999999</c:v>
                </c:pt>
                <c:pt idx="270">
                  <c:v>46.896999999999998</c:v>
                </c:pt>
                <c:pt idx="271">
                  <c:v>49.67</c:v>
                </c:pt>
                <c:pt idx="272">
                  <c:v>42.786000000000001</c:v>
                </c:pt>
                <c:pt idx="273">
                  <c:v>42.484000000000002</c:v>
                </c:pt>
                <c:pt idx="274">
                  <c:v>44.832999999999998</c:v>
                </c:pt>
                <c:pt idx="275">
                  <c:v>43.146999999999998</c:v>
                </c:pt>
                <c:pt idx="276">
                  <c:v>43.878</c:v>
                </c:pt>
                <c:pt idx="277">
                  <c:v>47.405000000000001</c:v>
                </c:pt>
                <c:pt idx="278">
                  <c:v>40.8401</c:v>
                </c:pt>
                <c:pt idx="279">
                  <c:v>37.389299999999999</c:v>
                </c:pt>
                <c:pt idx="280">
                  <c:v>38.9</c:v>
                </c:pt>
                <c:pt idx="281">
                  <c:v>32.553400000000003</c:v>
                </c:pt>
                <c:pt idx="282">
                  <c:v>31.7028</c:v>
                </c:pt>
                <c:pt idx="283">
                  <c:v>31.4711</c:v>
                </c:pt>
                <c:pt idx="284">
                  <c:v>32.335799999999999</c:v>
                </c:pt>
                <c:pt idx="285">
                  <c:v>24.85</c:v>
                </c:pt>
                <c:pt idx="286">
                  <c:v>25.299600000000002</c:v>
                </c:pt>
                <c:pt idx="287">
                  <c:v>27.781600000000001</c:v>
                </c:pt>
                <c:pt idx="288">
                  <c:v>26.406700000000001</c:v>
                </c:pt>
                <c:pt idx="289">
                  <c:v>27.450700000000001</c:v>
                </c:pt>
                <c:pt idx="290">
                  <c:v>28.542400000000001</c:v>
                </c:pt>
                <c:pt idx="291">
                  <c:v>27.851700000000001</c:v>
                </c:pt>
                <c:pt idx="292">
                  <c:v>26.802099999999999</c:v>
                </c:pt>
                <c:pt idx="293">
                  <c:v>27.6172</c:v>
                </c:pt>
                <c:pt idx="294">
                  <c:v>26.938400000000001</c:v>
                </c:pt>
                <c:pt idx="295">
                  <c:v>26.538499999999999</c:v>
                </c:pt>
                <c:pt idx="296">
                  <c:v>25.0548</c:v>
                </c:pt>
                <c:pt idx="297">
                  <c:v>22.971699999999998</c:v>
                </c:pt>
                <c:pt idx="298">
                  <c:v>23.775500000000001</c:v>
                </c:pt>
                <c:pt idx="299">
                  <c:v>22.5</c:v>
                </c:pt>
                <c:pt idx="300">
                  <c:v>19.7501</c:v>
                </c:pt>
                <c:pt idx="301">
                  <c:v>19.0443</c:v>
                </c:pt>
                <c:pt idx="302">
                  <c:v>19.386099999999999</c:v>
                </c:pt>
                <c:pt idx="303">
                  <c:v>19.0685</c:v>
                </c:pt>
                <c:pt idx="304">
                  <c:v>18.950399999999998</c:v>
                </c:pt>
                <c:pt idx="305">
                  <c:v>18.064499999999999</c:v>
                </c:pt>
                <c:pt idx="306">
                  <c:v>16.4589</c:v>
                </c:pt>
                <c:pt idx="307">
                  <c:v>14.766400000000001</c:v>
                </c:pt>
                <c:pt idx="308">
                  <c:v>12.9787</c:v>
                </c:pt>
                <c:pt idx="309">
                  <c:v>13.597300000000001</c:v>
                </c:pt>
                <c:pt idx="310">
                  <c:v>14.155200000000001</c:v>
                </c:pt>
                <c:pt idx="311">
                  <c:v>14.7964</c:v>
                </c:pt>
                <c:pt idx="312">
                  <c:v>14.337199999999999</c:v>
                </c:pt>
                <c:pt idx="313">
                  <c:v>14.189399999999999</c:v>
                </c:pt>
                <c:pt idx="314">
                  <c:v>14.155200000000001</c:v>
                </c:pt>
                <c:pt idx="315">
                  <c:v>14.204000000000001</c:v>
                </c:pt>
                <c:pt idx="316">
                  <c:v>14.2018</c:v>
                </c:pt>
                <c:pt idx="317">
                  <c:v>13.639200000000001</c:v>
                </c:pt>
                <c:pt idx="318">
                  <c:v>14.1577</c:v>
                </c:pt>
                <c:pt idx="319">
                  <c:v>14.4605</c:v>
                </c:pt>
                <c:pt idx="320">
                  <c:v>15.3033</c:v>
                </c:pt>
                <c:pt idx="321">
                  <c:v>14.559699999999999</c:v>
                </c:pt>
                <c:pt idx="322">
                  <c:v>16.030999999999999</c:v>
                </c:pt>
                <c:pt idx="323">
                  <c:v>14.204800000000001</c:v>
                </c:pt>
                <c:pt idx="324">
                  <c:v>14.839</c:v>
                </c:pt>
                <c:pt idx="325">
                  <c:v>13.6028</c:v>
                </c:pt>
                <c:pt idx="326">
                  <c:v>13.817399999999999</c:v>
                </c:pt>
                <c:pt idx="327">
                  <c:v>13.0421</c:v>
                </c:pt>
                <c:pt idx="328">
                  <c:v>12.5382</c:v>
                </c:pt>
                <c:pt idx="329">
                  <c:v>13.050800000000001</c:v>
                </c:pt>
                <c:pt idx="330">
                  <c:v>14.074199999999999</c:v>
                </c:pt>
                <c:pt idx="331">
                  <c:v>13.9438</c:v>
                </c:pt>
                <c:pt idx="332">
                  <c:v>14.9855</c:v>
                </c:pt>
                <c:pt idx="333">
                  <c:v>13.088699999999999</c:v>
                </c:pt>
                <c:pt idx="334">
                  <c:v>13.191599999999999</c:v>
                </c:pt>
                <c:pt idx="335">
                  <c:v>13.5962</c:v>
                </c:pt>
                <c:pt idx="336">
                  <c:v>13.844200000000001</c:v>
                </c:pt>
                <c:pt idx="337">
                  <c:v>17.1691</c:v>
                </c:pt>
                <c:pt idx="338">
                  <c:v>15.224399999999999</c:v>
                </c:pt>
                <c:pt idx="339">
                  <c:v>14.4191</c:v>
                </c:pt>
                <c:pt idx="340">
                  <c:v>11.0753</c:v>
                </c:pt>
                <c:pt idx="341">
                  <c:v>9.9869000000000003</c:v>
                </c:pt>
                <c:pt idx="342">
                  <c:v>11.491199999999999</c:v>
                </c:pt>
                <c:pt idx="343">
                  <c:v>8.9771000000000001</c:v>
                </c:pt>
                <c:pt idx="344">
                  <c:v>8.2356999999999996</c:v>
                </c:pt>
                <c:pt idx="345">
                  <c:v>8.3002000000000002</c:v>
                </c:pt>
                <c:pt idx="346">
                  <c:v>8.8515999999999995</c:v>
                </c:pt>
                <c:pt idx="347">
                  <c:v>8.7157999999999998</c:v>
                </c:pt>
                <c:pt idx="348">
                  <c:v>8.7440999999999995</c:v>
                </c:pt>
                <c:pt idx="349">
                  <c:v>9.1999999999999993</c:v>
                </c:pt>
                <c:pt idx="350">
                  <c:v>9.2004000000000001</c:v>
                </c:pt>
                <c:pt idx="351">
                  <c:v>9.09</c:v>
                </c:pt>
                <c:pt idx="352">
                  <c:v>7.8005000000000004</c:v>
                </c:pt>
                <c:pt idx="353">
                  <c:v>7.8550000000000004</c:v>
                </c:pt>
                <c:pt idx="354">
                  <c:v>6.6976000000000004</c:v>
                </c:pt>
                <c:pt idx="355">
                  <c:v>6.1224999999999996</c:v>
                </c:pt>
                <c:pt idx="356">
                  <c:v>6.7004999999999999</c:v>
                </c:pt>
                <c:pt idx="357">
                  <c:v>6.4085000000000001</c:v>
                </c:pt>
                <c:pt idx="358">
                  <c:v>5.7310999999999996</c:v>
                </c:pt>
                <c:pt idx="359">
                  <c:v>5.2331000000000003</c:v>
                </c:pt>
                <c:pt idx="360">
                  <c:v>4.6147999999999998</c:v>
                </c:pt>
                <c:pt idx="361">
                  <c:v>4.2525000000000004</c:v>
                </c:pt>
                <c:pt idx="362">
                  <c:v>4.2279999999999998</c:v>
                </c:pt>
                <c:pt idx="363">
                  <c:v>3.8292999999999999</c:v>
                </c:pt>
                <c:pt idx="364">
                  <c:v>3.81</c:v>
                </c:pt>
                <c:pt idx="365">
                  <c:v>3.6749999999999998</c:v>
                </c:pt>
                <c:pt idx="366">
                  <c:v>4.0410000000000004</c:v>
                </c:pt>
                <c:pt idx="367">
                  <c:v>3.7038000000000002</c:v>
                </c:pt>
                <c:pt idx="368">
                  <c:v>3.6278000000000001</c:v>
                </c:pt>
                <c:pt idx="369">
                  <c:v>3.5078999999999998</c:v>
                </c:pt>
                <c:pt idx="370">
                  <c:v>3.3351999999999999</c:v>
                </c:pt>
                <c:pt idx="371">
                  <c:v>2.9899</c:v>
                </c:pt>
                <c:pt idx="372">
                  <c:v>3.7166000000000001</c:v>
                </c:pt>
                <c:pt idx="373">
                  <c:v>3.6286999999999998</c:v>
                </c:pt>
                <c:pt idx="374">
                  <c:v>3.7867999999999999</c:v>
                </c:pt>
                <c:pt idx="375">
                  <c:v>3.8268</c:v>
                </c:pt>
                <c:pt idx="376">
                  <c:v>3.4247000000000001</c:v>
                </c:pt>
                <c:pt idx="377">
                  <c:v>3.2475000000000001</c:v>
                </c:pt>
                <c:pt idx="378">
                  <c:v>3.2921</c:v>
                </c:pt>
                <c:pt idx="379">
                  <c:v>3.5242</c:v>
                </c:pt>
                <c:pt idx="380">
                  <c:v>3.6354000000000002</c:v>
                </c:pt>
                <c:pt idx="381">
                  <c:v>3.1015999999999999</c:v>
                </c:pt>
                <c:pt idx="382">
                  <c:v>3.4489999999999998</c:v>
                </c:pt>
                <c:pt idx="383">
                  <c:v>3.3828999999999998</c:v>
                </c:pt>
                <c:pt idx="384">
                  <c:v>3.2214</c:v>
                </c:pt>
                <c:pt idx="385">
                  <c:v>2.3635000000000002</c:v>
                </c:pt>
                <c:pt idx="386">
                  <c:v>1.9414</c:v>
                </c:pt>
                <c:pt idx="387">
                  <c:v>2.1636000000000002</c:v>
                </c:pt>
                <c:pt idx="388">
                  <c:v>2.4908999999999999</c:v>
                </c:pt>
                <c:pt idx="389">
                  <c:v>2.1779000000000002</c:v>
                </c:pt>
                <c:pt idx="390">
                  <c:v>1.7999000000000001</c:v>
                </c:pt>
                <c:pt idx="391">
                  <c:v>1.8421000000000001</c:v>
                </c:pt>
                <c:pt idx="392">
                  <c:v>1.5073000000000001</c:v>
                </c:pt>
                <c:pt idx="393">
                  <c:v>1.5349999999999999</c:v>
                </c:pt>
                <c:pt idx="394">
                  <c:v>1.6704000000000001</c:v>
                </c:pt>
                <c:pt idx="395">
                  <c:v>1.5172000000000001</c:v>
                </c:pt>
                <c:pt idx="396">
                  <c:v>1.3037000000000001</c:v>
                </c:pt>
                <c:pt idx="397">
                  <c:v>1.3258000000000001</c:v>
                </c:pt>
                <c:pt idx="398">
                  <c:v>1.4463999999999999</c:v>
                </c:pt>
                <c:pt idx="399">
                  <c:v>1.3612</c:v>
                </c:pt>
                <c:pt idx="400">
                  <c:v>1.198</c:v>
                </c:pt>
                <c:pt idx="401">
                  <c:v>1.49</c:v>
                </c:pt>
                <c:pt idx="402">
                  <c:v>1.5330999999999999</c:v>
                </c:pt>
                <c:pt idx="403">
                  <c:v>1.5634999999999999</c:v>
                </c:pt>
                <c:pt idx="404">
                  <c:v>1.6707000000000001</c:v>
                </c:pt>
                <c:pt idx="405">
                  <c:v>1.7014</c:v>
                </c:pt>
                <c:pt idx="406">
                  <c:v>1.68</c:v>
                </c:pt>
                <c:pt idx="407">
                  <c:v>1.7828999999999999</c:v>
                </c:pt>
                <c:pt idx="408">
                  <c:v>1.7585999999999999</c:v>
                </c:pt>
                <c:pt idx="409">
                  <c:v>1.5946</c:v>
                </c:pt>
                <c:pt idx="410">
                  <c:v>1.5701000000000001</c:v>
                </c:pt>
                <c:pt idx="411">
                  <c:v>1.4912000000000001</c:v>
                </c:pt>
                <c:pt idx="412">
                  <c:v>1.4389000000000001</c:v>
                </c:pt>
                <c:pt idx="413">
                  <c:v>1.5683</c:v>
                </c:pt>
                <c:pt idx="414">
                  <c:v>1.6592</c:v>
                </c:pt>
                <c:pt idx="415">
                  <c:v>1.6631</c:v>
                </c:pt>
                <c:pt idx="416">
                  <c:v>1.8271999999999999</c:v>
                </c:pt>
                <c:pt idx="417">
                  <c:v>1.8505</c:v>
                </c:pt>
                <c:pt idx="418">
                  <c:v>1.9795</c:v>
                </c:pt>
                <c:pt idx="419">
                  <c:v>1.8534999999999999</c:v>
                </c:pt>
                <c:pt idx="420">
                  <c:v>2.0966999999999998</c:v>
                </c:pt>
                <c:pt idx="421">
                  <c:v>2.1208999999999998</c:v>
                </c:pt>
                <c:pt idx="422">
                  <c:v>1.9738</c:v>
                </c:pt>
                <c:pt idx="423">
                  <c:v>1.9664999999999999</c:v>
                </c:pt>
                <c:pt idx="424">
                  <c:v>1.9153</c:v>
                </c:pt>
                <c:pt idx="425">
                  <c:v>1.8868</c:v>
                </c:pt>
                <c:pt idx="426">
                  <c:v>1.861</c:v>
                </c:pt>
                <c:pt idx="427">
                  <c:v>1.9111</c:v>
                </c:pt>
                <c:pt idx="428">
                  <c:v>2.2660999999999998</c:v>
                </c:pt>
                <c:pt idx="429">
                  <c:v>2.2823000000000002</c:v>
                </c:pt>
                <c:pt idx="430">
                  <c:v>2.2786</c:v>
                </c:pt>
                <c:pt idx="431">
                  <c:v>2.1514000000000002</c:v>
                </c:pt>
                <c:pt idx="432">
                  <c:v>2.3822000000000001</c:v>
                </c:pt>
                <c:pt idx="433">
                  <c:v>2.1032999999999999</c:v>
                </c:pt>
                <c:pt idx="434">
                  <c:v>2.085</c:v>
                </c:pt>
                <c:pt idx="435">
                  <c:v>2.1153</c:v>
                </c:pt>
                <c:pt idx="436">
                  <c:v>2.1998000000000002</c:v>
                </c:pt>
                <c:pt idx="437">
                  <c:v>2.2625999999999999</c:v>
                </c:pt>
                <c:pt idx="438">
                  <c:v>2.0407000000000002</c:v>
                </c:pt>
                <c:pt idx="439">
                  <c:v>1.9181999999999999</c:v>
                </c:pt>
                <c:pt idx="440">
                  <c:v>2.0141</c:v>
                </c:pt>
                <c:pt idx="441">
                  <c:v>1.9089</c:v>
                </c:pt>
                <c:pt idx="442">
                  <c:v>2</c:v>
                </c:pt>
                <c:pt idx="443">
                  <c:v>2.2660999999999998</c:v>
                </c:pt>
                <c:pt idx="444">
                  <c:v>2.0299</c:v>
                </c:pt>
                <c:pt idx="445">
                  <c:v>2.1558000000000002</c:v>
                </c:pt>
                <c:pt idx="446">
                  <c:v>2.0215000000000001</c:v>
                </c:pt>
                <c:pt idx="447">
                  <c:v>1.9</c:v>
                </c:pt>
                <c:pt idx="448">
                  <c:v>1.4007000000000001</c:v>
                </c:pt>
                <c:pt idx="449">
                  <c:v>1.3912</c:v>
                </c:pt>
                <c:pt idx="450">
                  <c:v>1.4117999999999999</c:v>
                </c:pt>
                <c:pt idx="451">
                  <c:v>1.4738</c:v>
                </c:pt>
                <c:pt idx="452">
                  <c:v>1.6080000000000001</c:v>
                </c:pt>
                <c:pt idx="453">
                  <c:v>1.5497000000000001</c:v>
                </c:pt>
                <c:pt idx="454">
                  <c:v>1.4380999999999999</c:v>
                </c:pt>
                <c:pt idx="455">
                  <c:v>1.4327000000000001</c:v>
                </c:pt>
                <c:pt idx="456">
                  <c:v>1.518</c:v>
                </c:pt>
                <c:pt idx="457">
                  <c:v>1.7110000000000001</c:v>
                </c:pt>
                <c:pt idx="458">
                  <c:v>1.6798999999999999</c:v>
                </c:pt>
                <c:pt idx="459">
                  <c:v>1.7926</c:v>
                </c:pt>
                <c:pt idx="460">
                  <c:v>1.9141999999999999</c:v>
                </c:pt>
                <c:pt idx="461">
                  <c:v>1.9590000000000001</c:v>
                </c:pt>
                <c:pt idx="462">
                  <c:v>1.9581999999999999</c:v>
                </c:pt>
                <c:pt idx="463">
                  <c:v>1.8887</c:v>
                </c:pt>
                <c:pt idx="464">
                  <c:v>1.885</c:v>
                </c:pt>
                <c:pt idx="465">
                  <c:v>2.0592000000000001</c:v>
                </c:pt>
                <c:pt idx="466">
                  <c:v>2.2149999999999999</c:v>
                </c:pt>
                <c:pt idx="467">
                  <c:v>2.2052999999999998</c:v>
                </c:pt>
                <c:pt idx="468">
                  <c:v>2.1398000000000001</c:v>
                </c:pt>
                <c:pt idx="469">
                  <c:v>2.2682000000000002</c:v>
                </c:pt>
                <c:pt idx="470">
                  <c:v>2.3107000000000002</c:v>
                </c:pt>
                <c:pt idx="471">
                  <c:v>2.4062000000000001</c:v>
                </c:pt>
                <c:pt idx="472">
                  <c:v>2.5836000000000001</c:v>
                </c:pt>
                <c:pt idx="473">
                  <c:v>2.4226999999999999</c:v>
                </c:pt>
                <c:pt idx="474">
                  <c:v>2.3999000000000001</c:v>
                </c:pt>
                <c:pt idx="475">
                  <c:v>2.5314000000000001</c:v>
                </c:pt>
                <c:pt idx="476">
                  <c:v>2.3637999999999999</c:v>
                </c:pt>
                <c:pt idx="477">
                  <c:v>2.3005</c:v>
                </c:pt>
                <c:pt idx="478">
                  <c:v>2.1739999999999999</c:v>
                </c:pt>
                <c:pt idx="479">
                  <c:v>2.6522000000000001</c:v>
                </c:pt>
                <c:pt idx="480">
                  <c:v>2.5202</c:v>
                </c:pt>
                <c:pt idx="481">
                  <c:v>2.5438999999999998</c:v>
                </c:pt>
                <c:pt idx="482">
                  <c:v>2.6232000000000002</c:v>
                </c:pt>
                <c:pt idx="483">
                  <c:v>2.8668999999999998</c:v>
                </c:pt>
                <c:pt idx="484">
                  <c:v>2.8967000000000001</c:v>
                </c:pt>
                <c:pt idx="485">
                  <c:v>2.9504999999999999</c:v>
                </c:pt>
                <c:pt idx="486">
                  <c:v>2.9599000000000002</c:v>
                </c:pt>
                <c:pt idx="487">
                  <c:v>3.1577999999999999</c:v>
                </c:pt>
                <c:pt idx="488">
                  <c:v>3.1286999999999998</c:v>
                </c:pt>
                <c:pt idx="489">
                  <c:v>3.1937000000000002</c:v>
                </c:pt>
                <c:pt idx="490">
                  <c:v>3.1433</c:v>
                </c:pt>
                <c:pt idx="491">
                  <c:v>2.8548</c:v>
                </c:pt>
                <c:pt idx="492">
                  <c:v>2.9081999999999999</c:v>
                </c:pt>
                <c:pt idx="493">
                  <c:v>2.7671999999999999</c:v>
                </c:pt>
                <c:pt idx="494">
                  <c:v>2.8628</c:v>
                </c:pt>
                <c:pt idx="495">
                  <c:v>3.0310000000000001</c:v>
                </c:pt>
                <c:pt idx="496">
                  <c:v>3.1143999999999998</c:v>
                </c:pt>
                <c:pt idx="497">
                  <c:v>2.8828999999999998</c:v>
                </c:pt>
                <c:pt idx="498">
                  <c:v>2.5327000000000002</c:v>
                </c:pt>
                <c:pt idx="499">
                  <c:v>2.9295</c:v>
                </c:pt>
                <c:pt idx="500">
                  <c:v>3.2641</c:v>
                </c:pt>
                <c:pt idx="501">
                  <c:v>3.2603</c:v>
                </c:pt>
                <c:pt idx="502">
                  <c:v>3.3315999999999999</c:v>
                </c:pt>
                <c:pt idx="503">
                  <c:v>3.3965000000000001</c:v>
                </c:pt>
                <c:pt idx="504">
                  <c:v>3.4761000000000002</c:v>
                </c:pt>
                <c:pt idx="505">
                  <c:v>3.6000999999999999</c:v>
                </c:pt>
                <c:pt idx="506">
                  <c:v>2.468</c:v>
                </c:pt>
                <c:pt idx="507">
                  <c:v>2.9237000000000002</c:v>
                </c:pt>
                <c:pt idx="508">
                  <c:v>3.0941000000000001</c:v>
                </c:pt>
                <c:pt idx="509">
                  <c:v>2.6052</c:v>
                </c:pt>
                <c:pt idx="510">
                  <c:v>3.5301</c:v>
                </c:pt>
                <c:pt idx="511">
                  <c:v>3.5051000000000001</c:v>
                </c:pt>
                <c:pt idx="512">
                  <c:v>4.17</c:v>
                </c:pt>
                <c:pt idx="513">
                  <c:v>4.3396999999999997</c:v>
                </c:pt>
                <c:pt idx="514">
                  <c:v>4.7435</c:v>
                </c:pt>
                <c:pt idx="515">
                  <c:v>4.4309000000000003</c:v>
                </c:pt>
                <c:pt idx="516">
                  <c:v>3.9535</c:v>
                </c:pt>
                <c:pt idx="517">
                  <c:v>4.0063000000000004</c:v>
                </c:pt>
                <c:pt idx="518">
                  <c:v>3.4500999999999999</c:v>
                </c:pt>
                <c:pt idx="519">
                  <c:v>3.5684</c:v>
                </c:pt>
                <c:pt idx="520">
                  <c:v>3.25</c:v>
                </c:pt>
                <c:pt idx="521">
                  <c:v>3.3405</c:v>
                </c:pt>
                <c:pt idx="522">
                  <c:v>3.25</c:v>
                </c:pt>
                <c:pt idx="523">
                  <c:v>3.0125999999999999</c:v>
                </c:pt>
                <c:pt idx="524">
                  <c:v>2.9317000000000002</c:v>
                </c:pt>
                <c:pt idx="525">
                  <c:v>3.2038000000000002</c:v>
                </c:pt>
                <c:pt idx="526">
                  <c:v>2.8868</c:v>
                </c:pt>
                <c:pt idx="527">
                  <c:v>3.3407</c:v>
                </c:pt>
                <c:pt idx="528">
                  <c:v>3.11</c:v>
                </c:pt>
                <c:pt idx="529">
                  <c:v>3.3885000000000001</c:v>
                </c:pt>
                <c:pt idx="530">
                  <c:v>3.173</c:v>
                </c:pt>
                <c:pt idx="531">
                  <c:v>3.4098999999999999</c:v>
                </c:pt>
                <c:pt idx="532">
                  <c:v>3.73</c:v>
                </c:pt>
                <c:pt idx="533">
                  <c:v>3.7557999999999998</c:v>
                </c:pt>
                <c:pt idx="534">
                  <c:v>3.2985000000000002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8-4085-B1EE-4732C95DC32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1.9225154436659195</c:v>
                </c:pt>
                <c:pt idx="1">
                  <c:v>1.9257911812205959</c:v>
                </c:pt>
                <c:pt idx="2">
                  <c:v>1.9534962833677088</c:v>
                </c:pt>
                <c:pt idx="3">
                  <c:v>1.9479972654940245</c:v>
                </c:pt>
                <c:pt idx="4">
                  <c:v>1.9362245720877087</c:v>
                </c:pt>
                <c:pt idx="5">
                  <c:v>1.9316377016904744</c:v>
                </c:pt>
                <c:pt idx="6">
                  <c:v>1.9638206713477644</c:v>
                </c:pt>
                <c:pt idx="7">
                  <c:v>1.9844162120670394</c:v>
                </c:pt>
                <c:pt idx="8">
                  <c:v>1.9965471925074434</c:v>
                </c:pt>
                <c:pt idx="9">
                  <c:v>2.0024289667353385</c:v>
                </c:pt>
                <c:pt idx="10">
                  <c:v>1.9946456697806847</c:v>
                </c:pt>
                <c:pt idx="11">
                  <c:v>2.0012202972335684</c:v>
                </c:pt>
                <c:pt idx="12">
                  <c:v>2.0046535588904679</c:v>
                </c:pt>
                <c:pt idx="13">
                  <c:v>2.0017289115246362</c:v>
                </c:pt>
                <c:pt idx="14">
                  <c:v>2.0018271784030763</c:v>
                </c:pt>
                <c:pt idx="15">
                  <c:v>2.0193303656336656</c:v>
                </c:pt>
                <c:pt idx="16">
                  <c:v>2.0046877421982008</c:v>
                </c:pt>
                <c:pt idx="17">
                  <c:v>2.0002412863792496</c:v>
                </c:pt>
                <c:pt idx="18">
                  <c:v>2.0031664355649634</c:v>
                </c:pt>
                <c:pt idx="19">
                  <c:v>2.0066268302159789</c:v>
                </c:pt>
                <c:pt idx="20">
                  <c:v>2.0009719876172363</c:v>
                </c:pt>
                <c:pt idx="21">
                  <c:v>2.0177755196863973</c:v>
                </c:pt>
                <c:pt idx="22">
                  <c:v>2.0182398264188235</c:v>
                </c:pt>
                <c:pt idx="23">
                  <c:v>2.022766685064278</c:v>
                </c:pt>
                <c:pt idx="24">
                  <c:v>2.0296902907543588</c:v>
                </c:pt>
                <c:pt idx="25">
                  <c:v>2.0325863106285005</c:v>
                </c:pt>
                <c:pt idx="26">
                  <c:v>2.0339405244468911</c:v>
                </c:pt>
                <c:pt idx="27">
                  <c:v>2.0277862110530398</c:v>
                </c:pt>
                <c:pt idx="28">
                  <c:v>2.033279258984503</c:v>
                </c:pt>
                <c:pt idx="29">
                  <c:v>2.0317526255362863</c:v>
                </c:pt>
                <c:pt idx="30">
                  <c:v>2.0453581459297832</c:v>
                </c:pt>
                <c:pt idx="31">
                  <c:v>2.0630339533055531</c:v>
                </c:pt>
                <c:pt idx="32">
                  <c:v>2.0728874583800549</c:v>
                </c:pt>
                <c:pt idx="33">
                  <c:v>2.0657465331685794</c:v>
                </c:pt>
                <c:pt idx="34">
                  <c:v>2.0619965974537147</c:v>
                </c:pt>
                <c:pt idx="35">
                  <c:v>2.063195508455355</c:v>
                </c:pt>
                <c:pt idx="36">
                  <c:v>2.0526368143254556</c:v>
                </c:pt>
                <c:pt idx="37">
                  <c:v>2.0628855645254562</c:v>
                </c:pt>
                <c:pt idx="38">
                  <c:v>2.056037280442327</c:v>
                </c:pt>
                <c:pt idx="39">
                  <c:v>2.0581713288631303</c:v>
                </c:pt>
                <c:pt idx="40">
                  <c:v>2.0662195740169769</c:v>
                </c:pt>
                <c:pt idx="41">
                  <c:v>2.0567142038841451</c:v>
                </c:pt>
                <c:pt idx="42">
                  <c:v>2.0557035935684134</c:v>
                </c:pt>
                <c:pt idx="43">
                  <c:v>2.0720808993216604</c:v>
                </c:pt>
                <c:pt idx="44">
                  <c:v>2.0494137641474057</c:v>
                </c:pt>
                <c:pt idx="45">
                  <c:v>2.0344399576466059</c:v>
                </c:pt>
                <c:pt idx="46">
                  <c:v>2.0448529961778683</c:v>
                </c:pt>
                <c:pt idx="47">
                  <c:v>2.0436759671707021</c:v>
                </c:pt>
                <c:pt idx="48">
                  <c:v>2.0420659373341987</c:v>
                </c:pt>
                <c:pt idx="49">
                  <c:v>2.0598693998671531</c:v>
                </c:pt>
                <c:pt idx="50">
                  <c:v>2.0719392461561288</c:v>
                </c:pt>
                <c:pt idx="51">
                  <c:v>2.0595759698154867</c:v>
                </c:pt>
                <c:pt idx="52">
                  <c:v>2.0722232339792632</c:v>
                </c:pt>
                <c:pt idx="53">
                  <c:v>2.0549187517187244</c:v>
                </c:pt>
                <c:pt idx="54">
                  <c:v>2.0474837107492401</c:v>
                </c:pt>
                <c:pt idx="55">
                  <c:v>2.0253506595674886</c:v>
                </c:pt>
                <c:pt idx="56">
                  <c:v>2.0425005699184542</c:v>
                </c:pt>
                <c:pt idx="57">
                  <c:v>2.0371310769713955</c:v>
                </c:pt>
                <c:pt idx="58">
                  <c:v>2.0171395514285497</c:v>
                </c:pt>
                <c:pt idx="59">
                  <c:v>2.0180344182092758</c:v>
                </c:pt>
                <c:pt idx="60">
                  <c:v>2.0227042406132392</c:v>
                </c:pt>
                <c:pt idx="61">
                  <c:v>2.0091737736328423</c:v>
                </c:pt>
                <c:pt idx="62">
                  <c:v>2.0144709009909292</c:v>
                </c:pt>
                <c:pt idx="63">
                  <c:v>2.0228401157381803</c:v>
                </c:pt>
                <c:pt idx="64">
                  <c:v>2.0208084723710513</c:v>
                </c:pt>
                <c:pt idx="65">
                  <c:v>2.0223366039215889</c:v>
                </c:pt>
                <c:pt idx="66">
                  <c:v>2.0152386129971327</c:v>
                </c:pt>
                <c:pt idx="67">
                  <c:v>2.0301908907225372</c:v>
                </c:pt>
                <c:pt idx="68">
                  <c:v>2.0234694595299683</c:v>
                </c:pt>
                <c:pt idx="69">
                  <c:v>2.0150711842119646</c:v>
                </c:pt>
                <c:pt idx="70">
                  <c:v>1.9956398507813762</c:v>
                </c:pt>
                <c:pt idx="71">
                  <c:v>2.0119789982026552</c:v>
                </c:pt>
                <c:pt idx="72">
                  <c:v>2.0023893683874734</c:v>
                </c:pt>
                <c:pt idx="73">
                  <c:v>2.0170013659119816</c:v>
                </c:pt>
                <c:pt idx="74">
                  <c:v>2.0242035737199005</c:v>
                </c:pt>
                <c:pt idx="75">
                  <c:v>2.0196805504736934</c:v>
                </c:pt>
                <c:pt idx="76">
                  <c:v>2.0057418304831232</c:v>
                </c:pt>
                <c:pt idx="77">
                  <c:v>2.0091698561352591</c:v>
                </c:pt>
                <c:pt idx="78">
                  <c:v>2.0198725603013408</c:v>
                </c:pt>
                <c:pt idx="79">
                  <c:v>2.0191830899680947</c:v>
                </c:pt>
                <c:pt idx="80">
                  <c:v>2.0373177333306591</c:v>
                </c:pt>
                <c:pt idx="81">
                  <c:v>2.0326858526092648</c:v>
                </c:pt>
                <c:pt idx="82">
                  <c:v>2.0400027701392416</c:v>
                </c:pt>
                <c:pt idx="83">
                  <c:v>2.0130843607456135</c:v>
                </c:pt>
                <c:pt idx="84">
                  <c:v>2.0216090254071273</c:v>
                </c:pt>
                <c:pt idx="85">
                  <c:v>2.0008529452185209</c:v>
                </c:pt>
                <c:pt idx="86">
                  <c:v>1.9604978260024242</c:v>
                </c:pt>
                <c:pt idx="87">
                  <c:v>1.9355212618612947</c:v>
                </c:pt>
                <c:pt idx="88">
                  <c:v>1.9390414044091457</c:v>
                </c:pt>
                <c:pt idx="89">
                  <c:v>1.921340865900004</c:v>
                </c:pt>
                <c:pt idx="90">
                  <c:v>1.9171356742126169</c:v>
                </c:pt>
                <c:pt idx="91">
                  <c:v>1.9144830779981321</c:v>
                </c:pt>
                <c:pt idx="92">
                  <c:v>1.9006028766951941</c:v>
                </c:pt>
                <c:pt idx="93">
                  <c:v>1.924175126265947</c:v>
                </c:pt>
                <c:pt idx="94">
                  <c:v>1.9434644534843326</c:v>
                </c:pt>
                <c:pt idx="95">
                  <c:v>1.9376647574278112</c:v>
                </c:pt>
                <c:pt idx="96">
                  <c:v>1.9118245152221085</c:v>
                </c:pt>
                <c:pt idx="97">
                  <c:v>1.9168589006581715</c:v>
                </c:pt>
                <c:pt idx="98">
                  <c:v>1.9491570690891222</c:v>
                </c:pt>
                <c:pt idx="99">
                  <c:v>1.9039006775018579</c:v>
                </c:pt>
                <c:pt idx="100">
                  <c:v>1.8655897665375232</c:v>
                </c:pt>
                <c:pt idx="101">
                  <c:v>1.8682978614694483</c:v>
                </c:pt>
                <c:pt idx="102">
                  <c:v>1.8784319538120753</c:v>
                </c:pt>
                <c:pt idx="103">
                  <c:v>1.8795738463397613</c:v>
                </c:pt>
                <c:pt idx="104">
                  <c:v>1.893875112770093</c:v>
                </c:pt>
                <c:pt idx="105">
                  <c:v>1.8545130959189657</c:v>
                </c:pt>
                <c:pt idx="106">
                  <c:v>1.8636363056526173</c:v>
                </c:pt>
                <c:pt idx="107">
                  <c:v>1.8728381256526172</c:v>
                </c:pt>
                <c:pt idx="108">
                  <c:v>1.844079567238772</c:v>
                </c:pt>
                <c:pt idx="109">
                  <c:v>1.851632778545458</c:v>
                </c:pt>
                <c:pt idx="110">
                  <c:v>1.8657170769435274</c:v>
                </c:pt>
                <c:pt idx="111">
                  <c:v>1.8707985312924407</c:v>
                </c:pt>
                <c:pt idx="112">
                  <c:v>1.878998598109811</c:v>
                </c:pt>
                <c:pt idx="113">
                  <c:v>1.8885062335964538</c:v>
                </c:pt>
                <c:pt idx="114">
                  <c:v>1.9113544571557224</c:v>
                </c:pt>
                <c:pt idx="115">
                  <c:v>1.9133493465463891</c:v>
                </c:pt>
                <c:pt idx="116">
                  <c:v>1.914696660235278</c:v>
                </c:pt>
                <c:pt idx="117">
                  <c:v>1.904216798485892</c:v>
                </c:pt>
                <c:pt idx="118">
                  <c:v>1.8857828436611825</c:v>
                </c:pt>
                <c:pt idx="119">
                  <c:v>1.8354817334553397</c:v>
                </c:pt>
                <c:pt idx="120">
                  <c:v>1.8137621445117786</c:v>
                </c:pt>
                <c:pt idx="121">
                  <c:v>1.8169793198059221</c:v>
                </c:pt>
                <c:pt idx="122">
                  <c:v>1.827988070908861</c:v>
                </c:pt>
                <c:pt idx="123">
                  <c:v>1.8619647190955713</c:v>
                </c:pt>
                <c:pt idx="124">
                  <c:v>1.846586814500256</c:v>
                </c:pt>
                <c:pt idx="125">
                  <c:v>1.8634959371844664</c:v>
                </c:pt>
                <c:pt idx="126">
                  <c:v>1.8666691870111474</c:v>
                </c:pt>
                <c:pt idx="127">
                  <c:v>1.8428369279422538</c:v>
                </c:pt>
                <c:pt idx="128">
                  <c:v>1.785263358100422</c:v>
                </c:pt>
                <c:pt idx="129">
                  <c:v>1.8257252801336621</c:v>
                </c:pt>
                <c:pt idx="130">
                  <c:v>1.8414582292466153</c:v>
                </c:pt>
                <c:pt idx="131">
                  <c:v>1.8804221946709767</c:v>
                </c:pt>
                <c:pt idx="132">
                  <c:v>1.8116551049275351</c:v>
                </c:pt>
                <c:pt idx="133">
                  <c:v>1.7819549855231871</c:v>
                </c:pt>
                <c:pt idx="134">
                  <c:v>1.8003557689455401</c:v>
                </c:pt>
                <c:pt idx="135">
                  <c:v>1.8127992538448374</c:v>
                </c:pt>
                <c:pt idx="136">
                  <c:v>1.8037065236321796</c:v>
                </c:pt>
                <c:pt idx="137">
                  <c:v>1.7567785758712078</c:v>
                </c:pt>
                <c:pt idx="138">
                  <c:v>1.7672572160822422</c:v>
                </c:pt>
                <c:pt idx="139">
                  <c:v>1.8063533459420678</c:v>
                </c:pt>
                <c:pt idx="140">
                  <c:v>1.824806920298607</c:v>
                </c:pt>
                <c:pt idx="141">
                  <c:v>1.9216081289212699</c:v>
                </c:pt>
                <c:pt idx="142">
                  <c:v>1.8001181500218522</c:v>
                </c:pt>
                <c:pt idx="143">
                  <c:v>1.7154670254438578</c:v>
                </c:pt>
                <c:pt idx="144">
                  <c:v>1.6421433621974795</c:v>
                </c:pt>
                <c:pt idx="145">
                  <c:v>1.622897595618553</c:v>
                </c:pt>
                <c:pt idx="146">
                  <c:v>1.6582499263837309</c:v>
                </c:pt>
                <c:pt idx="147">
                  <c:v>1.5685826561895289</c:v>
                </c:pt>
                <c:pt idx="148">
                  <c:v>1.5066647478528128</c:v>
                </c:pt>
                <c:pt idx="149">
                  <c:v>1.5309876638904845</c:v>
                </c:pt>
                <c:pt idx="150">
                  <c:v>1.6324863980106179</c:v>
                </c:pt>
                <c:pt idx="151">
                  <c:v>1.5843418625165506</c:v>
                </c:pt>
                <c:pt idx="152">
                  <c:v>1.5824556484726677</c:v>
                </c:pt>
                <c:pt idx="153">
                  <c:v>1.5398206750795851</c:v>
                </c:pt>
                <c:pt idx="154">
                  <c:v>1.4620541011775874</c:v>
                </c:pt>
                <c:pt idx="155">
                  <c:v>1.4330871575503312</c:v>
                </c:pt>
                <c:pt idx="156">
                  <c:v>1.3951735346192373</c:v>
                </c:pt>
                <c:pt idx="157">
                  <c:v>1.4379516339806544</c:v>
                </c:pt>
                <c:pt idx="158">
                  <c:v>1.4151597883963334</c:v>
                </c:pt>
                <c:pt idx="159">
                  <c:v>1.4142422056426096</c:v>
                </c:pt>
                <c:pt idx="160">
                  <c:v>1.4524468140843927</c:v>
                </c:pt>
                <c:pt idx="161">
                  <c:v>1.4123606335013028</c:v>
                </c:pt>
                <c:pt idx="162">
                  <c:v>1.3922366779711528</c:v>
                </c:pt>
                <c:pt idx="163">
                  <c:v>1.355335646091226</c:v>
                </c:pt>
                <c:pt idx="164">
                  <c:v>1.4078063351988304</c:v>
                </c:pt>
                <c:pt idx="165">
                  <c:v>1.384380613722481</c:v>
                </c:pt>
                <c:pt idx="166">
                  <c:v>1.3356365032127644</c:v>
                </c:pt>
                <c:pt idx="167">
                  <c:v>1.3307382828483583</c:v>
                </c:pt>
                <c:pt idx="168">
                  <c:v>1.3087959107079152</c:v>
                </c:pt>
                <c:pt idx="169">
                  <c:v>1.3118270241555434</c:v>
                </c:pt>
                <c:pt idx="170">
                  <c:v>1.3206086426128416</c:v>
                </c:pt>
                <c:pt idx="171">
                  <c:v>1.3100394447626698</c:v>
                </c:pt>
                <c:pt idx="172">
                  <c:v>1.3045439315663374</c:v>
                </c:pt>
                <c:pt idx="173">
                  <c:v>1.3133074573968502</c:v>
                </c:pt>
                <c:pt idx="174">
                  <c:v>1.3021873287506327</c:v>
                </c:pt>
                <c:pt idx="175">
                  <c:v>1.2771130875575112</c:v>
                </c:pt>
                <c:pt idx="176">
                  <c:v>1.2633373396466436</c:v>
                </c:pt>
                <c:pt idx="177">
                  <c:v>1.2498055287880991</c:v>
                </c:pt>
                <c:pt idx="178">
                  <c:v>1.2499715888436433</c:v>
                </c:pt>
                <c:pt idx="179">
                  <c:v>1.2775139124541655</c:v>
                </c:pt>
                <c:pt idx="180">
                  <c:v>1.2933316478569712</c:v>
                </c:pt>
                <c:pt idx="181">
                  <c:v>1.2543284277312992</c:v>
                </c:pt>
                <c:pt idx="182">
                  <c:v>1.227486237260518</c:v>
                </c:pt>
                <c:pt idx="183">
                  <c:v>1.2011190658837725</c:v>
                </c:pt>
                <c:pt idx="184">
                  <c:v>1.2071509589668168</c:v>
                </c:pt>
                <c:pt idx="185">
                  <c:v>1.2018420623368165</c:v>
                </c:pt>
                <c:pt idx="186">
                  <c:v>1.2506496727434191</c:v>
                </c:pt>
                <c:pt idx="187">
                  <c:v>1.2398849158446201</c:v>
                </c:pt>
                <c:pt idx="188">
                  <c:v>1.2456249666491153</c:v>
                </c:pt>
                <c:pt idx="189">
                  <c:v>1.2203656612332476</c:v>
                </c:pt>
                <c:pt idx="190">
                  <c:v>1.2049474922784158</c:v>
                </c:pt>
                <c:pt idx="191">
                  <c:v>1.174224265397976</c:v>
                </c:pt>
                <c:pt idx="192">
                  <c:v>1.1758773792932848</c:v>
                </c:pt>
                <c:pt idx="193">
                  <c:v>1.1949621094126963</c:v>
                </c:pt>
                <c:pt idx="194">
                  <c:v>1.2022559239214554</c:v>
                </c:pt>
                <c:pt idx="195">
                  <c:v>1.2046674699651332</c:v>
                </c:pt>
                <c:pt idx="196">
                  <c:v>1.2325670415085337</c:v>
                </c:pt>
                <c:pt idx="197">
                  <c:v>1.2571651535419526</c:v>
                </c:pt>
                <c:pt idx="198">
                  <c:v>1.2250646118853754</c:v>
                </c:pt>
                <c:pt idx="199">
                  <c:v>1.2381961709423484</c:v>
                </c:pt>
                <c:pt idx="200">
                  <c:v>1.247980886871298</c:v>
                </c:pt>
                <c:pt idx="201">
                  <c:v>1.2403734054928752</c:v>
                </c:pt>
                <c:pt idx="202">
                  <c:v>1.2568680458767121</c:v>
                </c:pt>
                <c:pt idx="203">
                  <c:v>1.2546732345289344</c:v>
                </c:pt>
                <c:pt idx="204">
                  <c:v>1.2893731281554766</c:v>
                </c:pt>
                <c:pt idx="205">
                  <c:v>1.2740161125092662</c:v>
                </c:pt>
                <c:pt idx="206">
                  <c:v>1.2659671756408322</c:v>
                </c:pt>
                <c:pt idx="207">
                  <c:v>1.2807850029125682</c:v>
                </c:pt>
                <c:pt idx="208">
                  <c:v>1.2882824782012168</c:v>
                </c:pt>
                <c:pt idx="209">
                  <c:v>1.283062512506411</c:v>
                </c:pt>
                <c:pt idx="210">
                  <c:v>1.246405449226355</c:v>
                </c:pt>
                <c:pt idx="211">
                  <c:v>1.2621966333720864</c:v>
                </c:pt>
                <c:pt idx="212">
                  <c:v>1.2204028583457085</c:v>
                </c:pt>
                <c:pt idx="213">
                  <c:v>1.2283337303983692</c:v>
                </c:pt>
                <c:pt idx="214">
                  <c:v>1.2179676270035396</c:v>
                </c:pt>
                <c:pt idx="215">
                  <c:v>1.1616994603341764</c:v>
                </c:pt>
                <c:pt idx="216">
                  <c:v>1.1145783141044658</c:v>
                </c:pt>
                <c:pt idx="217">
                  <c:v>1.1674825431748153</c:v>
                </c:pt>
                <c:pt idx="218">
                  <c:v>1.1546954477499161</c:v>
                </c:pt>
                <c:pt idx="219">
                  <c:v>1.1029083322365203</c:v>
                </c:pt>
                <c:pt idx="220">
                  <c:v>1.0129270333729727</c:v>
                </c:pt>
                <c:pt idx="221">
                  <c:v>1.0836555989390768</c:v>
                </c:pt>
                <c:pt idx="222">
                  <c:v>1.0559931934853235</c:v>
                </c:pt>
                <c:pt idx="223">
                  <c:v>1.0728587182411862</c:v>
                </c:pt>
                <c:pt idx="224">
                  <c:v>1.0790937866437929</c:v>
                </c:pt>
                <c:pt idx="225">
                  <c:v>1.0892297767165409</c:v>
                </c:pt>
                <c:pt idx="226">
                  <c:v>1.0862754384188269</c:v>
                </c:pt>
                <c:pt idx="227">
                  <c:v>1.1125317090013669</c:v>
                </c:pt>
                <c:pt idx="228">
                  <c:v>1.0868623713963845</c:v>
                </c:pt>
                <c:pt idx="229">
                  <c:v>1.0588957902570366</c:v>
                </c:pt>
                <c:pt idx="230">
                  <c:v>1.0411052633825282</c:v>
                </c:pt>
                <c:pt idx="231">
                  <c:v>1.0723516216221474</c:v>
                </c:pt>
                <c:pt idx="232">
                  <c:v>1.0772545006561389</c:v>
                </c:pt>
                <c:pt idx="233">
                  <c:v>1.0595845760022251</c:v>
                </c:pt>
                <c:pt idx="234">
                  <c:v>0.9413268879359179</c:v>
                </c:pt>
                <c:pt idx="235">
                  <c:v>1.0108841899399021</c:v>
                </c:pt>
                <c:pt idx="236">
                  <c:v>0.98212707833381474</c:v>
                </c:pt>
                <c:pt idx="237">
                  <c:v>0.98962643417719964</c:v>
                </c:pt>
                <c:pt idx="238">
                  <c:v>0.97766785114048604</c:v>
                </c:pt>
                <c:pt idx="239">
                  <c:v>0.9378367505936388</c:v>
                </c:pt>
                <c:pt idx="240">
                  <c:v>0.91419045611557448</c:v>
                </c:pt>
                <c:pt idx="241">
                  <c:v>0.92905528868103338</c:v>
                </c:pt>
                <c:pt idx="242">
                  <c:v>0.88226630678856843</c:v>
                </c:pt>
                <c:pt idx="243">
                  <c:v>0.86517140375526447</c:v>
                </c:pt>
                <c:pt idx="244">
                  <c:v>0.87404092758485674</c:v>
                </c:pt>
                <c:pt idx="245">
                  <c:v>0.91851250968273945</c:v>
                </c:pt>
                <c:pt idx="246">
                  <c:v>0.9071098641205394</c:v>
                </c:pt>
                <c:pt idx="247">
                  <c:v>0.8470793790776795</c:v>
                </c:pt>
                <c:pt idx="248">
                  <c:v>0.83525028498937193</c:v>
                </c:pt>
                <c:pt idx="249">
                  <c:v>0.71212018091196339</c:v>
                </c:pt>
                <c:pt idx="250">
                  <c:v>0.75958655436862232</c:v>
                </c:pt>
                <c:pt idx="251">
                  <c:v>0.85879818493872151</c:v>
                </c:pt>
                <c:pt idx="252">
                  <c:v>0.89330911982019523</c:v>
                </c:pt>
                <c:pt idx="253">
                  <c:v>0.86063290330270947</c:v>
                </c:pt>
                <c:pt idx="254">
                  <c:v>0.96208057826456872</c:v>
                </c:pt>
                <c:pt idx="255">
                  <c:v>0.8855719507935218</c:v>
                </c:pt>
                <c:pt idx="256">
                  <c:v>0.90991947364451009</c:v>
                </c:pt>
                <c:pt idx="257">
                  <c:v>0.91592762007964179</c:v>
                </c:pt>
                <c:pt idx="258">
                  <c:v>0.90418451374705278</c:v>
                </c:pt>
                <c:pt idx="259">
                  <c:v>0.90006132190807342</c:v>
                </c:pt>
                <c:pt idx="260">
                  <c:v>0.90745381974206296</c:v>
                </c:pt>
                <c:pt idx="261">
                  <c:v>0.95050776893169908</c:v>
                </c:pt>
                <c:pt idx="262">
                  <c:v>0.92938682242800563</c:v>
                </c:pt>
                <c:pt idx="263">
                  <c:v>0.92598001387081263</c:v>
                </c:pt>
                <c:pt idx="264">
                  <c:v>0.9333944543137358</c:v>
                </c:pt>
                <c:pt idx="265">
                  <c:v>0.92005188326850385</c:v>
                </c:pt>
                <c:pt idx="266">
                  <c:v>0.92883123361538544</c:v>
                </c:pt>
                <c:pt idx="267">
                  <c:v>0.93400591468722072</c:v>
                </c:pt>
                <c:pt idx="268">
                  <c:v>0.92158637579529934</c:v>
                </c:pt>
                <c:pt idx="269">
                  <c:v>0.95772748266743979</c:v>
                </c:pt>
                <c:pt idx="270">
                  <c:v>0.97473579873357785</c:v>
                </c:pt>
                <c:pt idx="271">
                  <c:v>0.99423717811316681</c:v>
                </c:pt>
                <c:pt idx="272">
                  <c:v>0.93929061843851913</c:v>
                </c:pt>
                <c:pt idx="273">
                  <c:v>0.93876908768686274</c:v>
                </c:pt>
                <c:pt idx="274">
                  <c:v>0.9624287134251599</c:v>
                </c:pt>
                <c:pt idx="275">
                  <c:v>0.93576584481521274</c:v>
                </c:pt>
                <c:pt idx="276">
                  <c:v>0.98440295780843257</c:v>
                </c:pt>
                <c:pt idx="277">
                  <c:v>1.0693178548153517</c:v>
                </c:pt>
                <c:pt idx="278">
                  <c:v>0.98640056943032428</c:v>
                </c:pt>
                <c:pt idx="279">
                  <c:v>0.94930329463216223</c:v>
                </c:pt>
                <c:pt idx="280">
                  <c:v>0.92713018563622218</c:v>
                </c:pt>
                <c:pt idx="281">
                  <c:v>0.85223543487270237</c:v>
                </c:pt>
                <c:pt idx="282">
                  <c:v>0.85461324195022892</c:v>
                </c:pt>
                <c:pt idx="283">
                  <c:v>0.82294902437641426</c:v>
                </c:pt>
                <c:pt idx="284">
                  <c:v>0.87977676545754779</c:v>
                </c:pt>
                <c:pt idx="285">
                  <c:v>0.77565705155991949</c:v>
                </c:pt>
                <c:pt idx="286">
                  <c:v>0.79929464871293743</c:v>
                </c:pt>
                <c:pt idx="287">
                  <c:v>0.81904092221173819</c:v>
                </c:pt>
                <c:pt idx="288">
                  <c:v>0.80410147336652182</c:v>
                </c:pt>
                <c:pt idx="289">
                  <c:v>0.79710888214264464</c:v>
                </c:pt>
                <c:pt idx="290">
                  <c:v>0.79868034777112662</c:v>
                </c:pt>
                <c:pt idx="291">
                  <c:v>0.79549324719407988</c:v>
                </c:pt>
                <c:pt idx="292">
                  <c:v>0.78311878009068703</c:v>
                </c:pt>
                <c:pt idx="293">
                  <c:v>0.78981621044728734</c:v>
                </c:pt>
                <c:pt idx="294">
                  <c:v>0.79611909416335058</c:v>
                </c:pt>
                <c:pt idx="295">
                  <c:v>0.79184868816272991</c:v>
                </c:pt>
                <c:pt idx="296">
                  <c:v>0.74696435614103451</c:v>
                </c:pt>
                <c:pt idx="297">
                  <c:v>0.71830167030041503</c:v>
                </c:pt>
                <c:pt idx="298">
                  <c:v>0.74076097889512105</c:v>
                </c:pt>
                <c:pt idx="299">
                  <c:v>0.74026391430982108</c:v>
                </c:pt>
                <c:pt idx="300">
                  <c:v>0.71854569680303293</c:v>
                </c:pt>
                <c:pt idx="301">
                  <c:v>0.70203607737614493</c:v>
                </c:pt>
                <c:pt idx="302">
                  <c:v>0.71602745360784781</c:v>
                </c:pt>
                <c:pt idx="303">
                  <c:v>0.7013506167401603</c:v>
                </c:pt>
                <c:pt idx="304">
                  <c:v>0.73329259154674353</c:v>
                </c:pt>
                <c:pt idx="305">
                  <c:v>0.70489039805598341</c:v>
                </c:pt>
                <c:pt idx="306">
                  <c:v>0.69449124655421435</c:v>
                </c:pt>
                <c:pt idx="307">
                  <c:v>0.66723106444997471</c:v>
                </c:pt>
                <c:pt idx="308">
                  <c:v>0.63812234467978413</c:v>
                </c:pt>
                <c:pt idx="309">
                  <c:v>0.64257847993237738</c:v>
                </c:pt>
                <c:pt idx="310">
                  <c:v>0.66541225470879384</c:v>
                </c:pt>
                <c:pt idx="311">
                  <c:v>0.68080752708437942</c:v>
                </c:pt>
                <c:pt idx="312">
                  <c:v>0.70541059624120306</c:v>
                </c:pt>
                <c:pt idx="313">
                  <c:v>0.69435936647692531</c:v>
                </c:pt>
                <c:pt idx="314">
                  <c:v>0.70517698933962625</c:v>
                </c:pt>
                <c:pt idx="315">
                  <c:v>0.7059460947947851</c:v>
                </c:pt>
                <c:pt idx="316">
                  <c:v>0.71189092255380149</c:v>
                </c:pt>
                <c:pt idx="317">
                  <c:v>0.69669904026235407</c:v>
                </c:pt>
                <c:pt idx="318">
                  <c:v>0.70003198310679271</c:v>
                </c:pt>
                <c:pt idx="319">
                  <c:v>0.70211254560223935</c:v>
                </c:pt>
                <c:pt idx="320">
                  <c:v>0.71554049370383188</c:v>
                </c:pt>
                <c:pt idx="321">
                  <c:v>0.69271627403048064</c:v>
                </c:pt>
                <c:pt idx="322">
                  <c:v>0.71492463698597919</c:v>
                </c:pt>
                <c:pt idx="323">
                  <c:v>0.68272698231670093</c:v>
                </c:pt>
                <c:pt idx="324">
                  <c:v>0.69705867935517252</c:v>
                </c:pt>
                <c:pt idx="325">
                  <c:v>0.67554303615345546</c:v>
                </c:pt>
                <c:pt idx="326">
                  <c:v>0.66848121834826857</c:v>
                </c:pt>
                <c:pt idx="327">
                  <c:v>0.64749605926817533</c:v>
                </c:pt>
                <c:pt idx="328">
                  <c:v>0.62851367904217548</c:v>
                </c:pt>
                <c:pt idx="329">
                  <c:v>0.63165568669924343</c:v>
                </c:pt>
                <c:pt idx="330">
                  <c:v>0.6479808902447789</c:v>
                </c:pt>
                <c:pt idx="331">
                  <c:v>0.65719738666247829</c:v>
                </c:pt>
                <c:pt idx="332">
                  <c:v>0.67280856958950941</c:v>
                </c:pt>
                <c:pt idx="333">
                  <c:v>0.64209010104843645</c:v>
                </c:pt>
                <c:pt idx="334">
                  <c:v>0.61182270915283199</c:v>
                </c:pt>
                <c:pt idx="335">
                  <c:v>0.66174999930022793</c:v>
                </c:pt>
                <c:pt idx="336">
                  <c:v>0.70895752202332296</c:v>
                </c:pt>
                <c:pt idx="337">
                  <c:v>0.79536363387630282</c:v>
                </c:pt>
                <c:pt idx="338">
                  <c:v>0.75301437132122739</c:v>
                </c:pt>
                <c:pt idx="339">
                  <c:v>0.58304394688834971</c:v>
                </c:pt>
                <c:pt idx="340">
                  <c:v>0.45558925786280591</c:v>
                </c:pt>
                <c:pt idx="341">
                  <c:v>0.44229022100657672</c:v>
                </c:pt>
                <c:pt idx="342">
                  <c:v>0.47900140143844755</c:v>
                </c:pt>
                <c:pt idx="343">
                  <c:v>0.42327823469506703</c:v>
                </c:pt>
                <c:pt idx="344">
                  <c:v>0.41408227979049828</c:v>
                </c:pt>
                <c:pt idx="345">
                  <c:v>0.39609039327613893</c:v>
                </c:pt>
                <c:pt idx="346">
                  <c:v>0.40389807866024313</c:v>
                </c:pt>
                <c:pt idx="347">
                  <c:v>0.39119334469829087</c:v>
                </c:pt>
                <c:pt idx="348">
                  <c:v>0.40470891912968804</c:v>
                </c:pt>
                <c:pt idx="349">
                  <c:v>0.43254910561697862</c:v>
                </c:pt>
                <c:pt idx="350">
                  <c:v>0.45066536159386478</c:v>
                </c:pt>
                <c:pt idx="351">
                  <c:v>0.45410178232842713</c:v>
                </c:pt>
                <c:pt idx="352">
                  <c:v>0.40990756442842713</c:v>
                </c:pt>
                <c:pt idx="353">
                  <c:v>0.43246285861153982</c:v>
                </c:pt>
                <c:pt idx="354">
                  <c:v>0.38374011017860493</c:v>
                </c:pt>
                <c:pt idx="355">
                  <c:v>0.34918266224895955</c:v>
                </c:pt>
                <c:pt idx="356">
                  <c:v>0.36149355459378563</c:v>
                </c:pt>
                <c:pt idx="357">
                  <c:v>0.37021578744452011</c:v>
                </c:pt>
                <c:pt idx="358">
                  <c:v>0.3295520800265509</c:v>
                </c:pt>
                <c:pt idx="359">
                  <c:v>0.29541997219153665</c:v>
                </c:pt>
                <c:pt idx="360">
                  <c:v>0.2616807222975191</c:v>
                </c:pt>
                <c:pt idx="361">
                  <c:v>0.24089129732014916</c:v>
                </c:pt>
                <c:pt idx="362">
                  <c:v>0.27882136180432732</c:v>
                </c:pt>
                <c:pt idx="363">
                  <c:v>0.25224217309141006</c:v>
                </c:pt>
                <c:pt idx="364">
                  <c:v>0.23818281556333315</c:v>
                </c:pt>
                <c:pt idx="365">
                  <c:v>0.23475710721333315</c:v>
                </c:pt>
                <c:pt idx="366">
                  <c:v>0.24431479169245901</c:v>
                </c:pt>
                <c:pt idx="367">
                  <c:v>0.19463331183760596</c:v>
                </c:pt>
                <c:pt idx="368">
                  <c:v>0.19770362934664748</c:v>
                </c:pt>
                <c:pt idx="369">
                  <c:v>0.1986886244051598</c:v>
                </c:pt>
                <c:pt idx="370">
                  <c:v>0.19019358677132833</c:v>
                </c:pt>
                <c:pt idx="371">
                  <c:v>0.14730217447365895</c:v>
                </c:pt>
                <c:pt idx="372">
                  <c:v>0.18898626623373171</c:v>
                </c:pt>
                <c:pt idx="373">
                  <c:v>0.14688067902884755</c:v>
                </c:pt>
                <c:pt idx="374">
                  <c:v>0.18848240507927</c:v>
                </c:pt>
                <c:pt idx="375">
                  <c:v>0.21246501249815666</c:v>
                </c:pt>
                <c:pt idx="376">
                  <c:v>0.1670508861098495</c:v>
                </c:pt>
                <c:pt idx="377">
                  <c:v>0.18651965421617259</c:v>
                </c:pt>
                <c:pt idx="378">
                  <c:v>0.17819082316363719</c:v>
                </c:pt>
                <c:pt idx="379">
                  <c:v>0.20807588824383522</c:v>
                </c:pt>
                <c:pt idx="380">
                  <c:v>0.18777047149296552</c:v>
                </c:pt>
                <c:pt idx="381">
                  <c:v>0.15912249817053237</c:v>
                </c:pt>
                <c:pt idx="382">
                  <c:v>0.15033023517443245</c:v>
                </c:pt>
                <c:pt idx="383">
                  <c:v>0.15123820809244962</c:v>
                </c:pt>
                <c:pt idx="384">
                  <c:v>0.13378118475651832</c:v>
                </c:pt>
                <c:pt idx="385">
                  <c:v>4.7802720988973611E-2</c:v>
                </c:pt>
                <c:pt idx="386">
                  <c:v>-1.810412187328295E-2</c:v>
                </c:pt>
                <c:pt idx="387">
                  <c:v>4.3054004712620254E-2</c:v>
                </c:pt>
                <c:pt idx="388">
                  <c:v>7.9651279018478904E-2</c:v>
                </c:pt>
                <c:pt idx="389">
                  <c:v>3.596692402107022E-3</c:v>
                </c:pt>
                <c:pt idx="390">
                  <c:v>-2.1885097398905581E-2</c:v>
                </c:pt>
                <c:pt idx="391">
                  <c:v>-1.5183486639541435E-3</c:v>
                </c:pt>
                <c:pt idx="392">
                  <c:v>-4.1353019565339176E-2</c:v>
                </c:pt>
                <c:pt idx="393">
                  <c:v>-4.8289923337448054E-2</c:v>
                </c:pt>
                <c:pt idx="394">
                  <c:v>-2.957095420891084E-2</c:v>
                </c:pt>
                <c:pt idx="395">
                  <c:v>-5.7029005183590123E-2</c:v>
                </c:pt>
                <c:pt idx="396">
                  <c:v>-7.7680663777732764E-2</c:v>
                </c:pt>
                <c:pt idx="397">
                  <c:v>-6.7734204984939983E-2</c:v>
                </c:pt>
                <c:pt idx="398">
                  <c:v>-6.0464448852452661E-2</c:v>
                </c:pt>
                <c:pt idx="399">
                  <c:v>-7.1199606176310506E-2</c:v>
                </c:pt>
                <c:pt idx="400">
                  <c:v>-8.4642739207974188E-2</c:v>
                </c:pt>
                <c:pt idx="401">
                  <c:v>-7.1412205518233254E-2</c:v>
                </c:pt>
                <c:pt idx="402">
                  <c:v>-5.8466017613774651E-2</c:v>
                </c:pt>
                <c:pt idx="403">
                  <c:v>-5.4200645751466936E-2</c:v>
                </c:pt>
                <c:pt idx="404">
                  <c:v>-4.7444826084343639E-2</c:v>
                </c:pt>
                <c:pt idx="405">
                  <c:v>-3.6881530061423147E-2</c:v>
                </c:pt>
                <c:pt idx="406">
                  <c:v>-4.6309225795968613E-2</c:v>
                </c:pt>
                <c:pt idx="407">
                  <c:v>-3.3593773317609474E-2</c:v>
                </c:pt>
                <c:pt idx="408">
                  <c:v>-6.1630535738306368E-2</c:v>
                </c:pt>
                <c:pt idx="409">
                  <c:v>-8.2337941588029082E-2</c:v>
                </c:pt>
                <c:pt idx="410">
                  <c:v>-8.8401908037008675E-2</c:v>
                </c:pt>
                <c:pt idx="411">
                  <c:v>-8.7130570053193662E-2</c:v>
                </c:pt>
                <c:pt idx="412">
                  <c:v>-8.8195498158311791E-2</c:v>
                </c:pt>
                <c:pt idx="413">
                  <c:v>-7.511041577241967E-2</c:v>
                </c:pt>
                <c:pt idx="414">
                  <c:v>-6.9313976514972869E-2</c:v>
                </c:pt>
                <c:pt idx="415">
                  <c:v>-8.5889967191618913E-2</c:v>
                </c:pt>
                <c:pt idx="416">
                  <c:v>-7.2153928973915565E-2</c:v>
                </c:pt>
                <c:pt idx="417">
                  <c:v>-6.6454315494979863E-2</c:v>
                </c:pt>
                <c:pt idx="418">
                  <c:v>-6.1532464528244853E-2</c:v>
                </c:pt>
                <c:pt idx="419">
                  <c:v>-7.1945209951557731E-2</c:v>
                </c:pt>
                <c:pt idx="420">
                  <c:v>-5.9500807490211353E-2</c:v>
                </c:pt>
                <c:pt idx="421">
                  <c:v>-3.7065049673122311E-2</c:v>
                </c:pt>
                <c:pt idx="422">
                  <c:v>-4.4931594880210882E-2</c:v>
                </c:pt>
                <c:pt idx="423">
                  <c:v>-3.4623942118851295E-2</c:v>
                </c:pt>
                <c:pt idx="424">
                  <c:v>-3.5710934114844294E-2</c:v>
                </c:pt>
                <c:pt idx="425">
                  <c:v>-3.8699296084328816E-2</c:v>
                </c:pt>
                <c:pt idx="426">
                  <c:v>-4.1893263182594717E-2</c:v>
                </c:pt>
                <c:pt idx="427">
                  <c:v>-3.6072276805358933E-2</c:v>
                </c:pt>
                <c:pt idx="428">
                  <c:v>-1.1915972781721657E-2</c:v>
                </c:pt>
                <c:pt idx="429">
                  <c:v>2.4995109292887474E-3</c:v>
                </c:pt>
                <c:pt idx="430">
                  <c:v>6.9062808465300794E-3</c:v>
                </c:pt>
                <c:pt idx="431">
                  <c:v>1.0338088263348792E-4</c:v>
                </c:pt>
                <c:pt idx="432">
                  <c:v>1.0234673080081511E-2</c:v>
                </c:pt>
                <c:pt idx="433">
                  <c:v>-3.4501710418389283E-3</c:v>
                </c:pt>
                <c:pt idx="434">
                  <c:v>3.7217851072500236E-3</c:v>
                </c:pt>
                <c:pt idx="435">
                  <c:v>6.0307149775771212E-3</c:v>
                </c:pt>
                <c:pt idx="436">
                  <c:v>4.7821972560301686E-3</c:v>
                </c:pt>
                <c:pt idx="437">
                  <c:v>1.1027860431152081E-2</c:v>
                </c:pt>
                <c:pt idx="438">
                  <c:v>-3.0463146720233255E-3</c:v>
                </c:pt>
                <c:pt idx="439">
                  <c:v>2.4369313355578595E-3</c:v>
                </c:pt>
                <c:pt idx="440">
                  <c:v>7.3911664543227125E-3</c:v>
                </c:pt>
                <c:pt idx="441">
                  <c:v>3.1882879001537386E-3</c:v>
                </c:pt>
                <c:pt idx="442">
                  <c:v>7.5414492536856467E-3</c:v>
                </c:pt>
                <c:pt idx="443">
                  <c:v>2.2514798174244711E-2</c:v>
                </c:pt>
                <c:pt idx="444">
                  <c:v>9.2725716410372982E-3</c:v>
                </c:pt>
                <c:pt idx="445">
                  <c:v>1.9488849938788771E-2</c:v>
                </c:pt>
                <c:pt idx="446">
                  <c:v>9.2972544667340642E-3</c:v>
                </c:pt>
                <c:pt idx="447">
                  <c:v>4.6618383869973322E-2</c:v>
                </c:pt>
                <c:pt idx="448">
                  <c:v>1.4851020382256559E-2</c:v>
                </c:pt>
                <c:pt idx="449">
                  <c:v>1.413799984200758E-2</c:v>
                </c:pt>
                <c:pt idx="450">
                  <c:v>-3.0470894239030804E-3</c:v>
                </c:pt>
                <c:pt idx="451">
                  <c:v>5.3692063354799429E-3</c:v>
                </c:pt>
                <c:pt idx="452">
                  <c:v>1.2925379369107769E-2</c:v>
                </c:pt>
                <c:pt idx="453">
                  <c:v>8.8682754897714162E-3</c:v>
                </c:pt>
                <c:pt idx="454">
                  <c:v>1.4247135579601514E-3</c:v>
                </c:pt>
                <c:pt idx="455">
                  <c:v>-6.4039577316751658E-3</c:v>
                </c:pt>
                <c:pt idx="456">
                  <c:v>3.182392245908887E-3</c:v>
                </c:pt>
                <c:pt idx="457">
                  <c:v>2.0315735700004278E-2</c:v>
                </c:pt>
                <c:pt idx="458">
                  <c:v>7.0839186913467869E-3</c:v>
                </c:pt>
                <c:pt idx="459">
                  <c:v>1.6609742336900629E-2</c:v>
                </c:pt>
                <c:pt idx="460">
                  <c:v>2.4851464125708427E-2</c:v>
                </c:pt>
                <c:pt idx="461">
                  <c:v>2.6830292966353596E-2</c:v>
                </c:pt>
                <c:pt idx="462">
                  <c:v>1.8173559383614635E-2</c:v>
                </c:pt>
                <c:pt idx="463">
                  <c:v>1.9631090783077225E-2</c:v>
                </c:pt>
                <c:pt idx="464">
                  <c:v>4.0527790186242925E-2</c:v>
                </c:pt>
                <c:pt idx="465">
                  <c:v>5.337949044096485E-2</c:v>
                </c:pt>
                <c:pt idx="466">
                  <c:v>6.1456516934654135E-2</c:v>
                </c:pt>
                <c:pt idx="467">
                  <c:v>6.1790380313019526E-2</c:v>
                </c:pt>
                <c:pt idx="468">
                  <c:v>5.9879177299366405E-2</c:v>
                </c:pt>
                <c:pt idx="469">
                  <c:v>6.9097938111287324E-2</c:v>
                </c:pt>
                <c:pt idx="470">
                  <c:v>6.9355569674519751E-2</c:v>
                </c:pt>
                <c:pt idx="471">
                  <c:v>7.2264474332188161E-2</c:v>
                </c:pt>
                <c:pt idx="472">
                  <c:v>8.0848388585478895E-2</c:v>
                </c:pt>
                <c:pt idx="473">
                  <c:v>7.7177124997017343E-2</c:v>
                </c:pt>
                <c:pt idx="474">
                  <c:v>7.3853337437481723E-2</c:v>
                </c:pt>
                <c:pt idx="475">
                  <c:v>8.5166363829465255E-2</c:v>
                </c:pt>
                <c:pt idx="476">
                  <c:v>7.7709715880168589E-2</c:v>
                </c:pt>
                <c:pt idx="477">
                  <c:v>6.1673398280168608E-2</c:v>
                </c:pt>
                <c:pt idx="478">
                  <c:v>5.4547698645582607E-2</c:v>
                </c:pt>
                <c:pt idx="479">
                  <c:v>6.9428030583591663E-2</c:v>
                </c:pt>
                <c:pt idx="480">
                  <c:v>6.2779698313825225E-2</c:v>
                </c:pt>
                <c:pt idx="481">
                  <c:v>6.1400356981316379E-2</c:v>
                </c:pt>
                <c:pt idx="482">
                  <c:v>6.6198965877618185E-2</c:v>
                </c:pt>
                <c:pt idx="483">
                  <c:v>6.9833017459021957E-2</c:v>
                </c:pt>
                <c:pt idx="484">
                  <c:v>6.598812088507687E-2</c:v>
                </c:pt>
                <c:pt idx="485">
                  <c:v>6.6580692522095503E-2</c:v>
                </c:pt>
                <c:pt idx="486">
                  <c:v>6.6549719376818639E-2</c:v>
                </c:pt>
                <c:pt idx="487">
                  <c:v>7.513510429807975E-2</c:v>
                </c:pt>
                <c:pt idx="488">
                  <c:v>6.7990612282378113E-2</c:v>
                </c:pt>
                <c:pt idx="489">
                  <c:v>6.9384640603832662E-2</c:v>
                </c:pt>
                <c:pt idx="490">
                  <c:v>5.5691550042844089E-2</c:v>
                </c:pt>
                <c:pt idx="491">
                  <c:v>4.0100194283162943E-2</c:v>
                </c:pt>
                <c:pt idx="492">
                  <c:v>4.5803019424994165E-2</c:v>
                </c:pt>
                <c:pt idx="493">
                  <c:v>3.1054097007999437E-2</c:v>
                </c:pt>
                <c:pt idx="494">
                  <c:v>2.9441425560942688E-2</c:v>
                </c:pt>
                <c:pt idx="495">
                  <c:v>2.971791727694148E-2</c:v>
                </c:pt>
                <c:pt idx="496">
                  <c:v>3.7641034927193062E-2</c:v>
                </c:pt>
                <c:pt idx="497">
                  <c:v>4.7081739215710013E-3</c:v>
                </c:pt>
                <c:pt idx="498">
                  <c:v>-3.2680501480726445E-2</c:v>
                </c:pt>
                <c:pt idx="499">
                  <c:v>-4.1946775378208885E-3</c:v>
                </c:pt>
                <c:pt idx="500">
                  <c:v>1.0099652688681224E-2</c:v>
                </c:pt>
                <c:pt idx="501">
                  <c:v>1.633208883052566E-2</c:v>
                </c:pt>
                <c:pt idx="502">
                  <c:v>1.3550203503746567E-2</c:v>
                </c:pt>
                <c:pt idx="503">
                  <c:v>1.1963317658893182E-2</c:v>
                </c:pt>
                <c:pt idx="504">
                  <c:v>-2.0373325492037923E-4</c:v>
                </c:pt>
                <c:pt idx="505">
                  <c:v>1.7101744883223181E-2</c:v>
                </c:pt>
                <c:pt idx="506">
                  <c:v>-2.4527843418414956E-2</c:v>
                </c:pt>
                <c:pt idx="507">
                  <c:v>-1.2286295921961059E-2</c:v>
                </c:pt>
                <c:pt idx="508">
                  <c:v>-2.1099816404021438E-2</c:v>
                </c:pt>
                <c:pt idx="509">
                  <c:v>-4.468895801634664E-2</c:v>
                </c:pt>
                <c:pt idx="510">
                  <c:v>-2.9309291777774929E-2</c:v>
                </c:pt>
                <c:pt idx="511">
                  <c:v>-3.0915143106789608E-2</c:v>
                </c:pt>
                <c:pt idx="512">
                  <c:v>-2.0694616669437383E-5</c:v>
                </c:pt>
                <c:pt idx="513">
                  <c:v>-9.5700433537676075E-3</c:v>
                </c:pt>
                <c:pt idx="514">
                  <c:v>1.5513345791435965E-3</c:v>
                </c:pt>
                <c:pt idx="515">
                  <c:v>-7.9758507299473227E-3</c:v>
                </c:pt>
                <c:pt idx="516">
                  <c:v>-1.3570307619179798E-2</c:v>
                </c:pt>
                <c:pt idx="517">
                  <c:v>-1.4370520142749331E-2</c:v>
                </c:pt>
                <c:pt idx="518">
                  <c:v>-2.198284440786347E-2</c:v>
                </c:pt>
                <c:pt idx="519">
                  <c:v>-1.4096766531947504E-2</c:v>
                </c:pt>
                <c:pt idx="520">
                  <c:v>-1.986808749091358E-2</c:v>
                </c:pt>
                <c:pt idx="521">
                  <c:v>-2.4099286540051269E-2</c:v>
                </c:pt>
                <c:pt idx="522">
                  <c:v>-1.931967159029517E-2</c:v>
                </c:pt>
                <c:pt idx="523">
                  <c:v>-2.2283204395965022E-2</c:v>
                </c:pt>
                <c:pt idx="524">
                  <c:v>-2.4384521965192411E-2</c:v>
                </c:pt>
                <c:pt idx="525">
                  <c:v>-1.5762709195478133E-2</c:v>
                </c:pt>
                <c:pt idx="526">
                  <c:v>-1.7491979004762962E-2</c:v>
                </c:pt>
                <c:pt idx="527">
                  <c:v>-6.7654996183281833E-3</c:v>
                </c:pt>
                <c:pt idx="528">
                  <c:v>-1.1647115813921811E-2</c:v>
                </c:pt>
                <c:pt idx="529">
                  <c:v>-4.8471620968486284E-3</c:v>
                </c:pt>
                <c:pt idx="530">
                  <c:v>-7.8443597213158564E-3</c:v>
                </c:pt>
                <c:pt idx="531">
                  <c:v>2.0235531735993922E-3</c:v>
                </c:pt>
                <c:pt idx="532">
                  <c:v>1.089625109460254E-2</c:v>
                </c:pt>
                <c:pt idx="533">
                  <c:v>1.5622925655379491E-2</c:v>
                </c:pt>
                <c:pt idx="534">
                  <c:v>5.3365374946420753E-3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B8-4085-B1EE-4732C95DC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01696"/>
        <c:axId val="587587296"/>
      </c:lineChart>
      <c:dateAx>
        <c:axId val="17550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87296"/>
        <c:crosses val="autoZero"/>
        <c:auto val="1"/>
        <c:lblOffset val="100"/>
        <c:baseTimeUnit val="days"/>
      </c:dateAx>
      <c:valAx>
        <c:axId val="58758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07E2325-D0FA-4F7C-87DE-384F9C131458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BAEBB9-B08E-4A2E-86FC-E588BFF016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259.89999999999998</v>
      </c>
      <c r="D2" s="4">
        <f>MIN(D3:D1912)</f>
        <v>1.0301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92.11</v>
      </c>
      <c r="C5">
        <v>93.65</v>
      </c>
      <c r="D5">
        <v>89.48</v>
      </c>
      <c r="E5">
        <v>89.56</v>
      </c>
      <c r="F5">
        <v>340644.03</v>
      </c>
      <c r="G5">
        <v>89.56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-0.96163069544364588</v>
      </c>
      <c r="Q5">
        <f t="shared" ref="Q5" si="1">F5*P5</f>
        <v>-327573.75546762621</v>
      </c>
      <c r="R5">
        <f t="shared" ref="R5" si="2">R6+Q5</f>
        <v>192251544.36659196</v>
      </c>
      <c r="S5">
        <f t="shared" ref="S5" si="3">R5/100000</f>
        <v>1922.5154436659195</v>
      </c>
      <c r="T5">
        <f t="shared" ref="T5" si="4">S5/1000</f>
        <v>1.9225154436659195</v>
      </c>
    </row>
    <row r="6" spans="1:20" x14ac:dyDescent="0.25">
      <c r="A6" s="5">
        <v>44587</v>
      </c>
      <c r="B6">
        <v>94.65</v>
      </c>
      <c r="C6">
        <v>104.43</v>
      </c>
      <c r="D6">
        <v>89.19</v>
      </c>
      <c r="E6">
        <v>92.12</v>
      </c>
      <c r="F6">
        <v>4501340.6900000004</v>
      </c>
      <c r="G6">
        <v>92.12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-0.61548556430446133</v>
      </c>
      <c r="Q6">
        <f t="shared" ref="Q6" si="6">F6*P6</f>
        <v>-2770510.2147112838</v>
      </c>
      <c r="R6">
        <f t="shared" ref="R6" si="7">R7+Q6</f>
        <v>192579118.12205958</v>
      </c>
      <c r="S6">
        <f t="shared" ref="S6" si="8">R6/100000</f>
        <v>1925.7911812205959</v>
      </c>
      <c r="T6">
        <f t="shared" ref="T6" si="9">S6/1000</f>
        <v>1.9257911812205959</v>
      </c>
    </row>
    <row r="7" spans="1:20" x14ac:dyDescent="0.25">
      <c r="A7" s="5">
        <v>44586</v>
      </c>
      <c r="B7">
        <v>91.94</v>
      </c>
      <c r="C7">
        <v>99.95</v>
      </c>
      <c r="D7">
        <v>87.41</v>
      </c>
      <c r="E7">
        <v>94.67</v>
      </c>
      <c r="F7">
        <v>3482711.32</v>
      </c>
      <c r="G7">
        <v>94.67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0.1578947368421055</v>
      </c>
      <c r="Q7">
        <f t="shared" ref="Q7" si="11">F7*P7</f>
        <v>549901.78736842191</v>
      </c>
      <c r="R7">
        <f t="shared" ref="R7" si="12">R8+Q7</f>
        <v>195349628.33677086</v>
      </c>
      <c r="S7">
        <f t="shared" ref="S7" si="13">R7/100000</f>
        <v>1953.4962833677087</v>
      </c>
      <c r="T7">
        <f t="shared" ref="T7" si="14">S7/1000</f>
        <v>1.9534962833677088</v>
      </c>
    </row>
    <row r="8" spans="1:20" x14ac:dyDescent="0.25">
      <c r="A8" s="5">
        <v>44585</v>
      </c>
      <c r="B8">
        <v>99.74</v>
      </c>
      <c r="C8">
        <v>99.83</v>
      </c>
      <c r="D8">
        <v>80.83</v>
      </c>
      <c r="E8">
        <v>91.93</v>
      </c>
      <c r="F8">
        <v>6990036.71</v>
      </c>
      <c r="G8">
        <v>91.93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0.16842105263157983</v>
      </c>
      <c r="Q8">
        <f t="shared" ref="Q8" si="16">F8*P8</f>
        <v>1177269.3406315851</v>
      </c>
      <c r="R8">
        <f t="shared" ref="R8" si="17">R9+Q8</f>
        <v>194799726.54940245</v>
      </c>
      <c r="S8">
        <f t="shared" ref="S8" si="18">R8/100000</f>
        <v>1947.9972654940245</v>
      </c>
      <c r="T8">
        <f t="shared" ref="T8" si="19">S8/1000</f>
        <v>1.9479972654940245</v>
      </c>
    </row>
    <row r="9" spans="1:20" x14ac:dyDescent="0.25">
      <c r="A9" s="5">
        <v>44584</v>
      </c>
      <c r="B9">
        <v>94.57</v>
      </c>
      <c r="C9">
        <v>104.82</v>
      </c>
      <c r="D9">
        <v>93.25</v>
      </c>
      <c r="E9">
        <v>99.78</v>
      </c>
      <c r="F9">
        <v>3561751.04</v>
      </c>
      <c r="G9">
        <v>99.78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0.12878133102852291</v>
      </c>
      <c r="Q9">
        <f t="shared" ref="Q9" si="21">F9*P9</f>
        <v>458687.03972342575</v>
      </c>
      <c r="R9">
        <f t="shared" ref="R9" si="22">R10+Q9</f>
        <v>193622457.20877087</v>
      </c>
      <c r="S9">
        <f t="shared" ref="S9" si="23">R9/100000</f>
        <v>1936.2245720877088</v>
      </c>
      <c r="T9">
        <f t="shared" ref="T9" si="24">S9/1000</f>
        <v>1.9362245720877087</v>
      </c>
    </row>
    <row r="10" spans="1:20" x14ac:dyDescent="0.25">
      <c r="A10" s="5">
        <v>44583</v>
      </c>
      <c r="B10">
        <v>112.24</v>
      </c>
      <c r="C10">
        <v>114.89</v>
      </c>
      <c r="D10">
        <v>87.73</v>
      </c>
      <c r="E10">
        <v>94.54</v>
      </c>
      <c r="F10">
        <v>6455608.9800000004</v>
      </c>
      <c r="G10">
        <v>94.54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-0.49852724594992615</v>
      </c>
      <c r="Q10">
        <f t="shared" ref="Q10" si="26">F10*P10</f>
        <v>-3218296.9657290122</v>
      </c>
      <c r="R10">
        <f t="shared" ref="R10" si="27">R11+Q10</f>
        <v>193163770.16904745</v>
      </c>
      <c r="S10">
        <f t="shared" ref="S10" si="28">R10/100000</f>
        <v>1931.6377016904744</v>
      </c>
      <c r="T10">
        <f t="shared" ref="T10" si="29">S10/1000</f>
        <v>1.9316377016904744</v>
      </c>
    </row>
    <row r="11" spans="1:20" x14ac:dyDescent="0.25">
      <c r="A11" s="5">
        <v>44582</v>
      </c>
      <c r="B11">
        <v>127.54</v>
      </c>
      <c r="C11">
        <v>128.72999999999999</v>
      </c>
      <c r="D11">
        <v>106.11</v>
      </c>
      <c r="E11">
        <v>112.27</v>
      </c>
      <c r="F11">
        <v>4523020.6900000004</v>
      </c>
      <c r="G11">
        <v>112.27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-0.45534924845269681</v>
      </c>
      <c r="Q11">
        <f t="shared" ref="Q11" si="31">F11*P11</f>
        <v>-2059554.0719274983</v>
      </c>
      <c r="R11">
        <f t="shared" ref="R11" si="32">R12+Q11</f>
        <v>196382067.13477644</v>
      </c>
      <c r="S11">
        <f t="shared" ref="S11" si="33">R11/100000</f>
        <v>1963.8206713477643</v>
      </c>
      <c r="T11">
        <f t="shared" ref="T11" si="34">S11/1000</f>
        <v>1.9638206713477644</v>
      </c>
    </row>
    <row r="12" spans="1:20" x14ac:dyDescent="0.25">
      <c r="A12" s="5">
        <v>44581</v>
      </c>
      <c r="B12">
        <v>135.22999999999999</v>
      </c>
      <c r="C12">
        <v>143.83000000000001</v>
      </c>
      <c r="D12">
        <v>126.01</v>
      </c>
      <c r="E12">
        <v>127.54</v>
      </c>
      <c r="F12">
        <v>1464593.98</v>
      </c>
      <c r="G12">
        <v>127.54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-0.82828282828282818</v>
      </c>
      <c r="Q12">
        <f t="shared" ref="Q12" si="36">F12*P12</f>
        <v>-1213098.0440404038</v>
      </c>
      <c r="R12">
        <f t="shared" ref="R12" si="37">R13+Q12</f>
        <v>198441621.20670393</v>
      </c>
      <c r="S12">
        <f t="shared" ref="S12" si="38">R12/100000</f>
        <v>1984.4162120670394</v>
      </c>
      <c r="T12">
        <f t="shared" ref="T12" si="39">S12/1000</f>
        <v>1.9844162120670394</v>
      </c>
    </row>
    <row r="13" spans="1:20" x14ac:dyDescent="0.25">
      <c r="A13" s="5">
        <v>44580</v>
      </c>
      <c r="B13">
        <v>141.32</v>
      </c>
      <c r="C13">
        <v>142.69999999999999</v>
      </c>
      <c r="D13">
        <v>132.77000000000001</v>
      </c>
      <c r="E13">
        <v>135.25</v>
      </c>
      <c r="F13">
        <v>1175171.3899999999</v>
      </c>
      <c r="G13">
        <v>135.25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-0.50050352467270998</v>
      </c>
      <c r="Q13">
        <f t="shared" ref="Q13" si="41">F13*P13</f>
        <v>-588177.4227895278</v>
      </c>
      <c r="R13">
        <f t="shared" ref="R13" si="42">R14+Q13</f>
        <v>199654719.25074434</v>
      </c>
      <c r="S13">
        <f t="shared" ref="S13" si="43">R13/100000</f>
        <v>1996.5471925074435</v>
      </c>
      <c r="T13">
        <f t="shared" ref="T13" si="44">S13/1000</f>
        <v>1.9965471925074434</v>
      </c>
    </row>
    <row r="14" spans="1:20" x14ac:dyDescent="0.25">
      <c r="A14" s="5">
        <v>44579</v>
      </c>
      <c r="B14">
        <v>139.81</v>
      </c>
      <c r="C14">
        <v>142.77000000000001</v>
      </c>
      <c r="D14">
        <v>134.38999999999999</v>
      </c>
      <c r="E14">
        <v>141.18</v>
      </c>
      <c r="F14">
        <v>1254308.24</v>
      </c>
      <c r="G14">
        <v>141.18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0.62052505966587135</v>
      </c>
      <c r="Q14">
        <f t="shared" ref="Q14" si="46">F14*P14</f>
        <v>778329.69546539406</v>
      </c>
      <c r="R14">
        <f t="shared" ref="R14" si="47">R15+Q14</f>
        <v>200242896.67353386</v>
      </c>
      <c r="S14">
        <f t="shared" ref="S14" si="48">R14/100000</f>
        <v>2002.4289667353385</v>
      </c>
      <c r="T14">
        <f t="shared" ref="T14" si="49">S14/1000</f>
        <v>2.0024289667353385</v>
      </c>
    </row>
    <row r="15" spans="1:20" x14ac:dyDescent="0.25">
      <c r="A15" s="5">
        <v>44578</v>
      </c>
      <c r="B15">
        <v>147.97999999999999</v>
      </c>
      <c r="C15">
        <v>148.29</v>
      </c>
      <c r="D15">
        <v>137.02000000000001</v>
      </c>
      <c r="E15">
        <v>139.80000000000001</v>
      </c>
      <c r="F15">
        <v>1297654.1399999999</v>
      </c>
      <c r="G15">
        <v>139.80000000000001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-0.50665483584738147</v>
      </c>
      <c r="Q15">
        <f t="shared" ref="Q15" si="51">F15*P15</f>
        <v>-657462.74528837495</v>
      </c>
      <c r="R15">
        <f t="shared" ref="R15" si="52">R16+Q15</f>
        <v>199464566.97806847</v>
      </c>
      <c r="S15">
        <f t="shared" ref="S15" si="53">R15/100000</f>
        <v>1994.6456697806848</v>
      </c>
      <c r="T15">
        <f t="shared" ref="T15" si="54">S15/1000</f>
        <v>1.9946456697806847</v>
      </c>
    </row>
    <row r="16" spans="1:20" x14ac:dyDescent="0.25">
      <c r="A16" s="5">
        <v>44577</v>
      </c>
      <c r="B16">
        <v>147.61000000000001</v>
      </c>
      <c r="C16">
        <v>151.96</v>
      </c>
      <c r="D16">
        <v>146.09</v>
      </c>
      <c r="E16">
        <v>147.97999999999999</v>
      </c>
      <c r="F16">
        <v>964270.14</v>
      </c>
      <c r="G16">
        <v>147.97999999999999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-0.35604770017036291</v>
      </c>
      <c r="Q16">
        <f t="shared" ref="Q16" si="56">F16*P16</f>
        <v>-343326.16568995389</v>
      </c>
      <c r="R16">
        <f t="shared" ref="R16" si="57">R17+Q16</f>
        <v>200122029.72335684</v>
      </c>
      <c r="S16">
        <f t="shared" ref="S16" si="58">R16/100000</f>
        <v>2001.2202972335683</v>
      </c>
      <c r="T16">
        <f t="shared" ref="T16" si="59">S16/1000</f>
        <v>2.0012202972335684</v>
      </c>
    </row>
    <row r="17" spans="1:20" x14ac:dyDescent="0.25">
      <c r="A17" s="5">
        <v>44576</v>
      </c>
      <c r="B17">
        <v>146.18</v>
      </c>
      <c r="C17">
        <v>149.49</v>
      </c>
      <c r="D17">
        <v>143.9</v>
      </c>
      <c r="E17">
        <v>147.63999999999999</v>
      </c>
      <c r="F17">
        <v>865014.75</v>
      </c>
      <c r="G17">
        <v>147.63999999999999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0.33810375670840015</v>
      </c>
      <c r="Q17">
        <f t="shared" ref="Q17" si="61">F17*P17</f>
        <v>292464.73658317758</v>
      </c>
      <c r="R17">
        <f t="shared" ref="R17" si="62">R18+Q17</f>
        <v>200465355.88904679</v>
      </c>
      <c r="S17">
        <f t="shared" ref="S17" si="63">R17/100000</f>
        <v>2004.6535588904678</v>
      </c>
      <c r="T17">
        <f t="shared" ref="T17" si="64">S17/1000</f>
        <v>2.0046535588904679</v>
      </c>
    </row>
    <row r="18" spans="1:20" x14ac:dyDescent="0.25">
      <c r="A18" s="5">
        <v>44575</v>
      </c>
      <c r="B18">
        <v>146.13</v>
      </c>
      <c r="C18">
        <v>150.56</v>
      </c>
      <c r="D18">
        <v>141.84</v>
      </c>
      <c r="E18">
        <v>146.16999999999999</v>
      </c>
      <c r="F18">
        <v>1428145.3</v>
      </c>
      <c r="G18">
        <v>146.16999999999999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-6.8807339449576494E-3</v>
      </c>
      <c r="Q18">
        <f t="shared" ref="Q18" si="66">F18*P18</f>
        <v>-9826.6878440417258</v>
      </c>
      <c r="R18">
        <f t="shared" ref="R18" si="67">R19+Q18</f>
        <v>200172891.15246361</v>
      </c>
      <c r="S18">
        <f t="shared" ref="S18" si="68">R18/100000</f>
        <v>2001.7289115246363</v>
      </c>
      <c r="T18">
        <f t="shared" ref="T18" si="69">S18/1000</f>
        <v>2.0017289115246362</v>
      </c>
    </row>
    <row r="19" spans="1:20" x14ac:dyDescent="0.25">
      <c r="A19" s="5">
        <v>44574</v>
      </c>
      <c r="B19">
        <v>151.5</v>
      </c>
      <c r="C19">
        <v>157.80000000000001</v>
      </c>
      <c r="D19">
        <v>145.41</v>
      </c>
      <c r="E19">
        <v>146.13999999999999</v>
      </c>
      <c r="F19">
        <v>1984121.59</v>
      </c>
      <c r="G19">
        <v>146.13999999999999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-0.88216303470540935</v>
      </c>
      <c r="Q19">
        <f t="shared" ref="Q19" si="71">F19*P19</f>
        <v>-1750318.723058922</v>
      </c>
      <c r="R19">
        <f t="shared" ref="R19" si="72">R20+Q19</f>
        <v>200182717.84030765</v>
      </c>
      <c r="S19">
        <f t="shared" ref="S19" si="73">R19/100000</f>
        <v>2001.8271784030765</v>
      </c>
      <c r="T19">
        <f t="shared" ref="T19" si="74">S19/1000</f>
        <v>2.0018271784030763</v>
      </c>
    </row>
    <row r="20" spans="1:20" x14ac:dyDescent="0.25">
      <c r="A20" s="5">
        <v>44573</v>
      </c>
      <c r="B20">
        <v>140.19</v>
      </c>
      <c r="C20">
        <v>153.38999999999999</v>
      </c>
      <c r="D20">
        <v>138.22</v>
      </c>
      <c r="E20">
        <v>151.51</v>
      </c>
      <c r="F20">
        <v>1946788.76</v>
      </c>
      <c r="G20">
        <v>151.51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0.75214238628872809</v>
      </c>
      <c r="Q20">
        <f t="shared" ref="Q20" si="76">F20*P20</f>
        <v>1464262.3435464739</v>
      </c>
      <c r="R20">
        <f t="shared" ref="R20" si="77">R21+Q20</f>
        <v>201933036.56336656</v>
      </c>
      <c r="S20">
        <f t="shared" ref="S20" si="78">R20/100000</f>
        <v>2019.3303656336657</v>
      </c>
      <c r="T20">
        <f t="shared" ref="T20" si="79">S20/1000</f>
        <v>2.0193303656336656</v>
      </c>
    </row>
    <row r="21" spans="1:20" x14ac:dyDescent="0.25">
      <c r="A21" s="5">
        <v>44572</v>
      </c>
      <c r="B21">
        <v>135.84</v>
      </c>
      <c r="C21">
        <v>143.5</v>
      </c>
      <c r="D21">
        <v>133.58000000000001</v>
      </c>
      <c r="E21">
        <v>140.19999999999999</v>
      </c>
      <c r="F21">
        <v>1328579.57</v>
      </c>
      <c r="G21">
        <v>140.19999999999999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0.33467741935483558</v>
      </c>
      <c r="Q21">
        <f t="shared" ref="Q21" si="81">F21*P21</f>
        <v>444645.58189515717</v>
      </c>
      <c r="R21">
        <f t="shared" ref="R21" si="82">R22+Q21</f>
        <v>200468774.21982008</v>
      </c>
      <c r="S21">
        <f t="shared" ref="S21" si="83">R21/100000</f>
        <v>2004.6877421982008</v>
      </c>
      <c r="T21">
        <f t="shared" ref="T21" si="84">S21/1000</f>
        <v>2.0046877421982008</v>
      </c>
    </row>
    <row r="22" spans="1:20" x14ac:dyDescent="0.25">
      <c r="A22" s="5">
        <v>44571</v>
      </c>
      <c r="B22">
        <v>140.82</v>
      </c>
      <c r="C22">
        <v>143.86000000000001</v>
      </c>
      <c r="D22">
        <v>130</v>
      </c>
      <c r="E22">
        <v>135.86000000000001</v>
      </c>
      <c r="F22">
        <v>1894512.51</v>
      </c>
      <c r="G22">
        <v>135.86000000000001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-0.15440115440115326</v>
      </c>
      <c r="Q22">
        <f t="shared" ref="Q22" si="86">F22*P22</f>
        <v>-292514.91857142642</v>
      </c>
      <c r="R22">
        <f t="shared" ref="R22" si="87">R23+Q22</f>
        <v>200024128.63792494</v>
      </c>
      <c r="S22">
        <f t="shared" ref="S22" si="88">R22/100000</f>
        <v>2000.2412863792495</v>
      </c>
      <c r="T22">
        <f t="shared" ref="T22" si="89">S22/1000</f>
        <v>2.0002412863792496</v>
      </c>
    </row>
    <row r="23" spans="1:20" x14ac:dyDescent="0.25">
      <c r="A23" s="5">
        <v>44570</v>
      </c>
      <c r="B23">
        <v>142.1</v>
      </c>
      <c r="C23">
        <v>145.71</v>
      </c>
      <c r="D23">
        <v>137.83000000000001</v>
      </c>
      <c r="E23">
        <v>140.82</v>
      </c>
      <c r="F23">
        <v>1435153.15</v>
      </c>
      <c r="G23">
        <v>140.82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-0.24111675126904</v>
      </c>
      <c r="Q23">
        <f t="shared" ref="Q23" si="91">F23*P23</f>
        <v>-346039.46510152926</v>
      </c>
      <c r="R23">
        <f t="shared" ref="R23" si="92">R24+Q23</f>
        <v>200316643.55649635</v>
      </c>
      <c r="S23">
        <f t="shared" ref="S23" si="93">R23/100000</f>
        <v>2003.1664355649634</v>
      </c>
      <c r="T23">
        <f t="shared" ref="T23" si="94">S23/1000</f>
        <v>2.0031664355649634</v>
      </c>
    </row>
    <row r="24" spans="1:20" x14ac:dyDescent="0.25">
      <c r="A24" s="5">
        <v>44569</v>
      </c>
      <c r="B24">
        <v>136.43</v>
      </c>
      <c r="C24">
        <v>148.11000000000001</v>
      </c>
      <c r="D24">
        <v>133</v>
      </c>
      <c r="E24">
        <v>142.13999999999999</v>
      </c>
      <c r="F24">
        <v>2695415.51</v>
      </c>
      <c r="G24">
        <v>142.13999999999999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0.20979483785572178</v>
      </c>
      <c r="Q24">
        <f t="shared" ref="Q24" si="96">F24*P24</f>
        <v>565484.2598742476</v>
      </c>
      <c r="R24">
        <f t="shared" ref="R24" si="97">R25+Q24</f>
        <v>200662683.02159789</v>
      </c>
      <c r="S24">
        <f t="shared" ref="S24" si="98">R24/100000</f>
        <v>2006.626830215979</v>
      </c>
      <c r="T24">
        <f t="shared" ref="T24" si="99">S24/1000</f>
        <v>2.0066268302159789</v>
      </c>
    </row>
    <row r="25" spans="1:20" x14ac:dyDescent="0.25">
      <c r="A25" s="5">
        <v>44568</v>
      </c>
      <c r="B25">
        <v>150.28</v>
      </c>
      <c r="C25">
        <v>150.72</v>
      </c>
      <c r="D25">
        <v>133.08000000000001</v>
      </c>
      <c r="E25">
        <v>136.44999999999999</v>
      </c>
      <c r="F25">
        <v>2719397.3</v>
      </c>
      <c r="G25">
        <v>136.44999999999999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-0.61791383219954887</v>
      </c>
      <c r="Q25">
        <f t="shared" ref="Q25" si="101">F25*P25</f>
        <v>-1680353.2069161062</v>
      </c>
      <c r="R25">
        <f t="shared" ref="R25" si="102">R26+Q25</f>
        <v>200097198.76172364</v>
      </c>
      <c r="S25">
        <f t="shared" ref="S25" si="103">R25/100000</f>
        <v>2000.9719876172364</v>
      </c>
      <c r="T25">
        <f t="shared" ref="T25" si="104">S25/1000</f>
        <v>2.0009719876172363</v>
      </c>
    </row>
    <row r="26" spans="1:20" x14ac:dyDescent="0.25">
      <c r="A26" s="5">
        <v>44567</v>
      </c>
      <c r="B26">
        <v>154.47999999999999</v>
      </c>
      <c r="C26">
        <v>154.80000000000001</v>
      </c>
      <c r="D26">
        <v>145.97999999999999</v>
      </c>
      <c r="E26">
        <v>150.26</v>
      </c>
      <c r="F26">
        <v>1575071.3</v>
      </c>
      <c r="G26">
        <v>150.26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-2.9478458049888741E-2</v>
      </c>
      <c r="Q26">
        <f t="shared" ref="Q26" si="106">F26*P26</f>
        <v>-46430.673242633726</v>
      </c>
      <c r="R26">
        <f t="shared" ref="R26" si="107">R27+Q26</f>
        <v>201777551.96863973</v>
      </c>
      <c r="S26">
        <f t="shared" ref="S26" si="108">R26/100000</f>
        <v>2017.7755196863973</v>
      </c>
      <c r="T26">
        <f t="shared" ref="T26" si="109">S26/1000</f>
        <v>2.0177755196863973</v>
      </c>
    </row>
    <row r="27" spans="1:20" x14ac:dyDescent="0.25">
      <c r="A27" s="5">
        <v>44566</v>
      </c>
      <c r="B27">
        <v>167.74</v>
      </c>
      <c r="C27">
        <v>171.32</v>
      </c>
      <c r="D27">
        <v>144.91999999999999</v>
      </c>
      <c r="E27">
        <v>154.52000000000001</v>
      </c>
      <c r="F27">
        <v>1659848.17</v>
      </c>
      <c r="G27">
        <v>154.52000000000001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-0.27272727272727115</v>
      </c>
      <c r="Q27">
        <f t="shared" ref="Q27" si="111">F27*P27</f>
        <v>-452685.86454545188</v>
      </c>
      <c r="R27">
        <f t="shared" ref="R27" si="112">R28+Q27</f>
        <v>201823982.64188236</v>
      </c>
      <c r="S27">
        <f t="shared" ref="S27" si="113">R27/100000</f>
        <v>2018.2398264188237</v>
      </c>
      <c r="T27">
        <f t="shared" ref="T27" si="114">S27/1000</f>
        <v>2.0182398264188235</v>
      </c>
    </row>
    <row r="28" spans="1:20" x14ac:dyDescent="0.25">
      <c r="A28" s="5">
        <v>44565</v>
      </c>
      <c r="B28">
        <v>170.14</v>
      </c>
      <c r="C28">
        <v>173.93</v>
      </c>
      <c r="D28">
        <v>166.47</v>
      </c>
      <c r="E28">
        <v>167.72</v>
      </c>
      <c r="F28">
        <v>1041332.63</v>
      </c>
      <c r="G28">
        <v>167.72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-0.66487935656836494</v>
      </c>
      <c r="Q28">
        <f t="shared" ref="Q28" si="116">F28*P28</f>
        <v>-692360.56900804327</v>
      </c>
      <c r="R28">
        <f t="shared" ref="R28" si="117">R29+Q28</f>
        <v>202276668.50642782</v>
      </c>
      <c r="S28">
        <f t="shared" ref="S28" si="118">R28/100000</f>
        <v>2022.7666850642781</v>
      </c>
      <c r="T28">
        <f t="shared" ref="T28" si="119">S28/1000</f>
        <v>2.022766685064278</v>
      </c>
    </row>
    <row r="29" spans="1:20" x14ac:dyDescent="0.25">
      <c r="A29" s="5">
        <v>44564</v>
      </c>
      <c r="B29">
        <v>176.34</v>
      </c>
      <c r="C29">
        <v>176.49</v>
      </c>
      <c r="D29">
        <v>166.59</v>
      </c>
      <c r="E29">
        <v>170.15</v>
      </c>
      <c r="F29">
        <v>1031316.43</v>
      </c>
      <c r="G29">
        <v>170.15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-0.28080808080808078</v>
      </c>
      <c r="Q29">
        <f t="shared" ref="Q29" si="121">F29*P29</f>
        <v>-289601.98741414142</v>
      </c>
      <c r="R29">
        <f t="shared" ref="R29" si="122">R30+Q29</f>
        <v>202969029.07543588</v>
      </c>
      <c r="S29">
        <f t="shared" ref="S29" si="123">R29/100000</f>
        <v>2029.6902907543588</v>
      </c>
      <c r="T29">
        <f t="shared" ref="T29" si="124">S29/1000</f>
        <v>2.0296902907543588</v>
      </c>
    </row>
    <row r="30" spans="1:20" x14ac:dyDescent="0.25">
      <c r="A30" s="5">
        <v>44563</v>
      </c>
      <c r="B30">
        <v>179.06</v>
      </c>
      <c r="C30">
        <v>179.53</v>
      </c>
      <c r="D30">
        <v>174.31</v>
      </c>
      <c r="E30">
        <v>176.35</v>
      </c>
      <c r="F30">
        <v>620087.38</v>
      </c>
      <c r="G30">
        <v>176.35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-0.21839080459770402</v>
      </c>
      <c r="Q30">
        <f t="shared" ref="Q30" si="126">F30*P30</f>
        <v>-135421.38183908223</v>
      </c>
      <c r="R30">
        <f t="shared" ref="R30" si="127">R31+Q30</f>
        <v>203258631.06285003</v>
      </c>
      <c r="S30">
        <f t="shared" ref="S30" si="128">R30/100000</f>
        <v>2032.5863106285003</v>
      </c>
      <c r="T30">
        <f t="shared" ref="T30" si="129">S30/1000</f>
        <v>2.0325863106285005</v>
      </c>
    </row>
    <row r="31" spans="1:20" x14ac:dyDescent="0.25">
      <c r="A31" s="5">
        <v>44562</v>
      </c>
      <c r="B31">
        <v>170.01</v>
      </c>
      <c r="C31">
        <v>179.2</v>
      </c>
      <c r="D31">
        <v>169.93</v>
      </c>
      <c r="E31">
        <v>179.06</v>
      </c>
      <c r="F31">
        <v>634599.39</v>
      </c>
      <c r="G31">
        <v>179.06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0.96979503775620568</v>
      </c>
      <c r="Q31">
        <f t="shared" ref="Q31" si="131">F31*P31</f>
        <v>615431.33938511508</v>
      </c>
      <c r="R31">
        <f t="shared" ref="R31" si="132">R32+Q31</f>
        <v>203394052.44468912</v>
      </c>
      <c r="S31">
        <f t="shared" ref="S31" si="133">R31/100000</f>
        <v>2033.9405244468912</v>
      </c>
      <c r="T31">
        <f t="shared" ref="T31" si="134">S31/1000</f>
        <v>2.0339405244468911</v>
      </c>
    </row>
    <row r="32" spans="1:20" x14ac:dyDescent="0.25">
      <c r="A32" s="5">
        <v>44561</v>
      </c>
      <c r="B32">
        <v>172.53</v>
      </c>
      <c r="C32">
        <v>177.65</v>
      </c>
      <c r="D32">
        <v>167.67</v>
      </c>
      <c r="E32">
        <v>169.99</v>
      </c>
      <c r="F32">
        <v>1026603.34</v>
      </c>
      <c r="G32">
        <v>169.99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-0.53507014028055766</v>
      </c>
      <c r="Q32">
        <f t="shared" ref="Q32" si="136">F32*P32</f>
        <v>-549304.79314628907</v>
      </c>
      <c r="R32">
        <f t="shared" ref="R32" si="137">R33+Q32</f>
        <v>202778621.105304</v>
      </c>
      <c r="S32">
        <f t="shared" ref="S32" si="138">R32/100000</f>
        <v>2027.78621105304</v>
      </c>
      <c r="T32">
        <f t="shared" ref="T32" si="139">S32/1000</f>
        <v>2.0277862110530398</v>
      </c>
    </row>
    <row r="33" spans="1:20" x14ac:dyDescent="0.25">
      <c r="A33" s="5">
        <v>44560</v>
      </c>
      <c r="B33">
        <v>170.65</v>
      </c>
      <c r="C33">
        <v>175.74</v>
      </c>
      <c r="D33">
        <v>168.17</v>
      </c>
      <c r="E33">
        <v>172.52</v>
      </c>
      <c r="F33">
        <v>1022709.31</v>
      </c>
      <c r="G33">
        <v>172.52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0.14927344782034618</v>
      </c>
      <c r="Q33">
        <f t="shared" ref="Q33" si="141">F33*P33</f>
        <v>152663.34482166727</v>
      </c>
      <c r="R33">
        <f t="shared" ref="R33" si="142">R34+Q33</f>
        <v>203327925.89845029</v>
      </c>
      <c r="S33">
        <f t="shared" ref="S33" si="143">R33/100000</f>
        <v>2033.2792589845028</v>
      </c>
      <c r="T33">
        <f t="shared" ref="T33" si="144">S33/1000</f>
        <v>2.033279258984503</v>
      </c>
    </row>
    <row r="34" spans="1:20" x14ac:dyDescent="0.25">
      <c r="A34" s="5">
        <v>44559</v>
      </c>
      <c r="B34">
        <v>177.28</v>
      </c>
      <c r="C34">
        <v>180.62</v>
      </c>
      <c r="D34">
        <v>170.01</v>
      </c>
      <c r="E34">
        <v>170.63</v>
      </c>
      <c r="F34">
        <v>1540603.75</v>
      </c>
      <c r="G34">
        <v>170.63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-0.88312912346842531</v>
      </c>
      <c r="Q34">
        <f t="shared" ref="Q34" si="146">F34*P34</f>
        <v>-1360552.0393496691</v>
      </c>
      <c r="R34">
        <f t="shared" ref="R34" si="147">R35+Q34</f>
        <v>203175262.55362862</v>
      </c>
      <c r="S34">
        <f t="shared" ref="S34" si="148">R34/100000</f>
        <v>2031.7526255362861</v>
      </c>
      <c r="T34">
        <f t="shared" ref="T34" si="149">S34/1000</f>
        <v>2.0317526255362863</v>
      </c>
    </row>
    <row r="35" spans="1:20" x14ac:dyDescent="0.25">
      <c r="A35" s="5">
        <v>44558</v>
      </c>
      <c r="B35">
        <v>195.68</v>
      </c>
      <c r="C35">
        <v>195.68</v>
      </c>
      <c r="D35">
        <v>176.2</v>
      </c>
      <c r="E35">
        <v>177.32</v>
      </c>
      <c r="F35">
        <v>1997243.2</v>
      </c>
      <c r="G35">
        <v>177.32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-0.88501026694045137</v>
      </c>
      <c r="Q35">
        <f t="shared" ref="Q35" si="151">F35*P35</f>
        <v>-1767580.7375770013</v>
      </c>
      <c r="R35">
        <f t="shared" ref="R35" si="152">R36+Q35</f>
        <v>204535814.5929783</v>
      </c>
      <c r="S35">
        <f t="shared" ref="S35" si="153">R35/100000</f>
        <v>2045.3581459297829</v>
      </c>
      <c r="T35">
        <f t="shared" ref="T35" si="154">S35/1000</f>
        <v>2.0453581459297832</v>
      </c>
    </row>
    <row r="36" spans="1:20" x14ac:dyDescent="0.25">
      <c r="A36" s="5">
        <v>44557</v>
      </c>
      <c r="B36">
        <v>197.85</v>
      </c>
      <c r="C36">
        <v>204.75</v>
      </c>
      <c r="D36">
        <v>194.71</v>
      </c>
      <c r="E36">
        <v>195.67</v>
      </c>
      <c r="F36">
        <v>1218339.79</v>
      </c>
      <c r="G36">
        <v>195.67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-0.80876494023904777</v>
      </c>
      <c r="Q36">
        <f t="shared" ref="Q36" si="156">F36*P36</f>
        <v>-985350.50745020399</v>
      </c>
      <c r="R36">
        <f t="shared" ref="R36" si="157">R37+Q36</f>
        <v>206303395.33055529</v>
      </c>
      <c r="S36">
        <f t="shared" ref="S36" si="158">R36/100000</f>
        <v>2063.033953305553</v>
      </c>
      <c r="T36">
        <f t="shared" ref="T36" si="159">S36/1000</f>
        <v>2.0630339533055531</v>
      </c>
    </row>
    <row r="37" spans="1:20" x14ac:dyDescent="0.25">
      <c r="A37" s="5">
        <v>44556</v>
      </c>
      <c r="B37">
        <v>193.03</v>
      </c>
      <c r="C37">
        <v>200.59</v>
      </c>
      <c r="D37">
        <v>190.22</v>
      </c>
      <c r="E37">
        <v>197.81</v>
      </c>
      <c r="F37">
        <v>1539530.03</v>
      </c>
      <c r="G37">
        <v>197.81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0.46383799421407906</v>
      </c>
      <c r="Q37">
        <f t="shared" ref="Q37" si="161">F37*P37</f>
        <v>714092.521147541</v>
      </c>
      <c r="R37">
        <f t="shared" ref="R37" si="162">R38+Q37</f>
        <v>207288745.83800548</v>
      </c>
      <c r="S37">
        <f t="shared" ref="S37" si="163">R37/100000</f>
        <v>2072.8874583800548</v>
      </c>
      <c r="T37">
        <f t="shared" ref="T37" si="164">S37/1000</f>
        <v>2.0728874583800549</v>
      </c>
    </row>
    <row r="38" spans="1:20" x14ac:dyDescent="0.25">
      <c r="A38" s="5">
        <v>44555</v>
      </c>
      <c r="B38">
        <v>190.37</v>
      </c>
      <c r="C38">
        <v>195</v>
      </c>
      <c r="D38">
        <v>189.08</v>
      </c>
      <c r="E38">
        <v>193.1</v>
      </c>
      <c r="F38">
        <v>1047151.86</v>
      </c>
      <c r="G38">
        <v>193.1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0.35810810810810484</v>
      </c>
      <c r="Q38">
        <f t="shared" ref="Q38" si="166">F38*P38</f>
        <v>374993.57148648304</v>
      </c>
      <c r="R38">
        <f t="shared" ref="R38" si="167">R39+Q38</f>
        <v>206574653.31685793</v>
      </c>
      <c r="S38">
        <f t="shared" ref="S38" si="168">R38/100000</f>
        <v>2065.7465331685794</v>
      </c>
      <c r="T38">
        <f t="shared" ref="T38" si="169">S38/1000</f>
        <v>2.0657465331685794</v>
      </c>
    </row>
    <row r="39" spans="1:20" x14ac:dyDescent="0.25">
      <c r="A39" s="5">
        <v>44554</v>
      </c>
      <c r="B39">
        <v>190.08</v>
      </c>
      <c r="C39">
        <v>197.55</v>
      </c>
      <c r="D39">
        <v>184.14</v>
      </c>
      <c r="E39">
        <v>190.36</v>
      </c>
      <c r="F39">
        <v>1657463.56</v>
      </c>
      <c r="G39">
        <v>190.36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-7.2334079045486097E-2</v>
      </c>
      <c r="Q39">
        <f t="shared" ref="Q39" si="171">F39*P39</f>
        <v>-119891.1001640528</v>
      </c>
      <c r="R39">
        <f t="shared" ref="R39" si="172">R40+Q39</f>
        <v>206199659.74537146</v>
      </c>
      <c r="S39">
        <f t="shared" ref="S39" si="173">R39/100000</f>
        <v>2061.9965974537145</v>
      </c>
      <c r="T39">
        <f t="shared" ref="T39" si="174">S39/1000</f>
        <v>2.0619965974537147</v>
      </c>
    </row>
    <row r="40" spans="1:20" x14ac:dyDescent="0.25">
      <c r="A40" s="5">
        <v>44553</v>
      </c>
      <c r="B40">
        <v>178.38</v>
      </c>
      <c r="C40">
        <v>193.5</v>
      </c>
      <c r="D40">
        <v>175.64</v>
      </c>
      <c r="E40">
        <v>190.03</v>
      </c>
      <c r="F40">
        <v>1726907.3</v>
      </c>
      <c r="G40">
        <v>190.03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0.61142217245240804</v>
      </c>
      <c r="Q40">
        <f t="shared" ref="Q40" si="176">F40*P40</f>
        <v>1055869.4129899223</v>
      </c>
      <c r="R40">
        <f t="shared" ref="R40" si="177">R41+Q40</f>
        <v>206319550.84553552</v>
      </c>
      <c r="S40">
        <f t="shared" ref="S40" si="178">R40/100000</f>
        <v>2063.1955084553551</v>
      </c>
      <c r="T40">
        <f t="shared" ref="T40" si="179">S40/1000</f>
        <v>2.063195508455355</v>
      </c>
    </row>
    <row r="41" spans="1:20" x14ac:dyDescent="0.25">
      <c r="A41" s="5">
        <v>44552</v>
      </c>
      <c r="B41">
        <v>179.62</v>
      </c>
      <c r="C41">
        <v>187.55</v>
      </c>
      <c r="D41">
        <v>177.05</v>
      </c>
      <c r="E41">
        <v>178.4</v>
      </c>
      <c r="F41">
        <v>1379639.45</v>
      </c>
      <c r="G41">
        <v>178.4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-0.74285714285714399</v>
      </c>
      <c r="Q41">
        <f t="shared" ref="Q41" si="181">F41*P41</f>
        <v>-1024875.0200000015</v>
      </c>
      <c r="R41">
        <f t="shared" ref="R41" si="182">R42+Q41</f>
        <v>205263681.4325456</v>
      </c>
      <c r="S41">
        <f t="shared" ref="S41" si="183">R41/100000</f>
        <v>2052.6368143254558</v>
      </c>
      <c r="T41">
        <f t="shared" ref="T41" si="184">S41/1000</f>
        <v>2.0526368143254556</v>
      </c>
    </row>
    <row r="42" spans="1:20" x14ac:dyDescent="0.25">
      <c r="A42" s="5">
        <v>44551</v>
      </c>
      <c r="B42">
        <v>173.9</v>
      </c>
      <c r="C42">
        <v>182.54</v>
      </c>
      <c r="D42">
        <v>170.27</v>
      </c>
      <c r="E42">
        <v>179.63</v>
      </c>
      <c r="F42">
        <v>1302766.6000000001</v>
      </c>
      <c r="G42">
        <v>179.63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0.52567237163814162</v>
      </c>
      <c r="Q42">
        <f t="shared" ref="Q42" si="186">F42*P42</f>
        <v>684828.4083129582</v>
      </c>
      <c r="R42">
        <f t="shared" ref="R42" si="187">R43+Q42</f>
        <v>206288556.45254561</v>
      </c>
      <c r="S42">
        <f t="shared" ref="S42" si="188">R42/100000</f>
        <v>2062.8855645254562</v>
      </c>
      <c r="T42">
        <f t="shared" ref="T42" si="189">S42/1000</f>
        <v>2.0628855645254562</v>
      </c>
    </row>
    <row r="43" spans="1:20" x14ac:dyDescent="0.25">
      <c r="A43" s="5">
        <v>44550</v>
      </c>
      <c r="B43">
        <v>179.9</v>
      </c>
      <c r="C43">
        <v>181.18</v>
      </c>
      <c r="D43">
        <v>168.49</v>
      </c>
      <c r="E43">
        <v>173.9</v>
      </c>
      <c r="F43">
        <v>1448185.8</v>
      </c>
      <c r="G43">
        <v>173.9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-0.14736012608353072</v>
      </c>
      <c r="Q43">
        <f t="shared" ref="Q43" si="191">F43*P43</f>
        <v>-213404.84208037882</v>
      </c>
      <c r="R43">
        <f t="shared" ref="R43" si="192">R44+Q43</f>
        <v>205603728.04423267</v>
      </c>
      <c r="S43">
        <f t="shared" ref="S43" si="193">R43/100000</f>
        <v>2056.0372804423268</v>
      </c>
      <c r="T43">
        <f t="shared" ref="T43" si="194">S43/1000</f>
        <v>2.056037280442327</v>
      </c>
    </row>
    <row r="44" spans="1:20" x14ac:dyDescent="0.25">
      <c r="A44" s="5">
        <v>44549</v>
      </c>
      <c r="B44">
        <v>182.78</v>
      </c>
      <c r="C44">
        <v>189.43</v>
      </c>
      <c r="D44">
        <v>177.99</v>
      </c>
      <c r="E44">
        <v>179.93</v>
      </c>
      <c r="F44">
        <v>1217882.6000000001</v>
      </c>
      <c r="G44">
        <v>179.93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-0.66083916083916117</v>
      </c>
      <c r="Q44">
        <f t="shared" ref="Q44" si="196">F44*P44</f>
        <v>-804824.51538461586</v>
      </c>
      <c r="R44">
        <f t="shared" ref="R44" si="197">R45+Q44</f>
        <v>205817132.88631305</v>
      </c>
      <c r="S44">
        <f t="shared" ref="S44" si="198">R44/100000</f>
        <v>2058.1713288631304</v>
      </c>
      <c r="T44">
        <f t="shared" ref="T44" si="199">S44/1000</f>
        <v>2.0581713288631303</v>
      </c>
    </row>
    <row r="45" spans="1:20" x14ac:dyDescent="0.25">
      <c r="A45" s="5">
        <v>44548</v>
      </c>
      <c r="B45">
        <v>175.48</v>
      </c>
      <c r="C45">
        <v>184.24</v>
      </c>
      <c r="D45">
        <v>170.96</v>
      </c>
      <c r="E45">
        <v>182.78</v>
      </c>
      <c r="F45">
        <v>1218448.99</v>
      </c>
      <c r="G45">
        <v>182.78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0.78012048192770966</v>
      </c>
      <c r="Q45">
        <f t="shared" ref="Q45" si="201">F45*P45</f>
        <v>950537.01328313106</v>
      </c>
      <c r="R45">
        <f t="shared" ref="R45" si="202">R46+Q45</f>
        <v>206621957.40169767</v>
      </c>
      <c r="S45">
        <f t="shared" ref="S45" si="203">R45/100000</f>
        <v>2066.2195740169768</v>
      </c>
      <c r="T45">
        <f t="shared" ref="T45" si="204">S45/1000</f>
        <v>2.0662195740169769</v>
      </c>
    </row>
    <row r="46" spans="1:20" x14ac:dyDescent="0.25">
      <c r="A46" s="5">
        <v>44547</v>
      </c>
      <c r="B46">
        <v>176.89</v>
      </c>
      <c r="C46">
        <v>182.5</v>
      </c>
      <c r="D46">
        <v>167.88</v>
      </c>
      <c r="E46">
        <v>175.51</v>
      </c>
      <c r="F46">
        <v>2308612.94</v>
      </c>
      <c r="G46">
        <v>175.51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4.3775649794800697E-2</v>
      </c>
      <c r="Q46">
        <f t="shared" ref="Q46" si="206">F46*P46</f>
        <v>101061.03157318523</v>
      </c>
      <c r="R46">
        <f t="shared" ref="R46" si="207">R47+Q46</f>
        <v>205671420.38841453</v>
      </c>
      <c r="S46">
        <f t="shared" ref="S46" si="208">R46/100000</f>
        <v>2056.7142038841453</v>
      </c>
      <c r="T46">
        <f t="shared" ref="T46" si="209">S46/1000</f>
        <v>2.0567142038841451</v>
      </c>
    </row>
    <row r="47" spans="1:20" x14ac:dyDescent="0.25">
      <c r="A47" s="5">
        <v>44546</v>
      </c>
      <c r="B47">
        <v>178.53</v>
      </c>
      <c r="C47">
        <v>189</v>
      </c>
      <c r="D47">
        <v>174.37</v>
      </c>
      <c r="E47">
        <v>176.86</v>
      </c>
      <c r="F47">
        <v>2482901.38</v>
      </c>
      <c r="G47">
        <v>176.86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-0.65960355434039508</v>
      </c>
      <c r="Q47">
        <f t="shared" ref="Q47" si="211">F47*P47</f>
        <v>-1637730.5753246718</v>
      </c>
      <c r="R47">
        <f t="shared" ref="R47" si="212">R48+Q47</f>
        <v>205570359.35684136</v>
      </c>
      <c r="S47">
        <f t="shared" ref="S47" si="213">R47/100000</f>
        <v>2055.7035935684135</v>
      </c>
      <c r="T47">
        <f t="shared" ref="T47" si="214">S47/1000</f>
        <v>2.0557035935684134</v>
      </c>
    </row>
    <row r="48" spans="1:20" x14ac:dyDescent="0.25">
      <c r="A48" s="5">
        <v>44545</v>
      </c>
      <c r="B48">
        <v>161.25</v>
      </c>
      <c r="C48">
        <v>182.64</v>
      </c>
      <c r="D48">
        <v>156.81</v>
      </c>
      <c r="E48">
        <v>178.52</v>
      </c>
      <c r="F48">
        <v>3328550.89</v>
      </c>
      <c r="G48">
        <v>178.52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0.68099109562524363</v>
      </c>
      <c r="Q48">
        <f t="shared" ref="Q48" si="216">F48*P48</f>
        <v>2266713.5174254798</v>
      </c>
      <c r="R48">
        <f t="shared" ref="R48" si="217">R49+Q48</f>
        <v>207208089.93216604</v>
      </c>
      <c r="S48">
        <f t="shared" ref="S48" si="218">R48/100000</f>
        <v>2072.0808993216606</v>
      </c>
      <c r="T48">
        <f t="shared" ref="T48" si="219">S48/1000</f>
        <v>2.0720808993216604</v>
      </c>
    </row>
    <row r="49" spans="1:20" x14ac:dyDescent="0.25">
      <c r="A49" s="5">
        <v>44544</v>
      </c>
      <c r="B49">
        <v>155.19999999999999</v>
      </c>
      <c r="C49">
        <v>163.35</v>
      </c>
      <c r="D49">
        <v>149.6</v>
      </c>
      <c r="E49">
        <v>161.26</v>
      </c>
      <c r="F49">
        <v>2151408.98</v>
      </c>
      <c r="G49">
        <v>161.26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0.69599999999999951</v>
      </c>
      <c r="Q49">
        <f t="shared" ref="Q49" si="221">F49*P49</f>
        <v>1497380.6500799989</v>
      </c>
      <c r="R49">
        <f t="shared" ref="R49" si="222">R50+Q49</f>
        <v>204941376.41474056</v>
      </c>
      <c r="S49">
        <f t="shared" ref="S49" si="223">R49/100000</f>
        <v>2049.4137641474058</v>
      </c>
      <c r="T49">
        <f t="shared" ref="T49" si="224">S49/1000</f>
        <v>2.0494137641474057</v>
      </c>
    </row>
    <row r="50" spans="1:20" x14ac:dyDescent="0.25">
      <c r="A50" s="5">
        <v>44543</v>
      </c>
      <c r="B50">
        <v>172.83</v>
      </c>
      <c r="C50">
        <v>172.83</v>
      </c>
      <c r="D50">
        <v>148.04</v>
      </c>
      <c r="E50">
        <v>155.21</v>
      </c>
      <c r="F50">
        <v>2470231.8199999998</v>
      </c>
      <c r="G50">
        <v>155.21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-0.42154094392900282</v>
      </c>
      <c r="Q50">
        <f t="shared" ref="Q50" si="226">F50*P50</f>
        <v>-1041303.8531262585</v>
      </c>
      <c r="R50">
        <f t="shared" ref="R50" si="227">R51+Q50</f>
        <v>203443995.76466057</v>
      </c>
      <c r="S50">
        <f t="shared" ref="S50" si="228">R50/100000</f>
        <v>2034.4399576466058</v>
      </c>
      <c r="T50">
        <f t="shared" ref="T50" si="229">S50/1000</f>
        <v>2.0344399576466059</v>
      </c>
    </row>
    <row r="51" spans="1:20" x14ac:dyDescent="0.25">
      <c r="A51" s="5">
        <v>44542</v>
      </c>
      <c r="B51">
        <v>172.15</v>
      </c>
      <c r="C51">
        <v>176.85</v>
      </c>
      <c r="D51">
        <v>167.64</v>
      </c>
      <c r="E51">
        <v>172.8</v>
      </c>
      <c r="F51">
        <v>976615.96</v>
      </c>
      <c r="G51">
        <v>172.8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0.12052117263844095</v>
      </c>
      <c r="Q51">
        <f t="shared" ref="Q51" si="231">F51*P51</f>
        <v>117702.90071661673</v>
      </c>
      <c r="R51">
        <f t="shared" ref="R51" si="232">R52+Q51</f>
        <v>204485299.61778682</v>
      </c>
      <c r="S51">
        <f t="shared" ref="S51" si="233">R51/100000</f>
        <v>2044.8529961778681</v>
      </c>
      <c r="T51">
        <f t="shared" ref="T51" si="234">S51/1000</f>
        <v>2.0448529961778683</v>
      </c>
    </row>
    <row r="52" spans="1:20" x14ac:dyDescent="0.25">
      <c r="A52" s="5">
        <v>44541</v>
      </c>
      <c r="B52">
        <v>167.39</v>
      </c>
      <c r="C52">
        <v>168.48</v>
      </c>
      <c r="D52">
        <v>161.33000000000001</v>
      </c>
      <c r="E52">
        <v>167.47</v>
      </c>
      <c r="F52">
        <v>224399.87</v>
      </c>
      <c r="G52">
        <v>167.47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0.71748251748251912</v>
      </c>
      <c r="Q52">
        <f t="shared" ref="Q52" si="236">F52*P52</f>
        <v>161002.98365035001</v>
      </c>
      <c r="R52">
        <f t="shared" ref="R52" si="237">R53+Q52</f>
        <v>204367596.71707022</v>
      </c>
      <c r="S52">
        <f t="shared" ref="S52" si="238">R52/100000</f>
        <v>2043.6759671707023</v>
      </c>
      <c r="T52">
        <f t="shared" ref="T52" si="239">S52/1000</f>
        <v>2.0436759671707021</v>
      </c>
    </row>
    <row r="53" spans="1:20" x14ac:dyDescent="0.25">
      <c r="A53" s="5">
        <v>44540</v>
      </c>
      <c r="B53">
        <v>181.08</v>
      </c>
      <c r="C53">
        <v>184.6</v>
      </c>
      <c r="D53">
        <v>167</v>
      </c>
      <c r="E53">
        <v>167.39</v>
      </c>
      <c r="F53">
        <v>1862906.9</v>
      </c>
      <c r="G53">
        <v>167.39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-0.95568181818181974</v>
      </c>
      <c r="Q53">
        <f t="shared" ref="Q53" si="241">F53*P53</f>
        <v>-1780346.2532954575</v>
      </c>
      <c r="R53">
        <f t="shared" ref="R53" si="242">R54+Q53</f>
        <v>204206593.73341987</v>
      </c>
      <c r="S53">
        <f t="shared" ref="S53" si="243">R53/100000</f>
        <v>2042.0659373341987</v>
      </c>
      <c r="T53">
        <f t="shared" ref="T53" si="244">S53/1000</f>
        <v>2.0420659373341987</v>
      </c>
    </row>
    <row r="54" spans="1:20" x14ac:dyDescent="0.25">
      <c r="A54" s="5">
        <v>44539</v>
      </c>
      <c r="B54">
        <v>194.61</v>
      </c>
      <c r="C54">
        <v>196.6</v>
      </c>
      <c r="D54">
        <v>178.64</v>
      </c>
      <c r="E54">
        <v>181.11</v>
      </c>
      <c r="F54">
        <v>1664934.25</v>
      </c>
      <c r="G54">
        <v>181.11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-0.72494432071269199</v>
      </c>
      <c r="Q54">
        <f t="shared" ref="Q54" si="246">F54*P54</f>
        <v>-1206984.6288975454</v>
      </c>
      <c r="R54">
        <f t="shared" ref="R54" si="247">R55+Q54</f>
        <v>205986939.98671532</v>
      </c>
      <c r="S54">
        <f t="shared" ref="S54" si="248">R54/100000</f>
        <v>2059.8693998671533</v>
      </c>
      <c r="T54">
        <f t="shared" ref="T54" si="249">S54/1000</f>
        <v>2.0598693998671531</v>
      </c>
    </row>
    <row r="55" spans="1:20" x14ac:dyDescent="0.25">
      <c r="A55" s="5">
        <v>44538</v>
      </c>
      <c r="B55">
        <v>190.24</v>
      </c>
      <c r="C55">
        <v>196.27</v>
      </c>
      <c r="D55">
        <v>183.5</v>
      </c>
      <c r="E55">
        <v>194.61</v>
      </c>
      <c r="F55">
        <v>1670677.66</v>
      </c>
      <c r="G55">
        <v>194.61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0.74001566170712685</v>
      </c>
      <c r="Q55">
        <f t="shared" ref="Q55" si="251">F55*P55</f>
        <v>1236327.6340642143</v>
      </c>
      <c r="R55">
        <f t="shared" ref="R55" si="252">R56+Q55</f>
        <v>207193924.61561286</v>
      </c>
      <c r="S55">
        <f t="shared" ref="S55" si="253">R55/100000</f>
        <v>2071.9392461561288</v>
      </c>
      <c r="T55">
        <f t="shared" ref="T55" si="254">S55/1000</f>
        <v>2.0719392461561288</v>
      </c>
    </row>
    <row r="56" spans="1:20" x14ac:dyDescent="0.25">
      <c r="A56" s="5">
        <v>44537</v>
      </c>
      <c r="B56">
        <v>193.57</v>
      </c>
      <c r="C56">
        <v>204.1</v>
      </c>
      <c r="D56">
        <v>187.26</v>
      </c>
      <c r="E56">
        <v>190.19</v>
      </c>
      <c r="F56">
        <v>1939707.91</v>
      </c>
      <c r="G56">
        <v>190.19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-0.6520190023752962</v>
      </c>
      <c r="Q56">
        <f t="shared" ref="Q56" si="256">F56*P56</f>
        <v>-1264726.4163776708</v>
      </c>
      <c r="R56">
        <f t="shared" ref="R56" si="257">R57+Q56</f>
        <v>205957596.98154864</v>
      </c>
      <c r="S56">
        <f t="shared" ref="S56" si="258">R56/100000</f>
        <v>2059.5759698154866</v>
      </c>
      <c r="T56">
        <f t="shared" ref="T56" si="259">S56/1000</f>
        <v>2.0595759698154867</v>
      </c>
    </row>
    <row r="57" spans="1:20" x14ac:dyDescent="0.25">
      <c r="A57" s="5">
        <v>44536</v>
      </c>
      <c r="B57">
        <v>196.49</v>
      </c>
      <c r="C57">
        <v>197.71</v>
      </c>
      <c r="D57">
        <v>176.17</v>
      </c>
      <c r="E57">
        <v>193.56</v>
      </c>
      <c r="F57">
        <v>2815245.83</v>
      </c>
      <c r="G57">
        <v>193.56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0.61467038068709356</v>
      </c>
      <c r="Q57">
        <f t="shared" ref="Q57" si="261">F57*P57</f>
        <v>1730448.2260538528</v>
      </c>
      <c r="R57">
        <f t="shared" ref="R57" si="262">R58+Q57</f>
        <v>207222323.3979263</v>
      </c>
      <c r="S57">
        <f t="shared" ref="S57" si="263">R57/100000</f>
        <v>2072.2232339792631</v>
      </c>
      <c r="T57">
        <f t="shared" ref="T57" si="264">S57/1000</f>
        <v>2.0722232339792632</v>
      </c>
    </row>
    <row r="58" spans="1:20" x14ac:dyDescent="0.25">
      <c r="A58" s="5">
        <v>44535</v>
      </c>
      <c r="B58">
        <v>200.68</v>
      </c>
      <c r="C58">
        <v>204.51</v>
      </c>
      <c r="D58">
        <v>181.44</v>
      </c>
      <c r="E58">
        <v>196.43</v>
      </c>
      <c r="F58">
        <v>2482292.2599999998</v>
      </c>
      <c r="G58">
        <v>196.43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0.29952319029042163</v>
      </c>
      <c r="Q58">
        <f t="shared" ref="Q58" si="266">F58*P58</f>
        <v>743504.09694842075</v>
      </c>
      <c r="R58">
        <f t="shared" ref="R58" si="267">R59+Q58</f>
        <v>205491875.17187244</v>
      </c>
      <c r="S58">
        <f t="shared" ref="S58" si="268">R58/100000</f>
        <v>2054.9187517187243</v>
      </c>
      <c r="T58">
        <f t="shared" ref="T58" si="269">S58/1000</f>
        <v>2.0549187517187244</v>
      </c>
    </row>
    <row r="59" spans="1:20" x14ac:dyDescent="0.25">
      <c r="A59" s="5">
        <v>44534</v>
      </c>
      <c r="B59">
        <v>211.65</v>
      </c>
      <c r="C59">
        <v>212.62</v>
      </c>
      <c r="D59">
        <v>169</v>
      </c>
      <c r="E59">
        <v>200.67</v>
      </c>
      <c r="F59">
        <v>4895759.09</v>
      </c>
      <c r="G59">
        <v>200.67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0.45208619899128766</v>
      </c>
      <c r="Q59">
        <f t="shared" ref="Q59" si="271">F59*P59</f>
        <v>2213305.1181751452</v>
      </c>
      <c r="R59">
        <f t="shared" ref="R59" si="272">R60+Q59</f>
        <v>204748371.07492402</v>
      </c>
      <c r="S59">
        <f t="shared" ref="S59" si="273">R59/100000</f>
        <v>2047.4837107492401</v>
      </c>
      <c r="T59">
        <f t="shared" ref="T59" si="274">S59/1000</f>
        <v>2.0474837107492401</v>
      </c>
    </row>
    <row r="60" spans="1:20" x14ac:dyDescent="0.25">
      <c r="A60" s="5">
        <v>44533</v>
      </c>
      <c r="B60">
        <v>233.59</v>
      </c>
      <c r="C60">
        <v>239.37</v>
      </c>
      <c r="D60">
        <v>204.68</v>
      </c>
      <c r="E60">
        <v>211.65</v>
      </c>
      <c r="F60">
        <v>2867134.41</v>
      </c>
      <c r="G60">
        <v>211.65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-0.59815508792159122</v>
      </c>
      <c r="Q60">
        <f t="shared" ref="Q60" si="276">F60*P60</f>
        <v>-1714991.0350965697</v>
      </c>
      <c r="R60">
        <f t="shared" ref="R60" si="277">R61+Q60</f>
        <v>202535065.95674887</v>
      </c>
      <c r="S60">
        <f t="shared" ref="S60" si="278">R60/100000</f>
        <v>2025.3506595674887</v>
      </c>
      <c r="T60">
        <f t="shared" ref="T60" si="279">S60/1000</f>
        <v>2.0253506595674886</v>
      </c>
    </row>
    <row r="61" spans="1:20" x14ac:dyDescent="0.25">
      <c r="A61" s="5">
        <v>44532</v>
      </c>
      <c r="B61">
        <v>229.81</v>
      </c>
      <c r="C61">
        <v>243.12</v>
      </c>
      <c r="D61">
        <v>220</v>
      </c>
      <c r="E61">
        <v>233.6</v>
      </c>
      <c r="F61">
        <v>3042712.67</v>
      </c>
      <c r="G61">
        <v>233.6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0.17647058823529341</v>
      </c>
      <c r="Q61">
        <f t="shared" ref="Q61" si="281">F61*P61</f>
        <v>536949.29470588022</v>
      </c>
      <c r="R61">
        <f t="shared" ref="R61" si="282">R62+Q61</f>
        <v>204250056.99184543</v>
      </c>
      <c r="S61">
        <f t="shared" ref="S61" si="283">R61/100000</f>
        <v>2042.5005699184544</v>
      </c>
      <c r="T61">
        <f t="shared" ref="T61" si="284">S61/1000</f>
        <v>2.0425005699184542</v>
      </c>
    </row>
    <row r="62" spans="1:20" x14ac:dyDescent="0.25">
      <c r="A62" s="5">
        <v>44531</v>
      </c>
      <c r="B62">
        <v>208.52</v>
      </c>
      <c r="C62">
        <v>232.63</v>
      </c>
      <c r="D62">
        <v>207.89</v>
      </c>
      <c r="E62">
        <v>229.81</v>
      </c>
      <c r="F62">
        <v>2589478.23</v>
      </c>
      <c r="G62">
        <v>229.81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0.77202910266774516</v>
      </c>
      <c r="Q62">
        <f t="shared" ref="Q62" si="286">F62*P62</f>
        <v>1999152.554284561</v>
      </c>
      <c r="R62">
        <f t="shared" ref="R62" si="287">R63+Q62</f>
        <v>203713107.69713956</v>
      </c>
      <c r="S62">
        <f t="shared" ref="S62" si="288">R62/100000</f>
        <v>2037.1310769713957</v>
      </c>
      <c r="T62">
        <f t="shared" ref="T62" si="289">S62/1000</f>
        <v>2.0371310769713955</v>
      </c>
    </row>
    <row r="63" spans="1:20" x14ac:dyDescent="0.25">
      <c r="A63" s="5">
        <v>44530</v>
      </c>
      <c r="B63">
        <v>204.1</v>
      </c>
      <c r="C63">
        <v>218.28</v>
      </c>
      <c r="D63">
        <v>199.55</v>
      </c>
      <c r="E63">
        <v>208.53</v>
      </c>
      <c r="F63">
        <v>2176734.39</v>
      </c>
      <c r="G63">
        <v>208.53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-4.1110517885745365E-2</v>
      </c>
      <c r="Q63">
        <f t="shared" ref="Q63" si="291">F63*P63</f>
        <v>-89486.678072612034</v>
      </c>
      <c r="R63">
        <f t="shared" ref="R63" si="292">R64+Q63</f>
        <v>201713955.14285499</v>
      </c>
      <c r="S63">
        <f t="shared" ref="S63" si="293">R63/100000</f>
        <v>2017.1395514285498</v>
      </c>
      <c r="T63">
        <f t="shared" ref="T63" si="294">S63/1000</f>
        <v>2.0171395514285497</v>
      </c>
    </row>
    <row r="64" spans="1:20" x14ac:dyDescent="0.25">
      <c r="A64" s="5">
        <v>44529</v>
      </c>
      <c r="B64">
        <v>200.71</v>
      </c>
      <c r="C64">
        <v>212.75</v>
      </c>
      <c r="D64">
        <v>199.63</v>
      </c>
      <c r="E64">
        <v>204.09</v>
      </c>
      <c r="F64">
        <v>1458763.57</v>
      </c>
      <c r="G64">
        <v>204.09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-0.3201219512195112</v>
      </c>
      <c r="Q64">
        <f t="shared" ref="Q64" si="296">F64*P64</f>
        <v>-466982.24039634003</v>
      </c>
      <c r="R64">
        <f t="shared" ref="R64" si="297">R65+Q64</f>
        <v>201803441.82092759</v>
      </c>
      <c r="S64">
        <f t="shared" ref="S64" si="298">R64/100000</f>
        <v>2018.0344182092758</v>
      </c>
      <c r="T64">
        <f t="shared" ref="T64" si="299">S64/1000</f>
        <v>2.0180344182092758</v>
      </c>
    </row>
    <row r="65" spans="1:20" x14ac:dyDescent="0.25">
      <c r="A65" s="5">
        <v>44528</v>
      </c>
      <c r="B65">
        <v>192.74</v>
      </c>
      <c r="C65">
        <v>202.1</v>
      </c>
      <c r="D65">
        <v>180.93</v>
      </c>
      <c r="E65">
        <v>200.69</v>
      </c>
      <c r="F65">
        <v>1560980.85</v>
      </c>
      <c r="G65">
        <v>200.69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0.86679263108171967</v>
      </c>
      <c r="Q65">
        <f t="shared" ref="Q65" si="301">F65*P65</f>
        <v>1353046.6980396793</v>
      </c>
      <c r="R65">
        <f t="shared" ref="R65" si="302">R66+Q65</f>
        <v>202270424.06132394</v>
      </c>
      <c r="S65">
        <f t="shared" ref="S65" si="303">R65/100000</f>
        <v>2022.7042406132393</v>
      </c>
      <c r="T65">
        <f t="shared" ref="T65" si="304">S65/1000</f>
        <v>2.0227042406132392</v>
      </c>
    </row>
    <row r="66" spans="1:20" x14ac:dyDescent="0.25">
      <c r="A66" s="5">
        <v>44527</v>
      </c>
      <c r="B66">
        <v>192.37</v>
      </c>
      <c r="C66">
        <v>199.39</v>
      </c>
      <c r="D66">
        <v>190.61</v>
      </c>
      <c r="E66">
        <v>192.74</v>
      </c>
      <c r="F66">
        <v>1028955.27</v>
      </c>
      <c r="G66">
        <v>192.74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-0.51480637813211794</v>
      </c>
      <c r="Q66">
        <f t="shared" ref="Q66" si="306">F66*P66</f>
        <v>-529712.7358086555</v>
      </c>
      <c r="R66">
        <f t="shared" ref="R66" si="307">R67+Q66</f>
        <v>200917377.36328426</v>
      </c>
      <c r="S66">
        <f t="shared" ref="S66" si="308">R66/100000</f>
        <v>2009.1737736328425</v>
      </c>
      <c r="T66">
        <f t="shared" ref="T66" si="309">S66/1000</f>
        <v>2.0091737736328423</v>
      </c>
    </row>
    <row r="67" spans="1:20" x14ac:dyDescent="0.25">
      <c r="A67" s="5">
        <v>44526</v>
      </c>
      <c r="B67">
        <v>209.94</v>
      </c>
      <c r="C67">
        <v>210.53</v>
      </c>
      <c r="D67">
        <v>182.7</v>
      </c>
      <c r="E67">
        <v>192.42</v>
      </c>
      <c r="F67">
        <v>2776105.44</v>
      </c>
      <c r="G67">
        <v>192.42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-0.30147323032698564</v>
      </c>
      <c r="Q67">
        <f t="shared" ref="Q67" si="311">F67*P67</f>
        <v>-836921.47472511779</v>
      </c>
      <c r="R67">
        <f t="shared" ref="R67" si="312">R68+Q67</f>
        <v>201447090.0990929</v>
      </c>
      <c r="S67">
        <f t="shared" ref="S67" si="313">R67/100000</f>
        <v>2014.4709009909291</v>
      </c>
      <c r="T67">
        <f t="shared" ref="T67" si="314">S67/1000</f>
        <v>2.0144709009909292</v>
      </c>
    </row>
    <row r="68" spans="1:20" x14ac:dyDescent="0.25">
      <c r="A68" s="5">
        <v>44525</v>
      </c>
      <c r="B68">
        <v>205.76</v>
      </c>
      <c r="C68">
        <v>216.35</v>
      </c>
      <c r="D68">
        <v>201.93</v>
      </c>
      <c r="E68">
        <v>209.97</v>
      </c>
      <c r="F68">
        <v>1764837.19</v>
      </c>
      <c r="G68">
        <v>209.97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0.11511789181692081</v>
      </c>
      <c r="Q68">
        <f t="shared" ref="Q68" si="316">F68*P68</f>
        <v>203164.33671289851</v>
      </c>
      <c r="R68">
        <f t="shared" ref="R68" si="317">R69+Q68</f>
        <v>202284011.57381803</v>
      </c>
      <c r="S68">
        <f t="shared" ref="S68" si="318">R68/100000</f>
        <v>2022.8401157381802</v>
      </c>
      <c r="T68">
        <f t="shared" ref="T68" si="319">S68/1000</f>
        <v>2.0228401157381803</v>
      </c>
    </row>
    <row r="69" spans="1:20" x14ac:dyDescent="0.25">
      <c r="A69" s="5">
        <v>44524</v>
      </c>
      <c r="B69">
        <v>221.76</v>
      </c>
      <c r="C69">
        <v>222.47</v>
      </c>
      <c r="D69">
        <v>214.1</v>
      </c>
      <c r="E69">
        <v>216.98</v>
      </c>
      <c r="F69">
        <v>490055.98</v>
      </c>
      <c r="G69">
        <v>216.98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-0.31182795698924876</v>
      </c>
      <c r="Q69">
        <f t="shared" ref="Q69" si="321">F69*P69</f>
        <v>-152813.15505376415</v>
      </c>
      <c r="R69">
        <f t="shared" ref="R69" si="322">R70+Q69</f>
        <v>202080847.23710513</v>
      </c>
      <c r="S69">
        <f t="shared" ref="S69" si="323">R69/100000</f>
        <v>2020.8084723710513</v>
      </c>
      <c r="T69">
        <f t="shared" ref="T69" si="324">S69/1000</f>
        <v>2.0208084723710513</v>
      </c>
    </row>
    <row r="70" spans="1:20" x14ac:dyDescent="0.25">
      <c r="A70" s="5">
        <v>44523</v>
      </c>
      <c r="B70">
        <v>215.58</v>
      </c>
      <c r="C70">
        <v>226.08</v>
      </c>
      <c r="D70">
        <v>210.91</v>
      </c>
      <c r="E70">
        <v>221.75</v>
      </c>
      <c r="F70">
        <v>1654017.24</v>
      </c>
      <c r="G70">
        <v>221.75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0.42913645352669638</v>
      </c>
      <c r="Q70">
        <f t="shared" ref="Q70" si="326">F70*P70</f>
        <v>709799.09244561463</v>
      </c>
      <c r="R70">
        <f t="shared" ref="R70" si="327">R71+Q70</f>
        <v>202233660.3921589</v>
      </c>
      <c r="S70">
        <f t="shared" ref="S70" si="328">R70/100000</f>
        <v>2022.3366039215889</v>
      </c>
      <c r="T70">
        <f t="shared" ref="T70" si="329">S70/1000</f>
        <v>2.0223366039215889</v>
      </c>
    </row>
    <row r="71" spans="1:20" x14ac:dyDescent="0.25">
      <c r="A71" s="5">
        <v>44522</v>
      </c>
      <c r="B71">
        <v>230.56</v>
      </c>
      <c r="C71">
        <v>231.99</v>
      </c>
      <c r="D71">
        <v>211.6</v>
      </c>
      <c r="E71">
        <v>215.59</v>
      </c>
      <c r="F71">
        <v>2456703.81</v>
      </c>
      <c r="G71">
        <v>215.59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-0.60863168219715491</v>
      </c>
      <c r="Q71">
        <f t="shared" ref="Q71" si="331">F71*P71</f>
        <v>-1495227.7725404596</v>
      </c>
      <c r="R71">
        <f t="shared" ref="R71" si="332">R72+Q71</f>
        <v>201523861.29971328</v>
      </c>
      <c r="S71">
        <f t="shared" ref="S71" si="333">R71/100000</f>
        <v>2015.2386129971328</v>
      </c>
      <c r="T71">
        <f t="shared" ref="T71" si="334">S71/1000</f>
        <v>2.0152386129971327</v>
      </c>
    </row>
    <row r="72" spans="1:20" x14ac:dyDescent="0.25">
      <c r="A72" s="5">
        <v>44521</v>
      </c>
      <c r="B72">
        <v>217.64</v>
      </c>
      <c r="C72">
        <v>240</v>
      </c>
      <c r="D72">
        <v>210.53</v>
      </c>
      <c r="E72">
        <v>230.51</v>
      </c>
      <c r="F72">
        <v>1888280.05</v>
      </c>
      <c r="G72">
        <v>230.51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0.35595520868679947</v>
      </c>
      <c r="Q72">
        <f t="shared" ref="Q72" si="336">F72*P72</f>
        <v>672143.11925687012</v>
      </c>
      <c r="R72">
        <f t="shared" ref="R72" si="337">R73+Q72</f>
        <v>203019089.07225373</v>
      </c>
      <c r="S72">
        <f t="shared" ref="S72" si="338">R72/100000</f>
        <v>2030.1908907225372</v>
      </c>
      <c r="T72">
        <f t="shared" ref="T72" si="339">S72/1000</f>
        <v>2.0301908907225372</v>
      </c>
    </row>
    <row r="73" spans="1:20" x14ac:dyDescent="0.25">
      <c r="A73" s="5">
        <v>44520</v>
      </c>
      <c r="B73">
        <v>215.25</v>
      </c>
      <c r="C73">
        <v>221.17</v>
      </c>
      <c r="D73">
        <v>205.84</v>
      </c>
      <c r="E73">
        <v>217.63</v>
      </c>
      <c r="F73">
        <v>1560552.25</v>
      </c>
      <c r="G73">
        <v>217.63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0.53816046966731956</v>
      </c>
      <c r="Q73">
        <f t="shared" ref="Q73" si="341">F73*P73</f>
        <v>839827.53180039232</v>
      </c>
      <c r="R73">
        <f t="shared" ref="R73" si="342">R74+Q73</f>
        <v>202346945.95299685</v>
      </c>
      <c r="S73">
        <f t="shared" ref="S73" si="343">R73/100000</f>
        <v>2023.4694595299684</v>
      </c>
      <c r="T73">
        <f t="shared" ref="T73" si="344">S73/1000</f>
        <v>2.0234694595299683</v>
      </c>
    </row>
    <row r="74" spans="1:20" x14ac:dyDescent="0.25">
      <c r="A74" s="5">
        <v>44519</v>
      </c>
      <c r="B74">
        <v>195.19</v>
      </c>
      <c r="C74">
        <v>219.59</v>
      </c>
      <c r="D74">
        <v>188.99</v>
      </c>
      <c r="E74">
        <v>215.25</v>
      </c>
      <c r="F74">
        <v>2712585.78</v>
      </c>
      <c r="G74">
        <v>215.25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0.71633986928104543</v>
      </c>
      <c r="Q74">
        <f t="shared" ref="Q74" si="346">F74*P74</f>
        <v>1943133.3430588224</v>
      </c>
      <c r="R74">
        <f t="shared" ref="R74" si="347">R75+Q74</f>
        <v>201507118.42119646</v>
      </c>
      <c r="S74">
        <f t="shared" ref="S74" si="348">R74/100000</f>
        <v>2015.0711842119647</v>
      </c>
      <c r="T74">
        <f t="shared" ref="T74" si="349">S74/1000</f>
        <v>2.0150711842119646</v>
      </c>
    </row>
    <row r="75" spans="1:20" x14ac:dyDescent="0.25">
      <c r="A75" s="5">
        <v>44518</v>
      </c>
      <c r="B75">
        <v>218.9</v>
      </c>
      <c r="C75">
        <v>222.78</v>
      </c>
      <c r="D75">
        <v>186.5</v>
      </c>
      <c r="E75">
        <v>195.01</v>
      </c>
      <c r="F75">
        <v>3077799.94</v>
      </c>
      <c r="G75">
        <v>195.01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-0.53087100330760806</v>
      </c>
      <c r="Q75">
        <f t="shared" ref="Q75" si="351">F75*P75</f>
        <v>-1633914.7421278958</v>
      </c>
      <c r="R75">
        <f t="shared" ref="R75" si="352">R76+Q75</f>
        <v>199563985.07813764</v>
      </c>
      <c r="S75">
        <f t="shared" ref="S75" si="353">R75/100000</f>
        <v>1995.6398507813763</v>
      </c>
      <c r="T75">
        <f t="shared" ref="T75" si="354">S75/1000</f>
        <v>1.9956398507813762</v>
      </c>
    </row>
    <row r="76" spans="1:20" x14ac:dyDescent="0.25">
      <c r="A76" s="5">
        <v>44517</v>
      </c>
      <c r="B76">
        <v>219.09</v>
      </c>
      <c r="C76">
        <v>222.44</v>
      </c>
      <c r="D76">
        <v>209.53</v>
      </c>
      <c r="E76">
        <v>218.94</v>
      </c>
      <c r="F76">
        <v>2094790.54</v>
      </c>
      <c r="G76">
        <v>218.94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0.45778466305189763</v>
      </c>
      <c r="Q76">
        <f t="shared" ref="Q76" si="356">F76*P76</f>
        <v>958962.98151820269</v>
      </c>
      <c r="R76">
        <f t="shared" ref="R76" si="357">R77+Q76</f>
        <v>201197899.82026553</v>
      </c>
      <c r="S76">
        <f t="shared" ref="S76" si="358">R76/100000</f>
        <v>2011.9789982026552</v>
      </c>
      <c r="T76">
        <f t="shared" ref="T76" si="359">S76/1000</f>
        <v>2.0119789982026552</v>
      </c>
    </row>
    <row r="77" spans="1:20" x14ac:dyDescent="0.25">
      <c r="A77" s="5">
        <v>44516</v>
      </c>
      <c r="B77">
        <v>238.18</v>
      </c>
      <c r="C77">
        <v>238.21</v>
      </c>
      <c r="D77">
        <v>213.81</v>
      </c>
      <c r="E77">
        <v>219.04</v>
      </c>
      <c r="F77">
        <v>2557623.67</v>
      </c>
      <c r="G77">
        <v>219.04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-0.57131147540983696</v>
      </c>
      <c r="Q77">
        <f t="shared" ref="Q77" si="361">F77*P77</f>
        <v>-1461199.7524508219</v>
      </c>
      <c r="R77">
        <f t="shared" ref="R77" si="362">R78+Q77</f>
        <v>200238936.83874732</v>
      </c>
      <c r="S77">
        <f t="shared" ref="S77" si="363">R77/100000</f>
        <v>2002.3893683874733</v>
      </c>
      <c r="T77">
        <f t="shared" ref="T77" si="364">S77/1000</f>
        <v>2.0023893683874734</v>
      </c>
    </row>
    <row r="78" spans="1:20" x14ac:dyDescent="0.25">
      <c r="A78" s="5">
        <v>44515</v>
      </c>
      <c r="B78">
        <v>238.63</v>
      </c>
      <c r="C78">
        <v>246.36</v>
      </c>
      <c r="D78">
        <v>234.49</v>
      </c>
      <c r="E78">
        <v>238.2</v>
      </c>
      <c r="F78">
        <v>1921128.24</v>
      </c>
      <c r="G78">
        <v>238.2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-0.37489469250210983</v>
      </c>
      <c r="Q78">
        <f t="shared" ref="Q78" si="366">F78*P78</f>
        <v>-720220.78079191945</v>
      </c>
      <c r="R78">
        <f t="shared" ref="R78" si="367">R79+Q78</f>
        <v>201700136.59119815</v>
      </c>
      <c r="S78">
        <f t="shared" ref="S78" si="368">R78/100000</f>
        <v>2017.0013659119816</v>
      </c>
      <c r="T78">
        <f t="shared" ref="T78" si="369">S78/1000</f>
        <v>2.0170013659119816</v>
      </c>
    </row>
    <row r="79" spans="1:20" x14ac:dyDescent="0.25">
      <c r="A79" s="5">
        <v>44514</v>
      </c>
      <c r="B79">
        <v>241.58</v>
      </c>
      <c r="C79">
        <v>242</v>
      </c>
      <c r="D79">
        <v>230.4</v>
      </c>
      <c r="E79">
        <v>238.64</v>
      </c>
      <c r="F79">
        <v>1075144.8700000001</v>
      </c>
      <c r="G79">
        <v>238.64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0.42068965517241114</v>
      </c>
      <c r="Q79">
        <f t="shared" ref="Q79" si="371">F79*P79</f>
        <v>452302.32462068682</v>
      </c>
      <c r="R79">
        <f t="shared" ref="R79" si="372">R80+Q79</f>
        <v>202420357.37199005</v>
      </c>
      <c r="S79">
        <f t="shared" ref="S79" si="373">R79/100000</f>
        <v>2024.2035737199005</v>
      </c>
      <c r="T79">
        <f t="shared" ref="T79" si="374">S79/1000</f>
        <v>2.0242035737199005</v>
      </c>
    </row>
    <row r="80" spans="1:20" x14ac:dyDescent="0.25">
      <c r="A80" s="5">
        <v>44513</v>
      </c>
      <c r="B80">
        <v>228.46</v>
      </c>
      <c r="C80">
        <v>241.97</v>
      </c>
      <c r="D80">
        <v>224.79</v>
      </c>
      <c r="E80">
        <v>241.59</v>
      </c>
      <c r="F80">
        <v>1458387.39</v>
      </c>
      <c r="G80">
        <v>241.59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0.95576251455180494</v>
      </c>
      <c r="Q80">
        <f t="shared" ref="Q80" si="376">F80*P80</f>
        <v>1393871.9990570438</v>
      </c>
      <c r="R80">
        <f t="shared" ref="R80" si="377">R81+Q80</f>
        <v>201968055.04736936</v>
      </c>
      <c r="S80">
        <f t="shared" ref="S80" si="378">R80/100000</f>
        <v>2019.6805504736935</v>
      </c>
      <c r="T80">
        <f t="shared" ref="T80" si="379">S80/1000</f>
        <v>2.0196805504736934</v>
      </c>
    </row>
    <row r="81" spans="1:20" x14ac:dyDescent="0.25">
      <c r="A81" s="5">
        <v>44512</v>
      </c>
      <c r="B81">
        <v>233.34</v>
      </c>
      <c r="C81">
        <v>239.09</v>
      </c>
      <c r="D81">
        <v>220.83</v>
      </c>
      <c r="E81">
        <v>228.48</v>
      </c>
      <c r="F81">
        <v>2114721.23</v>
      </c>
      <c r="G81">
        <v>228.48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-0.16210295728368224</v>
      </c>
      <c r="Q81">
        <f t="shared" ref="Q81" si="381">F81*P81</f>
        <v>-342802.56521358597</v>
      </c>
      <c r="R81">
        <f t="shared" ref="R81" si="382">R82+Q81</f>
        <v>200574183.04831231</v>
      </c>
      <c r="S81">
        <f t="shared" ref="S81" si="383">R81/100000</f>
        <v>2005.7418304831231</v>
      </c>
      <c r="T81">
        <f t="shared" ref="T81" si="384">S81/1000</f>
        <v>2.0057418304831232</v>
      </c>
    </row>
    <row r="82" spans="1:20" x14ac:dyDescent="0.25">
      <c r="A82" s="5">
        <v>44511</v>
      </c>
      <c r="B82">
        <v>233.06</v>
      </c>
      <c r="C82">
        <v>246.5</v>
      </c>
      <c r="D82">
        <v>229.4</v>
      </c>
      <c r="E82">
        <v>233.37</v>
      </c>
      <c r="F82">
        <v>1997993.9</v>
      </c>
      <c r="G82">
        <v>233.37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-0.53567251461988297</v>
      </c>
      <c r="Q82">
        <f t="shared" ref="Q82" si="386">F82*P82</f>
        <v>-1070270.4166081869</v>
      </c>
      <c r="R82">
        <f t="shared" ref="R82" si="387">R83+Q82</f>
        <v>200916985.6135259</v>
      </c>
      <c r="S82">
        <f t="shared" ref="S82" si="388">R82/100000</f>
        <v>2009.1698561352589</v>
      </c>
      <c r="T82">
        <f t="shared" ref="T82" si="389">S82/1000</f>
        <v>2.0091698561352591</v>
      </c>
    </row>
    <row r="83" spans="1:20" x14ac:dyDescent="0.25">
      <c r="A83" s="5">
        <v>44510</v>
      </c>
      <c r="B83">
        <v>239.06</v>
      </c>
      <c r="C83">
        <v>248</v>
      </c>
      <c r="D83">
        <v>217.5</v>
      </c>
      <c r="E83">
        <v>233.09</v>
      </c>
      <c r="F83">
        <v>3092477.23</v>
      </c>
      <c r="G83">
        <v>233.09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2.2295081967213339E-2</v>
      </c>
      <c r="Q83">
        <f t="shared" ref="Q83" si="391">F83*P83</f>
        <v>68947.033324590855</v>
      </c>
      <c r="R83">
        <f t="shared" ref="R83" si="392">R84+Q83</f>
        <v>201987256.03013408</v>
      </c>
      <c r="S83">
        <f t="shared" ref="S83" si="393">R83/100000</f>
        <v>2019.8725603013409</v>
      </c>
      <c r="T83">
        <f t="shared" ref="T83" si="394">S83/1000</f>
        <v>2.0198725603013408</v>
      </c>
    </row>
    <row r="84" spans="1:20" x14ac:dyDescent="0.25">
      <c r="A84" s="5">
        <v>44509</v>
      </c>
      <c r="B84">
        <v>248.27</v>
      </c>
      <c r="C84">
        <v>253.22</v>
      </c>
      <c r="D84">
        <v>237.62</v>
      </c>
      <c r="E84">
        <v>239.04</v>
      </c>
      <c r="F84">
        <v>2217088.06</v>
      </c>
      <c r="G84">
        <v>239.04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-0.81794871794871948</v>
      </c>
      <c r="Q84">
        <f t="shared" ref="Q84" si="396">F84*P84</f>
        <v>-1813464.3362564137</v>
      </c>
      <c r="R84">
        <f t="shared" ref="R84" si="397">R85+Q84</f>
        <v>201918308.99680948</v>
      </c>
      <c r="S84">
        <f t="shared" ref="S84" si="398">R84/100000</f>
        <v>2019.1830899680949</v>
      </c>
      <c r="T84">
        <f t="shared" ref="T84" si="399">S84/1000</f>
        <v>2.0191830899680947</v>
      </c>
    </row>
    <row r="85" spans="1:20" x14ac:dyDescent="0.25">
      <c r="A85" s="5">
        <v>44508</v>
      </c>
      <c r="B85">
        <v>249.62</v>
      </c>
      <c r="C85">
        <v>253.3</v>
      </c>
      <c r="D85">
        <v>240.68</v>
      </c>
      <c r="E85">
        <v>248.26</v>
      </c>
      <c r="F85">
        <v>2301351.7599999998</v>
      </c>
      <c r="G85">
        <v>248.26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0.20126782884310324</v>
      </c>
      <c r="Q85">
        <f t="shared" ref="Q85" si="401">F85*P85</f>
        <v>463188.07213945437</v>
      </c>
      <c r="R85">
        <f t="shared" ref="R85" si="402">R86+Q85</f>
        <v>203731773.3330659</v>
      </c>
      <c r="S85">
        <f t="shared" ref="S85" si="403">R85/100000</f>
        <v>2037.3177333306589</v>
      </c>
      <c r="T85">
        <f t="shared" ref="T85" si="404">S85/1000</f>
        <v>2.0373177333306591</v>
      </c>
    </row>
    <row r="86" spans="1:20" x14ac:dyDescent="0.25">
      <c r="A86" s="5">
        <v>44507</v>
      </c>
      <c r="B86">
        <v>258.41000000000003</v>
      </c>
      <c r="C86">
        <v>258.66000000000003</v>
      </c>
      <c r="D86">
        <v>245.65</v>
      </c>
      <c r="E86">
        <v>249.68</v>
      </c>
      <c r="F86">
        <v>1923092.87</v>
      </c>
      <c r="G86">
        <v>249.68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-0.38047655649500461</v>
      </c>
      <c r="Q86">
        <f t="shared" ref="Q86" si="406">F86*P86</f>
        <v>-731691.75299769558</v>
      </c>
      <c r="R86">
        <f t="shared" ref="R86" si="407">R87+Q86</f>
        <v>203268585.26092646</v>
      </c>
      <c r="S86">
        <f t="shared" ref="S86" si="408">R86/100000</f>
        <v>2032.6858526092647</v>
      </c>
      <c r="T86">
        <f t="shared" ref="T86" si="409">S86/1000</f>
        <v>2.0326858526092648</v>
      </c>
    </row>
    <row r="87" spans="1:20" x14ac:dyDescent="0.25">
      <c r="A87" s="5">
        <v>44506</v>
      </c>
      <c r="B87">
        <v>236.04</v>
      </c>
      <c r="C87">
        <v>259.89999999999998</v>
      </c>
      <c r="D87">
        <v>234.79</v>
      </c>
      <c r="E87">
        <v>258.44</v>
      </c>
      <c r="F87">
        <v>3046062.46</v>
      </c>
      <c r="G87">
        <v>258.44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0.88371166865790673</v>
      </c>
      <c r="Q87">
        <f t="shared" ref="Q87" si="411">F87*P87</f>
        <v>2691840.9393628081</v>
      </c>
      <c r="R87">
        <f t="shared" ref="R87" si="412">R88+Q87</f>
        <v>204000277.01392415</v>
      </c>
      <c r="S87">
        <f t="shared" ref="S87" si="413">R87/100000</f>
        <v>2040.0027701392414</v>
      </c>
      <c r="T87">
        <f t="shared" ref="T87" si="414">S87/1000</f>
        <v>2.0400027701392416</v>
      </c>
    </row>
    <row r="88" spans="1:20" x14ac:dyDescent="0.25">
      <c r="A88" s="5">
        <v>44505</v>
      </c>
      <c r="B88">
        <v>247.06</v>
      </c>
      <c r="C88">
        <v>248.84</v>
      </c>
      <c r="D88">
        <v>230.34</v>
      </c>
      <c r="E88">
        <v>236.06</v>
      </c>
      <c r="F88">
        <v>2233800.23</v>
      </c>
      <c r="G88">
        <v>236.06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-0.38162162162162172</v>
      </c>
      <c r="Q88">
        <f t="shared" ref="Q88" si="416">F88*P88</f>
        <v>-852466.46615135157</v>
      </c>
      <c r="R88">
        <f t="shared" ref="R88" si="417">R89+Q88</f>
        <v>201308436.07456136</v>
      </c>
      <c r="S88">
        <f t="shared" ref="S88" si="418">R88/100000</f>
        <v>2013.0843607456136</v>
      </c>
      <c r="T88">
        <f t="shared" ref="T88" si="419">S88/1000</f>
        <v>2.0130843607456135</v>
      </c>
    </row>
    <row r="89" spans="1:20" x14ac:dyDescent="0.25">
      <c r="A89" s="5">
        <v>44504</v>
      </c>
      <c r="B89">
        <v>243.37</v>
      </c>
      <c r="C89">
        <v>250.5</v>
      </c>
      <c r="D89">
        <v>234</v>
      </c>
      <c r="E89">
        <v>247.07</v>
      </c>
      <c r="F89">
        <v>3552648.58</v>
      </c>
      <c r="G89">
        <v>247.07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0.58424242424242345</v>
      </c>
      <c r="Q89">
        <f t="shared" ref="Q89" si="421">F89*P89</f>
        <v>2075608.0188606032</v>
      </c>
      <c r="R89">
        <f t="shared" ref="R89" si="422">R90+Q89</f>
        <v>202160902.54071271</v>
      </c>
      <c r="S89">
        <f t="shared" ref="S89" si="423">R89/100000</f>
        <v>2021.6090254071271</v>
      </c>
      <c r="T89">
        <f t="shared" ref="T89" si="424">S89/1000</f>
        <v>2.0216090254071273</v>
      </c>
    </row>
    <row r="90" spans="1:20" x14ac:dyDescent="0.25">
      <c r="A90" s="5">
        <v>44503</v>
      </c>
      <c r="B90">
        <v>220.81</v>
      </c>
      <c r="C90">
        <v>247</v>
      </c>
      <c r="D90">
        <v>215.69</v>
      </c>
      <c r="E90">
        <v>243.37</v>
      </c>
      <c r="F90">
        <v>5253716.352</v>
      </c>
      <c r="G90">
        <v>243.37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0.7681251996167362</v>
      </c>
      <c r="Q90">
        <f t="shared" ref="Q90" si="426">F90*P90</f>
        <v>4035511.9216097109</v>
      </c>
      <c r="R90">
        <f t="shared" ref="R90" si="427">R91+Q90</f>
        <v>200085294.52185211</v>
      </c>
      <c r="S90">
        <f t="shared" ref="S90" si="428">R90/100000</f>
        <v>2000.852945218521</v>
      </c>
      <c r="T90">
        <f t="shared" ref="T90" si="429">S90/1000</f>
        <v>2.0008529452185209</v>
      </c>
    </row>
    <row r="91" spans="1:20" x14ac:dyDescent="0.25">
      <c r="A91" s="5">
        <v>44502</v>
      </c>
      <c r="B91">
        <v>203.91</v>
      </c>
      <c r="C91">
        <v>222.22</v>
      </c>
      <c r="D91">
        <v>200.97</v>
      </c>
      <c r="E91">
        <v>220.82</v>
      </c>
      <c r="F91">
        <v>2876704.5419999999</v>
      </c>
      <c r="G91">
        <v>220.82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0.86823529411764655</v>
      </c>
      <c r="Q91">
        <f t="shared" ref="Q91" si="431">F91*P91</f>
        <v>2497656.4141129395</v>
      </c>
      <c r="R91">
        <f t="shared" ref="R91" si="432">R92+Q91</f>
        <v>196049782.60024241</v>
      </c>
      <c r="S91">
        <f t="shared" ref="S91" si="433">R91/100000</f>
        <v>1960.4978260024241</v>
      </c>
      <c r="T91">
        <f t="shared" ref="T91" si="434">S91/1000</f>
        <v>1.9604978260024242</v>
      </c>
    </row>
    <row r="92" spans="1:20" x14ac:dyDescent="0.25">
      <c r="A92" s="5">
        <v>44501</v>
      </c>
      <c r="B92">
        <v>202.53</v>
      </c>
      <c r="C92">
        <v>211.66</v>
      </c>
      <c r="D92">
        <v>197.7</v>
      </c>
      <c r="E92">
        <v>203.9</v>
      </c>
      <c r="F92">
        <v>3150076.28</v>
      </c>
      <c r="G92">
        <v>203.9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-0.1117478510028634</v>
      </c>
      <c r="Q92">
        <f t="shared" ref="Q92" si="436">F92*P92</f>
        <v>-352014.25478509418</v>
      </c>
      <c r="R92">
        <f t="shared" ref="R92" si="437">R93+Q92</f>
        <v>193552126.18612948</v>
      </c>
      <c r="S92">
        <f t="shared" ref="S92" si="438">R92/100000</f>
        <v>1935.5212618612948</v>
      </c>
      <c r="T92">
        <f t="shared" ref="T92" si="439">S92/1000</f>
        <v>1.9355212618612947</v>
      </c>
    </row>
    <row r="93" spans="1:20" x14ac:dyDescent="0.25">
      <c r="A93" s="5">
        <v>44500</v>
      </c>
      <c r="B93">
        <v>195.69</v>
      </c>
      <c r="C93">
        <v>205</v>
      </c>
      <c r="D93">
        <v>185.31</v>
      </c>
      <c r="E93">
        <v>202.49</v>
      </c>
      <c r="F93">
        <v>2375757.35</v>
      </c>
      <c r="G93">
        <v>202.49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0.74504824784154478</v>
      </c>
      <c r="Q93">
        <f t="shared" ref="Q93" si="441">F93*P93</f>
        <v>1770053.8509141717</v>
      </c>
      <c r="R93">
        <f t="shared" ref="R93" si="442">R94+Q93</f>
        <v>193904140.44091457</v>
      </c>
      <c r="S93">
        <f t="shared" ref="S93" si="443">R93/100000</f>
        <v>1939.0414044091458</v>
      </c>
      <c r="T93">
        <f t="shared" ref="T93" si="444">S93/1000</f>
        <v>1.9390414044091457</v>
      </c>
    </row>
    <row r="94" spans="1:20" x14ac:dyDescent="0.25">
      <c r="A94" s="5">
        <v>44499</v>
      </c>
      <c r="B94">
        <v>200.36</v>
      </c>
      <c r="C94">
        <v>200.62</v>
      </c>
      <c r="D94">
        <v>187.3</v>
      </c>
      <c r="E94">
        <v>195.7</v>
      </c>
      <c r="F94">
        <v>1609573.37</v>
      </c>
      <c r="G94">
        <v>195.7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0.26126126126125848</v>
      </c>
      <c r="Q94">
        <f t="shared" ref="Q94" si="446">F94*P94</f>
        <v>420519.16873873427</v>
      </c>
      <c r="R94">
        <f t="shared" ref="R94" si="447">R95+Q94</f>
        <v>192134086.59000039</v>
      </c>
      <c r="S94">
        <f t="shared" ref="S94" si="448">R94/100000</f>
        <v>1921.340865900004</v>
      </c>
      <c r="T94">
        <f t="shared" ref="T94" si="449">S94/1000</f>
        <v>1.921340865900004</v>
      </c>
    </row>
    <row r="95" spans="1:20" x14ac:dyDescent="0.25">
      <c r="A95" s="5">
        <v>44498</v>
      </c>
      <c r="B95">
        <v>195.37</v>
      </c>
      <c r="C95">
        <v>205.22</v>
      </c>
      <c r="D95">
        <v>194.45</v>
      </c>
      <c r="E95">
        <v>200.41</v>
      </c>
      <c r="F95">
        <v>2484214.02</v>
      </c>
      <c r="G95">
        <v>200.41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0.10677808727948046</v>
      </c>
      <c r="Q95">
        <f t="shared" ref="Q95" si="451">F95*P95</f>
        <v>265259.621448469</v>
      </c>
      <c r="R95">
        <f t="shared" ref="R95" si="452">R96+Q95</f>
        <v>191713567.42126167</v>
      </c>
      <c r="S95">
        <f t="shared" ref="S95" si="453">R95/100000</f>
        <v>1917.1356742126168</v>
      </c>
      <c r="T95">
        <f t="shared" ref="T95" si="454">S95/1000</f>
        <v>1.9171356742126169</v>
      </c>
    </row>
    <row r="96" spans="1:20" x14ac:dyDescent="0.25">
      <c r="A96" s="5">
        <v>44497</v>
      </c>
      <c r="B96">
        <v>184.45</v>
      </c>
      <c r="C96">
        <v>201.38</v>
      </c>
      <c r="D96">
        <v>181.64</v>
      </c>
      <c r="E96">
        <v>195.42</v>
      </c>
      <c r="F96">
        <v>3503774.6</v>
      </c>
      <c r="G96">
        <v>195.42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0.39614994934143816</v>
      </c>
      <c r="Q96">
        <f t="shared" ref="Q96" si="456">F96*P96</f>
        <v>1388020.1302938177</v>
      </c>
      <c r="R96">
        <f t="shared" ref="R96" si="457">R97+Q96</f>
        <v>191448307.79981321</v>
      </c>
      <c r="S96">
        <f t="shared" ref="S96" si="458">R96/100000</f>
        <v>1914.4830779981321</v>
      </c>
      <c r="T96">
        <f t="shared" ref="T96" si="459">S96/1000</f>
        <v>1.9144830779981321</v>
      </c>
    </row>
    <row r="97" spans="1:20" x14ac:dyDescent="0.25">
      <c r="A97" s="5">
        <v>44496</v>
      </c>
      <c r="B97">
        <v>199.87</v>
      </c>
      <c r="C97">
        <v>205.49</v>
      </c>
      <c r="D97">
        <v>176.94</v>
      </c>
      <c r="E97">
        <v>184.49</v>
      </c>
      <c r="F97">
        <v>5003626.21</v>
      </c>
      <c r="G97">
        <v>184.49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-0.47110332749562112</v>
      </c>
      <c r="Q97">
        <f t="shared" ref="Q97" si="461">F97*P97</f>
        <v>-2357224.9570753034</v>
      </c>
      <c r="R97">
        <f t="shared" ref="R97" si="462">R98+Q97</f>
        <v>190060287.66951939</v>
      </c>
      <c r="S97">
        <f t="shared" ref="S97" si="463">R97/100000</f>
        <v>1900.602876695194</v>
      </c>
      <c r="T97">
        <f t="shared" ref="T97" si="464">S97/1000</f>
        <v>1.9006028766951941</v>
      </c>
    </row>
    <row r="98" spans="1:20" x14ac:dyDescent="0.25">
      <c r="A98" s="5">
        <v>44495</v>
      </c>
      <c r="B98">
        <v>209.73</v>
      </c>
      <c r="C98">
        <v>214.2</v>
      </c>
      <c r="D98">
        <v>196.36</v>
      </c>
      <c r="E98">
        <v>199.85</v>
      </c>
      <c r="F98">
        <v>3168707.16</v>
      </c>
      <c r="G98">
        <v>199.85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-0.60874439461883567</v>
      </c>
      <c r="Q98">
        <f t="shared" ref="Q98" si="466">F98*P98</f>
        <v>-1928932.7218385702</v>
      </c>
      <c r="R98">
        <f t="shared" ref="R98" si="467">R99+Q98</f>
        <v>192417512.62659469</v>
      </c>
      <c r="S98">
        <f t="shared" ref="S98" si="468">R98/100000</f>
        <v>1924.175126265947</v>
      </c>
      <c r="T98">
        <f t="shared" ref="T98" si="469">S98/1000</f>
        <v>1.924175126265947</v>
      </c>
    </row>
    <row r="99" spans="1:20" x14ac:dyDescent="0.25">
      <c r="A99" s="5">
        <v>44494</v>
      </c>
      <c r="B99">
        <v>202.15</v>
      </c>
      <c r="C99">
        <v>218.93</v>
      </c>
      <c r="D99">
        <v>198</v>
      </c>
      <c r="E99">
        <v>209.7</v>
      </c>
      <c r="F99">
        <v>4914479.29</v>
      </c>
      <c r="G99">
        <v>209.7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0.11801242236024699</v>
      </c>
      <c r="Q99">
        <f t="shared" ref="Q99" si="471">F99*P99</f>
        <v>579969.60565216676</v>
      </c>
      <c r="R99">
        <f t="shared" ref="R99" si="472">R100+Q99</f>
        <v>194346445.34843326</v>
      </c>
      <c r="S99">
        <f t="shared" ref="S99" si="473">R99/100000</f>
        <v>1943.4644534843326</v>
      </c>
      <c r="T99">
        <f t="shared" ref="T99" si="474">S99/1000</f>
        <v>1.9434644534843326</v>
      </c>
    </row>
    <row r="100" spans="1:20" x14ac:dyDescent="0.25">
      <c r="A100" s="5">
        <v>44493</v>
      </c>
      <c r="B100">
        <v>197.75</v>
      </c>
      <c r="C100">
        <v>204.86</v>
      </c>
      <c r="D100">
        <v>185.22</v>
      </c>
      <c r="E100">
        <v>202.14</v>
      </c>
      <c r="F100">
        <v>3573960.26</v>
      </c>
      <c r="G100">
        <v>202.14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0.72301425661914198</v>
      </c>
      <c r="Q100">
        <f t="shared" ref="Q100" si="476">F100*P100</f>
        <v>2584024.2205702551</v>
      </c>
      <c r="R100">
        <f t="shared" ref="R100" si="477">R101+Q100</f>
        <v>193766475.7427811</v>
      </c>
      <c r="S100">
        <f t="shared" ref="S100" si="478">R100/100000</f>
        <v>1937.6647574278111</v>
      </c>
      <c r="T100">
        <f t="shared" ref="T100" si="479">S100/1000</f>
        <v>1.9376647574278112</v>
      </c>
    </row>
    <row r="101" spans="1:20" x14ac:dyDescent="0.25">
      <c r="A101" s="5">
        <v>44492</v>
      </c>
      <c r="B101">
        <v>196.29</v>
      </c>
      <c r="C101">
        <v>205.78</v>
      </c>
      <c r="D101">
        <v>191.86</v>
      </c>
      <c r="E101">
        <v>197.75</v>
      </c>
      <c r="F101">
        <v>3274703.05</v>
      </c>
      <c r="G101">
        <v>197.75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-0.15373563218390923</v>
      </c>
      <c r="Q101">
        <f t="shared" ref="Q101" si="481">F101*P101</f>
        <v>-503438.54360632569</v>
      </c>
      <c r="R101">
        <f t="shared" ref="R101" si="482">R102+Q101</f>
        <v>191182451.52221084</v>
      </c>
      <c r="S101">
        <f t="shared" ref="S101" si="483">R101/100000</f>
        <v>1911.8245152221084</v>
      </c>
      <c r="T101">
        <f t="shared" ref="T101" si="484">S101/1000</f>
        <v>1.9118245152221085</v>
      </c>
    </row>
    <row r="102" spans="1:20" x14ac:dyDescent="0.25">
      <c r="A102" s="5">
        <v>44491</v>
      </c>
      <c r="B102">
        <v>190.46</v>
      </c>
      <c r="C102">
        <v>215.1</v>
      </c>
      <c r="D102">
        <v>187.96</v>
      </c>
      <c r="E102">
        <v>196.29</v>
      </c>
      <c r="F102">
        <v>8364239.4199999999</v>
      </c>
      <c r="G102">
        <v>196.29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-0.3861459100958004</v>
      </c>
      <c r="Q102">
        <f t="shared" ref="Q102" si="486">F102*P102</f>
        <v>-3229816.8430950698</v>
      </c>
      <c r="R102">
        <f t="shared" ref="R102" si="487">R103+Q102</f>
        <v>191685890.06581715</v>
      </c>
      <c r="S102">
        <f t="shared" ref="S102" si="488">R102/100000</f>
        <v>1916.8589006581715</v>
      </c>
      <c r="T102">
        <f t="shared" ref="T102" si="489">S102/1000</f>
        <v>1.9168589006581715</v>
      </c>
    </row>
    <row r="103" spans="1:20" x14ac:dyDescent="0.25">
      <c r="A103" s="5">
        <v>44490</v>
      </c>
      <c r="B103">
        <v>176.72</v>
      </c>
      <c r="C103">
        <v>194.21</v>
      </c>
      <c r="D103">
        <v>176.7</v>
      </c>
      <c r="E103">
        <v>190.5</v>
      </c>
      <c r="F103">
        <v>7853710.7699999996</v>
      </c>
      <c r="G103">
        <v>190.5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0.57624214734437418</v>
      </c>
      <c r="Q103">
        <f t="shared" ref="Q103" si="491">F103*P103</f>
        <v>4525639.1587264379</v>
      </c>
      <c r="R103">
        <f t="shared" ref="R103" si="492">R104+Q103</f>
        <v>194915706.90891221</v>
      </c>
      <c r="S103">
        <f t="shared" ref="S103" si="493">R103/100000</f>
        <v>1949.1570690891222</v>
      </c>
      <c r="T103">
        <f t="shared" ref="T103" si="494">S103/1000</f>
        <v>1.9491570690891222</v>
      </c>
    </row>
    <row r="104" spans="1:20" x14ac:dyDescent="0.25">
      <c r="A104" s="5">
        <v>44489</v>
      </c>
      <c r="B104">
        <v>155.77000000000001</v>
      </c>
      <c r="C104">
        <v>176.87</v>
      </c>
      <c r="D104">
        <v>155</v>
      </c>
      <c r="E104">
        <v>176.72</v>
      </c>
      <c r="F104">
        <v>3884374.7</v>
      </c>
      <c r="G104">
        <v>176.72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0.9862825788751709</v>
      </c>
      <c r="Q104">
        <f t="shared" ref="Q104" si="496">F104*P104</f>
        <v>3831091.0964334686</v>
      </c>
      <c r="R104">
        <f t="shared" ref="R104" si="497">R105+Q104</f>
        <v>190390067.75018579</v>
      </c>
      <c r="S104">
        <f t="shared" ref="S104" si="498">R104/100000</f>
        <v>1903.9006775018579</v>
      </c>
      <c r="T104">
        <f t="shared" ref="T104" si="499">S104/1000</f>
        <v>1.9039006775018579</v>
      </c>
    </row>
    <row r="105" spans="1:20" x14ac:dyDescent="0.25">
      <c r="A105" s="5">
        <v>44488</v>
      </c>
      <c r="B105">
        <v>157.12</v>
      </c>
      <c r="C105">
        <v>159.44999999999999</v>
      </c>
      <c r="D105">
        <v>153.06</v>
      </c>
      <c r="E105">
        <v>155.78</v>
      </c>
      <c r="F105">
        <v>1821550.17</v>
      </c>
      <c r="G105">
        <v>155.78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-0.14866979655711904</v>
      </c>
      <c r="Q105">
        <f t="shared" ref="Q105" si="501">F105*P105</f>
        <v>-270809.49319248559</v>
      </c>
      <c r="R105">
        <f t="shared" ref="R105" si="502">R106+Q105</f>
        <v>186558976.65375233</v>
      </c>
      <c r="S105">
        <f t="shared" ref="S105" si="503">R105/100000</f>
        <v>1865.5897665375232</v>
      </c>
      <c r="T105">
        <f t="shared" ref="T105" si="504">S105/1000</f>
        <v>1.8655897665375232</v>
      </c>
    </row>
    <row r="106" spans="1:20" x14ac:dyDescent="0.25">
      <c r="A106" s="5">
        <v>44487</v>
      </c>
      <c r="B106">
        <v>160.11000000000001</v>
      </c>
      <c r="C106">
        <v>162.97999999999999</v>
      </c>
      <c r="D106">
        <v>154.91</v>
      </c>
      <c r="E106">
        <v>157.12</v>
      </c>
      <c r="F106">
        <v>2240606.17</v>
      </c>
      <c r="G106">
        <v>157.12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-0.45229244114002237</v>
      </c>
      <c r="Q106">
        <f t="shared" ref="Q106" si="506">F106*P106</f>
        <v>-1013409.2342626959</v>
      </c>
      <c r="R106">
        <f t="shared" ref="R106" si="507">R107+Q106</f>
        <v>186829786.14694482</v>
      </c>
      <c r="S106">
        <f t="shared" ref="S106" si="508">R106/100000</f>
        <v>1868.2978614694482</v>
      </c>
      <c r="T106">
        <f t="shared" ref="T106" si="509">S106/1000</f>
        <v>1.8682978614694483</v>
      </c>
    </row>
    <row r="107" spans="1:20" x14ac:dyDescent="0.25">
      <c r="A107" s="5">
        <v>44486</v>
      </c>
      <c r="B107">
        <v>157.54</v>
      </c>
      <c r="C107">
        <v>167.65</v>
      </c>
      <c r="D107">
        <v>153.13</v>
      </c>
      <c r="E107">
        <v>160.12</v>
      </c>
      <c r="F107">
        <v>3070422.13</v>
      </c>
      <c r="G107">
        <v>160.12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-3.7190082644627524E-2</v>
      </c>
      <c r="Q107">
        <f t="shared" ref="Q107" si="511">F107*P107</f>
        <v>-114189.25276859327</v>
      </c>
      <c r="R107">
        <f t="shared" ref="R107" si="512">R108+Q107</f>
        <v>187843195.38120753</v>
      </c>
      <c r="S107">
        <f t="shared" ref="S107" si="513">R107/100000</f>
        <v>1878.4319538120753</v>
      </c>
      <c r="T107">
        <f t="shared" ref="T107" si="514">S107/1000</f>
        <v>1.8784319538120753</v>
      </c>
    </row>
    <row r="108" spans="1:20" x14ac:dyDescent="0.25">
      <c r="A108" s="5">
        <v>44485</v>
      </c>
      <c r="B108">
        <v>163.15</v>
      </c>
      <c r="C108">
        <v>164.8</v>
      </c>
      <c r="D108">
        <v>156.36000000000001</v>
      </c>
      <c r="E108">
        <v>157.54</v>
      </c>
      <c r="F108">
        <v>1985241.59</v>
      </c>
      <c r="G108">
        <v>157.54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-0.72037914691943628</v>
      </c>
      <c r="Q108">
        <f t="shared" ref="Q108" si="516">F108*P108</f>
        <v>-1430126.6430331853</v>
      </c>
      <c r="R108">
        <f t="shared" ref="R108" si="517">R109+Q108</f>
        <v>187957384.63397613</v>
      </c>
      <c r="S108">
        <f t="shared" ref="S108" si="518">R108/100000</f>
        <v>1879.5738463397613</v>
      </c>
      <c r="T108">
        <f t="shared" ref="T108" si="519">S108/1000</f>
        <v>1.8795738463397613</v>
      </c>
    </row>
    <row r="109" spans="1:20" x14ac:dyDescent="0.25">
      <c r="A109" s="5">
        <v>44484</v>
      </c>
      <c r="B109">
        <v>150.01</v>
      </c>
      <c r="C109">
        <v>165.75</v>
      </c>
      <c r="D109">
        <v>146.68</v>
      </c>
      <c r="E109">
        <v>163.18</v>
      </c>
      <c r="F109">
        <v>5388612.0700000003</v>
      </c>
      <c r="G109">
        <v>163.18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0.73046670162559058</v>
      </c>
      <c r="Q109">
        <f t="shared" ref="Q109" si="521">F109*P109</f>
        <v>3936201.6851127464</v>
      </c>
      <c r="R109">
        <f t="shared" ref="R109" si="522">R110+Q109</f>
        <v>189387511.27700931</v>
      </c>
      <c r="S109">
        <f t="shared" ref="S109" si="523">R109/100000</f>
        <v>1893.875112770093</v>
      </c>
      <c r="T109">
        <f t="shared" ref="T109" si="524">S109/1000</f>
        <v>1.893875112770093</v>
      </c>
    </row>
    <row r="110" spans="1:20" x14ac:dyDescent="0.25">
      <c r="A110" s="5">
        <v>44483</v>
      </c>
      <c r="B110">
        <v>148.05000000000001</v>
      </c>
      <c r="C110">
        <v>155.65</v>
      </c>
      <c r="D110">
        <v>147.27000000000001</v>
      </c>
      <c r="E110">
        <v>150.02000000000001</v>
      </c>
      <c r="F110">
        <v>2654600.61</v>
      </c>
      <c r="G110">
        <v>150.02000000000001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-0.34367541766109749</v>
      </c>
      <c r="Q110">
        <f t="shared" ref="Q110" si="526">F110*P110</f>
        <v>-912320.97336515412</v>
      </c>
      <c r="R110">
        <f t="shared" ref="R110" si="527">R111+Q110</f>
        <v>185451309.59189656</v>
      </c>
      <c r="S110">
        <f t="shared" ref="S110" si="528">R110/100000</f>
        <v>1854.5130959189657</v>
      </c>
      <c r="T110">
        <f t="shared" ref="T110" si="529">S110/1000</f>
        <v>1.8545130959189657</v>
      </c>
    </row>
    <row r="111" spans="1:20" x14ac:dyDescent="0.25">
      <c r="A111" s="5">
        <v>44482</v>
      </c>
      <c r="B111">
        <v>152.35</v>
      </c>
      <c r="C111">
        <v>155.56</v>
      </c>
      <c r="D111">
        <v>144.28</v>
      </c>
      <c r="E111">
        <v>148.04</v>
      </c>
      <c r="F111">
        <v>2760546</v>
      </c>
      <c r="G111">
        <v>148.04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-0.33333333333333504</v>
      </c>
      <c r="Q111">
        <f t="shared" ref="Q111" si="531">F111*P111</f>
        <v>-920182.00000000466</v>
      </c>
      <c r="R111">
        <f t="shared" ref="R111" si="532">R112+Q111</f>
        <v>186363630.56526172</v>
      </c>
      <c r="S111">
        <f t="shared" ref="S111" si="533">R111/100000</f>
        <v>1863.6363056526172</v>
      </c>
      <c r="T111">
        <f t="shared" ref="T111" si="534">S111/1000</f>
        <v>1.8636363056526173</v>
      </c>
    </row>
    <row r="112" spans="1:20" x14ac:dyDescent="0.25">
      <c r="A112" s="5">
        <v>44481</v>
      </c>
      <c r="B112">
        <v>144.79</v>
      </c>
      <c r="C112">
        <v>153.5</v>
      </c>
      <c r="D112">
        <v>137.61000000000001</v>
      </c>
      <c r="E112">
        <v>152.32</v>
      </c>
      <c r="F112">
        <v>3377483.32</v>
      </c>
      <c r="G112">
        <v>152.32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0.8514789175582117</v>
      </c>
      <c r="Q112">
        <f t="shared" ref="Q112" si="536">F112*P112</f>
        <v>2875855.8413845152</v>
      </c>
      <c r="R112">
        <f t="shared" ref="R112" si="537">R113+Q112</f>
        <v>187283812.56526172</v>
      </c>
      <c r="S112">
        <f t="shared" ref="S112" si="538">R112/100000</f>
        <v>1872.8381256526172</v>
      </c>
      <c r="T112">
        <f t="shared" ref="T112" si="539">S112/1000</f>
        <v>1.8728381256526172</v>
      </c>
    </row>
    <row r="113" spans="1:20" x14ac:dyDescent="0.25">
      <c r="A113" s="5">
        <v>44480</v>
      </c>
      <c r="B113">
        <v>147.56</v>
      </c>
      <c r="C113">
        <v>154</v>
      </c>
      <c r="D113">
        <v>140.24</v>
      </c>
      <c r="E113">
        <v>144.77000000000001</v>
      </c>
      <c r="F113">
        <v>2211323.14</v>
      </c>
      <c r="G113">
        <v>144.77000000000001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-0.34156976744185985</v>
      </c>
      <c r="Q113">
        <f t="shared" ref="Q113" si="541">F113*P113</f>
        <v>-755321.13066860335</v>
      </c>
      <c r="R113">
        <f t="shared" ref="R113" si="542">R114+Q113</f>
        <v>184407956.72387719</v>
      </c>
      <c r="S113">
        <f t="shared" ref="S113" si="543">R113/100000</f>
        <v>1844.0795672387719</v>
      </c>
      <c r="T113">
        <f t="shared" ref="T113" si="544">S113/1000</f>
        <v>1.844079567238772</v>
      </c>
    </row>
    <row r="114" spans="1:20" x14ac:dyDescent="0.25">
      <c r="A114" s="5">
        <v>44479</v>
      </c>
      <c r="B114">
        <v>156.80000000000001</v>
      </c>
      <c r="C114">
        <v>158.5</v>
      </c>
      <c r="D114">
        <v>145.55000000000001</v>
      </c>
      <c r="E114">
        <v>147.55000000000001</v>
      </c>
      <c r="F114">
        <v>2037895.69</v>
      </c>
      <c r="G114">
        <v>147.55000000000001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-0.69111969111969085</v>
      </c>
      <c r="Q114">
        <f t="shared" ref="Q114" si="546">F114*P114</f>
        <v>-1408429.8398069493</v>
      </c>
      <c r="R114">
        <f t="shared" ref="R114" si="547">R115+Q114</f>
        <v>185163277.8545458</v>
      </c>
      <c r="S114">
        <f t="shared" ref="S114" si="548">R114/100000</f>
        <v>1851.632778545458</v>
      </c>
      <c r="T114">
        <f t="shared" ref="T114" si="549">S114/1000</f>
        <v>1.851632778545458</v>
      </c>
    </row>
    <row r="115" spans="1:20" x14ac:dyDescent="0.25">
      <c r="A115" s="5">
        <v>44478</v>
      </c>
      <c r="B115">
        <v>158.88</v>
      </c>
      <c r="C115">
        <v>161.54</v>
      </c>
      <c r="D115">
        <v>154.18</v>
      </c>
      <c r="E115">
        <v>156.84</v>
      </c>
      <c r="F115">
        <v>1833309.02</v>
      </c>
      <c r="G115">
        <v>156.84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-0.27717391304347772</v>
      </c>
      <c r="Q115">
        <f t="shared" ref="Q115" si="551">F115*P115</f>
        <v>-508145.43489130336</v>
      </c>
      <c r="R115">
        <f t="shared" ref="R115" si="552">R116+Q115</f>
        <v>186571707.69435275</v>
      </c>
      <c r="S115">
        <f t="shared" ref="S115" si="553">R115/100000</f>
        <v>1865.7170769435274</v>
      </c>
      <c r="T115">
        <f t="shared" ref="T115" si="554">S115/1000</f>
        <v>1.8657170769435274</v>
      </c>
    </row>
    <row r="116" spans="1:20" x14ac:dyDescent="0.25">
      <c r="A116" s="5">
        <v>44477</v>
      </c>
      <c r="B116">
        <v>154.26</v>
      </c>
      <c r="C116">
        <v>168.97</v>
      </c>
      <c r="D116">
        <v>152.38999999999999</v>
      </c>
      <c r="E116">
        <v>158.86000000000001</v>
      </c>
      <c r="F116">
        <v>3735085.38</v>
      </c>
      <c r="G116">
        <v>158.86000000000001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-0.2195416164053049</v>
      </c>
      <c r="Q116">
        <f t="shared" ref="Q116" si="556">F116*P116</f>
        <v>-820006.68173702247</v>
      </c>
      <c r="R116">
        <f t="shared" ref="R116" si="557">R117+Q116</f>
        <v>187079853.12924406</v>
      </c>
      <c r="S116">
        <f t="shared" ref="S116" si="558">R116/100000</f>
        <v>1870.7985312924407</v>
      </c>
      <c r="T116">
        <f t="shared" ref="T116" si="559">S116/1000</f>
        <v>1.8707985312924407</v>
      </c>
    </row>
    <row r="117" spans="1:20" x14ac:dyDescent="0.25">
      <c r="A117" s="5">
        <v>44476</v>
      </c>
      <c r="B117">
        <v>153.9</v>
      </c>
      <c r="C117">
        <v>161.41999999999999</v>
      </c>
      <c r="D117">
        <v>150.34</v>
      </c>
      <c r="E117">
        <v>154.26</v>
      </c>
      <c r="F117">
        <v>3251376.58</v>
      </c>
      <c r="G117">
        <v>154.26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-0.29241877256317811</v>
      </c>
      <c r="Q117">
        <f t="shared" ref="Q117" si="561">F117*P117</f>
        <v>-950763.54866426392</v>
      </c>
      <c r="R117">
        <f t="shared" ref="R117" si="562">R118+Q117</f>
        <v>187899859.81098109</v>
      </c>
      <c r="S117">
        <f t="shared" ref="S117" si="563">R117/100000</f>
        <v>1878.9985981098109</v>
      </c>
      <c r="T117">
        <f t="shared" ref="T117" si="564">S117/1000</f>
        <v>1.878998598109811</v>
      </c>
    </row>
    <row r="118" spans="1:20" x14ac:dyDescent="0.25">
      <c r="A118" s="5">
        <v>44475</v>
      </c>
      <c r="B118">
        <v>164.64</v>
      </c>
      <c r="C118">
        <v>165.42</v>
      </c>
      <c r="D118">
        <v>150.1</v>
      </c>
      <c r="E118">
        <v>153.87</v>
      </c>
      <c r="F118">
        <v>4499161.76</v>
      </c>
      <c r="G118">
        <v>153.87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-0.50783289817232224</v>
      </c>
      <c r="Q118">
        <f t="shared" ref="Q118" si="566">F118*P118</f>
        <v>-2284822.3559268862</v>
      </c>
      <c r="R118">
        <f t="shared" ref="R118" si="567">R119+Q118</f>
        <v>188850623.35964537</v>
      </c>
      <c r="S118">
        <f t="shared" ref="S118" si="568">R118/100000</f>
        <v>1888.5062335964537</v>
      </c>
      <c r="T118">
        <f t="shared" ref="T118" si="569">S118/1000</f>
        <v>1.8885062335964538</v>
      </c>
    </row>
    <row r="119" spans="1:20" x14ac:dyDescent="0.25">
      <c r="A119" s="5">
        <v>44474</v>
      </c>
      <c r="B119">
        <v>167.13</v>
      </c>
      <c r="C119">
        <v>170.18</v>
      </c>
      <c r="D119">
        <v>159.68</v>
      </c>
      <c r="E119">
        <v>164.62</v>
      </c>
      <c r="F119">
        <v>3378441.71</v>
      </c>
      <c r="G119">
        <v>164.62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-5.904761904761948E-2</v>
      </c>
      <c r="Q119">
        <f t="shared" ref="Q119" si="571">F119*P119</f>
        <v>-199488.93906666813</v>
      </c>
      <c r="R119">
        <f t="shared" ref="R119" si="572">R120+Q119</f>
        <v>191135445.71557224</v>
      </c>
      <c r="S119">
        <f t="shared" ref="S119" si="573">R119/100000</f>
        <v>1911.3544571557225</v>
      </c>
      <c r="T119">
        <f t="shared" ref="T119" si="574">S119/1000</f>
        <v>1.9113544571557224</v>
      </c>
    </row>
    <row r="120" spans="1:20" x14ac:dyDescent="0.25">
      <c r="A120" s="5">
        <v>44473</v>
      </c>
      <c r="B120">
        <v>172.99</v>
      </c>
      <c r="C120">
        <v>173.34</v>
      </c>
      <c r="D120">
        <v>162</v>
      </c>
      <c r="E120">
        <v>167.49</v>
      </c>
      <c r="F120">
        <v>4244038.12</v>
      </c>
      <c r="G120">
        <v>167.49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-3.1746031746030433E-2</v>
      </c>
      <c r="Q120">
        <f t="shared" ref="Q120" si="576">F120*P120</f>
        <v>-134731.36888888333</v>
      </c>
      <c r="R120">
        <f t="shared" ref="R120" si="577">R121+Q120</f>
        <v>191334934.65463892</v>
      </c>
      <c r="S120">
        <f t="shared" ref="S120" si="578">R120/100000</f>
        <v>1913.3493465463891</v>
      </c>
      <c r="T120">
        <f t="shared" ref="T120" si="579">S120/1000</f>
        <v>1.9133493465463891</v>
      </c>
    </row>
    <row r="121" spans="1:20" x14ac:dyDescent="0.25">
      <c r="A121" s="5">
        <v>44472</v>
      </c>
      <c r="B121">
        <v>169</v>
      </c>
      <c r="C121">
        <v>177.79</v>
      </c>
      <c r="D121">
        <v>165.58</v>
      </c>
      <c r="E121">
        <v>173.21</v>
      </c>
      <c r="F121">
        <v>4195380.72</v>
      </c>
      <c r="G121">
        <v>173.21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0.24979524979525114</v>
      </c>
      <c r="Q121">
        <f t="shared" ref="Q121" si="581">F121*P121</f>
        <v>1047986.1749385805</v>
      </c>
      <c r="R121">
        <f t="shared" ref="R121" si="582">R122+Q121</f>
        <v>191469666.0235278</v>
      </c>
      <c r="S121">
        <f t="shared" ref="S121" si="583">R121/100000</f>
        <v>1914.6966602352779</v>
      </c>
      <c r="T121">
        <f t="shared" ref="T121" si="584">S121/1000</f>
        <v>1.914696660235278</v>
      </c>
    </row>
    <row r="122" spans="1:20" x14ac:dyDescent="0.25">
      <c r="A122" s="5">
        <v>44471</v>
      </c>
      <c r="B122">
        <v>161.62</v>
      </c>
      <c r="C122">
        <v>175</v>
      </c>
      <c r="D122">
        <v>156.06</v>
      </c>
      <c r="E122">
        <v>168.98</v>
      </c>
      <c r="F122">
        <v>5059987.0199999996</v>
      </c>
      <c r="G122">
        <v>168.98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0.36430834213305058</v>
      </c>
      <c r="Q122">
        <f t="shared" ref="Q122" si="586">F122*P122</f>
        <v>1843395.4824709548</v>
      </c>
      <c r="R122">
        <f t="shared" ref="R122" si="587">R123+Q122</f>
        <v>190421679.84858921</v>
      </c>
      <c r="S122">
        <f t="shared" ref="S122" si="588">R122/100000</f>
        <v>1904.216798485892</v>
      </c>
      <c r="T122">
        <f t="shared" ref="T122" si="589">S122/1000</f>
        <v>1.904216798485892</v>
      </c>
    </row>
    <row r="123" spans="1:20" x14ac:dyDescent="0.25">
      <c r="A123" s="5">
        <v>44470</v>
      </c>
      <c r="B123">
        <v>141.38</v>
      </c>
      <c r="C123">
        <v>164.95</v>
      </c>
      <c r="D123">
        <v>138.25</v>
      </c>
      <c r="E123">
        <v>161.56</v>
      </c>
      <c r="F123">
        <v>6742166.8799999999</v>
      </c>
      <c r="G123">
        <v>161.56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0.74606741573033797</v>
      </c>
      <c r="Q123">
        <f t="shared" ref="Q123" si="591">F123*P123</f>
        <v>5030111.0205842759</v>
      </c>
      <c r="R123">
        <f t="shared" ref="R123" si="592">R124+Q123</f>
        <v>188578284.36611825</v>
      </c>
      <c r="S123">
        <f t="shared" ref="S123" si="593">R123/100000</f>
        <v>1885.7828436611826</v>
      </c>
      <c r="T123">
        <f t="shared" ref="T123" si="594">S123/1000</f>
        <v>1.8857828436611825</v>
      </c>
    </row>
    <row r="124" spans="1:20" x14ac:dyDescent="0.25">
      <c r="A124" s="5">
        <v>44469</v>
      </c>
      <c r="B124">
        <v>135.24</v>
      </c>
      <c r="C124">
        <v>142.94999999999999</v>
      </c>
      <c r="D124">
        <v>134.02000000000001</v>
      </c>
      <c r="E124">
        <v>141.37</v>
      </c>
      <c r="F124">
        <v>3361454.58</v>
      </c>
      <c r="G124">
        <v>141.37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0.64613661814110013</v>
      </c>
      <c r="Q124">
        <f t="shared" ref="Q124" si="596">F124*P124</f>
        <v>2171958.894356112</v>
      </c>
      <c r="R124">
        <f t="shared" ref="R124" si="597">R125+Q124</f>
        <v>183548173.34553397</v>
      </c>
      <c r="S124">
        <f t="shared" ref="S124" si="598">R124/100000</f>
        <v>1835.4817334553397</v>
      </c>
      <c r="T124">
        <f t="shared" ref="T124" si="599">S124/1000</f>
        <v>1.8354817334553397</v>
      </c>
    </row>
    <row r="125" spans="1:20" x14ac:dyDescent="0.25">
      <c r="A125" s="5">
        <v>44468</v>
      </c>
      <c r="B125">
        <v>132.22</v>
      </c>
      <c r="C125">
        <v>140.16999999999999</v>
      </c>
      <c r="D125">
        <v>131.12</v>
      </c>
      <c r="E125">
        <v>135.25</v>
      </c>
      <c r="F125">
        <v>3685498.28</v>
      </c>
      <c r="G125">
        <v>135.25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-8.7292817679557294E-2</v>
      </c>
      <c r="Q125">
        <f t="shared" ref="Q125" si="601">F125*P125</f>
        <v>-321717.52941436198</v>
      </c>
      <c r="R125">
        <f t="shared" ref="R125" si="602">R126+Q125</f>
        <v>181376214.45117787</v>
      </c>
      <c r="S125">
        <f t="shared" ref="S125" si="603">R125/100000</f>
        <v>1813.7621445117786</v>
      </c>
      <c r="T125">
        <f t="shared" ref="T125" si="604">S125/1000</f>
        <v>1.8137621445117786</v>
      </c>
    </row>
    <row r="126" spans="1:20" x14ac:dyDescent="0.25">
      <c r="A126" s="5">
        <v>44467</v>
      </c>
      <c r="B126">
        <v>136.34</v>
      </c>
      <c r="C126">
        <v>139.4</v>
      </c>
      <c r="D126">
        <v>128.16999999999999</v>
      </c>
      <c r="E126">
        <v>132.19999999999999</v>
      </c>
      <c r="F126">
        <v>3899945.58</v>
      </c>
      <c r="G126">
        <v>132.19999999999999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-0.28227960819234288</v>
      </c>
      <c r="Q126">
        <f t="shared" ref="Q126" si="606">F126*P126</f>
        <v>-1100875.1102938594</v>
      </c>
      <c r="R126">
        <f t="shared" ref="R126" si="607">R127+Q126</f>
        <v>181697931.98059222</v>
      </c>
      <c r="S126">
        <f t="shared" ref="S126" si="608">R126/100000</f>
        <v>1816.9793198059222</v>
      </c>
      <c r="T126">
        <f t="shared" ref="T126" si="609">S126/1000</f>
        <v>1.8169793198059221</v>
      </c>
    </row>
    <row r="127" spans="1:20" x14ac:dyDescent="0.25">
      <c r="A127" s="5">
        <v>44466</v>
      </c>
      <c r="B127">
        <v>135.69999999999999</v>
      </c>
      <c r="C127">
        <v>148.91999999999999</v>
      </c>
      <c r="D127">
        <v>133.72</v>
      </c>
      <c r="E127">
        <v>136.35</v>
      </c>
      <c r="F127">
        <v>5195624.2699999996</v>
      </c>
      <c r="G127">
        <v>136.35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-0.65394736842105294</v>
      </c>
      <c r="Q127">
        <f t="shared" ref="Q127" si="611">F127*P127</f>
        <v>-3397664.8186710537</v>
      </c>
      <c r="R127">
        <f t="shared" ref="R127" si="612">R128+Q127</f>
        <v>182798807.09088609</v>
      </c>
      <c r="S127">
        <f t="shared" ref="S127" si="613">R127/100000</f>
        <v>1827.9880709088609</v>
      </c>
      <c r="T127">
        <f t="shared" ref="T127" si="614">S127/1000</f>
        <v>1.827988070908861</v>
      </c>
    </row>
    <row r="128" spans="1:20" x14ac:dyDescent="0.25">
      <c r="A128" s="5">
        <v>44465</v>
      </c>
      <c r="B128">
        <v>136.05000000000001</v>
      </c>
      <c r="C128">
        <v>140.81</v>
      </c>
      <c r="D128">
        <v>124.8</v>
      </c>
      <c r="E128">
        <v>135.63999999999999</v>
      </c>
      <c r="F128">
        <v>4342156.13</v>
      </c>
      <c r="G128">
        <v>135.63999999999999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0.3541536539662693</v>
      </c>
      <c r="Q128">
        <f t="shared" ref="Q128" si="616">F128*P128</f>
        <v>1537790.4595315349</v>
      </c>
      <c r="R128">
        <f t="shared" ref="R128" si="617">R129+Q128</f>
        <v>186196471.90955713</v>
      </c>
      <c r="S128">
        <f t="shared" ref="S128" si="618">R128/100000</f>
        <v>1861.9647190955714</v>
      </c>
      <c r="T128">
        <f t="shared" ref="T128" si="619">S128/1000</f>
        <v>1.8619647190955713</v>
      </c>
    </row>
    <row r="129" spans="1:20" x14ac:dyDescent="0.25">
      <c r="A129" s="5">
        <v>44464</v>
      </c>
      <c r="B129">
        <v>139.11000000000001</v>
      </c>
      <c r="C129">
        <v>144.18</v>
      </c>
      <c r="D129">
        <v>133.54</v>
      </c>
      <c r="E129">
        <v>136.06</v>
      </c>
      <c r="F129">
        <v>3212733.31</v>
      </c>
      <c r="G129">
        <v>136.06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-0.52631578947368296</v>
      </c>
      <c r="Q129">
        <f t="shared" ref="Q129" si="621">F129*P129</f>
        <v>-1690912.2684210485</v>
      </c>
      <c r="R129">
        <f t="shared" ref="R129" si="622">R130+Q129</f>
        <v>184658681.45002559</v>
      </c>
      <c r="S129">
        <f t="shared" ref="S129" si="623">R129/100000</f>
        <v>1846.586814500256</v>
      </c>
      <c r="T129">
        <f t="shared" ref="T129" si="624">S129/1000</f>
        <v>1.846586814500256</v>
      </c>
    </row>
    <row r="130" spans="1:20" x14ac:dyDescent="0.25">
      <c r="A130" s="5">
        <v>44463</v>
      </c>
      <c r="B130">
        <v>149.9</v>
      </c>
      <c r="C130">
        <v>151.19999999999999</v>
      </c>
      <c r="D130">
        <v>128.15</v>
      </c>
      <c r="E130">
        <v>139.13</v>
      </c>
      <c r="F130">
        <v>6710404.4500000002</v>
      </c>
      <c r="G130">
        <v>139.13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-4.7288503253796278E-2</v>
      </c>
      <c r="Q130">
        <f t="shared" ref="Q130" si="626">F130*P130</f>
        <v>-317324.98266811401</v>
      </c>
      <c r="R130">
        <f t="shared" ref="R130" si="627">R131+Q130</f>
        <v>186349593.71844664</v>
      </c>
      <c r="S130">
        <f t="shared" ref="S130" si="628">R130/100000</f>
        <v>1863.4959371844664</v>
      </c>
      <c r="T130">
        <f t="shared" ref="T130" si="629">S130/1000</f>
        <v>1.8634959371844664</v>
      </c>
    </row>
    <row r="131" spans="1:20" x14ac:dyDescent="0.25">
      <c r="A131" s="5">
        <v>44462</v>
      </c>
      <c r="B131">
        <v>148.02000000000001</v>
      </c>
      <c r="C131">
        <v>152.5</v>
      </c>
      <c r="D131">
        <v>142.91999999999999</v>
      </c>
      <c r="E131">
        <v>149.91</v>
      </c>
      <c r="F131">
        <v>5188932.7699999996</v>
      </c>
      <c r="G131">
        <v>149.91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0.45929018789144049</v>
      </c>
      <c r="Q131">
        <f t="shared" ref="Q131" si="631">F131*P131</f>
        <v>2383225.9068893525</v>
      </c>
      <c r="R131">
        <f t="shared" ref="R131" si="632">R132+Q131</f>
        <v>186666918.70111474</v>
      </c>
      <c r="S131">
        <f t="shared" ref="S131" si="633">R131/100000</f>
        <v>1866.6691870111474</v>
      </c>
      <c r="T131">
        <f t="shared" ref="T131" si="634">S131/1000</f>
        <v>1.8666691870111474</v>
      </c>
    </row>
    <row r="132" spans="1:20" x14ac:dyDescent="0.25">
      <c r="A132" s="5">
        <v>44461</v>
      </c>
      <c r="B132">
        <v>124.3</v>
      </c>
      <c r="C132">
        <v>151.36000000000001</v>
      </c>
      <c r="D132">
        <v>122.1</v>
      </c>
      <c r="E132">
        <v>148.02000000000001</v>
      </c>
      <c r="F132">
        <v>7460596.3399999999</v>
      </c>
      <c r="G132">
        <v>148.02000000000001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0.77170198222829789</v>
      </c>
      <c r="Q132">
        <f t="shared" ref="Q132" si="636">F132*P132</f>
        <v>5757356.9841831839</v>
      </c>
      <c r="R132">
        <f t="shared" ref="R132" si="637">R133+Q132</f>
        <v>184283692.79422539</v>
      </c>
      <c r="S132">
        <f t="shared" ref="S132" si="638">R132/100000</f>
        <v>1842.8369279422539</v>
      </c>
      <c r="T132">
        <f t="shared" ref="T132" si="639">S132/1000</f>
        <v>1.8428369279422538</v>
      </c>
    </row>
    <row r="133" spans="1:20" x14ac:dyDescent="0.25">
      <c r="A133" s="5">
        <v>44460</v>
      </c>
      <c r="B133">
        <v>132.77000000000001</v>
      </c>
      <c r="C133">
        <v>144.63999999999999</v>
      </c>
      <c r="D133">
        <v>116</v>
      </c>
      <c r="E133">
        <v>124.29</v>
      </c>
      <c r="F133">
        <v>9608867.7200000007</v>
      </c>
      <c r="G133">
        <v>124.29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-0.42108938547485963</v>
      </c>
      <c r="Q133">
        <f t="shared" ref="Q133" si="641">F133*P133</f>
        <v>-4046192.2033240157</v>
      </c>
      <c r="R133">
        <f t="shared" ref="R133" si="642">R134+Q133</f>
        <v>178526335.8100422</v>
      </c>
      <c r="S133">
        <f t="shared" ref="S133" si="643">R133/100000</f>
        <v>1785.263358100422</v>
      </c>
      <c r="T133">
        <f t="shared" ref="T133" si="644">S133/1000</f>
        <v>1.785263358100422</v>
      </c>
    </row>
    <row r="134" spans="1:20" x14ac:dyDescent="0.25">
      <c r="A134" s="5">
        <v>44459</v>
      </c>
      <c r="B134">
        <v>152.78</v>
      </c>
      <c r="C134">
        <v>153.43</v>
      </c>
      <c r="D134">
        <v>136.6</v>
      </c>
      <c r="E134">
        <v>141.6</v>
      </c>
      <c r="F134">
        <v>3876801.37</v>
      </c>
      <c r="G134">
        <v>141.6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-0.40582293523470037</v>
      </c>
      <c r="Q134">
        <f t="shared" ref="Q134" si="646">F134*P134</f>
        <v>-1573294.9112953078</v>
      </c>
      <c r="R134">
        <f t="shared" ref="R134" si="647">R135+Q134</f>
        <v>182572528.01336622</v>
      </c>
      <c r="S134">
        <f t="shared" ref="S134" si="648">R134/100000</f>
        <v>1825.7252801336622</v>
      </c>
      <c r="T134">
        <f t="shared" ref="T134" si="649">S134/1000</f>
        <v>1.8257252801336621</v>
      </c>
    </row>
    <row r="135" spans="1:20" x14ac:dyDescent="0.25">
      <c r="A135" s="5">
        <v>44458</v>
      </c>
      <c r="B135">
        <v>169.22</v>
      </c>
      <c r="C135">
        <v>170.96</v>
      </c>
      <c r="D135">
        <v>150.6</v>
      </c>
      <c r="E135">
        <v>152.76</v>
      </c>
      <c r="F135">
        <v>4945800.0999999996</v>
      </c>
      <c r="G135">
        <v>152.76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-0.78781925343811443</v>
      </c>
      <c r="Q135">
        <f t="shared" ref="Q135" si="651">F135*P135</f>
        <v>-3896396.5424361513</v>
      </c>
      <c r="R135">
        <f t="shared" ref="R135" si="652">R136+Q135</f>
        <v>184145822.92466152</v>
      </c>
      <c r="S135">
        <f t="shared" ref="S135" si="653">R135/100000</f>
        <v>1841.4582292466152</v>
      </c>
      <c r="T135">
        <f t="shared" ref="T135" si="654">S135/1000</f>
        <v>1.8414582292466153</v>
      </c>
    </row>
    <row r="136" spans="1:20" x14ac:dyDescent="0.25">
      <c r="A136" s="5">
        <v>44457</v>
      </c>
      <c r="B136">
        <v>147.59</v>
      </c>
      <c r="C136">
        <v>171.47</v>
      </c>
      <c r="D136">
        <v>144.1</v>
      </c>
      <c r="E136">
        <v>169.22</v>
      </c>
      <c r="F136">
        <v>8229799.9400000004</v>
      </c>
      <c r="G136">
        <v>169.22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0.83558640847643406</v>
      </c>
      <c r="Q136">
        <f t="shared" ref="Q136" si="656">F136*P136</f>
        <v>6876708.9743441725</v>
      </c>
      <c r="R136">
        <f t="shared" ref="R136" si="657">R137+Q136</f>
        <v>188042219.46709767</v>
      </c>
      <c r="S136">
        <f t="shared" ref="S136" si="658">R136/100000</f>
        <v>1880.4221946709768</v>
      </c>
      <c r="T136">
        <f t="shared" ref="T136" si="659">S136/1000</f>
        <v>1.8804221946709767</v>
      </c>
    </row>
    <row r="137" spans="1:20" x14ac:dyDescent="0.25">
      <c r="A137" s="5">
        <v>44456</v>
      </c>
      <c r="B137">
        <v>152.30000000000001</v>
      </c>
      <c r="C137">
        <v>153.55000000000001</v>
      </c>
      <c r="D137">
        <v>134</v>
      </c>
      <c r="E137">
        <v>147.58000000000001</v>
      </c>
      <c r="F137">
        <v>7629925.5499999998</v>
      </c>
      <c r="G137">
        <v>147.58000000000001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0.38925831202046085</v>
      </c>
      <c r="Q137">
        <f t="shared" ref="Q137" si="661">F137*P137</f>
        <v>2970011.9404347865</v>
      </c>
      <c r="R137">
        <f t="shared" ref="R137" si="662">R138+Q137</f>
        <v>181165510.49275351</v>
      </c>
      <c r="S137">
        <f t="shared" ref="S137" si="663">R137/100000</f>
        <v>1811.6551049275351</v>
      </c>
      <c r="T137">
        <f t="shared" ref="T137" si="664">S137/1000</f>
        <v>1.8116551049275351</v>
      </c>
    </row>
    <row r="138" spans="1:20" x14ac:dyDescent="0.25">
      <c r="A138" s="5">
        <v>44455</v>
      </c>
      <c r="B138">
        <v>158.77000000000001</v>
      </c>
      <c r="C138">
        <v>163.5</v>
      </c>
      <c r="D138">
        <v>147.35</v>
      </c>
      <c r="E138">
        <v>152.29</v>
      </c>
      <c r="F138">
        <v>4739595.7300000004</v>
      </c>
      <c r="G138">
        <v>152.29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-0.38823529411764757</v>
      </c>
      <c r="Q138">
        <f t="shared" ref="Q138" si="666">F138*P138</f>
        <v>-1840078.3422352967</v>
      </c>
      <c r="R138">
        <f t="shared" ref="R138" si="667">R139+Q138</f>
        <v>178195498.55231872</v>
      </c>
      <c r="S138">
        <f t="shared" ref="S138" si="668">R138/100000</f>
        <v>1781.9549855231871</v>
      </c>
      <c r="T138">
        <f t="shared" ref="T138" si="669">S138/1000</f>
        <v>1.7819549855231871</v>
      </c>
    </row>
    <row r="139" spans="1:20" x14ac:dyDescent="0.25">
      <c r="A139" s="5">
        <v>44454</v>
      </c>
      <c r="B139">
        <v>158.72</v>
      </c>
      <c r="C139">
        <v>166.5</v>
      </c>
      <c r="D139">
        <v>153.69</v>
      </c>
      <c r="E139">
        <v>158.79</v>
      </c>
      <c r="F139">
        <v>6107319.5999999996</v>
      </c>
      <c r="G139">
        <v>158.79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-0.20374707259953265</v>
      </c>
      <c r="Q139">
        <f t="shared" ref="Q139" si="671">F139*P139</f>
        <v>-1244348.4899297487</v>
      </c>
      <c r="R139">
        <f t="shared" ref="R139" si="672">R140+Q139</f>
        <v>180035576.89455402</v>
      </c>
      <c r="S139">
        <f t="shared" ref="S139" si="673">R139/100000</f>
        <v>1800.3557689455401</v>
      </c>
      <c r="T139">
        <f t="shared" ref="T139" si="674">S139/1000</f>
        <v>1.8003557689455401</v>
      </c>
    </row>
    <row r="140" spans="1:20" x14ac:dyDescent="0.25">
      <c r="A140" s="5">
        <v>44453</v>
      </c>
      <c r="B140">
        <v>169.54</v>
      </c>
      <c r="C140">
        <v>171.83</v>
      </c>
      <c r="D140">
        <v>142.6</v>
      </c>
      <c r="E140">
        <v>158.88</v>
      </c>
      <c r="F140">
        <v>7981396.5199999996</v>
      </c>
      <c r="G140">
        <v>158.88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0.11392405063291078</v>
      </c>
      <c r="Q140">
        <f t="shared" ref="Q140" si="676">F140*P140</f>
        <v>909273.02126581781</v>
      </c>
      <c r="R140">
        <f t="shared" ref="R140" si="677">R141+Q140</f>
        <v>181279925.38448375</v>
      </c>
      <c r="S140">
        <f t="shared" ref="S140" si="678">R140/100000</f>
        <v>1812.7992538448375</v>
      </c>
      <c r="T140">
        <f t="shared" ref="T140" si="679">S140/1000</f>
        <v>1.8127992538448374</v>
      </c>
    </row>
    <row r="141" spans="1:20" x14ac:dyDescent="0.25">
      <c r="A141" s="5">
        <v>44452</v>
      </c>
      <c r="B141">
        <v>174.31</v>
      </c>
      <c r="C141">
        <v>175</v>
      </c>
      <c r="D141">
        <v>150.30000000000001</v>
      </c>
      <c r="E141">
        <v>169.53</v>
      </c>
      <c r="F141">
        <v>8423839.4600000009</v>
      </c>
      <c r="G141">
        <v>169.53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0.55708502024291484</v>
      </c>
      <c r="Q141">
        <f t="shared" ref="Q141" si="681">F141*P141</f>
        <v>4692794.7760971654</v>
      </c>
      <c r="R141">
        <f t="shared" ref="R141" si="682">R142+Q141</f>
        <v>180370652.36321795</v>
      </c>
      <c r="S141">
        <f t="shared" ref="S141" si="683">R141/100000</f>
        <v>1803.7065236321796</v>
      </c>
      <c r="T141">
        <f t="shared" ref="T141" si="684">S141/1000</f>
        <v>1.8037065236321796</v>
      </c>
    </row>
    <row r="142" spans="1:20" x14ac:dyDescent="0.25">
      <c r="A142" s="5">
        <v>44451</v>
      </c>
      <c r="B142">
        <v>179.05</v>
      </c>
      <c r="C142">
        <v>181.75</v>
      </c>
      <c r="D142">
        <v>170.15</v>
      </c>
      <c r="E142">
        <v>174.29</v>
      </c>
      <c r="F142">
        <v>3661211.64</v>
      </c>
      <c r="G142">
        <v>174.29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-0.28620689655172615</v>
      </c>
      <c r="Q142">
        <f t="shared" ref="Q142" si="686">F142*P142</f>
        <v>-1047864.0211034557</v>
      </c>
      <c r="R142">
        <f t="shared" ref="R142" si="687">R143+Q142</f>
        <v>175677857.58712077</v>
      </c>
      <c r="S142">
        <f t="shared" ref="S142" si="688">R142/100000</f>
        <v>1756.7785758712077</v>
      </c>
      <c r="T142">
        <f t="shared" ref="T142" si="689">S142/1000</f>
        <v>1.7567785758712078</v>
      </c>
    </row>
    <row r="143" spans="1:20" x14ac:dyDescent="0.25">
      <c r="A143" s="5">
        <v>44450</v>
      </c>
      <c r="B143">
        <v>179.6</v>
      </c>
      <c r="C143">
        <v>193.51</v>
      </c>
      <c r="D143">
        <v>175.14</v>
      </c>
      <c r="E143">
        <v>179.04</v>
      </c>
      <c r="F143">
        <v>6794663.25</v>
      </c>
      <c r="G143">
        <v>179.04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-0.57539466521502403</v>
      </c>
      <c r="Q143">
        <f t="shared" ref="Q143" si="691">F143*P143</f>
        <v>-3909612.9859825773</v>
      </c>
      <c r="R143">
        <f t="shared" ref="R143" si="692">R144+Q143</f>
        <v>176725721.60822421</v>
      </c>
      <c r="S143">
        <f t="shared" ref="S143" si="693">R143/100000</f>
        <v>1767.2572160822422</v>
      </c>
      <c r="T143">
        <f t="shared" ref="T143" si="694">S143/1000</f>
        <v>1.7672572160822422</v>
      </c>
    </row>
    <row r="144" spans="1:20" x14ac:dyDescent="0.25">
      <c r="A144" s="5">
        <v>44449</v>
      </c>
      <c r="B144">
        <v>187.89</v>
      </c>
      <c r="C144">
        <v>197.41</v>
      </c>
      <c r="D144">
        <v>167.82</v>
      </c>
      <c r="E144">
        <v>179.6</v>
      </c>
      <c r="F144">
        <v>9055410.6999999993</v>
      </c>
      <c r="G144">
        <v>179.6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-0.20378506252112202</v>
      </c>
      <c r="Q144">
        <f t="shared" ref="Q144" si="696">F144*P144</f>
        <v>-1845357.4356539373</v>
      </c>
      <c r="R144">
        <f t="shared" ref="R144" si="697">R145+Q144</f>
        <v>180635334.59420678</v>
      </c>
      <c r="S144">
        <f t="shared" ref="S144" si="698">R144/100000</f>
        <v>1806.3533459420678</v>
      </c>
      <c r="T144">
        <f t="shared" ref="T144" si="699">S144/1000</f>
        <v>1.8063533459420678</v>
      </c>
    </row>
    <row r="145" spans="1:20" x14ac:dyDescent="0.25">
      <c r="A145" s="5">
        <v>44448</v>
      </c>
      <c r="B145">
        <v>191.02</v>
      </c>
      <c r="C145">
        <v>216</v>
      </c>
      <c r="D145">
        <v>180.7</v>
      </c>
      <c r="E145">
        <v>187.9</v>
      </c>
      <c r="F145">
        <v>16349677.82</v>
      </c>
      <c r="G145">
        <v>187.9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-0.59206798866855437</v>
      </c>
      <c r="Q145">
        <f t="shared" ref="Q145" si="701">F145*P145</f>
        <v>-9680120.8622662742</v>
      </c>
      <c r="R145">
        <f t="shared" ref="R145" si="702">R146+Q145</f>
        <v>182480692.02986071</v>
      </c>
      <c r="S145">
        <f t="shared" ref="S145" si="703">R145/100000</f>
        <v>1824.8069202986071</v>
      </c>
      <c r="T145">
        <f t="shared" ref="T145" si="704">S145/1000</f>
        <v>1.824806920298607</v>
      </c>
    </row>
    <row r="146" spans="1:20" x14ac:dyDescent="0.25">
      <c r="A146" s="5">
        <v>44447</v>
      </c>
      <c r="B146">
        <v>173.49</v>
      </c>
      <c r="C146">
        <v>198</v>
      </c>
      <c r="D146">
        <v>146.5</v>
      </c>
      <c r="E146">
        <v>191.02</v>
      </c>
      <c r="F146">
        <v>16666845.800000001</v>
      </c>
      <c r="G146">
        <v>191.02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0.72893203883495183</v>
      </c>
      <c r="Q146">
        <f t="shared" ref="Q146" si="706">F146*P146</f>
        <v>12148997.889941754</v>
      </c>
      <c r="R146">
        <f t="shared" ref="R146" si="707">R147+Q146</f>
        <v>192160812.89212698</v>
      </c>
      <c r="S146">
        <f t="shared" ref="S146" si="708">R146/100000</f>
        <v>1921.6081289212698</v>
      </c>
      <c r="T146">
        <f t="shared" ref="T146" si="709">S146/1000</f>
        <v>1.9216081289212699</v>
      </c>
    </row>
    <row r="147" spans="1:20" x14ac:dyDescent="0.25">
      <c r="A147" s="5">
        <v>44446</v>
      </c>
      <c r="B147">
        <v>164.19</v>
      </c>
      <c r="C147">
        <v>195.48</v>
      </c>
      <c r="D147">
        <v>128.01</v>
      </c>
      <c r="E147">
        <v>173.46</v>
      </c>
      <c r="F147">
        <v>24376489.011</v>
      </c>
      <c r="G147">
        <v>173.46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0.34726545131169462</v>
      </c>
      <c r="Q147">
        <f t="shared" ref="Q147" si="711">F147*P147</f>
        <v>8465112.4577994794</v>
      </c>
      <c r="R147">
        <f t="shared" ref="R147" si="712">R148+Q147</f>
        <v>180011815.00218523</v>
      </c>
      <c r="S147">
        <f t="shared" ref="S147" si="713">R147/100000</f>
        <v>1800.1181500218522</v>
      </c>
      <c r="T147">
        <f t="shared" ref="T147" si="714">S147/1000</f>
        <v>1.8001181500218522</v>
      </c>
    </row>
    <row r="148" spans="1:20" x14ac:dyDescent="0.25">
      <c r="A148" s="5">
        <v>44445</v>
      </c>
      <c r="B148">
        <v>141.97999999999999</v>
      </c>
      <c r="C148">
        <v>166.13</v>
      </c>
      <c r="D148">
        <v>136.91999999999999</v>
      </c>
      <c r="E148">
        <v>164.22</v>
      </c>
      <c r="F148">
        <v>8435542.3530000001</v>
      </c>
      <c r="G148">
        <v>164.22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0.86922286888052069</v>
      </c>
      <c r="Q148">
        <f t="shared" ref="Q148" si="716">F148*P148</f>
        <v>7332366.3246377977</v>
      </c>
      <c r="R148">
        <f t="shared" ref="R148" si="717">R149+Q148</f>
        <v>171546702.54438576</v>
      </c>
      <c r="S148">
        <f t="shared" ref="S148" si="718">R148/100000</f>
        <v>1715.4670254438577</v>
      </c>
      <c r="T148">
        <f t="shared" ref="T148" si="719">S148/1000</f>
        <v>1.7154670254438578</v>
      </c>
    </row>
    <row r="149" spans="1:20" x14ac:dyDescent="0.25">
      <c r="A149" s="5">
        <v>44444</v>
      </c>
      <c r="B149">
        <v>138.88</v>
      </c>
      <c r="C149">
        <v>144.99</v>
      </c>
      <c r="D149">
        <v>134.74</v>
      </c>
      <c r="E149">
        <v>142</v>
      </c>
      <c r="F149">
        <v>4619885.42</v>
      </c>
      <c r="G149">
        <v>142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0.41658536585365674</v>
      </c>
      <c r="Q149">
        <f t="shared" ref="Q149" si="721">F149*P149</f>
        <v>1924576.6578926747</v>
      </c>
      <c r="R149">
        <f t="shared" ref="R149" si="722">R150+Q149</f>
        <v>164214336.21974796</v>
      </c>
      <c r="S149">
        <f t="shared" ref="S149" si="723">R149/100000</f>
        <v>1642.1433621974795</v>
      </c>
      <c r="T149">
        <f t="shared" ref="T149" si="724">S149/1000</f>
        <v>1.6421433621974795</v>
      </c>
    </row>
    <row r="150" spans="1:20" x14ac:dyDescent="0.25">
      <c r="A150" s="5">
        <v>44443</v>
      </c>
      <c r="B150">
        <v>146.36000000000001</v>
      </c>
      <c r="C150">
        <v>150.6</v>
      </c>
      <c r="D150">
        <v>135.72999999999999</v>
      </c>
      <c r="E150">
        <v>138.88</v>
      </c>
      <c r="F150">
        <v>6134062.5259999996</v>
      </c>
      <c r="G150">
        <v>138.88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-0.57632817753866783</v>
      </c>
      <c r="Q150">
        <f t="shared" ref="Q150" si="726">F150*P150</f>
        <v>-3535233.0765178171</v>
      </c>
      <c r="R150">
        <f t="shared" ref="R150" si="727">R151+Q150</f>
        <v>162289759.56185529</v>
      </c>
      <c r="S150">
        <f t="shared" ref="S150" si="728">R150/100000</f>
        <v>1622.8975956185529</v>
      </c>
      <c r="T150">
        <f t="shared" ref="T150" si="729">S150/1000</f>
        <v>1.622897595618553</v>
      </c>
    </row>
    <row r="151" spans="1:20" x14ac:dyDescent="0.25">
      <c r="A151" s="5">
        <v>44442</v>
      </c>
      <c r="B151">
        <v>128.19999999999999</v>
      </c>
      <c r="C151">
        <v>148.99</v>
      </c>
      <c r="D151">
        <v>128.12</v>
      </c>
      <c r="E151">
        <v>146.4</v>
      </c>
      <c r="F151">
        <v>11927061.369999999</v>
      </c>
      <c r="G151">
        <v>146.4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0.75179683756588378</v>
      </c>
      <c r="Q151">
        <f t="shared" ref="Q151" si="731">F151*P151</f>
        <v>8966727.0194202159</v>
      </c>
      <c r="R151">
        <f t="shared" ref="R151" si="732">R152+Q151</f>
        <v>165824992.63837311</v>
      </c>
      <c r="S151">
        <f t="shared" ref="S151" si="733">R151/100000</f>
        <v>1658.249926383731</v>
      </c>
      <c r="T151">
        <f t="shared" ref="T151" si="734">S151/1000</f>
        <v>1.6582499263837309</v>
      </c>
    </row>
    <row r="152" spans="1:20" x14ac:dyDescent="0.25">
      <c r="A152" s="5">
        <v>44441</v>
      </c>
      <c r="B152">
        <v>110.71</v>
      </c>
      <c r="C152">
        <v>131.96</v>
      </c>
      <c r="D152">
        <v>109.18</v>
      </c>
      <c r="E152">
        <v>128.22999999999999</v>
      </c>
      <c r="F152">
        <v>9206853.4719999991</v>
      </c>
      <c r="G152">
        <v>128.22999999999999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0.67251975417032328</v>
      </c>
      <c r="Q152">
        <f t="shared" ref="Q152" si="736">F152*P152</f>
        <v>6191790.8336716266</v>
      </c>
      <c r="R152">
        <f t="shared" ref="R152" si="737">R153+Q152</f>
        <v>156858265.6189529</v>
      </c>
      <c r="S152">
        <f t="shared" ref="S152" si="738">R152/100000</f>
        <v>1568.582656189529</v>
      </c>
      <c r="T152">
        <f t="shared" ref="T152" si="739">S152/1000</f>
        <v>1.5685826561895289</v>
      </c>
    </row>
    <row r="153" spans="1:20" x14ac:dyDescent="0.25">
      <c r="A153" s="5">
        <v>44440</v>
      </c>
      <c r="B153">
        <v>108.27</v>
      </c>
      <c r="C153">
        <v>119.72</v>
      </c>
      <c r="D153">
        <v>105.89</v>
      </c>
      <c r="E153">
        <v>110.71</v>
      </c>
      <c r="F153">
        <v>8028303.79</v>
      </c>
      <c r="G153">
        <v>110.71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-0.30296456977585051</v>
      </c>
      <c r="Q153">
        <f t="shared" ref="Q153" si="741">F153*P153</f>
        <v>-2432291.6037671803</v>
      </c>
      <c r="R153">
        <f t="shared" ref="R153" si="742">R154+Q153</f>
        <v>150666474.78528127</v>
      </c>
      <c r="S153">
        <f t="shared" ref="S153" si="743">R153/100000</f>
        <v>1506.6647478528128</v>
      </c>
      <c r="T153">
        <f t="shared" ref="T153" si="744">S153/1000</f>
        <v>1.5066647478528128</v>
      </c>
    </row>
    <row r="154" spans="1:20" x14ac:dyDescent="0.25">
      <c r="A154" s="5">
        <v>44439</v>
      </c>
      <c r="B154">
        <v>110.26</v>
      </c>
      <c r="C154">
        <v>130.11000000000001</v>
      </c>
      <c r="D154">
        <v>103.06</v>
      </c>
      <c r="E154">
        <v>108.27</v>
      </c>
      <c r="F154">
        <v>16509565.592</v>
      </c>
      <c r="G154">
        <v>108.27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-0.61478743068391928</v>
      </c>
      <c r="Q154">
        <f t="shared" ref="Q154" si="746">F154*P154</f>
        <v>-10149873.412013318</v>
      </c>
      <c r="R154">
        <f t="shared" ref="R154" si="747">R155+Q154</f>
        <v>153098766.38904846</v>
      </c>
      <c r="S154">
        <f t="shared" ref="S154" si="748">R154/100000</f>
        <v>1530.9876638904846</v>
      </c>
      <c r="T154">
        <f t="shared" ref="T154" si="749">S154/1000</f>
        <v>1.5309876638904845</v>
      </c>
    </row>
    <row r="155" spans="1:20" x14ac:dyDescent="0.25">
      <c r="A155" s="5">
        <v>44438</v>
      </c>
      <c r="B155">
        <v>94.23</v>
      </c>
      <c r="C155">
        <v>116.84</v>
      </c>
      <c r="D155">
        <v>93.58</v>
      </c>
      <c r="E155">
        <v>110.25</v>
      </c>
      <c r="F155">
        <v>11109542.615</v>
      </c>
      <c r="G155">
        <v>110.25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0.43336199484092847</v>
      </c>
      <c r="Q155">
        <f t="shared" ref="Q155" si="751">F155*P155</f>
        <v>4814453.5494067054</v>
      </c>
      <c r="R155">
        <f t="shared" ref="R155" si="752">R156+Q155</f>
        <v>163248639.80106178</v>
      </c>
      <c r="S155">
        <f t="shared" ref="S155" si="753">R155/100000</f>
        <v>1632.4863980106179</v>
      </c>
      <c r="T155">
        <f t="shared" ref="T155" si="754">S155/1000</f>
        <v>1.6324863980106179</v>
      </c>
    </row>
    <row r="156" spans="1:20" x14ac:dyDescent="0.25">
      <c r="A156" s="5">
        <v>44437</v>
      </c>
      <c r="B156">
        <v>96.17</v>
      </c>
      <c r="C156">
        <v>97.82</v>
      </c>
      <c r="D156">
        <v>90.3</v>
      </c>
      <c r="E156">
        <v>94.23</v>
      </c>
      <c r="F156">
        <v>4171861.65</v>
      </c>
      <c r="G156">
        <v>94.23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4.5212765957449177E-2</v>
      </c>
      <c r="Q156">
        <f t="shared" ref="Q156" si="756">F156*P156</f>
        <v>188621.40438830774</v>
      </c>
      <c r="R156">
        <f t="shared" ref="R156" si="757">R157+Q156</f>
        <v>158434186.25165507</v>
      </c>
      <c r="S156">
        <f t="shared" ref="S156" si="758">R156/100000</f>
        <v>1584.3418625165507</v>
      </c>
      <c r="T156">
        <f t="shared" ref="T156" si="759">S156/1000</f>
        <v>1.5843418625165506</v>
      </c>
    </row>
    <row r="157" spans="1:20" x14ac:dyDescent="0.25">
      <c r="A157" s="5">
        <v>44436</v>
      </c>
      <c r="B157">
        <v>87.98</v>
      </c>
      <c r="C157">
        <v>97.82</v>
      </c>
      <c r="D157">
        <v>85.59</v>
      </c>
      <c r="E157">
        <v>96.22</v>
      </c>
      <c r="F157">
        <v>5774371.2580000004</v>
      </c>
      <c r="G157">
        <v>96.22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0.73834832379394999</v>
      </c>
      <c r="Q157">
        <f t="shared" ref="Q157" si="761">F157*P157</f>
        <v>4263497.3393082628</v>
      </c>
      <c r="R157">
        <f t="shared" ref="R157" si="762">R158+Q157</f>
        <v>158245564.84726676</v>
      </c>
      <c r="S157">
        <f t="shared" ref="S157" si="763">R157/100000</f>
        <v>1582.4556484726677</v>
      </c>
      <c r="T157">
        <f t="shared" ref="T157" si="764">S157/1000</f>
        <v>1.5824556484726677</v>
      </c>
    </row>
    <row r="158" spans="1:20" x14ac:dyDescent="0.25">
      <c r="A158" s="5">
        <v>44435</v>
      </c>
      <c r="B158">
        <v>74.92</v>
      </c>
      <c r="C158">
        <v>88.92</v>
      </c>
      <c r="D158">
        <v>72.55</v>
      </c>
      <c r="E158">
        <v>87.98</v>
      </c>
      <c r="F158">
        <v>8785637.0930000003</v>
      </c>
      <c r="G158">
        <v>87.98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0.88515577275503998</v>
      </c>
      <c r="Q158">
        <f t="shared" ref="Q158" si="766">F158*P158</f>
        <v>7776657.3901997581</v>
      </c>
      <c r="R158">
        <f t="shared" ref="R158" si="767">R159+Q158</f>
        <v>153982067.5079585</v>
      </c>
      <c r="S158">
        <f t="shared" ref="S158" si="768">R158/100000</f>
        <v>1539.820675079585</v>
      </c>
      <c r="T158">
        <f t="shared" ref="T158" si="769">S158/1000</f>
        <v>1.5398206750795851</v>
      </c>
    </row>
    <row r="159" spans="1:20" x14ac:dyDescent="0.25">
      <c r="A159" s="5">
        <v>44434</v>
      </c>
      <c r="B159">
        <v>71.981999999999999</v>
      </c>
      <c r="C159">
        <v>78.3</v>
      </c>
      <c r="D159">
        <v>66.2</v>
      </c>
      <c r="E159">
        <v>74.92</v>
      </c>
      <c r="F159">
        <v>6563670.7470000004</v>
      </c>
      <c r="G159">
        <v>74.92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0.44132231404958727</v>
      </c>
      <c r="Q159">
        <f t="shared" ref="Q159" si="771">F159*P159</f>
        <v>2896694.3627256234</v>
      </c>
      <c r="R159">
        <f t="shared" ref="R159" si="772">R160+Q159</f>
        <v>146205410.11775875</v>
      </c>
      <c r="S159">
        <f t="shared" ref="S159" si="773">R159/100000</f>
        <v>1462.0541011775874</v>
      </c>
      <c r="T159">
        <f t="shared" ref="T159" si="774">S159/1000</f>
        <v>1.4620541011775874</v>
      </c>
    </row>
    <row r="160" spans="1:20" x14ac:dyDescent="0.25">
      <c r="A160" s="5">
        <v>44433</v>
      </c>
      <c r="B160">
        <v>70.519000000000005</v>
      </c>
      <c r="C160">
        <v>72.83</v>
      </c>
      <c r="D160">
        <v>66.03</v>
      </c>
      <c r="E160">
        <v>71.972999999999999</v>
      </c>
      <c r="F160">
        <v>5069064.8039999995</v>
      </c>
      <c r="G160">
        <v>71.972999999999999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0.74794117647058833</v>
      </c>
      <c r="Q160">
        <f t="shared" ref="Q160" si="776">F160*P160</f>
        <v>3791362.2931094118</v>
      </c>
      <c r="R160">
        <f t="shared" ref="R160" si="777">R161+Q160</f>
        <v>143308715.75503314</v>
      </c>
      <c r="S160">
        <f t="shared" ref="S160" si="778">R160/100000</f>
        <v>1433.0871575503313</v>
      </c>
      <c r="T160">
        <f t="shared" ref="T160" si="779">S160/1000</f>
        <v>1.4330871575503312</v>
      </c>
    </row>
    <row r="161" spans="1:20" x14ac:dyDescent="0.25">
      <c r="A161" s="5">
        <v>44432</v>
      </c>
      <c r="B161">
        <v>75.647000000000006</v>
      </c>
      <c r="C161">
        <v>79.45</v>
      </c>
      <c r="D161">
        <v>68.5</v>
      </c>
      <c r="E161">
        <v>70.527000000000001</v>
      </c>
      <c r="F161">
        <v>6792636.1370000001</v>
      </c>
      <c r="G161">
        <v>70.527000000000001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-0.62977168949771678</v>
      </c>
      <c r="Q161">
        <f t="shared" ref="Q161" si="781">F161*P161</f>
        <v>-4277809.936141734</v>
      </c>
      <c r="R161">
        <f t="shared" ref="R161" si="782">R162+Q161</f>
        <v>139517353.46192372</v>
      </c>
      <c r="S161">
        <f t="shared" ref="S161" si="783">R161/100000</f>
        <v>1395.1735346192372</v>
      </c>
      <c r="T161">
        <f t="shared" ref="T161" si="784">S161/1000</f>
        <v>1.3951735346192373</v>
      </c>
    </row>
    <row r="162" spans="1:20" x14ac:dyDescent="0.25">
      <c r="A162" s="5">
        <v>44431</v>
      </c>
      <c r="B162">
        <v>72.751000000000005</v>
      </c>
      <c r="C162">
        <v>76.81</v>
      </c>
      <c r="D162">
        <v>71.545000000000002</v>
      </c>
      <c r="E162">
        <v>75.623000000000005</v>
      </c>
      <c r="F162">
        <v>4150780.5950000002</v>
      </c>
      <c r="G162">
        <v>75.623000000000005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0.54909781576448335</v>
      </c>
      <c r="Q162">
        <f t="shared" ref="Q162" si="786">F162*P162</f>
        <v>2279184.5584321027</v>
      </c>
      <c r="R162">
        <f t="shared" ref="R162" si="787">R163+Q162</f>
        <v>143795163.39806545</v>
      </c>
      <c r="S162">
        <f t="shared" ref="S162" si="788">R162/100000</f>
        <v>1437.9516339806544</v>
      </c>
      <c r="T162">
        <f t="shared" ref="T162" si="789">S162/1000</f>
        <v>1.4379516339806544</v>
      </c>
    </row>
    <row r="163" spans="1:20" x14ac:dyDescent="0.25">
      <c r="A163" s="5">
        <v>44430</v>
      </c>
      <c r="B163">
        <v>73.852000000000004</v>
      </c>
      <c r="C163">
        <v>75.78</v>
      </c>
      <c r="D163">
        <v>73.39</v>
      </c>
      <c r="E163">
        <v>74.75</v>
      </c>
      <c r="F163">
        <v>664552.35800000001</v>
      </c>
      <c r="G163">
        <v>74.75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0.13807531380753063</v>
      </c>
      <c r="Q163">
        <f t="shared" ref="Q163" si="791">F163*P163</f>
        <v>91758.275372384436</v>
      </c>
      <c r="R163">
        <f t="shared" ref="R163" si="792">R164+Q163</f>
        <v>141515978.83963335</v>
      </c>
      <c r="S163">
        <f t="shared" ref="S163" si="793">R163/100000</f>
        <v>1415.1597883963334</v>
      </c>
      <c r="T163">
        <f t="shared" ref="T163" si="794">S163/1000</f>
        <v>1.4151597883963334</v>
      </c>
    </row>
    <row r="164" spans="1:20" x14ac:dyDescent="0.25">
      <c r="A164" s="5">
        <v>44429</v>
      </c>
      <c r="B164">
        <v>78.683999999999997</v>
      </c>
      <c r="C164">
        <v>82</v>
      </c>
      <c r="D164">
        <v>72.599999999999994</v>
      </c>
      <c r="E164">
        <v>73.801000000000002</v>
      </c>
      <c r="F164">
        <v>5131799.3619999997</v>
      </c>
      <c r="G164">
        <v>73.801000000000002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-0.74446808510638152</v>
      </c>
      <c r="Q164">
        <f t="shared" ref="Q164" si="796">F164*P164</f>
        <v>-3820460.8441782901</v>
      </c>
      <c r="R164">
        <f t="shared" ref="R164" si="797">R165+Q164</f>
        <v>141424220.56426096</v>
      </c>
      <c r="S164">
        <f t="shared" ref="S164" si="798">R164/100000</f>
        <v>1414.2422056426096</v>
      </c>
      <c r="T164">
        <f t="shared" ref="T164" si="799">S164/1000</f>
        <v>1.4142422056426096</v>
      </c>
    </row>
    <row r="165" spans="1:20" x14ac:dyDescent="0.25">
      <c r="A165" s="5">
        <v>44428</v>
      </c>
      <c r="B165">
        <v>72.8</v>
      </c>
      <c r="C165">
        <v>80</v>
      </c>
      <c r="D165">
        <v>70.873000000000005</v>
      </c>
      <c r="E165">
        <v>78.643000000000001</v>
      </c>
      <c r="F165">
        <v>5705076.7220000001</v>
      </c>
      <c r="G165">
        <v>78.643000000000001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0.70264051714692666</v>
      </c>
      <c r="Q165">
        <f t="shared" ref="Q165" si="801">F165*P165</f>
        <v>4008618.058308973</v>
      </c>
      <c r="R165">
        <f t="shared" ref="R165" si="802">R166+Q165</f>
        <v>145244681.40843925</v>
      </c>
      <c r="S165">
        <f t="shared" ref="S165" si="803">R165/100000</f>
        <v>1452.4468140843926</v>
      </c>
      <c r="T165">
        <f t="shared" ref="T165" si="804">S165/1000</f>
        <v>1.4524468140843927</v>
      </c>
    </row>
    <row r="166" spans="1:20" x14ac:dyDescent="0.25">
      <c r="A166" s="5">
        <v>44427</v>
      </c>
      <c r="B166">
        <v>72.659000000000006</v>
      </c>
      <c r="C166">
        <v>75.436000000000007</v>
      </c>
      <c r="D166">
        <v>68.239999999999995</v>
      </c>
      <c r="E166">
        <v>72.763999999999996</v>
      </c>
      <c r="F166">
        <v>7819221.5980000002</v>
      </c>
      <c r="G166">
        <v>72.763999999999996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0.25736520289049286</v>
      </c>
      <c r="Q166">
        <f t="shared" ref="Q166" si="806">F166*P166</f>
        <v>2012395.5530149939</v>
      </c>
      <c r="R166">
        <f t="shared" ref="R166" si="807">R167+Q166</f>
        <v>141236063.35013029</v>
      </c>
      <c r="S166">
        <f t="shared" ref="S166" si="808">R166/100000</f>
        <v>1412.3606335013028</v>
      </c>
      <c r="T166">
        <f t="shared" ref="T166" si="809">S166/1000</f>
        <v>1.4123606335013028</v>
      </c>
    </row>
    <row r="167" spans="1:20" x14ac:dyDescent="0.25">
      <c r="A167" s="5">
        <v>44426</v>
      </c>
      <c r="B167">
        <v>64.135000000000005</v>
      </c>
      <c r="C167">
        <v>80.5</v>
      </c>
      <c r="D167">
        <v>59.722000000000001</v>
      </c>
      <c r="E167">
        <v>72.662999999999997</v>
      </c>
      <c r="F167">
        <v>15022132.453</v>
      </c>
      <c r="G167">
        <v>72.662999999999997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0.24564443161035673</v>
      </c>
      <c r="Q167">
        <f t="shared" ref="Q167" si="811">F167*P167</f>
        <v>3690103.187992679</v>
      </c>
      <c r="R167">
        <f t="shared" ref="R167" si="812">R168+Q167</f>
        <v>139223667.7971153</v>
      </c>
      <c r="S167">
        <f t="shared" ref="S167" si="813">R167/100000</f>
        <v>1392.2366779711529</v>
      </c>
      <c r="T167">
        <f t="shared" ref="T167" si="814">S167/1000</f>
        <v>1.3922366779711528</v>
      </c>
    </row>
    <row r="168" spans="1:20" x14ac:dyDescent="0.25">
      <c r="A168" s="5">
        <v>44425</v>
      </c>
      <c r="B168">
        <v>62.042000000000002</v>
      </c>
      <c r="C168">
        <v>75.155000000000001</v>
      </c>
      <c r="D168">
        <v>58.822000000000003</v>
      </c>
      <c r="E168">
        <v>64.123000000000005</v>
      </c>
      <c r="F168">
        <v>14953825.949999999</v>
      </c>
      <c r="G168">
        <v>64.123000000000005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-0.35088471193289628</v>
      </c>
      <c r="Q168">
        <f t="shared" ref="Q168" si="816">F168*P168</f>
        <v>-5247068.9107604185</v>
      </c>
      <c r="R168">
        <f t="shared" ref="R168" si="817">R169+Q168</f>
        <v>135533564.6091226</v>
      </c>
      <c r="S168">
        <f t="shared" ref="S168" si="818">R168/100000</f>
        <v>1355.335646091226</v>
      </c>
      <c r="T168">
        <f t="shared" ref="T168" si="819">S168/1000</f>
        <v>1.355335646091226</v>
      </c>
    </row>
    <row r="169" spans="1:20" x14ac:dyDescent="0.25">
      <c r="A169" s="5">
        <v>44424</v>
      </c>
      <c r="B169">
        <v>53.515000000000001</v>
      </c>
      <c r="C169">
        <v>69.132000000000005</v>
      </c>
      <c r="D169">
        <v>52.268999999999998</v>
      </c>
      <c r="E169">
        <v>62.015999999999998</v>
      </c>
      <c r="F169">
        <v>15014364.927999999</v>
      </c>
      <c r="G169">
        <v>62.015999999999998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0.15602206013164871</v>
      </c>
      <c r="Q169">
        <f t="shared" ref="Q169" si="821">F169*P169</f>
        <v>2342572.1476349332</v>
      </c>
      <c r="R169">
        <f t="shared" ref="R169" si="822">R170+Q169</f>
        <v>140780633.51988304</v>
      </c>
      <c r="S169">
        <f t="shared" ref="S169" si="823">R169/100000</f>
        <v>1407.8063351988303</v>
      </c>
      <c r="T169">
        <f t="shared" ref="T169" si="824">S169/1000</f>
        <v>1.4078063351988304</v>
      </c>
    </row>
    <row r="170" spans="1:20" x14ac:dyDescent="0.25">
      <c r="A170" s="5">
        <v>44423</v>
      </c>
      <c r="B170">
        <v>44.124000000000002</v>
      </c>
      <c r="C170">
        <v>54.8</v>
      </c>
      <c r="D170">
        <v>43.360999999999997</v>
      </c>
      <c r="E170">
        <v>53.530999999999999</v>
      </c>
      <c r="F170">
        <v>6264283.5650000004</v>
      </c>
      <c r="G170">
        <v>53.530999999999999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0.77812745869394206</v>
      </c>
      <c r="Q170">
        <f t="shared" ref="Q170" si="826">F170*P170</f>
        <v>4874411.0509716775</v>
      </c>
      <c r="R170">
        <f t="shared" ref="R170" si="827">R171+Q170</f>
        <v>138438061.37224811</v>
      </c>
      <c r="S170">
        <f t="shared" ref="S170" si="828">R170/100000</f>
        <v>1384.380613722481</v>
      </c>
      <c r="T170">
        <f t="shared" ref="T170" si="829">S170/1000</f>
        <v>1.384380613722481</v>
      </c>
    </row>
    <row r="171" spans="1:20" x14ac:dyDescent="0.25">
      <c r="A171" s="5">
        <v>44422</v>
      </c>
      <c r="B171">
        <v>44.859000000000002</v>
      </c>
      <c r="C171">
        <v>44.874000000000002</v>
      </c>
      <c r="D171">
        <v>42.726999999999997</v>
      </c>
      <c r="E171">
        <v>44.14</v>
      </c>
      <c r="F171">
        <v>1548818.7220000001</v>
      </c>
      <c r="G171">
        <v>44.14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0.31625523986958559</v>
      </c>
      <c r="Q171">
        <f t="shared" ref="Q171" si="831">F171*P171</f>
        <v>489822.03644061502</v>
      </c>
      <c r="R171">
        <f t="shared" ref="R171" si="832">R172+Q171</f>
        <v>133563650.32127644</v>
      </c>
      <c r="S171">
        <f t="shared" ref="S171" si="833">R171/100000</f>
        <v>1335.6365032127644</v>
      </c>
      <c r="T171">
        <f t="shared" ref="T171" si="834">S171/1000</f>
        <v>1.3356365032127644</v>
      </c>
    </row>
    <row r="172" spans="1:20" x14ac:dyDescent="0.25">
      <c r="A172" s="5">
        <v>44421</v>
      </c>
      <c r="B172">
        <v>41.104999999999997</v>
      </c>
      <c r="C172">
        <v>44.911000000000001</v>
      </c>
      <c r="D172">
        <v>40.667999999999999</v>
      </c>
      <c r="E172">
        <v>44.83</v>
      </c>
      <c r="F172">
        <v>2281339.9900000002</v>
      </c>
      <c r="G172">
        <v>44.83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0.96181946735799995</v>
      </c>
      <c r="Q172">
        <f t="shared" ref="Q172" si="836">F172*P172</f>
        <v>2194237.214044305</v>
      </c>
      <c r="R172">
        <f t="shared" ref="R172" si="837">R173+Q172</f>
        <v>133073828.28483583</v>
      </c>
      <c r="S172">
        <f t="shared" ref="S172" si="838">R172/100000</f>
        <v>1330.7382828483583</v>
      </c>
      <c r="T172">
        <f t="shared" ref="T172" si="839">S172/1000</f>
        <v>1.3307382828483583</v>
      </c>
    </row>
    <row r="173" spans="1:20" x14ac:dyDescent="0.25">
      <c r="A173" s="5">
        <v>44420</v>
      </c>
      <c r="B173">
        <v>41.619</v>
      </c>
      <c r="C173">
        <v>43.401000000000003</v>
      </c>
      <c r="D173">
        <v>39.316000000000003</v>
      </c>
      <c r="E173">
        <v>41.101999999999997</v>
      </c>
      <c r="F173">
        <v>2413664.412</v>
      </c>
      <c r="G173">
        <v>41.101999999999997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-0.12558139534884019</v>
      </c>
      <c r="Q173">
        <f t="shared" ref="Q173" si="841">F173*P173</f>
        <v>-303111.34476279787</v>
      </c>
      <c r="R173">
        <f t="shared" ref="R173" si="842">R174+Q173</f>
        <v>130879591.07079153</v>
      </c>
      <c r="S173">
        <f t="shared" ref="S173" si="843">R173/100000</f>
        <v>1308.7959107079153</v>
      </c>
      <c r="T173">
        <f t="shared" ref="T173" si="844">S173/1000</f>
        <v>1.3087959107079152</v>
      </c>
    </row>
    <row r="174" spans="1:20" x14ac:dyDescent="0.25">
      <c r="A174" s="5">
        <v>44419</v>
      </c>
      <c r="B174">
        <v>40.639000000000003</v>
      </c>
      <c r="C174">
        <v>43.728999999999999</v>
      </c>
      <c r="D174">
        <v>40.604999999999997</v>
      </c>
      <c r="E174">
        <v>41.621000000000002</v>
      </c>
      <c r="F174">
        <v>2512250.5550000002</v>
      </c>
      <c r="G174">
        <v>41.621000000000002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-0.3495518565941072</v>
      </c>
      <c r="Q174">
        <f t="shared" ref="Q174" si="846">F174*P174</f>
        <v>-878161.84572982625</v>
      </c>
      <c r="R174">
        <f t="shared" ref="R174" si="847">R175+Q174</f>
        <v>131182702.41555433</v>
      </c>
      <c r="S174">
        <f t="shared" ref="S174" si="848">R174/100000</f>
        <v>1311.8270241555433</v>
      </c>
      <c r="T174">
        <f t="shared" ref="T174" si="849">S174/1000</f>
        <v>1.3118270241555434</v>
      </c>
    </row>
    <row r="175" spans="1:20" x14ac:dyDescent="0.25">
      <c r="A175" s="5">
        <v>44418</v>
      </c>
      <c r="B175">
        <v>38.646000000000001</v>
      </c>
      <c r="C175">
        <v>41.677999999999997</v>
      </c>
      <c r="D175">
        <v>38.183</v>
      </c>
      <c r="E175">
        <v>40.64</v>
      </c>
      <c r="F175">
        <v>2603195.665</v>
      </c>
      <c r="G175">
        <v>40.64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0.40600858369098858</v>
      </c>
      <c r="Q175">
        <f t="shared" ref="Q175" si="851">F175*P175</f>
        <v>1056919.7850171712</v>
      </c>
      <c r="R175">
        <f t="shared" ref="R175" si="852">R176+Q175</f>
        <v>132060864.26128416</v>
      </c>
      <c r="S175">
        <f t="shared" ref="S175" si="853">R175/100000</f>
        <v>1320.6086426128415</v>
      </c>
      <c r="T175">
        <f t="shared" ref="T175" si="854">S175/1000</f>
        <v>1.3206086426128416</v>
      </c>
    </row>
    <row r="176" spans="1:20" x14ac:dyDescent="0.25">
      <c r="A176" s="5">
        <v>44417</v>
      </c>
      <c r="B176">
        <v>37.652999999999999</v>
      </c>
      <c r="C176">
        <v>39.999000000000002</v>
      </c>
      <c r="D176">
        <v>36.350999999999999</v>
      </c>
      <c r="E176">
        <v>38.646000000000001</v>
      </c>
      <c r="F176">
        <v>2128198.7409999999</v>
      </c>
      <c r="G176">
        <v>38.646000000000001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0.25822368421052611</v>
      </c>
      <c r="Q176">
        <f t="shared" ref="Q176" si="856">F176*P176</f>
        <v>549551.31963322323</v>
      </c>
      <c r="R176">
        <f t="shared" ref="R176" si="857">R177+Q176</f>
        <v>131003944.47626698</v>
      </c>
      <c r="S176">
        <f t="shared" ref="S176" si="858">R176/100000</f>
        <v>1310.0394447626697</v>
      </c>
      <c r="T176">
        <f t="shared" ref="T176" si="859">S176/1000</f>
        <v>1.3100394447626698</v>
      </c>
    </row>
    <row r="177" spans="1:20" x14ac:dyDescent="0.25">
      <c r="A177" s="5">
        <v>44416</v>
      </c>
      <c r="B177">
        <v>39.454000000000001</v>
      </c>
      <c r="C177">
        <v>39.548999999999999</v>
      </c>
      <c r="D177">
        <v>36.896000000000001</v>
      </c>
      <c r="E177">
        <v>37.65</v>
      </c>
      <c r="F177">
        <v>2030535.723</v>
      </c>
      <c r="G177">
        <v>37.65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-0.43158688277421925</v>
      </c>
      <c r="Q177">
        <f t="shared" ref="Q177" si="861">F177*P177</f>
        <v>-876352.58305126557</v>
      </c>
      <c r="R177">
        <f t="shared" ref="R177" si="862">R178+Q177</f>
        <v>130454393.15663375</v>
      </c>
      <c r="S177">
        <f t="shared" ref="S177" si="863">R177/100000</f>
        <v>1304.5439315663375</v>
      </c>
      <c r="T177">
        <f t="shared" ref="T177" si="864">S177/1000</f>
        <v>1.3045439315663374</v>
      </c>
    </row>
    <row r="178" spans="1:20" x14ac:dyDescent="0.25">
      <c r="A178" s="5">
        <v>44415</v>
      </c>
      <c r="B178">
        <v>39.502000000000002</v>
      </c>
      <c r="C178">
        <v>40.5</v>
      </c>
      <c r="D178">
        <v>37.502000000000002</v>
      </c>
      <c r="E178">
        <v>39.469000000000001</v>
      </c>
      <c r="F178">
        <v>3561767.7009999999</v>
      </c>
      <c r="G178">
        <v>39.469000000000001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0.31220813875917303</v>
      </c>
      <c r="Q178">
        <f t="shared" ref="Q178" si="866">F178*P178</f>
        <v>1112012.8646217487</v>
      </c>
      <c r="R178">
        <f t="shared" ref="R178" si="867">R179+Q178</f>
        <v>131330745.73968501</v>
      </c>
      <c r="S178">
        <f t="shared" ref="S178" si="868">R178/100000</f>
        <v>1313.3074573968502</v>
      </c>
      <c r="T178">
        <f t="shared" ref="T178" si="869">S178/1000</f>
        <v>1.3133074573968502</v>
      </c>
    </row>
    <row r="179" spans="1:20" x14ac:dyDescent="0.25">
      <c r="A179" s="5">
        <v>44414</v>
      </c>
      <c r="B179">
        <v>37.353999999999999</v>
      </c>
      <c r="C179">
        <v>40.4</v>
      </c>
      <c r="D179">
        <v>35.610999999999997</v>
      </c>
      <c r="E179">
        <v>39.524999999999999</v>
      </c>
      <c r="F179">
        <v>3951317.574</v>
      </c>
      <c r="G179">
        <v>39.524999999999999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0.63457924410106503</v>
      </c>
      <c r="Q179">
        <f t="shared" ref="Q179" si="871">F179*P179</f>
        <v>2507424.1193121742</v>
      </c>
      <c r="R179">
        <f t="shared" ref="R179" si="872">R180+Q179</f>
        <v>130218732.87506327</v>
      </c>
      <c r="S179">
        <f t="shared" ref="S179" si="873">R179/100000</f>
        <v>1302.1873287506328</v>
      </c>
      <c r="T179">
        <f t="shared" ref="T179" si="874">S179/1000</f>
        <v>1.3021873287506327</v>
      </c>
    </row>
    <row r="180" spans="1:20" x14ac:dyDescent="0.25">
      <c r="A180" s="5">
        <v>44413</v>
      </c>
      <c r="B180">
        <v>35.756999999999998</v>
      </c>
      <c r="C180">
        <v>38.267000000000003</v>
      </c>
      <c r="D180">
        <v>35.5</v>
      </c>
      <c r="E180">
        <v>37.353000000000002</v>
      </c>
      <c r="F180">
        <v>4059371.0830000001</v>
      </c>
      <c r="G180">
        <v>37.353000000000002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0.33935670401156454</v>
      </c>
      <c r="Q180">
        <f t="shared" ref="Q180" si="876">F180*P180</f>
        <v>1377574.7910867352</v>
      </c>
      <c r="R180">
        <f t="shared" ref="R180" si="877">R181+Q180</f>
        <v>127711308.7557511</v>
      </c>
      <c r="S180">
        <f t="shared" ref="S180" si="878">R180/100000</f>
        <v>1277.1130875575111</v>
      </c>
      <c r="T180">
        <f t="shared" ref="T180" si="879">S180/1000</f>
        <v>1.2771130875575112</v>
      </c>
    </row>
    <row r="181" spans="1:20" x14ac:dyDescent="0.25">
      <c r="A181" s="5">
        <v>44412</v>
      </c>
      <c r="B181">
        <v>34.094000000000001</v>
      </c>
      <c r="C181">
        <v>36.658000000000001</v>
      </c>
      <c r="D181">
        <v>33.235999999999997</v>
      </c>
      <c r="E181">
        <v>35.76</v>
      </c>
      <c r="F181">
        <v>2847838.6690000002</v>
      </c>
      <c r="G181">
        <v>35.76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0.4751607247223833</v>
      </c>
      <c r="Q181">
        <f t="shared" ref="Q181" si="881">F181*P181</f>
        <v>1353181.0858544675</v>
      </c>
      <c r="R181">
        <f t="shared" ref="R181" si="882">R182+Q181</f>
        <v>126333733.96466437</v>
      </c>
      <c r="S181">
        <f t="shared" ref="S181" si="883">R181/100000</f>
        <v>1263.3373396466436</v>
      </c>
      <c r="T181">
        <f t="shared" ref="T181" si="884">S181/1000</f>
        <v>1.2633373396466436</v>
      </c>
    </row>
    <row r="182" spans="1:20" x14ac:dyDescent="0.25">
      <c r="A182" s="5">
        <v>44411</v>
      </c>
      <c r="B182">
        <v>33.177</v>
      </c>
      <c r="C182">
        <v>35.9</v>
      </c>
      <c r="D182">
        <v>32.326999999999998</v>
      </c>
      <c r="E182">
        <v>34.104999999999997</v>
      </c>
      <c r="F182">
        <v>3490191.6379999998</v>
      </c>
      <c r="G182">
        <v>34.104999999999997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-4.7579065211315451E-3</v>
      </c>
      <c r="Q182">
        <f t="shared" ref="Q182" si="886">F182*P182</f>
        <v>-16606.005554438987</v>
      </c>
      <c r="R182">
        <f t="shared" ref="R182" si="887">R183+Q182</f>
        <v>124980552.8788099</v>
      </c>
      <c r="S182">
        <f t="shared" ref="S182" si="888">R182/100000</f>
        <v>1249.8055287880991</v>
      </c>
      <c r="T182">
        <f t="shared" ref="T182" si="889">S182/1000</f>
        <v>1.2498055287880991</v>
      </c>
    </row>
    <row r="183" spans="1:20" x14ac:dyDescent="0.25">
      <c r="A183" s="5">
        <v>44410</v>
      </c>
      <c r="B183">
        <v>34.177999999999997</v>
      </c>
      <c r="C183">
        <v>35.950000000000003</v>
      </c>
      <c r="D183">
        <v>33</v>
      </c>
      <c r="E183">
        <v>33.167000000000002</v>
      </c>
      <c r="F183">
        <v>3105881.2940000002</v>
      </c>
      <c r="G183">
        <v>33.167000000000002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-0.88677966101694816</v>
      </c>
      <c r="Q183">
        <f t="shared" ref="Q183" si="891">F183*P183</f>
        <v>-2754232.3610522007</v>
      </c>
      <c r="R183">
        <f t="shared" ref="R183" si="892">R184+Q183</f>
        <v>124997158.88436434</v>
      </c>
      <c r="S183">
        <f t="shared" ref="S183" si="893">R183/100000</f>
        <v>1249.9715888436433</v>
      </c>
      <c r="T183">
        <f t="shared" ref="T183" si="894">S183/1000</f>
        <v>1.2499715888436433</v>
      </c>
    </row>
    <row r="184" spans="1:20" x14ac:dyDescent="0.25">
      <c r="A184" s="5">
        <v>44409</v>
      </c>
      <c r="B184">
        <v>36.741999999999997</v>
      </c>
      <c r="C184">
        <v>36.822000000000003</v>
      </c>
      <c r="D184">
        <v>33.164999999999999</v>
      </c>
      <c r="E184">
        <v>34.164999999999999</v>
      </c>
      <c r="F184">
        <v>3490975.1579999998</v>
      </c>
      <c r="G184">
        <v>34.164999999999999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-0.4531036368608154</v>
      </c>
      <c r="Q184">
        <f t="shared" ref="Q184" si="896">F184*P184</f>
        <v>-1581773.5402805596</v>
      </c>
      <c r="R184">
        <f t="shared" ref="R184" si="897">R185+Q184</f>
        <v>127751391.24541654</v>
      </c>
      <c r="S184">
        <f t="shared" ref="S184" si="898">R184/100000</f>
        <v>1277.5139124541654</v>
      </c>
      <c r="T184">
        <f t="shared" ref="T184" si="899">S184/1000</f>
        <v>1.2775139124541655</v>
      </c>
    </row>
    <row r="185" spans="1:20" x14ac:dyDescent="0.25">
      <c r="A185" s="5">
        <v>44408</v>
      </c>
      <c r="B185">
        <v>32.353999999999999</v>
      </c>
      <c r="C185">
        <v>37.003999999999998</v>
      </c>
      <c r="D185">
        <v>31.652999999999999</v>
      </c>
      <c r="E185">
        <v>36.744</v>
      </c>
      <c r="F185">
        <v>4320145.5369999995</v>
      </c>
      <c r="G185">
        <v>36.744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0.90282190244814131</v>
      </c>
      <c r="Q185">
        <f t="shared" ref="Q185" si="901">F185*P185</f>
        <v>3900322.0125671867</v>
      </c>
      <c r="R185">
        <f t="shared" ref="R185" si="902">R186+Q185</f>
        <v>129333164.7856971</v>
      </c>
      <c r="S185">
        <f t="shared" ref="S185" si="903">R185/100000</f>
        <v>1293.3316478569711</v>
      </c>
      <c r="T185">
        <f t="shared" ref="T185" si="904">S185/1000</f>
        <v>1.2933316478569712</v>
      </c>
    </row>
    <row r="186" spans="1:20" x14ac:dyDescent="0.25">
      <c r="A186" s="5">
        <v>44407</v>
      </c>
      <c r="B186">
        <v>31.238</v>
      </c>
      <c r="C186">
        <v>33.084000000000003</v>
      </c>
      <c r="D186">
        <v>29.91</v>
      </c>
      <c r="E186">
        <v>32.353999999999999</v>
      </c>
      <c r="F186">
        <v>4970660.0089999996</v>
      </c>
      <c r="G186">
        <v>32.353999999999999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0.54001260239445292</v>
      </c>
      <c r="Q186">
        <f t="shared" ref="Q186" si="906">F186*P186</f>
        <v>2684219.0470781247</v>
      </c>
      <c r="R186">
        <f t="shared" ref="R186" si="907">R187+Q186</f>
        <v>125432842.77312991</v>
      </c>
      <c r="S186">
        <f t="shared" ref="S186" si="908">R186/100000</f>
        <v>1254.3284277312991</v>
      </c>
      <c r="T186">
        <f t="shared" ref="T186" si="909">S186/1000</f>
        <v>1.2543284277312992</v>
      </c>
    </row>
    <row r="187" spans="1:20" x14ac:dyDescent="0.25">
      <c r="A187" s="5">
        <v>44406</v>
      </c>
      <c r="B187">
        <v>27.890999999999998</v>
      </c>
      <c r="C187">
        <v>31.888000000000002</v>
      </c>
      <c r="D187">
        <v>27.318999999999999</v>
      </c>
      <c r="E187">
        <v>31.234999999999999</v>
      </c>
      <c r="F187">
        <v>3692050.4449999998</v>
      </c>
      <c r="G187">
        <v>31.234999999999999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0.71416064784416644</v>
      </c>
      <c r="Q187">
        <f t="shared" ref="Q187" si="911">F187*P187</f>
        <v>2636717.1376745431</v>
      </c>
      <c r="R187">
        <f t="shared" ref="R187" si="912">R188+Q187</f>
        <v>122748623.72605179</v>
      </c>
      <c r="S187">
        <f t="shared" ref="S187" si="913">R187/100000</f>
        <v>1227.486237260518</v>
      </c>
      <c r="T187">
        <f t="shared" ref="T187" si="914">S187/1000</f>
        <v>1.227486237260518</v>
      </c>
    </row>
    <row r="188" spans="1:20" x14ac:dyDescent="0.25">
      <c r="A188" s="5">
        <v>44405</v>
      </c>
      <c r="B188">
        <v>28.119</v>
      </c>
      <c r="C188">
        <v>28.76</v>
      </c>
      <c r="D188">
        <v>27.353999999999999</v>
      </c>
      <c r="E188">
        <v>27.875</v>
      </c>
      <c r="F188">
        <v>2329901.5589999999</v>
      </c>
      <c r="G188">
        <v>27.875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-0.25889046941678534</v>
      </c>
      <c r="Q188">
        <f t="shared" ref="Q188" si="916">F188*P188</f>
        <v>-603189.30830440996</v>
      </c>
      <c r="R188">
        <f t="shared" ref="R188" si="917">R189+Q188</f>
        <v>120111906.58837725</v>
      </c>
      <c r="S188">
        <f t="shared" ref="S188" si="918">R188/100000</f>
        <v>1201.1190658837725</v>
      </c>
      <c r="T188">
        <f t="shared" ref="T188" si="919">S188/1000</f>
        <v>1.2011190658837725</v>
      </c>
    </row>
    <row r="189" spans="1:20" x14ac:dyDescent="0.25">
      <c r="A189" s="5">
        <v>44404</v>
      </c>
      <c r="B189">
        <v>28.183</v>
      </c>
      <c r="C189">
        <v>28.95</v>
      </c>
      <c r="D189">
        <v>26.893000000000001</v>
      </c>
      <c r="E189">
        <v>28.103000000000002</v>
      </c>
      <c r="F189">
        <v>3008374.7570000002</v>
      </c>
      <c r="G189">
        <v>28.103000000000002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0.17647058823529574</v>
      </c>
      <c r="Q189">
        <f t="shared" ref="Q189" si="921">F189*P189</f>
        <v>530889.66300000495</v>
      </c>
      <c r="R189">
        <f t="shared" ref="R189" si="922">R190+Q189</f>
        <v>120715095.89668167</v>
      </c>
      <c r="S189">
        <f t="shared" ref="S189" si="923">R189/100000</f>
        <v>1207.1509589668167</v>
      </c>
      <c r="T189">
        <f t="shared" ref="T189" si="924">S189/1000</f>
        <v>1.2071509589668168</v>
      </c>
    </row>
    <row r="190" spans="1:20" x14ac:dyDescent="0.25">
      <c r="A190" s="5">
        <v>44403</v>
      </c>
      <c r="B190">
        <v>28.247</v>
      </c>
      <c r="C190">
        <v>31.114999999999998</v>
      </c>
      <c r="D190">
        <v>27.83</v>
      </c>
      <c r="E190">
        <v>28.184000000000001</v>
      </c>
      <c r="F190">
        <v>6221691.8969999999</v>
      </c>
      <c r="G190">
        <v>28.184000000000001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-0.78447488584474723</v>
      </c>
      <c r="Q190">
        <f t="shared" ref="Q190" si="926">F190*P190</f>
        <v>-4880761.040660264</v>
      </c>
      <c r="R190">
        <f t="shared" ref="R190" si="927">R191+Q190</f>
        <v>120184206.23368166</v>
      </c>
      <c r="S190">
        <f t="shared" ref="S190" si="928">R190/100000</f>
        <v>1201.8420623368165</v>
      </c>
      <c r="T190">
        <f t="shared" ref="T190" si="929">S190/1000</f>
        <v>1.2018420623368165</v>
      </c>
    </row>
    <row r="191" spans="1:20" x14ac:dyDescent="0.25">
      <c r="A191" s="5">
        <v>44402</v>
      </c>
      <c r="B191">
        <v>28.626000000000001</v>
      </c>
      <c r="C191">
        <v>28.898</v>
      </c>
      <c r="D191">
        <v>26.5</v>
      </c>
      <c r="E191">
        <v>28.248000000000001</v>
      </c>
      <c r="F191">
        <v>2350991.534</v>
      </c>
      <c r="G191">
        <v>28.248000000000001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0.4578815679733122</v>
      </c>
      <c r="Q191">
        <f t="shared" ref="Q191" si="931">F191*P191</f>
        <v>1076475.6898799024</v>
      </c>
      <c r="R191">
        <f t="shared" ref="R191" si="932">R192+Q191</f>
        <v>125064967.27434193</v>
      </c>
      <c r="S191">
        <f t="shared" ref="S191" si="933">R191/100000</f>
        <v>1250.6496727434192</v>
      </c>
      <c r="T191">
        <f t="shared" ref="T191:T197" si="934">S191/1000</f>
        <v>1.2506496727434191</v>
      </c>
    </row>
    <row r="192" spans="1:20" x14ac:dyDescent="0.25">
      <c r="A192" s="5">
        <v>44401</v>
      </c>
      <c r="B192">
        <v>28.53</v>
      </c>
      <c r="C192">
        <v>29.547999999999998</v>
      </c>
      <c r="D192">
        <v>28.013000000000002</v>
      </c>
      <c r="E192">
        <v>28.616</v>
      </c>
      <c r="F192">
        <v>2678108.81</v>
      </c>
      <c r="G192">
        <v>28.616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-0.21433224755700414</v>
      </c>
      <c r="Q192">
        <f t="shared" ref="Q192" si="936">F192*P192</f>
        <v>-574005.08044951374</v>
      </c>
      <c r="R192">
        <f t="shared" ref="R192" si="937">R193+Q192</f>
        <v>123988491.58446202</v>
      </c>
      <c r="S192">
        <f t="shared" ref="S192" si="938">R192/100000</f>
        <v>1239.8849158446201</v>
      </c>
      <c r="T192">
        <f t="shared" si="934"/>
        <v>1.2398849158446201</v>
      </c>
    </row>
    <row r="193" spans="1:20" x14ac:dyDescent="0.25">
      <c r="A193" s="5">
        <v>44400</v>
      </c>
      <c r="B193">
        <v>27.7</v>
      </c>
      <c r="C193">
        <v>28.713000000000001</v>
      </c>
      <c r="D193">
        <v>26.385000000000002</v>
      </c>
      <c r="E193">
        <v>28.515999999999998</v>
      </c>
      <c r="F193">
        <v>3040520.321</v>
      </c>
      <c r="G193">
        <v>28.515999999999998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0.83075601374570207</v>
      </c>
      <c r="Q193">
        <f t="shared" ref="Q193" si="940">F193*P193</f>
        <v>2525930.5415867623</v>
      </c>
      <c r="R193">
        <f t="shared" ref="R193" si="941">R194+Q193</f>
        <v>124562496.66491152</v>
      </c>
      <c r="S193">
        <f t="shared" ref="S193" si="942">R193/100000</f>
        <v>1245.6249666491153</v>
      </c>
      <c r="T193">
        <f t="shared" si="934"/>
        <v>1.2456249666491153</v>
      </c>
    </row>
    <row r="194" spans="1:20" x14ac:dyDescent="0.25">
      <c r="A194" s="5">
        <v>44399</v>
      </c>
      <c r="B194">
        <v>26.706</v>
      </c>
      <c r="C194">
        <v>28.17</v>
      </c>
      <c r="D194">
        <v>25.91</v>
      </c>
      <c r="E194">
        <v>27.699000000000002</v>
      </c>
      <c r="F194">
        <v>2643783.1439999999</v>
      </c>
      <c r="G194">
        <v>27.699000000000002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0.58318584070796486</v>
      </c>
      <c r="Q194">
        <f t="shared" ref="Q194" si="944">F194*P194</f>
        <v>1541816.8954831865</v>
      </c>
      <c r="R194">
        <f t="shared" ref="R194" si="945">R195+Q194</f>
        <v>122036566.12332477</v>
      </c>
      <c r="S194">
        <f t="shared" ref="S194" si="946">R194/100000</f>
        <v>1220.3656612332477</v>
      </c>
      <c r="T194">
        <f t="shared" si="934"/>
        <v>1.2203656612332476</v>
      </c>
    </row>
    <row r="195" spans="1:20" x14ac:dyDescent="0.25">
      <c r="A195" s="5">
        <v>44398</v>
      </c>
      <c r="B195">
        <v>23.484000000000002</v>
      </c>
      <c r="C195">
        <v>27.460999999999999</v>
      </c>
      <c r="D195">
        <v>22.8</v>
      </c>
      <c r="E195">
        <v>26.7</v>
      </c>
      <c r="F195">
        <v>4561993.0070000002</v>
      </c>
      <c r="G195">
        <v>26.7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0.67346063076593021</v>
      </c>
      <c r="Q195">
        <f t="shared" ref="Q195" si="948">F195*P195</f>
        <v>3072322.6880439827</v>
      </c>
      <c r="R195">
        <f t="shared" ref="R195" si="949">R196+Q195</f>
        <v>120494749.22784159</v>
      </c>
      <c r="S195">
        <f t="shared" ref="S195" si="950">R195/100000</f>
        <v>1204.9474922784159</v>
      </c>
      <c r="T195">
        <f t="shared" si="934"/>
        <v>1.2049474922784158</v>
      </c>
    </row>
    <row r="196" spans="1:20" x14ac:dyDescent="0.25">
      <c r="A196" s="5">
        <v>44397</v>
      </c>
      <c r="B196">
        <v>24.524000000000001</v>
      </c>
      <c r="C196">
        <v>24.981999999999999</v>
      </c>
      <c r="D196">
        <v>22.1</v>
      </c>
      <c r="E196">
        <v>23.474</v>
      </c>
      <c r="F196">
        <v>3555428.5419999999</v>
      </c>
      <c r="G196">
        <v>23.474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-4.6495489243580997E-2</v>
      </c>
      <c r="Q196">
        <f t="shared" ref="Q196" si="952">F196*P196</f>
        <v>-165311.38953088186</v>
      </c>
      <c r="R196">
        <f t="shared" ref="R196" si="953">R197+Q196</f>
        <v>117422426.5397976</v>
      </c>
      <c r="S196">
        <f t="shared" ref="S196" si="954">R196/100000</f>
        <v>1174.2242653979761</v>
      </c>
      <c r="T196">
        <f t="shared" si="934"/>
        <v>1.174224265397976</v>
      </c>
    </row>
    <row r="197" spans="1:20" x14ac:dyDescent="0.25">
      <c r="A197" s="5">
        <v>44396</v>
      </c>
      <c r="B197">
        <v>26.678999999999998</v>
      </c>
      <c r="C197">
        <v>26.71</v>
      </c>
      <c r="D197">
        <v>23.975000000000001</v>
      </c>
      <c r="E197">
        <v>24.509</v>
      </c>
      <c r="F197">
        <v>3131177.977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-0.6095063985374779</v>
      </c>
      <c r="Q197">
        <f t="shared" ref="Q197" si="956">F197*P197</f>
        <v>-1908473.0119411359</v>
      </c>
      <c r="R197">
        <f t="shared" ref="R197" si="957">R198+Q197</f>
        <v>117587737.92932849</v>
      </c>
      <c r="S197">
        <f t="shared" ref="S197" si="958">R197/100000</f>
        <v>1175.8773792932848</v>
      </c>
      <c r="T197">
        <f t="shared" si="934"/>
        <v>1.1758773792932848</v>
      </c>
    </row>
    <row r="198" spans="1:20" x14ac:dyDescent="0.25">
      <c r="A198" s="5">
        <v>44395</v>
      </c>
      <c r="B198">
        <v>26.789000000000001</v>
      </c>
      <c r="C198">
        <v>27.756</v>
      </c>
      <c r="D198">
        <v>26.233000000000001</v>
      </c>
      <c r="E198">
        <v>26.672999999999998</v>
      </c>
      <c r="F198">
        <v>1727601.7879999999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-0.42219304005253078</v>
      </c>
      <c r="Q198">
        <f t="shared" ref="Q198:Q261" si="960">F198*P198</f>
        <v>-729381.45087590779</v>
      </c>
      <c r="R198">
        <f t="shared" ref="R198:R261" si="961">R199+Q198</f>
        <v>119496210.94126962</v>
      </c>
      <c r="S198">
        <f t="shared" ref="S198:S261" si="962">R198/100000</f>
        <v>1194.9621094126962</v>
      </c>
      <c r="T198">
        <f t="shared" ref="T198:T261" si="963">S198/1000</f>
        <v>1.1949621094126963</v>
      </c>
    </row>
    <row r="199" spans="1:20" x14ac:dyDescent="0.25">
      <c r="A199" s="5">
        <v>44394</v>
      </c>
      <c r="B199">
        <v>26.268999999999998</v>
      </c>
      <c r="C199">
        <v>27.835999999999999</v>
      </c>
      <c r="D199">
        <v>25.978999999999999</v>
      </c>
      <c r="E199">
        <v>26.802</v>
      </c>
      <c r="F199">
        <v>2122389.1009999998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-0.11362412493268638</v>
      </c>
      <c r="Q199">
        <f t="shared" si="960"/>
        <v>-241154.6043677959</v>
      </c>
      <c r="R199">
        <f t="shared" si="961"/>
        <v>120225592.39214553</v>
      </c>
      <c r="S199">
        <f t="shared" si="962"/>
        <v>1202.2559239214554</v>
      </c>
      <c r="T199">
        <f t="shared" si="963"/>
        <v>1.2022559239214554</v>
      </c>
    </row>
    <row r="200" spans="1:20" x14ac:dyDescent="0.25">
      <c r="A200" s="5">
        <v>44393</v>
      </c>
      <c r="B200">
        <v>28.562000000000001</v>
      </c>
      <c r="C200">
        <v>29.478000000000002</v>
      </c>
      <c r="D200">
        <v>26.196000000000002</v>
      </c>
      <c r="E200">
        <v>26.271000000000001</v>
      </c>
      <c r="F200">
        <v>2923575.7919999999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-0.95429616087751412</v>
      </c>
      <c r="Q200">
        <f t="shared" si="960"/>
        <v>-2789957.1543400376</v>
      </c>
      <c r="R200">
        <f t="shared" si="961"/>
        <v>120466746.99651332</v>
      </c>
      <c r="S200">
        <f t="shared" si="962"/>
        <v>1204.6674699651333</v>
      </c>
      <c r="T200">
        <f t="shared" si="963"/>
        <v>1.2046674699651332</v>
      </c>
    </row>
    <row r="201" spans="1:20" x14ac:dyDescent="0.25">
      <c r="A201" s="5">
        <v>44392</v>
      </c>
      <c r="B201">
        <v>31.364999999999998</v>
      </c>
      <c r="C201">
        <v>31.484999999999999</v>
      </c>
      <c r="D201">
        <v>27.975000000000001</v>
      </c>
      <c r="E201">
        <v>28.545000000000002</v>
      </c>
      <c r="F201">
        <v>3643011.5290000001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-0.67521367521367481</v>
      </c>
      <c r="Q201">
        <f t="shared" si="960"/>
        <v>-2459811.203341879</v>
      </c>
      <c r="R201">
        <f t="shared" si="961"/>
        <v>123256704.15085337</v>
      </c>
      <c r="S201">
        <f t="shared" si="962"/>
        <v>1232.5670415085337</v>
      </c>
      <c r="T201">
        <f t="shared" si="963"/>
        <v>1.2325670415085337</v>
      </c>
    </row>
    <row r="202" spans="1:20" x14ac:dyDescent="0.25">
      <c r="A202" s="5">
        <v>44391</v>
      </c>
      <c r="B202">
        <v>29.154</v>
      </c>
      <c r="C202">
        <v>31.5</v>
      </c>
      <c r="D202">
        <v>27.363</v>
      </c>
      <c r="E202">
        <v>31.364999999999998</v>
      </c>
      <c r="F202">
        <v>3434185.1779999998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0.93473531544597455</v>
      </c>
      <c r="Q202">
        <f t="shared" si="960"/>
        <v>3210054.1656577201</v>
      </c>
      <c r="R202">
        <f t="shared" si="961"/>
        <v>125716515.35419525</v>
      </c>
      <c r="S202">
        <f t="shared" si="962"/>
        <v>1257.1651535419526</v>
      </c>
      <c r="T202">
        <f t="shared" si="963"/>
        <v>1.2571651535419526</v>
      </c>
    </row>
    <row r="203" spans="1:20" x14ac:dyDescent="0.25">
      <c r="A203" s="5">
        <v>44390</v>
      </c>
      <c r="B203">
        <v>30.77</v>
      </c>
      <c r="C203">
        <v>31.096</v>
      </c>
      <c r="D203">
        <v>28.81</v>
      </c>
      <c r="E203">
        <v>29.135999999999999</v>
      </c>
      <c r="F203">
        <v>1837132.436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-0.71478565179352549</v>
      </c>
      <c r="Q203">
        <f t="shared" si="960"/>
        <v>-1313155.9056972873</v>
      </c>
      <c r="R203">
        <f t="shared" si="961"/>
        <v>122506461.18853754</v>
      </c>
      <c r="S203">
        <f t="shared" si="962"/>
        <v>1225.0646118853754</v>
      </c>
      <c r="T203">
        <f t="shared" si="963"/>
        <v>1.2250646118853754</v>
      </c>
    </row>
    <row r="204" spans="1:20" x14ac:dyDescent="0.25">
      <c r="A204" s="5">
        <v>44389</v>
      </c>
      <c r="B204">
        <v>32.173000000000002</v>
      </c>
      <c r="C204">
        <v>32.695999999999998</v>
      </c>
      <c r="D204">
        <v>30.010999999999999</v>
      </c>
      <c r="E204">
        <v>30.77</v>
      </c>
      <c r="F204">
        <v>2251239.2689999999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-0.43463687150837937</v>
      </c>
      <c r="Q204">
        <f t="shared" si="960"/>
        <v>-978471.59289497091</v>
      </c>
      <c r="R204">
        <f t="shared" si="961"/>
        <v>123819617.09423482</v>
      </c>
      <c r="S204">
        <f t="shared" si="962"/>
        <v>1238.1961709423483</v>
      </c>
      <c r="T204">
        <f t="shared" si="963"/>
        <v>1.2381961709423484</v>
      </c>
    </row>
    <row r="205" spans="1:20" x14ac:dyDescent="0.25">
      <c r="A205" s="5">
        <v>44388</v>
      </c>
      <c r="B205">
        <v>31.716000000000001</v>
      </c>
      <c r="C205">
        <v>32.567999999999998</v>
      </c>
      <c r="D205">
        <v>31.3</v>
      </c>
      <c r="E205">
        <v>32.182000000000002</v>
      </c>
      <c r="F205">
        <v>1944815.804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0.39116719242902753</v>
      </c>
      <c r="Q205">
        <f t="shared" si="960"/>
        <v>760748.13784228184</v>
      </c>
      <c r="R205">
        <f t="shared" si="961"/>
        <v>124798088.6871298</v>
      </c>
      <c r="S205">
        <f t="shared" si="962"/>
        <v>1247.980886871298</v>
      </c>
      <c r="T205">
        <f t="shared" si="963"/>
        <v>1.247980886871298</v>
      </c>
    </row>
    <row r="206" spans="1:20" x14ac:dyDescent="0.25">
      <c r="A206" s="5">
        <v>44387</v>
      </c>
      <c r="B206">
        <v>33.314999999999998</v>
      </c>
      <c r="C206">
        <v>34.215000000000003</v>
      </c>
      <c r="D206">
        <v>31.024999999999999</v>
      </c>
      <c r="E206">
        <v>31.693000000000001</v>
      </c>
      <c r="F206">
        <v>2838074.5860000001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-0.5811912225705318</v>
      </c>
      <c r="Q206">
        <f t="shared" si="960"/>
        <v>-1649464.038383696</v>
      </c>
      <c r="R206">
        <f t="shared" si="961"/>
        <v>124037340.54928751</v>
      </c>
      <c r="S206">
        <f t="shared" si="962"/>
        <v>1240.3734054928752</v>
      </c>
      <c r="T206">
        <f t="shared" si="963"/>
        <v>1.2403734054928752</v>
      </c>
    </row>
    <row r="207" spans="1:20" x14ac:dyDescent="0.25">
      <c r="A207" s="5">
        <v>44386</v>
      </c>
      <c r="B207">
        <v>33.134</v>
      </c>
      <c r="C207">
        <v>34.46</v>
      </c>
      <c r="D207">
        <v>31.975999999999999</v>
      </c>
      <c r="E207">
        <v>33.314999999999998</v>
      </c>
      <c r="F207">
        <v>2810263.602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7.8099838969402327E-2</v>
      </c>
      <c r="Q207">
        <f t="shared" si="960"/>
        <v>219481.13477777256</v>
      </c>
      <c r="R207">
        <f t="shared" si="961"/>
        <v>125686804.58767121</v>
      </c>
      <c r="S207">
        <f t="shared" si="962"/>
        <v>1256.8680458767121</v>
      </c>
      <c r="T207">
        <f t="shared" si="963"/>
        <v>1.2568680458767121</v>
      </c>
    </row>
    <row r="208" spans="1:20" x14ac:dyDescent="0.25">
      <c r="A208" s="5">
        <v>44385</v>
      </c>
      <c r="B208">
        <v>36.667000000000002</v>
      </c>
      <c r="C208">
        <v>36.933999999999997</v>
      </c>
      <c r="D208">
        <v>32.654000000000003</v>
      </c>
      <c r="E208">
        <v>33.142000000000003</v>
      </c>
      <c r="F208">
        <v>4495022.54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-0.77196261682242984</v>
      </c>
      <c r="Q208">
        <f t="shared" si="960"/>
        <v>-3469989.3626542054</v>
      </c>
      <c r="R208">
        <f t="shared" si="961"/>
        <v>125467323.45289344</v>
      </c>
      <c r="S208">
        <f t="shared" si="962"/>
        <v>1254.6732345289345</v>
      </c>
      <c r="T208">
        <f t="shared" si="963"/>
        <v>1.2546732345289344</v>
      </c>
    </row>
    <row r="209" spans="1:20" x14ac:dyDescent="0.25">
      <c r="A209" s="5">
        <v>44384</v>
      </c>
      <c r="B209">
        <v>34.220999999999997</v>
      </c>
      <c r="C209">
        <v>38.1</v>
      </c>
      <c r="D209">
        <v>33.82</v>
      </c>
      <c r="E209">
        <v>36.673000000000002</v>
      </c>
      <c r="F209">
        <v>4609258.5530000003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0.33317757009345833</v>
      </c>
      <c r="Q209">
        <f t="shared" si="960"/>
        <v>1535701.5646210299</v>
      </c>
      <c r="R209">
        <f t="shared" si="961"/>
        <v>128937312.81554765</v>
      </c>
      <c r="S209">
        <f t="shared" si="962"/>
        <v>1289.3731281554765</v>
      </c>
      <c r="T209">
        <f t="shared" si="963"/>
        <v>1.2893731281554766</v>
      </c>
    </row>
    <row r="210" spans="1:20" x14ac:dyDescent="0.25">
      <c r="A210" s="5">
        <v>44383</v>
      </c>
      <c r="B210">
        <v>32.908000000000001</v>
      </c>
      <c r="C210">
        <v>35.040999999999997</v>
      </c>
      <c r="D210">
        <v>32.883000000000003</v>
      </c>
      <c r="E210">
        <v>34.225999999999999</v>
      </c>
      <c r="F210">
        <v>3289698.0610000002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0.24467099165894352</v>
      </c>
      <c r="Q210">
        <f t="shared" si="960"/>
        <v>804893.6868433737</v>
      </c>
      <c r="R210">
        <f t="shared" si="961"/>
        <v>127401611.25092661</v>
      </c>
      <c r="S210">
        <f t="shared" si="962"/>
        <v>1274.0161125092661</v>
      </c>
      <c r="T210">
        <f t="shared" si="963"/>
        <v>1.2740161125092662</v>
      </c>
    </row>
    <row r="211" spans="1:20" x14ac:dyDescent="0.25">
      <c r="A211" s="5">
        <v>44382</v>
      </c>
      <c r="B211">
        <v>34.277999999999999</v>
      </c>
      <c r="C211">
        <v>34.49</v>
      </c>
      <c r="D211">
        <v>32.369999999999997</v>
      </c>
      <c r="E211">
        <v>32.908000000000001</v>
      </c>
      <c r="F211">
        <v>3008984.0819999999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-0.49245283018867675</v>
      </c>
      <c r="Q211">
        <f t="shared" si="960"/>
        <v>-1481782.7271735773</v>
      </c>
      <c r="R211">
        <f t="shared" si="961"/>
        <v>126596717.56408323</v>
      </c>
      <c r="S211">
        <f t="shared" si="962"/>
        <v>1265.9671756408322</v>
      </c>
      <c r="T211">
        <f t="shared" si="963"/>
        <v>1.2659671756408322</v>
      </c>
    </row>
    <row r="212" spans="1:20" x14ac:dyDescent="0.25">
      <c r="A212" s="5">
        <v>44381</v>
      </c>
      <c r="B212">
        <v>34.497</v>
      </c>
      <c r="C212">
        <v>35.530999999999999</v>
      </c>
      <c r="D212">
        <v>33.533000000000001</v>
      </c>
      <c r="E212">
        <v>34.28</v>
      </c>
      <c r="F212">
        <v>2972213.4180000001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-0.25225225225225145</v>
      </c>
      <c r="Q212">
        <f t="shared" si="960"/>
        <v>-749747.52886486251</v>
      </c>
      <c r="R212">
        <f t="shared" si="961"/>
        <v>128078500.29125682</v>
      </c>
      <c r="S212">
        <f t="shared" si="962"/>
        <v>1280.7850029125682</v>
      </c>
      <c r="T212">
        <f t="shared" si="963"/>
        <v>1.2807850029125682</v>
      </c>
    </row>
    <row r="213" spans="1:20" x14ac:dyDescent="0.25">
      <c r="A213" s="5">
        <v>44380</v>
      </c>
      <c r="B213">
        <v>34.000999999999998</v>
      </c>
      <c r="C213">
        <v>35.405999999999999</v>
      </c>
      <c r="D213">
        <v>33.216999999999999</v>
      </c>
      <c r="E213">
        <v>34.497999999999998</v>
      </c>
      <c r="F213">
        <v>3063406.1409999998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0.17039744175422455</v>
      </c>
      <c r="Q213">
        <f t="shared" si="960"/>
        <v>521996.56948058127</v>
      </c>
      <c r="R213">
        <f t="shared" si="961"/>
        <v>128828247.82012168</v>
      </c>
      <c r="S213">
        <f t="shared" si="962"/>
        <v>1288.2824782012167</v>
      </c>
      <c r="T213">
        <f t="shared" si="963"/>
        <v>1.2882824782012168</v>
      </c>
    </row>
    <row r="214" spans="1:20" x14ac:dyDescent="0.25">
      <c r="A214" s="5">
        <v>44379</v>
      </c>
      <c r="B214">
        <v>33.270000000000003</v>
      </c>
      <c r="C214">
        <v>34.216999999999999</v>
      </c>
      <c r="D214">
        <v>31.367000000000001</v>
      </c>
      <c r="E214">
        <v>34</v>
      </c>
      <c r="F214">
        <v>4324198.2759999996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0.84771929824561476</v>
      </c>
      <c r="Q214">
        <f t="shared" si="960"/>
        <v>3665706.328005617</v>
      </c>
      <c r="R214">
        <f t="shared" si="961"/>
        <v>128306251.25064109</v>
      </c>
      <c r="S214">
        <f t="shared" si="962"/>
        <v>1283.0625125064109</v>
      </c>
      <c r="T214">
        <f t="shared" si="963"/>
        <v>1.283062512506411</v>
      </c>
    </row>
    <row r="215" spans="1:20" x14ac:dyDescent="0.25">
      <c r="A215" s="5">
        <v>44378</v>
      </c>
      <c r="B215">
        <v>35.51</v>
      </c>
      <c r="C215">
        <v>35.567</v>
      </c>
      <c r="D215">
        <v>32.17</v>
      </c>
      <c r="E215">
        <v>33.271000000000001</v>
      </c>
      <c r="F215">
        <v>4488924.8990000002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-0.3517809832204889</v>
      </c>
      <c r="Q215">
        <f t="shared" si="960"/>
        <v>-1579118.4145731539</v>
      </c>
      <c r="R215">
        <f t="shared" si="961"/>
        <v>124640544.92263548</v>
      </c>
      <c r="S215">
        <f t="shared" si="962"/>
        <v>1246.4054492263549</v>
      </c>
      <c r="T215">
        <f t="shared" si="963"/>
        <v>1.246405449226355</v>
      </c>
    </row>
    <row r="216" spans="1:20" x14ac:dyDescent="0.25">
      <c r="A216" s="5">
        <v>44377</v>
      </c>
      <c r="B216">
        <v>33.973999999999997</v>
      </c>
      <c r="C216">
        <v>36</v>
      </c>
      <c r="D216">
        <v>31.555</v>
      </c>
      <c r="E216">
        <v>35.51</v>
      </c>
      <c r="F216">
        <v>5361423.665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0.77952755905511728</v>
      </c>
      <c r="Q216">
        <f t="shared" si="960"/>
        <v>4179377.502637791</v>
      </c>
      <c r="R216">
        <f t="shared" si="961"/>
        <v>126219663.33720863</v>
      </c>
      <c r="S216">
        <f t="shared" si="962"/>
        <v>1262.1966333720864</v>
      </c>
      <c r="T216">
        <f t="shared" si="963"/>
        <v>1.2621966333720864</v>
      </c>
    </row>
    <row r="217" spans="1:20" x14ac:dyDescent="0.25">
      <c r="A217" s="5">
        <v>44376</v>
      </c>
      <c r="B217">
        <v>33.018000000000001</v>
      </c>
      <c r="C217">
        <v>35.837000000000003</v>
      </c>
      <c r="D217">
        <v>32.664999999999999</v>
      </c>
      <c r="E217">
        <v>33.97</v>
      </c>
      <c r="F217">
        <v>4476285.7920000004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-0.17717528373266203</v>
      </c>
      <c r="Q217">
        <f t="shared" si="960"/>
        <v>-793087.20526608382</v>
      </c>
      <c r="R217">
        <f t="shared" si="961"/>
        <v>122040285.83457084</v>
      </c>
      <c r="S217">
        <f t="shared" si="962"/>
        <v>1220.4028583457084</v>
      </c>
      <c r="T217">
        <f t="shared" si="963"/>
        <v>1.2204028583457085</v>
      </c>
    </row>
    <row r="218" spans="1:20" x14ac:dyDescent="0.25">
      <c r="A218" s="5">
        <v>44375</v>
      </c>
      <c r="B218">
        <v>31.882999999999999</v>
      </c>
      <c r="C218">
        <v>34.340000000000003</v>
      </c>
      <c r="D218">
        <v>30.960999999999999</v>
      </c>
      <c r="E218">
        <v>33.000999999999998</v>
      </c>
      <c r="F218">
        <v>4996728.0130000003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0.20745782775968996</v>
      </c>
      <c r="Q218">
        <f t="shared" si="960"/>
        <v>1036610.3394829719</v>
      </c>
      <c r="R218">
        <f t="shared" si="961"/>
        <v>122833373.03983693</v>
      </c>
      <c r="S218">
        <f t="shared" si="962"/>
        <v>1228.3337303983692</v>
      </c>
      <c r="T218">
        <f t="shared" si="963"/>
        <v>1.2283337303983692</v>
      </c>
    </row>
    <row r="219" spans="1:20" x14ac:dyDescent="0.25">
      <c r="A219" s="5">
        <v>44374</v>
      </c>
      <c r="B219">
        <v>29.690999999999999</v>
      </c>
      <c r="C219">
        <v>31.95</v>
      </c>
      <c r="D219">
        <v>29.186</v>
      </c>
      <c r="E219">
        <v>31.896999999999998</v>
      </c>
      <c r="F219">
        <v>5851211.9139999999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0.96164978292329895</v>
      </c>
      <c r="Q219">
        <f t="shared" si="960"/>
        <v>5626816.6669363203</v>
      </c>
      <c r="R219">
        <f t="shared" si="961"/>
        <v>121796762.70035395</v>
      </c>
      <c r="S219">
        <f t="shared" si="962"/>
        <v>1217.9676270035395</v>
      </c>
      <c r="T219">
        <f t="shared" si="963"/>
        <v>1.2179676270035396</v>
      </c>
    </row>
    <row r="220" spans="1:20" x14ac:dyDescent="0.25">
      <c r="A220" s="5">
        <v>44373</v>
      </c>
      <c r="B220">
        <v>28.619</v>
      </c>
      <c r="C220">
        <v>30.181000000000001</v>
      </c>
      <c r="D220">
        <v>26.658999999999999</v>
      </c>
      <c r="E220">
        <v>29.698</v>
      </c>
      <c r="F220">
        <v>6492984.2340000002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0.72572402044293005</v>
      </c>
      <c r="Q220">
        <f t="shared" si="960"/>
        <v>4712114.6229710383</v>
      </c>
      <c r="R220">
        <f t="shared" si="961"/>
        <v>116169946.03341763</v>
      </c>
      <c r="S220">
        <f t="shared" si="962"/>
        <v>1161.6994603341764</v>
      </c>
      <c r="T220">
        <f t="shared" si="963"/>
        <v>1.1616994603341764</v>
      </c>
    </row>
    <row r="221" spans="1:20" x14ac:dyDescent="0.25">
      <c r="A221" s="5">
        <v>44372</v>
      </c>
      <c r="B221">
        <v>31.143999999999998</v>
      </c>
      <c r="C221">
        <v>32.988999999999997</v>
      </c>
      <c r="D221">
        <v>27.949000000000002</v>
      </c>
      <c r="E221">
        <v>28.640999999999998</v>
      </c>
      <c r="F221">
        <v>7293143.176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-0.72539682539682648</v>
      </c>
      <c r="Q221">
        <f t="shared" si="960"/>
        <v>-5290422.9070349289</v>
      </c>
      <c r="R221">
        <f t="shared" si="961"/>
        <v>111457831.41044658</v>
      </c>
      <c r="S221">
        <f t="shared" si="962"/>
        <v>1114.5783141044658</v>
      </c>
      <c r="T221">
        <f t="shared" si="963"/>
        <v>1.1145783141044658</v>
      </c>
    </row>
    <row r="222" spans="1:20" x14ac:dyDescent="0.25">
      <c r="A222" s="5">
        <v>44371</v>
      </c>
      <c r="B222">
        <v>30.835000000000001</v>
      </c>
      <c r="C222">
        <v>33</v>
      </c>
      <c r="D222">
        <v>28.481000000000002</v>
      </c>
      <c r="E222">
        <v>31.140999999999998</v>
      </c>
      <c r="F222">
        <v>7214092.9119999995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0.17725160433724169</v>
      </c>
      <c r="Q222">
        <f t="shared" si="960"/>
        <v>1278709.5424899235</v>
      </c>
      <c r="R222">
        <f t="shared" si="961"/>
        <v>116748254.31748152</v>
      </c>
      <c r="S222">
        <f t="shared" si="962"/>
        <v>1167.4825431748152</v>
      </c>
      <c r="T222">
        <f t="shared" si="963"/>
        <v>1.1674825431748153</v>
      </c>
    </row>
    <row r="223" spans="1:20" x14ac:dyDescent="0.25">
      <c r="A223" s="5">
        <v>44370</v>
      </c>
      <c r="B223">
        <v>26.957000000000001</v>
      </c>
      <c r="C223">
        <v>32.9</v>
      </c>
      <c r="D223">
        <v>25.626000000000001</v>
      </c>
      <c r="E223">
        <v>30.837</v>
      </c>
      <c r="F223">
        <v>11966311.253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0.43277426450371198</v>
      </c>
      <c r="Q223">
        <f t="shared" si="960"/>
        <v>5178711.5513395676</v>
      </c>
      <c r="R223">
        <f t="shared" si="961"/>
        <v>115469544.77499159</v>
      </c>
      <c r="S223">
        <f t="shared" si="962"/>
        <v>1154.695447749916</v>
      </c>
      <c r="T223">
        <f t="shared" si="963"/>
        <v>1.1546954477499161</v>
      </c>
    </row>
    <row r="224" spans="1:20" x14ac:dyDescent="0.25">
      <c r="A224" s="5">
        <v>44369</v>
      </c>
      <c r="B224">
        <v>26.597000000000001</v>
      </c>
      <c r="C224">
        <v>28.812999999999999</v>
      </c>
      <c r="D224">
        <v>20.187000000000001</v>
      </c>
      <c r="E224">
        <v>26.957999999999998</v>
      </c>
      <c r="F224">
        <v>15788825.956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0.56990493855784818</v>
      </c>
      <c r="Q224">
        <f t="shared" si="960"/>
        <v>8998129.8863547388</v>
      </c>
      <c r="R224">
        <f t="shared" si="961"/>
        <v>110290833.22365202</v>
      </c>
      <c r="S224">
        <f t="shared" si="962"/>
        <v>1102.9083322365202</v>
      </c>
      <c r="T224">
        <f t="shared" si="963"/>
        <v>1.1029083322365203</v>
      </c>
    </row>
    <row r="225" spans="1:20" x14ac:dyDescent="0.25">
      <c r="A225" s="5">
        <v>44368</v>
      </c>
      <c r="B225">
        <v>35.247999999999998</v>
      </c>
      <c r="C225">
        <v>35.499000000000002</v>
      </c>
      <c r="D225">
        <v>25.925000000000001</v>
      </c>
      <c r="E225">
        <v>26.59</v>
      </c>
      <c r="F225">
        <v>8213916.6270000003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-0.8610820973469816</v>
      </c>
      <c r="Q225">
        <f t="shared" si="960"/>
        <v>-7072856.5566104054</v>
      </c>
      <c r="R225">
        <f t="shared" si="961"/>
        <v>101292703.33729728</v>
      </c>
      <c r="S225">
        <f t="shared" si="962"/>
        <v>1012.9270333729728</v>
      </c>
      <c r="T225">
        <f t="shared" si="963"/>
        <v>1.0129270333729727</v>
      </c>
    </row>
    <row r="226" spans="1:20" x14ac:dyDescent="0.25">
      <c r="A226" s="5">
        <v>44367</v>
      </c>
      <c r="B226">
        <v>35.195</v>
      </c>
      <c r="C226">
        <v>35.948999999999998</v>
      </c>
      <c r="D226">
        <v>31.3</v>
      </c>
      <c r="E226">
        <v>35.256999999999998</v>
      </c>
      <c r="F226">
        <v>3938821.53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0.70230157023015682</v>
      </c>
      <c r="Q226">
        <f t="shared" si="960"/>
        <v>2766240.5453753485</v>
      </c>
      <c r="R226">
        <f t="shared" si="961"/>
        <v>108365559.89390768</v>
      </c>
      <c r="S226">
        <f t="shared" si="962"/>
        <v>1083.6555989390768</v>
      </c>
      <c r="T226">
        <f t="shared" si="963"/>
        <v>1.0836555989390768</v>
      </c>
    </row>
    <row r="227" spans="1:20" x14ac:dyDescent="0.25">
      <c r="A227" s="5">
        <v>44366</v>
      </c>
      <c r="B227">
        <v>36.802</v>
      </c>
      <c r="C227">
        <v>37.317999999999998</v>
      </c>
      <c r="D227">
        <v>34.901000000000003</v>
      </c>
      <c r="E227">
        <v>35.19</v>
      </c>
      <c r="F227">
        <v>2216638.0279999999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-0.76086057095573434</v>
      </c>
      <c r="Q227">
        <f t="shared" si="960"/>
        <v>-1686552.475586273</v>
      </c>
      <c r="R227">
        <f t="shared" si="961"/>
        <v>105599319.34853233</v>
      </c>
      <c r="S227">
        <f t="shared" si="962"/>
        <v>1055.9931934853234</v>
      </c>
      <c r="T227">
        <f t="shared" si="963"/>
        <v>1.0559931934853235</v>
      </c>
    </row>
    <row r="228" spans="1:20" x14ac:dyDescent="0.25">
      <c r="A228" s="5">
        <v>44365</v>
      </c>
      <c r="B228">
        <v>39.259</v>
      </c>
      <c r="C228">
        <v>39.502000000000002</v>
      </c>
      <c r="D228">
        <v>34.898000000000003</v>
      </c>
      <c r="E228">
        <v>36.82</v>
      </c>
      <c r="F228">
        <v>3777138.8059999999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-0.16507384882710802</v>
      </c>
      <c r="Q228">
        <f t="shared" si="960"/>
        <v>-623506.84026064724</v>
      </c>
      <c r="R228">
        <f t="shared" si="961"/>
        <v>107285871.82411861</v>
      </c>
      <c r="S228">
        <f t="shared" si="962"/>
        <v>1072.8587182411861</v>
      </c>
      <c r="T228">
        <f t="shared" si="963"/>
        <v>1.0728587182411862</v>
      </c>
    </row>
    <row r="229" spans="1:20" x14ac:dyDescent="0.25">
      <c r="A229" s="5">
        <v>44364</v>
      </c>
      <c r="B229">
        <v>39.729999999999997</v>
      </c>
      <c r="C229">
        <v>41.264000000000003</v>
      </c>
      <c r="D229">
        <v>38.210999999999999</v>
      </c>
      <c r="E229">
        <v>39.265000000000001</v>
      </c>
      <c r="F229">
        <v>3274621.9780000001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-0.30953160825417586</v>
      </c>
      <c r="Q229">
        <f t="shared" si="960"/>
        <v>-1013599.0072748106</v>
      </c>
      <c r="R229">
        <f t="shared" si="961"/>
        <v>107909378.66437927</v>
      </c>
      <c r="S229">
        <f t="shared" si="962"/>
        <v>1079.0937866437928</v>
      </c>
      <c r="T229">
        <f t="shared" si="963"/>
        <v>1.0790937866437929</v>
      </c>
    </row>
    <row r="230" spans="1:20" x14ac:dyDescent="0.25">
      <c r="A230" s="5">
        <v>44363</v>
      </c>
      <c r="B230">
        <v>39.512999999999998</v>
      </c>
      <c r="C230">
        <v>41.75</v>
      </c>
      <c r="D230">
        <v>37.454999999999998</v>
      </c>
      <c r="E230">
        <v>39.728000000000002</v>
      </c>
      <c r="F230">
        <v>5055331.8679999998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5.8440046565775242E-2</v>
      </c>
      <c r="Q230">
        <f t="shared" si="960"/>
        <v>295433.82977136754</v>
      </c>
      <c r="R230">
        <f t="shared" si="961"/>
        <v>108922977.67165408</v>
      </c>
      <c r="S230">
        <f t="shared" si="962"/>
        <v>1089.2297767165408</v>
      </c>
      <c r="T230">
        <f t="shared" si="963"/>
        <v>1.0892297767165409</v>
      </c>
    </row>
    <row r="231" spans="1:20" x14ac:dyDescent="0.25">
      <c r="A231" s="5">
        <v>44362</v>
      </c>
      <c r="B231">
        <v>39.700000000000003</v>
      </c>
      <c r="C231">
        <v>41.741</v>
      </c>
      <c r="D231">
        <v>39.154000000000003</v>
      </c>
      <c r="E231">
        <v>39.536000000000001</v>
      </c>
      <c r="F231">
        <v>3725999.5610000002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-0.70467723231542445</v>
      </c>
      <c r="Q231">
        <f t="shared" si="960"/>
        <v>-2625627.0582539667</v>
      </c>
      <c r="R231">
        <f t="shared" si="961"/>
        <v>108627543.84188271</v>
      </c>
      <c r="S231">
        <f t="shared" si="962"/>
        <v>1086.275438418827</v>
      </c>
      <c r="T231">
        <f t="shared" si="963"/>
        <v>1.0862754384188269</v>
      </c>
    </row>
    <row r="232" spans="1:20" x14ac:dyDescent="0.25">
      <c r="A232" s="5">
        <v>44361</v>
      </c>
      <c r="B232">
        <v>38.713000000000001</v>
      </c>
      <c r="C232">
        <v>40.561</v>
      </c>
      <c r="D232">
        <v>36.627000000000002</v>
      </c>
      <c r="E232">
        <v>39.694000000000003</v>
      </c>
      <c r="F232">
        <v>4590144.2790000001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0.55922724961870973</v>
      </c>
      <c r="Q232">
        <f t="shared" si="960"/>
        <v>2566933.7604982257</v>
      </c>
      <c r="R232">
        <f t="shared" si="961"/>
        <v>111253170.90013668</v>
      </c>
      <c r="S232">
        <f t="shared" si="962"/>
        <v>1112.5317090013668</v>
      </c>
      <c r="T232">
        <f t="shared" si="963"/>
        <v>1.1125317090013669</v>
      </c>
    </row>
    <row r="233" spans="1:20" x14ac:dyDescent="0.25">
      <c r="A233" s="5">
        <v>44360</v>
      </c>
      <c r="B233">
        <v>36.491999999999997</v>
      </c>
      <c r="C233">
        <v>39.442</v>
      </c>
      <c r="D233">
        <v>34.72</v>
      </c>
      <c r="E233">
        <v>38.706000000000003</v>
      </c>
      <c r="F233">
        <v>4063329.1120000002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0.68826768318509235</v>
      </c>
      <c r="Q233">
        <f t="shared" si="960"/>
        <v>2796658.1139347786</v>
      </c>
      <c r="R233">
        <f t="shared" si="961"/>
        <v>108686237.13963845</v>
      </c>
      <c r="S233">
        <f t="shared" si="962"/>
        <v>1086.8623713963846</v>
      </c>
      <c r="T233">
        <f t="shared" si="963"/>
        <v>1.0868623713963845</v>
      </c>
    </row>
    <row r="234" spans="1:20" x14ac:dyDescent="0.25">
      <c r="A234" s="5">
        <v>44359</v>
      </c>
      <c r="B234">
        <v>36.131</v>
      </c>
      <c r="C234">
        <v>37.64</v>
      </c>
      <c r="D234">
        <v>34.1</v>
      </c>
      <c r="E234">
        <v>36.475999999999999</v>
      </c>
      <c r="F234">
        <v>5196242.9979999997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0.34237288135593119</v>
      </c>
      <c r="Q234">
        <f t="shared" si="960"/>
        <v>1779052.687450842</v>
      </c>
      <c r="R234">
        <f t="shared" si="961"/>
        <v>105889579.02570367</v>
      </c>
      <c r="S234">
        <f t="shared" si="962"/>
        <v>1058.8957902570367</v>
      </c>
      <c r="T234">
        <f t="shared" si="963"/>
        <v>1.0588957902570366</v>
      </c>
    </row>
    <row r="235" spans="1:20" x14ac:dyDescent="0.25">
      <c r="A235" s="5">
        <v>44358</v>
      </c>
      <c r="B235">
        <v>41.091000000000001</v>
      </c>
      <c r="C235">
        <v>41.375999999999998</v>
      </c>
      <c r="D235">
        <v>35.073999999999998</v>
      </c>
      <c r="E235">
        <v>36.156999999999996</v>
      </c>
      <c r="F235">
        <v>4760990.0779999997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-0.65629958743256156</v>
      </c>
      <c r="Q235">
        <f t="shared" si="960"/>
        <v>-3124635.8239619187</v>
      </c>
      <c r="R235">
        <f t="shared" si="961"/>
        <v>104110526.33825283</v>
      </c>
      <c r="S235">
        <f t="shared" si="962"/>
        <v>1041.1052633825282</v>
      </c>
      <c r="T235">
        <f t="shared" si="963"/>
        <v>1.0411052633825282</v>
      </c>
    </row>
    <row r="236" spans="1:20" x14ac:dyDescent="0.25">
      <c r="A236" s="5">
        <v>44357</v>
      </c>
      <c r="B236">
        <v>42.031999999999996</v>
      </c>
      <c r="C236">
        <v>43.097000000000001</v>
      </c>
      <c r="D236">
        <v>39.459000000000003</v>
      </c>
      <c r="E236">
        <v>41.104999999999997</v>
      </c>
      <c r="F236">
        <v>5155108.0710000005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-9.5107201759211363E-2</v>
      </c>
      <c r="Q236">
        <f t="shared" si="960"/>
        <v>-490287.90339913592</v>
      </c>
      <c r="R236">
        <f t="shared" si="961"/>
        <v>107235162.16221474</v>
      </c>
      <c r="S236">
        <f t="shared" si="962"/>
        <v>1072.3516216221474</v>
      </c>
      <c r="T236">
        <f t="shared" si="963"/>
        <v>1.0723516216221474</v>
      </c>
    </row>
    <row r="237" spans="1:20" x14ac:dyDescent="0.25">
      <c r="A237" s="5">
        <v>44356</v>
      </c>
      <c r="B237">
        <v>41.244999999999997</v>
      </c>
      <c r="C237">
        <v>44</v>
      </c>
      <c r="D237">
        <v>39.290999999999997</v>
      </c>
      <c r="E237">
        <v>42.031999999999996</v>
      </c>
      <c r="F237">
        <v>10764252.936000001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0.1641537481418551</v>
      </c>
      <c r="Q237">
        <f t="shared" si="960"/>
        <v>1766992.4653913684</v>
      </c>
      <c r="R237">
        <f t="shared" si="961"/>
        <v>107725450.06561388</v>
      </c>
      <c r="S237">
        <f t="shared" si="962"/>
        <v>1077.2545006561388</v>
      </c>
      <c r="T237">
        <f t="shared" si="963"/>
        <v>1.0772545006561389</v>
      </c>
    </row>
    <row r="238" spans="1:20" x14ac:dyDescent="0.25">
      <c r="A238" s="5">
        <v>44355</v>
      </c>
      <c r="B238">
        <v>38.200000000000003</v>
      </c>
      <c r="C238">
        <v>42.595999999999997</v>
      </c>
      <c r="D238">
        <v>33.6</v>
      </c>
      <c r="E238">
        <v>41.244999999999997</v>
      </c>
      <c r="F238">
        <v>16902544.675000001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0.69964428634948872</v>
      </c>
      <c r="Q238">
        <f t="shared" si="960"/>
        <v>11825768.806630727</v>
      </c>
      <c r="R238">
        <f t="shared" si="961"/>
        <v>105958457.60022251</v>
      </c>
      <c r="S238">
        <f t="shared" si="962"/>
        <v>1059.584576002225</v>
      </c>
      <c r="T238">
        <f t="shared" si="963"/>
        <v>1.0595845760022251</v>
      </c>
    </row>
    <row r="239" spans="1:20" x14ac:dyDescent="0.25">
      <c r="A239" s="5">
        <v>44354</v>
      </c>
      <c r="B239">
        <v>42.2</v>
      </c>
      <c r="C239">
        <v>44.2</v>
      </c>
      <c r="D239">
        <v>37.799999999999997</v>
      </c>
      <c r="E239">
        <v>38.234999999999999</v>
      </c>
      <c r="F239">
        <v>8050031.335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-0.8640624999999994</v>
      </c>
      <c r="Q239">
        <f t="shared" si="960"/>
        <v>-6955730.200398433</v>
      </c>
      <c r="R239">
        <f t="shared" si="961"/>
        <v>94132688.793591782</v>
      </c>
      <c r="S239">
        <f t="shared" si="962"/>
        <v>941.32688793591785</v>
      </c>
      <c r="T239">
        <f t="shared" si="963"/>
        <v>0.9413268879359179</v>
      </c>
    </row>
    <row r="240" spans="1:20" x14ac:dyDescent="0.25">
      <c r="A240" s="5">
        <v>44353</v>
      </c>
      <c r="B240">
        <v>39.662999999999997</v>
      </c>
      <c r="C240">
        <v>43.4</v>
      </c>
      <c r="D240">
        <v>38.911999999999999</v>
      </c>
      <c r="E240">
        <v>42.204999999999998</v>
      </c>
      <c r="F240">
        <v>6151664.2939999998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0.46746880570409965</v>
      </c>
      <c r="Q240">
        <f t="shared" si="960"/>
        <v>2875711.1606087331</v>
      </c>
      <c r="R240">
        <f t="shared" si="961"/>
        <v>101088418.99399021</v>
      </c>
      <c r="S240">
        <f t="shared" si="962"/>
        <v>1010.8841899399022</v>
      </c>
      <c r="T240">
        <f t="shared" si="963"/>
        <v>1.0108841899399021</v>
      </c>
    </row>
    <row r="241" spans="1:20" x14ac:dyDescent="0.25">
      <c r="A241" s="5">
        <v>44352</v>
      </c>
      <c r="B241">
        <v>37.356000000000002</v>
      </c>
      <c r="C241">
        <v>42.786999999999999</v>
      </c>
      <c r="D241">
        <v>36.981999999999999</v>
      </c>
      <c r="E241">
        <v>39.633000000000003</v>
      </c>
      <c r="F241">
        <v>8654823.1950000003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-8.6649440137811035E-2</v>
      </c>
      <c r="Q241">
        <f t="shared" si="960"/>
        <v>-749935.58433849097</v>
      </c>
      <c r="R241">
        <f t="shared" si="961"/>
        <v>98212707.833381474</v>
      </c>
      <c r="S241">
        <f t="shared" si="962"/>
        <v>982.12707833381478</v>
      </c>
      <c r="T241">
        <f t="shared" si="963"/>
        <v>0.98212707833381474</v>
      </c>
    </row>
    <row r="242" spans="1:20" x14ac:dyDescent="0.25">
      <c r="A242" s="5">
        <v>44351</v>
      </c>
      <c r="B242">
        <v>39.598999999999997</v>
      </c>
      <c r="C242">
        <v>39.737000000000002</v>
      </c>
      <c r="D242">
        <v>34.186999999999998</v>
      </c>
      <c r="E242">
        <v>37.338000000000001</v>
      </c>
      <c r="F242">
        <v>8825815.9379999992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0.13549549549549583</v>
      </c>
      <c r="Q242">
        <f t="shared" si="960"/>
        <v>1195858.3036713542</v>
      </c>
      <c r="R242">
        <f t="shared" si="961"/>
        <v>98962643.41771996</v>
      </c>
      <c r="S242">
        <f t="shared" si="962"/>
        <v>989.6264341771996</v>
      </c>
      <c r="T242">
        <f t="shared" si="963"/>
        <v>0.98962643417719964</v>
      </c>
    </row>
    <row r="243" spans="1:20" x14ac:dyDescent="0.25">
      <c r="A243" s="5">
        <v>44350</v>
      </c>
      <c r="B243">
        <v>33.994</v>
      </c>
      <c r="C243">
        <v>41.523000000000003</v>
      </c>
      <c r="D243">
        <v>33.735999999999997</v>
      </c>
      <c r="E243">
        <v>39.601999999999997</v>
      </c>
      <c r="F243">
        <v>7862225.0939999996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0.50661358674714141</v>
      </c>
      <c r="Q243">
        <f t="shared" si="960"/>
        <v>3983110.0546847209</v>
      </c>
      <c r="R243">
        <f t="shared" si="961"/>
        <v>97766785.1140486</v>
      </c>
      <c r="S243">
        <f t="shared" si="962"/>
        <v>977.66785114048605</v>
      </c>
      <c r="T243">
        <f t="shared" si="963"/>
        <v>0.97766785114048604</v>
      </c>
    </row>
    <row r="244" spans="1:20" x14ac:dyDescent="0.25">
      <c r="A244" s="5">
        <v>44349</v>
      </c>
      <c r="B244">
        <v>30.931000000000001</v>
      </c>
      <c r="C244">
        <v>35.128999999999998</v>
      </c>
      <c r="D244">
        <v>30.402000000000001</v>
      </c>
      <c r="E244">
        <v>33.994</v>
      </c>
      <c r="F244">
        <v>4549289.1330000004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0.51977998730696051</v>
      </c>
      <c r="Q244">
        <f t="shared" si="960"/>
        <v>2364629.4478064338</v>
      </c>
      <c r="R244">
        <f t="shared" si="961"/>
        <v>93783675.059363887</v>
      </c>
      <c r="S244">
        <f t="shared" si="962"/>
        <v>937.83675059363884</v>
      </c>
      <c r="T244">
        <f t="shared" si="963"/>
        <v>0.9378367505936388</v>
      </c>
    </row>
    <row r="245" spans="1:20" x14ac:dyDescent="0.25">
      <c r="A245" s="5">
        <v>44348</v>
      </c>
      <c r="B245">
        <v>32.759</v>
      </c>
      <c r="C245">
        <v>33.284999999999997</v>
      </c>
      <c r="D245">
        <v>29.852</v>
      </c>
      <c r="E245">
        <v>30.937999999999999</v>
      </c>
      <c r="F245">
        <v>4046865.202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-0.36731721526361799</v>
      </c>
      <c r="Q245">
        <f t="shared" si="960"/>
        <v>-1486483.2565458789</v>
      </c>
      <c r="R245">
        <f t="shared" si="961"/>
        <v>91419045.611557454</v>
      </c>
      <c r="S245">
        <f t="shared" si="962"/>
        <v>914.19045611557453</v>
      </c>
      <c r="T245">
        <f t="shared" si="963"/>
        <v>0.91419045611557448</v>
      </c>
    </row>
    <row r="246" spans="1:20" x14ac:dyDescent="0.25">
      <c r="A246" s="5">
        <v>44347</v>
      </c>
      <c r="B246">
        <v>28.573</v>
      </c>
      <c r="C246">
        <v>33.014000000000003</v>
      </c>
      <c r="D246">
        <v>27.489000000000001</v>
      </c>
      <c r="E246">
        <v>32.75</v>
      </c>
      <c r="F246">
        <v>5173286.4709999999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0.90443438914027052</v>
      </c>
      <c r="Q246">
        <f t="shared" si="960"/>
        <v>4678898.1892465111</v>
      </c>
      <c r="R246">
        <f t="shared" si="961"/>
        <v>92905528.86810334</v>
      </c>
      <c r="S246">
        <f t="shared" si="962"/>
        <v>929.0552886810334</v>
      </c>
      <c r="T246">
        <f t="shared" si="963"/>
        <v>0.92905528868103338</v>
      </c>
    </row>
    <row r="247" spans="1:20" x14ac:dyDescent="0.25">
      <c r="A247" s="5">
        <v>44346</v>
      </c>
      <c r="B247">
        <v>27.407</v>
      </c>
      <c r="C247">
        <v>29.780999999999999</v>
      </c>
      <c r="D247">
        <v>25.585999999999999</v>
      </c>
      <c r="E247">
        <v>28.588000000000001</v>
      </c>
      <c r="F247">
        <v>3964240.9190000002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0.43122765196662799</v>
      </c>
      <c r="Q247">
        <f t="shared" si="960"/>
        <v>1709490.3033303977</v>
      </c>
      <c r="R247">
        <f t="shared" si="961"/>
        <v>88226630.678856835</v>
      </c>
      <c r="S247">
        <f t="shared" si="962"/>
        <v>882.26630678856839</v>
      </c>
      <c r="T247">
        <f t="shared" si="963"/>
        <v>0.88226630678856843</v>
      </c>
    </row>
    <row r="248" spans="1:20" x14ac:dyDescent="0.25">
      <c r="A248" s="5">
        <v>44345</v>
      </c>
      <c r="B248">
        <v>28.992999999999999</v>
      </c>
      <c r="C248">
        <v>30.065999999999999</v>
      </c>
      <c r="D248">
        <v>25.7</v>
      </c>
      <c r="E248">
        <v>27.388000000000002</v>
      </c>
      <c r="F248">
        <v>3911549.6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-0.22675217590471713</v>
      </c>
      <c r="Q248">
        <f t="shared" si="960"/>
        <v>-886952.38295922591</v>
      </c>
      <c r="R248">
        <f t="shared" si="961"/>
        <v>86517140.375526443</v>
      </c>
      <c r="S248">
        <f t="shared" si="962"/>
        <v>865.17140375526446</v>
      </c>
      <c r="T248">
        <f t="shared" si="963"/>
        <v>0.86517140375526447</v>
      </c>
    </row>
    <row r="249" spans="1:20" x14ac:dyDescent="0.25">
      <c r="A249" s="5">
        <v>44344</v>
      </c>
      <c r="B249">
        <v>33.761000000000003</v>
      </c>
      <c r="C249">
        <v>34.551000000000002</v>
      </c>
      <c r="D249">
        <v>28</v>
      </c>
      <c r="E249">
        <v>28.989000000000001</v>
      </c>
      <c r="F249">
        <v>6370726.7510000002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-0.69806136467714841</v>
      </c>
      <c r="Q249">
        <f t="shared" si="960"/>
        <v>-4447158.2097882759</v>
      </c>
      <c r="R249">
        <f t="shared" si="961"/>
        <v>87404092.758485675</v>
      </c>
      <c r="S249">
        <f t="shared" si="962"/>
        <v>874.04092758485672</v>
      </c>
      <c r="T249">
        <f t="shared" si="963"/>
        <v>0.87404092758485674</v>
      </c>
    </row>
    <row r="250" spans="1:20" x14ac:dyDescent="0.25">
      <c r="A250" s="5">
        <v>44343</v>
      </c>
      <c r="B250">
        <v>35.427</v>
      </c>
      <c r="C250">
        <v>35.594000000000001</v>
      </c>
      <c r="D250">
        <v>30.975999999999999</v>
      </c>
      <c r="E250">
        <v>33.747</v>
      </c>
      <c r="F250">
        <v>5698854.676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0.20008661758336921</v>
      </c>
      <c r="Q250">
        <f t="shared" si="960"/>
        <v>1140264.5562200074</v>
      </c>
      <c r="R250">
        <f t="shared" si="961"/>
        <v>91851250.968273953</v>
      </c>
      <c r="S250">
        <f t="shared" si="962"/>
        <v>918.51250968273951</v>
      </c>
      <c r="T250">
        <f t="shared" si="963"/>
        <v>0.91851250968273945</v>
      </c>
    </row>
    <row r="251" spans="1:20" x14ac:dyDescent="0.25">
      <c r="A251" s="5">
        <v>44342</v>
      </c>
      <c r="B251">
        <v>29.984999999999999</v>
      </c>
      <c r="C251">
        <v>37.25</v>
      </c>
      <c r="D251">
        <v>28.858000000000001</v>
      </c>
      <c r="E251">
        <v>35.43</v>
      </c>
      <c r="F251">
        <v>10601343.233999999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0.5662535748331744</v>
      </c>
      <c r="Q251">
        <f t="shared" si="960"/>
        <v>6003048.5042859856</v>
      </c>
      <c r="R251">
        <f t="shared" si="961"/>
        <v>90710986.412053943</v>
      </c>
      <c r="S251">
        <f t="shared" si="962"/>
        <v>907.10986412053944</v>
      </c>
      <c r="T251">
        <f t="shared" si="963"/>
        <v>0.9071098641205394</v>
      </c>
    </row>
    <row r="252" spans="1:20" x14ac:dyDescent="0.25">
      <c r="A252" s="5">
        <v>44341</v>
      </c>
      <c r="B252">
        <v>31.42</v>
      </c>
      <c r="C252">
        <v>33.195</v>
      </c>
      <c r="D252">
        <v>25.914999999999999</v>
      </c>
      <c r="E252">
        <v>29.972999999999999</v>
      </c>
      <c r="F252">
        <v>10300933.607999999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0.11483516483516461</v>
      </c>
      <c r="Q252">
        <f t="shared" si="960"/>
        <v>1182909.4088307668</v>
      </c>
      <c r="R252">
        <f t="shared" si="961"/>
        <v>84707937.907767951</v>
      </c>
      <c r="S252">
        <f t="shared" si="962"/>
        <v>847.0793790776795</v>
      </c>
      <c r="T252">
        <f t="shared" si="963"/>
        <v>0.8470793790776795</v>
      </c>
    </row>
    <row r="253" spans="1:20" x14ac:dyDescent="0.25">
      <c r="A253" s="5">
        <v>44340</v>
      </c>
      <c r="B253">
        <v>24.53</v>
      </c>
      <c r="C253">
        <v>32.19</v>
      </c>
      <c r="D253">
        <v>24.495999999999999</v>
      </c>
      <c r="E253">
        <v>31.416</v>
      </c>
      <c r="F253">
        <v>15414302.323000001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0.79880426306212704</v>
      </c>
      <c r="Q253">
        <f t="shared" si="960"/>
        <v>12313010.407740848</v>
      </c>
      <c r="R253">
        <f t="shared" si="961"/>
        <v>83525028.49893719</v>
      </c>
      <c r="S253">
        <f t="shared" si="962"/>
        <v>835.25028498937195</v>
      </c>
      <c r="T253">
        <f t="shared" si="963"/>
        <v>0.83525028498937193</v>
      </c>
    </row>
    <row r="254" spans="1:20" x14ac:dyDescent="0.25">
      <c r="A254" s="5">
        <v>44339</v>
      </c>
      <c r="B254">
        <v>31.222000000000001</v>
      </c>
      <c r="C254">
        <v>32.4</v>
      </c>
      <c r="D254">
        <v>19.117000000000001</v>
      </c>
      <c r="E254">
        <v>24.536000000000001</v>
      </c>
      <c r="F254">
        <v>25787150.864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-0.18406986373560169</v>
      </c>
      <c r="Q254">
        <f t="shared" si="960"/>
        <v>-4746637.3456658833</v>
      </c>
      <c r="R254">
        <f t="shared" si="961"/>
        <v>71212018.091196343</v>
      </c>
      <c r="S254">
        <f t="shared" si="962"/>
        <v>712.12018091196342</v>
      </c>
      <c r="T254">
        <f t="shared" si="963"/>
        <v>0.71212018091196339</v>
      </c>
    </row>
    <row r="255" spans="1:20" x14ac:dyDescent="0.25">
      <c r="A255" s="5">
        <v>44338</v>
      </c>
      <c r="B255">
        <v>38.924999999999997</v>
      </c>
      <c r="C255">
        <v>40</v>
      </c>
      <c r="D255">
        <v>31.134</v>
      </c>
      <c r="E255">
        <v>31.222000000000001</v>
      </c>
      <c r="F255">
        <v>10122098.005000001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-0.98014888337468964</v>
      </c>
      <c r="Q255">
        <f t="shared" si="960"/>
        <v>-9921163.0570099242</v>
      </c>
      <c r="R255">
        <f t="shared" si="961"/>
        <v>75958655.43686223</v>
      </c>
      <c r="S255">
        <f t="shared" si="962"/>
        <v>759.58655436862227</v>
      </c>
      <c r="T255">
        <f t="shared" si="963"/>
        <v>0.75958655436862232</v>
      </c>
    </row>
    <row r="256" spans="1:20" x14ac:dyDescent="0.25">
      <c r="A256" s="5">
        <v>44337</v>
      </c>
      <c r="B256">
        <v>44.366999999999997</v>
      </c>
      <c r="C256">
        <v>47.7</v>
      </c>
      <c r="D256">
        <v>33.673000000000002</v>
      </c>
      <c r="E256">
        <v>38.924999999999997</v>
      </c>
      <c r="F256">
        <v>13740700.641000001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-0.25115848007414343</v>
      </c>
      <c r="Q256">
        <f t="shared" si="960"/>
        <v>-3451093.4881473687</v>
      </c>
      <c r="R256">
        <f t="shared" si="961"/>
        <v>85879818.493872151</v>
      </c>
      <c r="S256">
        <f t="shared" si="962"/>
        <v>858.79818493872153</v>
      </c>
      <c r="T256">
        <f t="shared" si="963"/>
        <v>0.85879818493872151</v>
      </c>
    </row>
    <row r="257" spans="1:20" x14ac:dyDescent="0.25">
      <c r="A257" s="5">
        <v>44336</v>
      </c>
      <c r="B257">
        <v>34.987000000000002</v>
      </c>
      <c r="C257">
        <v>53</v>
      </c>
      <c r="D257">
        <v>32</v>
      </c>
      <c r="E257">
        <v>44.42</v>
      </c>
      <c r="F257">
        <v>17869805.908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0.18285714285714302</v>
      </c>
      <c r="Q257">
        <f t="shared" si="960"/>
        <v>3267621.6517485743</v>
      </c>
      <c r="R257">
        <f t="shared" si="961"/>
        <v>89330911.982019514</v>
      </c>
      <c r="S257">
        <f t="shared" si="962"/>
        <v>893.30911982019518</v>
      </c>
      <c r="T257">
        <f t="shared" si="963"/>
        <v>0.89330911982019523</v>
      </c>
    </row>
    <row r="258" spans="1:20" x14ac:dyDescent="0.25">
      <c r="A258" s="5">
        <v>44335</v>
      </c>
      <c r="B258">
        <v>55.969000000000001</v>
      </c>
      <c r="C258">
        <v>57.691000000000003</v>
      </c>
      <c r="D258">
        <v>26.5</v>
      </c>
      <c r="E258">
        <v>34.988</v>
      </c>
      <c r="F258">
        <v>22259967.848999999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-0.45574043794684371</v>
      </c>
      <c r="Q258">
        <f t="shared" si="960"/>
        <v>-10144767.496185921</v>
      </c>
      <c r="R258">
        <f t="shared" si="961"/>
        <v>86063290.330270946</v>
      </c>
      <c r="S258">
        <f t="shared" si="962"/>
        <v>860.63290330270945</v>
      </c>
      <c r="T258">
        <f t="shared" si="963"/>
        <v>0.86063290330270947</v>
      </c>
    </row>
    <row r="259" spans="1:20" x14ac:dyDescent="0.25">
      <c r="A259" s="5">
        <v>44334</v>
      </c>
      <c r="B259">
        <v>46.747</v>
      </c>
      <c r="C259">
        <v>58.38</v>
      </c>
      <c r="D259">
        <v>46.051000000000002</v>
      </c>
      <c r="E259">
        <v>55.976999999999997</v>
      </c>
      <c r="F259">
        <v>12538546.698000001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0.61018736312758448</v>
      </c>
      <c r="Q259">
        <f t="shared" si="960"/>
        <v>7650862.7471047016</v>
      </c>
      <c r="R259">
        <f t="shared" si="961"/>
        <v>96208057.826456875</v>
      </c>
      <c r="S259">
        <f t="shared" si="962"/>
        <v>962.08057826456877</v>
      </c>
      <c r="T259">
        <f t="shared" si="963"/>
        <v>0.96208057826456872</v>
      </c>
    </row>
    <row r="260" spans="1:20" x14ac:dyDescent="0.25">
      <c r="A260" s="5">
        <v>44333</v>
      </c>
      <c r="B260">
        <v>46.85</v>
      </c>
      <c r="C260">
        <v>51.984999999999999</v>
      </c>
      <c r="D260">
        <v>43.01</v>
      </c>
      <c r="E260">
        <v>46.707999999999998</v>
      </c>
      <c r="F260">
        <v>13839076.478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-0.17593314763231202</v>
      </c>
      <c r="Q260">
        <f t="shared" si="960"/>
        <v>-2434752.2850988307</v>
      </c>
      <c r="R260">
        <f t="shared" si="961"/>
        <v>88557195.07935217</v>
      </c>
      <c r="S260">
        <f t="shared" si="962"/>
        <v>885.57195079352175</v>
      </c>
      <c r="T260">
        <f t="shared" si="963"/>
        <v>0.8855719507935218</v>
      </c>
    </row>
    <row r="261" spans="1:20" x14ac:dyDescent="0.25">
      <c r="A261" s="5">
        <v>44332</v>
      </c>
      <c r="B261">
        <v>43.462000000000003</v>
      </c>
      <c r="C261">
        <v>52.6</v>
      </c>
      <c r="D261">
        <v>41.601999999999997</v>
      </c>
      <c r="E261">
        <v>46.85</v>
      </c>
      <c r="F261">
        <v>13162867.429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-4.564466266593882E-2</v>
      </c>
      <c r="Q261">
        <f t="shared" si="960"/>
        <v>-600814.64351317834</v>
      </c>
      <c r="R261">
        <f t="shared" si="961"/>
        <v>90991947.364451006</v>
      </c>
      <c r="S261">
        <f t="shared" si="962"/>
        <v>909.91947364451005</v>
      </c>
      <c r="T261">
        <f t="shared" si="963"/>
        <v>0.90991947364451009</v>
      </c>
    </row>
    <row r="262" spans="1:20" x14ac:dyDescent="0.25">
      <c r="A262" s="5">
        <v>44331</v>
      </c>
      <c r="B262">
        <v>42.697000000000003</v>
      </c>
      <c r="C262">
        <v>45.5</v>
      </c>
      <c r="D262">
        <v>39.305</v>
      </c>
      <c r="E262">
        <v>43.485999999999997</v>
      </c>
      <c r="F262">
        <v>3357108.6170000001</v>
      </c>
      <c r="G262">
        <v>0</v>
      </c>
      <c r="L262" t="s">
        <v>7</v>
      </c>
      <c r="M262" t="s">
        <v>8</v>
      </c>
      <c r="N262" t="s">
        <v>8</v>
      </c>
      <c r="P262">
        <f t="shared" ref="P262:P325" si="964">IF(C262=D262,0,((E262-D262)-(C262-E262))/(C262-D262))</f>
        <v>0.34979822437449465</v>
      </c>
      <c r="Q262">
        <f t="shared" ref="Q262:Q325" si="965">F262*P262</f>
        <v>1174310.6332589155</v>
      </c>
      <c r="R262">
        <f t="shared" ref="R262:R325" si="966">R263+Q262</f>
        <v>91592762.007964179</v>
      </c>
      <c r="S262">
        <f t="shared" ref="S262:S325" si="967">R262/100000</f>
        <v>915.92762007964177</v>
      </c>
      <c r="T262">
        <f t="shared" ref="T262:T325" si="968">S262/1000</f>
        <v>0.91592762007964179</v>
      </c>
    </row>
    <row r="263" spans="1:20" x14ac:dyDescent="0.25">
      <c r="A263" s="5">
        <v>44330</v>
      </c>
      <c r="B263">
        <v>41.051000000000002</v>
      </c>
      <c r="C263">
        <v>44.896999999999998</v>
      </c>
      <c r="D263">
        <v>39.901000000000003</v>
      </c>
      <c r="E263">
        <v>42.7</v>
      </c>
      <c r="F263">
        <v>3421838.2769999998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0.12049639711769505</v>
      </c>
      <c r="Q263">
        <f t="shared" si="965"/>
        <v>412319.18389792141</v>
      </c>
      <c r="R263">
        <f t="shared" si="966"/>
        <v>90418451.37470527</v>
      </c>
      <c r="S263">
        <f t="shared" si="967"/>
        <v>904.18451374705273</v>
      </c>
      <c r="T263">
        <f t="shared" si="968"/>
        <v>0.90418451374705278</v>
      </c>
    </row>
    <row r="264" spans="1:20" x14ac:dyDescent="0.25">
      <c r="A264" s="5">
        <v>44329</v>
      </c>
      <c r="B264">
        <v>43.393999999999998</v>
      </c>
      <c r="C264">
        <v>45.500999999999998</v>
      </c>
      <c r="D264">
        <v>37.43</v>
      </c>
      <c r="E264">
        <v>41.048999999999999</v>
      </c>
      <c r="F264">
        <v>7162647.0609999998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-0.10320901994796167</v>
      </c>
      <c r="Q264">
        <f t="shared" si="965"/>
        <v>-739249.78339895792</v>
      </c>
      <c r="R264">
        <f t="shared" si="966"/>
        <v>90006132.190807343</v>
      </c>
      <c r="S264">
        <f t="shared" si="967"/>
        <v>900.06132190807341</v>
      </c>
      <c r="T264">
        <f t="shared" si="968"/>
        <v>0.90006132190807342</v>
      </c>
    </row>
    <row r="265" spans="1:20" x14ac:dyDescent="0.25">
      <c r="A265" s="5">
        <v>44328</v>
      </c>
      <c r="B265">
        <v>44.579000000000001</v>
      </c>
      <c r="C265">
        <v>49.243000000000002</v>
      </c>
      <c r="D265">
        <v>42.18</v>
      </c>
      <c r="E265">
        <v>43.709000000000003</v>
      </c>
      <c r="F265">
        <v>7592760.1279999996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-0.56703950162820249</v>
      </c>
      <c r="Q265">
        <f t="shared" si="965"/>
        <v>-4305394.9189636065</v>
      </c>
      <c r="R265">
        <f t="shared" si="966"/>
        <v>90745381.974206299</v>
      </c>
      <c r="S265">
        <f t="shared" si="967"/>
        <v>907.45381974206293</v>
      </c>
      <c r="T265">
        <f t="shared" si="968"/>
        <v>0.90745381974206296</v>
      </c>
    </row>
    <row r="266" spans="1:20" x14ac:dyDescent="0.25">
      <c r="A266" s="5">
        <v>44327</v>
      </c>
      <c r="B266">
        <v>42.868000000000002</v>
      </c>
      <c r="C266">
        <v>45.18</v>
      </c>
      <c r="D266">
        <v>39.700000000000003</v>
      </c>
      <c r="E266">
        <v>44.537999999999997</v>
      </c>
      <c r="F266">
        <v>2758407.6940000001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0.76569343065693307</v>
      </c>
      <c r="Q266">
        <f t="shared" si="965"/>
        <v>2112094.6503693396</v>
      </c>
      <c r="R266">
        <f t="shared" si="966"/>
        <v>95050776.89316991</v>
      </c>
      <c r="S266">
        <f t="shared" si="967"/>
        <v>950.50776893169905</v>
      </c>
      <c r="T266">
        <f t="shared" si="968"/>
        <v>0.95050776893169908</v>
      </c>
    </row>
    <row r="267" spans="1:20" x14ac:dyDescent="0.25">
      <c r="A267" s="5">
        <v>44326</v>
      </c>
      <c r="B267">
        <v>44.33</v>
      </c>
      <c r="C267">
        <v>45.89</v>
      </c>
      <c r="D267">
        <v>39</v>
      </c>
      <c r="E267">
        <v>42.853999999999999</v>
      </c>
      <c r="F267">
        <v>2869549.017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0.11872278664731463</v>
      </c>
      <c r="Q267">
        <f t="shared" si="965"/>
        <v>340680.85571930243</v>
      </c>
      <c r="R267">
        <f t="shared" si="966"/>
        <v>92938682.242800564</v>
      </c>
      <c r="S267">
        <f t="shared" si="967"/>
        <v>929.38682242800564</v>
      </c>
      <c r="T267">
        <f t="shared" si="968"/>
        <v>0.92938682242800563</v>
      </c>
    </row>
    <row r="268" spans="1:20" x14ac:dyDescent="0.25">
      <c r="A268" s="5">
        <v>44325</v>
      </c>
      <c r="B268">
        <v>45.631999999999998</v>
      </c>
      <c r="C268">
        <v>47.15</v>
      </c>
      <c r="D268">
        <v>42.6</v>
      </c>
      <c r="E268">
        <v>44.33</v>
      </c>
      <c r="F268">
        <v>3095018.7170000002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-0.23956043956044046</v>
      </c>
      <c r="Q268">
        <f t="shared" si="965"/>
        <v>-741444.04429231049</v>
      </c>
      <c r="R268">
        <f t="shared" si="966"/>
        <v>92598001.387081265</v>
      </c>
      <c r="S268">
        <f t="shared" si="967"/>
        <v>925.98001387081263</v>
      </c>
      <c r="T268">
        <f t="shared" si="968"/>
        <v>0.92598001387081263</v>
      </c>
    </row>
    <row r="269" spans="1:20" x14ac:dyDescent="0.25">
      <c r="A269" s="5">
        <v>44324</v>
      </c>
      <c r="B269">
        <v>43.154000000000003</v>
      </c>
      <c r="C269">
        <v>46.65</v>
      </c>
      <c r="D269">
        <v>42.274999999999999</v>
      </c>
      <c r="E269">
        <v>45.612000000000002</v>
      </c>
      <c r="F269">
        <v>2539093.0109999999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0.52548571428571578</v>
      </c>
      <c r="Q269">
        <f t="shared" si="965"/>
        <v>1334257.1045232038</v>
      </c>
      <c r="R269">
        <f t="shared" si="966"/>
        <v>93339445.431373581</v>
      </c>
      <c r="S269">
        <f t="shared" si="967"/>
        <v>933.39445431373576</v>
      </c>
      <c r="T269">
        <f t="shared" si="968"/>
        <v>0.9333944543137358</v>
      </c>
    </row>
    <row r="270" spans="1:20" x14ac:dyDescent="0.25">
      <c r="A270" s="5">
        <v>44323</v>
      </c>
      <c r="B270">
        <v>43.496000000000002</v>
      </c>
      <c r="C270">
        <v>46.243000000000002</v>
      </c>
      <c r="D270">
        <v>41.42</v>
      </c>
      <c r="E270">
        <v>43.182000000000002</v>
      </c>
      <c r="F270">
        <v>3259646.3990000002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-0.26933443914575977</v>
      </c>
      <c r="Q270">
        <f t="shared" si="965"/>
        <v>-877935.03468816052</v>
      </c>
      <c r="R270">
        <f t="shared" si="966"/>
        <v>92005188.326850384</v>
      </c>
      <c r="S270">
        <f t="shared" si="967"/>
        <v>920.05188326850384</v>
      </c>
      <c r="T270">
        <f t="shared" si="968"/>
        <v>0.92005188326850385</v>
      </c>
    </row>
    <row r="271" spans="1:20" x14ac:dyDescent="0.25">
      <c r="A271" s="5">
        <v>44322</v>
      </c>
      <c r="B271">
        <v>44.965000000000003</v>
      </c>
      <c r="C271">
        <v>44.98</v>
      </c>
      <c r="D271">
        <v>42.55</v>
      </c>
      <c r="E271">
        <v>43.496000000000002</v>
      </c>
      <c r="F271">
        <v>2337263.0120000001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-0.22139917695472824</v>
      </c>
      <c r="Q271">
        <f t="shared" si="965"/>
        <v>-517468.10718352912</v>
      </c>
      <c r="R271">
        <f t="shared" si="966"/>
        <v>92883123.361538544</v>
      </c>
      <c r="S271">
        <f t="shared" si="967"/>
        <v>928.83123361538549</v>
      </c>
      <c r="T271">
        <f t="shared" si="968"/>
        <v>0.92883123361538544</v>
      </c>
    </row>
    <row r="272" spans="1:20" x14ac:dyDescent="0.25">
      <c r="A272" s="5">
        <v>44321</v>
      </c>
      <c r="B272">
        <v>42.636000000000003</v>
      </c>
      <c r="C272">
        <v>46</v>
      </c>
      <c r="D272">
        <v>42.305</v>
      </c>
      <c r="E272">
        <v>44.98</v>
      </c>
      <c r="F272">
        <v>2772821.523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0.44790257104194692</v>
      </c>
      <c r="Q272">
        <f t="shared" si="965"/>
        <v>1241953.8891921469</v>
      </c>
      <c r="R272">
        <f t="shared" si="966"/>
        <v>93400591.468722075</v>
      </c>
      <c r="S272">
        <f t="shared" si="967"/>
        <v>934.00591468722075</v>
      </c>
      <c r="T272">
        <f t="shared" si="968"/>
        <v>0.93400591468722072</v>
      </c>
    </row>
    <row r="273" spans="1:20" x14ac:dyDescent="0.25">
      <c r="A273" s="5">
        <v>44320</v>
      </c>
      <c r="B273">
        <v>45.935000000000002</v>
      </c>
      <c r="C273">
        <v>47.81</v>
      </c>
      <c r="D273">
        <v>42.26</v>
      </c>
      <c r="E273">
        <v>42.636000000000003</v>
      </c>
      <c r="F273">
        <v>4180557.3810000001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-0.86450450450450289</v>
      </c>
      <c r="Q273">
        <f t="shared" si="965"/>
        <v>-3614110.6872140472</v>
      </c>
      <c r="R273">
        <f t="shared" si="966"/>
        <v>92158637.579529926</v>
      </c>
      <c r="S273">
        <f t="shared" si="967"/>
        <v>921.58637579529932</v>
      </c>
      <c r="T273">
        <f t="shared" si="968"/>
        <v>0.92158637579529934</v>
      </c>
    </row>
    <row r="274" spans="1:20" x14ac:dyDescent="0.25">
      <c r="A274" s="5">
        <v>44319</v>
      </c>
      <c r="B274">
        <v>46.926000000000002</v>
      </c>
      <c r="C274">
        <v>49</v>
      </c>
      <c r="D274">
        <v>44.774000000000001</v>
      </c>
      <c r="E274">
        <v>45.911999999999999</v>
      </c>
      <c r="F274">
        <v>3686007.3689999999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-0.46142924751538172</v>
      </c>
      <c r="Q274">
        <f t="shared" si="965"/>
        <v>-1700831.606613822</v>
      </c>
      <c r="R274">
        <f t="shared" si="966"/>
        <v>95772748.266743973</v>
      </c>
      <c r="S274">
        <f t="shared" si="967"/>
        <v>957.72748266743974</v>
      </c>
      <c r="T274">
        <f t="shared" si="968"/>
        <v>0.95772748266743979</v>
      </c>
    </row>
    <row r="275" spans="1:20" x14ac:dyDescent="0.25">
      <c r="A275" s="5">
        <v>44318</v>
      </c>
      <c r="B275">
        <v>49.646000000000001</v>
      </c>
      <c r="C275">
        <v>49.99</v>
      </c>
      <c r="D275">
        <v>45.904000000000003</v>
      </c>
      <c r="E275">
        <v>46.896999999999998</v>
      </c>
      <c r="F275">
        <v>3794411.2450000001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-0.51395007342144128</v>
      </c>
      <c r="Q275">
        <f t="shared" si="965"/>
        <v>-1950137.9379588924</v>
      </c>
      <c r="R275">
        <f t="shared" si="966"/>
        <v>97473579.873357788</v>
      </c>
      <c r="S275">
        <f t="shared" si="967"/>
        <v>974.73579873357789</v>
      </c>
      <c r="T275">
        <f t="shared" si="968"/>
        <v>0.97473579873357785</v>
      </c>
    </row>
    <row r="276" spans="1:20" x14ac:dyDescent="0.25">
      <c r="A276" s="5">
        <v>44317</v>
      </c>
      <c r="B276">
        <v>42.786000000000001</v>
      </c>
      <c r="C276">
        <v>49.88</v>
      </c>
      <c r="D276">
        <v>42.000999999999998</v>
      </c>
      <c r="E276">
        <v>49.67</v>
      </c>
      <c r="F276">
        <v>5804048.0449999999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0.94669374286076891</v>
      </c>
      <c r="Q276">
        <f t="shared" si="965"/>
        <v>5494655.9674647786</v>
      </c>
      <c r="R276">
        <f t="shared" si="966"/>
        <v>99423717.811316684</v>
      </c>
      <c r="S276">
        <f t="shared" si="967"/>
        <v>994.23717811316681</v>
      </c>
      <c r="T276">
        <f t="shared" si="968"/>
        <v>0.99423717811316681</v>
      </c>
    </row>
    <row r="277" spans="1:20" x14ac:dyDescent="0.25">
      <c r="A277" s="5">
        <v>44316</v>
      </c>
      <c r="B277">
        <v>42.451999999999998</v>
      </c>
      <c r="C277">
        <v>44.313000000000002</v>
      </c>
      <c r="D277">
        <v>41.21</v>
      </c>
      <c r="E277">
        <v>42.786000000000001</v>
      </c>
      <c r="F277">
        <v>3302673.3110000002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1.5791169835642754E-2</v>
      </c>
      <c r="Q277">
        <f t="shared" si="965"/>
        <v>52153.075165645583</v>
      </c>
      <c r="R277">
        <f t="shared" si="966"/>
        <v>93929061.843851909</v>
      </c>
      <c r="S277">
        <f t="shared" si="967"/>
        <v>939.29061843851912</v>
      </c>
      <c r="T277">
        <f t="shared" si="968"/>
        <v>0.93929061843851913</v>
      </c>
    </row>
    <row r="278" spans="1:20" x14ac:dyDescent="0.25">
      <c r="A278" s="5">
        <v>44315</v>
      </c>
      <c r="B278">
        <v>44.831000000000003</v>
      </c>
      <c r="C278">
        <v>46.232999999999997</v>
      </c>
      <c r="D278">
        <v>40.905999999999999</v>
      </c>
      <c r="E278">
        <v>42.484000000000002</v>
      </c>
      <c r="F278">
        <v>5805381.2209999999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-0.40754646142293843</v>
      </c>
      <c r="Q278">
        <f t="shared" si="965"/>
        <v>-2365962.5738297277</v>
      </c>
      <c r="R278">
        <f t="shared" si="966"/>
        <v>93876908.768686265</v>
      </c>
      <c r="S278">
        <f t="shared" si="967"/>
        <v>938.76908768686269</v>
      </c>
      <c r="T278">
        <f t="shared" si="968"/>
        <v>0.93876908768686274</v>
      </c>
    </row>
    <row r="279" spans="1:20" x14ac:dyDescent="0.25">
      <c r="A279" s="5">
        <v>44314</v>
      </c>
      <c r="B279">
        <v>43.146999999999998</v>
      </c>
      <c r="C279">
        <v>46.962000000000003</v>
      </c>
      <c r="D279">
        <v>40.515999999999998</v>
      </c>
      <c r="E279">
        <v>44.832999999999998</v>
      </c>
      <c r="F279">
        <v>7855066.3190000001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0.33943530871858418</v>
      </c>
      <c r="Q279">
        <f t="shared" si="965"/>
        <v>2666286.8609947176</v>
      </c>
      <c r="R279">
        <f t="shared" si="966"/>
        <v>96242871.34251599</v>
      </c>
      <c r="S279">
        <f t="shared" si="967"/>
        <v>962.42871342515991</v>
      </c>
      <c r="T279">
        <f t="shared" si="968"/>
        <v>0.9624287134251599</v>
      </c>
    </row>
    <row r="280" spans="1:20" x14ac:dyDescent="0.25">
      <c r="A280" s="5">
        <v>44313</v>
      </c>
      <c r="B280">
        <v>43.884</v>
      </c>
      <c r="C280">
        <v>46.606000000000002</v>
      </c>
      <c r="D280">
        <v>42.5</v>
      </c>
      <c r="E280">
        <v>43.146999999999998</v>
      </c>
      <c r="F280">
        <v>7101848.7180000003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-0.68485143692157902</v>
      </c>
      <c r="Q280">
        <f t="shared" si="965"/>
        <v>-4863711.2993219737</v>
      </c>
      <c r="R280">
        <f t="shared" si="966"/>
        <v>93576584.481521279</v>
      </c>
      <c r="S280">
        <f t="shared" si="967"/>
        <v>935.76584481521274</v>
      </c>
      <c r="T280">
        <f t="shared" si="968"/>
        <v>0.93576584481521274</v>
      </c>
    </row>
    <row r="281" spans="1:20" x14ac:dyDescent="0.25">
      <c r="A281" s="5">
        <v>44312</v>
      </c>
      <c r="B281">
        <v>47.395000000000003</v>
      </c>
      <c r="C281">
        <v>48.499000000000002</v>
      </c>
      <c r="D281">
        <v>43.267000000000003</v>
      </c>
      <c r="E281">
        <v>43.878</v>
      </c>
      <c r="F281">
        <v>11079170.602</v>
      </c>
      <c r="G281">
        <v>0</v>
      </c>
      <c r="L281" t="s">
        <v>7</v>
      </c>
      <c r="M281" t="s">
        <v>8</v>
      </c>
      <c r="N281" t="s">
        <v>8</v>
      </c>
      <c r="P281">
        <f t="shared" si="964"/>
        <v>-0.76643730886850259</v>
      </c>
      <c r="Q281">
        <f t="shared" si="965"/>
        <v>-8491489.7006919086</v>
      </c>
      <c r="R281">
        <f t="shared" si="966"/>
        <v>98440295.780843258</v>
      </c>
      <c r="S281">
        <f t="shared" si="967"/>
        <v>984.40295780843257</v>
      </c>
      <c r="T281">
        <f t="shared" si="968"/>
        <v>0.98440295780843257</v>
      </c>
    </row>
    <row r="282" spans="1:20" x14ac:dyDescent="0.25">
      <c r="A282" s="5">
        <v>44311</v>
      </c>
      <c r="B282">
        <v>40.852499999999999</v>
      </c>
      <c r="C282">
        <v>48.643999999999998</v>
      </c>
      <c r="D282">
        <v>40.572000000000003</v>
      </c>
      <c r="E282">
        <v>47.405000000000001</v>
      </c>
      <c r="F282">
        <v>11964753.801000001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0.69301288404360806</v>
      </c>
      <c r="Q282">
        <f t="shared" si="965"/>
        <v>8291728.5385027323</v>
      </c>
      <c r="R282">
        <f t="shared" si="966"/>
        <v>106931785.48153517</v>
      </c>
      <c r="S282">
        <f t="shared" si="967"/>
        <v>1069.3178548153517</v>
      </c>
      <c r="T282">
        <f t="shared" si="968"/>
        <v>1.0693178548153517</v>
      </c>
    </row>
    <row r="283" spans="1:20" x14ac:dyDescent="0.25">
      <c r="A283" s="5">
        <v>44310</v>
      </c>
      <c r="B283">
        <v>37.3018</v>
      </c>
      <c r="C283">
        <v>43.639699999999998</v>
      </c>
      <c r="D283">
        <v>34.586100000000002</v>
      </c>
      <c r="E283">
        <v>40.8401</v>
      </c>
      <c r="F283">
        <v>9722785.0600000005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0.38154988071043577</v>
      </c>
      <c r="Q283">
        <f t="shared" si="965"/>
        <v>3709727.4798162072</v>
      </c>
      <c r="R283">
        <f t="shared" si="966"/>
        <v>98640056.943032429</v>
      </c>
      <c r="S283">
        <f t="shared" si="967"/>
        <v>986.40056943032425</v>
      </c>
      <c r="T283">
        <f t="shared" si="968"/>
        <v>0.98640056943032428</v>
      </c>
    </row>
    <row r="284" spans="1:20" x14ac:dyDescent="0.25">
      <c r="A284" s="5">
        <v>44309</v>
      </c>
      <c r="B284">
        <v>38.8718</v>
      </c>
      <c r="C284">
        <v>41.74</v>
      </c>
      <c r="D284">
        <v>31.493600000000001</v>
      </c>
      <c r="E284">
        <v>37.389299999999999</v>
      </c>
      <c r="F284">
        <v>14705148.48</v>
      </c>
      <c r="G284">
        <v>0</v>
      </c>
      <c r="L284" t="s">
        <v>8</v>
      </c>
      <c r="M284" t="s">
        <v>7</v>
      </c>
      <c r="N284" t="s">
        <v>8</v>
      </c>
      <c r="P284">
        <f t="shared" si="964"/>
        <v>0.1507846658338533</v>
      </c>
      <c r="Q284">
        <f t="shared" si="965"/>
        <v>2217310.8995939959</v>
      </c>
      <c r="R284">
        <f t="shared" si="966"/>
        <v>94930329.463216215</v>
      </c>
      <c r="S284">
        <f t="shared" si="967"/>
        <v>949.30329463216219</v>
      </c>
      <c r="T284">
        <f t="shared" si="968"/>
        <v>0.94930329463216223</v>
      </c>
    </row>
    <row r="285" spans="1:20" x14ac:dyDescent="0.25">
      <c r="A285" s="5">
        <v>44308</v>
      </c>
      <c r="B285">
        <v>32.596499999999999</v>
      </c>
      <c r="C285">
        <v>41.158700000000003</v>
      </c>
      <c r="D285">
        <v>31.458600000000001</v>
      </c>
      <c r="E285">
        <v>38.9</v>
      </c>
      <c r="F285">
        <v>14017530.859999999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0.5342934608921549</v>
      </c>
      <c r="Q285">
        <f t="shared" si="965"/>
        <v>7489475.0763519844</v>
      </c>
      <c r="R285">
        <f t="shared" si="966"/>
        <v>92713018.563622221</v>
      </c>
      <c r="S285">
        <f t="shared" si="967"/>
        <v>927.13018563622222</v>
      </c>
      <c r="T285">
        <f t="shared" si="968"/>
        <v>0.92713018563622218</v>
      </c>
    </row>
    <row r="286" spans="1:20" x14ac:dyDescent="0.25">
      <c r="A286" s="5">
        <v>44307</v>
      </c>
      <c r="B286">
        <v>31.693899999999999</v>
      </c>
      <c r="C286">
        <v>35.180100000000003</v>
      </c>
      <c r="D286">
        <v>30.110099999999999</v>
      </c>
      <c r="E286">
        <v>32.553400000000003</v>
      </c>
      <c r="F286">
        <v>6573327.0899999999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-3.617357001972292E-2</v>
      </c>
      <c r="Q286">
        <f t="shared" si="965"/>
        <v>-237780.70775265651</v>
      </c>
      <c r="R286">
        <f t="shared" si="966"/>
        <v>85223543.487270236</v>
      </c>
      <c r="S286">
        <f t="shared" si="967"/>
        <v>852.2354348727024</v>
      </c>
      <c r="T286">
        <f t="shared" si="968"/>
        <v>0.85223543487270237</v>
      </c>
    </row>
    <row r="287" spans="1:20" x14ac:dyDescent="0.25">
      <c r="A287" s="5">
        <v>44306</v>
      </c>
      <c r="B287">
        <v>31.5303</v>
      </c>
      <c r="C287">
        <v>32.799999999999997</v>
      </c>
      <c r="D287">
        <v>28.81</v>
      </c>
      <c r="E287">
        <v>31.7028</v>
      </c>
      <c r="F287">
        <v>7036100.9199999999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0.45002506265664277</v>
      </c>
      <c r="Q287">
        <f t="shared" si="965"/>
        <v>3166421.757381462</v>
      </c>
      <c r="R287">
        <f t="shared" si="966"/>
        <v>85461324.195022896</v>
      </c>
      <c r="S287">
        <f t="shared" si="967"/>
        <v>854.61324195022894</v>
      </c>
      <c r="T287">
        <f t="shared" si="968"/>
        <v>0.85461324195022892</v>
      </c>
    </row>
    <row r="288" spans="1:20" x14ac:dyDescent="0.25">
      <c r="A288" s="5">
        <v>44305</v>
      </c>
      <c r="B288">
        <v>32.3324</v>
      </c>
      <c r="C288">
        <v>36.094999999999999</v>
      </c>
      <c r="D288">
        <v>29.8066</v>
      </c>
      <c r="E288">
        <v>31.4711</v>
      </c>
      <c r="F288">
        <v>12075270.9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-0.4706125564531517</v>
      </c>
      <c r="Q288">
        <f t="shared" si="965"/>
        <v>-5682774.1081133503</v>
      </c>
      <c r="R288">
        <f t="shared" si="966"/>
        <v>82294902.437641427</v>
      </c>
      <c r="S288">
        <f t="shared" si="967"/>
        <v>822.94902437641429</v>
      </c>
      <c r="T288">
        <f t="shared" si="968"/>
        <v>0.82294902437641426</v>
      </c>
    </row>
    <row r="289" spans="1:20" x14ac:dyDescent="0.25">
      <c r="A289" s="5">
        <v>44304</v>
      </c>
      <c r="B289">
        <v>24.851700000000001</v>
      </c>
      <c r="C289">
        <v>32.99</v>
      </c>
      <c r="D289">
        <v>21.1</v>
      </c>
      <c r="E289">
        <v>32.335799999999999</v>
      </c>
      <c r="F289">
        <v>11699397.050000001</v>
      </c>
      <c r="G289">
        <v>0</v>
      </c>
      <c r="L289" t="s">
        <v>8</v>
      </c>
      <c r="M289" t="s">
        <v>7</v>
      </c>
      <c r="N289" t="s">
        <v>8</v>
      </c>
      <c r="P289">
        <f t="shared" si="964"/>
        <v>0.8899579478553401</v>
      </c>
      <c r="Q289">
        <f t="shared" si="965"/>
        <v>10411971.389762821</v>
      </c>
      <c r="R289">
        <f t="shared" si="966"/>
        <v>87977676.545754775</v>
      </c>
      <c r="S289">
        <f t="shared" si="967"/>
        <v>879.77676545754775</v>
      </c>
      <c r="T289">
        <f t="shared" si="968"/>
        <v>0.87977676545754779</v>
      </c>
    </row>
    <row r="290" spans="1:20" x14ac:dyDescent="0.25">
      <c r="A290" s="5">
        <v>44303</v>
      </c>
      <c r="B290">
        <v>25.2926</v>
      </c>
      <c r="C290">
        <v>26.791399999999999</v>
      </c>
      <c r="D290">
        <v>24.818100000000001</v>
      </c>
      <c r="E290">
        <v>24.85</v>
      </c>
      <c r="F290">
        <v>2442737.39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-0.96766837277656692</v>
      </c>
      <c r="Q290">
        <f t="shared" si="965"/>
        <v>-2363759.7153017782</v>
      </c>
      <c r="R290">
        <f t="shared" si="966"/>
        <v>77565705.155991957</v>
      </c>
      <c r="S290">
        <f t="shared" si="967"/>
        <v>775.65705155991952</v>
      </c>
      <c r="T290">
        <f t="shared" si="968"/>
        <v>0.77565705155991949</v>
      </c>
    </row>
    <row r="291" spans="1:20" x14ac:dyDescent="0.25">
      <c r="A291" s="5">
        <v>44302</v>
      </c>
      <c r="B291">
        <v>27.794599999999999</v>
      </c>
      <c r="C291">
        <v>28.257100000000001</v>
      </c>
      <c r="D291">
        <v>24.854700000000001</v>
      </c>
      <c r="E291">
        <v>25.299600000000002</v>
      </c>
      <c r="F291">
        <v>2673912.3199999998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-0.73847872090289179</v>
      </c>
      <c r="Q291">
        <f t="shared" si="965"/>
        <v>-1974627.3498800837</v>
      </c>
      <c r="R291">
        <f t="shared" si="966"/>
        <v>79929464.871293738</v>
      </c>
      <c r="S291">
        <f t="shared" si="967"/>
        <v>799.29464871293737</v>
      </c>
      <c r="T291">
        <f t="shared" si="968"/>
        <v>0.79929464871293743</v>
      </c>
    </row>
    <row r="292" spans="1:20" x14ac:dyDescent="0.25">
      <c r="A292" s="5">
        <v>44301</v>
      </c>
      <c r="B292">
        <v>26.418199999999999</v>
      </c>
      <c r="C292">
        <v>28.2</v>
      </c>
      <c r="D292">
        <v>25.447900000000001</v>
      </c>
      <c r="E292">
        <v>27.781600000000001</v>
      </c>
      <c r="F292">
        <v>2146653.64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0.69594128120344567</v>
      </c>
      <c r="Q292">
        <f t="shared" si="965"/>
        <v>1493944.8845216404</v>
      </c>
      <c r="R292">
        <f t="shared" si="966"/>
        <v>81904092.221173823</v>
      </c>
      <c r="S292">
        <f t="shared" si="967"/>
        <v>819.04092221173823</v>
      </c>
      <c r="T292">
        <f t="shared" si="968"/>
        <v>0.81904092221173819</v>
      </c>
    </row>
    <row r="293" spans="1:20" x14ac:dyDescent="0.25">
      <c r="A293" s="5">
        <v>44300</v>
      </c>
      <c r="B293">
        <v>27.457100000000001</v>
      </c>
      <c r="C293">
        <v>27.561299999999999</v>
      </c>
      <c r="D293">
        <v>24.7</v>
      </c>
      <c r="E293">
        <v>26.406700000000001</v>
      </c>
      <c r="F293">
        <v>3623963.28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0.19295425156397544</v>
      </c>
      <c r="Q293">
        <f t="shared" si="965"/>
        <v>699259.12238772959</v>
      </c>
      <c r="R293">
        <f t="shared" si="966"/>
        <v>80410147.336652189</v>
      </c>
      <c r="S293">
        <f t="shared" si="967"/>
        <v>804.10147336652187</v>
      </c>
      <c r="T293">
        <f t="shared" si="968"/>
        <v>0.80410147336652182</v>
      </c>
    </row>
    <row r="294" spans="1:20" x14ac:dyDescent="0.25">
      <c r="A294" s="5">
        <v>44299</v>
      </c>
      <c r="B294">
        <v>28.526599999999998</v>
      </c>
      <c r="C294">
        <v>28.816199999999998</v>
      </c>
      <c r="D294">
        <v>26.261600000000001</v>
      </c>
      <c r="E294">
        <v>27.450700000000001</v>
      </c>
      <c r="F294">
        <v>2275774.4300000002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-6.9051906364987731E-2</v>
      </c>
      <c r="Q294">
        <f t="shared" si="965"/>
        <v>-157146.56284819334</v>
      </c>
      <c r="R294">
        <f t="shared" si="966"/>
        <v>79710888.214264467</v>
      </c>
      <c r="S294">
        <f t="shared" si="967"/>
        <v>797.10888214264469</v>
      </c>
      <c r="T294">
        <f t="shared" si="968"/>
        <v>0.79710888214264464</v>
      </c>
    </row>
    <row r="295" spans="1:20" x14ac:dyDescent="0.25">
      <c r="A295" s="5">
        <v>44298</v>
      </c>
      <c r="B295">
        <v>27.8598</v>
      </c>
      <c r="C295">
        <v>29.929500000000001</v>
      </c>
      <c r="D295">
        <v>26.8049</v>
      </c>
      <c r="E295">
        <v>28.542400000000001</v>
      </c>
      <c r="F295">
        <v>2842013.26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0.11214235422134046</v>
      </c>
      <c r="Q295">
        <f t="shared" si="965"/>
        <v>318710.05770466651</v>
      </c>
      <c r="R295">
        <f t="shared" si="966"/>
        <v>79868034.777112663</v>
      </c>
      <c r="S295">
        <f t="shared" si="967"/>
        <v>798.68034777112666</v>
      </c>
      <c r="T295">
        <f t="shared" si="968"/>
        <v>0.79868034777112662</v>
      </c>
    </row>
    <row r="296" spans="1:20" x14ac:dyDescent="0.25">
      <c r="A296" s="5">
        <v>44297</v>
      </c>
      <c r="B296">
        <v>26.799299999999999</v>
      </c>
      <c r="C296">
        <v>28.649000000000001</v>
      </c>
      <c r="D296">
        <v>25.513100000000001</v>
      </c>
      <c r="E296">
        <v>27.851700000000001</v>
      </c>
      <c r="F296">
        <v>2517685.81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0.49150164227175608</v>
      </c>
      <c r="Q296">
        <f t="shared" si="965"/>
        <v>1237446.7103392964</v>
      </c>
      <c r="R296">
        <f t="shared" si="966"/>
        <v>79549324.719407991</v>
      </c>
      <c r="S296">
        <f t="shared" si="967"/>
        <v>795.49324719407991</v>
      </c>
      <c r="T296">
        <f t="shared" si="968"/>
        <v>0.79549324719407988</v>
      </c>
    </row>
    <row r="297" spans="1:20" x14ac:dyDescent="0.25">
      <c r="A297" s="5">
        <v>44296</v>
      </c>
      <c r="B297">
        <v>27.619399999999999</v>
      </c>
      <c r="C297">
        <v>28.294799999999999</v>
      </c>
      <c r="D297">
        <v>25.901700000000002</v>
      </c>
      <c r="E297">
        <v>26.802099999999999</v>
      </c>
      <c r="F297">
        <v>2705997.06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-0.24750323847728986</v>
      </c>
      <c r="Q297">
        <f t="shared" si="965"/>
        <v>-669743.0356600252</v>
      </c>
      <c r="R297">
        <f t="shared" si="966"/>
        <v>78311878.009068698</v>
      </c>
      <c r="S297">
        <f t="shared" si="967"/>
        <v>783.11878009068698</v>
      </c>
      <c r="T297">
        <f t="shared" si="968"/>
        <v>0.78311878009068703</v>
      </c>
    </row>
    <row r="298" spans="1:20" x14ac:dyDescent="0.25">
      <c r="A298" s="5">
        <v>44295</v>
      </c>
      <c r="B298">
        <v>26.926100000000002</v>
      </c>
      <c r="C298">
        <v>29</v>
      </c>
      <c r="D298">
        <v>26.709700000000002</v>
      </c>
      <c r="E298">
        <v>27.6172</v>
      </c>
      <c r="F298">
        <v>3037133.3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-0.20752739815744708</v>
      </c>
      <c r="Q298">
        <f t="shared" si="965"/>
        <v>-630288.3716063411</v>
      </c>
      <c r="R298">
        <f t="shared" si="966"/>
        <v>78981621.044728726</v>
      </c>
      <c r="S298">
        <f t="shared" si="967"/>
        <v>789.81621044728729</v>
      </c>
      <c r="T298">
        <f t="shared" si="968"/>
        <v>0.78981621044728734</v>
      </c>
    </row>
    <row r="299" spans="1:20" x14ac:dyDescent="0.25">
      <c r="A299" s="5">
        <v>44294</v>
      </c>
      <c r="B299">
        <v>26.536999999999999</v>
      </c>
      <c r="C299">
        <v>27.995100000000001</v>
      </c>
      <c r="D299">
        <v>25.6431</v>
      </c>
      <c r="E299">
        <v>26.938400000000001</v>
      </c>
      <c r="F299">
        <v>4209553.6100000003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0.10144557823129323</v>
      </c>
      <c r="Q299">
        <f t="shared" si="965"/>
        <v>427040.60006207787</v>
      </c>
      <c r="R299">
        <f t="shared" si="966"/>
        <v>79611909.416335061</v>
      </c>
      <c r="S299">
        <f t="shared" si="967"/>
        <v>796.11909416335061</v>
      </c>
      <c r="T299">
        <f t="shared" si="968"/>
        <v>0.79611909416335058</v>
      </c>
    </row>
    <row r="300" spans="1:20" x14ac:dyDescent="0.25">
      <c r="A300" s="5">
        <v>44293</v>
      </c>
      <c r="B300">
        <v>25.0548</v>
      </c>
      <c r="C300">
        <v>27.520299999999999</v>
      </c>
      <c r="D300">
        <v>22.907800000000002</v>
      </c>
      <c r="E300">
        <v>26.538499999999999</v>
      </c>
      <c r="F300">
        <v>7815658.6299999999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0.57428726287262855</v>
      </c>
      <c r="Q300">
        <f t="shared" si="965"/>
        <v>4488433.2021695375</v>
      </c>
      <c r="R300">
        <f t="shared" si="966"/>
        <v>79184868.816272989</v>
      </c>
      <c r="S300">
        <f t="shared" si="967"/>
        <v>791.8486881627299</v>
      </c>
      <c r="T300">
        <f t="shared" si="968"/>
        <v>0.79184868816272991</v>
      </c>
    </row>
    <row r="301" spans="1:20" x14ac:dyDescent="0.25">
      <c r="A301" s="5">
        <v>44292</v>
      </c>
      <c r="B301">
        <v>22.9876</v>
      </c>
      <c r="C301">
        <v>25.3</v>
      </c>
      <c r="D301">
        <v>21.755400000000002</v>
      </c>
      <c r="E301">
        <v>25.0548</v>
      </c>
      <c r="F301">
        <v>3326493.23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0.86164870507250435</v>
      </c>
      <c r="Q301">
        <f t="shared" si="965"/>
        <v>2866268.5840619523</v>
      </c>
      <c r="R301">
        <f t="shared" si="966"/>
        <v>74696435.614103451</v>
      </c>
      <c r="S301">
        <f t="shared" si="967"/>
        <v>746.9643561410345</v>
      </c>
      <c r="T301">
        <f t="shared" si="968"/>
        <v>0.74696435614103451</v>
      </c>
    </row>
    <row r="302" spans="1:20" x14ac:dyDescent="0.25">
      <c r="A302" s="5">
        <v>44291</v>
      </c>
      <c r="B302">
        <v>23.775500000000001</v>
      </c>
      <c r="C302">
        <v>24.78</v>
      </c>
      <c r="D302">
        <v>22.766400000000001</v>
      </c>
      <c r="E302">
        <v>22.971699999999998</v>
      </c>
      <c r="F302">
        <v>2821214.21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-0.79608661104489709</v>
      </c>
      <c r="Q302">
        <f t="shared" si="965"/>
        <v>-2245930.8594706068</v>
      </c>
      <c r="R302">
        <f t="shared" si="966"/>
        <v>71830167.030041501</v>
      </c>
      <c r="S302">
        <f t="shared" si="967"/>
        <v>718.30167030041503</v>
      </c>
      <c r="T302">
        <f t="shared" si="968"/>
        <v>0.71830167030041503</v>
      </c>
    </row>
    <row r="303" spans="1:20" x14ac:dyDescent="0.25">
      <c r="A303" s="5">
        <v>44290</v>
      </c>
      <c r="B303">
        <v>22.467199999999998</v>
      </c>
      <c r="C303">
        <v>25.530899999999999</v>
      </c>
      <c r="D303">
        <v>21.986699999999999</v>
      </c>
      <c r="E303">
        <v>23.775500000000001</v>
      </c>
      <c r="F303">
        <v>5274539.83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9.4238474126753201E-3</v>
      </c>
      <c r="Q303">
        <f t="shared" si="965"/>
        <v>49706.458529998425</v>
      </c>
      <c r="R303">
        <f t="shared" si="966"/>
        <v>74076097.889512107</v>
      </c>
      <c r="S303">
        <f t="shared" si="967"/>
        <v>740.76097889512107</v>
      </c>
      <c r="T303">
        <f t="shared" si="968"/>
        <v>0.74076097889512105</v>
      </c>
    </row>
    <row r="304" spans="1:20" x14ac:dyDescent="0.25">
      <c r="A304" s="5">
        <v>44289</v>
      </c>
      <c r="B304">
        <v>19.751300000000001</v>
      </c>
      <c r="C304">
        <v>23.8476</v>
      </c>
      <c r="D304">
        <v>19.722799999999999</v>
      </c>
      <c r="E304">
        <v>22.5</v>
      </c>
      <c r="F304">
        <v>6266319.5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0.34658650116369288</v>
      </c>
      <c r="Q304">
        <f t="shared" si="965"/>
        <v>2171821.7506788215</v>
      </c>
      <c r="R304">
        <f t="shared" si="966"/>
        <v>74026391.430982113</v>
      </c>
      <c r="S304">
        <f t="shared" si="967"/>
        <v>740.26391430982108</v>
      </c>
      <c r="T304">
        <f t="shared" si="968"/>
        <v>0.74026391430982108</v>
      </c>
    </row>
    <row r="305" spans="1:20" x14ac:dyDescent="0.25">
      <c r="A305" s="5">
        <v>44288</v>
      </c>
      <c r="B305">
        <v>19.0443</v>
      </c>
      <c r="C305">
        <v>19.8003</v>
      </c>
      <c r="D305">
        <v>18.344999999999999</v>
      </c>
      <c r="E305">
        <v>19.7501</v>
      </c>
      <c r="F305">
        <v>1773300.55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0.93101078815364502</v>
      </c>
      <c r="Q305">
        <f t="shared" si="965"/>
        <v>1650961.9426887922</v>
      </c>
      <c r="R305">
        <f t="shared" si="966"/>
        <v>71854569.68030329</v>
      </c>
      <c r="S305">
        <f t="shared" si="967"/>
        <v>718.54569680303291</v>
      </c>
      <c r="T305">
        <f t="shared" si="968"/>
        <v>0.71854569680303293</v>
      </c>
    </row>
    <row r="306" spans="1:20" x14ac:dyDescent="0.25">
      <c r="A306" s="5">
        <v>44287</v>
      </c>
      <c r="B306">
        <v>19.381799999999998</v>
      </c>
      <c r="C306">
        <v>20.3583</v>
      </c>
      <c r="D306">
        <v>18.743300000000001</v>
      </c>
      <c r="E306">
        <v>19.0443</v>
      </c>
      <c r="F306">
        <v>2230609.34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-0.62724458204334532</v>
      </c>
      <c r="Q306">
        <f t="shared" si="965"/>
        <v>-1399137.6231702822</v>
      </c>
      <c r="R306">
        <f t="shared" si="966"/>
        <v>70203607.737614498</v>
      </c>
      <c r="S306">
        <f t="shared" si="967"/>
        <v>702.03607737614493</v>
      </c>
      <c r="T306">
        <f t="shared" si="968"/>
        <v>0.70203607737614493</v>
      </c>
    </row>
    <row r="307" spans="1:20" x14ac:dyDescent="0.25">
      <c r="A307" s="5">
        <v>44286</v>
      </c>
      <c r="B307">
        <v>19.064499999999999</v>
      </c>
      <c r="C307">
        <v>19.8154</v>
      </c>
      <c r="D307">
        <v>18</v>
      </c>
      <c r="E307">
        <v>19.386099999999999</v>
      </c>
      <c r="F307">
        <v>2784733.45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0.52704638096287182</v>
      </c>
      <c r="Q307">
        <f t="shared" si="965"/>
        <v>1467683.6867687525</v>
      </c>
      <c r="R307">
        <f t="shared" si="966"/>
        <v>71602745.360784784</v>
      </c>
      <c r="S307">
        <f t="shared" si="967"/>
        <v>716.02745360784786</v>
      </c>
      <c r="T307">
        <f t="shared" si="968"/>
        <v>0.71602745360784781</v>
      </c>
    </row>
    <row r="308" spans="1:20" x14ac:dyDescent="0.25">
      <c r="A308" s="5">
        <v>44285</v>
      </c>
      <c r="B308">
        <v>18.950399999999998</v>
      </c>
      <c r="C308">
        <v>20.87</v>
      </c>
      <c r="D308">
        <v>18.910499999999999</v>
      </c>
      <c r="E308">
        <v>19.0685</v>
      </c>
      <c r="F308">
        <v>3808354.1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-0.8387343710130124</v>
      </c>
      <c r="Q308">
        <f t="shared" si="965"/>
        <v>-3194197.4806583272</v>
      </c>
      <c r="R308">
        <f t="shared" si="966"/>
        <v>70135061.674016029</v>
      </c>
      <c r="S308">
        <f t="shared" si="967"/>
        <v>701.35061674016026</v>
      </c>
      <c r="T308">
        <f t="shared" si="968"/>
        <v>0.7013506167401603</v>
      </c>
    </row>
    <row r="309" spans="1:20" x14ac:dyDescent="0.25">
      <c r="A309" s="5">
        <v>44284</v>
      </c>
      <c r="B309">
        <v>18.064499999999999</v>
      </c>
      <c r="C309">
        <v>19</v>
      </c>
      <c r="D309">
        <v>17.643899999999999</v>
      </c>
      <c r="E309">
        <v>18.950399999999998</v>
      </c>
      <c r="F309">
        <v>3064381.78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0.92684905242975946</v>
      </c>
      <c r="Q309">
        <f t="shared" si="965"/>
        <v>2840219.3490760196</v>
      </c>
      <c r="R309">
        <f t="shared" si="966"/>
        <v>73329259.154674351</v>
      </c>
      <c r="S309">
        <f t="shared" si="967"/>
        <v>733.29259154674355</v>
      </c>
      <c r="T309">
        <f t="shared" si="968"/>
        <v>0.73329259154674353</v>
      </c>
    </row>
    <row r="310" spans="1:20" x14ac:dyDescent="0.25">
      <c r="A310" s="5">
        <v>44283</v>
      </c>
      <c r="B310">
        <v>16.451599999999999</v>
      </c>
      <c r="C310">
        <v>19.38</v>
      </c>
      <c r="D310">
        <v>16.3049</v>
      </c>
      <c r="E310">
        <v>18.064499999999999</v>
      </c>
      <c r="F310">
        <v>7200727.4900000002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0.14441806770511495</v>
      </c>
      <c r="Q310">
        <f t="shared" si="965"/>
        <v>1039915.1501769024</v>
      </c>
      <c r="R310">
        <f t="shared" si="966"/>
        <v>70489039.805598333</v>
      </c>
      <c r="S310">
        <f t="shared" si="967"/>
        <v>704.89039805598338</v>
      </c>
      <c r="T310">
        <f t="shared" si="968"/>
        <v>0.70489039805598341</v>
      </c>
    </row>
    <row r="311" spans="1:20" x14ac:dyDescent="0.25">
      <c r="A311" s="5">
        <v>44282</v>
      </c>
      <c r="B311">
        <v>14.7751</v>
      </c>
      <c r="C311">
        <v>16.8</v>
      </c>
      <c r="D311">
        <v>14.7173</v>
      </c>
      <c r="E311">
        <v>16.4589</v>
      </c>
      <c r="F311">
        <v>4053893.7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0.67244442310462316</v>
      </c>
      <c r="Q311">
        <f t="shared" si="965"/>
        <v>2726018.2104239664</v>
      </c>
      <c r="R311">
        <f t="shared" si="966"/>
        <v>69449124.655421436</v>
      </c>
      <c r="S311">
        <f t="shared" si="967"/>
        <v>694.4912465542144</v>
      </c>
      <c r="T311">
        <f t="shared" si="968"/>
        <v>0.69449124655421435</v>
      </c>
    </row>
    <row r="312" spans="1:20" x14ac:dyDescent="0.25">
      <c r="A312" s="5">
        <v>44281</v>
      </c>
      <c r="B312">
        <v>12.978899999999999</v>
      </c>
      <c r="C312">
        <v>14.7921</v>
      </c>
      <c r="D312">
        <v>12.3043</v>
      </c>
      <c r="E312">
        <v>14.766400000000001</v>
      </c>
      <c r="F312">
        <v>2972281.77</v>
      </c>
      <c r="G312">
        <v>0</v>
      </c>
      <c r="L312" t="s">
        <v>7</v>
      </c>
      <c r="M312" t="s">
        <v>8</v>
      </c>
      <c r="N312" t="s">
        <v>8</v>
      </c>
      <c r="P312">
        <f t="shared" si="964"/>
        <v>0.97933917517485436</v>
      </c>
      <c r="Q312">
        <f t="shared" si="965"/>
        <v>2910871.9770190562</v>
      </c>
      <c r="R312">
        <f t="shared" si="966"/>
        <v>66723106.444997467</v>
      </c>
      <c r="S312">
        <f t="shared" si="967"/>
        <v>667.23106444997472</v>
      </c>
      <c r="T312">
        <f t="shared" si="968"/>
        <v>0.66723106444997471</v>
      </c>
    </row>
    <row r="313" spans="1:20" x14ac:dyDescent="0.25">
      <c r="A313" s="5">
        <v>44280</v>
      </c>
      <c r="B313">
        <v>13.5844</v>
      </c>
      <c r="C313">
        <v>13.732900000000001</v>
      </c>
      <c r="D313">
        <v>12.47</v>
      </c>
      <c r="E313">
        <v>12.9787</v>
      </c>
      <c r="F313">
        <v>2292323.1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-0.1943938554121479</v>
      </c>
      <c r="Q313">
        <f t="shared" si="965"/>
        <v>-445613.52525932668</v>
      </c>
      <c r="R313">
        <f t="shared" si="966"/>
        <v>63812234.46797841</v>
      </c>
      <c r="S313">
        <f t="shared" si="967"/>
        <v>638.12234467978408</v>
      </c>
      <c r="T313">
        <f t="shared" si="968"/>
        <v>0.63812234467978413</v>
      </c>
    </row>
    <row r="314" spans="1:20" x14ac:dyDescent="0.25">
      <c r="A314" s="5">
        <v>44279</v>
      </c>
      <c r="B314">
        <v>14.1433</v>
      </c>
      <c r="C314">
        <v>15.3719</v>
      </c>
      <c r="D314">
        <v>13.584199999999999</v>
      </c>
      <c r="E314">
        <v>13.597300000000001</v>
      </c>
      <c r="F314">
        <v>2317339.7200000002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-0.98534429714157701</v>
      </c>
      <c r="Q314">
        <f t="shared" si="965"/>
        <v>-2283377.4776416589</v>
      </c>
      <c r="R314">
        <f t="shared" si="966"/>
        <v>64257847.993237734</v>
      </c>
      <c r="S314">
        <f t="shared" si="967"/>
        <v>642.57847993237738</v>
      </c>
      <c r="T314">
        <f t="shared" si="968"/>
        <v>0.64257847993237738</v>
      </c>
    </row>
    <row r="315" spans="1:20" x14ac:dyDescent="0.25">
      <c r="A315" s="5">
        <v>44278</v>
      </c>
      <c r="B315">
        <v>14.796200000000001</v>
      </c>
      <c r="C315">
        <v>15.227</v>
      </c>
      <c r="D315">
        <v>14.0146</v>
      </c>
      <c r="E315">
        <v>14.155200000000001</v>
      </c>
      <c r="F315">
        <v>2004427.43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-0.76806334543054955</v>
      </c>
      <c r="Q315">
        <f t="shared" si="965"/>
        <v>-1539527.2375585586</v>
      </c>
      <c r="R315">
        <f t="shared" si="966"/>
        <v>66541225.470879391</v>
      </c>
      <c r="S315">
        <f t="shared" si="967"/>
        <v>665.41225470879385</v>
      </c>
      <c r="T315">
        <f t="shared" si="968"/>
        <v>0.66541225470879384</v>
      </c>
    </row>
    <row r="316" spans="1:20" x14ac:dyDescent="0.25">
      <c r="A316" s="5">
        <v>44277</v>
      </c>
      <c r="B316">
        <v>14.337199999999999</v>
      </c>
      <c r="C316">
        <v>16.59</v>
      </c>
      <c r="D316">
        <v>14.169700000000001</v>
      </c>
      <c r="E316">
        <v>14.7964</v>
      </c>
      <c r="F316">
        <v>5102991.54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-0.48213031442383192</v>
      </c>
      <c r="Q316">
        <f t="shared" si="965"/>
        <v>-2460306.9156823545</v>
      </c>
      <c r="R316">
        <f t="shared" si="966"/>
        <v>68080752.708437949</v>
      </c>
      <c r="S316">
        <f t="shared" si="967"/>
        <v>680.80752708437944</v>
      </c>
      <c r="T316">
        <f t="shared" si="968"/>
        <v>0.68080752708437942</v>
      </c>
    </row>
    <row r="317" spans="1:20" x14ac:dyDescent="0.25">
      <c r="A317" s="5">
        <v>44276</v>
      </c>
      <c r="B317">
        <v>14.178800000000001</v>
      </c>
      <c r="C317">
        <v>14.3636</v>
      </c>
      <c r="D317">
        <v>13.638</v>
      </c>
      <c r="E317">
        <v>14.337199999999999</v>
      </c>
      <c r="F317">
        <v>1191850.82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0.92723263506063769</v>
      </c>
      <c r="Q317">
        <f t="shared" si="965"/>
        <v>1105122.9764277819</v>
      </c>
      <c r="R317">
        <f t="shared" si="966"/>
        <v>70541059.62412031</v>
      </c>
      <c r="S317">
        <f t="shared" si="967"/>
        <v>705.41059624120305</v>
      </c>
      <c r="T317">
        <f t="shared" si="968"/>
        <v>0.70541059624120306</v>
      </c>
    </row>
    <row r="318" spans="1:20" x14ac:dyDescent="0.25">
      <c r="A318" s="5">
        <v>44275</v>
      </c>
      <c r="B318">
        <v>14.158799999999999</v>
      </c>
      <c r="C318">
        <v>14.9793</v>
      </c>
      <c r="D318">
        <v>14.09</v>
      </c>
      <c r="E318">
        <v>14.189399999999999</v>
      </c>
      <c r="F318">
        <v>1393209.56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-0.77645339030698479</v>
      </c>
      <c r="Q318">
        <f t="shared" si="965"/>
        <v>-1081762.2862701025</v>
      </c>
      <c r="R318">
        <f t="shared" si="966"/>
        <v>69435936.647692531</v>
      </c>
      <c r="S318">
        <f t="shared" si="967"/>
        <v>694.35936647692529</v>
      </c>
      <c r="T318">
        <f t="shared" si="968"/>
        <v>0.69435936647692531</v>
      </c>
    </row>
    <row r="319" spans="1:20" x14ac:dyDescent="0.25">
      <c r="A319" s="5">
        <v>44274</v>
      </c>
      <c r="B319">
        <v>14.215299999999999</v>
      </c>
      <c r="C319">
        <v>14.488300000000001</v>
      </c>
      <c r="D319">
        <v>13.855399999999999</v>
      </c>
      <c r="E319">
        <v>14.155200000000001</v>
      </c>
      <c r="F319">
        <v>1461762.29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-5.2614947069045216E-2</v>
      </c>
      <c r="Q319">
        <f t="shared" si="965"/>
        <v>-76910.545515876322</v>
      </c>
      <c r="R319">
        <f t="shared" si="966"/>
        <v>70517698.933962628</v>
      </c>
      <c r="S319">
        <f t="shared" si="967"/>
        <v>705.17698933962629</v>
      </c>
      <c r="T319">
        <f t="shared" si="968"/>
        <v>0.70517698933962625</v>
      </c>
    </row>
    <row r="320" spans="1:20" x14ac:dyDescent="0.25">
      <c r="A320" s="5">
        <v>44273</v>
      </c>
      <c r="B320">
        <v>14.198700000000001</v>
      </c>
      <c r="C320">
        <v>14.75</v>
      </c>
      <c r="D320">
        <v>13.957000000000001</v>
      </c>
      <c r="E320">
        <v>14.204000000000001</v>
      </c>
      <c r="F320">
        <v>1576671.71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-0.37704918032786855</v>
      </c>
      <c r="Q320">
        <f t="shared" si="965"/>
        <v>-594482.7759016389</v>
      </c>
      <c r="R320">
        <f t="shared" si="966"/>
        <v>70594609.479478508</v>
      </c>
      <c r="S320">
        <f t="shared" si="967"/>
        <v>705.94609479478504</v>
      </c>
      <c r="T320">
        <f t="shared" si="968"/>
        <v>0.7059460947947851</v>
      </c>
    </row>
    <row r="321" spans="1:20" x14ac:dyDescent="0.25">
      <c r="A321" s="5">
        <v>44272</v>
      </c>
      <c r="B321">
        <v>13.6379</v>
      </c>
      <c r="C321">
        <v>14.2685</v>
      </c>
      <c r="D321">
        <v>13.0326</v>
      </c>
      <c r="E321">
        <v>14.2018</v>
      </c>
      <c r="F321">
        <v>1703006.56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0.89206246460069727</v>
      </c>
      <c r="Q321">
        <f t="shared" si="965"/>
        <v>1519188.2291447553</v>
      </c>
      <c r="R321">
        <f t="shared" si="966"/>
        <v>71189092.255380154</v>
      </c>
      <c r="S321">
        <f t="shared" si="967"/>
        <v>711.89092255380149</v>
      </c>
      <c r="T321">
        <f t="shared" si="968"/>
        <v>0.71189092255380149</v>
      </c>
    </row>
    <row r="322" spans="1:20" x14ac:dyDescent="0.25">
      <c r="A322" s="5">
        <v>44271</v>
      </c>
      <c r="B322">
        <v>14.1586</v>
      </c>
      <c r="C322">
        <v>14.2933</v>
      </c>
      <c r="D322">
        <v>13.1389</v>
      </c>
      <c r="E322">
        <v>13.639200000000001</v>
      </c>
      <c r="F322">
        <v>2501657.4900000002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-0.13322938322938194</v>
      </c>
      <c r="Q322">
        <f t="shared" si="965"/>
        <v>-333294.28444386373</v>
      </c>
      <c r="R322">
        <f t="shared" si="966"/>
        <v>69669904.026235402</v>
      </c>
      <c r="S322">
        <f t="shared" si="967"/>
        <v>696.69904026235406</v>
      </c>
      <c r="T322">
        <f t="shared" si="968"/>
        <v>0.69669904026235407</v>
      </c>
    </row>
    <row r="323" spans="1:20" x14ac:dyDescent="0.25">
      <c r="A323" s="5">
        <v>44270</v>
      </c>
      <c r="B323">
        <v>14.461</v>
      </c>
      <c r="C323">
        <v>14.821400000000001</v>
      </c>
      <c r="D323">
        <v>13.617900000000001</v>
      </c>
      <c r="E323">
        <v>14.1577</v>
      </c>
      <c r="F323">
        <v>2020949.93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-0.10294972995430061</v>
      </c>
      <c r="Q323">
        <f t="shared" si="965"/>
        <v>-208056.24954466271</v>
      </c>
      <c r="R323">
        <f t="shared" si="966"/>
        <v>70003198.310679272</v>
      </c>
      <c r="S323">
        <f t="shared" si="967"/>
        <v>700.03198310679272</v>
      </c>
      <c r="T323">
        <f t="shared" si="968"/>
        <v>0.70003198310679271</v>
      </c>
    </row>
    <row r="324" spans="1:20" x14ac:dyDescent="0.25">
      <c r="A324" s="5">
        <v>44269</v>
      </c>
      <c r="B324">
        <v>15.2902</v>
      </c>
      <c r="C324">
        <v>15.375999999999999</v>
      </c>
      <c r="D324">
        <v>14.3399</v>
      </c>
      <c r="E324">
        <v>14.4605</v>
      </c>
      <c r="F324">
        <v>1750244.94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-0.76720393784383811</v>
      </c>
      <c r="Q324">
        <f t="shared" si="965"/>
        <v>-1342794.810159252</v>
      </c>
      <c r="R324">
        <f t="shared" si="966"/>
        <v>70211254.560223937</v>
      </c>
      <c r="S324">
        <f t="shared" si="967"/>
        <v>702.11254560223938</v>
      </c>
      <c r="T324">
        <f t="shared" si="968"/>
        <v>0.70211254560223935</v>
      </c>
    </row>
    <row r="325" spans="1:20" x14ac:dyDescent="0.25">
      <c r="A325" s="5">
        <v>44268</v>
      </c>
      <c r="B325">
        <v>14.5532</v>
      </c>
      <c r="C325">
        <v>15.4072</v>
      </c>
      <c r="D325">
        <v>13.8439</v>
      </c>
      <c r="E325">
        <v>15.3033</v>
      </c>
      <c r="F325">
        <v>2632320.37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0.86707605705878665</v>
      </c>
      <c r="Q325">
        <f t="shared" si="965"/>
        <v>2282421.9673351264</v>
      </c>
      <c r="R325">
        <f t="shared" si="966"/>
        <v>71554049.370383188</v>
      </c>
      <c r="S325">
        <f t="shared" si="967"/>
        <v>715.54049370383188</v>
      </c>
      <c r="T325">
        <f t="shared" si="968"/>
        <v>0.71554049370383188</v>
      </c>
    </row>
    <row r="326" spans="1:20" x14ac:dyDescent="0.25">
      <c r="A326" s="5">
        <v>44267</v>
      </c>
      <c r="B326">
        <v>16.0519</v>
      </c>
      <c r="C326">
        <v>16.5</v>
      </c>
      <c r="D326">
        <v>14.080299999999999</v>
      </c>
      <c r="E326">
        <v>14.559699999999999</v>
      </c>
      <c r="F326">
        <v>3678388.38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-0.60375253130553386</v>
      </c>
      <c r="Q326">
        <f t="shared" ref="Q326:Q389" si="970">F326*P326</f>
        <v>-2220836.2955498621</v>
      </c>
      <c r="R326">
        <f t="shared" ref="R326:R389" si="971">R327+Q326</f>
        <v>69271627.403048068</v>
      </c>
      <c r="S326">
        <f t="shared" ref="S326:S389" si="972">R326/100000</f>
        <v>692.71627403048069</v>
      </c>
      <c r="T326">
        <f t="shared" ref="T326:T389" si="973">S326/1000</f>
        <v>0.69271627403048064</v>
      </c>
    </row>
    <row r="327" spans="1:20" x14ac:dyDescent="0.25">
      <c r="A327" s="5">
        <v>44266</v>
      </c>
      <c r="B327">
        <v>14.2011</v>
      </c>
      <c r="C327">
        <v>16.322199999999999</v>
      </c>
      <c r="D327">
        <v>13.67</v>
      </c>
      <c r="E327">
        <v>16.030999999999999</v>
      </c>
      <c r="F327">
        <v>4125742.57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0.78040871729130534</v>
      </c>
      <c r="Q327">
        <f t="shared" si="970"/>
        <v>3219765.4669278334</v>
      </c>
      <c r="R327">
        <f t="shared" si="971"/>
        <v>71492463.698597923</v>
      </c>
      <c r="S327">
        <f t="shared" si="972"/>
        <v>714.92463698597919</v>
      </c>
      <c r="T327">
        <f t="shared" si="973"/>
        <v>0.71492463698597919</v>
      </c>
    </row>
    <row r="328" spans="1:20" x14ac:dyDescent="0.25">
      <c r="A328" s="5">
        <v>44265</v>
      </c>
      <c r="B328">
        <v>14.85</v>
      </c>
      <c r="C328">
        <v>15.2118</v>
      </c>
      <c r="D328">
        <v>14.0525</v>
      </c>
      <c r="E328">
        <v>14.204800000000001</v>
      </c>
      <c r="F328">
        <v>1943926.1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-0.73725524023117339</v>
      </c>
      <c r="Q328">
        <f t="shared" si="970"/>
        <v>-1433169.703847148</v>
      </c>
      <c r="R328">
        <f t="shared" si="971"/>
        <v>68272698.231670097</v>
      </c>
      <c r="S328">
        <f t="shared" si="972"/>
        <v>682.72698231670097</v>
      </c>
      <c r="T328">
        <f t="shared" si="973"/>
        <v>0.68272698231670093</v>
      </c>
    </row>
    <row r="329" spans="1:20" x14ac:dyDescent="0.25">
      <c r="A329" s="5">
        <v>44264</v>
      </c>
      <c r="B329">
        <v>13.608000000000001</v>
      </c>
      <c r="C329">
        <v>14.992100000000001</v>
      </c>
      <c r="D329">
        <v>13.198499999999999</v>
      </c>
      <c r="E329">
        <v>14.839</v>
      </c>
      <c r="F329">
        <v>2594490.9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0.82928189116859929</v>
      </c>
      <c r="Q329">
        <f t="shared" si="970"/>
        <v>2151564.3201717213</v>
      </c>
      <c r="R329">
        <f t="shared" si="971"/>
        <v>69705867.935517251</v>
      </c>
      <c r="S329">
        <f t="shared" si="972"/>
        <v>697.05867935517256</v>
      </c>
      <c r="T329">
        <f t="shared" si="973"/>
        <v>0.69705867935517252</v>
      </c>
    </row>
    <row r="330" spans="1:20" x14ac:dyDescent="0.25">
      <c r="A330" s="5">
        <v>44263</v>
      </c>
      <c r="B330">
        <v>13.817399999999999</v>
      </c>
      <c r="C330">
        <v>13.906000000000001</v>
      </c>
      <c r="D330">
        <v>12.996</v>
      </c>
      <c r="E330">
        <v>13.6028</v>
      </c>
      <c r="F330">
        <v>2116684.52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0.33362637362637293</v>
      </c>
      <c r="Q330">
        <f t="shared" si="970"/>
        <v>706181.78051867988</v>
      </c>
      <c r="R330">
        <f t="shared" si="971"/>
        <v>67554303.615345538</v>
      </c>
      <c r="S330">
        <f t="shared" si="972"/>
        <v>675.54303615345543</v>
      </c>
      <c r="T330">
        <f t="shared" si="973"/>
        <v>0.67554303615345546</v>
      </c>
    </row>
    <row r="331" spans="1:20" x14ac:dyDescent="0.25">
      <c r="A331" s="5">
        <v>44262</v>
      </c>
      <c r="B331">
        <v>13.0443</v>
      </c>
      <c r="C331">
        <v>14.013999999999999</v>
      </c>
      <c r="D331">
        <v>12.7049</v>
      </c>
      <c r="E331">
        <v>13.817399999999999</v>
      </c>
      <c r="F331">
        <v>2999418.25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0.69964097471545295</v>
      </c>
      <c r="Q331">
        <f t="shared" si="970"/>
        <v>2098515.9080093182</v>
      </c>
      <c r="R331">
        <f t="shared" si="971"/>
        <v>66848121.834826857</v>
      </c>
      <c r="S331">
        <f t="shared" si="972"/>
        <v>668.48121834826861</v>
      </c>
      <c r="T331">
        <f t="shared" si="973"/>
        <v>0.66848121834826857</v>
      </c>
    </row>
    <row r="332" spans="1:20" x14ac:dyDescent="0.25">
      <c r="A332" s="5">
        <v>44261</v>
      </c>
      <c r="B332">
        <v>12.550700000000001</v>
      </c>
      <c r="C332">
        <v>13.31</v>
      </c>
      <c r="D332">
        <v>11.9</v>
      </c>
      <c r="E332">
        <v>13.0421</v>
      </c>
      <c r="F332">
        <v>3061674.23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0.61999999999999877</v>
      </c>
      <c r="Q332">
        <f t="shared" si="970"/>
        <v>1898238.0225999963</v>
      </c>
      <c r="R332">
        <f t="shared" si="971"/>
        <v>64749605.926817536</v>
      </c>
      <c r="S332">
        <f t="shared" si="972"/>
        <v>647.49605926817537</v>
      </c>
      <c r="T332">
        <f t="shared" si="973"/>
        <v>0.64749605926817533</v>
      </c>
    </row>
    <row r="333" spans="1:20" x14ac:dyDescent="0.25">
      <c r="A333" s="5">
        <v>44260</v>
      </c>
      <c r="B333">
        <v>13.0649</v>
      </c>
      <c r="C333">
        <v>13.0992</v>
      </c>
      <c r="D333">
        <v>12.1251</v>
      </c>
      <c r="E333">
        <v>12.5382</v>
      </c>
      <c r="F333">
        <v>2069391.25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-0.1518324607329842</v>
      </c>
      <c r="Q333">
        <f t="shared" si="970"/>
        <v>-314200.76570680609</v>
      </c>
      <c r="R333">
        <f t="shared" si="971"/>
        <v>62851367.904217541</v>
      </c>
      <c r="S333">
        <f t="shared" si="972"/>
        <v>628.51367904217545</v>
      </c>
      <c r="T333">
        <f t="shared" si="973"/>
        <v>0.62851367904217548</v>
      </c>
    </row>
    <row r="334" spans="1:20" x14ac:dyDescent="0.25">
      <c r="A334" s="5">
        <v>44259</v>
      </c>
      <c r="B334">
        <v>14.0936</v>
      </c>
      <c r="C334">
        <v>14.2737</v>
      </c>
      <c r="D334">
        <v>12.736000000000001</v>
      </c>
      <c r="E334">
        <v>13.050800000000001</v>
      </c>
      <c r="F334">
        <v>2764372.37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-0.5905573258763086</v>
      </c>
      <c r="Q334">
        <f t="shared" si="970"/>
        <v>-1632520.3545535535</v>
      </c>
      <c r="R334">
        <f t="shared" si="971"/>
        <v>63165568.669924349</v>
      </c>
      <c r="S334">
        <f t="shared" si="972"/>
        <v>631.65568669924346</v>
      </c>
      <c r="T334">
        <f t="shared" si="973"/>
        <v>0.63165568669924343</v>
      </c>
    </row>
    <row r="335" spans="1:20" x14ac:dyDescent="0.25">
      <c r="A335" s="5">
        <v>44258</v>
      </c>
      <c r="B335">
        <v>13.954599999999999</v>
      </c>
      <c r="C335">
        <v>14.738</v>
      </c>
      <c r="D335">
        <v>13.7018</v>
      </c>
      <c r="E335">
        <v>14.074199999999999</v>
      </c>
      <c r="F335">
        <v>3277327.93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-0.28121984172939729</v>
      </c>
      <c r="Q335">
        <f t="shared" si="970"/>
        <v>-921649.64176993328</v>
      </c>
      <c r="R335">
        <f t="shared" si="971"/>
        <v>64798089.024477899</v>
      </c>
      <c r="S335">
        <f t="shared" si="972"/>
        <v>647.98089024477895</v>
      </c>
      <c r="T335">
        <f t="shared" si="973"/>
        <v>0.6479808902447789</v>
      </c>
    </row>
    <row r="336" spans="1:20" x14ac:dyDescent="0.25">
      <c r="A336" s="5">
        <v>44257</v>
      </c>
      <c r="B336">
        <v>14.998900000000001</v>
      </c>
      <c r="C336">
        <v>15.25</v>
      </c>
      <c r="D336">
        <v>13.3544</v>
      </c>
      <c r="E336">
        <v>13.9438</v>
      </c>
      <c r="F336">
        <v>4128426.11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-0.37813884785819846</v>
      </c>
      <c r="Q336">
        <f t="shared" si="970"/>
        <v>-1561118.292703104</v>
      </c>
      <c r="R336">
        <f t="shared" si="971"/>
        <v>65719738.66624783</v>
      </c>
      <c r="S336">
        <f t="shared" si="972"/>
        <v>657.19738666247827</v>
      </c>
      <c r="T336">
        <f t="shared" si="973"/>
        <v>0.65719738666247829</v>
      </c>
    </row>
    <row r="337" spans="1:20" x14ac:dyDescent="0.25">
      <c r="A337" s="5">
        <v>44256</v>
      </c>
      <c r="B337">
        <v>13.08</v>
      </c>
      <c r="C337">
        <v>15.546900000000001</v>
      </c>
      <c r="D337">
        <v>13.010199999999999</v>
      </c>
      <c r="E337">
        <v>14.9855</v>
      </c>
      <c r="F337">
        <v>5511248.2599999998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0.55737769543107152</v>
      </c>
      <c r="Q337">
        <f t="shared" si="970"/>
        <v>3071846.8541073026</v>
      </c>
      <c r="R337">
        <f t="shared" si="971"/>
        <v>67280856.958950937</v>
      </c>
      <c r="S337">
        <f t="shared" si="972"/>
        <v>672.80856958950937</v>
      </c>
      <c r="T337">
        <f t="shared" si="973"/>
        <v>0.67280856958950941</v>
      </c>
    </row>
    <row r="338" spans="1:20" x14ac:dyDescent="0.25">
      <c r="A338" s="5">
        <v>44255</v>
      </c>
      <c r="B338">
        <v>13.1853</v>
      </c>
      <c r="C338">
        <v>13.773899999999999</v>
      </c>
      <c r="D338">
        <v>11.417</v>
      </c>
      <c r="E338">
        <v>13.088699999999999</v>
      </c>
      <c r="F338">
        <v>7231344.75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0.41855827570113269</v>
      </c>
      <c r="Q338">
        <f t="shared" si="970"/>
        <v>3026739.1895604385</v>
      </c>
      <c r="R338">
        <f t="shared" si="971"/>
        <v>64209010.104843639</v>
      </c>
      <c r="S338">
        <f t="shared" si="972"/>
        <v>642.0901010484364</v>
      </c>
      <c r="T338">
        <f t="shared" si="973"/>
        <v>0.64209010104843645</v>
      </c>
    </row>
    <row r="339" spans="1:20" x14ac:dyDescent="0.25">
      <c r="A339" s="5">
        <v>44254</v>
      </c>
      <c r="B339">
        <v>13.586399999999999</v>
      </c>
      <c r="C339">
        <v>14.835900000000001</v>
      </c>
      <c r="D339">
        <v>13.01</v>
      </c>
      <c r="E339">
        <v>13.191599999999999</v>
      </c>
      <c r="F339">
        <v>6232463.1900000004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-0.80108439673585685</v>
      </c>
      <c r="Q339">
        <f t="shared" si="970"/>
        <v>-4992729.0147395842</v>
      </c>
      <c r="R339">
        <f t="shared" si="971"/>
        <v>61182270.915283203</v>
      </c>
      <c r="S339">
        <f t="shared" si="972"/>
        <v>611.82270915283198</v>
      </c>
      <c r="T339">
        <f t="shared" si="973"/>
        <v>0.61182270915283199</v>
      </c>
    </row>
    <row r="340" spans="1:20" x14ac:dyDescent="0.25">
      <c r="A340" s="5">
        <v>44253</v>
      </c>
      <c r="B340">
        <v>13.8565</v>
      </c>
      <c r="C340">
        <v>15.5083</v>
      </c>
      <c r="D340">
        <v>13.1</v>
      </c>
      <c r="E340">
        <v>13.5962</v>
      </c>
      <c r="F340">
        <v>8029513.1699999999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-0.58792509238882207</v>
      </c>
      <c r="Q340">
        <f t="shared" si="970"/>
        <v>-4720752.2723095138</v>
      </c>
      <c r="R340">
        <f t="shared" si="971"/>
        <v>66174999.930022791</v>
      </c>
      <c r="S340">
        <f t="shared" si="972"/>
        <v>661.74999930022796</v>
      </c>
      <c r="T340">
        <f t="shared" si="973"/>
        <v>0.66174999930022793</v>
      </c>
    </row>
    <row r="341" spans="1:20" x14ac:dyDescent="0.25">
      <c r="A341" s="5">
        <v>44252</v>
      </c>
      <c r="B341">
        <v>17.174499999999998</v>
      </c>
      <c r="C341">
        <v>17.690000000000001</v>
      </c>
      <c r="D341">
        <v>13.6579</v>
      </c>
      <c r="E341">
        <v>13.844200000000001</v>
      </c>
      <c r="F341">
        <v>9520373.9199999999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-0.9075915775898411</v>
      </c>
      <c r="Q341">
        <f t="shared" si="970"/>
        <v>-8640611.185297979</v>
      </c>
      <c r="R341">
        <f t="shared" si="971"/>
        <v>70895752.202332303</v>
      </c>
      <c r="S341">
        <f t="shared" si="972"/>
        <v>708.95752202332301</v>
      </c>
      <c r="T341">
        <f t="shared" si="973"/>
        <v>0.70895752202332296</v>
      </c>
    </row>
    <row r="342" spans="1:20" x14ac:dyDescent="0.25">
      <c r="A342" s="5">
        <v>44251</v>
      </c>
      <c r="B342">
        <v>15.238899999999999</v>
      </c>
      <c r="C342">
        <v>18.205200000000001</v>
      </c>
      <c r="D342">
        <v>14.791700000000001</v>
      </c>
      <c r="E342">
        <v>17.1691</v>
      </c>
      <c r="F342">
        <v>10777544.75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0.39293979786143202</v>
      </c>
      <c r="Q342">
        <f t="shared" si="970"/>
        <v>4234926.2555075381</v>
      </c>
      <c r="R342">
        <f t="shared" si="971"/>
        <v>79536363.387630284</v>
      </c>
      <c r="S342">
        <f t="shared" si="972"/>
        <v>795.36363387630286</v>
      </c>
      <c r="T342">
        <f t="shared" si="973"/>
        <v>0.79536363387630282</v>
      </c>
    </row>
    <row r="343" spans="1:20" x14ac:dyDescent="0.25">
      <c r="A343" s="5">
        <v>44250</v>
      </c>
      <c r="B343">
        <v>14.4176</v>
      </c>
      <c r="C343">
        <v>15.8888</v>
      </c>
      <c r="D343">
        <v>11.47</v>
      </c>
      <c r="E343">
        <v>15.224399999999999</v>
      </c>
      <c r="F343">
        <v>24306320.760000002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0.69928487372137205</v>
      </c>
      <c r="Q343">
        <f t="shared" si="970"/>
        <v>16997042.443287764</v>
      </c>
      <c r="R343">
        <f t="shared" si="971"/>
        <v>75301437.13212274</v>
      </c>
      <c r="S343">
        <f t="shared" si="972"/>
        <v>753.01437132122737</v>
      </c>
      <c r="T343">
        <f t="shared" si="973"/>
        <v>0.75301437132122739</v>
      </c>
    </row>
    <row r="344" spans="1:20" x14ac:dyDescent="0.25">
      <c r="A344" s="5">
        <v>44249</v>
      </c>
      <c r="B344">
        <v>11.0738</v>
      </c>
      <c r="C344">
        <v>14.8</v>
      </c>
      <c r="D344">
        <v>9.1</v>
      </c>
      <c r="E344">
        <v>14.4191</v>
      </c>
      <c r="F344">
        <v>14711670.800000001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0.86635087719298232</v>
      </c>
      <c r="Q344">
        <f t="shared" si="970"/>
        <v>12745468.902554385</v>
      </c>
      <c r="R344">
        <f t="shared" si="971"/>
        <v>58304394.688834973</v>
      </c>
      <c r="S344">
        <f t="shared" si="972"/>
        <v>583.04394688834975</v>
      </c>
      <c r="T344">
        <f t="shared" si="973"/>
        <v>0.58304394688834971</v>
      </c>
    </row>
    <row r="345" spans="1:20" x14ac:dyDescent="0.25">
      <c r="A345" s="5">
        <v>44248</v>
      </c>
      <c r="B345">
        <v>9.9848999999999997</v>
      </c>
      <c r="C345">
        <v>11.6707</v>
      </c>
      <c r="D345">
        <v>9.8101000000000003</v>
      </c>
      <c r="E345">
        <v>11.0753</v>
      </c>
      <c r="F345">
        <v>3694265.15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0.35999140062345503</v>
      </c>
      <c r="Q345">
        <f t="shared" si="970"/>
        <v>1329903.6856229182</v>
      </c>
      <c r="R345">
        <f t="shared" si="971"/>
        <v>45558925.786280587</v>
      </c>
      <c r="S345">
        <f t="shared" si="972"/>
        <v>455.58925786280588</v>
      </c>
      <c r="T345">
        <f t="shared" si="973"/>
        <v>0.45558925786280591</v>
      </c>
    </row>
    <row r="346" spans="1:20" x14ac:dyDescent="0.25">
      <c r="A346" s="5">
        <v>44247</v>
      </c>
      <c r="B346">
        <v>11.484500000000001</v>
      </c>
      <c r="C346">
        <v>11.832700000000001</v>
      </c>
      <c r="D346">
        <v>9.7539999999999996</v>
      </c>
      <c r="E346">
        <v>9.9869000000000003</v>
      </c>
      <c r="F346">
        <v>4731324.37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-0.77591764083321246</v>
      </c>
      <c r="Q346">
        <f t="shared" si="970"/>
        <v>-3671118.0431870855</v>
      </c>
      <c r="R346">
        <f t="shared" si="971"/>
        <v>44229022.100657672</v>
      </c>
      <c r="S346">
        <f t="shared" si="972"/>
        <v>442.2902210065767</v>
      </c>
      <c r="T346">
        <f t="shared" si="973"/>
        <v>0.44229022100657672</v>
      </c>
    </row>
    <row r="347" spans="1:20" x14ac:dyDescent="0.25">
      <c r="A347" s="5">
        <v>44246</v>
      </c>
      <c r="B347">
        <v>8.9879999999999995</v>
      </c>
      <c r="C347">
        <v>11.85</v>
      </c>
      <c r="D347">
        <v>8.5257000000000005</v>
      </c>
      <c r="E347">
        <v>11.491199999999999</v>
      </c>
      <c r="F347">
        <v>7106323.0599999996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0.78413500586589624</v>
      </c>
      <c r="Q347">
        <f t="shared" si="970"/>
        <v>5572316.674338053</v>
      </c>
      <c r="R347">
        <f t="shared" si="971"/>
        <v>47900140.143844754</v>
      </c>
      <c r="S347">
        <f t="shared" si="972"/>
        <v>479.00140143844754</v>
      </c>
      <c r="T347">
        <f t="shared" si="973"/>
        <v>0.47900140143844755</v>
      </c>
    </row>
    <row r="348" spans="1:20" x14ac:dyDescent="0.25">
      <c r="A348" s="5">
        <v>44245</v>
      </c>
      <c r="B348">
        <v>8.2411999999999992</v>
      </c>
      <c r="C348">
        <v>9.32</v>
      </c>
      <c r="D348">
        <v>8.23</v>
      </c>
      <c r="E348">
        <v>8.9771000000000001</v>
      </c>
      <c r="F348">
        <v>2479859.19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0.37082568807339406</v>
      </c>
      <c r="Q348">
        <f t="shared" si="970"/>
        <v>919595.4904568796</v>
      </c>
      <c r="R348">
        <f t="shared" si="971"/>
        <v>42327823.469506703</v>
      </c>
      <c r="S348">
        <f t="shared" si="972"/>
        <v>423.27823469506706</v>
      </c>
      <c r="T348">
        <f t="shared" si="973"/>
        <v>0.42327823469506703</v>
      </c>
    </row>
    <row r="349" spans="1:20" x14ac:dyDescent="0.25">
      <c r="A349" s="5">
        <v>44244</v>
      </c>
      <c r="B349">
        <v>8.3034999999999997</v>
      </c>
      <c r="C349">
        <v>8.4499999999999993</v>
      </c>
      <c r="D349">
        <v>7.5182000000000002</v>
      </c>
      <c r="E349">
        <v>8.2356999999999996</v>
      </c>
      <c r="F349">
        <v>3331645.4399999999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0.54003004936681709</v>
      </c>
      <c r="Q349">
        <f t="shared" si="970"/>
        <v>1799188.651435931</v>
      </c>
      <c r="R349">
        <f t="shared" si="971"/>
        <v>41408227.979049824</v>
      </c>
      <c r="S349">
        <f t="shared" si="972"/>
        <v>414.08227979049826</v>
      </c>
      <c r="T349">
        <f t="shared" si="973"/>
        <v>0.41408227979049828</v>
      </c>
    </row>
    <row r="350" spans="1:20" x14ac:dyDescent="0.25">
      <c r="A350" s="5">
        <v>44243</v>
      </c>
      <c r="B350">
        <v>8.8659999999999997</v>
      </c>
      <c r="C350">
        <v>9</v>
      </c>
      <c r="D350">
        <v>7.9600999999999997</v>
      </c>
      <c r="E350">
        <v>8.3002000000000002</v>
      </c>
      <c r="F350">
        <v>2257217.69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-0.34589864410039345</v>
      </c>
      <c r="Q350">
        <f t="shared" si="970"/>
        <v>-780768.53841042216</v>
      </c>
      <c r="R350">
        <f t="shared" si="971"/>
        <v>39609039.32761389</v>
      </c>
      <c r="S350">
        <f t="shared" si="972"/>
        <v>396.09039327613891</v>
      </c>
      <c r="T350">
        <f t="shared" si="973"/>
        <v>0.39609039327613893</v>
      </c>
    </row>
    <row r="351" spans="1:20" x14ac:dyDescent="0.25">
      <c r="A351" s="5">
        <v>44242</v>
      </c>
      <c r="B351">
        <v>8.7233999999999998</v>
      </c>
      <c r="C351">
        <v>9.3800000000000008</v>
      </c>
      <c r="D351">
        <v>7.7</v>
      </c>
      <c r="E351">
        <v>8.8515999999999995</v>
      </c>
      <c r="F351">
        <v>3424896.19</v>
      </c>
      <c r="G351">
        <v>0</v>
      </c>
      <c r="L351" t="s">
        <v>8</v>
      </c>
      <c r="M351" t="s">
        <v>7</v>
      </c>
      <c r="N351" t="s">
        <v>8</v>
      </c>
      <c r="P351">
        <f t="shared" si="969"/>
        <v>0.37095238095237959</v>
      </c>
      <c r="Q351">
        <f t="shared" si="970"/>
        <v>1270473.3961952333</v>
      </c>
      <c r="R351">
        <f t="shared" si="971"/>
        <v>40389807.866024315</v>
      </c>
      <c r="S351">
        <f t="shared" si="972"/>
        <v>403.89807866024313</v>
      </c>
      <c r="T351">
        <f t="shared" si="973"/>
        <v>0.40389807866024313</v>
      </c>
    </row>
    <row r="352" spans="1:20" x14ac:dyDescent="0.25">
      <c r="A352" s="5">
        <v>44241</v>
      </c>
      <c r="B352">
        <v>8.7447999999999997</v>
      </c>
      <c r="C352">
        <v>9.23</v>
      </c>
      <c r="D352">
        <v>8.5292999999999992</v>
      </c>
      <c r="E352">
        <v>8.7157999999999998</v>
      </c>
      <c r="F352">
        <v>2889949.04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-0.46767518196089558</v>
      </c>
      <c r="Q352">
        <f t="shared" si="970"/>
        <v>-1351557.4431397156</v>
      </c>
      <c r="R352">
        <f t="shared" si="971"/>
        <v>39119334.469829082</v>
      </c>
      <c r="S352">
        <f t="shared" si="972"/>
        <v>391.19334469829084</v>
      </c>
      <c r="T352">
        <f t="shared" si="973"/>
        <v>0.39119334469829087</v>
      </c>
    </row>
    <row r="353" spans="1:20" x14ac:dyDescent="0.25">
      <c r="A353" s="5">
        <v>44240</v>
      </c>
      <c r="B353">
        <v>9.2006999999999994</v>
      </c>
      <c r="C353">
        <v>9.5116999999999994</v>
      </c>
      <c r="D353">
        <v>8.6579999999999995</v>
      </c>
      <c r="E353">
        <v>8.7440999999999995</v>
      </c>
      <c r="F353">
        <v>3487478.68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-0.79828979735269978</v>
      </c>
      <c r="Q353">
        <f t="shared" si="970"/>
        <v>-2784018.6487290612</v>
      </c>
      <c r="R353">
        <f t="shared" si="971"/>
        <v>40470891.912968799</v>
      </c>
      <c r="S353">
        <f t="shared" si="972"/>
        <v>404.70891912968801</v>
      </c>
      <c r="T353">
        <f t="shared" si="973"/>
        <v>0.40470891912968804</v>
      </c>
    </row>
    <row r="354" spans="1:20" x14ac:dyDescent="0.25">
      <c r="A354" s="5">
        <v>44239</v>
      </c>
      <c r="B354">
        <v>9.2058</v>
      </c>
      <c r="C354">
        <v>9.93</v>
      </c>
      <c r="D354">
        <v>9.0352999999999994</v>
      </c>
      <c r="E354">
        <v>9.1999999999999993</v>
      </c>
      <c r="F354">
        <v>2867258.84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-0.63183189896054592</v>
      </c>
      <c r="Q354">
        <f t="shared" si="970"/>
        <v>-1811625.5976886121</v>
      </c>
      <c r="R354">
        <f t="shared" si="971"/>
        <v>43254910.561697863</v>
      </c>
      <c r="S354">
        <f t="shared" si="972"/>
        <v>432.54910561697864</v>
      </c>
      <c r="T354">
        <f t="shared" si="973"/>
        <v>0.43254910561697862</v>
      </c>
    </row>
    <row r="355" spans="1:20" x14ac:dyDescent="0.25">
      <c r="A355" s="5">
        <v>44238</v>
      </c>
      <c r="B355">
        <v>9.0897000000000006</v>
      </c>
      <c r="C355">
        <v>9.7424999999999997</v>
      </c>
      <c r="D355">
        <v>8.7200000000000006</v>
      </c>
      <c r="E355">
        <v>9.2004000000000001</v>
      </c>
      <c r="F355">
        <v>5694878.7699999996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-6.0342298288508699E-2</v>
      </c>
      <c r="Q355">
        <f t="shared" si="970"/>
        <v>-343642.07345623552</v>
      </c>
      <c r="R355">
        <f t="shared" si="971"/>
        <v>45066536.159386478</v>
      </c>
      <c r="S355">
        <f t="shared" si="972"/>
        <v>450.66536159386476</v>
      </c>
      <c r="T355">
        <f t="shared" si="973"/>
        <v>0.45066536159386478</v>
      </c>
    </row>
    <row r="356" spans="1:20" x14ac:dyDescent="0.25">
      <c r="A356" s="5">
        <v>44237</v>
      </c>
      <c r="B356">
        <v>7.8005000000000004</v>
      </c>
      <c r="C356">
        <v>9.09</v>
      </c>
      <c r="D356">
        <v>7.26</v>
      </c>
      <c r="E356">
        <v>9.09</v>
      </c>
      <c r="F356">
        <v>4419421.79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1</v>
      </c>
      <c r="Q356">
        <f t="shared" si="970"/>
        <v>4419421.79</v>
      </c>
      <c r="R356">
        <f t="shared" si="971"/>
        <v>45410178.232842714</v>
      </c>
      <c r="S356">
        <f t="shared" si="972"/>
        <v>454.10178232842713</v>
      </c>
      <c r="T356">
        <f t="shared" si="973"/>
        <v>0.45410178232842713</v>
      </c>
    </row>
    <row r="357" spans="1:20" x14ac:dyDescent="0.25">
      <c r="A357" s="5">
        <v>44236</v>
      </c>
      <c r="B357">
        <v>7.8651</v>
      </c>
      <c r="C357">
        <v>8.4945000000000004</v>
      </c>
      <c r="D357">
        <v>7.55</v>
      </c>
      <c r="E357">
        <v>7.8005000000000004</v>
      </c>
      <c r="F357">
        <v>4803489.37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-0.46956061408152366</v>
      </c>
      <c r="Q357">
        <f t="shared" si="970"/>
        <v>-2255529.4183112714</v>
      </c>
      <c r="R357">
        <f t="shared" si="971"/>
        <v>40990756.442842714</v>
      </c>
      <c r="S357">
        <f t="shared" si="972"/>
        <v>409.90756442842712</v>
      </c>
      <c r="T357">
        <f t="shared" si="973"/>
        <v>0.40990756442842713</v>
      </c>
    </row>
    <row r="358" spans="1:20" x14ac:dyDescent="0.25">
      <c r="A358" s="5">
        <v>44235</v>
      </c>
      <c r="B358">
        <v>6.6931000000000003</v>
      </c>
      <c r="C358">
        <v>8.0779999999999994</v>
      </c>
      <c r="D358">
        <v>6.4554</v>
      </c>
      <c r="E358">
        <v>7.8550000000000004</v>
      </c>
      <c r="F358">
        <v>6719151.0800000001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0.72513250338962276</v>
      </c>
      <c r="Q358">
        <f t="shared" si="970"/>
        <v>4872274.8432934871</v>
      </c>
      <c r="R358">
        <f t="shared" si="971"/>
        <v>43246285.861153983</v>
      </c>
      <c r="S358">
        <f t="shared" si="972"/>
        <v>432.46285861153984</v>
      </c>
      <c r="T358">
        <f t="shared" si="973"/>
        <v>0.43246285861153982</v>
      </c>
    </row>
    <row r="359" spans="1:20" x14ac:dyDescent="0.25">
      <c r="A359" s="5">
        <v>44234</v>
      </c>
      <c r="B359">
        <v>6.1219000000000001</v>
      </c>
      <c r="C359">
        <v>6.8807</v>
      </c>
      <c r="D359">
        <v>5.75</v>
      </c>
      <c r="E359">
        <v>6.6976000000000004</v>
      </c>
      <c r="F359">
        <v>5111066.8899999997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0.67612983107809399</v>
      </c>
      <c r="Q359">
        <f t="shared" si="970"/>
        <v>3455744.792964539</v>
      </c>
      <c r="R359">
        <f t="shared" si="971"/>
        <v>38374011.017860495</v>
      </c>
      <c r="S359">
        <f t="shared" si="972"/>
        <v>383.74011017860494</v>
      </c>
      <c r="T359">
        <f t="shared" si="973"/>
        <v>0.38374011017860493</v>
      </c>
    </row>
    <row r="360" spans="1:20" x14ac:dyDescent="0.25">
      <c r="A360" s="5">
        <v>44233</v>
      </c>
      <c r="B360">
        <v>6.7000999999999999</v>
      </c>
      <c r="C360">
        <v>6.8181000000000003</v>
      </c>
      <c r="D360">
        <v>5.7</v>
      </c>
      <c r="E360">
        <v>6.1224999999999996</v>
      </c>
      <c r="F360">
        <v>5040208.25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-0.24425364457562043</v>
      </c>
      <c r="Q360">
        <f t="shared" si="970"/>
        <v>-1231089.2344826099</v>
      </c>
      <c r="R360">
        <f t="shared" si="971"/>
        <v>34918266.224895954</v>
      </c>
      <c r="S360">
        <f t="shared" si="972"/>
        <v>349.18266224895956</v>
      </c>
      <c r="T360">
        <f t="shared" si="973"/>
        <v>0.34918266224895955</v>
      </c>
    </row>
    <row r="361" spans="1:20" x14ac:dyDescent="0.25">
      <c r="A361" s="5">
        <v>44232</v>
      </c>
      <c r="B361">
        <v>6.4180999999999999</v>
      </c>
      <c r="C361">
        <v>7.1437999999999997</v>
      </c>
      <c r="D361">
        <v>6.4085999999999999</v>
      </c>
      <c r="E361">
        <v>6.7004999999999999</v>
      </c>
      <c r="F361">
        <v>4235525.49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-0.20593035908596272</v>
      </c>
      <c r="Q361">
        <f t="shared" si="970"/>
        <v>-872223.28507344821</v>
      </c>
      <c r="R361">
        <f t="shared" si="971"/>
        <v>36149355.459378563</v>
      </c>
      <c r="S361">
        <f t="shared" si="972"/>
        <v>361.49355459378563</v>
      </c>
      <c r="T361">
        <f t="shared" si="973"/>
        <v>0.36149355459378563</v>
      </c>
    </row>
    <row r="362" spans="1:20" x14ac:dyDescent="0.25">
      <c r="A362" s="5">
        <v>44231</v>
      </c>
      <c r="B362">
        <v>5.7339000000000002</v>
      </c>
      <c r="C362">
        <v>6.5426000000000002</v>
      </c>
      <c r="D362">
        <v>5.5675999999999997</v>
      </c>
      <c r="E362">
        <v>6.4085000000000001</v>
      </c>
      <c r="F362">
        <v>5609382.3899999997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0.72492307692307689</v>
      </c>
      <c r="Q362">
        <f t="shared" si="970"/>
        <v>4066370.7417969229</v>
      </c>
      <c r="R362">
        <f t="shared" si="971"/>
        <v>37021578.744452015</v>
      </c>
      <c r="S362">
        <f t="shared" si="972"/>
        <v>370.21578744452012</v>
      </c>
      <c r="T362">
        <f t="shared" si="973"/>
        <v>0.37021578744452011</v>
      </c>
    </row>
    <row r="363" spans="1:20" x14ac:dyDescent="0.25">
      <c r="A363" s="5">
        <v>44230</v>
      </c>
      <c r="B363">
        <v>5.2430000000000003</v>
      </c>
      <c r="C363">
        <v>5.7830000000000004</v>
      </c>
      <c r="D363">
        <v>5.0513000000000003</v>
      </c>
      <c r="E363">
        <v>5.7310999999999996</v>
      </c>
      <c r="F363">
        <v>3977458.72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0.85813858138581189</v>
      </c>
      <c r="Q363">
        <f t="shared" si="970"/>
        <v>3413210.7835014272</v>
      </c>
      <c r="R363">
        <f t="shared" si="971"/>
        <v>32955208.002655093</v>
      </c>
      <c r="S363">
        <f t="shared" si="972"/>
        <v>329.55208002655093</v>
      </c>
      <c r="T363">
        <f t="shared" si="973"/>
        <v>0.3295520800265509</v>
      </c>
    </row>
    <row r="364" spans="1:20" x14ac:dyDescent="0.25">
      <c r="A364" s="5">
        <v>44229</v>
      </c>
      <c r="B364">
        <v>4.6147999999999998</v>
      </c>
      <c r="C364">
        <v>5.4025999999999996</v>
      </c>
      <c r="D364">
        <v>4.4631999999999996</v>
      </c>
      <c r="E364">
        <v>5.2331000000000003</v>
      </c>
      <c r="F364">
        <v>5278922.6100000003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0.63913136044283736</v>
      </c>
      <c r="Q364">
        <f t="shared" si="970"/>
        <v>3373924.989401754</v>
      </c>
      <c r="R364">
        <f t="shared" si="971"/>
        <v>29541997.219153665</v>
      </c>
      <c r="S364">
        <f t="shared" si="972"/>
        <v>295.41997219153666</v>
      </c>
      <c r="T364">
        <f t="shared" si="973"/>
        <v>0.29541997219153665</v>
      </c>
    </row>
    <row r="365" spans="1:20" x14ac:dyDescent="0.25">
      <c r="A365" s="5">
        <v>44228</v>
      </c>
      <c r="B365">
        <v>4.2568000000000001</v>
      </c>
      <c r="C365">
        <v>4.617</v>
      </c>
      <c r="D365">
        <v>4.1074999999999999</v>
      </c>
      <c r="E365">
        <v>4.6147999999999998</v>
      </c>
      <c r="F365">
        <v>2097052.47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0.99136408243375784</v>
      </c>
      <c r="Q365">
        <f t="shared" si="970"/>
        <v>2078942.4977369956</v>
      </c>
      <c r="R365">
        <f t="shared" si="971"/>
        <v>26168072.229751911</v>
      </c>
      <c r="S365">
        <f t="shared" si="972"/>
        <v>261.68072229751908</v>
      </c>
      <c r="T365">
        <f t="shared" si="973"/>
        <v>0.2616807222975191</v>
      </c>
    </row>
    <row r="366" spans="1:20" x14ac:dyDescent="0.25">
      <c r="A366" s="5">
        <v>44227</v>
      </c>
      <c r="B366">
        <v>4.2279999999999998</v>
      </c>
      <c r="C366">
        <v>4.8049999999999997</v>
      </c>
      <c r="D366">
        <v>4.1539999999999999</v>
      </c>
      <c r="E366">
        <v>4.2525000000000004</v>
      </c>
      <c r="F366">
        <v>5438870.4800000004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-0.6973886328725023</v>
      </c>
      <c r="Q366">
        <f t="shared" si="970"/>
        <v>-3793006.4484178107</v>
      </c>
      <c r="R366">
        <f t="shared" si="971"/>
        <v>24089129.732014917</v>
      </c>
      <c r="S366">
        <f t="shared" si="972"/>
        <v>240.89129732014916</v>
      </c>
      <c r="T366">
        <f t="shared" si="973"/>
        <v>0.24089129732014916</v>
      </c>
    </row>
    <row r="367" spans="1:20" x14ac:dyDescent="0.25">
      <c r="A367" s="5">
        <v>44226</v>
      </c>
      <c r="B367">
        <v>3.8300999999999998</v>
      </c>
      <c r="C367">
        <v>4.3178999999999998</v>
      </c>
      <c r="D367">
        <v>3.7667000000000002</v>
      </c>
      <c r="E367">
        <v>4.2279999999999998</v>
      </c>
      <c r="F367">
        <v>3944655.04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0.67380261248185724</v>
      </c>
      <c r="Q367">
        <f t="shared" si="970"/>
        <v>2657918.871291725</v>
      </c>
      <c r="R367">
        <f t="shared" si="971"/>
        <v>27882136.180432729</v>
      </c>
      <c r="S367">
        <f t="shared" si="972"/>
        <v>278.8213618043273</v>
      </c>
      <c r="T367">
        <f t="shared" si="973"/>
        <v>0.27882136180432732</v>
      </c>
    </row>
    <row r="368" spans="1:20" x14ac:dyDescent="0.25">
      <c r="A368" s="5">
        <v>44225</v>
      </c>
      <c r="B368">
        <v>3.8092000000000001</v>
      </c>
      <c r="C368">
        <v>3.9119999999999999</v>
      </c>
      <c r="D368">
        <v>3.6</v>
      </c>
      <c r="E368">
        <v>3.8292999999999999</v>
      </c>
      <c r="F368">
        <v>2992168.86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0.46987179487179459</v>
      </c>
      <c r="Q368">
        <f t="shared" si="970"/>
        <v>1405935.7528076915</v>
      </c>
      <c r="R368">
        <f t="shared" si="971"/>
        <v>25224217.309141006</v>
      </c>
      <c r="S368">
        <f t="shared" si="972"/>
        <v>252.24217309141005</v>
      </c>
      <c r="T368">
        <f t="shared" si="973"/>
        <v>0.25224217309141006</v>
      </c>
    </row>
    <row r="369" spans="1:20" x14ac:dyDescent="0.25">
      <c r="A369" s="5">
        <v>44224</v>
      </c>
      <c r="B369">
        <v>3.6640000000000001</v>
      </c>
      <c r="C369">
        <v>3.96</v>
      </c>
      <c r="D369">
        <v>3.6</v>
      </c>
      <c r="E369">
        <v>3.81</v>
      </c>
      <c r="F369">
        <v>2055425.01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0.16666666666666688</v>
      </c>
      <c r="Q369">
        <f t="shared" si="970"/>
        <v>342570.83500000043</v>
      </c>
      <c r="R369">
        <f t="shared" si="971"/>
        <v>23818281.556333315</v>
      </c>
      <c r="S369">
        <f t="shared" si="972"/>
        <v>238.18281556333315</v>
      </c>
      <c r="T369">
        <f t="shared" si="973"/>
        <v>0.23818281556333315</v>
      </c>
    </row>
    <row r="370" spans="1:20" x14ac:dyDescent="0.25">
      <c r="A370" s="5">
        <v>44223</v>
      </c>
      <c r="B370">
        <v>4.0418000000000003</v>
      </c>
      <c r="C370">
        <v>4.0422000000000002</v>
      </c>
      <c r="D370">
        <v>3.5114000000000001</v>
      </c>
      <c r="E370">
        <v>3.6749999999999998</v>
      </c>
      <c r="F370">
        <v>2491757.8199999998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-0.38357196684250305</v>
      </c>
      <c r="Q370">
        <f t="shared" si="970"/>
        <v>-955768.44791258767</v>
      </c>
      <c r="R370">
        <f t="shared" si="971"/>
        <v>23475710.721333314</v>
      </c>
      <c r="S370">
        <f t="shared" si="972"/>
        <v>234.75710721333314</v>
      </c>
      <c r="T370">
        <f t="shared" si="973"/>
        <v>0.23475710721333315</v>
      </c>
    </row>
    <row r="371" spans="1:20" x14ac:dyDescent="0.25">
      <c r="A371" s="5">
        <v>44222</v>
      </c>
      <c r="B371">
        <v>3.7035999999999998</v>
      </c>
      <c r="C371">
        <v>4.0970000000000004</v>
      </c>
      <c r="D371">
        <v>3.6478000000000002</v>
      </c>
      <c r="E371">
        <v>4.0410000000000004</v>
      </c>
      <c r="F371">
        <v>6618303.9000000004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0.75066785396260005</v>
      </c>
      <c r="Q371">
        <f t="shared" si="970"/>
        <v>4968147.9854853069</v>
      </c>
      <c r="R371">
        <f t="shared" si="971"/>
        <v>24431479.169245902</v>
      </c>
      <c r="S371">
        <f t="shared" si="972"/>
        <v>244.31479169245901</v>
      </c>
      <c r="T371">
        <f t="shared" si="973"/>
        <v>0.24431479169245901</v>
      </c>
    </row>
    <row r="372" spans="1:20" x14ac:dyDescent="0.25">
      <c r="A372" s="5">
        <v>44221</v>
      </c>
      <c r="B372">
        <v>3.6286999999999998</v>
      </c>
      <c r="C372">
        <v>3.9927999999999999</v>
      </c>
      <c r="D372">
        <v>3.4398</v>
      </c>
      <c r="E372">
        <v>3.7038000000000002</v>
      </c>
      <c r="F372">
        <v>6791542.3300000001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-4.5207956600360706E-2</v>
      </c>
      <c r="Q372">
        <f t="shared" si="970"/>
        <v>-307031.75090415264</v>
      </c>
      <c r="R372">
        <f t="shared" si="971"/>
        <v>19463331.183760595</v>
      </c>
      <c r="S372">
        <f t="shared" si="972"/>
        <v>194.63331183760596</v>
      </c>
      <c r="T372">
        <f t="shared" si="973"/>
        <v>0.19463331183760596</v>
      </c>
    </row>
    <row r="373" spans="1:20" x14ac:dyDescent="0.25">
      <c r="A373" s="5">
        <v>44220</v>
      </c>
      <c r="B373">
        <v>3.5017999999999998</v>
      </c>
      <c r="C373">
        <v>3.79</v>
      </c>
      <c r="D373">
        <v>3.4781</v>
      </c>
      <c r="E373">
        <v>3.6278000000000001</v>
      </c>
      <c r="F373">
        <v>2457759.67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-4.0076947739659287E-2</v>
      </c>
      <c r="Q373">
        <f t="shared" si="970"/>
        <v>-98499.505851232258</v>
      </c>
      <c r="R373">
        <f t="shared" si="971"/>
        <v>19770362.934664749</v>
      </c>
      <c r="S373">
        <f t="shared" si="972"/>
        <v>197.70362934664749</v>
      </c>
      <c r="T373">
        <f t="shared" si="973"/>
        <v>0.19770362934664748</v>
      </c>
    </row>
    <row r="374" spans="1:20" x14ac:dyDescent="0.25">
      <c r="A374" s="5">
        <v>44219</v>
      </c>
      <c r="B374">
        <v>3.3302</v>
      </c>
      <c r="C374">
        <v>3.6</v>
      </c>
      <c r="D374">
        <v>3.3056000000000001</v>
      </c>
      <c r="E374">
        <v>3.5078999999999998</v>
      </c>
      <c r="F374">
        <v>2269454.7000000002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0.37432065217391103</v>
      </c>
      <c r="Q374">
        <f t="shared" si="970"/>
        <v>849503.76338314766</v>
      </c>
      <c r="R374">
        <f t="shared" si="971"/>
        <v>19868862.44051598</v>
      </c>
      <c r="S374">
        <f t="shared" si="972"/>
        <v>198.6886244051598</v>
      </c>
      <c r="T374">
        <f t="shared" si="973"/>
        <v>0.1986886244051598</v>
      </c>
    </row>
    <row r="375" spans="1:20" x14ac:dyDescent="0.25">
      <c r="A375" s="5">
        <v>44218</v>
      </c>
      <c r="B375">
        <v>2.9893000000000001</v>
      </c>
      <c r="C375">
        <v>3.4992000000000001</v>
      </c>
      <c r="D375">
        <v>2.5295000000000001</v>
      </c>
      <c r="E375">
        <v>3.3351999999999999</v>
      </c>
      <c r="F375">
        <v>6481502.6500000004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0.66175105702794645</v>
      </c>
      <c r="Q375">
        <f t="shared" si="970"/>
        <v>4289141.229766936</v>
      </c>
      <c r="R375">
        <f t="shared" si="971"/>
        <v>19019358.677132834</v>
      </c>
      <c r="S375">
        <f t="shared" si="972"/>
        <v>190.19358677132834</v>
      </c>
      <c r="T375">
        <f t="shared" si="973"/>
        <v>0.19019358677132833</v>
      </c>
    </row>
    <row r="376" spans="1:20" x14ac:dyDescent="0.25">
      <c r="A376" s="5">
        <v>44217</v>
      </c>
      <c r="B376">
        <v>3.7199</v>
      </c>
      <c r="C376">
        <v>3.7410999999999999</v>
      </c>
      <c r="D376">
        <v>2.9716999999999998</v>
      </c>
      <c r="E376">
        <v>2.9899</v>
      </c>
      <c r="F376">
        <v>4375407.9400000004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-0.95269040811021521</v>
      </c>
      <c r="Q376">
        <f t="shared" si="970"/>
        <v>-4168409.1760072764</v>
      </c>
      <c r="R376">
        <f t="shared" si="971"/>
        <v>14730217.447365897</v>
      </c>
      <c r="S376">
        <f t="shared" si="972"/>
        <v>147.30217447365897</v>
      </c>
      <c r="T376">
        <f t="shared" si="973"/>
        <v>0.14730217447365895</v>
      </c>
    </row>
    <row r="377" spans="1:20" x14ac:dyDescent="0.25">
      <c r="A377" s="5">
        <v>44216</v>
      </c>
      <c r="B377">
        <v>3.6288</v>
      </c>
      <c r="C377">
        <v>3.7412999999999998</v>
      </c>
      <c r="D377">
        <v>3.34</v>
      </c>
      <c r="E377">
        <v>3.7166000000000001</v>
      </c>
      <c r="F377">
        <v>4801640.28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0.87690007475704101</v>
      </c>
      <c r="Q377">
        <f t="shared" si="970"/>
        <v>4210558.7204884198</v>
      </c>
      <c r="R377">
        <f t="shared" si="971"/>
        <v>18898626.623373173</v>
      </c>
      <c r="S377">
        <f t="shared" si="972"/>
        <v>188.98626623373173</v>
      </c>
      <c r="T377">
        <f t="shared" si="973"/>
        <v>0.18898626623373171</v>
      </c>
    </row>
    <row r="378" spans="1:20" x14ac:dyDescent="0.25">
      <c r="A378" s="5">
        <v>44215</v>
      </c>
      <c r="B378">
        <v>3.7873000000000001</v>
      </c>
      <c r="C378">
        <v>4.0498000000000003</v>
      </c>
      <c r="D378">
        <v>3.6</v>
      </c>
      <c r="E378">
        <v>3.6286999999999998</v>
      </c>
      <c r="F378">
        <v>4768719.7699999996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-0.87238772787905861</v>
      </c>
      <c r="Q378">
        <f t="shared" si="970"/>
        <v>-4160172.6050422466</v>
      </c>
      <c r="R378">
        <f t="shared" si="971"/>
        <v>14688067.902884753</v>
      </c>
      <c r="S378">
        <f t="shared" si="972"/>
        <v>146.88067902884754</v>
      </c>
      <c r="T378">
        <f t="shared" si="973"/>
        <v>0.14688067902884755</v>
      </c>
    </row>
    <row r="379" spans="1:20" x14ac:dyDescent="0.25">
      <c r="A379" s="5">
        <v>44214</v>
      </c>
      <c r="B379">
        <v>3.8243</v>
      </c>
      <c r="C379">
        <v>4.17</v>
      </c>
      <c r="D379">
        <v>3.6166999999999998</v>
      </c>
      <c r="E379">
        <v>3.7867999999999999</v>
      </c>
      <c r="F379">
        <v>6226924.7699999996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-0.38514368335441856</v>
      </c>
      <c r="Q379">
        <f t="shared" si="970"/>
        <v>-2398260.7418886656</v>
      </c>
      <c r="R379">
        <f t="shared" si="971"/>
        <v>18848240.507927001</v>
      </c>
      <c r="S379">
        <f t="shared" si="972"/>
        <v>188.48240507926999</v>
      </c>
      <c r="T379">
        <f t="shared" si="973"/>
        <v>0.18848240507927</v>
      </c>
    </row>
    <row r="380" spans="1:20" x14ac:dyDescent="0.25">
      <c r="A380" s="5">
        <v>44213</v>
      </c>
      <c r="B380">
        <v>3.4251</v>
      </c>
      <c r="C380">
        <v>3.9876</v>
      </c>
      <c r="D380">
        <v>3.3</v>
      </c>
      <c r="E380">
        <v>3.8268</v>
      </c>
      <c r="F380">
        <v>8531899.8100000005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0.53228621291448519</v>
      </c>
      <c r="Q380">
        <f t="shared" si="970"/>
        <v>4541412.6388307158</v>
      </c>
      <c r="R380">
        <f t="shared" si="971"/>
        <v>21246501.249815665</v>
      </c>
      <c r="S380">
        <f t="shared" si="972"/>
        <v>212.46501249815665</v>
      </c>
      <c r="T380">
        <f t="shared" si="973"/>
        <v>0.21246501249815666</v>
      </c>
    </row>
    <row r="381" spans="1:20" x14ac:dyDescent="0.25">
      <c r="A381" s="5">
        <v>44212</v>
      </c>
      <c r="B381">
        <v>3.2479</v>
      </c>
      <c r="C381">
        <v>3.7081</v>
      </c>
      <c r="D381">
        <v>3.2463000000000002</v>
      </c>
      <c r="E381">
        <v>3.4247000000000001</v>
      </c>
      <c r="F381">
        <v>8562549.6300000008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-0.22737115634473806</v>
      </c>
      <c r="Q381">
        <f t="shared" si="970"/>
        <v>-1946876.8106323092</v>
      </c>
      <c r="R381">
        <f t="shared" si="971"/>
        <v>16705088.610984949</v>
      </c>
      <c r="S381">
        <f t="shared" si="972"/>
        <v>167.0508861098495</v>
      </c>
      <c r="T381">
        <f t="shared" si="973"/>
        <v>0.1670508861098495</v>
      </c>
    </row>
    <row r="382" spans="1:20" x14ac:dyDescent="0.25">
      <c r="A382" s="5">
        <v>44211</v>
      </c>
      <c r="B382">
        <v>3.2921</v>
      </c>
      <c r="C382">
        <v>3.4489000000000001</v>
      </c>
      <c r="D382">
        <v>2.9618000000000002</v>
      </c>
      <c r="E382">
        <v>3.2475000000000001</v>
      </c>
      <c r="F382">
        <v>4812542.83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0.17306507903921134</v>
      </c>
      <c r="Q382">
        <f t="shared" si="970"/>
        <v>832883.10525353986</v>
      </c>
      <c r="R382">
        <f t="shared" si="971"/>
        <v>18651965.421617258</v>
      </c>
      <c r="S382">
        <f t="shared" si="972"/>
        <v>186.5196542161726</v>
      </c>
      <c r="T382">
        <f t="shared" si="973"/>
        <v>0.18651965421617259</v>
      </c>
    </row>
    <row r="383" spans="1:20" x14ac:dyDescent="0.25">
      <c r="A383" s="5">
        <v>44210</v>
      </c>
      <c r="B383">
        <v>3.5243000000000002</v>
      </c>
      <c r="C383">
        <v>3.5954999999999999</v>
      </c>
      <c r="D383">
        <v>3.1814</v>
      </c>
      <c r="E383">
        <v>3.2921</v>
      </c>
      <c r="F383">
        <v>6422109.7300000004</v>
      </c>
      <c r="G383">
        <v>0</v>
      </c>
      <c r="L383" t="s">
        <v>7</v>
      </c>
      <c r="M383" t="s">
        <v>7</v>
      </c>
      <c r="N383" t="s">
        <v>8</v>
      </c>
      <c r="P383">
        <f t="shared" si="969"/>
        <v>-0.46534653465346515</v>
      </c>
      <c r="Q383">
        <f t="shared" si="970"/>
        <v>-2988506.5080198008</v>
      </c>
      <c r="R383">
        <f t="shared" si="971"/>
        <v>17819082.316363718</v>
      </c>
      <c r="S383">
        <f t="shared" si="972"/>
        <v>178.19082316363719</v>
      </c>
      <c r="T383">
        <f t="shared" si="973"/>
        <v>0.17819082316363719</v>
      </c>
    </row>
    <row r="384" spans="1:20" x14ac:dyDescent="0.25">
      <c r="A384" s="5">
        <v>44209</v>
      </c>
      <c r="B384">
        <v>3.6354000000000002</v>
      </c>
      <c r="C384">
        <v>3.637</v>
      </c>
      <c r="D384">
        <v>3.2633000000000001</v>
      </c>
      <c r="E384">
        <v>3.5242</v>
      </c>
      <c r="F384">
        <v>5123655.8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0.39630719828739613</v>
      </c>
      <c r="Q384">
        <f t="shared" si="970"/>
        <v>2030541.6750869672</v>
      </c>
      <c r="R384">
        <f t="shared" si="971"/>
        <v>20807588.82438352</v>
      </c>
      <c r="S384">
        <f t="shared" si="972"/>
        <v>208.07588824383521</v>
      </c>
      <c r="T384">
        <f t="shared" si="973"/>
        <v>0.20807588824383522</v>
      </c>
    </row>
    <row r="385" spans="1:20" x14ac:dyDescent="0.25">
      <c r="A385" s="5">
        <v>44208</v>
      </c>
      <c r="B385">
        <v>3.1015999999999999</v>
      </c>
      <c r="C385">
        <v>3.88</v>
      </c>
      <c r="D385">
        <v>3.0579999999999998</v>
      </c>
      <c r="E385">
        <v>3.6354000000000002</v>
      </c>
      <c r="F385">
        <v>7075911.6799999997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0.40486618004866254</v>
      </c>
      <c r="Q385">
        <f t="shared" si="970"/>
        <v>2864797.332243314</v>
      </c>
      <c r="R385">
        <f t="shared" si="971"/>
        <v>18777047.149296552</v>
      </c>
      <c r="S385">
        <f t="shared" si="972"/>
        <v>187.77047149296553</v>
      </c>
      <c r="T385">
        <f t="shared" si="973"/>
        <v>0.18777047149296552</v>
      </c>
    </row>
    <row r="386" spans="1:20" x14ac:dyDescent="0.25">
      <c r="A386" s="5">
        <v>44207</v>
      </c>
      <c r="B386">
        <v>3.4455</v>
      </c>
      <c r="C386">
        <v>3.5282</v>
      </c>
      <c r="D386">
        <v>2.5794999999999999</v>
      </c>
      <c r="E386">
        <v>3.1015999999999999</v>
      </c>
      <c r="F386">
        <v>8734261.6799999997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0.10066406661747646</v>
      </c>
      <c r="Q386">
        <f t="shared" si="970"/>
        <v>879226.29960999184</v>
      </c>
      <c r="R386">
        <f t="shared" si="971"/>
        <v>15912249.817053238</v>
      </c>
      <c r="S386">
        <f t="shared" si="972"/>
        <v>159.12249817053237</v>
      </c>
      <c r="T386">
        <f t="shared" si="973"/>
        <v>0.15912249817053237</v>
      </c>
    </row>
    <row r="387" spans="1:20" x14ac:dyDescent="0.25">
      <c r="A387" s="5">
        <v>44206</v>
      </c>
      <c r="B387">
        <v>3.3734000000000002</v>
      </c>
      <c r="C387">
        <v>3.7517</v>
      </c>
      <c r="D387">
        <v>3.1556000000000002</v>
      </c>
      <c r="E387">
        <v>3.4489999999999998</v>
      </c>
      <c r="F387">
        <v>5819813.5099999998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-1.5601409159537883E-2</v>
      </c>
      <c r="Q387">
        <f t="shared" si="970"/>
        <v>-90797.291801716317</v>
      </c>
      <c r="R387">
        <f t="shared" si="971"/>
        <v>15033023.517443245</v>
      </c>
      <c r="S387">
        <f t="shared" si="972"/>
        <v>150.33023517443246</v>
      </c>
      <c r="T387">
        <f t="shared" si="973"/>
        <v>0.15033023517443245</v>
      </c>
    </row>
    <row r="388" spans="1:20" x14ac:dyDescent="0.25">
      <c r="A388" s="5">
        <v>44205</v>
      </c>
      <c r="B388">
        <v>3.2120000000000002</v>
      </c>
      <c r="C388">
        <v>3.6998000000000002</v>
      </c>
      <c r="D388">
        <v>2.93</v>
      </c>
      <c r="E388">
        <v>3.3828999999999998</v>
      </c>
      <c r="F388">
        <v>9881188.6500000004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0.17666926474408837</v>
      </c>
      <c r="Q388">
        <f t="shared" si="970"/>
        <v>1745702.3335931313</v>
      </c>
      <c r="R388">
        <f t="shared" si="971"/>
        <v>15123820.809244962</v>
      </c>
      <c r="S388">
        <f t="shared" si="972"/>
        <v>151.23820809244961</v>
      </c>
      <c r="T388">
        <f t="shared" si="973"/>
        <v>0.15123820809244962</v>
      </c>
    </row>
    <row r="389" spans="1:20" x14ac:dyDescent="0.25">
      <c r="A389" s="5">
        <v>44204</v>
      </c>
      <c r="B389">
        <v>2.3654999999999999</v>
      </c>
      <c r="C389">
        <v>3.8</v>
      </c>
      <c r="D389">
        <v>2.1749999999999998</v>
      </c>
      <c r="E389">
        <v>3.2214</v>
      </c>
      <c r="F389">
        <v>29866396.670000002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0.28787692307692336</v>
      </c>
      <c r="Q389">
        <f t="shared" si="970"/>
        <v>8597846.3767544702</v>
      </c>
      <c r="R389">
        <f t="shared" si="971"/>
        <v>13378118.47565183</v>
      </c>
      <c r="S389">
        <f t="shared" si="972"/>
        <v>133.78118475651831</v>
      </c>
      <c r="T389">
        <f t="shared" si="973"/>
        <v>0.13378118475651832</v>
      </c>
    </row>
    <row r="390" spans="1:20" x14ac:dyDescent="0.25">
      <c r="A390" s="5">
        <v>44203</v>
      </c>
      <c r="B390">
        <v>1.9403999999999999</v>
      </c>
      <c r="C390">
        <v>2.65</v>
      </c>
      <c r="D390">
        <v>1.9214</v>
      </c>
      <c r="E390">
        <v>2.3635000000000002</v>
      </c>
      <c r="F390">
        <v>30861006.239999998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0.2135602525391167</v>
      </c>
      <c r="Q390">
        <f t="shared" ref="Q390:Q453" si="975">F390*P390</f>
        <v>6590684.286225656</v>
      </c>
      <c r="R390">
        <f t="shared" ref="R390:R453" si="976">R391+Q390</f>
        <v>4780272.0988973612</v>
      </c>
      <c r="S390">
        <f t="shared" ref="S390:S453" si="977">R390/100000</f>
        <v>47.802720988973611</v>
      </c>
      <c r="T390">
        <f t="shared" ref="T390:T453" si="978">S390/1000</f>
        <v>4.7802720988973611E-2</v>
      </c>
    </row>
    <row r="391" spans="1:20" x14ac:dyDescent="0.25">
      <c r="A391" s="5">
        <v>44202</v>
      </c>
      <c r="B391">
        <v>2.1636000000000002</v>
      </c>
      <c r="C391">
        <v>2.1890000000000001</v>
      </c>
      <c r="D391">
        <v>1.9016999999999999</v>
      </c>
      <c r="E391">
        <v>1.9414</v>
      </c>
      <c r="F391">
        <v>8451529.4700000007</v>
      </c>
      <c r="G391">
        <v>0</v>
      </c>
      <c r="L391" t="s">
        <v>7</v>
      </c>
      <c r="M391" t="s">
        <v>7</v>
      </c>
      <c r="N391" t="s">
        <v>8</v>
      </c>
      <c r="P391">
        <f t="shared" si="974"/>
        <v>-0.72363383223111688</v>
      </c>
      <c r="Q391">
        <f t="shared" si="975"/>
        <v>-6115812.6585903205</v>
      </c>
      <c r="R391">
        <f t="shared" si="976"/>
        <v>-1810412.1873282949</v>
      </c>
      <c r="S391">
        <f t="shared" si="977"/>
        <v>-18.104121873282949</v>
      </c>
      <c r="T391">
        <f t="shared" si="978"/>
        <v>-1.810412187328295E-2</v>
      </c>
    </row>
    <row r="392" spans="1:20" x14ac:dyDescent="0.25">
      <c r="A392" s="5">
        <v>44201</v>
      </c>
      <c r="B392">
        <v>2.4910999999999999</v>
      </c>
      <c r="C392">
        <v>2.5093000000000001</v>
      </c>
      <c r="D392">
        <v>2.0621</v>
      </c>
      <c r="E392">
        <v>2.1636000000000002</v>
      </c>
      <c r="F392">
        <v>6702006.9900000002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-0.54606440071556295</v>
      </c>
      <c r="Q392">
        <f t="shared" si="975"/>
        <v>-3659727.430585864</v>
      </c>
      <c r="R392">
        <f t="shared" si="976"/>
        <v>4305400.4712620256</v>
      </c>
      <c r="S392">
        <f t="shared" si="977"/>
        <v>43.054004712620255</v>
      </c>
      <c r="T392">
        <f t="shared" si="978"/>
        <v>4.3054004712620254E-2</v>
      </c>
    </row>
    <row r="393" spans="1:20" x14ac:dyDescent="0.25">
      <c r="A393" s="5">
        <v>44200</v>
      </c>
      <c r="B393">
        <v>2.1789000000000001</v>
      </c>
      <c r="C393">
        <v>2.4988999999999999</v>
      </c>
      <c r="D393">
        <v>1.86</v>
      </c>
      <c r="E393">
        <v>2.4908999999999999</v>
      </c>
      <c r="F393">
        <v>7800814.7999999998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0.97495695727030829</v>
      </c>
      <c r="Q393">
        <f t="shared" si="975"/>
        <v>7605458.6616371879</v>
      </c>
      <c r="R393">
        <f t="shared" si="976"/>
        <v>7965127.9018478896</v>
      </c>
      <c r="S393">
        <f t="shared" si="977"/>
        <v>79.651279018478903</v>
      </c>
      <c r="T393">
        <f t="shared" si="978"/>
        <v>7.9651279018478904E-2</v>
      </c>
    </row>
    <row r="394" spans="1:20" x14ac:dyDescent="0.25">
      <c r="A394" s="5">
        <v>44199</v>
      </c>
      <c r="B394">
        <v>1.7998000000000001</v>
      </c>
      <c r="C394">
        <v>2.38</v>
      </c>
      <c r="D394">
        <v>1.7972999999999999</v>
      </c>
      <c r="E394">
        <v>2.1779000000000002</v>
      </c>
      <c r="F394">
        <v>8318341.1299999999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0.30633258966878418</v>
      </c>
      <c r="Q394">
        <f t="shared" si="975"/>
        <v>2548178.9801012604</v>
      </c>
      <c r="R394">
        <f t="shared" si="976"/>
        <v>359669.24021070218</v>
      </c>
      <c r="S394">
        <f t="shared" si="977"/>
        <v>3.5966924021070219</v>
      </c>
      <c r="T394">
        <f t="shared" si="978"/>
        <v>3.596692402107022E-3</v>
      </c>
    </row>
    <row r="395" spans="1:20" x14ac:dyDescent="0.25">
      <c r="A395" s="5">
        <v>44198</v>
      </c>
      <c r="B395">
        <v>1.8421000000000001</v>
      </c>
      <c r="C395">
        <v>2</v>
      </c>
      <c r="D395">
        <v>1.7116</v>
      </c>
      <c r="E395">
        <v>1.7999000000000001</v>
      </c>
      <c r="F395">
        <v>5253819.62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-0.38765603328710091</v>
      </c>
      <c r="Q395">
        <f t="shared" si="975"/>
        <v>-2036674.8734951438</v>
      </c>
      <c r="R395">
        <f t="shared" si="976"/>
        <v>-2188509.7398905582</v>
      </c>
      <c r="S395">
        <f t="shared" si="977"/>
        <v>-21.885097398905582</v>
      </c>
      <c r="T395">
        <f t="shared" si="978"/>
        <v>-2.1885097398905581E-2</v>
      </c>
    </row>
    <row r="396" spans="1:20" x14ac:dyDescent="0.25">
      <c r="A396" s="5">
        <v>44197</v>
      </c>
      <c r="B396">
        <v>1.5087999999999999</v>
      </c>
      <c r="C396">
        <v>1.86</v>
      </c>
      <c r="D396">
        <v>1.4990000000000001</v>
      </c>
      <c r="E396">
        <v>1.8421000000000001</v>
      </c>
      <c r="F396">
        <v>4421991.45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0.90083102493074774</v>
      </c>
      <c r="Q396">
        <f t="shared" si="975"/>
        <v>3983467.0901385034</v>
      </c>
      <c r="R396">
        <f t="shared" si="976"/>
        <v>-151834.86639541434</v>
      </c>
      <c r="S396">
        <f t="shared" si="977"/>
        <v>-1.5183486639541435</v>
      </c>
      <c r="T396">
        <f t="shared" si="978"/>
        <v>-1.5183486639541435E-3</v>
      </c>
    </row>
    <row r="397" spans="1:20" x14ac:dyDescent="0.25">
      <c r="A397" s="5">
        <v>44196</v>
      </c>
      <c r="B397">
        <v>1.5337000000000001</v>
      </c>
      <c r="C397">
        <v>1.5523</v>
      </c>
      <c r="D397">
        <v>1.42</v>
      </c>
      <c r="E397">
        <v>1.5073000000000001</v>
      </c>
      <c r="F397">
        <v>2169627.35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0.31972789115646411</v>
      </c>
      <c r="Q397">
        <f t="shared" si="975"/>
        <v>693690.37721088773</v>
      </c>
      <c r="R397">
        <f t="shared" si="976"/>
        <v>-4135301.9565339177</v>
      </c>
      <c r="S397">
        <f t="shared" si="977"/>
        <v>-41.353019565339174</v>
      </c>
      <c r="T397">
        <f t="shared" si="978"/>
        <v>-4.1353019565339176E-2</v>
      </c>
    </row>
    <row r="398" spans="1:20" x14ac:dyDescent="0.25">
      <c r="A398" s="5">
        <v>44195</v>
      </c>
      <c r="B398">
        <v>1.6734</v>
      </c>
      <c r="C398">
        <v>1.6902999999999999</v>
      </c>
      <c r="D398">
        <v>1.5235000000000001</v>
      </c>
      <c r="E398">
        <v>1.5349999999999999</v>
      </c>
      <c r="F398">
        <v>2171296.2799999998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-0.86211031175060127</v>
      </c>
      <c r="Q398">
        <f t="shared" si="975"/>
        <v>-1871896.9128537206</v>
      </c>
      <c r="R398">
        <f t="shared" si="976"/>
        <v>-4828992.3337448053</v>
      </c>
      <c r="S398">
        <f t="shared" si="977"/>
        <v>-48.289923337448052</v>
      </c>
      <c r="T398">
        <f t="shared" si="978"/>
        <v>-4.8289923337448054E-2</v>
      </c>
    </row>
    <row r="399" spans="1:20" x14ac:dyDescent="0.25">
      <c r="A399" s="5">
        <v>44194</v>
      </c>
      <c r="B399">
        <v>1.5186999999999999</v>
      </c>
      <c r="C399">
        <v>1.7350000000000001</v>
      </c>
      <c r="D399">
        <v>1.4388000000000001</v>
      </c>
      <c r="E399">
        <v>1.6704000000000001</v>
      </c>
      <c r="F399">
        <v>4870104.6100000003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0.56380823767724519</v>
      </c>
      <c r="Q399">
        <f t="shared" si="975"/>
        <v>2745805.0974679277</v>
      </c>
      <c r="R399">
        <f t="shared" si="976"/>
        <v>-2957095.4208910842</v>
      </c>
      <c r="S399">
        <f t="shared" si="977"/>
        <v>-29.570954208910841</v>
      </c>
      <c r="T399">
        <f t="shared" si="978"/>
        <v>-2.957095420891084E-2</v>
      </c>
    </row>
    <row r="400" spans="1:20" x14ac:dyDescent="0.25">
      <c r="A400" s="5">
        <v>44193</v>
      </c>
      <c r="B400">
        <v>1.3041</v>
      </c>
      <c r="C400">
        <v>1.5223</v>
      </c>
      <c r="D400">
        <v>1.2867</v>
      </c>
      <c r="E400">
        <v>1.5172000000000001</v>
      </c>
      <c r="F400">
        <v>2158620.5699999998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0.95670628183361728</v>
      </c>
      <c r="Q400">
        <f t="shared" si="975"/>
        <v>2065165.8594142634</v>
      </c>
      <c r="R400">
        <f t="shared" si="976"/>
        <v>-5702900.518359012</v>
      </c>
      <c r="S400">
        <f t="shared" si="977"/>
        <v>-57.029005183590122</v>
      </c>
      <c r="T400">
        <f t="shared" si="978"/>
        <v>-5.7029005183590123E-2</v>
      </c>
    </row>
    <row r="401" spans="1:20" x14ac:dyDescent="0.25">
      <c r="A401" s="5">
        <v>44192</v>
      </c>
      <c r="B401">
        <v>1.3240000000000001</v>
      </c>
      <c r="C401">
        <v>1.417</v>
      </c>
      <c r="D401">
        <v>1.2616000000000001</v>
      </c>
      <c r="E401">
        <v>1.3037000000000001</v>
      </c>
      <c r="F401">
        <v>2170898.4500000002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-0.45817245817245777</v>
      </c>
      <c r="Q401">
        <f t="shared" si="975"/>
        <v>-994645.87927927845</v>
      </c>
      <c r="R401">
        <f t="shared" si="976"/>
        <v>-7768066.3777732756</v>
      </c>
      <c r="S401">
        <f t="shared" si="977"/>
        <v>-77.680663777732761</v>
      </c>
      <c r="T401">
        <f t="shared" si="978"/>
        <v>-7.7680663777732764E-2</v>
      </c>
    </row>
    <row r="402" spans="1:20" x14ac:dyDescent="0.25">
      <c r="A402" s="5">
        <v>44191</v>
      </c>
      <c r="B402">
        <v>1.4488000000000001</v>
      </c>
      <c r="C402">
        <v>1.4497</v>
      </c>
      <c r="D402">
        <v>1.3118000000000001</v>
      </c>
      <c r="E402">
        <v>1.3258000000000001</v>
      </c>
      <c r="F402">
        <v>912192.33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-0.79695431472081191</v>
      </c>
      <c r="Q402">
        <f t="shared" si="975"/>
        <v>-726975.61324873066</v>
      </c>
      <c r="R402">
        <f t="shared" si="976"/>
        <v>-6773420.4984939974</v>
      </c>
      <c r="S402">
        <f t="shared" si="977"/>
        <v>-67.734204984939979</v>
      </c>
      <c r="T402">
        <f t="shared" si="978"/>
        <v>-6.7734204984939983E-2</v>
      </c>
    </row>
    <row r="403" spans="1:20" x14ac:dyDescent="0.25">
      <c r="A403" s="5">
        <v>44190</v>
      </c>
      <c r="B403">
        <v>1.3641000000000001</v>
      </c>
      <c r="C403">
        <v>1.4599</v>
      </c>
      <c r="D403">
        <v>1.3416999999999999</v>
      </c>
      <c r="E403">
        <v>1.4463999999999999</v>
      </c>
      <c r="F403">
        <v>1391332.89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0.77157360406091269</v>
      </c>
      <c r="Q403">
        <f t="shared" si="975"/>
        <v>1073515.7323857853</v>
      </c>
      <c r="R403">
        <f t="shared" si="976"/>
        <v>-6046444.8852452664</v>
      </c>
      <c r="S403">
        <f t="shared" si="977"/>
        <v>-60.464448852452662</v>
      </c>
      <c r="T403">
        <f t="shared" si="978"/>
        <v>-6.0464448852452661E-2</v>
      </c>
    </row>
    <row r="404" spans="1:20" x14ac:dyDescent="0.25">
      <c r="A404" s="5">
        <v>44189</v>
      </c>
      <c r="B404">
        <v>1.1987000000000001</v>
      </c>
      <c r="C404">
        <v>1.3888</v>
      </c>
      <c r="D404">
        <v>1.1652</v>
      </c>
      <c r="E404">
        <v>1.3612</v>
      </c>
      <c r="F404">
        <v>1784967.07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0.75313059033989205</v>
      </c>
      <c r="Q404">
        <f t="shared" si="975"/>
        <v>1344313.3031663673</v>
      </c>
      <c r="R404">
        <f t="shared" si="976"/>
        <v>-7119960.6176310517</v>
      </c>
      <c r="S404">
        <f t="shared" si="977"/>
        <v>-71.19960617631051</v>
      </c>
      <c r="T404">
        <f t="shared" si="978"/>
        <v>-7.1199606176310506E-2</v>
      </c>
    </row>
    <row r="405" spans="1:20" x14ac:dyDescent="0.25">
      <c r="A405" s="5">
        <v>44188</v>
      </c>
      <c r="B405">
        <v>1.49</v>
      </c>
      <c r="C405">
        <v>1.5125999999999999</v>
      </c>
      <c r="D405">
        <v>1.0301</v>
      </c>
      <c r="E405">
        <v>1.198</v>
      </c>
      <c r="F405">
        <v>4351555.9000000004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-0.30404145077720224</v>
      </c>
      <c r="Q405">
        <f t="shared" si="975"/>
        <v>-1323053.368974094</v>
      </c>
      <c r="R405">
        <f t="shared" si="976"/>
        <v>-8464273.9207974188</v>
      </c>
      <c r="S405">
        <f t="shared" si="977"/>
        <v>-84.642739207974188</v>
      </c>
      <c r="T405">
        <f t="shared" si="978"/>
        <v>-8.4642739207974188E-2</v>
      </c>
    </row>
    <row r="406" spans="1:20" x14ac:dyDescent="0.25">
      <c r="A406" s="5">
        <v>44187</v>
      </c>
      <c r="B406">
        <v>1.5354000000000001</v>
      </c>
      <c r="C406">
        <v>1.5799000000000001</v>
      </c>
      <c r="D406">
        <v>1.47</v>
      </c>
      <c r="E406">
        <v>1.49</v>
      </c>
      <c r="F406">
        <v>2035459.3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-0.63603275705186535</v>
      </c>
      <c r="Q406">
        <f t="shared" si="975"/>
        <v>-1294618.79044586</v>
      </c>
      <c r="R406">
        <f t="shared" si="976"/>
        <v>-7141220.5518233255</v>
      </c>
      <c r="S406">
        <f t="shared" si="977"/>
        <v>-71.41220551823325</v>
      </c>
      <c r="T406">
        <f t="shared" si="978"/>
        <v>-7.1412205518233254E-2</v>
      </c>
    </row>
    <row r="407" spans="1:20" x14ac:dyDescent="0.25">
      <c r="A407" s="5">
        <v>44186</v>
      </c>
      <c r="B407">
        <v>1.5605</v>
      </c>
      <c r="C407">
        <v>1.62</v>
      </c>
      <c r="D407">
        <v>1.49</v>
      </c>
      <c r="E407">
        <v>1.5330999999999999</v>
      </c>
      <c r="F407">
        <v>1265977.95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-0.33692307692307882</v>
      </c>
      <c r="Q407">
        <f t="shared" si="975"/>
        <v>-426537.18623077159</v>
      </c>
      <c r="R407">
        <f t="shared" si="976"/>
        <v>-5846601.761377465</v>
      </c>
      <c r="S407">
        <f t="shared" si="977"/>
        <v>-58.466017613774653</v>
      </c>
      <c r="T407">
        <f t="shared" si="978"/>
        <v>-5.8466017613774651E-2</v>
      </c>
    </row>
    <row r="408" spans="1:20" x14ac:dyDescent="0.25">
      <c r="A408" s="5">
        <v>44185</v>
      </c>
      <c r="B408">
        <v>1.6706000000000001</v>
      </c>
      <c r="C408">
        <v>1.6889000000000001</v>
      </c>
      <c r="D408">
        <v>1.5209999999999999</v>
      </c>
      <c r="E408">
        <v>1.5634999999999999</v>
      </c>
      <c r="F408">
        <v>1368277.59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-0.49374627754615913</v>
      </c>
      <c r="Q408">
        <f t="shared" si="975"/>
        <v>-675581.96671232977</v>
      </c>
      <c r="R408">
        <f t="shared" si="976"/>
        <v>-5420064.5751466937</v>
      </c>
      <c r="S408">
        <f t="shared" si="977"/>
        <v>-54.200645751466936</v>
      </c>
      <c r="T408">
        <f t="shared" si="978"/>
        <v>-5.4200645751466936E-2</v>
      </c>
    </row>
    <row r="409" spans="1:20" x14ac:dyDescent="0.25">
      <c r="A409" s="5">
        <v>44184</v>
      </c>
      <c r="B409">
        <v>1.6987000000000001</v>
      </c>
      <c r="C409">
        <v>1.7677</v>
      </c>
      <c r="D409">
        <v>1.6595</v>
      </c>
      <c r="E409">
        <v>1.6707000000000001</v>
      </c>
      <c r="F409">
        <v>1332107.96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-0.7929759704251369</v>
      </c>
      <c r="Q409">
        <f t="shared" si="975"/>
        <v>-1056329.6022920494</v>
      </c>
      <c r="R409">
        <f t="shared" si="976"/>
        <v>-4744482.6084343642</v>
      </c>
      <c r="S409">
        <f t="shared" si="977"/>
        <v>-47.444826084343639</v>
      </c>
      <c r="T409">
        <f t="shared" si="978"/>
        <v>-4.7444826084343639E-2</v>
      </c>
    </row>
    <row r="410" spans="1:20" x14ac:dyDescent="0.25">
      <c r="A410" s="5">
        <v>44183</v>
      </c>
      <c r="B410">
        <v>1.6769000000000001</v>
      </c>
      <c r="C410">
        <v>1.7077</v>
      </c>
      <c r="D410">
        <v>1.6307</v>
      </c>
      <c r="E410">
        <v>1.7014</v>
      </c>
      <c r="F410">
        <v>1127224.49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0.83636363636363698</v>
      </c>
      <c r="Q410">
        <f t="shared" si="975"/>
        <v>942769.57345454616</v>
      </c>
      <c r="R410">
        <f t="shared" si="976"/>
        <v>-3688153.006142315</v>
      </c>
      <c r="S410">
        <f t="shared" si="977"/>
        <v>-36.881530061423149</v>
      </c>
      <c r="T410">
        <f t="shared" si="978"/>
        <v>-3.6881530061423147E-2</v>
      </c>
    </row>
    <row r="411" spans="1:20" x14ac:dyDescent="0.25">
      <c r="A411" s="5">
        <v>44182</v>
      </c>
      <c r="B411">
        <v>1.78</v>
      </c>
      <c r="C411">
        <v>1.8064</v>
      </c>
      <c r="D411">
        <v>1.6382000000000001</v>
      </c>
      <c r="E411">
        <v>1.68</v>
      </c>
      <c r="F411">
        <v>2528060.41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-0.50297265160523352</v>
      </c>
      <c r="Q411">
        <f t="shared" si="975"/>
        <v>-1271545.2478359139</v>
      </c>
      <c r="R411">
        <f t="shared" si="976"/>
        <v>-4630922.5795968613</v>
      </c>
      <c r="S411">
        <f t="shared" si="977"/>
        <v>-46.309225795968615</v>
      </c>
      <c r="T411">
        <f t="shared" si="978"/>
        <v>-4.6309225795968613E-2</v>
      </c>
    </row>
    <row r="412" spans="1:20" x14ac:dyDescent="0.25">
      <c r="A412" s="5">
        <v>44181</v>
      </c>
      <c r="B412">
        <v>1.7577</v>
      </c>
      <c r="C412">
        <v>1.7919</v>
      </c>
      <c r="D412">
        <v>1.6025</v>
      </c>
      <c r="E412">
        <v>1.7828999999999999</v>
      </c>
      <c r="F412">
        <v>3098111.32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0.90496304118268089</v>
      </c>
      <c r="Q412">
        <f t="shared" si="975"/>
        <v>2803676.2420696896</v>
      </c>
      <c r="R412">
        <f t="shared" si="976"/>
        <v>-3359377.3317609476</v>
      </c>
      <c r="S412">
        <f t="shared" si="977"/>
        <v>-33.593773317609475</v>
      </c>
      <c r="T412">
        <f t="shared" si="978"/>
        <v>-3.3593773317609474E-2</v>
      </c>
    </row>
    <row r="413" spans="1:20" x14ac:dyDescent="0.25">
      <c r="A413" s="5">
        <v>44180</v>
      </c>
      <c r="B413">
        <v>1.5940000000000001</v>
      </c>
      <c r="C413">
        <v>1.8039000000000001</v>
      </c>
      <c r="D413">
        <v>1.5874999999999999</v>
      </c>
      <c r="E413">
        <v>1.7585999999999999</v>
      </c>
      <c r="F413">
        <v>3562068.86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0.58133086876155182</v>
      </c>
      <c r="Q413">
        <f t="shared" si="975"/>
        <v>2070740.5849722705</v>
      </c>
      <c r="R413">
        <f t="shared" si="976"/>
        <v>-6163053.5738306371</v>
      </c>
      <c r="S413">
        <f t="shared" si="977"/>
        <v>-61.630535738306371</v>
      </c>
      <c r="T413">
        <f t="shared" si="978"/>
        <v>-6.1630535738306368E-2</v>
      </c>
    </row>
    <row r="414" spans="1:20" x14ac:dyDescent="0.25">
      <c r="A414" s="5">
        <v>44179</v>
      </c>
      <c r="B414">
        <v>1.5650999999999999</v>
      </c>
      <c r="C414">
        <v>1.6253</v>
      </c>
      <c r="D414">
        <v>1.5224</v>
      </c>
      <c r="E414">
        <v>1.5946</v>
      </c>
      <c r="F414">
        <v>1503571.44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0.40330417881438385</v>
      </c>
      <c r="Q414">
        <f t="shared" si="975"/>
        <v>606396.64489796059</v>
      </c>
      <c r="R414">
        <f t="shared" si="976"/>
        <v>-8233794.1588029079</v>
      </c>
      <c r="S414">
        <f t="shared" si="977"/>
        <v>-82.337941588029082</v>
      </c>
      <c r="T414">
        <f t="shared" si="978"/>
        <v>-8.2337941588029082E-2</v>
      </c>
    </row>
    <row r="415" spans="1:20" x14ac:dyDescent="0.25">
      <c r="A415" s="5">
        <v>44178</v>
      </c>
      <c r="B415">
        <v>1.4908999999999999</v>
      </c>
      <c r="C415">
        <v>1.7</v>
      </c>
      <c r="D415">
        <v>1.4578</v>
      </c>
      <c r="E415">
        <v>1.5701000000000001</v>
      </c>
      <c r="F415">
        <v>1749534.43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-7.2667217175887033E-2</v>
      </c>
      <c r="Q415">
        <f t="shared" si="975"/>
        <v>-127133.79838150172</v>
      </c>
      <c r="R415">
        <f t="shared" si="976"/>
        <v>-8840190.803700868</v>
      </c>
      <c r="S415">
        <f t="shared" si="977"/>
        <v>-88.401908037008681</v>
      </c>
      <c r="T415">
        <f t="shared" si="978"/>
        <v>-8.8401908037008675E-2</v>
      </c>
    </row>
    <row r="416" spans="1:20" x14ac:dyDescent="0.25">
      <c r="A416" s="5">
        <v>44177</v>
      </c>
      <c r="B416">
        <v>1.4368000000000001</v>
      </c>
      <c r="C416">
        <v>1.5382</v>
      </c>
      <c r="D416">
        <v>1.4366000000000001</v>
      </c>
      <c r="E416">
        <v>1.4912000000000001</v>
      </c>
      <c r="F416">
        <v>1423640.73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7.4803149606299774E-2</v>
      </c>
      <c r="Q416">
        <f t="shared" si="975"/>
        <v>106492.81051181183</v>
      </c>
      <c r="R416">
        <f t="shared" si="976"/>
        <v>-8713057.0053193662</v>
      </c>
      <c r="S416">
        <f t="shared" si="977"/>
        <v>-87.130570053193665</v>
      </c>
      <c r="T416">
        <f t="shared" si="978"/>
        <v>-8.7130570053193662E-2</v>
      </c>
    </row>
    <row r="417" spans="1:20" x14ac:dyDescent="0.25">
      <c r="A417" s="5">
        <v>44176</v>
      </c>
      <c r="B417">
        <v>1.5739000000000001</v>
      </c>
      <c r="C417">
        <v>1.5773999999999999</v>
      </c>
      <c r="D417">
        <v>1.4328000000000001</v>
      </c>
      <c r="E417">
        <v>1.4389000000000001</v>
      </c>
      <c r="F417">
        <v>1429080.75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-0.91562932226832638</v>
      </c>
      <c r="Q417">
        <f t="shared" si="975"/>
        <v>-1308508.2385892116</v>
      </c>
      <c r="R417">
        <f t="shared" si="976"/>
        <v>-8819549.8158311788</v>
      </c>
      <c r="S417">
        <f t="shared" si="977"/>
        <v>-88.195498158311793</v>
      </c>
      <c r="T417">
        <f t="shared" si="978"/>
        <v>-8.8195498158311791E-2</v>
      </c>
    </row>
    <row r="418" spans="1:20" x14ac:dyDescent="0.25">
      <c r="A418" s="5">
        <v>44175</v>
      </c>
      <c r="B418">
        <v>1.6598999999999999</v>
      </c>
      <c r="C418">
        <v>1.6664000000000001</v>
      </c>
      <c r="D418">
        <v>1.5395000000000001</v>
      </c>
      <c r="E418">
        <v>1.5683</v>
      </c>
      <c r="F418">
        <v>1061425.8899999999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-0.54609929078014285</v>
      </c>
      <c r="Q418">
        <f t="shared" si="975"/>
        <v>-579643.92574468185</v>
      </c>
      <c r="R418">
        <f t="shared" si="976"/>
        <v>-7511041.5772419674</v>
      </c>
      <c r="S418">
        <f t="shared" si="977"/>
        <v>-75.110415772419671</v>
      </c>
      <c r="T418">
        <f t="shared" si="978"/>
        <v>-7.511041577241967E-2</v>
      </c>
    </row>
    <row r="419" spans="1:20" x14ac:dyDescent="0.25">
      <c r="A419" s="5">
        <v>44174</v>
      </c>
      <c r="B419">
        <v>1.66</v>
      </c>
      <c r="C419">
        <v>1.6777</v>
      </c>
      <c r="D419">
        <v>1.5</v>
      </c>
      <c r="E419">
        <v>1.6592</v>
      </c>
      <c r="F419">
        <v>2093499.32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0.79178390545863853</v>
      </c>
      <c r="Q419">
        <f t="shared" si="975"/>
        <v>1657599.0676646042</v>
      </c>
      <c r="R419">
        <f t="shared" si="976"/>
        <v>-6931397.6514972858</v>
      </c>
      <c r="S419">
        <f t="shared" si="977"/>
        <v>-69.313976514972865</v>
      </c>
      <c r="T419">
        <f t="shared" si="978"/>
        <v>-6.9313976514972869E-2</v>
      </c>
    </row>
    <row r="420" spans="1:20" x14ac:dyDescent="0.25">
      <c r="A420" s="5">
        <v>44173</v>
      </c>
      <c r="B420">
        <v>1.8301000000000001</v>
      </c>
      <c r="C420">
        <v>1.8301000000000001</v>
      </c>
      <c r="D420">
        <v>1.6211</v>
      </c>
      <c r="E420">
        <v>1.6631</v>
      </c>
      <c r="F420">
        <v>2296665.59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-0.59808612440191367</v>
      </c>
      <c r="Q420">
        <f t="shared" si="975"/>
        <v>-1373603.8217703344</v>
      </c>
      <c r="R420">
        <f t="shared" si="976"/>
        <v>-8588996.7191618904</v>
      </c>
      <c r="S420">
        <f t="shared" si="977"/>
        <v>-85.889967191618908</v>
      </c>
      <c r="T420">
        <f t="shared" si="978"/>
        <v>-8.5889967191618913E-2</v>
      </c>
    </row>
    <row r="421" spans="1:20" x14ac:dyDescent="0.25">
      <c r="A421" s="5">
        <v>44172</v>
      </c>
      <c r="B421">
        <v>1.8514999999999999</v>
      </c>
      <c r="C421">
        <v>1.899</v>
      </c>
      <c r="D421">
        <v>1.8088</v>
      </c>
      <c r="E421">
        <v>1.8271999999999999</v>
      </c>
      <c r="F421">
        <v>962743.7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-0.59201773835920268</v>
      </c>
      <c r="Q421">
        <f t="shared" si="975"/>
        <v>-569961.34789357067</v>
      </c>
      <c r="R421">
        <f t="shared" si="976"/>
        <v>-7215392.8973915568</v>
      </c>
      <c r="S421">
        <f t="shared" si="977"/>
        <v>-72.153928973915569</v>
      </c>
      <c r="T421">
        <f t="shared" si="978"/>
        <v>-7.2153928973915565E-2</v>
      </c>
    </row>
    <row r="422" spans="1:20" x14ac:dyDescent="0.25">
      <c r="A422" s="5">
        <v>44171</v>
      </c>
      <c r="B422">
        <v>1.9795</v>
      </c>
      <c r="C422">
        <v>1.9906999999999999</v>
      </c>
      <c r="D422">
        <v>1.7956000000000001</v>
      </c>
      <c r="E422">
        <v>1.8505</v>
      </c>
      <c r="F422">
        <v>1125736.3700000001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-0.43721168631471041</v>
      </c>
      <c r="Q422">
        <f t="shared" si="975"/>
        <v>-492185.09667350084</v>
      </c>
      <c r="R422">
        <f t="shared" si="976"/>
        <v>-6645431.5494979862</v>
      </c>
      <c r="S422">
        <f t="shared" si="977"/>
        <v>-66.454315494979866</v>
      </c>
      <c r="T422">
        <f t="shared" si="978"/>
        <v>-6.6454315494979863E-2</v>
      </c>
    </row>
    <row r="423" spans="1:20" x14ac:dyDescent="0.25">
      <c r="A423" s="5">
        <v>44170</v>
      </c>
      <c r="B423">
        <v>1.8507</v>
      </c>
      <c r="C423">
        <v>1.9830000000000001</v>
      </c>
      <c r="D423">
        <v>1.82</v>
      </c>
      <c r="E423">
        <v>1.9795</v>
      </c>
      <c r="F423">
        <v>1087998.3999999999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0.95705521472392563</v>
      </c>
      <c r="Q423">
        <f t="shared" si="975"/>
        <v>1041274.5423312874</v>
      </c>
      <c r="R423">
        <f t="shared" si="976"/>
        <v>-6153246.4528244855</v>
      </c>
      <c r="S423">
        <f t="shared" si="977"/>
        <v>-61.532464528244851</v>
      </c>
      <c r="T423">
        <f t="shared" si="978"/>
        <v>-6.1532464528244853E-2</v>
      </c>
    </row>
    <row r="424" spans="1:20" x14ac:dyDescent="0.25">
      <c r="A424" s="5">
        <v>44169</v>
      </c>
      <c r="B424">
        <v>2.0966999999999998</v>
      </c>
      <c r="C424">
        <v>2.1122999999999998</v>
      </c>
      <c r="D424">
        <v>1.8360000000000001</v>
      </c>
      <c r="E424">
        <v>1.8534999999999999</v>
      </c>
      <c r="F424">
        <v>1424943.39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-0.8733260948244671</v>
      </c>
      <c r="Q424">
        <f t="shared" si="975"/>
        <v>-1244440.2461346376</v>
      </c>
      <c r="R424">
        <f t="shared" si="976"/>
        <v>-7194520.9951557731</v>
      </c>
      <c r="S424">
        <f t="shared" si="977"/>
        <v>-71.945209951557729</v>
      </c>
      <c r="T424">
        <f t="shared" si="978"/>
        <v>-7.1945209951557731E-2</v>
      </c>
    </row>
    <row r="425" spans="1:20" x14ac:dyDescent="0.25">
      <c r="A425" s="5">
        <v>44168</v>
      </c>
      <c r="B425">
        <v>2.1190000000000002</v>
      </c>
      <c r="C425">
        <v>2.2279</v>
      </c>
      <c r="D425">
        <v>2.0739999999999998</v>
      </c>
      <c r="E425">
        <v>2.0966999999999998</v>
      </c>
      <c r="F425">
        <v>3182362.33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-0.705003248862899</v>
      </c>
      <c r="Q425">
        <f t="shared" si="975"/>
        <v>-2243575.781708905</v>
      </c>
      <c r="R425">
        <f t="shared" si="976"/>
        <v>-5950080.7490211353</v>
      </c>
      <c r="S425">
        <f t="shared" si="977"/>
        <v>-59.500807490211351</v>
      </c>
      <c r="T425">
        <f t="shared" si="978"/>
        <v>-5.9500807490211353E-2</v>
      </c>
    </row>
    <row r="426" spans="1:20" x14ac:dyDescent="0.25">
      <c r="A426" s="5">
        <v>44167</v>
      </c>
      <c r="B426">
        <v>1.9702</v>
      </c>
      <c r="C426">
        <v>2.2098</v>
      </c>
      <c r="D426">
        <v>1.9333</v>
      </c>
      <c r="E426">
        <v>2.1208999999999998</v>
      </c>
      <c r="F426">
        <v>2203748.48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0.35696202531645416</v>
      </c>
      <c r="Q426">
        <f t="shared" si="975"/>
        <v>786654.52070885734</v>
      </c>
      <c r="R426">
        <f t="shared" si="976"/>
        <v>-3706504.9673122307</v>
      </c>
      <c r="S426">
        <f t="shared" si="977"/>
        <v>-37.06504967312231</v>
      </c>
      <c r="T426">
        <f t="shared" si="978"/>
        <v>-3.7065049673122311E-2</v>
      </c>
    </row>
    <row r="427" spans="1:20" x14ac:dyDescent="0.25">
      <c r="A427" s="5">
        <v>44166</v>
      </c>
      <c r="B427">
        <v>1.9641</v>
      </c>
      <c r="C427">
        <v>2.1404000000000001</v>
      </c>
      <c r="D427">
        <v>1.9168000000000001</v>
      </c>
      <c r="E427">
        <v>1.9738</v>
      </c>
      <c r="F427">
        <v>2102911.64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-0.49016100178890937</v>
      </c>
      <c r="Q427">
        <f t="shared" si="975"/>
        <v>-1030765.2761359584</v>
      </c>
      <c r="R427">
        <f t="shared" si="976"/>
        <v>-4493159.4880210878</v>
      </c>
      <c r="S427">
        <f t="shared" si="977"/>
        <v>-44.931594880210881</v>
      </c>
      <c r="T427">
        <f t="shared" si="978"/>
        <v>-4.4931594880210882E-2</v>
      </c>
    </row>
    <row r="428" spans="1:20" x14ac:dyDescent="0.25">
      <c r="A428" s="5">
        <v>44165</v>
      </c>
      <c r="B428">
        <v>1.9184000000000001</v>
      </c>
      <c r="C428">
        <v>2.0182000000000002</v>
      </c>
      <c r="D428">
        <v>1.9034</v>
      </c>
      <c r="E428">
        <v>1.9664999999999999</v>
      </c>
      <c r="F428">
        <v>1094620.01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9.9303135888498345E-2</v>
      </c>
      <c r="Q428">
        <f t="shared" si="975"/>
        <v>108699.19959929942</v>
      </c>
      <c r="R428">
        <f t="shared" si="976"/>
        <v>-3462394.2118851296</v>
      </c>
      <c r="S428">
        <f t="shared" si="977"/>
        <v>-34.623942118851296</v>
      </c>
      <c r="T428">
        <f t="shared" si="978"/>
        <v>-3.4623942118851295E-2</v>
      </c>
    </row>
    <row r="429" spans="1:20" x14ac:dyDescent="0.25">
      <c r="A429" s="5">
        <v>44164</v>
      </c>
      <c r="B429">
        <v>1.8857999999999999</v>
      </c>
      <c r="C429">
        <v>1.9470000000000001</v>
      </c>
      <c r="D429">
        <v>1.85</v>
      </c>
      <c r="E429">
        <v>1.9153</v>
      </c>
      <c r="F429">
        <v>862711.64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0.34639175257731813</v>
      </c>
      <c r="Q429">
        <f t="shared" si="975"/>
        <v>298836.19694845239</v>
      </c>
      <c r="R429">
        <f t="shared" si="976"/>
        <v>-3571093.4114844291</v>
      </c>
      <c r="S429">
        <f t="shared" si="977"/>
        <v>-35.710934114844292</v>
      </c>
      <c r="T429">
        <f t="shared" si="978"/>
        <v>-3.5710934114844294E-2</v>
      </c>
    </row>
    <row r="430" spans="1:20" x14ac:dyDescent="0.25">
      <c r="A430" s="5">
        <v>44163</v>
      </c>
      <c r="B430">
        <v>1.8644000000000001</v>
      </c>
      <c r="C430">
        <v>1.94</v>
      </c>
      <c r="D430">
        <v>1.8016000000000001</v>
      </c>
      <c r="E430">
        <v>1.8868</v>
      </c>
      <c r="F430">
        <v>1381390.77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0.23121387283237038</v>
      </c>
      <c r="Q430">
        <f t="shared" si="975"/>
        <v>319396.7098265902</v>
      </c>
      <c r="R430">
        <f t="shared" si="976"/>
        <v>-3869929.6084328815</v>
      </c>
      <c r="S430">
        <f t="shared" si="977"/>
        <v>-38.699296084328815</v>
      </c>
      <c r="T430">
        <f t="shared" si="978"/>
        <v>-3.8699296084328816E-2</v>
      </c>
    </row>
    <row r="431" spans="1:20" x14ac:dyDescent="0.25">
      <c r="A431" s="5">
        <v>44162</v>
      </c>
      <c r="B431">
        <v>1.9117</v>
      </c>
      <c r="C431">
        <v>2.04</v>
      </c>
      <c r="D431">
        <v>1.7694000000000001</v>
      </c>
      <c r="E431">
        <v>1.861</v>
      </c>
      <c r="F431">
        <v>1802241.32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-0.32298595713229916</v>
      </c>
      <c r="Q431">
        <f t="shared" si="975"/>
        <v>-582098.63772357826</v>
      </c>
      <c r="R431">
        <f t="shared" si="976"/>
        <v>-4189326.3182594716</v>
      </c>
      <c r="S431">
        <f t="shared" si="977"/>
        <v>-41.893263182594715</v>
      </c>
      <c r="T431">
        <f t="shared" si="978"/>
        <v>-4.1893263182594717E-2</v>
      </c>
    </row>
    <row r="432" spans="1:20" x14ac:dyDescent="0.25">
      <c r="A432" s="5">
        <v>44161</v>
      </c>
      <c r="B432">
        <v>2.2652999999999999</v>
      </c>
      <c r="C432">
        <v>2.3100999999999998</v>
      </c>
      <c r="D432">
        <v>1.7212000000000001</v>
      </c>
      <c r="E432">
        <v>1.9111</v>
      </c>
      <c r="F432">
        <v>6803274.7199999997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-0.3550687722873152</v>
      </c>
      <c r="Q432">
        <f t="shared" si="975"/>
        <v>-2415630.4023637278</v>
      </c>
      <c r="R432">
        <f t="shared" si="976"/>
        <v>-3607227.6805358934</v>
      </c>
      <c r="S432">
        <f t="shared" si="977"/>
        <v>-36.072276805358932</v>
      </c>
      <c r="T432">
        <f t="shared" si="978"/>
        <v>-3.6072276805358933E-2</v>
      </c>
    </row>
    <row r="433" spans="1:20" x14ac:dyDescent="0.25">
      <c r="A433" s="5">
        <v>44160</v>
      </c>
      <c r="B433">
        <v>2.2795000000000001</v>
      </c>
      <c r="C433">
        <v>2.4900000000000002</v>
      </c>
      <c r="D433">
        <v>2.1703000000000001</v>
      </c>
      <c r="E433">
        <v>2.2660999999999998</v>
      </c>
      <c r="F433">
        <v>3597681.61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-0.40068814513606732</v>
      </c>
      <c r="Q433">
        <f t="shared" si="975"/>
        <v>-1441548.3711010404</v>
      </c>
      <c r="R433">
        <f t="shared" si="976"/>
        <v>-1191597.2781721656</v>
      </c>
      <c r="S433">
        <f t="shared" si="977"/>
        <v>-11.915972781721656</v>
      </c>
      <c r="T433">
        <f t="shared" si="978"/>
        <v>-1.1915972781721657E-2</v>
      </c>
    </row>
    <row r="434" spans="1:20" x14ac:dyDescent="0.25">
      <c r="A434" s="5">
        <v>44159</v>
      </c>
      <c r="B434">
        <v>2.2786</v>
      </c>
      <c r="C434">
        <v>2.4731000000000001</v>
      </c>
      <c r="D434">
        <v>2.1337999999999999</v>
      </c>
      <c r="E434">
        <v>2.2823000000000002</v>
      </c>
      <c r="F434">
        <v>3534792.04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-0.12466843501326125</v>
      </c>
      <c r="Q434">
        <f t="shared" si="975"/>
        <v>-440676.99172413314</v>
      </c>
      <c r="R434">
        <f t="shared" si="976"/>
        <v>249951.09292887477</v>
      </c>
      <c r="S434">
        <f t="shared" si="977"/>
        <v>2.4995109292887476</v>
      </c>
      <c r="T434">
        <f t="shared" si="978"/>
        <v>2.4995109292887474E-3</v>
      </c>
    </row>
    <row r="435" spans="1:20" x14ac:dyDescent="0.25">
      <c r="A435" s="5">
        <v>44158</v>
      </c>
      <c r="B435">
        <v>2.161</v>
      </c>
      <c r="C435">
        <v>2.3635000000000002</v>
      </c>
      <c r="D435">
        <v>2.1120000000000001</v>
      </c>
      <c r="E435">
        <v>2.2786</v>
      </c>
      <c r="F435">
        <v>2094160.76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0.32485089463220534</v>
      </c>
      <c r="Q435">
        <f t="shared" si="975"/>
        <v>680289.99638965912</v>
      </c>
      <c r="R435">
        <f t="shared" si="976"/>
        <v>690628.08465300791</v>
      </c>
      <c r="S435">
        <f t="shared" si="977"/>
        <v>6.9062808465300796</v>
      </c>
      <c r="T435">
        <f t="shared" si="978"/>
        <v>6.9062808465300794E-3</v>
      </c>
    </row>
    <row r="436" spans="1:20" x14ac:dyDescent="0.25">
      <c r="A436" s="5">
        <v>44157</v>
      </c>
      <c r="B436">
        <v>2.3824999999999998</v>
      </c>
      <c r="C436">
        <v>2.4201000000000001</v>
      </c>
      <c r="D436">
        <v>2.04</v>
      </c>
      <c r="E436">
        <v>2.1514000000000002</v>
      </c>
      <c r="F436">
        <v>2448127.25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-0.41383846356221976</v>
      </c>
      <c r="Q436">
        <f t="shared" si="975"/>
        <v>-1013129.2197448022</v>
      </c>
      <c r="R436">
        <f t="shared" si="976"/>
        <v>10338.088263348793</v>
      </c>
      <c r="S436">
        <f t="shared" si="977"/>
        <v>0.10338088263348792</v>
      </c>
      <c r="T436">
        <f t="shared" si="978"/>
        <v>1.0338088263348792E-4</v>
      </c>
    </row>
    <row r="437" spans="1:20" x14ac:dyDescent="0.25">
      <c r="A437" s="5">
        <v>44156</v>
      </c>
      <c r="B437">
        <v>2.0998999999999999</v>
      </c>
      <c r="C437">
        <v>2.5099999999999998</v>
      </c>
      <c r="D437">
        <v>2.0350999999999999</v>
      </c>
      <c r="E437">
        <v>2.3822000000000001</v>
      </c>
      <c r="F437">
        <v>2963489.5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0.46178142766898411</v>
      </c>
      <c r="Q437">
        <f t="shared" si="975"/>
        <v>1368484.4121920438</v>
      </c>
      <c r="R437">
        <f t="shared" si="976"/>
        <v>1023467.308008151</v>
      </c>
      <c r="S437">
        <f t="shared" si="977"/>
        <v>10.23467308008151</v>
      </c>
      <c r="T437">
        <f t="shared" si="978"/>
        <v>1.0234673080081511E-2</v>
      </c>
    </row>
    <row r="438" spans="1:20" x14ac:dyDescent="0.25">
      <c r="A438" s="5">
        <v>44155</v>
      </c>
      <c r="B438">
        <v>2.0840999999999998</v>
      </c>
      <c r="C438">
        <v>2.2387000000000001</v>
      </c>
      <c r="D438">
        <v>2.0520999999999998</v>
      </c>
      <c r="E438">
        <v>2.1032999999999999</v>
      </c>
      <c r="F438">
        <v>1589414.51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-0.45123258306538</v>
      </c>
      <c r="Q438">
        <f t="shared" si="975"/>
        <v>-717195.61490889522</v>
      </c>
      <c r="R438">
        <f t="shared" si="976"/>
        <v>-345017.10418389284</v>
      </c>
      <c r="S438">
        <f t="shared" si="977"/>
        <v>-3.4501710418389284</v>
      </c>
      <c r="T438">
        <f t="shared" si="978"/>
        <v>-3.4501710418389283E-3</v>
      </c>
    </row>
    <row r="439" spans="1:20" x14ac:dyDescent="0.25">
      <c r="A439" s="5">
        <v>44154</v>
      </c>
      <c r="B439">
        <v>2.1122000000000001</v>
      </c>
      <c r="C439">
        <v>2.1848000000000001</v>
      </c>
      <c r="D439">
        <v>2.0135999999999998</v>
      </c>
      <c r="E439">
        <v>2.085</v>
      </c>
      <c r="F439">
        <v>1391861.95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-0.16588785046728938</v>
      </c>
      <c r="Q439">
        <f t="shared" si="975"/>
        <v>-230892.98703270979</v>
      </c>
      <c r="R439">
        <f t="shared" si="976"/>
        <v>372178.51072500239</v>
      </c>
      <c r="S439">
        <f t="shared" si="977"/>
        <v>3.7217851072500236</v>
      </c>
      <c r="T439">
        <f t="shared" si="978"/>
        <v>3.7217851072500236E-3</v>
      </c>
    </row>
    <row r="440" spans="1:20" x14ac:dyDescent="0.25">
      <c r="A440" s="5">
        <v>44153</v>
      </c>
      <c r="B440">
        <v>2.1962000000000002</v>
      </c>
      <c r="C440">
        <v>2.2172999999999998</v>
      </c>
      <c r="D440">
        <v>2.0001000000000002</v>
      </c>
      <c r="E440">
        <v>2.1153</v>
      </c>
      <c r="F440">
        <v>2054379.16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6.0773480662982972E-2</v>
      </c>
      <c r="Q440">
        <f t="shared" si="975"/>
        <v>124851.77215469519</v>
      </c>
      <c r="R440">
        <f t="shared" si="976"/>
        <v>603071.49775771215</v>
      </c>
      <c r="S440">
        <f t="shared" si="977"/>
        <v>6.0307149775771212</v>
      </c>
      <c r="T440">
        <f t="shared" si="978"/>
        <v>6.0307149775771212E-3</v>
      </c>
    </row>
    <row r="441" spans="1:20" x14ac:dyDescent="0.25">
      <c r="A441" s="5">
        <v>44152</v>
      </c>
      <c r="B441">
        <v>2.2665000000000002</v>
      </c>
      <c r="C441">
        <v>2.33</v>
      </c>
      <c r="D441">
        <v>2.125</v>
      </c>
      <c r="E441">
        <v>2.1998000000000002</v>
      </c>
      <c r="F441">
        <v>2311120.85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-0.27024390243902269</v>
      </c>
      <c r="Q441">
        <f t="shared" si="975"/>
        <v>-624566.31751219125</v>
      </c>
      <c r="R441">
        <f t="shared" si="976"/>
        <v>478219.72560301691</v>
      </c>
      <c r="S441">
        <f t="shared" si="977"/>
        <v>4.7821972560301687</v>
      </c>
      <c r="T441">
        <f t="shared" si="978"/>
        <v>4.7821972560301686E-3</v>
      </c>
    </row>
    <row r="442" spans="1:20" x14ac:dyDescent="0.25">
      <c r="A442" s="5">
        <v>44151</v>
      </c>
      <c r="B442">
        <v>2.0390000000000001</v>
      </c>
      <c r="C442">
        <v>2.37</v>
      </c>
      <c r="D442">
        <v>1.9858</v>
      </c>
      <c r="E442">
        <v>2.2625999999999999</v>
      </c>
      <c r="F442">
        <v>3192029.56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0.44091618948464273</v>
      </c>
      <c r="Q442">
        <f t="shared" si="975"/>
        <v>1407417.5103175407</v>
      </c>
      <c r="R442">
        <f t="shared" si="976"/>
        <v>1102786.0431152082</v>
      </c>
      <c r="S442">
        <f t="shared" si="977"/>
        <v>11.027860431152082</v>
      </c>
      <c r="T442">
        <f t="shared" si="978"/>
        <v>1.1027860431152081E-2</v>
      </c>
    </row>
    <row r="443" spans="1:20" x14ac:dyDescent="0.25">
      <c r="A443" s="5">
        <v>44150</v>
      </c>
      <c r="B443">
        <v>1.9204000000000001</v>
      </c>
      <c r="C443">
        <v>2.218</v>
      </c>
      <c r="D443">
        <v>1.9133</v>
      </c>
      <c r="E443">
        <v>2.0407000000000002</v>
      </c>
      <c r="F443">
        <v>3348186.49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-0.16376764030193508</v>
      </c>
      <c r="Q443">
        <f t="shared" si="975"/>
        <v>-548324.60075811855</v>
      </c>
      <c r="R443">
        <f t="shared" si="976"/>
        <v>-304631.46720233257</v>
      </c>
      <c r="S443">
        <f t="shared" si="977"/>
        <v>-3.0463146720233256</v>
      </c>
      <c r="T443">
        <f t="shared" si="978"/>
        <v>-3.0463146720233255E-3</v>
      </c>
    </row>
    <row r="444" spans="1:20" x14ac:dyDescent="0.25">
      <c r="A444" s="5">
        <v>44149</v>
      </c>
      <c r="B444">
        <v>2.0222000000000002</v>
      </c>
      <c r="C444">
        <v>2.0373999999999999</v>
      </c>
      <c r="D444">
        <v>1.869</v>
      </c>
      <c r="E444">
        <v>1.9181999999999999</v>
      </c>
      <c r="F444">
        <v>1191847.42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-0.41567695961995316</v>
      </c>
      <c r="Q444">
        <f t="shared" si="975"/>
        <v>-495423.51187648531</v>
      </c>
      <c r="R444">
        <f t="shared" si="976"/>
        <v>243693.13355578599</v>
      </c>
      <c r="S444">
        <f t="shared" si="977"/>
        <v>2.4369313355578597</v>
      </c>
      <c r="T444">
        <f t="shared" si="978"/>
        <v>2.4369313355578595E-3</v>
      </c>
    </row>
    <row r="445" spans="1:20" x14ac:dyDescent="0.25">
      <c r="A445" s="5">
        <v>44148</v>
      </c>
      <c r="B445">
        <v>1.9089</v>
      </c>
      <c r="C445">
        <v>2.0808</v>
      </c>
      <c r="D445">
        <v>1.8996999999999999</v>
      </c>
      <c r="E445">
        <v>2.0141</v>
      </c>
      <c r="F445">
        <v>1595684.08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0.26339039204859233</v>
      </c>
      <c r="Q445">
        <f t="shared" si="975"/>
        <v>420287.85541689739</v>
      </c>
      <c r="R445">
        <f t="shared" si="976"/>
        <v>739116.6454322713</v>
      </c>
      <c r="S445">
        <f t="shared" si="977"/>
        <v>7.3911664543227129</v>
      </c>
      <c r="T445">
        <f t="shared" si="978"/>
        <v>7.3911664543227125E-3</v>
      </c>
    </row>
    <row r="446" spans="1:20" x14ac:dyDescent="0.25">
      <c r="A446" s="5">
        <v>44147</v>
      </c>
      <c r="B446">
        <v>2</v>
      </c>
      <c r="C446">
        <v>2.06</v>
      </c>
      <c r="D446">
        <v>1.825</v>
      </c>
      <c r="E446">
        <v>1.9089</v>
      </c>
      <c r="F446">
        <v>1522310.89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-0.28595744680851021</v>
      </c>
      <c r="Q446">
        <f t="shared" si="975"/>
        <v>-435316.13535319082</v>
      </c>
      <c r="R446">
        <f t="shared" si="976"/>
        <v>318828.79001537384</v>
      </c>
      <c r="S446">
        <f t="shared" si="977"/>
        <v>3.1882879001537385</v>
      </c>
      <c r="T446">
        <f t="shared" si="978"/>
        <v>3.1882879001537386E-3</v>
      </c>
    </row>
    <row r="447" spans="1:20" x14ac:dyDescent="0.25">
      <c r="A447" s="5">
        <v>44146</v>
      </c>
      <c r="B447">
        <v>2.2665000000000002</v>
      </c>
      <c r="C447">
        <v>2.2999999999999998</v>
      </c>
      <c r="D447">
        <v>1.9673</v>
      </c>
      <c r="E447">
        <v>2</v>
      </c>
      <c r="F447">
        <v>1863686.19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-0.80342651036970258</v>
      </c>
      <c r="Q447">
        <f t="shared" si="975"/>
        <v>-1497334.8920559064</v>
      </c>
      <c r="R447">
        <f t="shared" si="976"/>
        <v>754144.92536856467</v>
      </c>
      <c r="S447">
        <f t="shared" si="977"/>
        <v>7.5414492536856468</v>
      </c>
      <c r="T447">
        <f t="shared" si="978"/>
        <v>7.5414492536856467E-3</v>
      </c>
    </row>
    <row r="448" spans="1:20" x14ac:dyDescent="0.25">
      <c r="A448" s="5">
        <v>44145</v>
      </c>
      <c r="B448">
        <v>2.0383</v>
      </c>
      <c r="C448">
        <v>2.3256999999999999</v>
      </c>
      <c r="D448">
        <v>2.008</v>
      </c>
      <c r="E448">
        <v>2.2660999999999998</v>
      </c>
      <c r="F448">
        <v>2119423.36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0.62480327352848519</v>
      </c>
      <c r="Q448">
        <f t="shared" si="975"/>
        <v>1324222.6533207411</v>
      </c>
      <c r="R448">
        <f t="shared" si="976"/>
        <v>2251479.817424471</v>
      </c>
      <c r="S448">
        <f t="shared" si="977"/>
        <v>22.51479817424471</v>
      </c>
      <c r="T448">
        <f t="shared" si="978"/>
        <v>2.2514798174244711E-2</v>
      </c>
    </row>
    <row r="449" spans="1:20" x14ac:dyDescent="0.25">
      <c r="A449" s="5">
        <v>44144</v>
      </c>
      <c r="B449">
        <v>2.1515</v>
      </c>
      <c r="C449">
        <v>2.1991000000000001</v>
      </c>
      <c r="D449">
        <v>1.9456</v>
      </c>
      <c r="E449">
        <v>2.0299</v>
      </c>
      <c r="F449">
        <v>3050443.52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-0.3349112426035501</v>
      </c>
      <c r="Q449">
        <f t="shared" si="975"/>
        <v>-1021627.8297751474</v>
      </c>
      <c r="R449">
        <f t="shared" si="976"/>
        <v>927257.16410372988</v>
      </c>
      <c r="S449">
        <f t="shared" si="977"/>
        <v>9.2725716410372989</v>
      </c>
      <c r="T449">
        <f t="shared" si="978"/>
        <v>9.2725716410372982E-3</v>
      </c>
    </row>
    <row r="450" spans="1:20" x14ac:dyDescent="0.25">
      <c r="A450" s="5">
        <v>44143</v>
      </c>
      <c r="B450">
        <v>2.0264000000000002</v>
      </c>
      <c r="C450">
        <v>2.2825000000000002</v>
      </c>
      <c r="D450">
        <v>1.9608000000000001</v>
      </c>
      <c r="E450">
        <v>2.1558000000000002</v>
      </c>
      <c r="F450">
        <v>4800345.92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0.21230960522225678</v>
      </c>
      <c r="Q450">
        <f t="shared" si="975"/>
        <v>1019159.547205471</v>
      </c>
      <c r="R450">
        <f t="shared" si="976"/>
        <v>1948884.9938788773</v>
      </c>
      <c r="S450">
        <f t="shared" si="977"/>
        <v>19.488849938788771</v>
      </c>
      <c r="T450">
        <f t="shared" si="978"/>
        <v>1.9488849938788771E-2</v>
      </c>
    </row>
    <row r="451" spans="1:20" x14ac:dyDescent="0.25">
      <c r="A451" s="5">
        <v>44142</v>
      </c>
      <c r="B451">
        <v>1.9069</v>
      </c>
      <c r="C451">
        <v>2.4975000000000001</v>
      </c>
      <c r="D451">
        <v>1.8275999999999999</v>
      </c>
      <c r="E451">
        <v>2.0215000000000001</v>
      </c>
      <c r="F451">
        <v>8862610.6300000008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-0.42110762800417934</v>
      </c>
      <c r="Q451">
        <f t="shared" si="975"/>
        <v>-3732112.9403239256</v>
      </c>
      <c r="R451">
        <f t="shared" si="976"/>
        <v>929725.44667340629</v>
      </c>
      <c r="S451">
        <f t="shared" si="977"/>
        <v>9.2972544667340635</v>
      </c>
      <c r="T451">
        <f t="shared" si="978"/>
        <v>9.2972544667340642E-3</v>
      </c>
    </row>
    <row r="452" spans="1:20" x14ac:dyDescent="0.25">
      <c r="A452" s="5">
        <v>44141</v>
      </c>
      <c r="B452">
        <v>1.403</v>
      </c>
      <c r="C452">
        <v>1.9481999999999999</v>
      </c>
      <c r="D452">
        <v>1.3946000000000001</v>
      </c>
      <c r="E452">
        <v>1.9</v>
      </c>
      <c r="F452">
        <v>3846546.9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0.82586705202312127</v>
      </c>
      <c r="Q452">
        <f t="shared" si="975"/>
        <v>3176736.348771676</v>
      </c>
      <c r="R452">
        <f t="shared" si="976"/>
        <v>4661838.3869973319</v>
      </c>
      <c r="S452">
        <f t="shared" si="977"/>
        <v>46.618383869973322</v>
      </c>
      <c r="T452">
        <f t="shared" si="978"/>
        <v>4.6618383869973322E-2</v>
      </c>
    </row>
    <row r="453" spans="1:20" x14ac:dyDescent="0.25">
      <c r="A453" s="5">
        <v>44140</v>
      </c>
      <c r="B453">
        <v>1.3895</v>
      </c>
      <c r="C453">
        <v>1.4927999999999999</v>
      </c>
      <c r="D453">
        <v>1.3</v>
      </c>
      <c r="E453">
        <v>1.4007000000000001</v>
      </c>
      <c r="F453">
        <v>1598492.56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4.4605809128631581E-2</v>
      </c>
      <c r="Q453">
        <f t="shared" si="975"/>
        <v>71302.054024897661</v>
      </c>
      <c r="R453">
        <f t="shared" si="976"/>
        <v>1485102.0382256559</v>
      </c>
      <c r="S453">
        <f t="shared" si="977"/>
        <v>14.851020382256559</v>
      </c>
      <c r="T453">
        <f t="shared" si="978"/>
        <v>1.4851020382256559E-2</v>
      </c>
    </row>
    <row r="454" spans="1:20" x14ac:dyDescent="0.25">
      <c r="A454" s="5">
        <v>44139</v>
      </c>
      <c r="B454">
        <v>1.4123000000000001</v>
      </c>
      <c r="C454">
        <v>1.4144000000000001</v>
      </c>
      <c r="D454">
        <v>1.2733000000000001</v>
      </c>
      <c r="E454">
        <v>1.3912</v>
      </c>
      <c r="F454">
        <v>2560523.86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0.67115520907157888</v>
      </c>
      <c r="Q454">
        <f t="shared" ref="Q454:Q517" si="980">F454*P454</f>
        <v>1718508.9265910662</v>
      </c>
      <c r="R454">
        <f t="shared" ref="R454:R517" si="981">R455+Q454</f>
        <v>1413799.9842007582</v>
      </c>
      <c r="S454">
        <f t="shared" ref="S454:S517" si="982">R454/100000</f>
        <v>14.137999842007581</v>
      </c>
      <c r="T454">
        <f t="shared" ref="T454:T517" si="983">S454/1000</f>
        <v>1.413799984200758E-2</v>
      </c>
    </row>
    <row r="455" spans="1:20" x14ac:dyDescent="0.25">
      <c r="A455" s="5">
        <v>44138</v>
      </c>
      <c r="B455">
        <v>1.4729000000000001</v>
      </c>
      <c r="C455">
        <v>1.484</v>
      </c>
      <c r="D455">
        <v>1.4061999999999999</v>
      </c>
      <c r="E455">
        <v>1.4117999999999999</v>
      </c>
      <c r="F455">
        <v>983164.88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-0.85604113110539737</v>
      </c>
      <c r="Q455">
        <f t="shared" si="980"/>
        <v>-841629.57593830233</v>
      </c>
      <c r="R455">
        <f t="shared" si="981"/>
        <v>-304708.94239030802</v>
      </c>
      <c r="S455">
        <f t="shared" si="982"/>
        <v>-3.0470894239030804</v>
      </c>
      <c r="T455">
        <f t="shared" si="983"/>
        <v>-3.0470894239030804E-3</v>
      </c>
    </row>
    <row r="456" spans="1:20" x14ac:dyDescent="0.25">
      <c r="A456" s="5">
        <v>44137</v>
      </c>
      <c r="B456">
        <v>1.6075999999999999</v>
      </c>
      <c r="C456">
        <v>1.6432</v>
      </c>
      <c r="D456">
        <v>1.4621</v>
      </c>
      <c r="E456">
        <v>1.4738</v>
      </c>
      <c r="F456">
        <v>867738.07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-0.87078961899502993</v>
      </c>
      <c r="Q456">
        <f t="shared" si="980"/>
        <v>-755617.30336278258</v>
      </c>
      <c r="R456">
        <f t="shared" si="981"/>
        <v>536920.63354799431</v>
      </c>
      <c r="S456">
        <f t="shared" si="982"/>
        <v>5.3692063354799426</v>
      </c>
      <c r="T456">
        <f t="shared" si="983"/>
        <v>5.3692063354799429E-3</v>
      </c>
    </row>
    <row r="457" spans="1:20" x14ac:dyDescent="0.25">
      <c r="A457" s="5">
        <v>44136</v>
      </c>
      <c r="B457">
        <v>1.5497000000000001</v>
      </c>
      <c r="C457">
        <v>1.6463000000000001</v>
      </c>
      <c r="D457">
        <v>1.5137</v>
      </c>
      <c r="E457">
        <v>1.6080000000000001</v>
      </c>
      <c r="F457">
        <v>960664.24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0.42232277526395195</v>
      </c>
      <c r="Q457">
        <f t="shared" si="980"/>
        <v>405710.38793363521</v>
      </c>
      <c r="R457">
        <f t="shared" si="981"/>
        <v>1292537.9369107769</v>
      </c>
      <c r="S457">
        <f t="shared" si="982"/>
        <v>12.92537936910777</v>
      </c>
      <c r="T457">
        <f t="shared" si="983"/>
        <v>1.2925379369107769E-2</v>
      </c>
    </row>
    <row r="458" spans="1:20" x14ac:dyDescent="0.25">
      <c r="A458" s="5">
        <v>44135</v>
      </c>
      <c r="B458">
        <v>1.4382999999999999</v>
      </c>
      <c r="C458">
        <v>1.5580000000000001</v>
      </c>
      <c r="D458">
        <v>1.4266000000000001</v>
      </c>
      <c r="E458">
        <v>1.5497000000000001</v>
      </c>
      <c r="F458">
        <v>851989.58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0.87366818873668228</v>
      </c>
      <c r="Q458">
        <f t="shared" si="980"/>
        <v>744356.19318112661</v>
      </c>
      <c r="R458">
        <f t="shared" si="981"/>
        <v>886827.54897714173</v>
      </c>
      <c r="S458">
        <f t="shared" si="982"/>
        <v>8.8682754897714169</v>
      </c>
      <c r="T458">
        <f t="shared" si="983"/>
        <v>8.8682754897714162E-3</v>
      </c>
    </row>
    <row r="459" spans="1:20" x14ac:dyDescent="0.25">
      <c r="A459" s="5">
        <v>44134</v>
      </c>
      <c r="B459">
        <v>1.4328000000000001</v>
      </c>
      <c r="C459">
        <v>1.4725999999999999</v>
      </c>
      <c r="D459">
        <v>1.3163</v>
      </c>
      <c r="E459">
        <v>1.4380999999999999</v>
      </c>
      <c r="F459">
        <v>1401628.09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0.55854126679462568</v>
      </c>
      <c r="Q459">
        <f t="shared" si="980"/>
        <v>782867.12896353169</v>
      </c>
      <c r="R459">
        <f t="shared" si="981"/>
        <v>142471.35579601512</v>
      </c>
      <c r="S459">
        <f t="shared" si="982"/>
        <v>1.4247135579601513</v>
      </c>
      <c r="T459">
        <f t="shared" si="983"/>
        <v>1.4247135579601514E-3</v>
      </c>
    </row>
    <row r="460" spans="1:20" x14ac:dyDescent="0.25">
      <c r="A460" s="5">
        <v>44133</v>
      </c>
      <c r="B460">
        <v>1.5165999999999999</v>
      </c>
      <c r="C460">
        <v>1.5753999999999999</v>
      </c>
      <c r="D460">
        <v>1.4148000000000001</v>
      </c>
      <c r="E460">
        <v>1.4327000000000001</v>
      </c>
      <c r="F460">
        <v>1233628.05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-0.77708592777085872</v>
      </c>
      <c r="Q460">
        <f t="shared" si="980"/>
        <v>-958634.99775840528</v>
      </c>
      <c r="R460">
        <f t="shared" si="981"/>
        <v>-640395.77316751657</v>
      </c>
      <c r="S460">
        <f t="shared" si="982"/>
        <v>-6.4039577316751659</v>
      </c>
      <c r="T460">
        <f t="shared" si="983"/>
        <v>-6.4039577316751658E-3</v>
      </c>
    </row>
    <row r="461" spans="1:20" x14ac:dyDescent="0.25">
      <c r="A461" s="5">
        <v>44132</v>
      </c>
      <c r="B461">
        <v>1.7083999999999999</v>
      </c>
      <c r="C461">
        <v>1.7255</v>
      </c>
      <c r="D461">
        <v>1.4508000000000001</v>
      </c>
      <c r="E461">
        <v>1.518</v>
      </c>
      <c r="F461">
        <v>3354618.28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-0.51073898798689521</v>
      </c>
      <c r="Q461">
        <f t="shared" si="980"/>
        <v>-1713334.3454095391</v>
      </c>
      <c r="R461">
        <f t="shared" si="981"/>
        <v>318239.22459088871</v>
      </c>
      <c r="S461">
        <f t="shared" si="982"/>
        <v>3.1823922459088871</v>
      </c>
      <c r="T461">
        <f t="shared" si="983"/>
        <v>3.182392245908887E-3</v>
      </c>
    </row>
    <row r="462" spans="1:20" x14ac:dyDescent="0.25">
      <c r="A462" s="5">
        <v>44131</v>
      </c>
      <c r="B462">
        <v>1.6771</v>
      </c>
      <c r="C462">
        <v>1.75</v>
      </c>
      <c r="D462">
        <v>1.5906</v>
      </c>
      <c r="E462">
        <v>1.7110000000000001</v>
      </c>
      <c r="F462">
        <v>2591095.37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0.51066499372647522</v>
      </c>
      <c r="Q462">
        <f t="shared" si="980"/>
        <v>1323181.700865749</v>
      </c>
      <c r="R462">
        <f t="shared" si="981"/>
        <v>2031573.5700004278</v>
      </c>
      <c r="S462">
        <f t="shared" si="982"/>
        <v>20.315735700004279</v>
      </c>
      <c r="T462">
        <f t="shared" si="983"/>
        <v>2.0315735700004278E-2</v>
      </c>
    </row>
    <row r="463" spans="1:20" x14ac:dyDescent="0.25">
      <c r="A463" s="5">
        <v>44130</v>
      </c>
      <c r="B463">
        <v>1.7925</v>
      </c>
      <c r="C463">
        <v>1.8685</v>
      </c>
      <c r="D463">
        <v>1.6121000000000001</v>
      </c>
      <c r="E463">
        <v>1.6798999999999999</v>
      </c>
      <c r="F463">
        <v>2021871.84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-0.47113884555382318</v>
      </c>
      <c r="Q463">
        <f t="shared" si="980"/>
        <v>-952582.36455538438</v>
      </c>
      <c r="R463">
        <f t="shared" si="981"/>
        <v>708391.86913467862</v>
      </c>
      <c r="S463">
        <f t="shared" si="982"/>
        <v>7.0839186913467866</v>
      </c>
      <c r="T463">
        <f t="shared" si="983"/>
        <v>7.0839186913467869E-3</v>
      </c>
    </row>
    <row r="464" spans="1:20" x14ac:dyDescent="0.25">
      <c r="A464" s="5">
        <v>44129</v>
      </c>
      <c r="B464">
        <v>1.9175</v>
      </c>
      <c r="C464">
        <v>1.9244000000000001</v>
      </c>
      <c r="D464">
        <v>1.76</v>
      </c>
      <c r="E464">
        <v>1.7926</v>
      </c>
      <c r="F464">
        <v>1365865.99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-0.60340632603406397</v>
      </c>
      <c r="Q464">
        <f t="shared" si="980"/>
        <v>-824172.17888077954</v>
      </c>
      <c r="R464">
        <f t="shared" si="981"/>
        <v>1660974.233690063</v>
      </c>
      <c r="S464">
        <f t="shared" si="982"/>
        <v>16.609742336900631</v>
      </c>
      <c r="T464">
        <f t="shared" si="983"/>
        <v>1.6609742336900629E-2</v>
      </c>
    </row>
    <row r="465" spans="1:20" x14ac:dyDescent="0.25">
      <c r="A465" s="5">
        <v>44128</v>
      </c>
      <c r="B465">
        <v>1.9652000000000001</v>
      </c>
      <c r="C465">
        <v>1.9730000000000001</v>
      </c>
      <c r="D465">
        <v>1.88</v>
      </c>
      <c r="E465">
        <v>1.9141999999999999</v>
      </c>
      <c r="F465">
        <v>748093.83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-0.26451612903225941</v>
      </c>
      <c r="Q465">
        <f t="shared" si="980"/>
        <v>-197882.88406451713</v>
      </c>
      <c r="R465">
        <f t="shared" si="981"/>
        <v>2485146.4125708425</v>
      </c>
      <c r="S465">
        <f t="shared" si="982"/>
        <v>24.851464125708425</v>
      </c>
      <c r="T465">
        <f t="shared" si="983"/>
        <v>2.4851464125708427E-2</v>
      </c>
    </row>
    <row r="466" spans="1:20" x14ac:dyDescent="0.25">
      <c r="A466" s="5">
        <v>44127</v>
      </c>
      <c r="B466">
        <v>1.9565999999999999</v>
      </c>
      <c r="C466">
        <v>1.9902</v>
      </c>
      <c r="D466">
        <v>1.85</v>
      </c>
      <c r="E466">
        <v>1.9590000000000001</v>
      </c>
      <c r="F466">
        <v>1559992.35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0.55492154065620658</v>
      </c>
      <c r="Q466">
        <f t="shared" si="980"/>
        <v>865673.35827389627</v>
      </c>
      <c r="R466">
        <f t="shared" si="981"/>
        <v>2683029.2966353595</v>
      </c>
      <c r="S466">
        <f t="shared" si="982"/>
        <v>26.830292966353596</v>
      </c>
      <c r="T466">
        <f t="shared" si="983"/>
        <v>2.6830292966353596E-2</v>
      </c>
    </row>
    <row r="467" spans="1:20" x14ac:dyDescent="0.25">
      <c r="A467" s="5">
        <v>44126</v>
      </c>
      <c r="B467">
        <v>1.8868</v>
      </c>
      <c r="C467">
        <v>2.09</v>
      </c>
      <c r="D467">
        <v>1.8481000000000001</v>
      </c>
      <c r="E467">
        <v>1.9581999999999999</v>
      </c>
      <c r="F467">
        <v>1624778.09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-8.9706490285242135E-2</v>
      </c>
      <c r="Q467">
        <f t="shared" si="980"/>
        <v>-145753.13994625927</v>
      </c>
      <c r="R467">
        <f t="shared" si="981"/>
        <v>1817355.9383614634</v>
      </c>
      <c r="S467">
        <f t="shared" si="982"/>
        <v>18.173559383614634</v>
      </c>
      <c r="T467">
        <f t="shared" si="983"/>
        <v>1.8173559383614635E-2</v>
      </c>
    </row>
    <row r="468" spans="1:20" x14ac:dyDescent="0.25">
      <c r="A468" s="5">
        <v>44125</v>
      </c>
      <c r="B468">
        <v>1.8873</v>
      </c>
      <c r="C468">
        <v>2.11</v>
      </c>
      <c r="D468">
        <v>1.8414999999999999</v>
      </c>
      <c r="E468">
        <v>1.8887</v>
      </c>
      <c r="F468">
        <v>3222724.75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-0.64841713221601383</v>
      </c>
      <c r="Q468">
        <f t="shared" si="980"/>
        <v>-2089669.94031657</v>
      </c>
      <c r="R468">
        <f t="shared" si="981"/>
        <v>1963109.0783077227</v>
      </c>
      <c r="S468">
        <f t="shared" si="982"/>
        <v>19.631090783077227</v>
      </c>
      <c r="T468">
        <f t="shared" si="983"/>
        <v>1.9631090783077225E-2</v>
      </c>
    </row>
    <row r="469" spans="1:20" x14ac:dyDescent="0.25">
      <c r="A469" s="5">
        <v>44124</v>
      </c>
      <c r="B469">
        <v>2.0552000000000001</v>
      </c>
      <c r="C469">
        <v>2.1080000000000001</v>
      </c>
      <c r="D469">
        <v>1.8401000000000001</v>
      </c>
      <c r="E469">
        <v>1.885</v>
      </c>
      <c r="F469">
        <v>1933167.04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-0.66480029861888812</v>
      </c>
      <c r="Q469">
        <f t="shared" si="980"/>
        <v>-1285170.0254721921</v>
      </c>
      <c r="R469">
        <f t="shared" si="981"/>
        <v>4052779.0186242927</v>
      </c>
      <c r="S469">
        <f t="shared" si="982"/>
        <v>40.527790186242925</v>
      </c>
      <c r="T469">
        <f t="shared" si="983"/>
        <v>4.0527790186242925E-2</v>
      </c>
    </row>
    <row r="470" spans="1:20" x14ac:dyDescent="0.25">
      <c r="A470" s="5">
        <v>44123</v>
      </c>
      <c r="B470">
        <v>2.2136999999999998</v>
      </c>
      <c r="C470">
        <v>2.2147999999999999</v>
      </c>
      <c r="D470">
        <v>2.0499999999999998</v>
      </c>
      <c r="E470">
        <v>2.0592000000000001</v>
      </c>
      <c r="F470">
        <v>909217.19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-0.88834951456310296</v>
      </c>
      <c r="Q470">
        <f t="shared" si="980"/>
        <v>-807702.64936892851</v>
      </c>
      <c r="R470">
        <f t="shared" si="981"/>
        <v>5337949.0440964848</v>
      </c>
      <c r="S470">
        <f t="shared" si="982"/>
        <v>53.379490440964851</v>
      </c>
      <c r="T470">
        <f t="shared" si="983"/>
        <v>5.337949044096485E-2</v>
      </c>
    </row>
    <row r="471" spans="1:20" x14ac:dyDescent="0.25">
      <c r="A471" s="5">
        <v>44122</v>
      </c>
      <c r="B471">
        <v>2.2031000000000001</v>
      </c>
      <c r="C471">
        <v>2.2595000000000001</v>
      </c>
      <c r="D471">
        <v>2.1762999999999999</v>
      </c>
      <c r="E471">
        <v>2.2149999999999999</v>
      </c>
      <c r="F471">
        <v>478921.26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-6.9711538461541322E-2</v>
      </c>
      <c r="Q471">
        <f t="shared" si="980"/>
        <v>-33386.337836539831</v>
      </c>
      <c r="R471">
        <f t="shared" si="981"/>
        <v>6145651.6934654135</v>
      </c>
      <c r="S471">
        <f t="shared" si="982"/>
        <v>61.456516934654132</v>
      </c>
      <c r="T471">
        <f t="shared" si="983"/>
        <v>6.1456516934654135E-2</v>
      </c>
    </row>
    <row r="472" spans="1:20" x14ac:dyDescent="0.25">
      <c r="A472" s="5">
        <v>44121</v>
      </c>
      <c r="B472">
        <v>2.1374</v>
      </c>
      <c r="C472">
        <v>2.2462</v>
      </c>
      <c r="D472">
        <v>2.1107</v>
      </c>
      <c r="E472">
        <v>2.2052999999999998</v>
      </c>
      <c r="F472">
        <v>482249.55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0.39630996309962846</v>
      </c>
      <c r="Q472">
        <f t="shared" si="980"/>
        <v>191120.30136531242</v>
      </c>
      <c r="R472">
        <f t="shared" si="981"/>
        <v>6179038.0313019529</v>
      </c>
      <c r="S472">
        <f t="shared" si="982"/>
        <v>61.790380313019526</v>
      </c>
      <c r="T472">
        <f t="shared" si="983"/>
        <v>6.1790380313019526E-2</v>
      </c>
    </row>
    <row r="473" spans="1:20" x14ac:dyDescent="0.25">
      <c r="A473" s="5">
        <v>44120</v>
      </c>
      <c r="B473">
        <v>2.2648000000000001</v>
      </c>
      <c r="C473">
        <v>2.2690000000000001</v>
      </c>
      <c r="D473">
        <v>2.1071</v>
      </c>
      <c r="E473">
        <v>2.1398000000000001</v>
      </c>
      <c r="F473">
        <v>1546650.13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-0.59604694255713231</v>
      </c>
      <c r="Q473">
        <f t="shared" si="980"/>
        <v>-921876.08119209111</v>
      </c>
      <c r="R473">
        <f t="shared" si="981"/>
        <v>5987917.7299366407</v>
      </c>
      <c r="S473">
        <f t="shared" si="982"/>
        <v>59.879177299366404</v>
      </c>
      <c r="T473">
        <f t="shared" si="983"/>
        <v>5.9879177299366405E-2</v>
      </c>
    </row>
    <row r="474" spans="1:20" x14ac:dyDescent="0.25">
      <c r="A474" s="5">
        <v>44119</v>
      </c>
      <c r="B474">
        <v>2.3108</v>
      </c>
      <c r="C474">
        <v>2.3485</v>
      </c>
      <c r="D474">
        <v>2.1932</v>
      </c>
      <c r="E474">
        <v>2.2682000000000002</v>
      </c>
      <c r="F474">
        <v>754909.09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-3.4127495170635146E-2</v>
      </c>
      <c r="Q474">
        <f t="shared" si="980"/>
        <v>-25763.156323243573</v>
      </c>
      <c r="R474">
        <f t="shared" si="981"/>
        <v>6909793.8111287318</v>
      </c>
      <c r="S474">
        <f t="shared" si="982"/>
        <v>69.09793811128732</v>
      </c>
      <c r="T474">
        <f t="shared" si="983"/>
        <v>6.9097938111287324E-2</v>
      </c>
    </row>
    <row r="475" spans="1:20" x14ac:dyDescent="0.25">
      <c r="A475" s="5">
        <v>44118</v>
      </c>
      <c r="B475">
        <v>2.4060999999999999</v>
      </c>
      <c r="C475">
        <v>2.4424000000000001</v>
      </c>
      <c r="D475">
        <v>2.2330999999999999</v>
      </c>
      <c r="E475">
        <v>2.3107000000000002</v>
      </c>
      <c r="F475">
        <v>1125385.8500000001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-0.25848064978499535</v>
      </c>
      <c r="Q475">
        <f t="shared" si="980"/>
        <v>-290890.46576683933</v>
      </c>
      <c r="R475">
        <f t="shared" si="981"/>
        <v>6935556.9674519757</v>
      </c>
      <c r="S475">
        <f t="shared" si="982"/>
        <v>69.355569674519757</v>
      </c>
      <c r="T475">
        <f t="shared" si="983"/>
        <v>6.9355569674519751E-2</v>
      </c>
    </row>
    <row r="476" spans="1:20" x14ac:dyDescent="0.25">
      <c r="A476" s="5">
        <v>44117</v>
      </c>
      <c r="B476">
        <v>2.5825999999999998</v>
      </c>
      <c r="C476">
        <v>2.5867</v>
      </c>
      <c r="D476">
        <v>2.3359999999999999</v>
      </c>
      <c r="E476">
        <v>2.4062000000000001</v>
      </c>
      <c r="F476">
        <v>1951031.1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-0.43996808934981874</v>
      </c>
      <c r="Q476">
        <f t="shared" si="980"/>
        <v>-858391.42532907519</v>
      </c>
      <c r="R476">
        <f t="shared" si="981"/>
        <v>7226447.4332188154</v>
      </c>
      <c r="S476">
        <f t="shared" si="982"/>
        <v>72.264474332188158</v>
      </c>
      <c r="T476">
        <f t="shared" si="983"/>
        <v>7.2264474332188161E-2</v>
      </c>
    </row>
    <row r="477" spans="1:20" x14ac:dyDescent="0.25">
      <c r="A477" s="5">
        <v>44116</v>
      </c>
      <c r="B477">
        <v>2.4228000000000001</v>
      </c>
      <c r="C477">
        <v>2.7044000000000001</v>
      </c>
      <c r="D477">
        <v>2.4131999999999998</v>
      </c>
      <c r="E477">
        <v>2.5836000000000001</v>
      </c>
      <c r="F477">
        <v>2155387.0099999998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0.1703296703296712</v>
      </c>
      <c r="Q477">
        <f t="shared" si="980"/>
        <v>367126.35884615569</v>
      </c>
      <c r="R477">
        <f t="shared" si="981"/>
        <v>8084838.8585478906</v>
      </c>
      <c r="S477">
        <f t="shared" si="982"/>
        <v>80.848388585478901</v>
      </c>
      <c r="T477">
        <f t="shared" si="983"/>
        <v>8.0848388585478895E-2</v>
      </c>
    </row>
    <row r="478" spans="1:20" x14ac:dyDescent="0.25">
      <c r="A478" s="5">
        <v>44115</v>
      </c>
      <c r="B478">
        <v>2.3988</v>
      </c>
      <c r="C478">
        <v>2.4607000000000001</v>
      </c>
      <c r="D478">
        <v>2.3401000000000001</v>
      </c>
      <c r="E478">
        <v>2.4226999999999999</v>
      </c>
      <c r="F478">
        <v>898764.08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0.36981757877279864</v>
      </c>
      <c r="Q478">
        <f t="shared" si="980"/>
        <v>332378.75595356186</v>
      </c>
      <c r="R478">
        <f t="shared" si="981"/>
        <v>7717712.4997017346</v>
      </c>
      <c r="S478">
        <f t="shared" si="982"/>
        <v>77.177124997017344</v>
      </c>
      <c r="T478">
        <f t="shared" si="983"/>
        <v>7.7177124997017343E-2</v>
      </c>
    </row>
    <row r="479" spans="1:20" x14ac:dyDescent="0.25">
      <c r="A479" s="5">
        <v>44114</v>
      </c>
      <c r="B479">
        <v>2.5274000000000001</v>
      </c>
      <c r="C479">
        <v>2.6055999999999999</v>
      </c>
      <c r="D479">
        <v>2.3873000000000002</v>
      </c>
      <c r="E479">
        <v>2.3999000000000001</v>
      </c>
      <c r="F479">
        <v>1278940.27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-0.88456252863032558</v>
      </c>
      <c r="Q479">
        <f t="shared" si="980"/>
        <v>-1131302.6391983514</v>
      </c>
      <c r="R479">
        <f t="shared" si="981"/>
        <v>7385333.7437481731</v>
      </c>
      <c r="S479">
        <f t="shared" si="982"/>
        <v>73.853337437481727</v>
      </c>
      <c r="T479">
        <f t="shared" si="983"/>
        <v>7.3853337437481723E-2</v>
      </c>
    </row>
    <row r="480" spans="1:20" x14ac:dyDescent="0.25">
      <c r="A480" s="5">
        <v>44113</v>
      </c>
      <c r="B480">
        <v>2.3685999999999998</v>
      </c>
      <c r="C480">
        <v>2.63</v>
      </c>
      <c r="D480">
        <v>2.3029999999999999</v>
      </c>
      <c r="E480">
        <v>2.5314000000000001</v>
      </c>
      <c r="F480">
        <v>1878523.79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0.396941896024466</v>
      </c>
      <c r="Q480">
        <f t="shared" si="980"/>
        <v>745664.79492966586</v>
      </c>
      <c r="R480">
        <f t="shared" si="981"/>
        <v>8516636.3829465248</v>
      </c>
      <c r="S480">
        <f t="shared" si="982"/>
        <v>85.166363829465254</v>
      </c>
      <c r="T480">
        <f t="shared" si="983"/>
        <v>8.5166363829465255E-2</v>
      </c>
    </row>
    <row r="481" spans="1:20" x14ac:dyDescent="0.25">
      <c r="A481" s="5">
        <v>44112</v>
      </c>
      <c r="B481">
        <v>2.3001</v>
      </c>
      <c r="C481">
        <v>2.4569000000000001</v>
      </c>
      <c r="D481">
        <v>2.0123000000000002</v>
      </c>
      <c r="E481">
        <v>2.3637999999999999</v>
      </c>
      <c r="F481">
        <v>2759189.94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0.58119658119658024</v>
      </c>
      <c r="Q481">
        <f t="shared" si="980"/>
        <v>1603631.7599999974</v>
      </c>
      <c r="R481">
        <f t="shared" si="981"/>
        <v>7770971.5880168583</v>
      </c>
      <c r="S481">
        <f t="shared" si="982"/>
        <v>77.709715880168588</v>
      </c>
      <c r="T481">
        <f t="shared" si="983"/>
        <v>7.7709715880168589E-2</v>
      </c>
    </row>
    <row r="482" spans="1:20" x14ac:dyDescent="0.25">
      <c r="A482" s="5">
        <v>44111</v>
      </c>
      <c r="B482">
        <v>2.1720999999999999</v>
      </c>
      <c r="C482">
        <v>2.4083000000000001</v>
      </c>
      <c r="D482">
        <v>2.081</v>
      </c>
      <c r="E482">
        <v>2.3005</v>
      </c>
      <c r="F482">
        <v>2087951.2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0.34127711579590547</v>
      </c>
      <c r="Q482">
        <f t="shared" si="980"/>
        <v>712569.96345859976</v>
      </c>
      <c r="R482">
        <f t="shared" si="981"/>
        <v>6167339.8280168604</v>
      </c>
      <c r="S482">
        <f t="shared" si="982"/>
        <v>61.673398280168605</v>
      </c>
      <c r="T482">
        <f t="shared" si="983"/>
        <v>6.1673398280168608E-2</v>
      </c>
    </row>
    <row r="483" spans="1:20" x14ac:dyDescent="0.25">
      <c r="A483" s="5">
        <v>44110</v>
      </c>
      <c r="B483">
        <v>2.6486000000000001</v>
      </c>
      <c r="C483">
        <v>2.6604000000000001</v>
      </c>
      <c r="D483">
        <v>2.13</v>
      </c>
      <c r="E483">
        <v>2.1739999999999999</v>
      </c>
      <c r="F483">
        <v>1784025.33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-0.8340874811463046</v>
      </c>
      <c r="Q483">
        <f t="shared" si="980"/>
        <v>-1488033.1938009048</v>
      </c>
      <c r="R483">
        <f t="shared" si="981"/>
        <v>5454769.8645582609</v>
      </c>
      <c r="S483">
        <f t="shared" si="982"/>
        <v>54.547698645582607</v>
      </c>
      <c r="T483">
        <f t="shared" si="983"/>
        <v>5.4547698645582607E-2</v>
      </c>
    </row>
    <row r="484" spans="1:20" x14ac:dyDescent="0.25">
      <c r="A484" s="5">
        <v>44109</v>
      </c>
      <c r="B484">
        <v>2.5181</v>
      </c>
      <c r="C484">
        <v>2.6829999999999998</v>
      </c>
      <c r="D484">
        <v>2.4561000000000002</v>
      </c>
      <c r="E484">
        <v>2.6522000000000001</v>
      </c>
      <c r="F484">
        <v>912587.17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0.72851476421331196</v>
      </c>
      <c r="Q484">
        <f t="shared" si="980"/>
        <v>664833.22697664367</v>
      </c>
      <c r="R484">
        <f t="shared" si="981"/>
        <v>6942803.0583591657</v>
      </c>
      <c r="S484">
        <f t="shared" si="982"/>
        <v>69.428030583591664</v>
      </c>
      <c r="T484">
        <f t="shared" si="983"/>
        <v>6.9428030583591663E-2</v>
      </c>
    </row>
    <row r="485" spans="1:20" x14ac:dyDescent="0.25">
      <c r="A485" s="5">
        <v>44108</v>
      </c>
      <c r="B485">
        <v>2.5419999999999998</v>
      </c>
      <c r="C485">
        <v>2.5897999999999999</v>
      </c>
      <c r="D485">
        <v>2.42</v>
      </c>
      <c r="E485">
        <v>2.5202</v>
      </c>
      <c r="F485">
        <v>765399.21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0.18021201413427673</v>
      </c>
      <c r="Q485">
        <f t="shared" si="980"/>
        <v>137934.13325088425</v>
      </c>
      <c r="R485">
        <f t="shared" si="981"/>
        <v>6277969.8313825224</v>
      </c>
      <c r="S485">
        <f t="shared" si="982"/>
        <v>62.779698313825222</v>
      </c>
      <c r="T485">
        <f t="shared" si="983"/>
        <v>6.2779698313825225E-2</v>
      </c>
    </row>
    <row r="486" spans="1:20" x14ac:dyDescent="0.25">
      <c r="A486" s="5">
        <v>44107</v>
      </c>
      <c r="B486">
        <v>2.6231</v>
      </c>
      <c r="C486">
        <v>2.6707999999999998</v>
      </c>
      <c r="D486">
        <v>2.5356000000000001</v>
      </c>
      <c r="E486">
        <v>2.5438999999999998</v>
      </c>
      <c r="F486">
        <v>547025.23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-0.87721893491124603</v>
      </c>
      <c r="Q486">
        <f t="shared" si="980"/>
        <v>-479860.88963017939</v>
      </c>
      <c r="R486">
        <f t="shared" si="981"/>
        <v>6140035.6981316376</v>
      </c>
      <c r="S486">
        <f t="shared" si="982"/>
        <v>61.400356981316378</v>
      </c>
      <c r="T486">
        <f t="shared" si="983"/>
        <v>6.1400356981316379E-2</v>
      </c>
    </row>
    <row r="487" spans="1:20" x14ac:dyDescent="0.25">
      <c r="A487" s="5">
        <v>44106</v>
      </c>
      <c r="B487">
        <v>2.8666999999999998</v>
      </c>
      <c r="C487">
        <v>2.8873000000000002</v>
      </c>
      <c r="D487">
        <v>2.42</v>
      </c>
      <c r="E487">
        <v>2.6232000000000002</v>
      </c>
      <c r="F487">
        <v>2788493.11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-0.13032313289107575</v>
      </c>
      <c r="Q487">
        <f t="shared" si="980"/>
        <v>-363405.15814037906</v>
      </c>
      <c r="R487">
        <f t="shared" si="981"/>
        <v>6619896.5877618175</v>
      </c>
      <c r="S487">
        <f t="shared" si="982"/>
        <v>66.198965877618178</v>
      </c>
      <c r="T487">
        <f t="shared" si="983"/>
        <v>6.6198965877618185E-2</v>
      </c>
    </row>
    <row r="488" spans="1:20" x14ac:dyDescent="0.25">
      <c r="A488" s="5">
        <v>44105</v>
      </c>
      <c r="B488">
        <v>2.8967000000000001</v>
      </c>
      <c r="C488">
        <v>2.9889000000000001</v>
      </c>
      <c r="D488">
        <v>2.65</v>
      </c>
      <c r="E488">
        <v>2.8668999999999998</v>
      </c>
      <c r="F488">
        <v>1373061.59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0.2800236057834154</v>
      </c>
      <c r="Q488">
        <f t="shared" si="980"/>
        <v>384489.65739450959</v>
      </c>
      <c r="R488">
        <f t="shared" si="981"/>
        <v>6983301.7459021965</v>
      </c>
      <c r="S488">
        <f t="shared" si="982"/>
        <v>69.83301745902196</v>
      </c>
      <c r="T488">
        <f t="shared" si="983"/>
        <v>6.9833017459021957E-2</v>
      </c>
    </row>
    <row r="489" spans="1:20" x14ac:dyDescent="0.25">
      <c r="A489" s="5">
        <v>44104</v>
      </c>
      <c r="B489">
        <v>2.9447000000000001</v>
      </c>
      <c r="C489">
        <v>2.9838</v>
      </c>
      <c r="D489">
        <v>2.8228</v>
      </c>
      <c r="E489">
        <v>2.8967000000000001</v>
      </c>
      <c r="F489">
        <v>722757.83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-8.1987577639750786E-2</v>
      </c>
      <c r="Q489">
        <f t="shared" si="980"/>
        <v>-59257.163701862795</v>
      </c>
      <c r="R489">
        <f t="shared" si="981"/>
        <v>6598812.0885076867</v>
      </c>
      <c r="S489">
        <f t="shared" si="982"/>
        <v>65.988120885076867</v>
      </c>
      <c r="T489">
        <f t="shared" si="983"/>
        <v>6.598812088507687E-2</v>
      </c>
    </row>
    <row r="490" spans="1:20" x14ac:dyDescent="0.25">
      <c r="A490" s="5">
        <v>44103</v>
      </c>
      <c r="B490">
        <v>2.9548999999999999</v>
      </c>
      <c r="C490">
        <v>3.0270000000000001</v>
      </c>
      <c r="D490">
        <v>2.8734999999999999</v>
      </c>
      <c r="E490">
        <v>2.9504999999999999</v>
      </c>
      <c r="F490">
        <v>950875.56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3.2573289902262039E-3</v>
      </c>
      <c r="Q490">
        <f t="shared" si="980"/>
        <v>3097.3145276855762</v>
      </c>
      <c r="R490">
        <f t="shared" si="981"/>
        <v>6658069.2522095498</v>
      </c>
      <c r="S490">
        <f t="shared" si="982"/>
        <v>66.580692522095504</v>
      </c>
      <c r="T490">
        <f t="shared" si="983"/>
        <v>6.6580692522095503E-2</v>
      </c>
    </row>
    <row r="491" spans="1:20" x14ac:dyDescent="0.25">
      <c r="A491" s="5">
        <v>44102</v>
      </c>
      <c r="B491">
        <v>3.1556999999999999</v>
      </c>
      <c r="C491">
        <v>3.2109000000000001</v>
      </c>
      <c r="D491">
        <v>2.9079999999999999</v>
      </c>
      <c r="E491">
        <v>2.9599000000000002</v>
      </c>
      <c r="F491">
        <v>1306134.1499999999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-0.65731264443710635</v>
      </c>
      <c r="Q491">
        <f t="shared" si="980"/>
        <v>-858538.49212611211</v>
      </c>
      <c r="R491">
        <f t="shared" si="981"/>
        <v>6654971.937681864</v>
      </c>
      <c r="S491">
        <f t="shared" si="982"/>
        <v>66.549719376818643</v>
      </c>
      <c r="T491">
        <f t="shared" si="983"/>
        <v>6.6549719376818639E-2</v>
      </c>
    </row>
    <row r="492" spans="1:20" x14ac:dyDescent="0.25">
      <c r="A492" s="5">
        <v>44101</v>
      </c>
      <c r="B492">
        <v>3.1292</v>
      </c>
      <c r="C492">
        <v>3.1857000000000002</v>
      </c>
      <c r="D492">
        <v>2.9819</v>
      </c>
      <c r="E492">
        <v>3.1577999999999999</v>
      </c>
      <c r="F492">
        <v>983815.86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0.72620215897938933</v>
      </c>
      <c r="Q492">
        <f t="shared" si="980"/>
        <v>714449.20157016465</v>
      </c>
      <c r="R492">
        <f t="shared" si="981"/>
        <v>7513510.4298079759</v>
      </c>
      <c r="S492">
        <f t="shared" si="982"/>
        <v>75.135104298079753</v>
      </c>
      <c r="T492">
        <f t="shared" si="983"/>
        <v>7.513510429807975E-2</v>
      </c>
    </row>
    <row r="493" spans="1:20" x14ac:dyDescent="0.25">
      <c r="A493" s="5">
        <v>44100</v>
      </c>
      <c r="B493">
        <v>3.1850000000000001</v>
      </c>
      <c r="C493">
        <v>3.25</v>
      </c>
      <c r="D493">
        <v>3.03</v>
      </c>
      <c r="E493">
        <v>3.1286999999999998</v>
      </c>
      <c r="F493">
        <v>1357018.72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-0.10272727272727343</v>
      </c>
      <c r="Q493">
        <f t="shared" si="980"/>
        <v>-139402.8321454555</v>
      </c>
      <c r="R493">
        <f t="shared" si="981"/>
        <v>6799061.2282378115</v>
      </c>
      <c r="S493">
        <f t="shared" si="982"/>
        <v>67.990612282378109</v>
      </c>
      <c r="T493">
        <f t="shared" si="983"/>
        <v>6.7990612282378113E-2</v>
      </c>
    </row>
    <row r="494" spans="1:20" x14ac:dyDescent="0.25">
      <c r="A494" s="5">
        <v>44099</v>
      </c>
      <c r="B494">
        <v>3.1408999999999998</v>
      </c>
      <c r="C494">
        <v>3.2766000000000002</v>
      </c>
      <c r="D494">
        <v>2.9003000000000001</v>
      </c>
      <c r="E494">
        <v>3.1937000000000002</v>
      </c>
      <c r="F494">
        <v>2447843.2200000002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0.55939410045176741</v>
      </c>
      <c r="Q494">
        <f t="shared" si="980"/>
        <v>1369309.0560988579</v>
      </c>
      <c r="R494">
        <f t="shared" si="981"/>
        <v>6938464.0603832668</v>
      </c>
      <c r="S494">
        <f t="shared" si="982"/>
        <v>69.384640603832665</v>
      </c>
      <c r="T494">
        <f t="shared" si="983"/>
        <v>6.9384640603832662E-2</v>
      </c>
    </row>
    <row r="495" spans="1:20" x14ac:dyDescent="0.25">
      <c r="A495" s="5">
        <v>44098</v>
      </c>
      <c r="B495">
        <v>2.855</v>
      </c>
      <c r="C495">
        <v>3.2570999999999999</v>
      </c>
      <c r="D495">
        <v>2.7804000000000002</v>
      </c>
      <c r="E495">
        <v>3.1433</v>
      </c>
      <c r="F495">
        <v>2983701.04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0.52255087056849181</v>
      </c>
      <c r="Q495">
        <f t="shared" si="980"/>
        <v>1559135.5759681144</v>
      </c>
      <c r="R495">
        <f t="shared" si="981"/>
        <v>5569155.0042844089</v>
      </c>
      <c r="S495">
        <f t="shared" si="982"/>
        <v>55.691550042844092</v>
      </c>
      <c r="T495">
        <f t="shared" si="983"/>
        <v>5.5691550042844089E-2</v>
      </c>
    </row>
    <row r="496" spans="1:20" x14ac:dyDescent="0.25">
      <c r="A496" s="5">
        <v>44097</v>
      </c>
      <c r="B496">
        <v>2.9184000000000001</v>
      </c>
      <c r="C496">
        <v>3.09</v>
      </c>
      <c r="D496">
        <v>2.7000999999999999</v>
      </c>
      <c r="E496">
        <v>2.8548</v>
      </c>
      <c r="F496">
        <v>2762150.96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-0.20646319569120239</v>
      </c>
      <c r="Q496">
        <f t="shared" si="980"/>
        <v>-570282.51418312255</v>
      </c>
      <c r="R496">
        <f t="shared" si="981"/>
        <v>4010019.4283162942</v>
      </c>
      <c r="S496">
        <f t="shared" si="982"/>
        <v>40.100194283162942</v>
      </c>
      <c r="T496">
        <f t="shared" si="983"/>
        <v>4.0100194283162943E-2</v>
      </c>
    </row>
    <row r="497" spans="1:20" x14ac:dyDescent="0.25">
      <c r="A497" s="5">
        <v>44096</v>
      </c>
      <c r="B497">
        <v>2.7570999999999999</v>
      </c>
      <c r="C497">
        <v>3.0106999999999999</v>
      </c>
      <c r="D497">
        <v>2.65</v>
      </c>
      <c r="E497">
        <v>2.9081999999999999</v>
      </c>
      <c r="F497">
        <v>3416786.33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0.43166065982811186</v>
      </c>
      <c r="Q497">
        <f t="shared" si="980"/>
        <v>1474892.2416994728</v>
      </c>
      <c r="R497">
        <f t="shared" si="981"/>
        <v>4580301.9424994169</v>
      </c>
      <c r="S497">
        <f t="shared" si="982"/>
        <v>45.803019424994169</v>
      </c>
      <c r="T497">
        <f t="shared" si="983"/>
        <v>4.5803019424994165E-2</v>
      </c>
    </row>
    <row r="498" spans="1:20" x14ac:dyDescent="0.25">
      <c r="A498" s="5">
        <v>44095</v>
      </c>
      <c r="B498">
        <v>2.8628</v>
      </c>
      <c r="C498">
        <v>3.0396999999999998</v>
      </c>
      <c r="D498">
        <v>2.4689000000000001</v>
      </c>
      <c r="E498">
        <v>2.7671999999999999</v>
      </c>
      <c r="F498">
        <v>3567879.31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4.5199719691660534E-2</v>
      </c>
      <c r="Q498">
        <f t="shared" si="980"/>
        <v>161267.14470567519</v>
      </c>
      <c r="R498">
        <f t="shared" si="981"/>
        <v>3105409.7007999439</v>
      </c>
      <c r="S498">
        <f t="shared" si="982"/>
        <v>31.054097007999438</v>
      </c>
      <c r="T498">
        <f t="shared" si="983"/>
        <v>3.1054097007999437E-2</v>
      </c>
    </row>
    <row r="499" spans="1:20" x14ac:dyDescent="0.25">
      <c r="A499" s="5">
        <v>44094</v>
      </c>
      <c r="B499">
        <v>3.0215999999999998</v>
      </c>
      <c r="C499">
        <v>3.0318999999999998</v>
      </c>
      <c r="D499">
        <v>2.7</v>
      </c>
      <c r="E499">
        <v>2.8628</v>
      </c>
      <c r="F499">
        <v>1456628.58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-1.8981620970171677E-2</v>
      </c>
      <c r="Q499">
        <f t="shared" si="980"/>
        <v>-27649.171599879392</v>
      </c>
      <c r="R499">
        <f t="shared" si="981"/>
        <v>2944142.5560942688</v>
      </c>
      <c r="S499">
        <f t="shared" si="982"/>
        <v>29.441425560942687</v>
      </c>
      <c r="T499">
        <f t="shared" si="983"/>
        <v>2.9441425560942688E-2</v>
      </c>
    </row>
    <row r="500" spans="1:20" x14ac:dyDescent="0.25">
      <c r="A500" s="5">
        <v>44093</v>
      </c>
      <c r="B500">
        <v>3.1084000000000001</v>
      </c>
      <c r="C500">
        <v>3.2545000000000002</v>
      </c>
      <c r="D500">
        <v>2.9563999999999999</v>
      </c>
      <c r="E500">
        <v>3.0310000000000001</v>
      </c>
      <c r="F500">
        <v>1586219.86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-0.49949681314994859</v>
      </c>
      <c r="Q500">
        <f t="shared" si="980"/>
        <v>-792311.76502515771</v>
      </c>
      <c r="R500">
        <f t="shared" si="981"/>
        <v>2971791.7276941482</v>
      </c>
      <c r="S500">
        <f t="shared" si="982"/>
        <v>29.717917276941481</v>
      </c>
      <c r="T500">
        <f t="shared" si="983"/>
        <v>2.971791727694148E-2</v>
      </c>
    </row>
    <row r="501" spans="1:20" x14ac:dyDescent="0.25">
      <c r="A501" s="5">
        <v>44092</v>
      </c>
      <c r="B501">
        <v>2.883</v>
      </c>
      <c r="C501">
        <v>3.16</v>
      </c>
      <c r="D501">
        <v>2.726</v>
      </c>
      <c r="E501">
        <v>3.1143999999999998</v>
      </c>
      <c r="F501">
        <v>4169446.23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0.78986175115207236</v>
      </c>
      <c r="Q501">
        <f t="shared" si="980"/>
        <v>3293286.100562206</v>
      </c>
      <c r="R501">
        <f t="shared" si="981"/>
        <v>3764103.4927193061</v>
      </c>
      <c r="S501">
        <f t="shared" si="982"/>
        <v>37.641034927193061</v>
      </c>
      <c r="T501">
        <f t="shared" si="983"/>
        <v>3.7641034927193062E-2</v>
      </c>
    </row>
    <row r="502" spans="1:20" x14ac:dyDescent="0.25">
      <c r="A502" s="5">
        <v>44091</v>
      </c>
      <c r="B502">
        <v>2.5375999999999999</v>
      </c>
      <c r="C502">
        <v>2.9388999999999998</v>
      </c>
      <c r="D502">
        <v>2.36</v>
      </c>
      <c r="E502">
        <v>2.8828999999999998</v>
      </c>
      <c r="F502">
        <v>4635747.3099999996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0.80652962515114857</v>
      </c>
      <c r="Q502">
        <f t="shared" si="980"/>
        <v>3738867.5402297452</v>
      </c>
      <c r="R502">
        <f t="shared" si="981"/>
        <v>470817.39215710014</v>
      </c>
      <c r="S502">
        <f t="shared" si="982"/>
        <v>4.7081739215710012</v>
      </c>
      <c r="T502">
        <f t="shared" si="983"/>
        <v>4.7081739215710013E-3</v>
      </c>
    </row>
    <row r="503" spans="1:20" x14ac:dyDescent="0.25">
      <c r="A503" s="5">
        <v>44090</v>
      </c>
      <c r="B503">
        <v>2.9287999999999998</v>
      </c>
      <c r="C503">
        <v>2.9293</v>
      </c>
      <c r="D503">
        <v>2.4281999999999999</v>
      </c>
      <c r="E503">
        <v>2.5327000000000002</v>
      </c>
      <c r="F503">
        <v>4886766.99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-0.58291758132109261</v>
      </c>
      <c r="Q503">
        <f t="shared" si="980"/>
        <v>-2848582.3942905562</v>
      </c>
      <c r="R503">
        <f t="shared" si="981"/>
        <v>-3268050.1480726451</v>
      </c>
      <c r="S503">
        <f t="shared" si="982"/>
        <v>-32.680501480726448</v>
      </c>
      <c r="T503">
        <f t="shared" si="983"/>
        <v>-3.2680501480726445E-2</v>
      </c>
    </row>
    <row r="504" spans="1:20" x14ac:dyDescent="0.25">
      <c r="A504" s="5">
        <v>44089</v>
      </c>
      <c r="B504">
        <v>3.2639999999999998</v>
      </c>
      <c r="C504">
        <v>3.3249</v>
      </c>
      <c r="D504">
        <v>2.8955000000000002</v>
      </c>
      <c r="E504">
        <v>2.9295</v>
      </c>
      <c r="F504">
        <v>1698391.09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-0.84163949697252061</v>
      </c>
      <c r="Q504">
        <f t="shared" si="980"/>
        <v>-1429433.0226502111</v>
      </c>
      <c r="R504">
        <f t="shared" si="981"/>
        <v>-419467.75378208887</v>
      </c>
      <c r="S504">
        <f t="shared" si="982"/>
        <v>-4.1946775378208887</v>
      </c>
      <c r="T504">
        <f t="shared" si="983"/>
        <v>-4.1946775378208885E-3</v>
      </c>
    </row>
    <row r="505" spans="1:20" x14ac:dyDescent="0.25">
      <c r="A505" s="5">
        <v>44088</v>
      </c>
      <c r="B505">
        <v>3.2656000000000001</v>
      </c>
      <c r="C505">
        <v>3.5392999999999999</v>
      </c>
      <c r="D505">
        <v>3.0752000000000002</v>
      </c>
      <c r="E505">
        <v>3.2641</v>
      </c>
      <c r="F505">
        <v>3351649.61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-0.18595130359836262</v>
      </c>
      <c r="Q505">
        <f t="shared" si="980"/>
        <v>-623243.61418444361</v>
      </c>
      <c r="R505">
        <f t="shared" si="981"/>
        <v>1009965.2688681222</v>
      </c>
      <c r="S505">
        <f t="shared" si="982"/>
        <v>10.099652688681223</v>
      </c>
      <c r="T505">
        <f t="shared" si="983"/>
        <v>1.0099652688681224E-2</v>
      </c>
    </row>
    <row r="506" spans="1:20" x14ac:dyDescent="0.25">
      <c r="A506" s="5">
        <v>44087</v>
      </c>
      <c r="B506">
        <v>3.3386</v>
      </c>
      <c r="C506">
        <v>3.47</v>
      </c>
      <c r="D506">
        <v>2.9838</v>
      </c>
      <c r="E506">
        <v>3.2603</v>
      </c>
      <c r="F506">
        <v>2024779.41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0.13739201974496035</v>
      </c>
      <c r="Q506">
        <f t="shared" si="980"/>
        <v>278188.53267790913</v>
      </c>
      <c r="R506">
        <f t="shared" si="981"/>
        <v>1633208.8830525659</v>
      </c>
      <c r="S506">
        <f t="shared" si="982"/>
        <v>16.33208883052566</v>
      </c>
      <c r="T506">
        <f t="shared" si="983"/>
        <v>1.633208883052566E-2</v>
      </c>
    </row>
    <row r="507" spans="1:20" x14ac:dyDescent="0.25">
      <c r="A507" s="5">
        <v>44086</v>
      </c>
      <c r="B507">
        <v>3.3967000000000001</v>
      </c>
      <c r="C507">
        <v>3.47</v>
      </c>
      <c r="D507">
        <v>3.1494</v>
      </c>
      <c r="E507">
        <v>3.3315999999999999</v>
      </c>
      <c r="F507">
        <v>1161542.47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0.13661883967560695</v>
      </c>
      <c r="Q507">
        <f t="shared" si="980"/>
        <v>158688.58448533851</v>
      </c>
      <c r="R507">
        <f t="shared" si="981"/>
        <v>1355020.3503746567</v>
      </c>
      <c r="S507">
        <f t="shared" si="982"/>
        <v>13.550203503746568</v>
      </c>
      <c r="T507">
        <f t="shared" si="983"/>
        <v>1.3550203503746567E-2</v>
      </c>
    </row>
    <row r="508" spans="1:20" x14ac:dyDescent="0.25">
      <c r="A508" s="5">
        <v>44085</v>
      </c>
      <c r="B508">
        <v>3.4706999999999999</v>
      </c>
      <c r="C508">
        <v>3.5036</v>
      </c>
      <c r="D508">
        <v>3.0316000000000001</v>
      </c>
      <c r="E508">
        <v>3.3965000000000001</v>
      </c>
      <c r="F508">
        <v>2227636.94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0.54618644067796618</v>
      </c>
      <c r="Q508">
        <f t="shared" si="980"/>
        <v>1216705.0913813561</v>
      </c>
      <c r="R508">
        <f t="shared" si="981"/>
        <v>1196331.7658893182</v>
      </c>
      <c r="S508">
        <f t="shared" si="982"/>
        <v>11.963317658893182</v>
      </c>
      <c r="T508">
        <f t="shared" si="983"/>
        <v>1.1963317658893182E-2</v>
      </c>
    </row>
    <row r="509" spans="1:20" x14ac:dyDescent="0.25">
      <c r="A509" s="5">
        <v>44084</v>
      </c>
      <c r="B509">
        <v>3.6107</v>
      </c>
      <c r="C509">
        <v>3.875</v>
      </c>
      <c r="D509">
        <v>3.3039999999999998</v>
      </c>
      <c r="E509">
        <v>3.4761000000000002</v>
      </c>
      <c r="F509">
        <v>4356890.66</v>
      </c>
      <c r="G509">
        <v>0</v>
      </c>
      <c r="L509" t="s">
        <v>7</v>
      </c>
      <c r="M509" t="s">
        <v>8</v>
      </c>
      <c r="N509" t="s">
        <v>8</v>
      </c>
      <c r="P509">
        <f t="shared" si="979"/>
        <v>-0.39719789842381675</v>
      </c>
      <c r="Q509">
        <f t="shared" si="980"/>
        <v>-1730547.813814356</v>
      </c>
      <c r="R509">
        <f t="shared" si="981"/>
        <v>-20373.325492037926</v>
      </c>
      <c r="S509">
        <f t="shared" si="982"/>
        <v>-0.20373325492037925</v>
      </c>
      <c r="T509">
        <f t="shared" si="983"/>
        <v>-2.0373325492037923E-4</v>
      </c>
    </row>
    <row r="510" spans="1:20" x14ac:dyDescent="0.25">
      <c r="A510" s="5">
        <v>44083</v>
      </c>
      <c r="B510">
        <v>2.468</v>
      </c>
      <c r="C510">
        <v>3.8837999999999999</v>
      </c>
      <c r="D510">
        <v>2.3820999999999999</v>
      </c>
      <c r="E510">
        <v>3.6000999999999999</v>
      </c>
      <c r="F510">
        <v>6691121.9900000002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0.62216155024305775</v>
      </c>
      <c r="Q510">
        <f t="shared" si="980"/>
        <v>4162958.8301638137</v>
      </c>
      <c r="R510">
        <f t="shared" si="981"/>
        <v>1710174.4883223181</v>
      </c>
      <c r="S510">
        <f t="shared" si="982"/>
        <v>17.10174488322318</v>
      </c>
      <c r="T510">
        <f t="shared" si="983"/>
        <v>1.7101744883223181E-2</v>
      </c>
    </row>
    <row r="511" spans="1:20" x14ac:dyDescent="0.25">
      <c r="A511" s="5">
        <v>44082</v>
      </c>
      <c r="B511">
        <v>2.9237000000000002</v>
      </c>
      <c r="C511">
        <v>2.9499</v>
      </c>
      <c r="D511">
        <v>2.4</v>
      </c>
      <c r="E511">
        <v>2.468</v>
      </c>
      <c r="F511">
        <v>1626389.7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-0.75268230587379503</v>
      </c>
      <c r="Q511">
        <f t="shared" si="980"/>
        <v>-1224154.7496453896</v>
      </c>
      <c r="R511">
        <f t="shared" si="981"/>
        <v>-2452784.3418414956</v>
      </c>
      <c r="S511">
        <f t="shared" si="982"/>
        <v>-24.527843418414957</v>
      </c>
      <c r="T511">
        <f t="shared" si="983"/>
        <v>-2.4527843418414956E-2</v>
      </c>
    </row>
    <row r="512" spans="1:20" x14ac:dyDescent="0.25">
      <c r="A512" s="5">
        <v>44081</v>
      </c>
      <c r="B512">
        <v>3.0785</v>
      </c>
      <c r="C512">
        <v>3.1983000000000001</v>
      </c>
      <c r="D512">
        <v>2.38</v>
      </c>
      <c r="E512">
        <v>2.9237000000000002</v>
      </c>
      <c r="F512">
        <v>2680083.17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0.32885249908346603</v>
      </c>
      <c r="Q512">
        <f t="shared" si="980"/>
        <v>881352.04820603773</v>
      </c>
      <c r="R512">
        <f t="shared" si="981"/>
        <v>-1228629.592196106</v>
      </c>
      <c r="S512">
        <f t="shared" si="982"/>
        <v>-12.286295921961059</v>
      </c>
      <c r="T512">
        <f t="shared" si="983"/>
        <v>-1.2286295921961059E-2</v>
      </c>
    </row>
    <row r="513" spans="1:20" x14ac:dyDescent="0.25">
      <c r="A513" s="5">
        <v>44080</v>
      </c>
      <c r="B513">
        <v>2.6118999999999999</v>
      </c>
      <c r="C513">
        <v>3.18</v>
      </c>
      <c r="D513">
        <v>2.2574999999999998</v>
      </c>
      <c r="E513">
        <v>3.0941000000000001</v>
      </c>
      <c r="F513">
        <v>2898758.91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0.81376693766937658</v>
      </c>
      <c r="Q513">
        <f t="shared" si="980"/>
        <v>2358914.1612325199</v>
      </c>
      <c r="R513">
        <f t="shared" si="981"/>
        <v>-2109981.6404021438</v>
      </c>
      <c r="S513">
        <f t="shared" si="982"/>
        <v>-21.099816404021439</v>
      </c>
      <c r="T513">
        <f t="shared" si="983"/>
        <v>-2.1099816404021438E-2</v>
      </c>
    </row>
    <row r="514" spans="1:20" x14ac:dyDescent="0.25">
      <c r="A514" s="5">
        <v>44079</v>
      </c>
      <c r="B514">
        <v>3.5301</v>
      </c>
      <c r="C514">
        <v>3.6637</v>
      </c>
      <c r="D514">
        <v>2.0926</v>
      </c>
      <c r="E514">
        <v>2.6052</v>
      </c>
      <c r="F514">
        <v>4426267.38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-0.34746356056266314</v>
      </c>
      <c r="Q514">
        <f t="shared" si="980"/>
        <v>-1537966.6238571703</v>
      </c>
      <c r="R514">
        <f t="shared" si="981"/>
        <v>-4468895.8016346637</v>
      </c>
      <c r="S514">
        <f t="shared" si="982"/>
        <v>-44.688958016346639</v>
      </c>
      <c r="T514">
        <f t="shared" si="983"/>
        <v>-4.468895801634664E-2</v>
      </c>
    </row>
    <row r="515" spans="1:20" x14ac:dyDescent="0.25">
      <c r="A515" s="5">
        <v>44078</v>
      </c>
      <c r="B515">
        <v>3.5062000000000002</v>
      </c>
      <c r="C515">
        <v>3.8346</v>
      </c>
      <c r="D515">
        <v>3.1739000000000002</v>
      </c>
      <c r="E515">
        <v>3.5301</v>
      </c>
      <c r="F515">
        <v>2052197.24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7.8250340547903544E-2</v>
      </c>
      <c r="Q515">
        <f t="shared" si="980"/>
        <v>160585.13290146773</v>
      </c>
      <c r="R515">
        <f t="shared" si="981"/>
        <v>-2930929.1777774929</v>
      </c>
      <c r="S515">
        <f t="shared" si="982"/>
        <v>-29.309291777774931</v>
      </c>
      <c r="T515">
        <f t="shared" si="983"/>
        <v>-2.9309291777774929E-2</v>
      </c>
    </row>
    <row r="516" spans="1:20" x14ac:dyDescent="0.25">
      <c r="A516" s="5">
        <v>44077</v>
      </c>
      <c r="B516">
        <v>4.17</v>
      </c>
      <c r="C516">
        <v>4.4589999999999996</v>
      </c>
      <c r="D516">
        <v>3.4771999999999998</v>
      </c>
      <c r="E516">
        <v>3.5051000000000001</v>
      </c>
      <c r="F516">
        <v>3275612.26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-0.94316561417803979</v>
      </c>
      <c r="Q516">
        <f t="shared" si="980"/>
        <v>-3089444.8490120168</v>
      </c>
      <c r="R516">
        <f t="shared" si="981"/>
        <v>-3091514.3106789608</v>
      </c>
      <c r="S516">
        <f t="shared" si="982"/>
        <v>-30.915143106789607</v>
      </c>
      <c r="T516">
        <f t="shared" si="983"/>
        <v>-3.0915143106789608E-2</v>
      </c>
    </row>
    <row r="517" spans="1:20" x14ac:dyDescent="0.25">
      <c r="A517" s="5">
        <v>44076</v>
      </c>
      <c r="B517">
        <v>4.3212999999999999</v>
      </c>
      <c r="C517">
        <v>4.3506</v>
      </c>
      <c r="D517">
        <v>3.66</v>
      </c>
      <c r="E517">
        <v>4.17</v>
      </c>
      <c r="F517">
        <v>2002058.36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0.47697654213727159</v>
      </c>
      <c r="Q517">
        <f t="shared" si="980"/>
        <v>954934.87370981695</v>
      </c>
      <c r="R517">
        <f t="shared" si="981"/>
        <v>-2069.4616669437382</v>
      </c>
      <c r="S517">
        <f t="shared" si="982"/>
        <v>-2.0694616669437383E-2</v>
      </c>
      <c r="T517">
        <f t="shared" si="983"/>
        <v>-2.0694616669437383E-5</v>
      </c>
    </row>
    <row r="518" spans="1:20" x14ac:dyDescent="0.25">
      <c r="A518" s="5">
        <v>44075</v>
      </c>
      <c r="B518">
        <v>4.7431999999999999</v>
      </c>
      <c r="C518">
        <v>4.9474999999999998</v>
      </c>
      <c r="D518">
        <v>4.3</v>
      </c>
      <c r="E518">
        <v>4.3396999999999997</v>
      </c>
      <c r="F518">
        <v>1267574.76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-0.87737451737451788</v>
      </c>
      <c r="Q518">
        <f t="shared" ref="Q518:Q581" si="985">F518*P518</f>
        <v>-1112137.7932911203</v>
      </c>
      <c r="R518">
        <f t="shared" ref="R518:R581" si="986">R519+Q518</f>
        <v>-957004.33537676069</v>
      </c>
      <c r="S518">
        <f t="shared" ref="S518:S581" si="987">R518/100000</f>
        <v>-9.5700433537676073</v>
      </c>
      <c r="T518">
        <f t="shared" ref="T518:T581" si="988">S518/1000</f>
        <v>-9.5700433537676075E-3</v>
      </c>
    </row>
    <row r="519" spans="1:20" x14ac:dyDescent="0.25">
      <c r="A519" s="5">
        <v>44074</v>
      </c>
      <c r="B519">
        <v>4.4127000000000001</v>
      </c>
      <c r="C519">
        <v>4.8864999999999998</v>
      </c>
      <c r="D519">
        <v>4.0999999999999996</v>
      </c>
      <c r="E519">
        <v>4.7435</v>
      </c>
      <c r="F519">
        <v>1497129.12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0.63636363636363702</v>
      </c>
      <c r="Q519">
        <f t="shared" si="985"/>
        <v>952718.53090909193</v>
      </c>
      <c r="R519">
        <f t="shared" si="986"/>
        <v>155133.45791435963</v>
      </c>
      <c r="S519">
        <f t="shared" si="987"/>
        <v>1.5513345791435964</v>
      </c>
      <c r="T519">
        <f t="shared" si="988"/>
        <v>1.5513345791435965E-3</v>
      </c>
    </row>
    <row r="520" spans="1:20" x14ac:dyDescent="0.25">
      <c r="A520" s="5">
        <v>44073</v>
      </c>
      <c r="B520">
        <v>3.9531000000000001</v>
      </c>
      <c r="C520">
        <v>4.7117000000000004</v>
      </c>
      <c r="D520">
        <v>3.9</v>
      </c>
      <c r="E520">
        <v>4.4309000000000003</v>
      </c>
      <c r="F520">
        <v>1815681.99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0.30811876308981156</v>
      </c>
      <c r="Q520">
        <f t="shared" si="985"/>
        <v>559445.68892324762</v>
      </c>
      <c r="R520">
        <f t="shared" si="986"/>
        <v>-797585.0729947323</v>
      </c>
      <c r="S520">
        <f t="shared" si="987"/>
        <v>-7.9758507299473234</v>
      </c>
      <c r="T520">
        <f t="shared" si="988"/>
        <v>-7.9758507299473227E-3</v>
      </c>
    </row>
    <row r="521" spans="1:20" x14ac:dyDescent="0.25">
      <c r="A521" s="5">
        <v>44072</v>
      </c>
      <c r="B521">
        <v>4.0069999999999997</v>
      </c>
      <c r="C521">
        <v>4.1120999999999999</v>
      </c>
      <c r="D521">
        <v>3.7747999999999999</v>
      </c>
      <c r="E521">
        <v>3.9535</v>
      </c>
      <c r="F521">
        <v>1342844.2</v>
      </c>
      <c r="G521">
        <v>0</v>
      </c>
      <c r="L521" t="s">
        <v>7</v>
      </c>
      <c r="M521" t="s">
        <v>8</v>
      </c>
      <c r="N521" t="s">
        <v>8</v>
      </c>
      <c r="P521">
        <f t="shared" si="984"/>
        <v>5.9590868662912043E-2</v>
      </c>
      <c r="Q521">
        <f t="shared" si="985"/>
        <v>80021.252356953191</v>
      </c>
      <c r="R521">
        <f t="shared" si="986"/>
        <v>-1357030.7619179799</v>
      </c>
      <c r="S521">
        <f t="shared" si="987"/>
        <v>-13.570307619179799</v>
      </c>
      <c r="T521">
        <f t="shared" si="988"/>
        <v>-1.3570307619179798E-2</v>
      </c>
    </row>
    <row r="522" spans="1:20" x14ac:dyDescent="0.25">
      <c r="A522" s="5">
        <v>44071</v>
      </c>
      <c r="B522">
        <v>3.4502999999999999</v>
      </c>
      <c r="C522">
        <v>4.3090999999999999</v>
      </c>
      <c r="D522">
        <v>3.4502999999999999</v>
      </c>
      <c r="E522">
        <v>4.0063000000000004</v>
      </c>
      <c r="F522">
        <v>2581936.84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0.29482999534233928</v>
      </c>
      <c r="Q522">
        <f t="shared" si="985"/>
        <v>761232.42651141412</v>
      </c>
      <c r="R522">
        <f t="shared" si="986"/>
        <v>-1437052.0142749331</v>
      </c>
      <c r="S522">
        <f t="shared" si="987"/>
        <v>-14.370520142749331</v>
      </c>
      <c r="T522">
        <f t="shared" si="988"/>
        <v>-1.4370520142749331E-2</v>
      </c>
    </row>
    <row r="523" spans="1:20" x14ac:dyDescent="0.25">
      <c r="A523" s="5">
        <v>44070</v>
      </c>
      <c r="B523">
        <v>3.5556999999999999</v>
      </c>
      <c r="C523">
        <v>3.8574999999999999</v>
      </c>
      <c r="D523">
        <v>3.2433999999999998</v>
      </c>
      <c r="E523">
        <v>3.4500999999999999</v>
      </c>
      <c r="F523">
        <v>2412974.7999999998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-0.32681973619931581</v>
      </c>
      <c r="Q523">
        <f t="shared" si="985"/>
        <v>-788607.78759159672</v>
      </c>
      <c r="R523">
        <f t="shared" si="986"/>
        <v>-2198284.4407863473</v>
      </c>
      <c r="S523">
        <f t="shared" si="987"/>
        <v>-21.982844407863471</v>
      </c>
      <c r="T523">
        <f t="shared" si="988"/>
        <v>-2.198284440786347E-2</v>
      </c>
    </row>
    <row r="524" spans="1:20" x14ac:dyDescent="0.25">
      <c r="A524" s="5">
        <v>44069</v>
      </c>
      <c r="B524">
        <v>3.2576000000000001</v>
      </c>
      <c r="C524">
        <v>3.7999000000000001</v>
      </c>
      <c r="D524">
        <v>3.1808999999999998</v>
      </c>
      <c r="E524">
        <v>3.5684</v>
      </c>
      <c r="F524">
        <v>2290030.56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0.25201938610662372</v>
      </c>
      <c r="Q524">
        <f t="shared" si="985"/>
        <v>577132.09589660773</v>
      </c>
      <c r="R524">
        <f t="shared" si="986"/>
        <v>-1409676.6531947504</v>
      </c>
      <c r="S524">
        <f t="shared" si="987"/>
        <v>-14.096766531947504</v>
      </c>
      <c r="T524">
        <f t="shared" si="988"/>
        <v>-1.4096766531947504E-2</v>
      </c>
    </row>
    <row r="525" spans="1:20" x14ac:dyDescent="0.25">
      <c r="A525" s="5">
        <v>44068</v>
      </c>
      <c r="B525">
        <v>3.3405999999999998</v>
      </c>
      <c r="C525">
        <v>3.3654000000000002</v>
      </c>
      <c r="D525">
        <v>3.0001000000000002</v>
      </c>
      <c r="E525">
        <v>3.25</v>
      </c>
      <c r="F525">
        <v>1149187.3700000001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0.36819052833287608</v>
      </c>
      <c r="Q525">
        <f t="shared" si="985"/>
        <v>423119.90491376841</v>
      </c>
      <c r="R525">
        <f t="shared" si="986"/>
        <v>-1986808.7490913582</v>
      </c>
      <c r="S525">
        <f t="shared" si="987"/>
        <v>-19.868087490913581</v>
      </c>
      <c r="T525">
        <f t="shared" si="988"/>
        <v>-1.986808749091358E-2</v>
      </c>
    </row>
    <row r="526" spans="1:20" x14ac:dyDescent="0.25">
      <c r="A526" s="5">
        <v>44067</v>
      </c>
      <c r="B526">
        <v>3.2658</v>
      </c>
      <c r="C526">
        <v>3.62</v>
      </c>
      <c r="D526">
        <v>3.21</v>
      </c>
      <c r="E526">
        <v>3.3405</v>
      </c>
      <c r="F526">
        <v>1315196.06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-0.3634146341463414</v>
      </c>
      <c r="Q526">
        <f t="shared" si="985"/>
        <v>-477961.4949756097</v>
      </c>
      <c r="R526">
        <f t="shared" si="986"/>
        <v>-2409928.6540051266</v>
      </c>
      <c r="S526">
        <f t="shared" si="987"/>
        <v>-24.099286540051267</v>
      </c>
      <c r="T526">
        <f t="shared" si="988"/>
        <v>-2.4099286540051269E-2</v>
      </c>
    </row>
    <row r="527" spans="1:20" x14ac:dyDescent="0.25">
      <c r="A527" s="5">
        <v>44066</v>
      </c>
      <c r="B527">
        <v>3.0224000000000002</v>
      </c>
      <c r="C527">
        <v>3.4</v>
      </c>
      <c r="D527">
        <v>3.0013999999999998</v>
      </c>
      <c r="E527">
        <v>3.25</v>
      </c>
      <c r="F527">
        <v>1198036.69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0.24736578023080841</v>
      </c>
      <c r="Q527">
        <f t="shared" si="985"/>
        <v>296353.28056698514</v>
      </c>
      <c r="R527">
        <f t="shared" si="986"/>
        <v>-1931967.1590295169</v>
      </c>
      <c r="S527">
        <f t="shared" si="987"/>
        <v>-19.319671590295169</v>
      </c>
      <c r="T527">
        <f t="shared" si="988"/>
        <v>-1.931967159029517E-2</v>
      </c>
    </row>
    <row r="528" spans="1:20" x14ac:dyDescent="0.25">
      <c r="A528" s="5">
        <v>44065</v>
      </c>
      <c r="B528">
        <v>2.9213</v>
      </c>
      <c r="C528">
        <v>3.2</v>
      </c>
      <c r="D528">
        <v>2.7431000000000001</v>
      </c>
      <c r="E528">
        <v>3.0125999999999999</v>
      </c>
      <c r="F528">
        <v>1169417.78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0.17968920989275466</v>
      </c>
      <c r="Q528">
        <f t="shared" si="985"/>
        <v>210131.75692273921</v>
      </c>
      <c r="R528">
        <f t="shared" si="986"/>
        <v>-2228320.4395965021</v>
      </c>
      <c r="S528">
        <f t="shared" si="987"/>
        <v>-22.283204395965022</v>
      </c>
      <c r="T528">
        <f t="shared" si="988"/>
        <v>-2.2283204395965022E-2</v>
      </c>
    </row>
    <row r="529" spans="1:20" x14ac:dyDescent="0.25">
      <c r="A529" s="5">
        <v>44064</v>
      </c>
      <c r="B529">
        <v>3.2038000000000002</v>
      </c>
      <c r="C529">
        <v>3.24</v>
      </c>
      <c r="D529">
        <v>2.89</v>
      </c>
      <c r="E529">
        <v>2.9317000000000002</v>
      </c>
      <c r="F529">
        <v>1131895.8999999999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-0.76171428571428534</v>
      </c>
      <c r="Q529">
        <f t="shared" si="985"/>
        <v>-862181.27697142807</v>
      </c>
      <c r="R529">
        <f t="shared" si="986"/>
        <v>-2438452.1965192412</v>
      </c>
      <c r="S529">
        <f t="shared" si="987"/>
        <v>-24.384521965192413</v>
      </c>
      <c r="T529">
        <f t="shared" si="988"/>
        <v>-2.4384521965192411E-2</v>
      </c>
    </row>
    <row r="530" spans="1:20" x14ac:dyDescent="0.25">
      <c r="A530" s="5">
        <v>44063</v>
      </c>
      <c r="B530">
        <v>2.8961999999999999</v>
      </c>
      <c r="C530">
        <v>3.4449999999999998</v>
      </c>
      <c r="D530">
        <v>2.8871000000000002</v>
      </c>
      <c r="E530">
        <v>3.2038000000000002</v>
      </c>
      <c r="F530">
        <v>1277827.32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0.13532891199139702</v>
      </c>
      <c r="Q530">
        <f t="shared" si="985"/>
        <v>172926.98092848272</v>
      </c>
      <c r="R530">
        <f t="shared" si="986"/>
        <v>-1576270.9195478132</v>
      </c>
      <c r="S530">
        <f t="shared" si="987"/>
        <v>-15.762709195478132</v>
      </c>
      <c r="T530">
        <f t="shared" si="988"/>
        <v>-1.5762709195478133E-2</v>
      </c>
    </row>
    <row r="531" spans="1:20" x14ac:dyDescent="0.25">
      <c r="A531" s="5">
        <v>44062</v>
      </c>
      <c r="B531">
        <v>3.3340000000000001</v>
      </c>
      <c r="C531">
        <v>3.49</v>
      </c>
      <c r="D531">
        <v>2.8</v>
      </c>
      <c r="E531">
        <v>2.8868</v>
      </c>
      <c r="F531">
        <v>1433243.76</v>
      </c>
      <c r="G531">
        <v>0</v>
      </c>
      <c r="L531" t="s">
        <v>7</v>
      </c>
      <c r="M531" t="s">
        <v>8</v>
      </c>
      <c r="N531" t="s">
        <v>7</v>
      </c>
      <c r="P531">
        <f t="shared" si="984"/>
        <v>-0.74840579710144883</v>
      </c>
      <c r="Q531">
        <f t="shared" si="985"/>
        <v>-1072647.9386434776</v>
      </c>
      <c r="R531">
        <f t="shared" si="986"/>
        <v>-1749197.900476296</v>
      </c>
      <c r="S531">
        <f t="shared" si="987"/>
        <v>-17.49197900476296</v>
      </c>
      <c r="T531">
        <f t="shared" si="988"/>
        <v>-1.7491979004762962E-2</v>
      </c>
    </row>
    <row r="532" spans="1:20" x14ac:dyDescent="0.25">
      <c r="A532" s="5">
        <v>44061</v>
      </c>
      <c r="B532">
        <v>3.11</v>
      </c>
      <c r="C532">
        <v>3.7092000000000001</v>
      </c>
      <c r="D532">
        <v>2.8105000000000002</v>
      </c>
      <c r="E532">
        <v>3.3407</v>
      </c>
      <c r="F532">
        <v>2713115.94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0.17992656058751505</v>
      </c>
      <c r="Q532">
        <f t="shared" si="985"/>
        <v>488161.61955936282</v>
      </c>
      <c r="R532">
        <f t="shared" si="986"/>
        <v>-676549.96183281834</v>
      </c>
      <c r="S532">
        <f t="shared" si="987"/>
        <v>-6.7654996183281835</v>
      </c>
      <c r="T532">
        <f t="shared" si="988"/>
        <v>-6.7654996183281833E-3</v>
      </c>
    </row>
    <row r="533" spans="1:20" x14ac:dyDescent="0.25">
      <c r="A533" s="5">
        <v>44060</v>
      </c>
      <c r="B533">
        <v>3.3885000000000001</v>
      </c>
      <c r="C533">
        <v>3.3952</v>
      </c>
      <c r="D533">
        <v>3.1</v>
      </c>
      <c r="E533">
        <v>3.11</v>
      </c>
      <c r="F533">
        <v>729413.64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-0.93224932249322634</v>
      </c>
      <c r="Q533">
        <f t="shared" si="985"/>
        <v>-679995.37170731812</v>
      </c>
      <c r="R533">
        <f t="shared" si="986"/>
        <v>-1164711.5813921811</v>
      </c>
      <c r="S533">
        <f t="shared" si="987"/>
        <v>-11.647115813921811</v>
      </c>
      <c r="T533">
        <f t="shared" si="988"/>
        <v>-1.1647115813921811E-2</v>
      </c>
    </row>
    <row r="534" spans="1:20" x14ac:dyDescent="0.25">
      <c r="A534" s="5">
        <v>44059</v>
      </c>
      <c r="B534">
        <v>3.173</v>
      </c>
      <c r="C534">
        <v>3.4906999999999999</v>
      </c>
      <c r="D534">
        <v>3.12</v>
      </c>
      <c r="E534">
        <v>3.3885000000000001</v>
      </c>
      <c r="F534">
        <v>668106.53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0.44861073644456489</v>
      </c>
      <c r="Q534">
        <f t="shared" si="985"/>
        <v>299719.76244672283</v>
      </c>
      <c r="R534">
        <f t="shared" si="986"/>
        <v>-484716.20968486287</v>
      </c>
      <c r="S534">
        <f t="shared" si="987"/>
        <v>-4.8471620968486286</v>
      </c>
      <c r="T534">
        <f t="shared" si="988"/>
        <v>-4.8471620968486284E-3</v>
      </c>
    </row>
    <row r="535" spans="1:20" x14ac:dyDescent="0.25">
      <c r="A535" s="5">
        <v>44058</v>
      </c>
      <c r="B535">
        <v>3.4180999999999999</v>
      </c>
      <c r="C535">
        <v>3.74</v>
      </c>
      <c r="D535">
        <v>3.15</v>
      </c>
      <c r="E535">
        <v>3.173</v>
      </c>
      <c r="F535">
        <v>1070233.2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-0.92203389830508431</v>
      </c>
      <c r="Q535">
        <f t="shared" si="985"/>
        <v>-986791.28949152492</v>
      </c>
      <c r="R535">
        <f t="shared" si="986"/>
        <v>-784435.9721315857</v>
      </c>
      <c r="S535">
        <f t="shared" si="987"/>
        <v>-7.8443597213158567</v>
      </c>
      <c r="T535">
        <f t="shared" si="988"/>
        <v>-7.8443597213158564E-3</v>
      </c>
    </row>
    <row r="536" spans="1:20" x14ac:dyDescent="0.25">
      <c r="A536" s="5">
        <v>44057</v>
      </c>
      <c r="B536">
        <v>3.7206999999999999</v>
      </c>
      <c r="C536">
        <v>3.7675999999999998</v>
      </c>
      <c r="D536">
        <v>3.3210000000000002</v>
      </c>
      <c r="E536">
        <v>3.4098999999999999</v>
      </c>
      <c r="F536">
        <v>1474161.79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-0.60188087774294752</v>
      </c>
      <c r="Q536">
        <f t="shared" si="985"/>
        <v>-887269.79210031475</v>
      </c>
      <c r="R536">
        <f t="shared" si="986"/>
        <v>202355.31735993922</v>
      </c>
      <c r="S536">
        <f t="shared" si="987"/>
        <v>2.0235531735993924</v>
      </c>
      <c r="T536">
        <f t="shared" si="988"/>
        <v>2.0235531735993922E-3</v>
      </c>
    </row>
    <row r="537" spans="1:20" x14ac:dyDescent="0.25">
      <c r="A537" s="5">
        <v>44056</v>
      </c>
      <c r="B537">
        <v>3.75</v>
      </c>
      <c r="C537">
        <v>4.1387</v>
      </c>
      <c r="D537">
        <v>3.5003000000000002</v>
      </c>
      <c r="E537">
        <v>3.73</v>
      </c>
      <c r="F537">
        <v>1685759.24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-0.28038847117794535</v>
      </c>
      <c r="Q537">
        <f t="shared" si="985"/>
        <v>-472667.45607769507</v>
      </c>
      <c r="R537">
        <f t="shared" si="986"/>
        <v>1089625.109460254</v>
      </c>
      <c r="S537">
        <f t="shared" si="987"/>
        <v>10.89625109460254</v>
      </c>
      <c r="T537">
        <f t="shared" si="988"/>
        <v>1.089625109460254E-2</v>
      </c>
    </row>
    <row r="538" spans="1:20" x14ac:dyDescent="0.25">
      <c r="A538" s="5">
        <v>44055</v>
      </c>
      <c r="B538">
        <v>3.2985000000000002</v>
      </c>
      <c r="C538">
        <v>3.9289000000000001</v>
      </c>
      <c r="D538">
        <v>3.08</v>
      </c>
      <c r="E538">
        <v>3.7557999999999998</v>
      </c>
      <c r="F538">
        <v>1737042.95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0.59217811285192545</v>
      </c>
      <c r="Q538">
        <f t="shared" si="985"/>
        <v>1028638.8160737415</v>
      </c>
      <c r="R538">
        <f t="shared" si="986"/>
        <v>1562292.5655379491</v>
      </c>
      <c r="S538">
        <f t="shared" si="987"/>
        <v>15.622925655379492</v>
      </c>
      <c r="T538">
        <f t="shared" si="988"/>
        <v>1.5622925655379491E-2</v>
      </c>
    </row>
    <row r="539" spans="1:20" x14ac:dyDescent="0.25">
      <c r="A539" s="5">
        <v>44054</v>
      </c>
      <c r="B539">
        <v>2.85</v>
      </c>
      <c r="C539">
        <v>3.5207999999999999</v>
      </c>
      <c r="D539">
        <v>2.8433000000000002</v>
      </c>
      <c r="E539">
        <v>3.2985000000000002</v>
      </c>
      <c r="F539">
        <v>1552384.78</v>
      </c>
      <c r="G539">
        <v>0</v>
      </c>
      <c r="P539">
        <f t="shared" si="984"/>
        <v>0.34376383763837698</v>
      </c>
      <c r="Q539">
        <f t="shared" si="985"/>
        <v>533653.74946420756</v>
      </c>
      <c r="R539">
        <f t="shared" si="986"/>
        <v>533653.74946420756</v>
      </c>
      <c r="S539">
        <f t="shared" si="987"/>
        <v>5.3365374946420756</v>
      </c>
      <c r="T539">
        <f t="shared" si="988"/>
        <v>5.3365374946420753E-3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Z360" sqref="IZ3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$A$359</v>
      </c>
      <c r="D111" s="1" t="str">
        <f>ADDRESS(C121-1,D121,1,1)</f>
        <v>$IZ$359</v>
      </c>
      <c r="E111"/>
    </row>
    <row r="112" spans="1:5" x14ac:dyDescent="0.25">
      <c r="A112" s="7">
        <v>12164.144957890772</v>
      </c>
      <c r="C112" s="1" t="str">
        <f>ADDRESS(C121,1,1,1)</f>
        <v>$A$360</v>
      </c>
      <c r="D112" s="1" t="str">
        <f>ADDRESS(C121,D121-1,1,1)</f>
        <v>$IY$360</v>
      </c>
      <c r="E112"/>
    </row>
    <row r="113" spans="1:5" x14ac:dyDescent="0.25">
      <c r="A113" s="7">
        <v>11925.63231165762</v>
      </c>
      <c r="C113" s="1" t="str">
        <f>ADDRESS(C121+1,1,1,1)</f>
        <v>$A$361</v>
      </c>
      <c r="D113" s="1" t="str">
        <f>ADDRESS(C121-1,D121+1,1,1)</f>
        <v>$JA$359</v>
      </c>
    </row>
    <row r="114" spans="1:5" x14ac:dyDescent="0.25">
      <c r="A114" s="7">
        <v>11691.796383978059</v>
      </c>
      <c r="C114" s="1" t="str">
        <f>ADDRESS(C121,D121,1,1)</f>
        <v>$IZ$360</v>
      </c>
      <c r="D114" s="1" t="str">
        <f>ADDRESS(C121+1,D121+1,1,1)</f>
        <v>$JA$361</v>
      </c>
    </row>
    <row r="115" spans="1:5" x14ac:dyDescent="0.25">
      <c r="A115" s="7">
        <v>11462.545474488292</v>
      </c>
      <c r="C115" s="1" t="str">
        <f>ADDRESS(C121+1,D121,1,1)</f>
        <v>$IZ$361</v>
      </c>
    </row>
    <row r="116" spans="1:5" x14ac:dyDescent="0.25">
      <c r="A116" s="7">
        <v>11237.789680870874</v>
      </c>
      <c r="C116" s="1">
        <f>C117-1</f>
        <v>359</v>
      </c>
    </row>
    <row r="117" spans="1:5" x14ac:dyDescent="0.25">
      <c r="A117" s="7">
        <v>11017.440863598895</v>
      </c>
      <c r="C117" s="1">
        <f>C121</f>
        <v>360</v>
      </c>
      <c r="D117" s="1">
        <f>D121</f>
        <v>260</v>
      </c>
    </row>
    <row r="118" spans="1:5" x14ac:dyDescent="0.25">
      <c r="A118" s="7">
        <v>10801.412611371465</v>
      </c>
      <c r="C118" s="1">
        <f>C117+1</f>
        <v>361</v>
      </c>
      <c r="D118" s="1">
        <f>D117+1</f>
        <v>261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360</v>
      </c>
      <c r="D121" s="19">
        <v>260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R360</v>
      </c>
      <c r="D123" s="1" t="str">
        <f>"C"&amp;D121</f>
        <v>C260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89.58576156361427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250" x14ac:dyDescent="0.25">
      <c r="A305" s="7">
        <v>266.22475550472598</v>
      </c>
      <c r="B305"/>
      <c r="C305"/>
      <c r="D305"/>
      <c r="E305"/>
    </row>
    <row r="306" spans="1:250" x14ac:dyDescent="0.25">
      <c r="A306" s="7">
        <v>261.00466225953528</v>
      </c>
      <c r="B306"/>
      <c r="C306"/>
      <c r="D306"/>
      <c r="E306"/>
    </row>
    <row r="307" spans="1:250" x14ac:dyDescent="0.25">
      <c r="A307" s="7">
        <v>255.88692378385809</v>
      </c>
      <c r="B307"/>
      <c r="C307"/>
      <c r="D307"/>
      <c r="E307"/>
      <c r="HU307" s="27" t="s">
        <v>8</v>
      </c>
    </row>
    <row r="308" spans="1:250" x14ac:dyDescent="0.25">
      <c r="A308" s="7">
        <v>250.8695331214295</v>
      </c>
      <c r="B308"/>
      <c r="C308"/>
      <c r="D308"/>
      <c r="E308"/>
      <c r="HU308" s="27" t="s">
        <v>8</v>
      </c>
      <c r="HV308" s="27" t="s">
        <v>7</v>
      </c>
    </row>
    <row r="309" spans="1:250" x14ac:dyDescent="0.25">
      <c r="A309" s="7">
        <v>245.95052266806812</v>
      </c>
      <c r="B309"/>
      <c r="C309"/>
      <c r="D309"/>
      <c r="E309"/>
      <c r="HS309" s="27" t="s">
        <v>8</v>
      </c>
      <c r="HU309" s="27" t="s">
        <v>8</v>
      </c>
      <c r="HV309" s="27" t="s">
        <v>7</v>
      </c>
      <c r="HW309" s="27" t="s">
        <v>8</v>
      </c>
      <c r="HY309" s="27" t="s">
        <v>8</v>
      </c>
    </row>
    <row r="310" spans="1:250" x14ac:dyDescent="0.25">
      <c r="A310" s="7">
        <v>241.12796340006679</v>
      </c>
      <c r="B310"/>
      <c r="C310"/>
      <c r="D310"/>
      <c r="E310"/>
      <c r="HS310" s="27" t="s">
        <v>8</v>
      </c>
      <c r="HT310" s="27" t="s">
        <v>7</v>
      </c>
      <c r="HU310" s="27" t="s">
        <v>8</v>
      </c>
      <c r="HV310" s="27" t="s">
        <v>7</v>
      </c>
      <c r="HW310" s="27" t="s">
        <v>8</v>
      </c>
      <c r="HX310" s="27" t="s">
        <v>7</v>
      </c>
      <c r="HY310" s="27" t="s">
        <v>8</v>
      </c>
      <c r="HZ310" s="27" t="s">
        <v>7</v>
      </c>
      <c r="IC310" s="27" t="s">
        <v>8</v>
      </c>
    </row>
    <row r="311" spans="1:250" x14ac:dyDescent="0.25">
      <c r="A311" s="7">
        <v>236.39996411771253</v>
      </c>
      <c r="B311"/>
      <c r="C311"/>
      <c r="D311"/>
      <c r="E311"/>
      <c r="HS311" s="27" t="s">
        <v>8</v>
      </c>
      <c r="HT311" s="27" t="s">
        <v>7</v>
      </c>
      <c r="HU311" s="27" t="s">
        <v>8</v>
      </c>
      <c r="HV311" s="27" t="s">
        <v>7</v>
      </c>
      <c r="HW311" s="27" t="s">
        <v>8</v>
      </c>
      <c r="HX311" s="27" t="s">
        <v>7</v>
      </c>
      <c r="HY311" s="27" t="s">
        <v>8</v>
      </c>
      <c r="HZ311" s="27" t="s">
        <v>7</v>
      </c>
      <c r="IA311" s="27" t="s">
        <v>8</v>
      </c>
      <c r="IC311" s="27" t="s">
        <v>8</v>
      </c>
      <c r="ID311" s="27" t="s">
        <v>7</v>
      </c>
    </row>
    <row r="312" spans="1:250" x14ac:dyDescent="0.25">
      <c r="A312" s="7">
        <v>231.76467070363972</v>
      </c>
      <c r="B312"/>
      <c r="C312"/>
      <c r="D312"/>
      <c r="E312"/>
      <c r="HS312" s="27" t="s">
        <v>8</v>
      </c>
      <c r="HT312" s="27" t="s">
        <v>7</v>
      </c>
      <c r="HV312" s="27" t="s">
        <v>7</v>
      </c>
      <c r="HW312" s="27" t="s">
        <v>8</v>
      </c>
      <c r="HX312" s="27" t="s">
        <v>7</v>
      </c>
      <c r="HY312" s="27" t="s">
        <v>8</v>
      </c>
      <c r="HZ312" s="27" t="s">
        <v>7</v>
      </c>
      <c r="IA312" s="27" t="s">
        <v>8</v>
      </c>
      <c r="IB312" s="27" t="s">
        <v>7</v>
      </c>
      <c r="IC312" s="27" t="s">
        <v>8</v>
      </c>
      <c r="ID312" s="27" t="s">
        <v>7</v>
      </c>
    </row>
    <row r="313" spans="1:250" x14ac:dyDescent="0.25">
      <c r="A313" s="7">
        <v>227.22026539572522</v>
      </c>
      <c r="B313"/>
      <c r="C313"/>
      <c r="D313"/>
      <c r="E313"/>
      <c r="HS313" s="27" t="s">
        <v>8</v>
      </c>
      <c r="HV313" s="27" t="s">
        <v>7</v>
      </c>
      <c r="HW313" s="27" t="s">
        <v>8</v>
      </c>
      <c r="HX313" s="27" t="s">
        <v>7</v>
      </c>
      <c r="HY313" s="27" t="s">
        <v>8</v>
      </c>
      <c r="HZ313" s="27" t="s">
        <v>7</v>
      </c>
      <c r="IA313" s="27" t="s">
        <v>8</v>
      </c>
      <c r="IB313" s="27" t="s">
        <v>7</v>
      </c>
      <c r="IC313" s="27" t="s">
        <v>8</v>
      </c>
      <c r="ID313" s="27" t="s">
        <v>7</v>
      </c>
    </row>
    <row r="314" spans="1:250" x14ac:dyDescent="0.25">
      <c r="A314" s="7">
        <v>222.76496607424042</v>
      </c>
      <c r="B314"/>
      <c r="C314"/>
      <c r="D314"/>
      <c r="E314"/>
      <c r="HS314" s="27" t="s">
        <v>8</v>
      </c>
      <c r="HV314" s="27" t="s">
        <v>7</v>
      </c>
      <c r="HW314" s="27" t="s">
        <v>8</v>
      </c>
      <c r="HX314" s="27" t="s">
        <v>7</v>
      </c>
      <c r="HZ314" s="27" t="s">
        <v>7</v>
      </c>
      <c r="IA314" s="27" t="s">
        <v>8</v>
      </c>
      <c r="IB314" s="27" t="s">
        <v>7</v>
      </c>
      <c r="IC314" s="27" t="s">
        <v>8</v>
      </c>
      <c r="ID314" s="27" t="s">
        <v>7</v>
      </c>
    </row>
    <row r="315" spans="1:250" x14ac:dyDescent="0.25">
      <c r="A315" s="7">
        <v>218.39702556298079</v>
      </c>
      <c r="B315"/>
      <c r="C315"/>
      <c r="D315"/>
      <c r="E315"/>
      <c r="HO315" s="27" t="s">
        <v>8</v>
      </c>
      <c r="HS315" s="27" t="s">
        <v>8</v>
      </c>
      <c r="HV315" s="27" t="s">
        <v>7</v>
      </c>
      <c r="HZ315" s="27" t="s">
        <v>7</v>
      </c>
      <c r="IA315" s="27" t="s">
        <v>8</v>
      </c>
      <c r="IB315" s="27" t="s">
        <v>7</v>
      </c>
      <c r="IC315" s="27" t="s">
        <v>8</v>
      </c>
      <c r="ID315" s="27" t="s">
        <v>7</v>
      </c>
    </row>
    <row r="316" spans="1:250" x14ac:dyDescent="0.25">
      <c r="A316" s="7">
        <v>214.1147309440988</v>
      </c>
      <c r="B316"/>
      <c r="C316"/>
      <c r="D316"/>
      <c r="E316"/>
      <c r="GS316" s="27" t="s">
        <v>8</v>
      </c>
      <c r="HM316" s="27" t="s">
        <v>8</v>
      </c>
      <c r="HO316" s="27" t="s">
        <v>8</v>
      </c>
      <c r="HP316" s="27" t="s">
        <v>7</v>
      </c>
      <c r="HS316" s="27" t="s">
        <v>8</v>
      </c>
      <c r="HZ316" s="27" t="s">
        <v>7</v>
      </c>
      <c r="IA316" s="27" t="s">
        <v>8</v>
      </c>
      <c r="IB316" s="27" t="s">
        <v>7</v>
      </c>
      <c r="IC316" s="27" t="s">
        <v>8</v>
      </c>
      <c r="ID316" s="27" t="s">
        <v>7</v>
      </c>
    </row>
    <row r="317" spans="1:250" x14ac:dyDescent="0.25">
      <c r="A317" s="7">
        <v>209.91640288637137</v>
      </c>
      <c r="B317"/>
      <c r="C317"/>
      <c r="D317"/>
      <c r="E317"/>
      <c r="GS317" s="27" t="s">
        <v>8</v>
      </c>
      <c r="GT317" s="27" t="s">
        <v>7</v>
      </c>
      <c r="HM317" s="27" t="s">
        <v>8</v>
      </c>
      <c r="HN317" s="27" t="s">
        <v>7</v>
      </c>
      <c r="HO317" s="27" t="s">
        <v>8</v>
      </c>
      <c r="HP317" s="27" t="s">
        <v>7</v>
      </c>
      <c r="HS317" s="27" t="s">
        <v>8</v>
      </c>
      <c r="HZ317" s="27" t="s">
        <v>7</v>
      </c>
      <c r="IA317" s="27" t="s">
        <v>8</v>
      </c>
      <c r="IB317" s="27" t="s">
        <v>7</v>
      </c>
      <c r="IC317" s="27" t="s">
        <v>8</v>
      </c>
      <c r="ID317" s="27" t="s">
        <v>7</v>
      </c>
    </row>
    <row r="318" spans="1:250" x14ac:dyDescent="0.25">
      <c r="A318" s="7">
        <v>205.80039498663859</v>
      </c>
      <c r="B318"/>
      <c r="C318"/>
      <c r="D318"/>
      <c r="E318"/>
      <c r="GS318" s="27" t="s">
        <v>8</v>
      </c>
      <c r="GT318" s="27" t="s">
        <v>7</v>
      </c>
      <c r="HM318" s="27" t="s">
        <v>8</v>
      </c>
      <c r="HN318" s="27" t="s">
        <v>7</v>
      </c>
      <c r="HO318" s="27" t="s">
        <v>8</v>
      </c>
      <c r="HP318" s="27" t="s">
        <v>7</v>
      </c>
      <c r="HS318" s="27" t="s">
        <v>8</v>
      </c>
      <c r="HZ318" s="27" t="s">
        <v>7</v>
      </c>
      <c r="IA318" s="27" t="s">
        <v>8</v>
      </c>
      <c r="IB318" s="27" t="s">
        <v>7</v>
      </c>
      <c r="IC318" s="27" t="s">
        <v>8</v>
      </c>
      <c r="ID318" s="27" t="s">
        <v>7</v>
      </c>
    </row>
    <row r="319" spans="1:250" x14ac:dyDescent="0.25">
      <c r="A319" s="7">
        <v>201.76509312415547</v>
      </c>
      <c r="B319"/>
      <c r="C319"/>
      <c r="D319"/>
      <c r="E319"/>
      <c r="GS319" s="27" t="s">
        <v>8</v>
      </c>
      <c r="GT319" s="27" t="s">
        <v>7</v>
      </c>
      <c r="HM319" s="27" t="s">
        <v>8</v>
      </c>
      <c r="HN319" s="27" t="s">
        <v>7</v>
      </c>
      <c r="HO319" s="27" t="s">
        <v>8</v>
      </c>
      <c r="HP319" s="27" t="s">
        <v>7</v>
      </c>
      <c r="HQ319" s="27" t="s">
        <v>8</v>
      </c>
      <c r="HS319" s="27" t="s">
        <v>8</v>
      </c>
      <c r="HZ319" s="27" t="s">
        <v>7</v>
      </c>
      <c r="IA319" s="27" t="s">
        <v>8</v>
      </c>
      <c r="IB319" s="27" t="s">
        <v>7</v>
      </c>
      <c r="IC319" s="27" t="s">
        <v>8</v>
      </c>
      <c r="ID319" s="27" t="s">
        <v>7</v>
      </c>
      <c r="IE319" s="27" t="s">
        <v>8</v>
      </c>
      <c r="IG319" s="27" t="s">
        <v>8</v>
      </c>
      <c r="IO319" s="27" t="s">
        <v>8</v>
      </c>
    </row>
    <row r="320" spans="1:250" x14ac:dyDescent="0.25">
      <c r="A320" s="7">
        <v>197.80891482760339</v>
      </c>
      <c r="B320"/>
      <c r="C320"/>
      <c r="D320"/>
      <c r="E320"/>
      <c r="GS320" s="27" t="s">
        <v>8</v>
      </c>
      <c r="GT320" s="27" t="s">
        <v>7</v>
      </c>
      <c r="HM320" s="27" t="s">
        <v>8</v>
      </c>
      <c r="HN320" s="27" t="s">
        <v>7</v>
      </c>
      <c r="HO320" s="27" t="s">
        <v>8</v>
      </c>
      <c r="HP320" s="27" t="s">
        <v>7</v>
      </c>
      <c r="HQ320" s="27" t="s">
        <v>8</v>
      </c>
      <c r="HR320" s="27" t="s">
        <v>7</v>
      </c>
      <c r="HS320" s="27" t="s">
        <v>8</v>
      </c>
      <c r="HZ320" s="27" t="s">
        <v>7</v>
      </c>
      <c r="IA320" s="27" t="s">
        <v>8</v>
      </c>
      <c r="IB320" s="27" t="s">
        <v>7</v>
      </c>
      <c r="IC320" s="27" t="s">
        <v>8</v>
      </c>
      <c r="ID320" s="27" t="s">
        <v>7</v>
      </c>
      <c r="IE320" s="27" t="s">
        <v>8</v>
      </c>
      <c r="IF320" s="27" t="s">
        <v>7</v>
      </c>
      <c r="IG320" s="27" t="s">
        <v>8</v>
      </c>
      <c r="IH320" s="27" t="s">
        <v>7</v>
      </c>
      <c r="IO320" s="27" t="s">
        <v>8</v>
      </c>
      <c r="IP320" s="27" t="s">
        <v>7</v>
      </c>
    </row>
    <row r="321" spans="1:256" x14ac:dyDescent="0.25">
      <c r="A321" s="7">
        <v>193.93030865451311</v>
      </c>
      <c r="B321"/>
      <c r="C321"/>
      <c r="D321"/>
      <c r="E321"/>
      <c r="GS321" s="27" t="s">
        <v>8</v>
      </c>
      <c r="GT321" s="27" t="s">
        <v>7</v>
      </c>
      <c r="HM321" s="27" t="s">
        <v>8</v>
      </c>
      <c r="HN321" s="27" t="s">
        <v>7</v>
      </c>
      <c r="HO321" s="27" t="s">
        <v>8</v>
      </c>
      <c r="HP321" s="27" t="s">
        <v>7</v>
      </c>
      <c r="HQ321" s="27" t="s">
        <v>8</v>
      </c>
      <c r="HR321" s="27" t="s">
        <v>7</v>
      </c>
      <c r="HS321" s="27" t="s">
        <v>8</v>
      </c>
      <c r="HZ321" s="27" t="s">
        <v>7</v>
      </c>
      <c r="IA321" s="27" t="s">
        <v>8</v>
      </c>
      <c r="IB321" s="27" t="s">
        <v>7</v>
      </c>
      <c r="IC321" s="27" t="s">
        <v>8</v>
      </c>
      <c r="ID321" s="27" t="s">
        <v>7</v>
      </c>
      <c r="IE321" s="27" t="s">
        <v>8</v>
      </c>
      <c r="IF321" s="27" t="s">
        <v>7</v>
      </c>
      <c r="IG321" s="27" t="s">
        <v>8</v>
      </c>
      <c r="IH321" s="27" t="s">
        <v>7</v>
      </c>
      <c r="IO321" s="27" t="s">
        <v>8</v>
      </c>
      <c r="IP321" s="27" t="s">
        <v>7</v>
      </c>
    </row>
    <row r="322" spans="1:256" x14ac:dyDescent="0.25">
      <c r="A322" s="7">
        <v>190.127753582856</v>
      </c>
      <c r="B322"/>
      <c r="C322"/>
      <c r="D322"/>
      <c r="E322"/>
      <c r="GS322" s="27" t="s">
        <v>8</v>
      </c>
      <c r="GT322" s="27" t="s">
        <v>7</v>
      </c>
      <c r="GU322" s="27" t="s">
        <v>8</v>
      </c>
      <c r="HM322" s="27" t="s">
        <v>8</v>
      </c>
      <c r="HN322" s="27" t="s">
        <v>7</v>
      </c>
      <c r="HO322" s="27" t="s">
        <v>8</v>
      </c>
      <c r="HP322" s="27" t="s">
        <v>7</v>
      </c>
      <c r="HQ322" s="27" t="s">
        <v>8</v>
      </c>
      <c r="HR322" s="27" t="s">
        <v>7</v>
      </c>
      <c r="HS322" s="27" t="s">
        <v>8</v>
      </c>
      <c r="HZ322" s="27" t="s">
        <v>7</v>
      </c>
      <c r="IB322" s="27" t="s">
        <v>7</v>
      </c>
      <c r="IC322" s="27" t="s">
        <v>8</v>
      </c>
      <c r="ID322" s="27" t="s">
        <v>7</v>
      </c>
      <c r="IE322" s="27" t="s">
        <v>8</v>
      </c>
      <c r="IF322" s="27" t="s">
        <v>7</v>
      </c>
      <c r="IG322" s="27" t="s">
        <v>8</v>
      </c>
      <c r="IH322" s="27" t="s">
        <v>7</v>
      </c>
      <c r="IO322" s="27" t="s">
        <v>8</v>
      </c>
      <c r="IP322" s="27" t="s">
        <v>7</v>
      </c>
    </row>
    <row r="323" spans="1:256" x14ac:dyDescent="0.25">
      <c r="A323" s="7">
        <v>186.3997584145647</v>
      </c>
      <c r="B323"/>
      <c r="C323"/>
      <c r="D323"/>
      <c r="E323"/>
      <c r="GS323" s="27" t="s">
        <v>8</v>
      </c>
      <c r="GT323" s="27" t="s">
        <v>7</v>
      </c>
      <c r="GU323" s="27" t="s">
        <v>8</v>
      </c>
      <c r="GV323" s="27" t="s">
        <v>7</v>
      </c>
      <c r="HM323" s="27" t="s">
        <v>8</v>
      </c>
      <c r="HN323" s="27" t="s">
        <v>7</v>
      </c>
      <c r="HP323" s="27" t="s">
        <v>7</v>
      </c>
      <c r="HQ323" s="27" t="s">
        <v>8</v>
      </c>
      <c r="HR323" s="27" t="s">
        <v>7</v>
      </c>
      <c r="IB323" s="27" t="s">
        <v>7</v>
      </c>
      <c r="IC323" s="27" t="s">
        <v>8</v>
      </c>
      <c r="ID323" s="27" t="s">
        <v>7</v>
      </c>
      <c r="IE323" s="27" t="s">
        <v>8</v>
      </c>
      <c r="IF323" s="27" t="s">
        <v>7</v>
      </c>
      <c r="IG323" s="27" t="s">
        <v>8</v>
      </c>
      <c r="IH323" s="27" t="s">
        <v>7</v>
      </c>
      <c r="IK323" s="27" t="s">
        <v>8</v>
      </c>
      <c r="IM323" s="27" t="s">
        <v>8</v>
      </c>
      <c r="IO323" s="27" t="s">
        <v>8</v>
      </c>
      <c r="IP323" s="27" t="s">
        <v>7</v>
      </c>
    </row>
    <row r="324" spans="1:256" x14ac:dyDescent="0.25">
      <c r="A324" s="7">
        <v>182.7448611907497</v>
      </c>
      <c r="B324"/>
      <c r="C324"/>
      <c r="D324"/>
      <c r="E324"/>
      <c r="GS324" s="27" t="s">
        <v>8</v>
      </c>
      <c r="GT324" s="27" t="s">
        <v>7</v>
      </c>
      <c r="GU324" s="27" t="s">
        <v>8</v>
      </c>
      <c r="GV324" s="27" t="s">
        <v>7</v>
      </c>
      <c r="HM324" s="27" t="s">
        <v>8</v>
      </c>
      <c r="HP324" s="27" t="s">
        <v>7</v>
      </c>
      <c r="HQ324" s="27" t="s">
        <v>8</v>
      </c>
      <c r="IB324" s="27" t="s">
        <v>7</v>
      </c>
      <c r="ID324" s="27" t="s">
        <v>7</v>
      </c>
      <c r="IE324" s="27" t="s">
        <v>8</v>
      </c>
      <c r="IF324" s="27" t="s">
        <v>7</v>
      </c>
      <c r="IG324" s="27" t="s">
        <v>8</v>
      </c>
      <c r="IH324" s="27" t="s">
        <v>7</v>
      </c>
      <c r="IK324" s="27" t="s">
        <v>8</v>
      </c>
      <c r="IL324" s="27" t="s">
        <v>7</v>
      </c>
      <c r="IM324" s="27" t="s">
        <v>8</v>
      </c>
      <c r="IN324" s="27" t="s">
        <v>7</v>
      </c>
      <c r="IO324" s="27" t="s">
        <v>8</v>
      </c>
      <c r="IP324" s="27" t="s">
        <v>7</v>
      </c>
    </row>
    <row r="325" spans="1:256" x14ac:dyDescent="0.25">
      <c r="A325" s="7">
        <v>179.16162861838205</v>
      </c>
      <c r="B325"/>
      <c r="C325"/>
      <c r="D325"/>
      <c r="E325"/>
      <c r="GS325" s="27" t="s">
        <v>8</v>
      </c>
      <c r="GT325" s="27" t="s">
        <v>7</v>
      </c>
      <c r="GU325" s="27" t="s">
        <v>8</v>
      </c>
      <c r="GV325" s="27" t="s">
        <v>7</v>
      </c>
      <c r="HM325" s="27" t="s">
        <v>8</v>
      </c>
      <c r="HP325" s="27" t="s">
        <v>7</v>
      </c>
      <c r="ID325" s="27" t="s">
        <v>7</v>
      </c>
      <c r="IE325" s="27" t="s">
        <v>8</v>
      </c>
      <c r="IF325" s="27" t="s">
        <v>7</v>
      </c>
      <c r="IH325" s="27" t="s">
        <v>7</v>
      </c>
      <c r="IK325" s="27" t="s">
        <v>8</v>
      </c>
      <c r="IL325" s="27" t="s">
        <v>7</v>
      </c>
      <c r="IM325" s="27" t="s">
        <v>8</v>
      </c>
      <c r="IN325" s="27" t="s">
        <v>7</v>
      </c>
      <c r="IO325" s="27" t="s">
        <v>8</v>
      </c>
      <c r="IP325" s="27" t="s">
        <v>7</v>
      </c>
      <c r="IQ325" s="27" t="s">
        <v>8</v>
      </c>
    </row>
    <row r="326" spans="1:256" x14ac:dyDescent="0.25">
      <c r="A326" s="7">
        <v>175.6486555082177</v>
      </c>
      <c r="B326"/>
      <c r="C326"/>
      <c r="D326"/>
      <c r="E326"/>
      <c r="GS326" s="27" t="s">
        <v>8</v>
      </c>
      <c r="GT326" s="27" t="s">
        <v>7</v>
      </c>
      <c r="GU326" s="27" t="s">
        <v>8</v>
      </c>
      <c r="GV326" s="27" t="s">
        <v>7</v>
      </c>
      <c r="HG326" s="27" t="s">
        <v>8</v>
      </c>
      <c r="HM326" s="27" t="s">
        <v>8</v>
      </c>
      <c r="ID326" s="27" t="s">
        <v>7</v>
      </c>
      <c r="IE326" s="27" t="s">
        <v>8</v>
      </c>
      <c r="IH326" s="27" t="s">
        <v>7</v>
      </c>
      <c r="II326" s="27" t="s">
        <v>8</v>
      </c>
      <c r="IK326" s="27" t="s">
        <v>8</v>
      </c>
      <c r="IL326" s="27" t="s">
        <v>7</v>
      </c>
      <c r="IM326" s="27" t="s">
        <v>8</v>
      </c>
      <c r="IN326" s="27" t="s">
        <v>7</v>
      </c>
      <c r="IO326" s="27" t="s">
        <v>8</v>
      </c>
      <c r="IP326" s="27" t="s">
        <v>7</v>
      </c>
      <c r="IQ326" s="27" t="s">
        <v>8</v>
      </c>
      <c r="IR326" s="27" t="s">
        <v>7</v>
      </c>
    </row>
    <row r="327" spans="1:256" x14ac:dyDescent="0.25">
      <c r="A327" s="7">
        <v>172.20456422374284</v>
      </c>
      <c r="B327"/>
      <c r="C327"/>
      <c r="D327"/>
      <c r="E327"/>
      <c r="GS327" s="27" t="s">
        <v>8</v>
      </c>
      <c r="GT327" s="27" t="s">
        <v>7</v>
      </c>
      <c r="GU327" s="27" t="s">
        <v>8</v>
      </c>
      <c r="GV327" s="27" t="s">
        <v>7</v>
      </c>
      <c r="HG327" s="27" t="s">
        <v>8</v>
      </c>
      <c r="HH327" s="27" t="s">
        <v>7</v>
      </c>
      <c r="HM327" s="27" t="s">
        <v>8</v>
      </c>
      <c r="ID327" s="27" t="s">
        <v>7</v>
      </c>
      <c r="IH327" s="27" t="s">
        <v>7</v>
      </c>
      <c r="II327" s="27" t="s">
        <v>8</v>
      </c>
      <c r="IJ327" s="27" t="s">
        <v>7</v>
      </c>
      <c r="IK327" s="27" t="s">
        <v>8</v>
      </c>
      <c r="IL327" s="27" t="s">
        <v>7</v>
      </c>
      <c r="IM327" s="27" t="s">
        <v>8</v>
      </c>
      <c r="IN327" s="27" t="s">
        <v>7</v>
      </c>
      <c r="IO327" s="27" t="s">
        <v>8</v>
      </c>
      <c r="IP327" s="27" t="s">
        <v>7</v>
      </c>
      <c r="IQ327" s="27" t="s">
        <v>8</v>
      </c>
      <c r="IR327" s="27" t="s">
        <v>7</v>
      </c>
    </row>
    <row r="328" spans="1:256" x14ac:dyDescent="0.25">
      <c r="A328" s="7">
        <v>168.82800414092435</v>
      </c>
      <c r="B328"/>
      <c r="C328"/>
      <c r="D328"/>
      <c r="E328"/>
      <c r="GS328" s="27" t="s">
        <v>8</v>
      </c>
      <c r="GT328" s="27" t="s">
        <v>7</v>
      </c>
      <c r="GV328" s="27" t="s">
        <v>7</v>
      </c>
      <c r="GY328" s="27" t="s">
        <v>8</v>
      </c>
      <c r="HG328" s="27" t="s">
        <v>8</v>
      </c>
      <c r="HH328" s="27" t="s">
        <v>7</v>
      </c>
      <c r="HI328" s="27" t="s">
        <v>8</v>
      </c>
      <c r="HM328" s="27" t="s">
        <v>8</v>
      </c>
      <c r="IH328" s="27" t="s">
        <v>7</v>
      </c>
      <c r="II328" s="27" t="s">
        <v>8</v>
      </c>
      <c r="IJ328" s="27" t="s">
        <v>7</v>
      </c>
      <c r="IK328" s="27" t="s">
        <v>8</v>
      </c>
      <c r="IL328" s="27" t="s">
        <v>7</v>
      </c>
      <c r="IN328" s="27" t="s">
        <v>7</v>
      </c>
      <c r="IP328" s="27" t="s">
        <v>7</v>
      </c>
      <c r="IR328" s="27" t="s">
        <v>7</v>
      </c>
    </row>
    <row r="329" spans="1:256" x14ac:dyDescent="0.25">
      <c r="A329" s="7">
        <v>165.51765111855329</v>
      </c>
      <c r="B329"/>
      <c r="C329"/>
      <c r="D329"/>
      <c r="E329"/>
      <c r="GS329" s="27" t="s">
        <v>8</v>
      </c>
      <c r="GV329" s="27" t="s">
        <v>7</v>
      </c>
      <c r="GW329" s="27" t="s">
        <v>8</v>
      </c>
      <c r="GY329" s="27" t="s">
        <v>8</v>
      </c>
      <c r="GZ329" s="27" t="s">
        <v>7</v>
      </c>
      <c r="HG329" s="27" t="s">
        <v>8</v>
      </c>
      <c r="HH329" s="27" t="s">
        <v>7</v>
      </c>
      <c r="HI329" s="27" t="s">
        <v>8</v>
      </c>
      <c r="HJ329" s="27" t="s">
        <v>7</v>
      </c>
      <c r="HK329" s="27" t="s">
        <v>8</v>
      </c>
      <c r="HM329" s="27" t="s">
        <v>8</v>
      </c>
      <c r="IH329" s="27" t="s">
        <v>7</v>
      </c>
      <c r="II329" s="27" t="s">
        <v>8</v>
      </c>
      <c r="IJ329" s="27" t="s">
        <v>7</v>
      </c>
      <c r="IK329" s="27" t="s">
        <v>8</v>
      </c>
      <c r="IR329" s="27" t="s">
        <v>7</v>
      </c>
    </row>
    <row r="330" spans="1:256" x14ac:dyDescent="0.25">
      <c r="A330" s="7">
        <v>162.2722069789738</v>
      </c>
      <c r="B330"/>
      <c r="C330"/>
      <c r="D330"/>
      <c r="E330"/>
      <c r="GS330" s="27" t="s">
        <v>8</v>
      </c>
      <c r="GV330" s="27" t="s">
        <v>7</v>
      </c>
      <c r="GW330" s="27" t="s">
        <v>8</v>
      </c>
      <c r="GX330" s="27" t="s">
        <v>7</v>
      </c>
      <c r="GY330" s="27" t="s">
        <v>8</v>
      </c>
      <c r="GZ330" s="27" t="s">
        <v>7</v>
      </c>
      <c r="HG330" s="27" t="s">
        <v>8</v>
      </c>
      <c r="HH330" s="27" t="s">
        <v>7</v>
      </c>
      <c r="HI330" s="27" t="s">
        <v>8</v>
      </c>
      <c r="HJ330" s="27" t="s">
        <v>7</v>
      </c>
      <c r="HK330" s="27" t="s">
        <v>8</v>
      </c>
      <c r="HL330" s="27" t="s">
        <v>7</v>
      </c>
      <c r="HM330" s="27" t="s">
        <v>8</v>
      </c>
      <c r="IH330" s="27" t="s">
        <v>7</v>
      </c>
      <c r="IJ330" s="27" t="s">
        <v>7</v>
      </c>
      <c r="IK330" s="27" t="s">
        <v>8</v>
      </c>
      <c r="IR330" s="27" t="s">
        <v>7</v>
      </c>
    </row>
    <row r="331" spans="1:256" x14ac:dyDescent="0.25">
      <c r="A331" s="7">
        <v>159.09039899899392</v>
      </c>
      <c r="B331"/>
      <c r="C331"/>
      <c r="D331"/>
      <c r="E331"/>
      <c r="GS331" s="27" t="s">
        <v>8</v>
      </c>
      <c r="GV331" s="27" t="s">
        <v>7</v>
      </c>
      <c r="GW331" s="27" t="s">
        <v>8</v>
      </c>
      <c r="GX331" s="27" t="s">
        <v>7</v>
      </c>
      <c r="GY331" s="27" t="s">
        <v>8</v>
      </c>
      <c r="GZ331" s="27" t="s">
        <v>7</v>
      </c>
      <c r="HG331" s="27" t="s">
        <v>8</v>
      </c>
      <c r="HH331" s="27" t="s">
        <v>7</v>
      </c>
      <c r="HI331" s="27" t="s">
        <v>8</v>
      </c>
      <c r="HJ331" s="27" t="s">
        <v>7</v>
      </c>
      <c r="HK331" s="27" t="s">
        <v>8</v>
      </c>
      <c r="HL331" s="27" t="s">
        <v>7</v>
      </c>
      <c r="HM331" s="27" t="s">
        <v>8</v>
      </c>
      <c r="IJ331" s="27" t="s">
        <v>7</v>
      </c>
      <c r="IK331" s="27" t="s">
        <v>8</v>
      </c>
      <c r="IR331" s="27" t="s">
        <v>7</v>
      </c>
    </row>
    <row r="332" spans="1:256" x14ac:dyDescent="0.25">
      <c r="A332" s="7">
        <v>155.97097941077834</v>
      </c>
      <c r="B332"/>
      <c r="C332"/>
      <c r="D332"/>
      <c r="E332"/>
      <c r="GS332" s="27" t="s">
        <v>8</v>
      </c>
      <c r="GV332" s="27" t="s">
        <v>7</v>
      </c>
      <c r="GW332" s="27" t="s">
        <v>8</v>
      </c>
      <c r="GX332" s="27" t="s">
        <v>7</v>
      </c>
      <c r="GY332" s="27" t="s">
        <v>8</v>
      </c>
      <c r="GZ332" s="27" t="s">
        <v>7</v>
      </c>
      <c r="HG332" s="27" t="s">
        <v>8</v>
      </c>
      <c r="HH332" s="27" t="s">
        <v>7</v>
      </c>
      <c r="HI332" s="27" t="s">
        <v>8</v>
      </c>
      <c r="HJ332" s="27" t="s">
        <v>7</v>
      </c>
      <c r="HK332" s="27" t="s">
        <v>8</v>
      </c>
      <c r="HL332" s="27" t="s">
        <v>7</v>
      </c>
      <c r="IJ332" s="27" t="s">
        <v>7</v>
      </c>
      <c r="IK332" s="27" t="s">
        <v>8</v>
      </c>
      <c r="IR332" s="27" t="s">
        <v>7</v>
      </c>
      <c r="IU332" s="27" t="s">
        <v>8</v>
      </c>
    </row>
    <row r="333" spans="1:256" x14ac:dyDescent="0.25">
      <c r="A333" s="7">
        <v>152.91272491252778</v>
      </c>
      <c r="B333"/>
      <c r="C333"/>
      <c r="D333"/>
      <c r="E333"/>
      <c r="GS333" s="27" t="s">
        <v>8</v>
      </c>
      <c r="GV333" s="27" t="s">
        <v>7</v>
      </c>
      <c r="GW333" s="27" t="s">
        <v>8</v>
      </c>
      <c r="GX333" s="27" t="s">
        <v>7</v>
      </c>
      <c r="GY333" s="27" t="s">
        <v>8</v>
      </c>
      <c r="GZ333" s="27" t="s">
        <v>7</v>
      </c>
      <c r="HG333" s="27" t="s">
        <v>8</v>
      </c>
      <c r="HH333" s="27" t="s">
        <v>7</v>
      </c>
      <c r="HJ333" s="27" t="s">
        <v>7</v>
      </c>
      <c r="HK333" s="27" t="s">
        <v>8</v>
      </c>
      <c r="IJ333" s="27" t="s">
        <v>7</v>
      </c>
      <c r="IK333" s="27" t="s">
        <v>8</v>
      </c>
      <c r="IR333" s="27" t="s">
        <v>7</v>
      </c>
      <c r="IU333" s="27" t="s">
        <v>8</v>
      </c>
      <c r="IV333" s="27" t="s">
        <v>7</v>
      </c>
    </row>
    <row r="334" spans="1:256" x14ac:dyDescent="0.25">
      <c r="A334" s="7">
        <v>149.91443618875272</v>
      </c>
      <c r="B334"/>
      <c r="C334"/>
      <c r="D334"/>
      <c r="E334"/>
      <c r="GQ334" s="27" t="s">
        <v>8</v>
      </c>
      <c r="GS334" s="27" t="s">
        <v>8</v>
      </c>
      <c r="GV334" s="27" t="s">
        <v>7</v>
      </c>
      <c r="GW334" s="27" t="s">
        <v>8</v>
      </c>
      <c r="GX334" s="27" t="s">
        <v>7</v>
      </c>
      <c r="GY334" s="27" t="s">
        <v>8</v>
      </c>
      <c r="GZ334" s="27" t="s">
        <v>7</v>
      </c>
      <c r="HA334" s="27" t="s">
        <v>8</v>
      </c>
      <c r="HG334" s="27" t="s">
        <v>8</v>
      </c>
      <c r="HJ334" s="27" t="s">
        <v>7</v>
      </c>
      <c r="HK334" s="27" t="s">
        <v>8</v>
      </c>
      <c r="IJ334" s="27" t="s">
        <v>7</v>
      </c>
      <c r="IR334" s="27" t="s">
        <v>7</v>
      </c>
      <c r="IU334" s="27" t="s">
        <v>8</v>
      </c>
      <c r="IV334" s="27" t="s">
        <v>7</v>
      </c>
    </row>
    <row r="335" spans="1:256" x14ac:dyDescent="0.25">
      <c r="A335" s="7">
        <v>146.97493743995364</v>
      </c>
      <c r="B335"/>
      <c r="C335"/>
      <c r="D335"/>
      <c r="E335"/>
      <c r="GQ335" s="27" t="s">
        <v>8</v>
      </c>
      <c r="GR335" s="27" t="s">
        <v>7</v>
      </c>
      <c r="GS335" s="27" t="s">
        <v>8</v>
      </c>
      <c r="GV335" s="27" t="s">
        <v>7</v>
      </c>
      <c r="GW335" s="27" t="s">
        <v>8</v>
      </c>
      <c r="GX335" s="27" t="s">
        <v>7</v>
      </c>
      <c r="GY335" s="27" t="s">
        <v>8</v>
      </c>
      <c r="GZ335" s="27" t="s">
        <v>7</v>
      </c>
      <c r="HA335" s="27" t="s">
        <v>8</v>
      </c>
      <c r="HB335" s="27" t="s">
        <v>7</v>
      </c>
      <c r="HE335" s="27" t="s">
        <v>8</v>
      </c>
      <c r="HG335" s="27" t="s">
        <v>8</v>
      </c>
      <c r="HJ335" s="27" t="s">
        <v>7</v>
      </c>
      <c r="HK335" s="27" t="s">
        <v>8</v>
      </c>
      <c r="IR335" s="27" t="s">
        <v>7</v>
      </c>
      <c r="IS335" s="27" t="s">
        <v>8</v>
      </c>
      <c r="IU335" s="27" t="s">
        <v>8</v>
      </c>
      <c r="IV335" s="27" t="s">
        <v>7</v>
      </c>
    </row>
    <row r="336" spans="1:256" x14ac:dyDescent="0.25">
      <c r="A336" s="7">
        <v>144.09307592152317</v>
      </c>
      <c r="B336"/>
      <c r="C336"/>
      <c r="D336"/>
      <c r="E336"/>
      <c r="GQ336" s="27" t="s">
        <v>8</v>
      </c>
      <c r="GR336" s="27" t="s">
        <v>7</v>
      </c>
      <c r="GS336" s="27" t="s">
        <v>8</v>
      </c>
      <c r="GV336" s="27" t="s">
        <v>7</v>
      </c>
      <c r="GX336" s="27" t="s">
        <v>7</v>
      </c>
      <c r="GY336" s="27" t="s">
        <v>8</v>
      </c>
      <c r="GZ336" s="27" t="s">
        <v>7</v>
      </c>
      <c r="HA336" s="27" t="s">
        <v>8</v>
      </c>
      <c r="HB336" s="27" t="s">
        <v>7</v>
      </c>
      <c r="HC336" s="27" t="s">
        <v>8</v>
      </c>
      <c r="HE336" s="27" t="s">
        <v>8</v>
      </c>
      <c r="HF336" s="27" t="s">
        <v>7</v>
      </c>
      <c r="HG336" s="27" t="s">
        <v>8</v>
      </c>
      <c r="HJ336" s="27" t="s">
        <v>7</v>
      </c>
      <c r="HK336" s="27" t="s">
        <v>8</v>
      </c>
      <c r="IR336" s="27" t="s">
        <v>7</v>
      </c>
      <c r="IS336" s="27" t="s">
        <v>8</v>
      </c>
      <c r="IT336" s="27" t="s">
        <v>7</v>
      </c>
      <c r="IU336" s="27" t="s">
        <v>8</v>
      </c>
      <c r="IV336" s="27" t="s">
        <v>7</v>
      </c>
    </row>
    <row r="337" spans="1:256" x14ac:dyDescent="0.25">
      <c r="A337" s="7">
        <v>141.26772149168937</v>
      </c>
      <c r="B337"/>
      <c r="C337"/>
      <c r="D337"/>
      <c r="E337"/>
      <c r="GQ337" s="27" t="s">
        <v>8</v>
      </c>
      <c r="GR337" s="27" t="s">
        <v>7</v>
      </c>
      <c r="GS337" s="27" t="s">
        <v>8</v>
      </c>
      <c r="GX337" s="27" t="s">
        <v>7</v>
      </c>
      <c r="GY337" s="27" t="s">
        <v>8</v>
      </c>
      <c r="GZ337" s="27" t="s">
        <v>7</v>
      </c>
      <c r="HA337" s="27" t="s">
        <v>8</v>
      </c>
      <c r="HB337" s="27" t="s">
        <v>7</v>
      </c>
      <c r="HC337" s="27" t="s">
        <v>8</v>
      </c>
      <c r="HD337" s="27" t="s">
        <v>7</v>
      </c>
      <c r="HE337" s="27" t="s">
        <v>8</v>
      </c>
      <c r="HF337" s="27" t="s">
        <v>7</v>
      </c>
      <c r="HG337" s="27" t="s">
        <v>8</v>
      </c>
      <c r="HJ337" s="27" t="s">
        <v>7</v>
      </c>
      <c r="HK337" s="27" t="s">
        <v>8</v>
      </c>
      <c r="IR337" s="27" t="s">
        <v>7</v>
      </c>
      <c r="IS337" s="27" t="s">
        <v>8</v>
      </c>
      <c r="IT337" s="27" t="s">
        <v>7</v>
      </c>
      <c r="IU337" s="27" t="s">
        <v>8</v>
      </c>
      <c r="IV337" s="27" t="s">
        <v>7</v>
      </c>
    </row>
    <row r="338" spans="1:256" x14ac:dyDescent="0.25">
      <c r="A338" s="7">
        <v>138.4977661683229</v>
      </c>
      <c r="B338"/>
      <c r="C338"/>
      <c r="D338"/>
      <c r="E338"/>
      <c r="GQ338" s="27" t="s">
        <v>8</v>
      </c>
      <c r="GR338" s="27" t="s">
        <v>7</v>
      </c>
      <c r="GS338" s="27" t="s">
        <v>8</v>
      </c>
      <c r="GX338" s="27" t="s">
        <v>7</v>
      </c>
      <c r="GY338" s="27" t="s">
        <v>8</v>
      </c>
      <c r="GZ338" s="27" t="s">
        <v>7</v>
      </c>
      <c r="HA338" s="27" t="s">
        <v>8</v>
      </c>
      <c r="HB338" s="27" t="s">
        <v>7</v>
      </c>
      <c r="HC338" s="27" t="s">
        <v>8</v>
      </c>
      <c r="HD338" s="27" t="s">
        <v>7</v>
      </c>
      <c r="HE338" s="27" t="s">
        <v>8</v>
      </c>
      <c r="HF338" s="27" t="s">
        <v>7</v>
      </c>
      <c r="HG338" s="27" t="s">
        <v>8</v>
      </c>
      <c r="HJ338" s="27" t="s">
        <v>7</v>
      </c>
      <c r="IR338" s="27" t="s">
        <v>7</v>
      </c>
      <c r="IS338" s="27" t="s">
        <v>8</v>
      </c>
      <c r="IT338" s="27" t="s">
        <v>7</v>
      </c>
      <c r="IU338" s="27" t="s">
        <v>8</v>
      </c>
      <c r="IV338" s="27" t="s">
        <v>7</v>
      </c>
    </row>
    <row r="339" spans="1:256" x14ac:dyDescent="0.25">
      <c r="A339" s="7">
        <v>135.7821236944342</v>
      </c>
      <c r="B339"/>
      <c r="C339"/>
      <c r="D339"/>
      <c r="E339"/>
      <c r="GQ339" s="27" t="s">
        <v>8</v>
      </c>
      <c r="GR339" s="27" t="s">
        <v>7</v>
      </c>
      <c r="GX339" s="27" t="s">
        <v>7</v>
      </c>
      <c r="GZ339" s="27" t="s">
        <v>7</v>
      </c>
      <c r="HA339" s="27" t="s">
        <v>8</v>
      </c>
      <c r="HB339" s="27" t="s">
        <v>7</v>
      </c>
      <c r="HC339" s="27" t="s">
        <v>8</v>
      </c>
      <c r="HD339" s="27" t="s">
        <v>7</v>
      </c>
      <c r="HE339" s="27" t="s">
        <v>8</v>
      </c>
      <c r="HF339" s="27" t="s">
        <v>7</v>
      </c>
      <c r="HG339" s="27" t="s">
        <v>8</v>
      </c>
      <c r="IR339" s="27" t="s">
        <v>7</v>
      </c>
      <c r="IS339" s="27" t="s">
        <v>8</v>
      </c>
      <c r="IT339" s="27" t="s">
        <v>7</v>
      </c>
      <c r="IU339" s="27" t="s">
        <v>8</v>
      </c>
      <c r="IV339" s="27" t="s">
        <v>7</v>
      </c>
    </row>
    <row r="340" spans="1:256" x14ac:dyDescent="0.25">
      <c r="A340" s="7">
        <v>133.11972911219038</v>
      </c>
      <c r="B340"/>
      <c r="C340"/>
      <c r="D340"/>
      <c r="E340"/>
      <c r="GQ340" s="27" t="s">
        <v>8</v>
      </c>
      <c r="GZ340" s="27" t="s">
        <v>7</v>
      </c>
      <c r="HA340" s="27" t="s">
        <v>8</v>
      </c>
      <c r="HB340" s="27" t="s">
        <v>7</v>
      </c>
      <c r="HC340" s="27" t="s">
        <v>8</v>
      </c>
      <c r="HD340" s="27" t="s">
        <v>7</v>
      </c>
      <c r="HE340" s="27" t="s">
        <v>8</v>
      </c>
      <c r="HF340" s="27" t="s">
        <v>7</v>
      </c>
      <c r="HG340" s="27" t="s">
        <v>8</v>
      </c>
      <c r="IR340" s="27" t="s">
        <v>7</v>
      </c>
      <c r="IT340" s="27" t="s">
        <v>7</v>
      </c>
      <c r="IU340" s="27" t="s">
        <v>8</v>
      </c>
      <c r="IV340" s="27" t="s">
        <v>7</v>
      </c>
    </row>
    <row r="341" spans="1:256" x14ac:dyDescent="0.25">
      <c r="A341" s="7">
        <v>130.50953834528468</v>
      </c>
      <c r="B341"/>
      <c r="C341"/>
      <c r="D341"/>
      <c r="E341"/>
      <c r="GQ341" s="27" t="s">
        <v>8</v>
      </c>
      <c r="GZ341" s="27" t="s">
        <v>7</v>
      </c>
      <c r="HA341" s="27" t="s">
        <v>8</v>
      </c>
      <c r="HB341" s="27" t="s">
        <v>7</v>
      </c>
      <c r="HD341" s="27" t="s">
        <v>7</v>
      </c>
      <c r="HE341" s="27" t="s">
        <v>8</v>
      </c>
      <c r="HF341" s="27" t="s">
        <v>7</v>
      </c>
      <c r="IT341" s="27" t="s">
        <v>7</v>
      </c>
      <c r="IV341" s="27" t="s">
        <v>7</v>
      </c>
    </row>
    <row r="342" spans="1:256" x14ac:dyDescent="0.25">
      <c r="A342" s="7">
        <v>127.95052778949477</v>
      </c>
      <c r="B342"/>
      <c r="C342"/>
      <c r="D342"/>
      <c r="E342"/>
      <c r="GO342" s="27" t="s">
        <v>8</v>
      </c>
      <c r="GQ342" s="27" t="s">
        <v>8</v>
      </c>
      <c r="GZ342" s="27" t="s">
        <v>7</v>
      </c>
      <c r="HA342" s="27" t="s">
        <v>8</v>
      </c>
      <c r="HD342" s="27" t="s">
        <v>7</v>
      </c>
      <c r="HE342" s="27" t="s">
        <v>8</v>
      </c>
      <c r="IV342" s="27" t="s">
        <v>7</v>
      </c>
    </row>
    <row r="343" spans="1:256" x14ac:dyDescent="0.25">
      <c r="A343" s="7">
        <v>125.44169391126938</v>
      </c>
      <c r="B343"/>
      <c r="C343"/>
      <c r="D343"/>
      <c r="E343"/>
      <c r="GO343" s="27" t="s">
        <v>8</v>
      </c>
      <c r="GP343" s="27" t="s">
        <v>7</v>
      </c>
      <c r="GQ343" s="27" t="s">
        <v>8</v>
      </c>
      <c r="GZ343" s="27" t="s">
        <v>7</v>
      </c>
      <c r="HA343" s="27" t="s">
        <v>8</v>
      </c>
      <c r="HD343" s="27" t="s">
        <v>7</v>
      </c>
      <c r="IV343" s="27" t="s">
        <v>7</v>
      </c>
    </row>
    <row r="344" spans="1:256" x14ac:dyDescent="0.25">
      <c r="A344" s="7">
        <v>122.98205285418567</v>
      </c>
      <c r="B344"/>
      <c r="C344"/>
      <c r="D344"/>
      <c r="E344"/>
      <c r="GO344" s="27" t="s">
        <v>8</v>
      </c>
      <c r="GP344" s="27" t="s">
        <v>7</v>
      </c>
      <c r="GQ344" s="27" t="s">
        <v>8</v>
      </c>
      <c r="GZ344" s="27" t="s">
        <v>7</v>
      </c>
      <c r="HA344" s="27" t="s">
        <v>8</v>
      </c>
      <c r="IV344" s="27" t="s">
        <v>7</v>
      </c>
    </row>
    <row r="345" spans="1:256" x14ac:dyDescent="0.25">
      <c r="A345" s="7">
        <v>120.5706400531232</v>
      </c>
      <c r="B345"/>
      <c r="C345"/>
      <c r="D345"/>
      <c r="E345"/>
      <c r="GO345" s="27" t="s">
        <v>8</v>
      </c>
      <c r="GP345" s="27" t="s">
        <v>7</v>
      </c>
      <c r="GQ345" s="27" t="s">
        <v>8</v>
      </c>
      <c r="GZ345" s="27" t="s">
        <v>7</v>
      </c>
      <c r="HA345" s="27" t="s">
        <v>8</v>
      </c>
      <c r="IV345" s="27" t="s">
        <v>7</v>
      </c>
    </row>
    <row r="346" spans="1:256" x14ac:dyDescent="0.25">
      <c r="A346" s="7">
        <v>118.20650985600314</v>
      </c>
      <c r="B346"/>
      <c r="C346"/>
      <c r="D346"/>
      <c r="E346"/>
      <c r="GO346" s="27" t="s">
        <v>8</v>
      </c>
      <c r="GP346" s="27" t="s">
        <v>7</v>
      </c>
      <c r="GQ346" s="27" t="s">
        <v>8</v>
      </c>
      <c r="GZ346" s="27" t="s">
        <v>7</v>
      </c>
      <c r="IV346" s="27" t="s">
        <v>7</v>
      </c>
    </row>
    <row r="347" spans="1:256" x14ac:dyDescent="0.25">
      <c r="A347" s="7">
        <v>115.88873515294425</v>
      </c>
      <c r="B347"/>
      <c r="C347"/>
      <c r="D347"/>
      <c r="E347"/>
      <c r="GO347" s="27" t="s">
        <v>8</v>
      </c>
      <c r="GP347" s="27" t="s">
        <v>7</v>
      </c>
      <c r="GQ347" s="27" t="s">
        <v>8</v>
      </c>
      <c r="IV347" s="27" t="s">
        <v>7</v>
      </c>
    </row>
    <row r="348" spans="1:256" x14ac:dyDescent="0.25">
      <c r="A348" s="7">
        <v>113.61640701269044</v>
      </c>
      <c r="B348"/>
      <c r="C348"/>
      <c r="D348"/>
      <c r="E348"/>
      <c r="GO348" s="27" t="s">
        <v>8</v>
      </c>
      <c r="GP348" s="27" t="s">
        <v>7</v>
      </c>
      <c r="GQ348" s="27" t="s">
        <v>8</v>
      </c>
      <c r="IV348" s="27" t="s">
        <v>7</v>
      </c>
    </row>
    <row r="349" spans="1:256" x14ac:dyDescent="0.25">
      <c r="A349" s="7">
        <v>111.38863432616711</v>
      </c>
      <c r="B349"/>
      <c r="C349"/>
      <c r="D349"/>
      <c r="E349"/>
      <c r="GO349" s="27" t="s">
        <v>8</v>
      </c>
      <c r="GP349" s="27" t="s">
        <v>7</v>
      </c>
      <c r="GQ349" s="27" t="s">
        <v>8</v>
      </c>
      <c r="IV349" s="27" t="s">
        <v>7</v>
      </c>
    </row>
    <row r="350" spans="1:256" x14ac:dyDescent="0.25">
      <c r="A350" s="7">
        <v>109.20454345702657</v>
      </c>
      <c r="B350"/>
      <c r="C350"/>
      <c r="D350"/>
      <c r="E350"/>
      <c r="GO350" s="27" t="s">
        <v>8</v>
      </c>
      <c r="GP350" s="27" t="s">
        <v>7</v>
      </c>
      <c r="GQ350" s="27" t="s">
        <v>8</v>
      </c>
      <c r="IV350" s="27" t="s">
        <v>7</v>
      </c>
    </row>
    <row r="351" spans="1:256" x14ac:dyDescent="0.25">
      <c r="A351" s="7">
        <v>107.06327789904566</v>
      </c>
      <c r="B351"/>
      <c r="C351"/>
      <c r="D351"/>
      <c r="E351"/>
      <c r="GO351" s="27" t="s">
        <v>8</v>
      </c>
      <c r="GP351" s="27" t="s">
        <v>7</v>
      </c>
      <c r="IV351" s="27" t="s">
        <v>7</v>
      </c>
    </row>
    <row r="352" spans="1:256" x14ac:dyDescent="0.25">
      <c r="A352" s="7">
        <v>104.96399794024084</v>
      </c>
      <c r="B352"/>
      <c r="C352"/>
      <c r="D352"/>
      <c r="E352"/>
      <c r="GO352" s="27" t="s">
        <v>8</v>
      </c>
      <c r="IV352" s="27" t="s">
        <v>7</v>
      </c>
    </row>
    <row r="353" spans="1:260" x14ac:dyDescent="0.25">
      <c r="A353" s="7">
        <v>102.90588033356946</v>
      </c>
      <c r="B353"/>
      <c r="C353"/>
      <c r="D353"/>
      <c r="E353"/>
      <c r="GO353" s="27" t="s">
        <v>8</v>
      </c>
      <c r="IV353" s="27" t="s">
        <v>7</v>
      </c>
      <c r="IW353" s="27" t="s">
        <v>8</v>
      </c>
      <c r="IY353" s="27" t="s">
        <v>8</v>
      </c>
    </row>
    <row r="354" spans="1:260" x14ac:dyDescent="0.25">
      <c r="A354" s="7">
        <v>100.88811797408771</v>
      </c>
      <c r="B354"/>
      <c r="C354"/>
      <c r="D354"/>
      <c r="E354"/>
      <c r="GO354" s="27" t="s">
        <v>8</v>
      </c>
      <c r="IV354" s="27" t="s">
        <v>7</v>
      </c>
      <c r="IW354" s="27" t="s">
        <v>8</v>
      </c>
      <c r="IX354" s="27" t="s">
        <v>7</v>
      </c>
      <c r="IY354" s="27" t="s">
        <v>8</v>
      </c>
      <c r="IZ354" s="27" t="s">
        <v>7</v>
      </c>
    </row>
    <row r="355" spans="1:260" x14ac:dyDescent="0.25">
      <c r="A355" s="7">
        <v>98.909919582438931</v>
      </c>
      <c r="B355"/>
      <c r="C355"/>
      <c r="D355"/>
      <c r="E355"/>
      <c r="GO355" s="27" t="s">
        <v>8</v>
      </c>
      <c r="IV355" s="27" t="s">
        <v>7</v>
      </c>
      <c r="IW355" s="27" t="s">
        <v>8</v>
      </c>
      <c r="IX355" s="27" t="s">
        <v>7</v>
      </c>
      <c r="IY355" s="27" t="s">
        <v>8</v>
      </c>
      <c r="IZ355" s="27" t="s">
        <v>7</v>
      </c>
    </row>
    <row r="356" spans="1:260" x14ac:dyDescent="0.25">
      <c r="A356" s="7">
        <v>96.970509394547975</v>
      </c>
      <c r="B356"/>
      <c r="C356"/>
      <c r="D356"/>
      <c r="E356"/>
      <c r="GM356" s="27" t="s">
        <v>8</v>
      </c>
      <c r="GO356" s="27" t="s">
        <v>8</v>
      </c>
      <c r="IV356" s="27" t="s">
        <v>7</v>
      </c>
      <c r="IW356" s="27" t="s">
        <v>8</v>
      </c>
      <c r="IX356" s="27" t="s">
        <v>7</v>
      </c>
      <c r="IY356" s="27" t="s">
        <v>8</v>
      </c>
      <c r="IZ356" s="27" t="s">
        <v>7</v>
      </c>
    </row>
    <row r="357" spans="1:260" x14ac:dyDescent="0.25">
      <c r="A357" s="7">
        <v>95.069126857399979</v>
      </c>
      <c r="B357"/>
      <c r="C357"/>
      <c r="D357"/>
      <c r="E357"/>
      <c r="GM357" s="27" t="s">
        <v>8</v>
      </c>
      <c r="GN357" s="27" t="s">
        <v>7</v>
      </c>
      <c r="GO357" s="27" t="s">
        <v>8</v>
      </c>
      <c r="IV357" s="27" t="s">
        <v>7</v>
      </c>
      <c r="IW357" s="27" t="s">
        <v>8</v>
      </c>
      <c r="IX357" s="27" t="s">
        <v>7</v>
      </c>
      <c r="IY357" s="27" t="s">
        <v>8</v>
      </c>
      <c r="IZ357" s="27" t="s">
        <v>7</v>
      </c>
    </row>
    <row r="358" spans="1:260" x14ac:dyDescent="0.25">
      <c r="A358" s="7">
        <v>93.205026330784293</v>
      </c>
      <c r="B358"/>
      <c r="C358"/>
      <c r="D358"/>
      <c r="E358"/>
      <c r="GM358" s="27" t="s">
        <v>8</v>
      </c>
      <c r="GN358" s="27" t="s">
        <v>7</v>
      </c>
      <c r="GO358" s="27" t="s">
        <v>8</v>
      </c>
      <c r="IV358" s="27" t="s">
        <v>7</v>
      </c>
      <c r="IW358" s="27" t="s">
        <v>8</v>
      </c>
      <c r="IX358" s="27" t="s">
        <v>7</v>
      </c>
      <c r="IY358" s="27" t="s">
        <v>8</v>
      </c>
      <c r="IZ358" s="27" t="s">
        <v>7</v>
      </c>
    </row>
    <row r="359" spans="1:260" x14ac:dyDescent="0.25">
      <c r="A359" s="7">
        <v>91.377476794886562</v>
      </c>
      <c r="B359"/>
      <c r="C359"/>
      <c r="D359"/>
      <c r="E359"/>
      <c r="GM359" s="27" t="s">
        <v>8</v>
      </c>
      <c r="GN359" s="27" t="s">
        <v>7</v>
      </c>
      <c r="IV359" s="27" t="s">
        <v>7</v>
      </c>
      <c r="IW359" s="27" t="s">
        <v>8</v>
      </c>
      <c r="IX359" s="27" t="s">
        <v>7</v>
      </c>
      <c r="IY359" s="27" t="s">
        <v>8</v>
      </c>
      <c r="IZ359" s="27" t="s">
        <v>7</v>
      </c>
    </row>
    <row r="360" spans="1:260" x14ac:dyDescent="0.25">
      <c r="A360" s="7">
        <v>89.58576156361427</v>
      </c>
      <c r="B360"/>
      <c r="C360"/>
      <c r="D360"/>
      <c r="E360"/>
      <c r="GM360" s="27" t="s">
        <v>8</v>
      </c>
      <c r="IV360" s="27" t="s">
        <v>7</v>
      </c>
      <c r="IW360" s="27" t="s">
        <v>8</v>
      </c>
      <c r="IX360" s="27" t="s">
        <v>7</v>
      </c>
      <c r="IY360" s="27" t="s">
        <v>8</v>
      </c>
      <c r="IZ360" s="27" t="s">
        <v>7</v>
      </c>
    </row>
    <row r="361" spans="1:260" x14ac:dyDescent="0.25">
      <c r="A361" s="7">
        <v>87.829178003543404</v>
      </c>
      <c r="B361"/>
      <c r="C361"/>
      <c r="D361"/>
      <c r="E361"/>
      <c r="GM361" s="27" t="s">
        <v>8</v>
      </c>
      <c r="IV361" s="27" t="s">
        <v>7</v>
      </c>
      <c r="IX361" s="27" t="s">
        <v>7</v>
      </c>
      <c r="IY361" s="27" t="s">
        <v>8</v>
      </c>
    </row>
    <row r="362" spans="1:260" x14ac:dyDescent="0.25">
      <c r="A362" s="7">
        <v>86.107037258375883</v>
      </c>
      <c r="B362"/>
      <c r="C362"/>
      <c r="D362"/>
      <c r="E362"/>
      <c r="GM362" s="27" t="s">
        <v>8</v>
      </c>
      <c r="IX362" s="27" t="s">
        <v>7</v>
      </c>
      <c r="IY362" s="27" t="s">
        <v>8</v>
      </c>
    </row>
    <row r="363" spans="1:260" x14ac:dyDescent="0.25">
      <c r="A363" s="7">
        <v>84.418663978799884</v>
      </c>
      <c r="B363"/>
      <c r="C363"/>
      <c r="D363"/>
      <c r="E363"/>
      <c r="GM363" s="27" t="s">
        <v>8</v>
      </c>
      <c r="IX363" s="27" t="s">
        <v>7</v>
      </c>
      <c r="IY363" s="27" t="s">
        <v>8</v>
      </c>
    </row>
    <row r="364" spans="1:260" x14ac:dyDescent="0.25">
      <c r="A364" s="7">
        <v>82.763396057646943</v>
      </c>
      <c r="B364"/>
      <c r="C364"/>
      <c r="D364"/>
      <c r="E364"/>
      <c r="GM364" s="27" t="s">
        <v>8</v>
      </c>
      <c r="IX364" s="27" t="s">
        <v>7</v>
      </c>
      <c r="IY364" s="27" t="s">
        <v>8</v>
      </c>
    </row>
    <row r="365" spans="1:260" x14ac:dyDescent="0.25">
      <c r="A365" s="7">
        <v>81.140584370242095</v>
      </c>
      <c r="B365"/>
      <c r="C365"/>
      <c r="D365"/>
      <c r="E365"/>
      <c r="GK365" s="27" t="s">
        <v>8</v>
      </c>
      <c r="GM365" s="27" t="s">
        <v>8</v>
      </c>
      <c r="IX365" s="27" t="s">
        <v>7</v>
      </c>
    </row>
    <row r="366" spans="1:260" x14ac:dyDescent="0.25">
      <c r="A366" s="7">
        <v>79.549592519845191</v>
      </c>
      <c r="B366"/>
      <c r="C366"/>
      <c r="D366"/>
      <c r="E366"/>
      <c r="GI366" s="27" t="s">
        <v>8</v>
      </c>
      <c r="GK366" s="27" t="s">
        <v>8</v>
      </c>
      <c r="GL366" s="27" t="s">
        <v>7</v>
      </c>
      <c r="GM366" s="27" t="s">
        <v>8</v>
      </c>
    </row>
    <row r="367" spans="1:260" x14ac:dyDescent="0.25">
      <c r="A367" s="7">
        <v>77.989796588083522</v>
      </c>
      <c r="B367"/>
      <c r="C367"/>
      <c r="D367"/>
      <c r="E367"/>
      <c r="GI367" s="27" t="s">
        <v>8</v>
      </c>
      <c r="GJ367" s="27" t="s">
        <v>7</v>
      </c>
      <c r="GK367" s="27" t="s">
        <v>8</v>
      </c>
      <c r="GL367" s="27" t="s">
        <v>7</v>
      </c>
      <c r="GM367" s="27" t="s">
        <v>8</v>
      </c>
    </row>
    <row r="368" spans="1:260" x14ac:dyDescent="0.25">
      <c r="A368" s="7">
        <v>76.460584890277957</v>
      </c>
      <c r="B368"/>
      <c r="C368"/>
      <c r="D368"/>
      <c r="E368"/>
      <c r="GI368" s="27" t="s">
        <v>8</v>
      </c>
      <c r="GJ368" s="27" t="s">
        <v>7</v>
      </c>
      <c r="GK368" s="27" t="s">
        <v>8</v>
      </c>
      <c r="GL368" s="27" t="s">
        <v>7</v>
      </c>
      <c r="GM368" s="27" t="s">
        <v>8</v>
      </c>
    </row>
    <row r="369" spans="1:195" x14ac:dyDescent="0.25">
      <c r="A369" s="7">
        <v>74.961357735566622</v>
      </c>
      <c r="B369"/>
      <c r="C369"/>
      <c r="D369"/>
      <c r="E369"/>
      <c r="GI369" s="27" t="s">
        <v>8</v>
      </c>
      <c r="GJ369" s="27" t="s">
        <v>7</v>
      </c>
      <c r="GK369" s="27" t="s">
        <v>8</v>
      </c>
      <c r="GL369" s="27" t="s">
        <v>7</v>
      </c>
      <c r="GM369" s="27" t="s">
        <v>8</v>
      </c>
    </row>
    <row r="370" spans="1:195" x14ac:dyDescent="0.25">
      <c r="A370" s="7">
        <v>73.491527191731976</v>
      </c>
      <c r="B370"/>
      <c r="C370"/>
      <c r="D370"/>
      <c r="E370"/>
      <c r="GI370" s="27" t="s">
        <v>8</v>
      </c>
      <c r="GJ370" s="27" t="s">
        <v>7</v>
      </c>
      <c r="GK370" s="27" t="s">
        <v>8</v>
      </c>
      <c r="GL370" s="27" t="s">
        <v>7</v>
      </c>
      <c r="GM370" s="27" t="s">
        <v>8</v>
      </c>
    </row>
    <row r="371" spans="1:195" x14ac:dyDescent="0.25">
      <c r="A371" s="7">
        <v>72.050516854639184</v>
      </c>
      <c r="B371"/>
      <c r="C371"/>
      <c r="D371"/>
      <c r="E371"/>
      <c r="GI371" s="27" t="s">
        <v>8</v>
      </c>
      <c r="GJ371" s="27" t="s">
        <v>7</v>
      </c>
      <c r="GK371" s="27" t="s">
        <v>8</v>
      </c>
      <c r="GL371" s="27" t="s">
        <v>7</v>
      </c>
      <c r="GM371" s="27" t="s">
        <v>8</v>
      </c>
    </row>
    <row r="372" spans="1:195" x14ac:dyDescent="0.25">
      <c r="A372" s="7">
        <v>70.637761622195271</v>
      </c>
      <c r="B372"/>
      <c r="C372"/>
      <c r="D372"/>
      <c r="E372"/>
      <c r="GI372" s="27" t="s">
        <v>8</v>
      </c>
      <c r="GJ372" s="27" t="s">
        <v>7</v>
      </c>
      <c r="GK372" s="27" t="s">
        <v>8</v>
      </c>
      <c r="GL372" s="27" t="s">
        <v>7</v>
      </c>
      <c r="GM372" s="27" t="s">
        <v>8</v>
      </c>
    </row>
    <row r="373" spans="1:195" x14ac:dyDescent="0.25">
      <c r="A373" s="7">
        <v>69.252707472740454</v>
      </c>
      <c r="B373"/>
      <c r="C373"/>
      <c r="D373"/>
      <c r="E373"/>
      <c r="GI373" s="27" t="s">
        <v>8</v>
      </c>
      <c r="GJ373" s="27" t="s">
        <v>7</v>
      </c>
      <c r="GL373" s="27" t="s">
        <v>7</v>
      </c>
      <c r="GM373" s="27" t="s">
        <v>8</v>
      </c>
    </row>
    <row r="374" spans="1:195" x14ac:dyDescent="0.25">
      <c r="A374" s="7">
        <v>67.894811247784759</v>
      </c>
      <c r="B374"/>
      <c r="C374"/>
      <c r="D374"/>
      <c r="E374"/>
      <c r="GI374" s="27" t="s">
        <v>8</v>
      </c>
      <c r="GL374" s="27" t="s">
        <v>7</v>
      </c>
      <c r="GM374" s="27" t="s">
        <v>8</v>
      </c>
    </row>
    <row r="375" spans="1:195" x14ac:dyDescent="0.25">
      <c r="A375" s="7">
        <v>66.563540439004669</v>
      </c>
      <c r="B375"/>
      <c r="C375"/>
      <c r="D375"/>
      <c r="E375"/>
      <c r="GI375" s="27" t="s">
        <v>8</v>
      </c>
      <c r="GL375" s="27" t="s">
        <v>7</v>
      </c>
    </row>
    <row r="376" spans="1:195" x14ac:dyDescent="0.25">
      <c r="A376" s="7">
        <v>65.258372979416336</v>
      </c>
      <c r="B376"/>
      <c r="C376"/>
      <c r="D376"/>
      <c r="E376"/>
      <c r="GI376" s="27" t="s">
        <v>8</v>
      </c>
    </row>
    <row r="377" spans="1:195" x14ac:dyDescent="0.25">
      <c r="A377" s="7">
        <v>63.978797038643471</v>
      </c>
      <c r="B377"/>
      <c r="C377"/>
      <c r="D377"/>
      <c r="E377"/>
      <c r="GI377" s="27" t="s">
        <v>8</v>
      </c>
    </row>
    <row r="378" spans="1:195" x14ac:dyDescent="0.25">
      <c r="A378" s="7">
        <v>62.724310822199477</v>
      </c>
      <c r="B378"/>
      <c r="C378"/>
      <c r="D378"/>
      <c r="E378"/>
      <c r="GI378" s="27" t="s">
        <v>8</v>
      </c>
    </row>
    <row r="379" spans="1:195" x14ac:dyDescent="0.25">
      <c r="A379" s="7">
        <v>61.494422374705366</v>
      </c>
      <c r="B379"/>
      <c r="C379"/>
      <c r="D379"/>
      <c r="E379"/>
      <c r="GI379" s="27" t="s">
        <v>8</v>
      </c>
    </row>
    <row r="380" spans="1:195" x14ac:dyDescent="0.25">
      <c r="A380" s="7">
        <v>60.288649386966043</v>
      </c>
      <c r="B380"/>
      <c r="C380"/>
      <c r="D380"/>
      <c r="E380"/>
      <c r="GI380" s="27" t="s">
        <v>8</v>
      </c>
    </row>
    <row r="381" spans="1:195" x14ac:dyDescent="0.25">
      <c r="A381" s="7">
        <v>59.106519006829451</v>
      </c>
      <c r="B381"/>
      <c r="C381"/>
      <c r="D381"/>
      <c r="E381"/>
      <c r="GI381" s="27" t="s">
        <v>8</v>
      </c>
    </row>
    <row r="382" spans="1:195" x14ac:dyDescent="0.25">
      <c r="A382" s="7">
        <v>57.947567653754362</v>
      </c>
      <c r="B382"/>
      <c r="C382"/>
      <c r="D382"/>
      <c r="E382"/>
      <c r="EU382" s="27" t="s">
        <v>8</v>
      </c>
      <c r="GI382" s="27" t="s">
        <v>8</v>
      </c>
    </row>
    <row r="383" spans="1:195" x14ac:dyDescent="0.25">
      <c r="A383" s="7">
        <v>56.811340837014079</v>
      </c>
      <c r="B383"/>
      <c r="C383"/>
      <c r="D383"/>
      <c r="E383"/>
      <c r="EU383" s="27" t="s">
        <v>8</v>
      </c>
      <c r="EV383" s="27" t="s">
        <v>7</v>
      </c>
      <c r="GI383" s="27" t="s">
        <v>8</v>
      </c>
    </row>
    <row r="384" spans="1:195" x14ac:dyDescent="0.25">
      <c r="A384" s="7">
        <v>55.69739297746478</v>
      </c>
      <c r="B384"/>
      <c r="C384"/>
      <c r="D384"/>
      <c r="E384"/>
      <c r="EU384" s="27" t="s">
        <v>8</v>
      </c>
      <c r="EV384" s="27" t="s">
        <v>7</v>
      </c>
      <c r="GI384" s="27" t="s">
        <v>8</v>
      </c>
    </row>
    <row r="385" spans="1:191" x14ac:dyDescent="0.25">
      <c r="A385" s="7">
        <v>54.605287232808607</v>
      </c>
      <c r="B385"/>
      <c r="C385"/>
      <c r="D385"/>
      <c r="E385"/>
      <c r="EU385" s="27" t="s">
        <v>8</v>
      </c>
      <c r="EV385" s="27" t="s">
        <v>7</v>
      </c>
      <c r="GI385" s="27" t="s">
        <v>8</v>
      </c>
    </row>
    <row r="386" spans="1:191" x14ac:dyDescent="0.25">
      <c r="A386" s="7">
        <v>53.534595326282947</v>
      </c>
      <c r="B386"/>
      <c r="C386"/>
      <c r="D386"/>
      <c r="E386"/>
      <c r="EU386" s="27" t="s">
        <v>8</v>
      </c>
      <c r="EV386" s="27" t="s">
        <v>7</v>
      </c>
      <c r="GI386" s="27" t="s">
        <v>8</v>
      </c>
    </row>
    <row r="387" spans="1:191" x14ac:dyDescent="0.25">
      <c r="A387" s="7">
        <v>52.484897378708773</v>
      </c>
      <c r="B387"/>
      <c r="C387"/>
      <c r="D387"/>
      <c r="E387"/>
      <c r="ES387" s="27" t="s">
        <v>8</v>
      </c>
      <c r="EU387" s="27" t="s">
        <v>8</v>
      </c>
      <c r="EV387" s="27" t="s">
        <v>7</v>
      </c>
      <c r="EW387" s="27" t="s">
        <v>8</v>
      </c>
      <c r="GI387" s="27" t="s">
        <v>8</v>
      </c>
    </row>
    <row r="388" spans="1:191" x14ac:dyDescent="0.25">
      <c r="A388" s="7">
        <v>51.455781743832127</v>
      </c>
      <c r="B388"/>
      <c r="C388"/>
      <c r="D388"/>
      <c r="E388"/>
      <c r="ES388" s="27" t="s">
        <v>8</v>
      </c>
      <c r="ET388" s="27" t="s">
        <v>7</v>
      </c>
      <c r="EU388" s="27" t="s">
        <v>8</v>
      </c>
      <c r="EV388" s="27" t="s">
        <v>7</v>
      </c>
      <c r="EW388" s="27" t="s">
        <v>8</v>
      </c>
      <c r="EX388" s="27" t="s">
        <v>7</v>
      </c>
      <c r="GI388" s="27" t="s">
        <v>8</v>
      </c>
    </row>
    <row r="389" spans="1:191" x14ac:dyDescent="0.25">
      <c r="A389" s="7">
        <v>50.446844846894244</v>
      </c>
      <c r="B389"/>
      <c r="C389"/>
      <c r="D389"/>
      <c r="E389"/>
      <c r="ES389" s="27" t="s">
        <v>8</v>
      </c>
      <c r="ET389" s="27" t="s">
        <v>7</v>
      </c>
      <c r="EU389" s="27" t="s">
        <v>8</v>
      </c>
      <c r="EV389" s="27" t="s">
        <v>7</v>
      </c>
      <c r="EW389" s="27" t="s">
        <v>8</v>
      </c>
      <c r="EX389" s="27" t="s">
        <v>7</v>
      </c>
      <c r="GI389" s="27" t="s">
        <v>8</v>
      </c>
    </row>
    <row r="390" spans="1:191" x14ac:dyDescent="0.25">
      <c r="A390" s="7">
        <v>49.457691026366902</v>
      </c>
      <c r="B390"/>
      <c r="C390"/>
      <c r="D390"/>
      <c r="E390"/>
      <c r="EI390" s="27" t="s">
        <v>8</v>
      </c>
      <c r="ES390" s="27" t="s">
        <v>8</v>
      </c>
      <c r="ET390" s="27" t="s">
        <v>7</v>
      </c>
      <c r="EU390" s="27" t="s">
        <v>8</v>
      </c>
      <c r="EV390" s="27" t="s">
        <v>7</v>
      </c>
      <c r="EW390" s="27" t="s">
        <v>8</v>
      </c>
      <c r="EX390" s="27" t="s">
        <v>7</v>
      </c>
      <c r="GI390" s="27" t="s">
        <v>8</v>
      </c>
    </row>
    <row r="391" spans="1:191" x14ac:dyDescent="0.25">
      <c r="A391" s="7">
        <v>48.487932378791079</v>
      </c>
      <c r="B391"/>
      <c r="C391"/>
      <c r="D391"/>
      <c r="E391"/>
      <c r="EE391" s="27" t="s">
        <v>8</v>
      </c>
      <c r="EI391" s="27" t="s">
        <v>8</v>
      </c>
      <c r="EJ391" s="27" t="s">
        <v>7</v>
      </c>
      <c r="EO391" s="27" t="s">
        <v>8</v>
      </c>
      <c r="ES391" s="27" t="s">
        <v>8</v>
      </c>
      <c r="ET391" s="27" t="s">
        <v>7</v>
      </c>
      <c r="EU391" s="27" t="s">
        <v>8</v>
      </c>
      <c r="EV391" s="27" t="s">
        <v>7</v>
      </c>
      <c r="EW391" s="27" t="s">
        <v>8</v>
      </c>
      <c r="EX391" s="27" t="s">
        <v>7</v>
      </c>
      <c r="GI391" s="27" t="s">
        <v>8</v>
      </c>
    </row>
    <row r="392" spans="1:191" x14ac:dyDescent="0.25">
      <c r="A392" s="7">
        <v>47.537188606657921</v>
      </c>
      <c r="B392"/>
      <c r="C392"/>
      <c r="D392"/>
      <c r="E392"/>
      <c r="EE392" s="27" t="s">
        <v>8</v>
      </c>
      <c r="EF392" s="27" t="s">
        <v>7</v>
      </c>
      <c r="EI392" s="27" t="s">
        <v>8</v>
      </c>
      <c r="EJ392" s="27" t="s">
        <v>7</v>
      </c>
      <c r="EO392" s="27" t="s">
        <v>8</v>
      </c>
      <c r="EP392" s="27" t="s">
        <v>7</v>
      </c>
      <c r="ES392" s="27" t="s">
        <v>8</v>
      </c>
      <c r="ET392" s="27" t="s">
        <v>7</v>
      </c>
      <c r="EU392" s="27" t="s">
        <v>8</v>
      </c>
      <c r="EV392" s="27" t="s">
        <v>7</v>
      </c>
      <c r="EW392" s="27" t="s">
        <v>8</v>
      </c>
      <c r="EX392" s="27" t="s">
        <v>7</v>
      </c>
      <c r="GI392" s="27" t="s">
        <v>8</v>
      </c>
    </row>
    <row r="393" spans="1:191" x14ac:dyDescent="0.25">
      <c r="A393" s="7">
        <v>46.605086869272469</v>
      </c>
      <c r="B393"/>
      <c r="C393"/>
      <c r="D393"/>
      <c r="E393"/>
      <c r="EE393" s="27" t="s">
        <v>8</v>
      </c>
      <c r="EF393" s="27" t="s">
        <v>7</v>
      </c>
      <c r="EI393" s="27" t="s">
        <v>8</v>
      </c>
      <c r="EJ393" s="27" t="s">
        <v>7</v>
      </c>
      <c r="EM393" s="27" t="s">
        <v>8</v>
      </c>
      <c r="EO393" s="27" t="s">
        <v>8</v>
      </c>
      <c r="EP393" s="27" t="s">
        <v>7</v>
      </c>
      <c r="ES393" s="27" t="s">
        <v>8</v>
      </c>
      <c r="ET393" s="27" t="s">
        <v>7</v>
      </c>
      <c r="EU393" s="27" t="s">
        <v>8</v>
      </c>
      <c r="EV393" s="27" t="s">
        <v>7</v>
      </c>
      <c r="EW393" s="27" t="s">
        <v>8</v>
      </c>
      <c r="EX393" s="27" t="s">
        <v>7</v>
      </c>
      <c r="GI393" s="27" t="s">
        <v>8</v>
      </c>
    </row>
    <row r="394" spans="1:191" x14ac:dyDescent="0.25">
      <c r="A394" s="7">
        <v>45.691261636541633</v>
      </c>
      <c r="B394"/>
      <c r="C394"/>
      <c r="D394"/>
      <c r="E394"/>
      <c r="EE394" s="27" t="s">
        <v>8</v>
      </c>
      <c r="EF394" s="27" t="s">
        <v>7</v>
      </c>
      <c r="EG394" s="27" t="s">
        <v>8</v>
      </c>
      <c r="EI394" s="27" t="s">
        <v>8</v>
      </c>
      <c r="EJ394" s="27" t="s">
        <v>7</v>
      </c>
      <c r="EK394" s="27" t="s">
        <v>8</v>
      </c>
      <c r="EM394" s="27" t="s">
        <v>8</v>
      </c>
      <c r="EN394" s="27" t="s">
        <v>7</v>
      </c>
      <c r="EO394" s="27" t="s">
        <v>8</v>
      </c>
      <c r="EP394" s="27" t="s">
        <v>7</v>
      </c>
      <c r="ES394" s="27" t="s">
        <v>8</v>
      </c>
      <c r="ET394" s="27" t="s">
        <v>7</v>
      </c>
      <c r="EU394" s="27" t="s">
        <v>8</v>
      </c>
      <c r="EV394" s="27" t="s">
        <v>7</v>
      </c>
      <c r="EW394" s="27" t="s">
        <v>8</v>
      </c>
      <c r="EX394" s="27" t="s">
        <v>7</v>
      </c>
      <c r="GI394" s="27" t="s">
        <v>8</v>
      </c>
    </row>
    <row r="395" spans="1:191" x14ac:dyDescent="0.25">
      <c r="A395" s="7">
        <v>44.795354545629053</v>
      </c>
      <c r="B395"/>
      <c r="C395"/>
      <c r="D395"/>
      <c r="E395"/>
      <c r="EE395" s="27" t="s">
        <v>8</v>
      </c>
      <c r="EF395" s="27" t="s">
        <v>7</v>
      </c>
      <c r="EG395" s="27" t="s">
        <v>8</v>
      </c>
      <c r="EH395" s="27" t="s">
        <v>7</v>
      </c>
      <c r="EI395" s="27" t="s">
        <v>8</v>
      </c>
      <c r="EJ395" s="27" t="s">
        <v>7</v>
      </c>
      <c r="EK395" s="27" t="s">
        <v>8</v>
      </c>
      <c r="EL395" s="27" t="s">
        <v>7</v>
      </c>
      <c r="EM395" s="27" t="s">
        <v>8</v>
      </c>
      <c r="EN395" s="27" t="s">
        <v>7</v>
      </c>
      <c r="EO395" s="27" t="s">
        <v>8</v>
      </c>
      <c r="EP395" s="27" t="s">
        <v>7</v>
      </c>
      <c r="EQ395" s="27" t="s">
        <v>8</v>
      </c>
      <c r="ES395" s="27" t="s">
        <v>8</v>
      </c>
      <c r="ET395" s="27" t="s">
        <v>7</v>
      </c>
      <c r="EU395" s="27" t="s">
        <v>8</v>
      </c>
      <c r="EV395" s="27" t="s">
        <v>7</v>
      </c>
      <c r="EW395" s="27" t="s">
        <v>8</v>
      </c>
      <c r="EX395" s="27" t="s">
        <v>7</v>
      </c>
      <c r="GI395" s="27" t="s">
        <v>8</v>
      </c>
    </row>
    <row r="396" spans="1:191" x14ac:dyDescent="0.25">
      <c r="A396" s="7">
        <v>43.917014260420636</v>
      </c>
      <c r="B396"/>
      <c r="C396"/>
      <c r="D396"/>
      <c r="E396"/>
      <c r="EE396" s="27" t="s">
        <v>8</v>
      </c>
      <c r="EF396" s="27" t="s">
        <v>7</v>
      </c>
      <c r="EG396" s="27" t="s">
        <v>8</v>
      </c>
      <c r="EH396" s="27" t="s">
        <v>7</v>
      </c>
      <c r="EI396" s="27" t="s">
        <v>8</v>
      </c>
      <c r="EJ396" s="27" t="s">
        <v>7</v>
      </c>
      <c r="EK396" s="27" t="s">
        <v>8</v>
      </c>
      <c r="EL396" s="27" t="s">
        <v>7</v>
      </c>
      <c r="EM396" s="27" t="s">
        <v>8</v>
      </c>
      <c r="EN396" s="27" t="s">
        <v>7</v>
      </c>
      <c r="EO396" s="27" t="s">
        <v>8</v>
      </c>
      <c r="EP396" s="27" t="s">
        <v>7</v>
      </c>
      <c r="EQ396" s="27" t="s">
        <v>8</v>
      </c>
      <c r="ER396" s="27" t="s">
        <v>7</v>
      </c>
      <c r="ES396" s="27" t="s">
        <v>8</v>
      </c>
      <c r="ET396" s="27" t="s">
        <v>7</v>
      </c>
      <c r="EU396" s="27" t="s">
        <v>8</v>
      </c>
      <c r="EV396" s="27" t="s">
        <v>7</v>
      </c>
      <c r="EW396" s="27" t="s">
        <v>8</v>
      </c>
      <c r="EX396" s="27" t="s">
        <v>7</v>
      </c>
      <c r="FC396" s="27" t="s">
        <v>8</v>
      </c>
      <c r="FE396" s="27" t="s">
        <v>8</v>
      </c>
      <c r="GI396" s="27" t="s">
        <v>8</v>
      </c>
    </row>
    <row r="397" spans="1:191" x14ac:dyDescent="0.25">
      <c r="A397" s="7">
        <v>43.055896333745721</v>
      </c>
      <c r="B397"/>
      <c r="C397"/>
      <c r="D397"/>
      <c r="E397"/>
      <c r="EE397" s="27" t="s">
        <v>8</v>
      </c>
      <c r="EF397" s="27" t="s">
        <v>7</v>
      </c>
      <c r="EG397" s="27" t="s">
        <v>8</v>
      </c>
      <c r="EH397" s="27" t="s">
        <v>7</v>
      </c>
      <c r="EI397" s="27" t="s">
        <v>8</v>
      </c>
      <c r="EJ397" s="27" t="s">
        <v>7</v>
      </c>
      <c r="EL397" s="27" t="s">
        <v>7</v>
      </c>
      <c r="EM397" s="27" t="s">
        <v>8</v>
      </c>
      <c r="EN397" s="27" t="s">
        <v>7</v>
      </c>
      <c r="EO397" s="27" t="s">
        <v>8</v>
      </c>
      <c r="EP397" s="27" t="s">
        <v>7</v>
      </c>
      <c r="EQ397" s="27" t="s">
        <v>8</v>
      </c>
      <c r="ER397" s="27" t="s">
        <v>7</v>
      </c>
      <c r="ES397" s="27" t="s">
        <v>8</v>
      </c>
      <c r="ET397" s="27" t="s">
        <v>7</v>
      </c>
      <c r="EV397" s="27" t="s">
        <v>7</v>
      </c>
      <c r="EW397" s="27" t="s">
        <v>8</v>
      </c>
      <c r="EX397" s="27" t="s">
        <v>7</v>
      </c>
      <c r="FC397" s="27" t="s">
        <v>8</v>
      </c>
      <c r="FD397" s="27" t="s">
        <v>7</v>
      </c>
      <c r="FE397" s="27" t="s">
        <v>8</v>
      </c>
      <c r="FF397" s="27" t="s">
        <v>7</v>
      </c>
      <c r="GG397" s="27" t="s">
        <v>8</v>
      </c>
      <c r="GI397" s="27" t="s">
        <v>8</v>
      </c>
    </row>
    <row r="398" spans="1:191" x14ac:dyDescent="0.25">
      <c r="A398" s="7">
        <v>42.211663072299729</v>
      </c>
      <c r="B398"/>
      <c r="C398"/>
      <c r="D398"/>
      <c r="E398"/>
      <c r="EE398" s="27" t="s">
        <v>8</v>
      </c>
      <c r="EF398" s="27" t="s">
        <v>7</v>
      </c>
      <c r="EG398" s="27" t="s">
        <v>8</v>
      </c>
      <c r="EH398" s="27" t="s">
        <v>7</v>
      </c>
      <c r="EI398" s="27" t="s">
        <v>8</v>
      </c>
      <c r="EL398" s="27" t="s">
        <v>7</v>
      </c>
      <c r="EN398" s="27" t="s">
        <v>7</v>
      </c>
      <c r="EO398" s="27" t="s">
        <v>8</v>
      </c>
      <c r="EP398" s="27" t="s">
        <v>7</v>
      </c>
      <c r="EQ398" s="27" t="s">
        <v>8</v>
      </c>
      <c r="ER398" s="27" t="s">
        <v>7</v>
      </c>
      <c r="ES398" s="27" t="s">
        <v>8</v>
      </c>
      <c r="EV398" s="27" t="s">
        <v>7</v>
      </c>
      <c r="EW398" s="27" t="s">
        <v>8</v>
      </c>
      <c r="EX398" s="27" t="s">
        <v>7</v>
      </c>
      <c r="FC398" s="27" t="s">
        <v>8</v>
      </c>
      <c r="FD398" s="27" t="s">
        <v>7</v>
      </c>
      <c r="FE398" s="27" t="s">
        <v>8</v>
      </c>
      <c r="FF398" s="27" t="s">
        <v>7</v>
      </c>
      <c r="GG398" s="27" t="s">
        <v>8</v>
      </c>
      <c r="GH398" s="27" t="s">
        <v>7</v>
      </c>
      <c r="GI398" s="27" t="s">
        <v>8</v>
      </c>
    </row>
    <row r="399" spans="1:191" x14ac:dyDescent="0.25">
      <c r="A399" s="7">
        <v>41.383983404215421</v>
      </c>
      <c r="B399"/>
      <c r="C399"/>
      <c r="D399"/>
      <c r="E399"/>
      <c r="EE399" s="27" t="s">
        <v>8</v>
      </c>
      <c r="EF399" s="27" t="s">
        <v>7</v>
      </c>
      <c r="EG399" s="27" t="s">
        <v>8</v>
      </c>
      <c r="EH399" s="27" t="s">
        <v>7</v>
      </c>
      <c r="EN399" s="27" t="s">
        <v>7</v>
      </c>
      <c r="EO399" s="27" t="s">
        <v>8</v>
      </c>
      <c r="EP399" s="27" t="s">
        <v>7</v>
      </c>
      <c r="EQ399" s="27" t="s">
        <v>8</v>
      </c>
      <c r="ER399" s="27" t="s">
        <v>7</v>
      </c>
      <c r="ES399" s="27" t="s">
        <v>8</v>
      </c>
      <c r="EV399" s="27" t="s">
        <v>7</v>
      </c>
      <c r="EW399" s="27" t="s">
        <v>8</v>
      </c>
      <c r="EX399" s="27" t="s">
        <v>7</v>
      </c>
      <c r="FA399" s="27" t="s">
        <v>8</v>
      </c>
      <c r="FC399" s="27" t="s">
        <v>8</v>
      </c>
      <c r="FD399" s="27" t="s">
        <v>7</v>
      </c>
      <c r="FE399" s="27" t="s">
        <v>8</v>
      </c>
      <c r="FF399" s="27" t="s">
        <v>7</v>
      </c>
      <c r="FG399" s="27" t="s">
        <v>8</v>
      </c>
      <c r="GG399" s="27" t="s">
        <v>8</v>
      </c>
      <c r="GH399" s="27" t="s">
        <v>7</v>
      </c>
      <c r="GI399" s="27" t="s">
        <v>8</v>
      </c>
    </row>
    <row r="400" spans="1:191" x14ac:dyDescent="0.25">
      <c r="A400" s="7">
        <v>40.572532749230803</v>
      </c>
      <c r="B400"/>
      <c r="C400"/>
      <c r="D400"/>
      <c r="E400"/>
      <c r="EE400" s="27" t="s">
        <v>8</v>
      </c>
      <c r="EF400" s="27" t="s">
        <v>7</v>
      </c>
      <c r="EN400" s="27" t="s">
        <v>7</v>
      </c>
      <c r="EO400" s="27" t="s">
        <v>8</v>
      </c>
      <c r="EP400" s="27" t="s">
        <v>7</v>
      </c>
      <c r="EQ400" s="27" t="s">
        <v>8</v>
      </c>
      <c r="ER400" s="27" t="s">
        <v>7</v>
      </c>
      <c r="ES400" s="27" t="s">
        <v>8</v>
      </c>
      <c r="EV400" s="27" t="s">
        <v>7</v>
      </c>
      <c r="EW400" s="27" t="s">
        <v>8</v>
      </c>
      <c r="EX400" s="27" t="s">
        <v>7</v>
      </c>
      <c r="FA400" s="27" t="s">
        <v>8</v>
      </c>
      <c r="FB400" s="27" t="s">
        <v>7</v>
      </c>
      <c r="FC400" s="27" t="s">
        <v>8</v>
      </c>
      <c r="FD400" s="27" t="s">
        <v>7</v>
      </c>
      <c r="FE400" s="27" t="s">
        <v>8</v>
      </c>
      <c r="FF400" s="27" t="s">
        <v>7</v>
      </c>
      <c r="FG400" s="27" t="s">
        <v>8</v>
      </c>
      <c r="FH400" s="27" t="s">
        <v>7</v>
      </c>
      <c r="FI400" s="27" t="s">
        <v>8</v>
      </c>
      <c r="GG400" s="27" t="s">
        <v>8</v>
      </c>
      <c r="GH400" s="27" t="s">
        <v>7</v>
      </c>
      <c r="GI400" s="27" t="s">
        <v>8</v>
      </c>
    </row>
    <row r="401" spans="1:190" x14ac:dyDescent="0.25">
      <c r="A401" s="7">
        <v>39.776992891402749</v>
      </c>
      <c r="B401"/>
      <c r="C401"/>
      <c r="D401"/>
      <c r="E401"/>
      <c r="EE401" s="27" t="s">
        <v>8</v>
      </c>
      <c r="EN401" s="27" t="s">
        <v>7</v>
      </c>
      <c r="EP401" s="27" t="s">
        <v>7</v>
      </c>
      <c r="EQ401" s="27" t="s">
        <v>8</v>
      </c>
      <c r="ER401" s="27" t="s">
        <v>7</v>
      </c>
      <c r="EV401" s="27" t="s">
        <v>7</v>
      </c>
      <c r="EW401" s="27" t="s">
        <v>8</v>
      </c>
      <c r="EX401" s="27" t="s">
        <v>7</v>
      </c>
      <c r="FA401" s="27" t="s">
        <v>8</v>
      </c>
      <c r="FB401" s="27" t="s">
        <v>7</v>
      </c>
      <c r="FC401" s="27" t="s">
        <v>8</v>
      </c>
      <c r="FD401" s="27" t="s">
        <v>7</v>
      </c>
      <c r="FE401" s="27" t="s">
        <v>8</v>
      </c>
      <c r="FF401" s="27" t="s">
        <v>7</v>
      </c>
      <c r="FG401" s="27" t="s">
        <v>8</v>
      </c>
      <c r="FH401" s="27" t="s">
        <v>7</v>
      </c>
      <c r="FI401" s="27" t="s">
        <v>8</v>
      </c>
      <c r="FJ401" s="27" t="s">
        <v>7</v>
      </c>
      <c r="GE401" s="27" t="s">
        <v>8</v>
      </c>
      <c r="GG401" s="27" t="s">
        <v>8</v>
      </c>
      <c r="GH401" s="27" t="s">
        <v>7</v>
      </c>
    </row>
    <row r="402" spans="1:190" x14ac:dyDescent="0.25">
      <c r="A402" s="7">
        <v>38.997051854316418</v>
      </c>
      <c r="B402"/>
      <c r="C402"/>
      <c r="D402"/>
      <c r="E402"/>
      <c r="EE402" s="27" t="s">
        <v>8</v>
      </c>
      <c r="EP402" s="27" t="s">
        <v>7</v>
      </c>
      <c r="EQ402" s="27" t="s">
        <v>8</v>
      </c>
      <c r="EV402" s="27" t="s">
        <v>7</v>
      </c>
      <c r="EW402" s="27" t="s">
        <v>8</v>
      </c>
      <c r="EX402" s="27" t="s">
        <v>7</v>
      </c>
      <c r="FA402" s="27" t="s">
        <v>8</v>
      </c>
      <c r="FB402" s="27" t="s">
        <v>7</v>
      </c>
      <c r="FC402" s="27" t="s">
        <v>8</v>
      </c>
      <c r="FD402" s="27" t="s">
        <v>7</v>
      </c>
      <c r="FE402" s="27" t="s">
        <v>8</v>
      </c>
      <c r="FF402" s="27" t="s">
        <v>7</v>
      </c>
      <c r="FG402" s="27" t="s">
        <v>8</v>
      </c>
      <c r="FH402" s="27" t="s">
        <v>7</v>
      </c>
      <c r="FI402" s="27" t="s">
        <v>8</v>
      </c>
      <c r="FJ402" s="27" t="s">
        <v>7</v>
      </c>
      <c r="GE402" s="27" t="s">
        <v>8</v>
      </c>
      <c r="GF402" s="27" t="s">
        <v>7</v>
      </c>
      <c r="GG402" s="27" t="s">
        <v>8</v>
      </c>
    </row>
    <row r="403" spans="1:190" x14ac:dyDescent="0.25">
      <c r="A403" s="7">
        <v>38.232403778741585</v>
      </c>
      <c r="B403"/>
      <c r="C403"/>
      <c r="D403"/>
      <c r="E403"/>
      <c r="EE403" s="27" t="s">
        <v>8</v>
      </c>
      <c r="EP403" s="27" t="s">
        <v>7</v>
      </c>
      <c r="EQ403" s="27" t="s">
        <v>8</v>
      </c>
      <c r="EV403" s="27" t="s">
        <v>7</v>
      </c>
      <c r="EW403" s="27" t="s">
        <v>8</v>
      </c>
      <c r="EX403" s="27" t="s">
        <v>7</v>
      </c>
      <c r="FA403" s="27" t="s">
        <v>8</v>
      </c>
      <c r="FB403" s="27" t="s">
        <v>7</v>
      </c>
      <c r="FC403" s="27" t="s">
        <v>8</v>
      </c>
      <c r="FD403" s="27" t="s">
        <v>7</v>
      </c>
      <c r="FE403" s="27" t="s">
        <v>8</v>
      </c>
      <c r="FF403" s="27" t="s">
        <v>7</v>
      </c>
      <c r="FG403" s="27" t="s">
        <v>8</v>
      </c>
      <c r="FH403" s="27" t="s">
        <v>7</v>
      </c>
      <c r="FI403" s="27" t="s">
        <v>8</v>
      </c>
      <c r="FJ403" s="27" t="s">
        <v>7</v>
      </c>
      <c r="GE403" s="27" t="s">
        <v>8</v>
      </c>
      <c r="GF403" s="27" t="s">
        <v>7</v>
      </c>
      <c r="GG403" s="27" t="s">
        <v>8</v>
      </c>
    </row>
    <row r="404" spans="1:190" x14ac:dyDescent="0.25">
      <c r="A404" s="7">
        <v>37.48274880268783</v>
      </c>
      <c r="B404"/>
      <c r="C404"/>
      <c r="D404"/>
      <c r="E404"/>
      <c r="EE404" s="27" t="s">
        <v>8</v>
      </c>
      <c r="EP404" s="27" t="s">
        <v>7</v>
      </c>
      <c r="EV404" s="27" t="s">
        <v>7</v>
      </c>
      <c r="EW404" s="27" t="s">
        <v>8</v>
      </c>
      <c r="EX404" s="27" t="s">
        <v>7</v>
      </c>
      <c r="FA404" s="27" t="s">
        <v>8</v>
      </c>
      <c r="FB404" s="27" t="s">
        <v>7</v>
      </c>
      <c r="FC404" s="27" t="s">
        <v>8</v>
      </c>
      <c r="FD404" s="27" t="s">
        <v>7</v>
      </c>
      <c r="FE404" s="27" t="s">
        <v>8</v>
      </c>
      <c r="FF404" s="27" t="s">
        <v>7</v>
      </c>
      <c r="FG404" s="27" t="s">
        <v>8</v>
      </c>
      <c r="FH404" s="27" t="s">
        <v>7</v>
      </c>
      <c r="FJ404" s="27" t="s">
        <v>7</v>
      </c>
      <c r="FS404" s="27" t="s">
        <v>8</v>
      </c>
      <c r="GE404" s="27" t="s">
        <v>8</v>
      </c>
      <c r="GF404" s="27" t="s">
        <v>7</v>
      </c>
      <c r="GG404" s="27" t="s">
        <v>8</v>
      </c>
    </row>
    <row r="405" spans="1:190" x14ac:dyDescent="0.25">
      <c r="A405" s="7">
        <v>36.747792943811596</v>
      </c>
      <c r="B405"/>
      <c r="C405"/>
      <c r="D405"/>
      <c r="E405"/>
      <c r="EE405" s="27" t="s">
        <v>8</v>
      </c>
      <c r="EV405" s="27" t="s">
        <v>7</v>
      </c>
      <c r="EW405" s="27" t="s">
        <v>8</v>
      </c>
      <c r="EX405" s="27" t="s">
        <v>7</v>
      </c>
      <c r="EY405" s="27" t="s">
        <v>8</v>
      </c>
      <c r="FA405" s="27" t="s">
        <v>8</v>
      </c>
      <c r="FB405" s="27" t="s">
        <v>7</v>
      </c>
      <c r="FC405" s="27" t="s">
        <v>8</v>
      </c>
      <c r="FD405" s="27" t="s">
        <v>7</v>
      </c>
      <c r="FE405" s="27" t="s">
        <v>8</v>
      </c>
      <c r="FF405" s="27" t="s">
        <v>7</v>
      </c>
      <c r="FG405" s="27" t="s">
        <v>8</v>
      </c>
      <c r="FJ405" s="27" t="s">
        <v>7</v>
      </c>
      <c r="FS405" s="27" t="s">
        <v>8</v>
      </c>
      <c r="FT405" s="27" t="s">
        <v>7</v>
      </c>
      <c r="GA405" s="27" t="s">
        <v>8</v>
      </c>
      <c r="GE405" s="27" t="s">
        <v>8</v>
      </c>
      <c r="GF405" s="27" t="s">
        <v>7</v>
      </c>
    </row>
    <row r="406" spans="1:190" x14ac:dyDescent="0.25">
      <c r="A406" s="7">
        <v>36.027247984129012</v>
      </c>
      <c r="B406"/>
      <c r="C406"/>
      <c r="D406"/>
      <c r="E406"/>
      <c r="EC406" s="27" t="s">
        <v>8</v>
      </c>
      <c r="EE406" s="27" t="s">
        <v>8</v>
      </c>
      <c r="EV406" s="27" t="s">
        <v>7</v>
      </c>
      <c r="EW406" s="27" t="s">
        <v>8</v>
      </c>
      <c r="EX406" s="27" t="s">
        <v>7</v>
      </c>
      <c r="EY406" s="27" t="s">
        <v>8</v>
      </c>
      <c r="EZ406" s="27" t="s">
        <v>7</v>
      </c>
      <c r="FA406" s="27" t="s">
        <v>8</v>
      </c>
      <c r="FB406" s="27" t="s">
        <v>7</v>
      </c>
      <c r="FC406" s="27" t="s">
        <v>8</v>
      </c>
      <c r="FD406" s="27" t="s">
        <v>7</v>
      </c>
      <c r="FE406" s="27" t="s">
        <v>8</v>
      </c>
      <c r="FF406" s="27" t="s">
        <v>7</v>
      </c>
      <c r="FG406" s="27" t="s">
        <v>8</v>
      </c>
      <c r="FJ406" s="27" t="s">
        <v>7</v>
      </c>
      <c r="FS406" s="27" t="s">
        <v>8</v>
      </c>
      <c r="FT406" s="27" t="s">
        <v>7</v>
      </c>
      <c r="GA406" s="27" t="s">
        <v>8</v>
      </c>
      <c r="GB406" s="27" t="s">
        <v>7</v>
      </c>
      <c r="GE406" s="27" t="s">
        <v>8</v>
      </c>
    </row>
    <row r="407" spans="1:190" x14ac:dyDescent="0.25">
      <c r="A407" s="7">
        <v>35.320831356989224</v>
      </c>
      <c r="B407"/>
      <c r="C407"/>
      <c r="D407"/>
      <c r="E407"/>
      <c r="EC407" s="27" t="s">
        <v>8</v>
      </c>
      <c r="ED407" s="27" t="s">
        <v>7</v>
      </c>
      <c r="EE407" s="27" t="s">
        <v>8</v>
      </c>
      <c r="EV407" s="27" t="s">
        <v>7</v>
      </c>
      <c r="EW407" s="27" t="s">
        <v>8</v>
      </c>
      <c r="EX407" s="27" t="s">
        <v>7</v>
      </c>
      <c r="EY407" s="27" t="s">
        <v>8</v>
      </c>
      <c r="EZ407" s="27" t="s">
        <v>7</v>
      </c>
      <c r="FA407" s="27" t="s">
        <v>8</v>
      </c>
      <c r="FB407" s="27" t="s">
        <v>7</v>
      </c>
      <c r="FC407" s="27" t="s">
        <v>8</v>
      </c>
      <c r="FD407" s="27" t="s">
        <v>7</v>
      </c>
      <c r="FE407" s="27" t="s">
        <v>8</v>
      </c>
      <c r="FF407" s="27" t="s">
        <v>7</v>
      </c>
      <c r="FG407" s="27" t="s">
        <v>8</v>
      </c>
      <c r="FJ407" s="27" t="s">
        <v>7</v>
      </c>
      <c r="FM407" s="27" t="s">
        <v>8</v>
      </c>
      <c r="FO407" s="27" t="s">
        <v>8</v>
      </c>
      <c r="FQ407" s="27" t="s">
        <v>8</v>
      </c>
      <c r="FS407" s="27" t="s">
        <v>8</v>
      </c>
      <c r="FT407" s="27" t="s">
        <v>7</v>
      </c>
      <c r="GA407" s="27" t="s">
        <v>8</v>
      </c>
      <c r="GB407" s="27" t="s">
        <v>7</v>
      </c>
      <c r="GC407" s="27" t="s">
        <v>8</v>
      </c>
      <c r="GE407" s="27" t="s">
        <v>8</v>
      </c>
    </row>
    <row r="408" spans="1:190" x14ac:dyDescent="0.25">
      <c r="A408" s="7">
        <v>34.628266036263945</v>
      </c>
      <c r="B408"/>
      <c r="C408"/>
      <c r="D408"/>
      <c r="E408"/>
      <c r="EC408" s="27" t="s">
        <v>8</v>
      </c>
      <c r="ED408" s="27" t="s">
        <v>7</v>
      </c>
      <c r="EE408" s="27" t="s">
        <v>8</v>
      </c>
      <c r="EV408" s="27" t="s">
        <v>7</v>
      </c>
      <c r="EW408" s="27" t="s">
        <v>8</v>
      </c>
      <c r="EX408" s="27" t="s">
        <v>7</v>
      </c>
      <c r="EY408" s="27" t="s">
        <v>8</v>
      </c>
      <c r="EZ408" s="27" t="s">
        <v>7</v>
      </c>
      <c r="FA408" s="27" t="s">
        <v>8</v>
      </c>
      <c r="FB408" s="27" t="s">
        <v>7</v>
      </c>
      <c r="FD408" s="27" t="s">
        <v>7</v>
      </c>
      <c r="FE408" s="27" t="s">
        <v>8</v>
      </c>
      <c r="FF408" s="27" t="s">
        <v>7</v>
      </c>
      <c r="FJ408" s="27" t="s">
        <v>7</v>
      </c>
      <c r="FM408" s="27" t="s">
        <v>8</v>
      </c>
      <c r="FN408" s="27" t="s">
        <v>7</v>
      </c>
      <c r="FO408" s="27" t="s">
        <v>8</v>
      </c>
      <c r="FP408" s="27" t="s">
        <v>7</v>
      </c>
      <c r="FQ408" s="27" t="s">
        <v>8</v>
      </c>
      <c r="FR408" s="27" t="s">
        <v>7</v>
      </c>
      <c r="FS408" s="27" t="s">
        <v>8</v>
      </c>
      <c r="FT408" s="27" t="s">
        <v>7</v>
      </c>
      <c r="GA408" s="27" t="s">
        <v>8</v>
      </c>
      <c r="GB408" s="27" t="s">
        <v>7</v>
      </c>
      <c r="GC408" s="27" t="s">
        <v>8</v>
      </c>
      <c r="GD408" s="27" t="s">
        <v>7</v>
      </c>
      <c r="GE408" s="27" t="s">
        <v>8</v>
      </c>
    </row>
    <row r="409" spans="1:190" x14ac:dyDescent="0.25">
      <c r="A409" s="7">
        <v>33.949280427709752</v>
      </c>
      <c r="B409"/>
      <c r="C409"/>
      <c r="D409"/>
      <c r="E409"/>
      <c r="EC409" s="27" t="s">
        <v>8</v>
      </c>
      <c r="ED409" s="27" t="s">
        <v>7</v>
      </c>
      <c r="EE409" s="27" t="s">
        <v>8</v>
      </c>
      <c r="EV409" s="27" t="s">
        <v>7</v>
      </c>
      <c r="EW409" s="27" t="s">
        <v>8</v>
      </c>
      <c r="EX409" s="27" t="s">
        <v>7</v>
      </c>
      <c r="EY409" s="27" t="s">
        <v>8</v>
      </c>
      <c r="EZ409" s="27" t="s">
        <v>7</v>
      </c>
      <c r="FA409" s="27" t="s">
        <v>8</v>
      </c>
      <c r="FD409" s="27" t="s">
        <v>7</v>
      </c>
      <c r="FJ409" s="27" t="s">
        <v>7</v>
      </c>
      <c r="FM409" s="27" t="s">
        <v>8</v>
      </c>
      <c r="FN409" s="27" t="s">
        <v>7</v>
      </c>
      <c r="FO409" s="27" t="s">
        <v>8</v>
      </c>
      <c r="FP409" s="27" t="s">
        <v>7</v>
      </c>
      <c r="FQ409" s="27" t="s">
        <v>8</v>
      </c>
      <c r="FR409" s="27" t="s">
        <v>7</v>
      </c>
      <c r="FS409" s="27" t="s">
        <v>8</v>
      </c>
      <c r="FT409" s="27" t="s">
        <v>7</v>
      </c>
      <c r="GA409" s="27" t="s">
        <v>8</v>
      </c>
      <c r="GB409" s="27" t="s">
        <v>7</v>
      </c>
      <c r="GC409" s="27" t="s">
        <v>8</v>
      </c>
      <c r="GD409" s="27" t="s">
        <v>7</v>
      </c>
      <c r="GE409" s="27" t="s">
        <v>8</v>
      </c>
    </row>
    <row r="410" spans="1:190" x14ac:dyDescent="0.25">
      <c r="A410" s="7">
        <v>33.28360826246054</v>
      </c>
      <c r="B410"/>
      <c r="C410"/>
      <c r="D410"/>
      <c r="E410"/>
      <c r="EC410" s="27" t="s">
        <v>8</v>
      </c>
      <c r="ED410" s="27" t="s">
        <v>7</v>
      </c>
      <c r="EE410" s="27" t="s">
        <v>8</v>
      </c>
      <c r="EV410" s="27" t="s">
        <v>7</v>
      </c>
      <c r="EW410" s="27" t="s">
        <v>8</v>
      </c>
      <c r="EX410" s="27" t="s">
        <v>7</v>
      </c>
      <c r="EY410" s="27" t="s">
        <v>8</v>
      </c>
      <c r="EZ410" s="27" t="s">
        <v>7</v>
      </c>
      <c r="FA410" s="27" t="s">
        <v>8</v>
      </c>
      <c r="FJ410" s="27" t="s">
        <v>7</v>
      </c>
      <c r="FM410" s="27" t="s">
        <v>8</v>
      </c>
      <c r="FN410" s="27" t="s">
        <v>7</v>
      </c>
      <c r="FO410" s="27" t="s">
        <v>8</v>
      </c>
      <c r="FP410" s="27" t="s">
        <v>7</v>
      </c>
      <c r="FQ410" s="27" t="s">
        <v>8</v>
      </c>
      <c r="FR410" s="27" t="s">
        <v>7</v>
      </c>
      <c r="FS410" s="27" t="s">
        <v>8</v>
      </c>
      <c r="FT410" s="27" t="s">
        <v>7</v>
      </c>
      <c r="GA410" s="27" t="s">
        <v>8</v>
      </c>
      <c r="GB410" s="27" t="s">
        <v>7</v>
      </c>
      <c r="GD410" s="27" t="s">
        <v>7</v>
      </c>
      <c r="GE410" s="27" t="s">
        <v>8</v>
      </c>
    </row>
    <row r="411" spans="1:190" x14ac:dyDescent="0.25">
      <c r="A411" s="7">
        <v>32.630988492608374</v>
      </c>
      <c r="B411"/>
      <c r="C411"/>
      <c r="D411"/>
      <c r="E411"/>
      <c r="EC411" s="27" t="s">
        <v>8</v>
      </c>
      <c r="ED411" s="27" t="s">
        <v>7</v>
      </c>
      <c r="EE411" s="27" t="s">
        <v>8</v>
      </c>
      <c r="EV411" s="27" t="s">
        <v>7</v>
      </c>
      <c r="EW411" s="27" t="s">
        <v>8</v>
      </c>
      <c r="EX411" s="27" t="s">
        <v>7</v>
      </c>
      <c r="EY411" s="27" t="s">
        <v>8</v>
      </c>
      <c r="EZ411" s="27" t="s">
        <v>7</v>
      </c>
      <c r="FA411" s="27" t="s">
        <v>8</v>
      </c>
      <c r="FJ411" s="27" t="s">
        <v>7</v>
      </c>
      <c r="FK411" s="27" t="s">
        <v>8</v>
      </c>
      <c r="FM411" s="27" t="s">
        <v>8</v>
      </c>
      <c r="FN411" s="27" t="s">
        <v>7</v>
      </c>
      <c r="FO411" s="27" t="s">
        <v>8</v>
      </c>
      <c r="FP411" s="27" t="s">
        <v>7</v>
      </c>
      <c r="FQ411" s="27" t="s">
        <v>8</v>
      </c>
      <c r="FR411" s="27" t="s">
        <v>7</v>
      </c>
      <c r="FT411" s="27" t="s">
        <v>7</v>
      </c>
      <c r="GA411" s="27" t="s">
        <v>8</v>
      </c>
      <c r="GD411" s="27" t="s">
        <v>7</v>
      </c>
    </row>
    <row r="412" spans="1:190" x14ac:dyDescent="0.25">
      <c r="A412" s="7">
        <v>31.99116518883174</v>
      </c>
      <c r="B412"/>
      <c r="C412"/>
      <c r="D412"/>
      <c r="E412"/>
      <c r="EC412" s="27" t="s">
        <v>8</v>
      </c>
      <c r="ED412" s="27" t="s">
        <v>7</v>
      </c>
      <c r="EE412" s="27" t="s">
        <v>8</v>
      </c>
      <c r="EV412" s="27" t="s">
        <v>7</v>
      </c>
      <c r="EW412" s="27" t="s">
        <v>8</v>
      </c>
      <c r="EX412" s="27" t="s">
        <v>7</v>
      </c>
      <c r="EY412" s="27" t="s">
        <v>8</v>
      </c>
      <c r="EZ412" s="27" t="s">
        <v>7</v>
      </c>
      <c r="FA412" s="27" t="s">
        <v>8</v>
      </c>
      <c r="FJ412" s="27" t="s">
        <v>7</v>
      </c>
      <c r="FK412" s="27" t="s">
        <v>8</v>
      </c>
      <c r="FL412" s="27" t="s">
        <v>7</v>
      </c>
      <c r="FM412" s="27" t="s">
        <v>8</v>
      </c>
      <c r="FN412" s="27" t="s">
        <v>7</v>
      </c>
      <c r="FP412" s="27" t="s">
        <v>7</v>
      </c>
      <c r="FT412" s="27" t="s">
        <v>7</v>
      </c>
      <c r="GA412" s="27" t="s">
        <v>8</v>
      </c>
    </row>
    <row r="413" spans="1:190" x14ac:dyDescent="0.25">
      <c r="A413" s="7">
        <v>31.363887440031117</v>
      </c>
      <c r="B413"/>
      <c r="C413"/>
      <c r="D413"/>
      <c r="E413"/>
      <c r="EC413" s="27" t="s">
        <v>8</v>
      </c>
      <c r="ED413" s="27" t="s">
        <v>7</v>
      </c>
      <c r="EE413" s="27" t="s">
        <v>8</v>
      </c>
      <c r="EV413" s="27" t="s">
        <v>7</v>
      </c>
      <c r="EW413" s="27" t="s">
        <v>8</v>
      </c>
      <c r="EX413" s="27" t="s">
        <v>7</v>
      </c>
      <c r="EY413" s="27" t="s">
        <v>8</v>
      </c>
      <c r="EZ413" s="27" t="s">
        <v>7</v>
      </c>
      <c r="FA413" s="27" t="s">
        <v>8</v>
      </c>
      <c r="FJ413" s="27" t="s">
        <v>7</v>
      </c>
      <c r="FK413" s="27" t="s">
        <v>8</v>
      </c>
      <c r="FL413" s="27" t="s">
        <v>7</v>
      </c>
      <c r="FM413" s="27" t="s">
        <v>8</v>
      </c>
      <c r="FT413" s="27" t="s">
        <v>7</v>
      </c>
      <c r="FU413" s="27" t="s">
        <v>8</v>
      </c>
      <c r="GA413" s="27" t="s">
        <v>8</v>
      </c>
    </row>
    <row r="414" spans="1:190" x14ac:dyDescent="0.25">
      <c r="A414" s="7">
        <v>30.748909254932467</v>
      </c>
      <c r="B414"/>
      <c r="C414"/>
      <c r="D414"/>
      <c r="E414"/>
      <c r="EC414" s="27" t="s">
        <v>8</v>
      </c>
      <c r="ED414" s="27" t="s">
        <v>7</v>
      </c>
      <c r="EE414" s="27" t="s">
        <v>8</v>
      </c>
      <c r="EV414" s="27" t="s">
        <v>7</v>
      </c>
      <c r="EW414" s="27" t="s">
        <v>8</v>
      </c>
      <c r="EX414" s="27" t="s">
        <v>7</v>
      </c>
      <c r="EY414" s="27" t="s">
        <v>8</v>
      </c>
      <c r="EZ414" s="27" t="s">
        <v>7</v>
      </c>
      <c r="FA414" s="27" t="s">
        <v>8</v>
      </c>
      <c r="FJ414" s="27" t="s">
        <v>7</v>
      </c>
      <c r="FK414" s="27" t="s">
        <v>8</v>
      </c>
      <c r="FL414" s="27" t="s">
        <v>7</v>
      </c>
      <c r="FM414" s="27" t="s">
        <v>8</v>
      </c>
      <c r="FT414" s="27" t="s">
        <v>7</v>
      </c>
      <c r="FU414" s="27" t="s">
        <v>8</v>
      </c>
      <c r="FV414" s="27" t="s">
        <v>7</v>
      </c>
      <c r="FY414" s="27" t="s">
        <v>8</v>
      </c>
      <c r="GA414" s="27" t="s">
        <v>8</v>
      </c>
    </row>
    <row r="415" spans="1:190" x14ac:dyDescent="0.25">
      <c r="A415" s="7">
        <v>30.145989465620065</v>
      </c>
      <c r="B415"/>
      <c r="C415"/>
      <c r="D415"/>
      <c r="E415"/>
      <c r="EC415" s="27" t="s">
        <v>8</v>
      </c>
      <c r="ED415" s="27" t="s">
        <v>7</v>
      </c>
      <c r="EE415" s="27" t="s">
        <v>8</v>
      </c>
      <c r="EV415" s="27" t="s">
        <v>7</v>
      </c>
      <c r="EW415" s="27" t="s">
        <v>8</v>
      </c>
      <c r="EX415" s="27" t="s">
        <v>7</v>
      </c>
      <c r="EY415" s="27" t="s">
        <v>8</v>
      </c>
      <c r="EZ415" s="27" t="s">
        <v>7</v>
      </c>
      <c r="FA415" s="27" t="s">
        <v>8</v>
      </c>
      <c r="FJ415" s="27" t="s">
        <v>7</v>
      </c>
      <c r="FK415" s="27" t="s">
        <v>8</v>
      </c>
      <c r="FL415" s="27" t="s">
        <v>7</v>
      </c>
      <c r="FM415" s="27" t="s">
        <v>8</v>
      </c>
      <c r="FT415" s="27" t="s">
        <v>7</v>
      </c>
      <c r="FU415" s="27" t="s">
        <v>8</v>
      </c>
      <c r="FV415" s="27" t="s">
        <v>7</v>
      </c>
      <c r="FY415" s="27" t="s">
        <v>8</v>
      </c>
      <c r="FZ415" s="27" t="s">
        <v>7</v>
      </c>
      <c r="GA415" s="27" t="s">
        <v>8</v>
      </c>
    </row>
    <row r="416" spans="1:190" x14ac:dyDescent="0.25">
      <c r="A416" s="7">
        <v>29.55489163296085</v>
      </c>
      <c r="B416"/>
      <c r="C416"/>
      <c r="D416"/>
      <c r="E416"/>
      <c r="DY416" s="27" t="s">
        <v>8</v>
      </c>
      <c r="EC416" s="27" t="s">
        <v>8</v>
      </c>
      <c r="ED416" s="27" t="s">
        <v>7</v>
      </c>
      <c r="EE416" s="27" t="s">
        <v>8</v>
      </c>
      <c r="EV416" s="27" t="s">
        <v>7</v>
      </c>
      <c r="EW416" s="27" t="s">
        <v>8</v>
      </c>
      <c r="EX416" s="27" t="s">
        <v>7</v>
      </c>
      <c r="EY416" s="27" t="s">
        <v>8</v>
      </c>
      <c r="EZ416" s="27" t="s">
        <v>7</v>
      </c>
      <c r="FA416" s="27" t="s">
        <v>8</v>
      </c>
      <c r="FJ416" s="27" t="s">
        <v>7</v>
      </c>
      <c r="FK416" s="27" t="s">
        <v>8</v>
      </c>
      <c r="FL416" s="27" t="s">
        <v>7</v>
      </c>
      <c r="FM416" s="27" t="s">
        <v>8</v>
      </c>
      <c r="FT416" s="27" t="s">
        <v>7</v>
      </c>
      <c r="FU416" s="27" t="s">
        <v>8</v>
      </c>
      <c r="FV416" s="27" t="s">
        <v>7</v>
      </c>
      <c r="FY416" s="27" t="s">
        <v>8</v>
      </c>
      <c r="FZ416" s="27" t="s">
        <v>7</v>
      </c>
      <c r="GA416" s="27" t="s">
        <v>8</v>
      </c>
    </row>
    <row r="417" spans="1:183" x14ac:dyDescent="0.25">
      <c r="A417" s="7">
        <v>28.975383953883185</v>
      </c>
      <c r="B417"/>
      <c r="C417"/>
      <c r="D417"/>
      <c r="E417"/>
      <c r="DW417" s="27" t="s">
        <v>8</v>
      </c>
      <c r="DY417" s="27" t="s">
        <v>8</v>
      </c>
      <c r="DZ417" s="27" t="s">
        <v>7</v>
      </c>
      <c r="EC417" s="27" t="s">
        <v>8</v>
      </c>
      <c r="ED417" s="27" t="s">
        <v>7</v>
      </c>
      <c r="EV417" s="27" t="s">
        <v>7</v>
      </c>
      <c r="EW417" s="27" t="s">
        <v>8</v>
      </c>
      <c r="EX417" s="27" t="s">
        <v>7</v>
      </c>
      <c r="EY417" s="27" t="s">
        <v>8</v>
      </c>
      <c r="EZ417" s="27" t="s">
        <v>7</v>
      </c>
      <c r="FA417" s="27" t="s">
        <v>8</v>
      </c>
      <c r="FJ417" s="27" t="s">
        <v>7</v>
      </c>
      <c r="FK417" s="27" t="s">
        <v>8</v>
      </c>
      <c r="FL417" s="27" t="s">
        <v>7</v>
      </c>
      <c r="FM417" s="27" t="s">
        <v>8</v>
      </c>
      <c r="FT417" s="27" t="s">
        <v>7</v>
      </c>
      <c r="FU417" s="27" t="s">
        <v>8</v>
      </c>
      <c r="FV417" s="27" t="s">
        <v>7</v>
      </c>
      <c r="FW417" s="27" t="s">
        <v>8</v>
      </c>
      <c r="FY417" s="27" t="s">
        <v>8</v>
      </c>
      <c r="FZ417" s="27" t="s">
        <v>7</v>
      </c>
      <c r="GA417" s="27" t="s">
        <v>8</v>
      </c>
    </row>
    <row r="418" spans="1:183" x14ac:dyDescent="0.25">
      <c r="A418" s="7">
        <v>28.407239170473709</v>
      </c>
      <c r="B418"/>
      <c r="C418"/>
      <c r="D418"/>
      <c r="E418"/>
      <c r="DW418" s="27" t="s">
        <v>8</v>
      </c>
      <c r="DX418" s="27" t="s">
        <v>7</v>
      </c>
      <c r="DY418" s="27" t="s">
        <v>8</v>
      </c>
      <c r="DZ418" s="27" t="s">
        <v>7</v>
      </c>
      <c r="EC418" s="27" t="s">
        <v>8</v>
      </c>
      <c r="EV418" s="27" t="s">
        <v>7</v>
      </c>
      <c r="EW418" s="27" t="s">
        <v>8</v>
      </c>
      <c r="EX418" s="27" t="s">
        <v>7</v>
      </c>
      <c r="EY418" s="27" t="s">
        <v>8</v>
      </c>
      <c r="EZ418" s="27" t="s">
        <v>7</v>
      </c>
      <c r="FA418" s="27" t="s">
        <v>8</v>
      </c>
      <c r="FJ418" s="27" t="s">
        <v>7</v>
      </c>
      <c r="FK418" s="27" t="s">
        <v>8</v>
      </c>
      <c r="FL418" s="27" t="s">
        <v>7</v>
      </c>
      <c r="FM418" s="27" t="s">
        <v>8</v>
      </c>
      <c r="FT418" s="27" t="s">
        <v>7</v>
      </c>
      <c r="FU418" s="27" t="s">
        <v>8</v>
      </c>
      <c r="FV418" s="27" t="s">
        <v>7</v>
      </c>
      <c r="FW418" s="27" t="s">
        <v>8</v>
      </c>
      <c r="FX418" s="27" t="s">
        <v>7</v>
      </c>
      <c r="FY418" s="27" t="s">
        <v>8</v>
      </c>
      <c r="FZ418" s="27" t="s">
        <v>7</v>
      </c>
      <c r="GA418" s="27" t="s">
        <v>8</v>
      </c>
    </row>
    <row r="419" spans="1:183" x14ac:dyDescent="0.25">
      <c r="A419" s="7">
        <v>27.850234480856578</v>
      </c>
      <c r="B419"/>
      <c r="C419"/>
      <c r="D419"/>
      <c r="E419"/>
      <c r="DW419" s="27" t="s">
        <v>8</v>
      </c>
      <c r="DX419" s="27" t="s">
        <v>7</v>
      </c>
      <c r="DY419" s="27" t="s">
        <v>8</v>
      </c>
      <c r="DZ419" s="27" t="s">
        <v>7</v>
      </c>
      <c r="EA419" s="27" t="s">
        <v>8</v>
      </c>
      <c r="EC419" s="27" t="s">
        <v>8</v>
      </c>
      <c r="EV419" s="27" t="s">
        <v>7</v>
      </c>
      <c r="EW419" s="27" t="s">
        <v>8</v>
      </c>
      <c r="EX419" s="27" t="s">
        <v>7</v>
      </c>
      <c r="EY419" s="27" t="s">
        <v>8</v>
      </c>
      <c r="EZ419" s="27" t="s">
        <v>7</v>
      </c>
      <c r="FA419" s="27" t="s">
        <v>8</v>
      </c>
      <c r="FJ419" s="27" t="s">
        <v>7</v>
      </c>
      <c r="FK419" s="27" t="s">
        <v>8</v>
      </c>
      <c r="FL419" s="27" t="s">
        <v>7</v>
      </c>
      <c r="FM419" s="27" t="s">
        <v>8</v>
      </c>
      <c r="FT419" s="27" t="s">
        <v>7</v>
      </c>
      <c r="FV419" s="27" t="s">
        <v>7</v>
      </c>
      <c r="FW419" s="27" t="s">
        <v>8</v>
      </c>
      <c r="FX419" s="27" t="s">
        <v>7</v>
      </c>
      <c r="FY419" s="27" t="s">
        <v>8</v>
      </c>
      <c r="FZ419" s="27" t="s">
        <v>7</v>
      </c>
      <c r="GA419" s="27" t="s">
        <v>8</v>
      </c>
    </row>
    <row r="420" spans="1:183" x14ac:dyDescent="0.25">
      <c r="A420" s="7">
        <v>27.304151451820175</v>
      </c>
      <c r="B420"/>
      <c r="C420"/>
      <c r="D420"/>
      <c r="E420"/>
      <c r="DW420" s="27" t="s">
        <v>8</v>
      </c>
      <c r="DX420" s="27" t="s">
        <v>7</v>
      </c>
      <c r="DY420" s="27" t="s">
        <v>8</v>
      </c>
      <c r="DZ420" s="27" t="s">
        <v>7</v>
      </c>
      <c r="EA420" s="27" t="s">
        <v>8</v>
      </c>
      <c r="EB420" s="27" t="s">
        <v>7</v>
      </c>
      <c r="EC420" s="27" t="s">
        <v>8</v>
      </c>
      <c r="EV420" s="27" t="s">
        <v>7</v>
      </c>
      <c r="EW420" s="27" t="s">
        <v>8</v>
      </c>
      <c r="EX420" s="27" t="s">
        <v>7</v>
      </c>
      <c r="EY420" s="27" t="s">
        <v>8</v>
      </c>
      <c r="EZ420" s="27" t="s">
        <v>7</v>
      </c>
      <c r="FA420" s="27" t="s">
        <v>8</v>
      </c>
      <c r="FJ420" s="27" t="s">
        <v>7</v>
      </c>
      <c r="FK420" s="27" t="s">
        <v>8</v>
      </c>
      <c r="FL420" s="27" t="s">
        <v>7</v>
      </c>
      <c r="FM420" s="27" t="s">
        <v>8</v>
      </c>
      <c r="FV420" s="27" t="s">
        <v>7</v>
      </c>
      <c r="FW420" s="27" t="s">
        <v>8</v>
      </c>
      <c r="FX420" s="27" t="s">
        <v>7</v>
      </c>
      <c r="FY420" s="27" t="s">
        <v>8</v>
      </c>
      <c r="FZ420" s="27" t="s">
        <v>7</v>
      </c>
    </row>
    <row r="421" spans="1:183" x14ac:dyDescent="0.25">
      <c r="A421" s="7">
        <v>26.768775933157034</v>
      </c>
      <c r="B421"/>
      <c r="C421"/>
      <c r="D421"/>
      <c r="E421"/>
      <c r="DW421" s="27" t="s">
        <v>8</v>
      </c>
      <c r="DX421" s="27" t="s">
        <v>7</v>
      </c>
      <c r="DY421" s="27" t="s">
        <v>8</v>
      </c>
      <c r="DZ421" s="27" t="s">
        <v>7</v>
      </c>
      <c r="EA421" s="27" t="s">
        <v>8</v>
      </c>
      <c r="EB421" s="27" t="s">
        <v>7</v>
      </c>
      <c r="EC421" s="27" t="s">
        <v>8</v>
      </c>
      <c r="EV421" s="27" t="s">
        <v>7</v>
      </c>
      <c r="EX421" s="27" t="s">
        <v>7</v>
      </c>
      <c r="EY421" s="27" t="s">
        <v>8</v>
      </c>
      <c r="EZ421" s="27" t="s">
        <v>7</v>
      </c>
      <c r="FA421" s="27" t="s">
        <v>8</v>
      </c>
      <c r="FJ421" s="27" t="s">
        <v>7</v>
      </c>
      <c r="FK421" s="27" t="s">
        <v>8</v>
      </c>
      <c r="FL421" s="27" t="s">
        <v>7</v>
      </c>
      <c r="FV421" s="27" t="s">
        <v>7</v>
      </c>
      <c r="FW421" s="27" t="s">
        <v>8</v>
      </c>
      <c r="FX421" s="27" t="s">
        <v>7</v>
      </c>
    </row>
    <row r="422" spans="1:183" x14ac:dyDescent="0.25">
      <c r="A422" s="7">
        <v>26.243897973683367</v>
      </c>
      <c r="B422"/>
      <c r="C422"/>
      <c r="D422"/>
      <c r="E422"/>
      <c r="DW422" s="27" t="s">
        <v>8</v>
      </c>
      <c r="DX422" s="27" t="s">
        <v>7</v>
      </c>
      <c r="DY422" s="27" t="s">
        <v>8</v>
      </c>
      <c r="DZ422" s="27" t="s">
        <v>7</v>
      </c>
      <c r="EA422" s="27" t="s">
        <v>8</v>
      </c>
      <c r="EB422" s="27" t="s">
        <v>7</v>
      </c>
      <c r="EC422" s="27" t="s">
        <v>8</v>
      </c>
      <c r="EX422" s="27" t="s">
        <v>7</v>
      </c>
      <c r="EY422" s="27" t="s">
        <v>8</v>
      </c>
      <c r="EZ422" s="27" t="s">
        <v>7</v>
      </c>
      <c r="FA422" s="27" t="s">
        <v>8</v>
      </c>
      <c r="FJ422" s="27" t="s">
        <v>7</v>
      </c>
      <c r="FK422" s="27" t="s">
        <v>8</v>
      </c>
      <c r="FV422" s="27" t="s">
        <v>7</v>
      </c>
      <c r="FW422" s="27" t="s">
        <v>8</v>
      </c>
    </row>
    <row r="423" spans="1:183" x14ac:dyDescent="0.25">
      <c r="A423" s="7">
        <v>25.729311738905263</v>
      </c>
      <c r="B423"/>
      <c r="C423"/>
      <c r="D423"/>
      <c r="E423"/>
      <c r="DW423" s="27" t="s">
        <v>8</v>
      </c>
      <c r="DX423" s="27" t="s">
        <v>7</v>
      </c>
      <c r="DZ423" s="27" t="s">
        <v>7</v>
      </c>
      <c r="EA423" s="27" t="s">
        <v>8</v>
      </c>
      <c r="EB423" s="27" t="s">
        <v>7</v>
      </c>
      <c r="EC423" s="27" t="s">
        <v>8</v>
      </c>
      <c r="EX423" s="27" t="s">
        <v>7</v>
      </c>
      <c r="EY423" s="27" t="s">
        <v>8</v>
      </c>
      <c r="EZ423" s="27" t="s">
        <v>7</v>
      </c>
      <c r="FJ423" s="27" t="s">
        <v>7</v>
      </c>
      <c r="FK423" s="27" t="s">
        <v>8</v>
      </c>
      <c r="FV423" s="27" t="s">
        <v>7</v>
      </c>
      <c r="FW423" s="27" t="s">
        <v>8</v>
      </c>
    </row>
    <row r="424" spans="1:183" x14ac:dyDescent="0.25">
      <c r="A424" s="7">
        <v>25.224815430299277</v>
      </c>
      <c r="B424"/>
      <c r="C424"/>
      <c r="D424"/>
      <c r="E424"/>
      <c r="DU424" s="27" t="s">
        <v>8</v>
      </c>
      <c r="DW424" s="27" t="s">
        <v>8</v>
      </c>
      <c r="DZ424" s="27" t="s">
        <v>7</v>
      </c>
      <c r="EA424" s="27" t="s">
        <v>8</v>
      </c>
      <c r="EB424" s="27" t="s">
        <v>7</v>
      </c>
      <c r="EX424" s="27" t="s">
        <v>7</v>
      </c>
      <c r="EY424" s="27" t="s">
        <v>8</v>
      </c>
      <c r="FJ424" s="27" t="s">
        <v>7</v>
      </c>
      <c r="FK424" s="27" t="s">
        <v>8</v>
      </c>
      <c r="FV424" s="27" t="s">
        <v>7</v>
      </c>
      <c r="FW424" s="27" t="s">
        <v>8</v>
      </c>
    </row>
    <row r="425" spans="1:183" x14ac:dyDescent="0.25">
      <c r="A425" s="7">
        <v>24.73021120617576</v>
      </c>
      <c r="B425"/>
      <c r="C425"/>
      <c r="D425"/>
      <c r="E425"/>
      <c r="DU425" s="27" t="s">
        <v>8</v>
      </c>
      <c r="DV425" s="27" t="s">
        <v>7</v>
      </c>
      <c r="DW425" s="27" t="s">
        <v>8</v>
      </c>
      <c r="DZ425" s="27" t="s">
        <v>7</v>
      </c>
      <c r="EX425" s="27" t="s">
        <v>7</v>
      </c>
      <c r="EY425" s="27" t="s">
        <v>8</v>
      </c>
      <c r="FJ425" s="27" t="s">
        <v>7</v>
      </c>
      <c r="FK425" s="27" t="s">
        <v>8</v>
      </c>
      <c r="FV425" s="27" t="s">
        <v>7</v>
      </c>
      <c r="FW425" s="27" t="s">
        <v>8</v>
      </c>
    </row>
    <row r="426" spans="1:183" x14ac:dyDescent="0.25">
      <c r="A426" s="7">
        <v>24.24530510409388</v>
      </c>
      <c r="B426"/>
      <c r="C426"/>
      <c r="D426"/>
      <c r="E426"/>
      <c r="DU426" s="27" t="s">
        <v>8</v>
      </c>
      <c r="DV426" s="27" t="s">
        <v>7</v>
      </c>
      <c r="DW426" s="27" t="s">
        <v>8</v>
      </c>
      <c r="EX426" s="27" t="s">
        <v>7</v>
      </c>
      <c r="EY426" s="27" t="s">
        <v>8</v>
      </c>
      <c r="FJ426" s="27" t="s">
        <v>7</v>
      </c>
      <c r="FK426" s="27" t="s">
        <v>8</v>
      </c>
      <c r="FV426" s="18" t="s">
        <v>7</v>
      </c>
      <c r="FW426" s="27" t="s">
        <v>8</v>
      </c>
    </row>
    <row r="427" spans="1:183" x14ac:dyDescent="0.25">
      <c r="A427" s="7">
        <v>23.769906964797922</v>
      </c>
      <c r="B427"/>
      <c r="C427"/>
      <c r="D427"/>
      <c r="E427"/>
      <c r="DU427" s="27" t="s">
        <v>8</v>
      </c>
      <c r="DV427" s="27" t="s">
        <v>7</v>
      </c>
      <c r="DW427" s="27" t="s">
        <v>8</v>
      </c>
      <c r="EX427" s="27" t="s">
        <v>7</v>
      </c>
      <c r="EY427" s="27" t="s">
        <v>8</v>
      </c>
      <c r="FJ427" s="27" t="s">
        <v>7</v>
      </c>
      <c r="FK427" s="27" t="s">
        <v>8</v>
      </c>
      <c r="FV427" s="27" t="s">
        <v>7</v>
      </c>
      <c r="FW427" s="27" t="s">
        <v>8</v>
      </c>
    </row>
    <row r="428" spans="1:183" x14ac:dyDescent="0.25">
      <c r="A428" s="7">
        <v>23.303830357645023</v>
      </c>
      <c r="B428"/>
      <c r="C428"/>
      <c r="D428"/>
      <c r="E428"/>
      <c r="DU428" s="27" t="s">
        <v>8</v>
      </c>
      <c r="DV428" s="27" t="s">
        <v>7</v>
      </c>
      <c r="DW428" s="27" t="s">
        <v>8</v>
      </c>
      <c r="EX428" s="27" t="s">
        <v>7</v>
      </c>
      <c r="EY428" s="27" t="s">
        <v>8</v>
      </c>
      <c r="FJ428" s="27" t="s">
        <v>7</v>
      </c>
      <c r="FK428" s="27" t="s">
        <v>8</v>
      </c>
      <c r="FV428" s="27" t="s">
        <v>7</v>
      </c>
      <c r="FW428" s="27" t="s">
        <v>8</v>
      </c>
    </row>
    <row r="429" spans="1:183" x14ac:dyDescent="0.25">
      <c r="A429" s="7">
        <v>22.84689250749512</v>
      </c>
      <c r="B429"/>
      <c r="C429"/>
      <c r="D429"/>
      <c r="E429"/>
      <c r="DU429" s="27" t="s">
        <v>8</v>
      </c>
      <c r="DV429" s="27" t="s">
        <v>7</v>
      </c>
      <c r="DW429" s="27" t="s">
        <v>8</v>
      </c>
      <c r="EX429" s="27" t="s">
        <v>7</v>
      </c>
      <c r="EY429" s="27" t="s">
        <v>8</v>
      </c>
      <c r="FJ429" s="27" t="s">
        <v>7</v>
      </c>
      <c r="FK429" s="27" t="s">
        <v>8</v>
      </c>
      <c r="FV429" s="27" t="s">
        <v>7</v>
      </c>
      <c r="FW429" s="27" t="s">
        <v>8</v>
      </c>
    </row>
    <row r="430" spans="1:183" x14ac:dyDescent="0.25">
      <c r="A430" s="7">
        <v>22.398914223034431</v>
      </c>
      <c r="B430"/>
      <c r="C430"/>
      <c r="D430"/>
      <c r="E430"/>
      <c r="DU430" s="27" t="s">
        <v>8</v>
      </c>
      <c r="DV430" s="27" t="s">
        <v>7</v>
      </c>
      <c r="DW430" s="27" t="s">
        <v>8</v>
      </c>
      <c r="EX430" s="27" t="s">
        <v>7</v>
      </c>
      <c r="EY430" s="27" t="s">
        <v>8</v>
      </c>
      <c r="FJ430" s="27" t="s">
        <v>7</v>
      </c>
      <c r="FK430" s="27" t="s">
        <v>8</v>
      </c>
      <c r="FV430" s="27" t="s">
        <v>7</v>
      </c>
    </row>
    <row r="431" spans="1:183" x14ac:dyDescent="0.25">
      <c r="A431" s="7">
        <v>21.959719826504344</v>
      </c>
      <c r="B431"/>
      <c r="C431"/>
      <c r="D431"/>
      <c r="E431"/>
      <c r="DU431" s="27" t="s">
        <v>8</v>
      </c>
      <c r="DV431" s="27" t="s">
        <v>7</v>
      </c>
      <c r="EX431" s="27" t="s">
        <v>7</v>
      </c>
      <c r="EY431" s="27" t="s">
        <v>8</v>
      </c>
      <c r="FJ431" s="27" t="s">
        <v>7</v>
      </c>
      <c r="FK431" s="27" t="s">
        <v>8</v>
      </c>
    </row>
    <row r="432" spans="1:183" x14ac:dyDescent="0.25">
      <c r="A432" s="7">
        <v>21.52913708480818</v>
      </c>
      <c r="B432"/>
      <c r="C432"/>
      <c r="D432"/>
      <c r="E432"/>
      <c r="DU432" s="27" t="s">
        <v>8</v>
      </c>
      <c r="EX432" s="27" t="s">
        <v>7</v>
      </c>
      <c r="EY432" s="27" t="s">
        <v>8</v>
      </c>
      <c r="FJ432" s="27" t="s">
        <v>7</v>
      </c>
      <c r="FK432" s="27" t="s">
        <v>8</v>
      </c>
    </row>
    <row r="433" spans="1:167" x14ac:dyDescent="0.25">
      <c r="A433" s="7">
        <v>21.106997141968804</v>
      </c>
      <c r="B433"/>
      <c r="C433"/>
      <c r="D433"/>
      <c r="E433"/>
      <c r="DU433" s="27" t="s">
        <v>8</v>
      </c>
      <c r="EX433" s="27" t="s">
        <v>7</v>
      </c>
      <c r="EY433" s="27" t="s">
        <v>8</v>
      </c>
      <c r="FJ433" s="27" t="s">
        <v>7</v>
      </c>
      <c r="FK433" s="27" t="s">
        <v>8</v>
      </c>
    </row>
    <row r="434" spans="1:167" x14ac:dyDescent="0.25">
      <c r="A434" s="7">
        <v>20.693134452910591</v>
      </c>
      <c r="B434"/>
      <c r="C434"/>
      <c r="D434"/>
      <c r="E434"/>
      <c r="DQ434" s="27" t="s">
        <v>8</v>
      </c>
      <c r="DU434" s="27" t="s">
        <v>8</v>
      </c>
      <c r="EX434" s="27" t="s">
        <v>7</v>
      </c>
      <c r="EY434" s="27" t="s">
        <v>8</v>
      </c>
      <c r="FJ434" s="27" t="s">
        <v>7</v>
      </c>
      <c r="FK434" s="27" t="s">
        <v>8</v>
      </c>
    </row>
    <row r="435" spans="1:167" x14ac:dyDescent="0.25">
      <c r="A435" s="7">
        <v>20.287386718539796</v>
      </c>
      <c r="B435"/>
      <c r="C435"/>
      <c r="D435"/>
      <c r="E435"/>
      <c r="DQ435" s="27" t="s">
        <v>8</v>
      </c>
      <c r="DR435" s="27" t="s">
        <v>7</v>
      </c>
      <c r="DS435" s="27" t="s">
        <v>8</v>
      </c>
      <c r="DU435" s="27" t="s">
        <v>8</v>
      </c>
      <c r="EX435" s="27" t="s">
        <v>7</v>
      </c>
      <c r="EY435" s="27" t="s">
        <v>8</v>
      </c>
      <c r="FJ435" s="27" t="s">
        <v>7</v>
      </c>
    </row>
    <row r="436" spans="1:167" x14ac:dyDescent="0.25">
      <c r="A436" s="7">
        <v>19.889594822097838</v>
      </c>
      <c r="B436"/>
      <c r="C436"/>
      <c r="D436"/>
      <c r="E436"/>
      <c r="DQ436" s="27" t="s">
        <v>8</v>
      </c>
      <c r="DR436" s="27" t="s">
        <v>7</v>
      </c>
      <c r="DS436" s="27" t="s">
        <v>8</v>
      </c>
      <c r="DT436" s="27" t="s">
        <v>7</v>
      </c>
      <c r="DU436" s="27" t="s">
        <v>8</v>
      </c>
      <c r="EX436" s="27" t="s">
        <v>7</v>
      </c>
      <c r="EY436" s="27" t="s">
        <v>8</v>
      </c>
    </row>
    <row r="437" spans="1:167" x14ac:dyDescent="0.25">
      <c r="A437" s="7">
        <v>19.499602766762585</v>
      </c>
      <c r="B437"/>
      <c r="C437"/>
      <c r="D437"/>
      <c r="E437"/>
      <c r="DQ437" s="27" t="s">
        <v>8</v>
      </c>
      <c r="DR437" s="27" t="s">
        <v>7</v>
      </c>
      <c r="DS437" s="27" t="s">
        <v>8</v>
      </c>
      <c r="DT437" s="27" t="s">
        <v>7</v>
      </c>
      <c r="DU437" s="27" t="s">
        <v>8</v>
      </c>
      <c r="EX437" s="27" t="s">
        <v>7</v>
      </c>
      <c r="EY437" s="27" t="s">
        <v>8</v>
      </c>
    </row>
    <row r="438" spans="1:167" x14ac:dyDescent="0.25">
      <c r="A438" s="7">
        <v>19.117257614473122</v>
      </c>
      <c r="B438"/>
      <c r="C438"/>
      <c r="D438"/>
      <c r="E438"/>
      <c r="DO438" s="27" t="s">
        <v>8</v>
      </c>
      <c r="DQ438" s="27" t="s">
        <v>8</v>
      </c>
      <c r="DR438" s="27" t="s">
        <v>7</v>
      </c>
      <c r="DS438" s="27" t="s">
        <v>8</v>
      </c>
      <c r="DT438" s="27" t="s">
        <v>7</v>
      </c>
      <c r="DU438" s="27" t="s">
        <v>8</v>
      </c>
      <c r="EX438" s="27" t="s">
        <v>7</v>
      </c>
    </row>
    <row r="439" spans="1:167" x14ac:dyDescent="0.25">
      <c r="A439" s="7">
        <v>18.74240942595404</v>
      </c>
      <c r="B439"/>
      <c r="C439"/>
      <c r="D439"/>
      <c r="E439"/>
      <c r="DO439" s="27" t="s">
        <v>8</v>
      </c>
      <c r="DP439" s="27" t="s">
        <v>7</v>
      </c>
      <c r="DQ439" s="27" t="s">
        <v>8</v>
      </c>
      <c r="DR439" s="27" t="s">
        <v>7</v>
      </c>
      <c r="DS439" s="27" t="s">
        <v>8</v>
      </c>
      <c r="DT439" s="27" t="s">
        <v>7</v>
      </c>
      <c r="DU439" s="27" t="s">
        <v>8</v>
      </c>
    </row>
    <row r="440" spans="1:167" x14ac:dyDescent="0.25">
      <c r="A440" s="7">
        <v>18.374911201915726</v>
      </c>
      <c r="B440"/>
      <c r="C440"/>
      <c r="D440"/>
      <c r="E440"/>
      <c r="DO440" s="27" t="s">
        <v>8</v>
      </c>
      <c r="DP440" s="27" t="s">
        <v>7</v>
      </c>
      <c r="DQ440" s="27" t="s">
        <v>8</v>
      </c>
      <c r="DR440" s="27" t="s">
        <v>7</v>
      </c>
      <c r="DS440" s="27" t="s">
        <v>8</v>
      </c>
      <c r="DT440" s="27" t="s">
        <v>7</v>
      </c>
    </row>
    <row r="441" spans="1:167" x14ac:dyDescent="0.25">
      <c r="A441" s="7">
        <v>18.014618825407574</v>
      </c>
      <c r="B441"/>
      <c r="C441"/>
      <c r="D441"/>
      <c r="E441"/>
      <c r="CW441" s="27" t="s">
        <v>8</v>
      </c>
      <c r="DO441" s="27" t="s">
        <v>8</v>
      </c>
      <c r="DP441" s="27" t="s">
        <v>7</v>
      </c>
      <c r="DQ441" s="27" t="s">
        <v>8</v>
      </c>
      <c r="DR441" s="27" t="s">
        <v>7</v>
      </c>
    </row>
    <row r="442" spans="1:167" x14ac:dyDescent="0.25">
      <c r="A442" s="7">
        <v>17.661391005301542</v>
      </c>
      <c r="B442"/>
      <c r="C442"/>
      <c r="D442"/>
      <c r="E442"/>
      <c r="CW442" s="27" t="s">
        <v>8</v>
      </c>
      <c r="CX442" s="27" t="s">
        <v>7</v>
      </c>
      <c r="DO442" s="27" t="s">
        <v>8</v>
      </c>
      <c r="DP442" s="27" t="s">
        <v>7</v>
      </c>
    </row>
    <row r="443" spans="1:167" x14ac:dyDescent="0.25">
      <c r="A443" s="7">
        <v>17.315089220883866</v>
      </c>
      <c r="B443"/>
      <c r="C443"/>
      <c r="D443"/>
      <c r="E443"/>
      <c r="CW443" s="27" t="s">
        <v>8</v>
      </c>
      <c r="CX443" s="27" t="s">
        <v>7</v>
      </c>
      <c r="DO443" s="27" t="s">
        <v>8</v>
      </c>
    </row>
    <row r="444" spans="1:167" x14ac:dyDescent="0.25">
      <c r="A444" s="7">
        <v>16.975577667533202</v>
      </c>
      <c r="B444"/>
      <c r="C444"/>
      <c r="D444"/>
      <c r="E444"/>
      <c r="CW444" s="27" t="s">
        <v>8</v>
      </c>
      <c r="CX444" s="27" t="s">
        <v>7</v>
      </c>
      <c r="DO444" s="27" t="s">
        <v>8</v>
      </c>
    </row>
    <row r="445" spans="1:167" x14ac:dyDescent="0.25">
      <c r="A445" s="7">
        <v>16.642723203463923</v>
      </c>
      <c r="B445"/>
      <c r="C445"/>
      <c r="D445"/>
      <c r="E445"/>
      <c r="CW445" s="27" t="s">
        <v>8</v>
      </c>
      <c r="CX445" s="27" t="s">
        <v>7</v>
      </c>
      <c r="DO445" s="27" t="s">
        <v>8</v>
      </c>
    </row>
    <row r="446" spans="1:167" x14ac:dyDescent="0.25">
      <c r="A446" s="7">
        <v>16.316395297513651</v>
      </c>
      <c r="B446"/>
      <c r="C446"/>
      <c r="D446"/>
      <c r="E446"/>
      <c r="CW446" s="27" t="s">
        <v>8</v>
      </c>
      <c r="CX446" s="27" t="s">
        <v>7</v>
      </c>
      <c r="DG446" s="27" t="s">
        <v>8</v>
      </c>
      <c r="DM446" s="27" t="s">
        <v>8</v>
      </c>
      <c r="DO446" s="27" t="s">
        <v>8</v>
      </c>
    </row>
    <row r="447" spans="1:167" x14ac:dyDescent="0.25">
      <c r="A447" s="7">
        <v>15.996465977954561</v>
      </c>
      <c r="B447"/>
      <c r="C447"/>
      <c r="D447"/>
      <c r="E447"/>
      <c r="CW447" s="27" t="s">
        <v>8</v>
      </c>
      <c r="CX447" s="27" t="s">
        <v>7</v>
      </c>
      <c r="DG447" s="27" t="s">
        <v>8</v>
      </c>
      <c r="DH447" s="27" t="s">
        <v>7</v>
      </c>
      <c r="DM447" s="27" t="s">
        <v>8</v>
      </c>
      <c r="DN447" s="27" t="s">
        <v>7</v>
      </c>
      <c r="DO447" s="27" t="s">
        <v>8</v>
      </c>
    </row>
    <row r="448" spans="1:167" x14ac:dyDescent="0.25">
      <c r="A448" s="7">
        <v>15.682809782308393</v>
      </c>
      <c r="B448"/>
      <c r="C448"/>
      <c r="D448"/>
      <c r="E448"/>
      <c r="CW448" s="27" t="s">
        <v>8</v>
      </c>
      <c r="CX448" s="27" t="s">
        <v>7</v>
      </c>
      <c r="DG448" s="27" t="s">
        <v>8</v>
      </c>
      <c r="DH448" s="27" t="s">
        <v>7</v>
      </c>
      <c r="DM448" s="27" t="s">
        <v>8</v>
      </c>
      <c r="DN448" s="27" t="s">
        <v>7</v>
      </c>
      <c r="DO448" s="27" t="s">
        <v>8</v>
      </c>
    </row>
    <row r="449" spans="1:119" x14ac:dyDescent="0.25">
      <c r="A449" s="7">
        <v>15.375303708145482</v>
      </c>
      <c r="B449"/>
      <c r="C449"/>
      <c r="D449"/>
      <c r="E449"/>
      <c r="CW449" s="27" t="s">
        <v>8</v>
      </c>
      <c r="CX449" s="27" t="s">
        <v>7</v>
      </c>
      <c r="DA449" s="27" t="s">
        <v>8</v>
      </c>
      <c r="DG449" s="27" t="s">
        <v>8</v>
      </c>
      <c r="DH449" s="27" t="s">
        <v>7</v>
      </c>
      <c r="DI449" s="27" t="s">
        <v>8</v>
      </c>
      <c r="DM449" s="27" t="s">
        <v>8</v>
      </c>
      <c r="DN449" s="27" t="s">
        <v>7</v>
      </c>
      <c r="DO449" s="27" t="s">
        <v>8</v>
      </c>
    </row>
    <row r="450" spans="1:119" x14ac:dyDescent="0.25">
      <c r="A450" s="7">
        <v>15.073827164848511</v>
      </c>
      <c r="B450"/>
      <c r="C450"/>
      <c r="D450"/>
      <c r="E450"/>
      <c r="CW450" s="27" t="s">
        <v>8</v>
      </c>
      <c r="CX450" s="27" t="s">
        <v>7</v>
      </c>
      <c r="DA450" s="27" t="s">
        <v>8</v>
      </c>
      <c r="DB450" s="27" t="s">
        <v>7</v>
      </c>
      <c r="DG450" s="27" t="s">
        <v>8</v>
      </c>
      <c r="DH450" s="27" t="s">
        <v>7</v>
      </c>
      <c r="DI450" s="27" t="s">
        <v>8</v>
      </c>
      <c r="DJ450" s="27" t="s">
        <v>7</v>
      </c>
      <c r="DM450" s="27" t="s">
        <v>8</v>
      </c>
      <c r="DN450" s="27" t="s">
        <v>7</v>
      </c>
      <c r="DO450" s="27" t="s">
        <v>8</v>
      </c>
    </row>
    <row r="451" spans="1:119" x14ac:dyDescent="0.25">
      <c r="A451" s="7">
        <v>14.77826192632207</v>
      </c>
      <c r="B451"/>
      <c r="C451"/>
      <c r="D451"/>
      <c r="E451"/>
      <c r="CW451" s="27" t="s">
        <v>8</v>
      </c>
      <c r="CX451" s="27" t="s">
        <v>7</v>
      </c>
      <c r="CY451" s="27" t="s">
        <v>8</v>
      </c>
      <c r="DA451" s="27" t="s">
        <v>8</v>
      </c>
      <c r="DB451" s="27" t="s">
        <v>7</v>
      </c>
      <c r="DG451" s="27" t="s">
        <v>8</v>
      </c>
      <c r="DH451" s="27" t="s">
        <v>7</v>
      </c>
      <c r="DI451" s="27" t="s">
        <v>8</v>
      </c>
      <c r="DJ451" s="27" t="s">
        <v>7</v>
      </c>
      <c r="DK451" s="27" t="s">
        <v>8</v>
      </c>
      <c r="DM451" s="27" t="s">
        <v>8</v>
      </c>
      <c r="DN451" s="27" t="s">
        <v>7</v>
      </c>
      <c r="DO451" s="27" t="s">
        <v>8</v>
      </c>
    </row>
    <row r="452" spans="1:119" x14ac:dyDescent="0.25">
      <c r="A452" s="7">
        <v>14.488492084629481</v>
      </c>
      <c r="B452"/>
      <c r="C452"/>
      <c r="D452"/>
      <c r="E452"/>
      <c r="CW452" s="27" t="s">
        <v>8</v>
      </c>
      <c r="CX452" s="27" t="s">
        <v>7</v>
      </c>
      <c r="CY452" s="27" t="s">
        <v>8</v>
      </c>
      <c r="CZ452" s="27" t="s">
        <v>7</v>
      </c>
      <c r="DA452" s="27" t="s">
        <v>8</v>
      </c>
      <c r="DB452" s="27" t="s">
        <v>7</v>
      </c>
      <c r="DC452" s="27" t="s">
        <v>8</v>
      </c>
      <c r="DG452" s="27" t="s">
        <v>8</v>
      </c>
      <c r="DH452" s="27" t="s">
        <v>7</v>
      </c>
      <c r="DI452" s="27" t="s">
        <v>8</v>
      </c>
      <c r="DJ452" s="27" t="s">
        <v>7</v>
      </c>
      <c r="DK452" s="27" t="s">
        <v>8</v>
      </c>
      <c r="DL452" s="27" t="s">
        <v>7</v>
      </c>
      <c r="DM452" s="27" t="s">
        <v>8</v>
      </c>
      <c r="DN452" s="27" t="s">
        <v>7</v>
      </c>
      <c r="DO452" s="27" t="s">
        <v>8</v>
      </c>
    </row>
    <row r="453" spans="1:119" x14ac:dyDescent="0.25">
      <c r="A453" s="7">
        <v>14.204404004538707</v>
      </c>
      <c r="B453"/>
      <c r="C453"/>
      <c r="D453"/>
      <c r="E453"/>
      <c r="CW453" s="27" t="s">
        <v>8</v>
      </c>
      <c r="CX453" s="27" t="s">
        <v>7</v>
      </c>
      <c r="CY453" s="27" t="s">
        <v>8</v>
      </c>
      <c r="CZ453" s="27" t="s">
        <v>7</v>
      </c>
      <c r="DA453" s="27" t="s">
        <v>8</v>
      </c>
      <c r="DB453" s="27" t="s">
        <v>7</v>
      </c>
      <c r="DC453" s="27" t="s">
        <v>8</v>
      </c>
      <c r="DD453" s="27" t="s">
        <v>7</v>
      </c>
      <c r="DG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M453" s="27" t="s">
        <v>8</v>
      </c>
      <c r="DN453" s="27" t="s">
        <v>7</v>
      </c>
      <c r="DO453" s="27" t="s">
        <v>8</v>
      </c>
    </row>
    <row r="454" spans="1:119" x14ac:dyDescent="0.25">
      <c r="A454" s="7">
        <v>13.925886278959517</v>
      </c>
      <c r="B454"/>
      <c r="C454"/>
      <c r="D454"/>
      <c r="E454"/>
      <c r="CW454" s="27" t="s">
        <v>8</v>
      </c>
      <c r="CX454" s="27" t="s">
        <v>7</v>
      </c>
      <c r="CY454" s="27" t="s">
        <v>8</v>
      </c>
      <c r="CZ454" s="27" t="s">
        <v>7</v>
      </c>
      <c r="DA454" s="27" t="s">
        <v>8</v>
      </c>
      <c r="DB454" s="27" t="s">
        <v>7</v>
      </c>
      <c r="DC454" s="27" t="s">
        <v>8</v>
      </c>
      <c r="DD454" s="27" t="s">
        <v>7</v>
      </c>
      <c r="DE454" s="27" t="s">
        <v>8</v>
      </c>
      <c r="DG454" s="27" t="s">
        <v>8</v>
      </c>
      <c r="DH454" s="27" t="s">
        <v>7</v>
      </c>
      <c r="DJ454" s="27" t="s">
        <v>7</v>
      </c>
      <c r="DK454" s="27" t="s">
        <v>8</v>
      </c>
      <c r="DL454" s="27" t="s">
        <v>7</v>
      </c>
      <c r="DM454" s="27" t="s">
        <v>8</v>
      </c>
      <c r="DN454" s="27" t="s">
        <v>7</v>
      </c>
      <c r="DO454" s="27" t="s">
        <v>8</v>
      </c>
    </row>
    <row r="455" spans="1:119" x14ac:dyDescent="0.25">
      <c r="A455" s="7">
        <v>13.652829685254428</v>
      </c>
      <c r="B455"/>
      <c r="C455"/>
      <c r="D455"/>
      <c r="E455"/>
      <c r="CW455" s="27" t="s">
        <v>8</v>
      </c>
      <c r="CX455" s="27" t="s">
        <v>7</v>
      </c>
      <c r="CY455" s="27" t="s">
        <v>8</v>
      </c>
      <c r="CZ455" s="27" t="s">
        <v>7</v>
      </c>
      <c r="DA455" s="27" t="s">
        <v>8</v>
      </c>
      <c r="DB455" s="27" t="s">
        <v>7</v>
      </c>
      <c r="DC455" s="27" t="s">
        <v>8</v>
      </c>
      <c r="DD455" s="27" t="s">
        <v>7</v>
      </c>
      <c r="DE455" s="27" t="s">
        <v>8</v>
      </c>
      <c r="DF455" s="27" t="s">
        <v>7</v>
      </c>
      <c r="DG455" s="27" t="s">
        <v>8</v>
      </c>
      <c r="DJ455" s="27" t="s">
        <v>7</v>
      </c>
      <c r="DK455" s="27" t="s">
        <v>8</v>
      </c>
      <c r="DL455" s="27" t="s">
        <v>7</v>
      </c>
      <c r="DN455" s="27" t="s">
        <v>7</v>
      </c>
      <c r="DO455" s="27" t="s">
        <v>8</v>
      </c>
    </row>
    <row r="456" spans="1:119" x14ac:dyDescent="0.25">
      <c r="A456" s="7">
        <v>13.385127142406303</v>
      </c>
      <c r="B456"/>
      <c r="C456"/>
      <c r="D456"/>
      <c r="E456"/>
      <c r="CW456" s="27" t="s">
        <v>8</v>
      </c>
      <c r="CX456" s="27" t="s">
        <v>7</v>
      </c>
      <c r="CY456" s="27" t="s">
        <v>8</v>
      </c>
      <c r="CZ456" s="27" t="s">
        <v>7</v>
      </c>
      <c r="DA456" s="27" t="s">
        <v>8</v>
      </c>
      <c r="DB456" s="27" t="s">
        <v>7</v>
      </c>
      <c r="DD456" s="27" t="s">
        <v>7</v>
      </c>
      <c r="DE456" s="27" t="s">
        <v>8</v>
      </c>
      <c r="DF456" s="27" t="s">
        <v>7</v>
      </c>
      <c r="DG456" s="27" t="s">
        <v>8</v>
      </c>
      <c r="DJ456" s="27" t="s">
        <v>7</v>
      </c>
      <c r="DK456" s="27" t="s">
        <v>8</v>
      </c>
      <c r="DN456" s="27" t="s">
        <v>7</v>
      </c>
      <c r="DO456" s="27" t="s">
        <v>8</v>
      </c>
    </row>
    <row r="457" spans="1:119" x14ac:dyDescent="0.25">
      <c r="A457" s="7">
        <v>13.122673669025787</v>
      </c>
      <c r="B457"/>
      <c r="C457"/>
      <c r="D457"/>
      <c r="E457"/>
      <c r="CW457" s="27" t="s">
        <v>8</v>
      </c>
      <c r="CX457" s="27" t="s">
        <v>7</v>
      </c>
      <c r="CZ457" s="27" t="s">
        <v>7</v>
      </c>
      <c r="DA457" s="27" t="s">
        <v>8</v>
      </c>
      <c r="DD457" s="27" t="s">
        <v>7</v>
      </c>
      <c r="DE457" s="27" t="s">
        <v>8</v>
      </c>
      <c r="DF457" s="27" t="s">
        <v>7</v>
      </c>
      <c r="DJ457" s="27" t="s">
        <v>7</v>
      </c>
      <c r="DN457" s="27" t="s">
        <v>7</v>
      </c>
      <c r="DO457" s="27" t="s">
        <v>8</v>
      </c>
    </row>
    <row r="458" spans="1:119" x14ac:dyDescent="0.25">
      <c r="A458" s="7">
        <v>12.865366342182144</v>
      </c>
      <c r="B458"/>
      <c r="C458"/>
      <c r="D458"/>
      <c r="E458"/>
      <c r="CW458" s="27" t="s">
        <v>8</v>
      </c>
      <c r="CZ458" s="27" t="s">
        <v>7</v>
      </c>
      <c r="DA458" s="27" t="s">
        <v>8</v>
      </c>
      <c r="DD458" s="27" t="s">
        <v>7</v>
      </c>
      <c r="DE458" s="27" t="s">
        <v>8</v>
      </c>
      <c r="DN458" s="27" t="s">
        <v>7</v>
      </c>
      <c r="DO458" s="27" t="s">
        <v>8</v>
      </c>
    </row>
    <row r="459" spans="1:119" x14ac:dyDescent="0.25">
      <c r="A459" s="7">
        <v>12.613104257041318</v>
      </c>
      <c r="B459"/>
      <c r="C459"/>
      <c r="D459"/>
      <c r="E459"/>
      <c r="CW459" s="27" t="s">
        <v>8</v>
      </c>
      <c r="CZ459" s="27" t="s">
        <v>7</v>
      </c>
      <c r="DA459" s="27" t="s">
        <v>8</v>
      </c>
      <c r="DD459" s="27" t="s">
        <v>7</v>
      </c>
      <c r="DE459" s="27" t="s">
        <v>8</v>
      </c>
      <c r="DN459" s="27" t="s">
        <v>7</v>
      </c>
      <c r="DO459" s="27" t="s">
        <v>8</v>
      </c>
    </row>
    <row r="460" spans="1:119" x14ac:dyDescent="0.25">
      <c r="A460" s="7">
        <v>12.36578848729541</v>
      </c>
      <c r="B460"/>
      <c r="C460"/>
      <c r="D460"/>
      <c r="E460"/>
      <c r="CW460" s="27" t="s">
        <v>8</v>
      </c>
      <c r="CZ460" s="27" t="s">
        <v>7</v>
      </c>
      <c r="DA460" s="27" t="s">
        <v>8</v>
      </c>
      <c r="DD460" s="27" t="s">
        <v>7</v>
      </c>
      <c r="DE460" s="27" t="s">
        <v>8</v>
      </c>
      <c r="DN460" s="27" t="s">
        <v>7</v>
      </c>
    </row>
    <row r="461" spans="1:119" x14ac:dyDescent="0.25">
      <c r="A461" s="7">
        <v>12.123322046368049</v>
      </c>
      <c r="B461"/>
      <c r="C461"/>
      <c r="D461"/>
      <c r="E461"/>
      <c r="CW461" s="27" t="s">
        <v>8</v>
      </c>
      <c r="CZ461" s="27" t="s">
        <v>7</v>
      </c>
      <c r="DA461" s="27" t="s">
        <v>8</v>
      </c>
      <c r="DD461" s="27" t="s">
        <v>7</v>
      </c>
    </row>
    <row r="462" spans="1:119" x14ac:dyDescent="0.25">
      <c r="A462" s="7">
        <v>11.88560984938044</v>
      </c>
      <c r="B462"/>
      <c r="C462"/>
      <c r="D462"/>
      <c r="E462"/>
      <c r="CW462" s="27" t="s">
        <v>8</v>
      </c>
      <c r="CZ462" s="27" t="s">
        <v>7</v>
      </c>
      <c r="DA462" s="27" t="s">
        <v>8</v>
      </c>
    </row>
    <row r="463" spans="1:119" x14ac:dyDescent="0.25">
      <c r="A463" s="7">
        <v>11.652558675863176</v>
      </c>
      <c r="B463"/>
      <c r="C463"/>
      <c r="D463"/>
      <c r="E463"/>
      <c r="CU463" s="27" t="s">
        <v>8</v>
      </c>
      <c r="CW463" s="27" t="s">
        <v>8</v>
      </c>
      <c r="CZ463" s="27" t="s">
        <v>7</v>
      </c>
      <c r="DA463" s="27" t="s">
        <v>8</v>
      </c>
    </row>
    <row r="464" spans="1:119" x14ac:dyDescent="0.25">
      <c r="A464" s="7">
        <v>11.424077133199193</v>
      </c>
      <c r="B464"/>
      <c r="C464"/>
      <c r="D464"/>
      <c r="E464"/>
      <c r="CU464" s="27" t="s">
        <v>8</v>
      </c>
      <c r="CV464" s="27" t="s">
        <v>7</v>
      </c>
      <c r="CW464" s="27" t="s">
        <v>8</v>
      </c>
      <c r="CZ464" s="27" t="s">
        <v>7</v>
      </c>
    </row>
    <row r="465" spans="1:101" x14ac:dyDescent="0.25">
      <c r="A465" s="7">
        <v>11.200075620783522</v>
      </c>
      <c r="B465"/>
      <c r="C465"/>
      <c r="D465"/>
      <c r="E465"/>
      <c r="CU465" s="27" t="s">
        <v>8</v>
      </c>
      <c r="CV465" s="27" t="s">
        <v>7</v>
      </c>
      <c r="CW465" s="27" t="s">
        <v>8</v>
      </c>
    </row>
    <row r="466" spans="1:101" x14ac:dyDescent="0.25">
      <c r="A466" s="7">
        <v>10.980466294885806</v>
      </c>
      <c r="B466"/>
      <c r="C466"/>
      <c r="D466"/>
      <c r="E466"/>
      <c r="CU466" s="27" t="s">
        <v>8</v>
      </c>
      <c r="CV466" s="27" t="s">
        <v>7</v>
      </c>
      <c r="CW466" s="27" t="s">
        <v>8</v>
      </c>
    </row>
    <row r="467" spans="1:101" x14ac:dyDescent="0.25">
      <c r="A467" s="7">
        <v>10.765163034201771</v>
      </c>
      <c r="B467"/>
      <c r="C467"/>
      <c r="D467"/>
      <c r="E467"/>
      <c r="CU467" s="27" t="s">
        <v>8</v>
      </c>
      <c r="CV467" s="27" t="s">
        <v>7</v>
      </c>
      <c r="CW467" s="27" t="s">
        <v>8</v>
      </c>
    </row>
    <row r="468" spans="1:101" x14ac:dyDescent="0.25">
      <c r="A468" s="7">
        <v>10.554081406080169</v>
      </c>
      <c r="B468"/>
      <c r="C468"/>
      <c r="D468"/>
      <c r="E468"/>
      <c r="CU468" s="27" t="s">
        <v>8</v>
      </c>
      <c r="CV468" s="27" t="s">
        <v>7</v>
      </c>
      <c r="CW468" s="27" t="s">
        <v>8</v>
      </c>
    </row>
    <row r="469" spans="1:101" x14ac:dyDescent="0.25">
      <c r="A469" s="7">
        <v>10.34713863341193</v>
      </c>
      <c r="B469"/>
      <c r="C469"/>
      <c r="D469"/>
      <c r="E469"/>
      <c r="CU469" s="27" t="s">
        <v>8</v>
      </c>
      <c r="CV469" s="27" t="s">
        <v>7</v>
      </c>
      <c r="CW469" s="27" t="s">
        <v>8</v>
      </c>
    </row>
    <row r="470" spans="1:101" x14ac:dyDescent="0.25">
      <c r="A470" s="7">
        <v>10.14425356216856</v>
      </c>
      <c r="B470"/>
      <c r="C470"/>
      <c r="D470"/>
      <c r="E470"/>
      <c r="CU470" s="27" t="s">
        <v>8</v>
      </c>
      <c r="CV470" s="27" t="s">
        <v>7</v>
      </c>
      <c r="CW470" s="27" t="s">
        <v>8</v>
      </c>
    </row>
    <row r="471" spans="1:101" x14ac:dyDescent="0.25">
      <c r="A471" s="7">
        <v>9.9453466295770188</v>
      </c>
      <c r="B471"/>
      <c r="C471"/>
      <c r="D471"/>
      <c r="E471"/>
      <c r="CU471" s="27" t="s">
        <v>8</v>
      </c>
      <c r="CV471" s="27" t="s">
        <v>7</v>
      </c>
    </row>
    <row r="472" spans="1:101" x14ac:dyDescent="0.25">
      <c r="A472" s="7">
        <v>9.7503398329186464</v>
      </c>
      <c r="B472"/>
      <c r="C472"/>
      <c r="D472"/>
      <c r="E472"/>
      <c r="CQ472" s="27" t="s">
        <v>8</v>
      </c>
      <c r="CU472" s="27" t="s">
        <v>8</v>
      </c>
    </row>
    <row r="473" spans="1:101" x14ac:dyDescent="0.25">
      <c r="A473" s="7">
        <v>9.5591566989398498</v>
      </c>
      <c r="B473"/>
      <c r="C473"/>
      <c r="D473"/>
      <c r="E473"/>
      <c r="CQ473" s="27" t="s">
        <v>8</v>
      </c>
      <c r="CR473" s="27" t="s">
        <v>7</v>
      </c>
      <c r="CU473" s="27" t="s">
        <v>8</v>
      </c>
    </row>
    <row r="474" spans="1:101" x14ac:dyDescent="0.25">
      <c r="A474" s="7">
        <v>9.3717222538625968</v>
      </c>
      <c r="B474"/>
      <c r="C474"/>
      <c r="D474"/>
      <c r="E474"/>
      <c r="CQ474" s="27" t="s">
        <v>8</v>
      </c>
      <c r="CR474" s="27" t="s">
        <v>7</v>
      </c>
      <c r="CS474" s="27" t="s">
        <v>8</v>
      </c>
      <c r="CU474" s="27" t="s">
        <v>8</v>
      </c>
    </row>
    <row r="475" spans="1:101" x14ac:dyDescent="0.25">
      <c r="A475" s="7">
        <v>9.1879629939829375</v>
      </c>
      <c r="B475"/>
      <c r="C475"/>
      <c r="D475"/>
      <c r="E475"/>
      <c r="CQ475" s="27" t="s">
        <v>8</v>
      </c>
      <c r="CR475" s="27" t="s">
        <v>7</v>
      </c>
      <c r="CS475" s="27" t="s">
        <v>8</v>
      </c>
      <c r="CT475" s="27" t="s">
        <v>7</v>
      </c>
      <c r="CU475" s="27" t="s">
        <v>8</v>
      </c>
    </row>
    <row r="476" spans="1:101" x14ac:dyDescent="0.25">
      <c r="A476" s="7">
        <v>9.0078068568460168</v>
      </c>
      <c r="B476"/>
      <c r="C476"/>
      <c r="D476"/>
      <c r="E476"/>
      <c r="CQ476" s="27" t="s">
        <v>8</v>
      </c>
      <c r="CR476" s="27" t="s">
        <v>7</v>
      </c>
      <c r="CS476" s="27" t="s">
        <v>8</v>
      </c>
      <c r="CT476" s="27" t="s">
        <v>7</v>
      </c>
      <c r="CU476" s="27" t="s">
        <v>8</v>
      </c>
    </row>
    <row r="477" spans="1:101" x14ac:dyDescent="0.25">
      <c r="A477" s="7">
        <v>8.8311831929862912</v>
      </c>
      <c r="B477"/>
      <c r="C477"/>
      <c r="D477"/>
      <c r="E477"/>
      <c r="CQ477" s="27" t="s">
        <v>8</v>
      </c>
      <c r="CR477" s="27" t="s">
        <v>7</v>
      </c>
      <c r="CS477" s="27" t="s">
        <v>8</v>
      </c>
      <c r="CT477" s="27" t="s">
        <v>7</v>
      </c>
      <c r="CU477" s="27" t="s">
        <v>8</v>
      </c>
    </row>
    <row r="478" spans="1:101" x14ac:dyDescent="0.25">
      <c r="A478" s="7">
        <v>8.6580227382218542</v>
      </c>
      <c r="B478"/>
      <c r="C478"/>
      <c r="D478"/>
      <c r="E478"/>
      <c r="CQ478" s="27" t="s">
        <v>8</v>
      </c>
      <c r="CR478" s="27" t="s">
        <v>7</v>
      </c>
      <c r="CT478" s="27" t="s">
        <v>7</v>
      </c>
      <c r="CU478" s="27" t="s">
        <v>8</v>
      </c>
    </row>
    <row r="479" spans="1:101" x14ac:dyDescent="0.25">
      <c r="A479" s="7">
        <v>8.4882575864920131</v>
      </c>
      <c r="B479"/>
      <c r="C479"/>
      <c r="D479"/>
      <c r="E479"/>
      <c r="CQ479" s="27" t="s">
        <v>8</v>
      </c>
      <c r="CT479" s="27" t="s">
        <v>7</v>
      </c>
      <c r="CU479" s="27" t="s">
        <v>8</v>
      </c>
    </row>
    <row r="480" spans="1:101" x14ac:dyDescent="0.25">
      <c r="A480" s="7">
        <v>8.3218211632274635</v>
      </c>
      <c r="B480"/>
      <c r="C480"/>
      <c r="D480"/>
      <c r="E480"/>
      <c r="CQ480" s="27" t="s">
        <v>8</v>
      </c>
      <c r="CT480" s="27" t="s">
        <v>7</v>
      </c>
      <c r="CU480" s="27" t="s">
        <v>8</v>
      </c>
    </row>
    <row r="481" spans="1:99" x14ac:dyDescent="0.25">
      <c r="A481" s="7">
        <v>8.1586481992426112</v>
      </c>
      <c r="B481"/>
      <c r="C481"/>
      <c r="D481"/>
      <c r="E481"/>
      <c r="CQ481" s="27" t="s">
        <v>8</v>
      </c>
      <c r="CT481" s="27" t="s">
        <v>7</v>
      </c>
      <c r="CU481" s="27" t="s">
        <v>8</v>
      </c>
    </row>
    <row r="482" spans="1:99" x14ac:dyDescent="0.25">
      <c r="A482" s="7">
        <v>7.9986747051398144</v>
      </c>
      <c r="B482"/>
      <c r="C482"/>
      <c r="D482"/>
      <c r="E482"/>
      <c r="CQ482" s="27" t="s">
        <v>8</v>
      </c>
      <c r="CT482" s="27" t="s">
        <v>7</v>
      </c>
      <c r="CU482" s="27" t="s">
        <v>8</v>
      </c>
    </row>
    <row r="483" spans="1:99" x14ac:dyDescent="0.25">
      <c r="A483" s="7">
        <v>7.8418379462155041</v>
      </c>
      <c r="B483"/>
      <c r="C483"/>
      <c r="D483"/>
      <c r="E483"/>
      <c r="CQ483" s="27" t="s">
        <v>8</v>
      </c>
      <c r="CT483" s="27" t="s">
        <v>7</v>
      </c>
      <c r="CU483" s="27" t="s">
        <v>8</v>
      </c>
    </row>
    <row r="484" spans="1:99" x14ac:dyDescent="0.25">
      <c r="A484" s="7">
        <v>7.688076417858337</v>
      </c>
      <c r="B484"/>
      <c r="C484"/>
      <c r="D484"/>
      <c r="E484"/>
      <c r="CQ484" s="27" t="s">
        <v>8</v>
      </c>
      <c r="CT484" s="27" t="s">
        <v>7</v>
      </c>
      <c r="CU484" s="27" t="s">
        <v>8</v>
      </c>
    </row>
    <row r="485" spans="1:99" x14ac:dyDescent="0.25">
      <c r="A485" s="7">
        <v>7.5373298214297417</v>
      </c>
      <c r="B485"/>
      <c r="C485"/>
      <c r="D485"/>
      <c r="E485"/>
      <c r="CQ485" s="27" t="s">
        <v>8</v>
      </c>
      <c r="CT485" s="27" t="s">
        <v>7</v>
      </c>
    </row>
    <row r="486" spans="1:99" x14ac:dyDescent="0.25">
      <c r="A486" s="7">
        <v>7.389539040617394</v>
      </c>
      <c r="B486"/>
      <c r="C486"/>
      <c r="D486"/>
      <c r="E486"/>
      <c r="CQ486" s="27" t="s">
        <v>8</v>
      </c>
    </row>
    <row r="487" spans="1:99" x14ac:dyDescent="0.25">
      <c r="A487" s="7">
        <v>7.2446461182523469</v>
      </c>
      <c r="B487"/>
      <c r="C487"/>
      <c r="D487"/>
      <c r="E487"/>
      <c r="CQ487" s="27" t="s">
        <v>8</v>
      </c>
    </row>
    <row r="488" spans="1:99" x14ac:dyDescent="0.25">
      <c r="A488" s="7">
        <v>7.1025942335807324</v>
      </c>
      <c r="B488"/>
      <c r="C488"/>
      <c r="D488"/>
      <c r="E488"/>
      <c r="CO488" s="27" t="s">
        <v>8</v>
      </c>
      <c r="CQ488" s="27" t="s">
        <v>8</v>
      </c>
    </row>
    <row r="489" spans="1:99" x14ac:dyDescent="0.25">
      <c r="A489" s="7">
        <v>6.9633276799811101</v>
      </c>
      <c r="B489"/>
      <c r="C489"/>
      <c r="D489"/>
      <c r="E489"/>
      <c r="CO489" s="27" t="s">
        <v>8</v>
      </c>
      <c r="CP489" s="27" t="s">
        <v>7</v>
      </c>
      <c r="CQ489" s="27" t="s">
        <v>8</v>
      </c>
    </row>
    <row r="490" spans="1:99" x14ac:dyDescent="0.25">
      <c r="A490" s="7">
        <v>6.8267918431187349</v>
      </c>
      <c r="B490"/>
      <c r="C490"/>
      <c r="D490"/>
      <c r="E490"/>
      <c r="CO490" s="27" t="s">
        <v>8</v>
      </c>
      <c r="CP490" s="27" t="s">
        <v>7</v>
      </c>
      <c r="CQ490" s="27" t="s">
        <v>8</v>
      </c>
    </row>
    <row r="491" spans="1:99" x14ac:dyDescent="0.25">
      <c r="A491" s="7">
        <v>6.692933179528171</v>
      </c>
      <c r="B491"/>
      <c r="C491"/>
      <c r="D491"/>
      <c r="E491"/>
      <c r="CO491" s="27" t="s">
        <v>8</v>
      </c>
      <c r="CP491" s="27" t="s">
        <v>7</v>
      </c>
      <c r="CQ491" s="27" t="s">
        <v>8</v>
      </c>
    </row>
    <row r="492" spans="1:99" x14ac:dyDescent="0.25">
      <c r="A492" s="7">
        <v>6.5616991956158541</v>
      </c>
      <c r="B492"/>
      <c r="C492"/>
      <c r="D492"/>
      <c r="E492"/>
      <c r="CO492" s="27" t="s">
        <v>8</v>
      </c>
      <c r="CP492" s="27" t="s">
        <v>7</v>
      </c>
      <c r="CQ492" s="27" t="s">
        <v>8</v>
      </c>
    </row>
    <row r="493" spans="1:99" x14ac:dyDescent="0.25">
      <c r="A493" s="7">
        <v>6.4330384270743668</v>
      </c>
      <c r="B493"/>
      <c r="C493"/>
      <c r="D493"/>
      <c r="E493"/>
      <c r="CO493" s="27" t="s">
        <v>8</v>
      </c>
      <c r="CP493" s="27" t="s">
        <v>7</v>
      </c>
      <c r="CQ493" s="27" t="s">
        <v>8</v>
      </c>
    </row>
    <row r="494" spans="1:99" x14ac:dyDescent="0.25">
      <c r="A494" s="7">
        <v>6.3069004187003594</v>
      </c>
      <c r="B494"/>
      <c r="C494"/>
      <c r="D494"/>
      <c r="E494"/>
      <c r="CO494" s="27" t="s">
        <v>8</v>
      </c>
      <c r="CP494" s="27" t="s">
        <v>7</v>
      </c>
      <c r="CQ494" s="27" t="s">
        <v>8</v>
      </c>
    </row>
    <row r="495" spans="1:99" x14ac:dyDescent="0.25">
      <c r="A495" s="7">
        <v>6.1832357046081956</v>
      </c>
      <c r="B495"/>
      <c r="C495"/>
      <c r="D495"/>
      <c r="E495"/>
      <c r="CO495" s="27" t="s">
        <v>8</v>
      </c>
      <c r="CP495" s="27" t="s">
        <v>7</v>
      </c>
      <c r="CQ495" s="27" t="s">
        <v>8</v>
      </c>
    </row>
    <row r="496" spans="1:99" x14ac:dyDescent="0.25">
      <c r="A496" s="7">
        <v>6.0619957888315641</v>
      </c>
      <c r="B496"/>
      <c r="C496"/>
      <c r="D496"/>
      <c r="E496"/>
      <c r="CO496" s="27" t="s">
        <v>8</v>
      </c>
      <c r="CP496" s="27" t="s">
        <v>7</v>
      </c>
      <c r="CQ496" s="27" t="s">
        <v>8</v>
      </c>
    </row>
    <row r="497" spans="1:95" x14ac:dyDescent="0.25">
      <c r="A497" s="7">
        <v>5.9431331263054545</v>
      </c>
      <c r="B497"/>
      <c r="C497"/>
      <c r="D497"/>
      <c r="E497"/>
      <c r="CO497" s="27" t="s">
        <v>8</v>
      </c>
      <c r="CP497" s="27" t="s">
        <v>7</v>
      </c>
      <c r="CQ497" s="27" t="s">
        <v>8</v>
      </c>
    </row>
    <row r="498" spans="1:95" x14ac:dyDescent="0.25">
      <c r="A498" s="7">
        <v>5.8266011042210337</v>
      </c>
      <c r="B498"/>
      <c r="C498"/>
      <c r="D498"/>
      <c r="E498"/>
      <c r="CO498" s="27" t="s">
        <v>8</v>
      </c>
      <c r="CP498" s="27" t="s">
        <v>7</v>
      </c>
      <c r="CQ498" s="27" t="s">
        <v>8</v>
      </c>
    </row>
    <row r="499" spans="1:95" x14ac:dyDescent="0.25">
      <c r="A499" s="7">
        <v>5.7123540237461112</v>
      </c>
      <c r="B499"/>
      <c r="C499"/>
      <c r="D499"/>
      <c r="E499"/>
      <c r="CO499" s="27" t="s">
        <v>8</v>
      </c>
      <c r="CP499" s="27" t="s">
        <v>7</v>
      </c>
    </row>
    <row r="500" spans="1:95" x14ac:dyDescent="0.25">
      <c r="A500" s="7">
        <v>5.6003470821040304</v>
      </c>
      <c r="B500"/>
      <c r="C500"/>
      <c r="D500"/>
      <c r="E500"/>
      <c r="CO500" s="27" t="s">
        <v>8</v>
      </c>
    </row>
    <row r="501" spans="1:95" x14ac:dyDescent="0.25">
      <c r="A501" s="7">
        <v>5.4905363550039512</v>
      </c>
      <c r="B501"/>
      <c r="C501"/>
      <c r="D501"/>
      <c r="E501"/>
      <c r="CO501" s="27" t="s">
        <v>8</v>
      </c>
    </row>
    <row r="502" spans="1:95" x14ac:dyDescent="0.25">
      <c r="A502" s="7">
        <v>5.3828787794156385</v>
      </c>
      <c r="B502"/>
      <c r="C502"/>
      <c r="D502"/>
      <c r="E502"/>
      <c r="CO502" s="27" t="s">
        <v>8</v>
      </c>
    </row>
    <row r="503" spans="1:95" x14ac:dyDescent="0.25">
      <c r="A503" s="7">
        <v>5.2773321366819985</v>
      </c>
      <c r="B503"/>
      <c r="C503"/>
      <c r="D503"/>
      <c r="E503"/>
      <c r="CO503" s="27" t="s">
        <v>8</v>
      </c>
    </row>
    <row r="504" spans="1:95" x14ac:dyDescent="0.25">
      <c r="A504" s="7">
        <v>5.1738550359627435</v>
      </c>
      <c r="B504"/>
      <c r="C504"/>
      <c r="D504"/>
      <c r="E504"/>
      <c r="CO504" s="27" t="s">
        <v>8</v>
      </c>
    </row>
    <row r="505" spans="1:95" x14ac:dyDescent="0.25">
      <c r="A505" s="7">
        <v>5.07240689800269</v>
      </c>
      <c r="B505"/>
      <c r="C505"/>
      <c r="D505"/>
      <c r="E505"/>
      <c r="CO505" s="27" t="s">
        <v>8</v>
      </c>
    </row>
    <row r="506" spans="1:95" x14ac:dyDescent="0.25">
      <c r="A506" s="7">
        <v>4.9729479392183231</v>
      </c>
      <c r="B506"/>
      <c r="C506"/>
      <c r="D506"/>
      <c r="E506"/>
      <c r="CO506" s="27" t="s">
        <v>8</v>
      </c>
    </row>
    <row r="507" spans="1:95" x14ac:dyDescent="0.25">
      <c r="A507" s="7">
        <v>4.8754391560963954</v>
      </c>
      <c r="B507"/>
      <c r="C507"/>
      <c r="D507"/>
      <c r="E507"/>
      <c r="O507" s="27" t="s">
        <v>8</v>
      </c>
      <c r="CO507" s="27" t="s">
        <v>8</v>
      </c>
    </row>
    <row r="508" spans="1:95" x14ac:dyDescent="0.25">
      <c r="A508" s="7">
        <v>4.7798423098984264</v>
      </c>
      <c r="B508"/>
      <c r="C508"/>
      <c r="D508"/>
      <c r="E508"/>
      <c r="O508" s="27" t="s">
        <v>8</v>
      </c>
      <c r="P508" s="27" t="s">
        <v>7</v>
      </c>
      <c r="CM508" s="27" t="s">
        <v>8</v>
      </c>
      <c r="CO508" s="27" t="s">
        <v>8</v>
      </c>
    </row>
    <row r="509" spans="1:95" x14ac:dyDescent="0.25">
      <c r="A509" s="7">
        <v>4.6861199116651235</v>
      </c>
      <c r="B509"/>
      <c r="C509"/>
      <c r="D509"/>
      <c r="E509"/>
      <c r="O509" s="27" t="s">
        <v>8</v>
      </c>
      <c r="P509" s="27" t="s">
        <v>7</v>
      </c>
      <c r="CM509" s="27" t="s">
        <v>8</v>
      </c>
      <c r="CN509" s="27" t="s">
        <v>7</v>
      </c>
      <c r="CO509" s="27" t="s">
        <v>8</v>
      </c>
    </row>
    <row r="510" spans="1:95" x14ac:dyDescent="0.25">
      <c r="A510" s="7">
        <v>4.5942352075148269</v>
      </c>
      <c r="B510"/>
      <c r="C510"/>
      <c r="D510"/>
      <c r="E510"/>
      <c r="O510" s="27" t="s">
        <v>8</v>
      </c>
      <c r="P510" s="27" t="s">
        <v>7</v>
      </c>
      <c r="CM510" s="27" t="s">
        <v>8</v>
      </c>
      <c r="CN510" s="27" t="s">
        <v>7</v>
      </c>
      <c r="CO510" s="27" t="s">
        <v>8</v>
      </c>
    </row>
    <row r="511" spans="1:95" x14ac:dyDescent="0.25">
      <c r="A511" s="7">
        <v>4.5041521642302227</v>
      </c>
      <c r="B511"/>
      <c r="C511"/>
      <c r="D511"/>
      <c r="E511"/>
      <c r="O511" s="27" t="s">
        <v>8</v>
      </c>
      <c r="P511" s="27" t="s">
        <v>7</v>
      </c>
      <c r="CM511" s="27" t="s">
        <v>8</v>
      </c>
      <c r="CN511" s="27" t="s">
        <v>7</v>
      </c>
      <c r="CO511" s="27" t="s">
        <v>8</v>
      </c>
    </row>
    <row r="512" spans="1:95" x14ac:dyDescent="0.25">
      <c r="A512" s="7">
        <v>4.4158354551276693</v>
      </c>
      <c r="B512"/>
      <c r="C512"/>
      <c r="D512"/>
      <c r="E512"/>
      <c r="O512" s="27" t="s">
        <v>8</v>
      </c>
      <c r="P512" s="27" t="s">
        <v>7</v>
      </c>
      <c r="CM512" s="27" t="s">
        <v>8</v>
      </c>
      <c r="CN512" s="27" t="s">
        <v>7</v>
      </c>
      <c r="CO512" s="27" t="s">
        <v>8</v>
      </c>
    </row>
    <row r="513" spans="1:93" x14ac:dyDescent="0.25">
      <c r="A513" s="7">
        <v>4.3292504462035977</v>
      </c>
      <c r="B513"/>
      <c r="C513"/>
      <c r="D513"/>
      <c r="E513"/>
      <c r="O513" s="27" t="s">
        <v>8</v>
      </c>
      <c r="P513" s="27" t="s">
        <v>7</v>
      </c>
      <c r="CM513" s="27" t="s">
        <v>8</v>
      </c>
      <c r="CN513" s="27" t="s">
        <v>7</v>
      </c>
      <c r="CO513" s="27" t="s">
        <v>8</v>
      </c>
    </row>
    <row r="514" spans="1:93" x14ac:dyDescent="0.25">
      <c r="A514" s="7">
        <v>4.2443631825525463</v>
      </c>
      <c r="B514"/>
      <c r="C514"/>
      <c r="D514"/>
      <c r="E514"/>
      <c r="M514" s="27" t="s">
        <v>8</v>
      </c>
      <c r="O514" s="27" t="s">
        <v>8</v>
      </c>
      <c r="P514" s="27" t="s">
        <v>7</v>
      </c>
      <c r="CM514" s="27" t="s">
        <v>8</v>
      </c>
      <c r="CN514" s="27" t="s">
        <v>7</v>
      </c>
      <c r="CO514" s="27" t="s">
        <v>8</v>
      </c>
    </row>
    <row r="515" spans="1:93" x14ac:dyDescent="0.25">
      <c r="A515" s="7">
        <v>4.1611403750515157</v>
      </c>
      <c r="B515"/>
      <c r="C515"/>
      <c r="D515"/>
      <c r="E515"/>
      <c r="M515" s="27" t="s">
        <v>8</v>
      </c>
      <c r="N515" s="27" t="s">
        <v>7</v>
      </c>
      <c r="O515" s="27" t="s">
        <v>8</v>
      </c>
      <c r="P515" s="27" t="s">
        <v>7</v>
      </c>
      <c r="CG515" s="27" t="s">
        <v>8</v>
      </c>
      <c r="CM515" s="27" t="s">
        <v>8</v>
      </c>
      <c r="CN515" s="27" t="s">
        <v>7</v>
      </c>
    </row>
    <row r="516" spans="1:93" x14ac:dyDescent="0.25">
      <c r="A516" s="7">
        <v>4.0795493873054074</v>
      </c>
      <c r="B516"/>
      <c r="C516"/>
      <c r="D516"/>
      <c r="E516" t="s">
        <v>8</v>
      </c>
      <c r="M516" s="27" t="s">
        <v>8</v>
      </c>
      <c r="N516" s="27" t="s">
        <v>7</v>
      </c>
      <c r="O516" s="27" t="s">
        <v>8</v>
      </c>
      <c r="P516" s="27" t="s">
        <v>7</v>
      </c>
      <c r="CG516" s="27" t="s">
        <v>8</v>
      </c>
      <c r="CH516" s="27" t="s">
        <v>7</v>
      </c>
      <c r="CI516" s="27" t="s">
        <v>8</v>
      </c>
      <c r="CM516" s="27" t="s">
        <v>8</v>
      </c>
    </row>
    <row r="517" spans="1:93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M517" s="27" t="s">
        <v>8</v>
      </c>
      <c r="N517" s="27" t="s">
        <v>7</v>
      </c>
      <c r="O517" s="27" t="s">
        <v>8</v>
      </c>
      <c r="P517" s="27" t="s">
        <v>7</v>
      </c>
      <c r="CG517" s="27" t="s">
        <v>8</v>
      </c>
      <c r="CH517" s="27" t="s">
        <v>7</v>
      </c>
      <c r="CI517" s="27" t="s">
        <v>8</v>
      </c>
      <c r="CJ517" s="27" t="s">
        <v>7</v>
      </c>
      <c r="CM517" s="27" t="s">
        <v>8</v>
      </c>
    </row>
    <row r="518" spans="1:93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M518" s="27" t="s">
        <v>8</v>
      </c>
      <c r="N518" s="27" t="s">
        <v>7</v>
      </c>
      <c r="O518" s="27" t="s">
        <v>8</v>
      </c>
      <c r="P518" s="27" t="s">
        <v>7</v>
      </c>
      <c r="CG518" s="27" t="s">
        <v>8</v>
      </c>
      <c r="CH518" s="27" t="s">
        <v>7</v>
      </c>
      <c r="CI518" s="27" t="s">
        <v>8</v>
      </c>
      <c r="CJ518" s="27" t="s">
        <v>7</v>
      </c>
      <c r="CK518" s="27" t="s">
        <v>8</v>
      </c>
      <c r="CM518" s="27" t="s">
        <v>8</v>
      </c>
    </row>
    <row r="519" spans="1:93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M519" s="27" t="s">
        <v>8</v>
      </c>
      <c r="N519" s="27" t="s">
        <v>7</v>
      </c>
      <c r="P519" s="27" t="s">
        <v>7</v>
      </c>
      <c r="S519" s="27" t="s">
        <v>8</v>
      </c>
      <c r="CE519" s="27" t="s">
        <v>8</v>
      </c>
      <c r="CG519" s="27" t="s">
        <v>8</v>
      </c>
      <c r="CH519" s="27" t="s">
        <v>7</v>
      </c>
      <c r="CI519" s="27" t="s">
        <v>8</v>
      </c>
      <c r="CJ519" s="27" t="s">
        <v>7</v>
      </c>
      <c r="CK519" s="27" t="s">
        <v>8</v>
      </c>
      <c r="CL519" s="27" t="s">
        <v>7</v>
      </c>
      <c r="CM519" s="27" t="s">
        <v>8</v>
      </c>
    </row>
    <row r="520" spans="1:93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M520" s="27" t="s">
        <v>8</v>
      </c>
      <c r="P520" s="27" t="s">
        <v>7</v>
      </c>
      <c r="S520" s="27" t="s">
        <v>8</v>
      </c>
      <c r="T520" s="27" t="s">
        <v>7</v>
      </c>
      <c r="CA520" s="27" t="s">
        <v>8</v>
      </c>
      <c r="CE520" s="27" t="s">
        <v>8</v>
      </c>
      <c r="CF520" s="27" t="s">
        <v>7</v>
      </c>
      <c r="CG520" s="27" t="s">
        <v>8</v>
      </c>
      <c r="CH520" s="27" t="s">
        <v>7</v>
      </c>
      <c r="CI520" s="27" t="s">
        <v>8</v>
      </c>
      <c r="CJ520" s="27" t="s">
        <v>7</v>
      </c>
      <c r="CK520" s="27" t="s">
        <v>8</v>
      </c>
      <c r="CL520" s="27" t="s">
        <v>7</v>
      </c>
      <c r="CM520" s="27" t="s">
        <v>8</v>
      </c>
    </row>
    <row r="521" spans="1:93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M521" s="27" t="s">
        <v>8</v>
      </c>
      <c r="P521" s="27" t="s">
        <v>7</v>
      </c>
      <c r="S521" s="27" t="s">
        <v>8</v>
      </c>
      <c r="T521" s="27" t="s">
        <v>7</v>
      </c>
      <c r="CA521" s="27" t="s">
        <v>8</v>
      </c>
      <c r="CB521" s="27" t="s">
        <v>7</v>
      </c>
      <c r="CC521" s="27" t="s">
        <v>8</v>
      </c>
      <c r="CE521" s="27" t="s">
        <v>8</v>
      </c>
      <c r="CF521" s="27" t="s">
        <v>7</v>
      </c>
      <c r="CG521" s="27" t="s">
        <v>8</v>
      </c>
      <c r="CH521" s="27" t="s">
        <v>7</v>
      </c>
      <c r="CI521" s="27" t="s">
        <v>8</v>
      </c>
      <c r="CJ521" s="27" t="s">
        <v>7</v>
      </c>
      <c r="CK521" s="27" t="s">
        <v>8</v>
      </c>
      <c r="CL521" s="27" t="s">
        <v>7</v>
      </c>
      <c r="CM521" s="27" t="s">
        <v>8</v>
      </c>
    </row>
    <row r="522" spans="1:93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M522" s="27" t="s">
        <v>8</v>
      </c>
      <c r="P522" s="27" t="s">
        <v>7</v>
      </c>
      <c r="S522" s="27" t="s">
        <v>8</v>
      </c>
      <c r="T522" s="27" t="s">
        <v>7</v>
      </c>
      <c r="CA522" s="27" t="s">
        <v>8</v>
      </c>
      <c r="CB522" s="27" t="s">
        <v>7</v>
      </c>
      <c r="CC522" s="27" t="s">
        <v>8</v>
      </c>
      <c r="CD522" s="27" t="s">
        <v>7</v>
      </c>
      <c r="CE522" s="27" t="s">
        <v>8</v>
      </c>
      <c r="CF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  <c r="CL522" s="27" t="s">
        <v>7</v>
      </c>
    </row>
    <row r="523" spans="1:93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K523" s="27" t="s">
        <v>8</v>
      </c>
      <c r="M523" s="27" t="s">
        <v>8</v>
      </c>
      <c r="P523" s="27" t="s">
        <v>7</v>
      </c>
      <c r="S523" s="27" t="s">
        <v>8</v>
      </c>
      <c r="T523" s="27" t="s">
        <v>7</v>
      </c>
      <c r="CA523" s="27" t="s">
        <v>8</v>
      </c>
      <c r="CB523" s="27" t="s">
        <v>7</v>
      </c>
      <c r="CC523" s="27" t="s">
        <v>8</v>
      </c>
      <c r="CD523" s="27" t="s">
        <v>7</v>
      </c>
      <c r="CE523" s="27" t="s">
        <v>8</v>
      </c>
      <c r="CF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</row>
    <row r="524" spans="1:93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K524" s="27" t="s">
        <v>8</v>
      </c>
      <c r="L524" s="27" t="s">
        <v>7</v>
      </c>
      <c r="M524" s="27" t="s">
        <v>8</v>
      </c>
      <c r="P524" s="27" t="s">
        <v>7</v>
      </c>
      <c r="S524" s="27" t="s">
        <v>8</v>
      </c>
      <c r="T524" s="27" t="s">
        <v>7</v>
      </c>
      <c r="W524" s="27" t="s">
        <v>8</v>
      </c>
      <c r="CA524" s="27" t="s">
        <v>8</v>
      </c>
      <c r="CB524" s="27" t="s">
        <v>7</v>
      </c>
      <c r="CC524" s="27" t="s">
        <v>8</v>
      </c>
      <c r="CD524" s="27" t="s">
        <v>7</v>
      </c>
      <c r="CE524" s="27" t="s">
        <v>8</v>
      </c>
      <c r="CF524" s="27" t="s">
        <v>7</v>
      </c>
      <c r="CG524" s="27" t="s">
        <v>8</v>
      </c>
      <c r="CH524" s="27" t="s">
        <v>7</v>
      </c>
      <c r="CI524" s="27" t="s">
        <v>8</v>
      </c>
    </row>
    <row r="525" spans="1:93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I525" s="27" t="s">
        <v>8</v>
      </c>
      <c r="K525" s="27" t="s">
        <v>8</v>
      </c>
      <c r="L525" s="27" t="s">
        <v>7</v>
      </c>
      <c r="M525" s="27" t="s">
        <v>8</v>
      </c>
      <c r="P525" s="27" t="s">
        <v>7</v>
      </c>
      <c r="S525" s="27" t="s">
        <v>8</v>
      </c>
      <c r="T525" s="27" t="s">
        <v>7</v>
      </c>
      <c r="U525" s="27" t="s">
        <v>8</v>
      </c>
      <c r="W525" s="27" t="s">
        <v>8</v>
      </c>
      <c r="X525" s="27" t="s">
        <v>7</v>
      </c>
      <c r="CA525" s="27" t="s">
        <v>8</v>
      </c>
      <c r="CB525" s="27" t="s">
        <v>7</v>
      </c>
      <c r="CC525" s="27" t="s">
        <v>8</v>
      </c>
      <c r="CD525" s="27" t="s">
        <v>7</v>
      </c>
      <c r="CE525" s="27" t="s">
        <v>8</v>
      </c>
      <c r="CF525" s="27" t="s">
        <v>7</v>
      </c>
      <c r="CG525" s="27" t="s">
        <v>8</v>
      </c>
      <c r="CH525" s="27" t="s">
        <v>7</v>
      </c>
      <c r="CI525" s="27" t="s">
        <v>8</v>
      </c>
    </row>
    <row r="526" spans="1:93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I526" s="27" t="s">
        <v>8</v>
      </c>
      <c r="J526" s="27" t="s">
        <v>7</v>
      </c>
      <c r="K526" s="27" t="s">
        <v>8</v>
      </c>
      <c r="L526" s="27" t="s">
        <v>7</v>
      </c>
      <c r="M526" s="27" t="s">
        <v>8</v>
      </c>
      <c r="P526" s="27" t="s">
        <v>7</v>
      </c>
      <c r="S526" s="27" t="s">
        <v>8</v>
      </c>
      <c r="T526" s="27" t="s">
        <v>7</v>
      </c>
      <c r="U526" s="27" t="s">
        <v>8</v>
      </c>
      <c r="V526" s="27" t="s">
        <v>7</v>
      </c>
      <c r="W526" s="27" t="s">
        <v>8</v>
      </c>
      <c r="X526" s="27" t="s">
        <v>7</v>
      </c>
      <c r="CA526" s="27" t="s">
        <v>8</v>
      </c>
      <c r="CB526" s="27" t="s">
        <v>7</v>
      </c>
      <c r="CC526" s="27" t="s">
        <v>8</v>
      </c>
      <c r="CD526" s="27" t="s">
        <v>7</v>
      </c>
      <c r="CE526" s="27" t="s">
        <v>8</v>
      </c>
      <c r="CF526" s="27" t="s">
        <v>7</v>
      </c>
      <c r="CG526" s="27" t="s">
        <v>8</v>
      </c>
      <c r="CH526" s="27" t="s">
        <v>7</v>
      </c>
      <c r="CI526" s="27" t="s">
        <v>8</v>
      </c>
    </row>
    <row r="527" spans="1:93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I527" s="27" t="s">
        <v>8</v>
      </c>
      <c r="J527" s="27" t="s">
        <v>7</v>
      </c>
      <c r="K527" s="27" t="s">
        <v>8</v>
      </c>
      <c r="L527" s="27" t="s">
        <v>7</v>
      </c>
      <c r="M527" s="27" t="s">
        <v>8</v>
      </c>
      <c r="P527" s="27" t="s">
        <v>7</v>
      </c>
      <c r="S527" s="27" t="s">
        <v>8</v>
      </c>
      <c r="T527" s="27" t="s">
        <v>7</v>
      </c>
      <c r="U527" s="27" t="s">
        <v>8</v>
      </c>
      <c r="V527" s="27" t="s">
        <v>7</v>
      </c>
      <c r="W527" s="27" t="s">
        <v>8</v>
      </c>
      <c r="X527" s="27" t="s">
        <v>7</v>
      </c>
      <c r="CA527" s="27" t="s">
        <v>8</v>
      </c>
      <c r="CB527" s="27" t="s">
        <v>7</v>
      </c>
      <c r="CC527" s="27" t="s">
        <v>8</v>
      </c>
      <c r="CD527" s="27" t="s">
        <v>7</v>
      </c>
      <c r="CE527" s="27" t="s">
        <v>8</v>
      </c>
      <c r="CF527" s="27" t="s">
        <v>7</v>
      </c>
      <c r="CG527" s="27" t="s">
        <v>8</v>
      </c>
      <c r="CH527" s="27" t="s">
        <v>7</v>
      </c>
      <c r="CI527" s="27" t="s">
        <v>8</v>
      </c>
    </row>
    <row r="528" spans="1:93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M528" s="27" t="s">
        <v>8</v>
      </c>
      <c r="P528" s="27" t="s">
        <v>7</v>
      </c>
      <c r="S528" s="27" t="s">
        <v>8</v>
      </c>
      <c r="T528" s="27" t="s">
        <v>7</v>
      </c>
      <c r="U528" s="27" t="s">
        <v>8</v>
      </c>
      <c r="V528" s="27" t="s">
        <v>7</v>
      </c>
      <c r="W528" s="27" t="s">
        <v>8</v>
      </c>
      <c r="X528" s="27" t="s">
        <v>7</v>
      </c>
      <c r="Y528" s="27" t="s">
        <v>8</v>
      </c>
      <c r="AA528" s="27" t="s">
        <v>8</v>
      </c>
      <c r="AC528" s="27" t="s">
        <v>8</v>
      </c>
      <c r="CA528" s="27" t="s">
        <v>8</v>
      </c>
      <c r="CB528" s="27" t="s">
        <v>7</v>
      </c>
      <c r="CC528" s="27" t="s">
        <v>8</v>
      </c>
      <c r="CD528" s="27" t="s">
        <v>7</v>
      </c>
      <c r="CE528" s="27" t="s">
        <v>8</v>
      </c>
      <c r="CF528" s="27" t="s">
        <v>7</v>
      </c>
      <c r="CG528" s="27" t="s">
        <v>8</v>
      </c>
      <c r="CH528" s="27" t="s">
        <v>7</v>
      </c>
      <c r="CI528" s="27" t="s">
        <v>8</v>
      </c>
    </row>
    <row r="529" spans="1:87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H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M529" s="27" t="s">
        <v>8</v>
      </c>
      <c r="P529" s="27" t="s">
        <v>7</v>
      </c>
      <c r="Q529" s="27" t="s">
        <v>8</v>
      </c>
      <c r="S529" s="27" t="s">
        <v>8</v>
      </c>
      <c r="T529" s="27" t="s">
        <v>7</v>
      </c>
      <c r="U529" s="27" t="s">
        <v>8</v>
      </c>
      <c r="V529" s="27" t="s">
        <v>7</v>
      </c>
      <c r="W529" s="27" t="s">
        <v>8</v>
      </c>
      <c r="X529" s="27" t="s">
        <v>7</v>
      </c>
      <c r="Y529" s="27" t="s">
        <v>8</v>
      </c>
      <c r="Z529" s="27" t="s">
        <v>7</v>
      </c>
      <c r="AA529" s="27" t="s">
        <v>8</v>
      </c>
      <c r="AB529" s="27" t="s">
        <v>7</v>
      </c>
      <c r="AC529" s="27" t="s">
        <v>8</v>
      </c>
      <c r="AD529" s="27" t="s">
        <v>7</v>
      </c>
      <c r="CA529" s="27" t="s">
        <v>8</v>
      </c>
      <c r="CB529" s="27" t="s">
        <v>7</v>
      </c>
      <c r="CC529" s="27" t="s">
        <v>8</v>
      </c>
      <c r="CD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I529" s="27" t="s">
        <v>8</v>
      </c>
    </row>
    <row r="530" spans="1:87" x14ac:dyDescent="0.25">
      <c r="A530" s="7">
        <v>3.0917885922132262</v>
      </c>
      <c r="B530"/>
      <c r="C530"/>
      <c r="D530"/>
      <c r="E530" t="s">
        <v>8</v>
      </c>
      <c r="H530" s="27" t="s">
        <v>7</v>
      </c>
      <c r="I530" s="27" t="s">
        <v>8</v>
      </c>
      <c r="J530" s="27" t="s">
        <v>7</v>
      </c>
      <c r="K530" s="27" t="s">
        <v>8</v>
      </c>
      <c r="L530" s="27" t="s">
        <v>7</v>
      </c>
      <c r="M530" s="27" t="s">
        <v>8</v>
      </c>
      <c r="P530" s="27" t="s">
        <v>7</v>
      </c>
      <c r="Q530" s="27" t="s">
        <v>8</v>
      </c>
      <c r="R530" s="27" t="s">
        <v>7</v>
      </c>
      <c r="S530" s="27" t="s">
        <v>8</v>
      </c>
      <c r="T530" s="27" t="s">
        <v>7</v>
      </c>
      <c r="V530" s="27" t="s">
        <v>7</v>
      </c>
      <c r="W530" s="27" t="s">
        <v>8</v>
      </c>
      <c r="X530" s="27" t="s">
        <v>7</v>
      </c>
      <c r="Y530" s="27" t="s">
        <v>8</v>
      </c>
      <c r="Z530" s="27" t="s">
        <v>7</v>
      </c>
      <c r="AA530" s="27" t="s">
        <v>8</v>
      </c>
      <c r="AB530" s="27" t="s">
        <v>7</v>
      </c>
      <c r="AC530" s="27" t="s">
        <v>8</v>
      </c>
      <c r="AD530" s="27" t="s">
        <v>7</v>
      </c>
      <c r="CA530" s="27" t="s">
        <v>8</v>
      </c>
      <c r="CB530" s="27" t="s">
        <v>7</v>
      </c>
      <c r="CC530" s="27" t="s">
        <v>8</v>
      </c>
      <c r="CD530" s="27" t="s">
        <v>7</v>
      </c>
      <c r="CE530" s="27" t="s">
        <v>8</v>
      </c>
      <c r="CF530" s="27" t="s">
        <v>7</v>
      </c>
      <c r="CG530" s="27" t="s">
        <v>8</v>
      </c>
      <c r="CH530" s="27" t="s">
        <v>7</v>
      </c>
      <c r="CI530" s="27" t="s">
        <v>8</v>
      </c>
    </row>
    <row r="531" spans="1:87" x14ac:dyDescent="0.25">
      <c r="A531" s="7">
        <v>3.0311652864835552</v>
      </c>
      <c r="B531"/>
      <c r="C531"/>
      <c r="D531"/>
      <c r="E531" t="s">
        <v>8</v>
      </c>
      <c r="H531" s="27" t="s">
        <v>7</v>
      </c>
      <c r="I531" s="27" t="s">
        <v>8</v>
      </c>
      <c r="J531" s="27" t="s">
        <v>7</v>
      </c>
      <c r="K531" s="27" t="s">
        <v>8</v>
      </c>
      <c r="L531" s="27" t="s">
        <v>7</v>
      </c>
      <c r="P531" s="27" t="s">
        <v>7</v>
      </c>
      <c r="Q531" s="27" t="s">
        <v>8</v>
      </c>
      <c r="R531" s="27" t="s">
        <v>7</v>
      </c>
      <c r="S531" s="27" t="s">
        <v>8</v>
      </c>
      <c r="V531" s="27" t="s">
        <v>7</v>
      </c>
      <c r="X531" s="27" t="s">
        <v>7</v>
      </c>
      <c r="Y531" s="27" t="s">
        <v>8</v>
      </c>
      <c r="Z531" s="27" t="s">
        <v>7</v>
      </c>
      <c r="AA531" s="27" t="s">
        <v>8</v>
      </c>
      <c r="AB531" s="27" t="s">
        <v>7</v>
      </c>
      <c r="AC531" s="27" t="s">
        <v>8</v>
      </c>
      <c r="AD531" s="27" t="s">
        <v>7</v>
      </c>
      <c r="CA531" s="27" t="s">
        <v>8</v>
      </c>
      <c r="CB531" s="27" t="s">
        <v>7</v>
      </c>
      <c r="CC531" s="27" t="s">
        <v>8</v>
      </c>
      <c r="CD531" s="27" t="s">
        <v>7</v>
      </c>
      <c r="CE531" s="27" t="s">
        <v>8</v>
      </c>
      <c r="CF531" s="27" t="s">
        <v>7</v>
      </c>
      <c r="CG531" s="27" t="s">
        <v>8</v>
      </c>
      <c r="CH531" s="27" t="s">
        <v>7</v>
      </c>
      <c r="CI531" s="27" t="s">
        <v>8</v>
      </c>
    </row>
    <row r="532" spans="1:87" x14ac:dyDescent="0.25">
      <c r="A532" s="7">
        <v>2.9717306730230932</v>
      </c>
      <c r="B532"/>
      <c r="C532"/>
      <c r="D532"/>
      <c r="E532" t="s">
        <v>8</v>
      </c>
      <c r="H532" s="27" t="s">
        <v>7</v>
      </c>
      <c r="I532" s="27" t="s">
        <v>8</v>
      </c>
      <c r="J532" s="27" t="s">
        <v>7</v>
      </c>
      <c r="K532" s="27" t="s">
        <v>8</v>
      </c>
      <c r="P532" s="27" t="s">
        <v>7</v>
      </c>
      <c r="Q532" s="27" t="s">
        <v>8</v>
      </c>
      <c r="R532" s="27" t="s">
        <v>7</v>
      </c>
      <c r="S532" s="27" t="s">
        <v>8</v>
      </c>
      <c r="X532" s="27" t="s">
        <v>7</v>
      </c>
      <c r="Y532" s="27" t="s">
        <v>8</v>
      </c>
      <c r="Z532" s="27" t="s">
        <v>7</v>
      </c>
      <c r="AA532" s="27" t="s">
        <v>8</v>
      </c>
      <c r="AB532" s="27" t="s">
        <v>7</v>
      </c>
      <c r="AC532" s="27" t="s">
        <v>8</v>
      </c>
      <c r="AD532" s="27" t="s">
        <v>7</v>
      </c>
      <c r="CA532" s="27" t="s">
        <v>8</v>
      </c>
      <c r="CB532" s="27" t="s">
        <v>7</v>
      </c>
      <c r="CD532" s="27" t="s">
        <v>7</v>
      </c>
      <c r="CE532" s="27" t="s">
        <v>8</v>
      </c>
      <c r="CF532" s="27" t="s">
        <v>7</v>
      </c>
      <c r="CH532" s="27" t="s">
        <v>7</v>
      </c>
      <c r="CI532" s="27" t="s">
        <v>8</v>
      </c>
    </row>
    <row r="533" spans="1:87" x14ac:dyDescent="0.25">
      <c r="A533" s="7">
        <v>2.9134614441402875</v>
      </c>
      <c r="B533"/>
      <c r="C533"/>
      <c r="D533"/>
      <c r="E533" t="s">
        <v>8</v>
      </c>
      <c r="H533" s="27" t="s">
        <v>7</v>
      </c>
      <c r="I533" s="27" t="s">
        <v>8</v>
      </c>
      <c r="J533" s="27" t="s">
        <v>7</v>
      </c>
      <c r="K533" s="27" t="s">
        <v>8</v>
      </c>
      <c r="P533" s="27" t="s">
        <v>7</v>
      </c>
      <c r="Q533" s="27" t="s">
        <v>8</v>
      </c>
      <c r="R533" s="27" t="s">
        <v>7</v>
      </c>
      <c r="S533" s="27" t="s">
        <v>8</v>
      </c>
      <c r="X533" s="27" t="s">
        <v>7</v>
      </c>
      <c r="Y533" s="27" t="s">
        <v>8</v>
      </c>
      <c r="Z533" s="27" t="s">
        <v>7</v>
      </c>
      <c r="AA533" s="27" t="s">
        <v>8</v>
      </c>
      <c r="AB533" s="27" t="s">
        <v>7</v>
      </c>
      <c r="AD533" s="27" t="s">
        <v>7</v>
      </c>
      <c r="CA533" s="27" t="s">
        <v>8</v>
      </c>
      <c r="CD533" s="27" t="s">
        <v>7</v>
      </c>
      <c r="CE533" s="27" t="s">
        <v>8</v>
      </c>
      <c r="CH533" s="27" t="s">
        <v>7</v>
      </c>
      <c r="CI533" s="27" t="s">
        <v>8</v>
      </c>
    </row>
    <row r="534" spans="1:87" x14ac:dyDescent="0.25">
      <c r="A534" s="7">
        <v>2.8563347491571447</v>
      </c>
      <c r="B534"/>
      <c r="C534"/>
      <c r="D534"/>
      <c r="E534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P534" s="27" t="s">
        <v>7</v>
      </c>
      <c r="Q534" s="27" t="s">
        <v>8</v>
      </c>
      <c r="R534" s="27" t="s">
        <v>7</v>
      </c>
      <c r="S534" s="27" t="s">
        <v>8</v>
      </c>
      <c r="X534" s="27" t="s">
        <v>7</v>
      </c>
      <c r="Y534" s="27" t="s">
        <v>8</v>
      </c>
      <c r="Z534" s="27" t="s">
        <v>7</v>
      </c>
      <c r="AA534" s="27" t="s">
        <v>8</v>
      </c>
      <c r="AD534" s="27" t="s">
        <v>7</v>
      </c>
      <c r="CA534" s="27" t="s">
        <v>8</v>
      </c>
      <c r="CD534" s="27" t="s">
        <v>7</v>
      </c>
      <c r="CE534" s="27" t="s">
        <v>8</v>
      </c>
      <c r="CH534" s="27" t="s">
        <v>7</v>
      </c>
      <c r="CI534" s="27" t="s">
        <v>8</v>
      </c>
    </row>
    <row r="535" spans="1:87" x14ac:dyDescent="0.25">
      <c r="A535" s="7">
        <v>2.8003281854481812</v>
      </c>
      <c r="B535"/>
      <c r="C535"/>
      <c r="D535"/>
      <c r="E535" t="s">
        <v>8</v>
      </c>
      <c r="H535" s="27" t="s">
        <v>7</v>
      </c>
      <c r="J535" s="27" t="s">
        <v>7</v>
      </c>
      <c r="K535" s="27" t="s">
        <v>8</v>
      </c>
      <c r="P535" s="27" t="s">
        <v>7</v>
      </c>
      <c r="Q535" s="27" t="s">
        <v>8</v>
      </c>
      <c r="R535" s="27" t="s">
        <v>7</v>
      </c>
      <c r="S535" s="27" t="s">
        <v>8</v>
      </c>
      <c r="X535" s="27" t="s">
        <v>7</v>
      </c>
      <c r="Y535" s="27" t="s">
        <v>8</v>
      </c>
      <c r="Z535" s="27" t="s">
        <v>7</v>
      </c>
      <c r="AA535" s="27" t="s">
        <v>8</v>
      </c>
      <c r="AD535" s="27" t="s">
        <v>7</v>
      </c>
      <c r="CA535" s="27" t="s">
        <v>8</v>
      </c>
      <c r="CD535" s="27" t="s">
        <v>7</v>
      </c>
      <c r="CE535" s="27" t="s">
        <v>8</v>
      </c>
      <c r="CH535" s="27" t="s">
        <v>7</v>
      </c>
      <c r="CI535" s="27" t="s">
        <v>8</v>
      </c>
    </row>
    <row r="536" spans="1:87" x14ac:dyDescent="0.25">
      <c r="A536" s="7">
        <v>2.7454197896550796</v>
      </c>
      <c r="B536"/>
      <c r="C536"/>
      <c r="D536"/>
      <c r="E536" t="s">
        <v>8</v>
      </c>
      <c r="J536" s="27" t="s">
        <v>7</v>
      </c>
      <c r="P536" s="27" t="s">
        <v>7</v>
      </c>
      <c r="Q536" s="27" t="s">
        <v>8</v>
      </c>
      <c r="R536" s="27" t="s">
        <v>7</v>
      </c>
      <c r="S536" s="27" t="s">
        <v>8</v>
      </c>
      <c r="X536" s="27" t="s">
        <v>7</v>
      </c>
      <c r="Y536" s="27" t="s">
        <v>8</v>
      </c>
      <c r="Z536" s="27" t="s">
        <v>7</v>
      </c>
      <c r="AA536" s="27" t="s">
        <v>8</v>
      </c>
      <c r="AD536" s="27" t="s">
        <v>7</v>
      </c>
      <c r="CA536" s="27" t="s">
        <v>8</v>
      </c>
      <c r="CD536" s="27" t="s">
        <v>7</v>
      </c>
      <c r="CE536" s="27" t="s">
        <v>8</v>
      </c>
      <c r="CH536" s="27" t="s">
        <v>7</v>
      </c>
      <c r="CI536" s="27" t="s">
        <v>8</v>
      </c>
    </row>
    <row r="537" spans="1:87" x14ac:dyDescent="0.25">
      <c r="A537" s="7">
        <v>2.6915880290736074</v>
      </c>
      <c r="B537"/>
      <c r="C537"/>
      <c r="D537"/>
      <c r="E537" t="s">
        <v>8</v>
      </c>
      <c r="P537" s="27" t="s">
        <v>7</v>
      </c>
      <c r="Q537" s="27" t="s">
        <v>8</v>
      </c>
      <c r="R537" s="27" t="s">
        <v>7</v>
      </c>
      <c r="S537" s="27" t="s">
        <v>8</v>
      </c>
      <c r="X537" s="27" t="s">
        <v>7</v>
      </c>
      <c r="Y537" s="27" t="s">
        <v>8</v>
      </c>
      <c r="Z537" s="27" t="s">
        <v>7</v>
      </c>
      <c r="AA537" s="27" t="s">
        <v>8</v>
      </c>
      <c r="AD537" s="27" t="s">
        <v>7</v>
      </c>
      <c r="AK537" s="27" t="s">
        <v>8</v>
      </c>
      <c r="CA537" s="27" t="s">
        <v>8</v>
      </c>
      <c r="CD537" s="27" t="s">
        <v>7</v>
      </c>
      <c r="CE537" s="27" t="s">
        <v>8</v>
      </c>
      <c r="CH537" s="27" t="s">
        <v>7</v>
      </c>
      <c r="CI537" s="27" t="s">
        <v>8</v>
      </c>
    </row>
    <row r="538" spans="1:87" x14ac:dyDescent="0.25">
      <c r="A538" s="7">
        <v>2.6388117932094191</v>
      </c>
      <c r="B538"/>
      <c r="C538"/>
      <c r="D538"/>
      <c r="E538" t="s">
        <v>8</v>
      </c>
      <c r="P538" s="27" t="s">
        <v>7</v>
      </c>
      <c r="Q538" s="27" t="s">
        <v>8</v>
      </c>
      <c r="R538" s="27" t="s">
        <v>7</v>
      </c>
      <c r="S538" s="27" t="s">
        <v>8</v>
      </c>
      <c r="X538" s="27" t="s">
        <v>7</v>
      </c>
      <c r="Y538" s="27" t="s">
        <v>8</v>
      </c>
      <c r="Z538" s="27" t="s">
        <v>7</v>
      </c>
      <c r="AA538" s="27" t="s">
        <v>8</v>
      </c>
      <c r="AD538" s="27" t="s">
        <v>7</v>
      </c>
      <c r="AE538" s="27" t="s">
        <v>8</v>
      </c>
      <c r="AG538" s="27" t="s">
        <v>8</v>
      </c>
      <c r="AK538" s="27" t="s">
        <v>8</v>
      </c>
      <c r="AL538" s="27" t="s">
        <v>7</v>
      </c>
      <c r="CA538" s="27" t="s">
        <v>8</v>
      </c>
      <c r="CD538" s="27" t="s">
        <v>7</v>
      </c>
      <c r="CE538" s="27" t="s">
        <v>8</v>
      </c>
      <c r="CH538" s="27" t="s">
        <v>7</v>
      </c>
      <c r="CI538" s="27" t="s">
        <v>8</v>
      </c>
    </row>
    <row r="539" spans="1:87" x14ac:dyDescent="0.25">
      <c r="A539" s="7">
        <v>2.5870703854994304</v>
      </c>
      <c r="B539"/>
      <c r="C539"/>
      <c r="D539"/>
      <c r="E539" t="s">
        <v>8</v>
      </c>
      <c r="P539" s="27" t="s">
        <v>7</v>
      </c>
      <c r="Q539" s="27" t="s">
        <v>8</v>
      </c>
      <c r="R539" s="27" t="s">
        <v>7</v>
      </c>
      <c r="S539" s="27" t="s">
        <v>8</v>
      </c>
      <c r="X539" s="27" t="s">
        <v>7</v>
      </c>
      <c r="Y539" s="27" t="s">
        <v>8</v>
      </c>
      <c r="Z539" s="27" t="s">
        <v>7</v>
      </c>
      <c r="AA539" s="27" t="s">
        <v>8</v>
      </c>
      <c r="AD539" s="27" t="s">
        <v>7</v>
      </c>
      <c r="AE539" s="27" t="s">
        <v>8</v>
      </c>
      <c r="AF539" s="27" t="s">
        <v>7</v>
      </c>
      <c r="AG539" s="27" t="s">
        <v>8</v>
      </c>
      <c r="AH539" s="27" t="s">
        <v>7</v>
      </c>
      <c r="AI539" s="27" t="s">
        <v>8</v>
      </c>
      <c r="AK539" s="27" t="s">
        <v>8</v>
      </c>
      <c r="AL539" s="27" t="s">
        <v>7</v>
      </c>
      <c r="CA539" s="27" t="s">
        <v>8</v>
      </c>
      <c r="CD539" s="27" t="s">
        <v>7</v>
      </c>
      <c r="CH539" s="27" t="s">
        <v>7</v>
      </c>
      <c r="CI539" s="27" t="s">
        <v>8</v>
      </c>
    </row>
    <row r="540" spans="1:87" x14ac:dyDescent="0.25">
      <c r="A540" s="7">
        <v>2.53634351519552</v>
      </c>
      <c r="B540"/>
      <c r="C540"/>
      <c r="D540"/>
      <c r="E540" t="s">
        <v>8</v>
      </c>
      <c r="P540" s="27" t="s">
        <v>7</v>
      </c>
      <c r="Q540" s="27" t="s">
        <v>8</v>
      </c>
      <c r="R540" s="27" t="s">
        <v>7</v>
      </c>
      <c r="S540" s="27" t="s">
        <v>8</v>
      </c>
      <c r="X540" s="27" t="s">
        <v>7</v>
      </c>
      <c r="Y540" s="27" t="s">
        <v>8</v>
      </c>
      <c r="Z540" s="27" t="s">
        <v>7</v>
      </c>
      <c r="AA540" s="27" t="s">
        <v>8</v>
      </c>
      <c r="AD540" s="27" t="s">
        <v>7</v>
      </c>
      <c r="AE540" s="27" t="s">
        <v>8</v>
      </c>
      <c r="AF540" s="27" t="s">
        <v>7</v>
      </c>
      <c r="AG540" s="27" t="s">
        <v>8</v>
      </c>
      <c r="AH540" s="27" t="s">
        <v>7</v>
      </c>
      <c r="AI540" s="27" t="s">
        <v>8</v>
      </c>
      <c r="AJ540" s="27" t="s">
        <v>7</v>
      </c>
      <c r="AK540" s="27" t="s">
        <v>8</v>
      </c>
      <c r="AL540" s="27" t="s">
        <v>7</v>
      </c>
      <c r="CA540" s="27" t="s">
        <v>8</v>
      </c>
      <c r="CH540" s="27" t="s">
        <v>7</v>
      </c>
    </row>
    <row r="541" spans="1:87" x14ac:dyDescent="0.25">
      <c r="A541" s="7">
        <v>2.4866112894073726</v>
      </c>
      <c r="B541"/>
      <c r="C541"/>
      <c r="D541"/>
      <c r="E541" t="s">
        <v>8</v>
      </c>
      <c r="P541" s="27" t="s">
        <v>7</v>
      </c>
      <c r="Q541" s="27" t="s">
        <v>8</v>
      </c>
      <c r="R541" s="27" t="s">
        <v>7</v>
      </c>
      <c r="S541" s="27" t="s">
        <v>8</v>
      </c>
      <c r="X541" s="27" t="s">
        <v>7</v>
      </c>
      <c r="Y541" s="27" t="s">
        <v>8</v>
      </c>
      <c r="Z541" s="27" t="s">
        <v>7</v>
      </c>
      <c r="AD541" s="27" t="s">
        <v>7</v>
      </c>
      <c r="AE541" s="27" t="s">
        <v>8</v>
      </c>
      <c r="AF541" s="27" t="s">
        <v>7</v>
      </c>
      <c r="AG541" s="27" t="s">
        <v>8</v>
      </c>
      <c r="AH541" s="27" t="s">
        <v>7</v>
      </c>
      <c r="AI541" s="27" t="s">
        <v>8</v>
      </c>
      <c r="AJ541" s="27" t="s">
        <v>7</v>
      </c>
      <c r="AK541" s="27" t="s">
        <v>8</v>
      </c>
      <c r="AL541" s="27" t="s">
        <v>7</v>
      </c>
      <c r="AS541" s="27" t="s">
        <v>8</v>
      </c>
      <c r="BA541" s="27" t="s">
        <v>8</v>
      </c>
      <c r="BC541" s="27" t="s">
        <v>8</v>
      </c>
      <c r="BY541" s="27" t="s">
        <v>8</v>
      </c>
      <c r="CA541" s="27" t="s">
        <v>8</v>
      </c>
    </row>
    <row r="542" spans="1:87" x14ac:dyDescent="0.25">
      <c r="A542" s="7">
        <v>2.4378542053013459</v>
      </c>
      <c r="B542"/>
      <c r="C542"/>
      <c r="D542"/>
      <c r="E542" t="s">
        <v>8</v>
      </c>
      <c r="P542" s="27" t="s">
        <v>7</v>
      </c>
      <c r="Q542" s="27" t="s">
        <v>8</v>
      </c>
      <c r="R542" s="27" t="s">
        <v>7</v>
      </c>
      <c r="S542" s="27" t="s">
        <v>8</v>
      </c>
      <c r="X542" s="27" t="s">
        <v>7</v>
      </c>
      <c r="Y542" s="27" t="s">
        <v>8</v>
      </c>
      <c r="AD542" s="27" t="s">
        <v>7</v>
      </c>
      <c r="AF542" s="27" t="s">
        <v>7</v>
      </c>
      <c r="AH542" s="27" t="s">
        <v>7</v>
      </c>
      <c r="AI542" s="27" t="s">
        <v>8</v>
      </c>
      <c r="AJ542" s="27" t="s">
        <v>7</v>
      </c>
      <c r="AK542" s="27" t="s">
        <v>8</v>
      </c>
      <c r="AL542" s="27" t="s">
        <v>7</v>
      </c>
      <c r="AS542" s="27" t="s">
        <v>8</v>
      </c>
      <c r="AT542" s="27" t="s">
        <v>7</v>
      </c>
      <c r="BA542" s="27" t="s">
        <v>8</v>
      </c>
      <c r="BB542" s="27" t="s">
        <v>7</v>
      </c>
      <c r="BC542" s="27" t="s">
        <v>8</v>
      </c>
      <c r="BD542" s="27" t="s">
        <v>7</v>
      </c>
      <c r="BY542" s="27" t="s">
        <v>8</v>
      </c>
      <c r="BZ542" s="27" t="s">
        <v>7</v>
      </c>
      <c r="CA542" s="27" t="s">
        <v>8</v>
      </c>
    </row>
    <row r="543" spans="1:87" x14ac:dyDescent="0.25">
      <c r="A543" s="7">
        <v>2.3900531424522997</v>
      </c>
      <c r="B543"/>
      <c r="C543"/>
      <c r="D543"/>
      <c r="E543" t="s">
        <v>8</v>
      </c>
      <c r="P543" s="27" t="s">
        <v>7</v>
      </c>
      <c r="Q543" s="27" t="s">
        <v>8</v>
      </c>
      <c r="R543" s="27" t="s">
        <v>7</v>
      </c>
      <c r="X543" s="27" t="s">
        <v>7</v>
      </c>
      <c r="AH543" s="27" t="s">
        <v>7</v>
      </c>
      <c r="AI543" s="27" t="s">
        <v>8</v>
      </c>
      <c r="AJ543" s="27" t="s">
        <v>7</v>
      </c>
      <c r="AK543" s="27" t="s">
        <v>8</v>
      </c>
      <c r="AL543" s="27" t="s">
        <v>7</v>
      </c>
      <c r="AS543" s="27" t="s">
        <v>8</v>
      </c>
      <c r="AT543" s="27" t="s">
        <v>7</v>
      </c>
      <c r="BA543" s="27" t="s">
        <v>8</v>
      </c>
      <c r="BB543" s="27" t="s">
        <v>7</v>
      </c>
      <c r="BC543" s="27" t="s">
        <v>8</v>
      </c>
      <c r="BD543" s="27" t="s">
        <v>7</v>
      </c>
      <c r="BY543" s="27" t="s">
        <v>8</v>
      </c>
      <c r="BZ543" s="27" t="s">
        <v>7</v>
      </c>
      <c r="CA543" s="27" t="s">
        <v>8</v>
      </c>
    </row>
    <row r="544" spans="1:87" x14ac:dyDescent="0.25">
      <c r="A544" s="7">
        <v>2.343189355345392</v>
      </c>
      <c r="B544"/>
      <c r="C544"/>
      <c r="D544"/>
      <c r="E544" t="s">
        <v>8</v>
      </c>
      <c r="P544" s="27" t="s">
        <v>7</v>
      </c>
      <c r="Q544" s="27" t="s">
        <v>8</v>
      </c>
      <c r="AH544" s="27" t="s">
        <v>7</v>
      </c>
      <c r="AI544" s="27" t="s">
        <v>8</v>
      </c>
      <c r="AJ544" s="27" t="s">
        <v>7</v>
      </c>
      <c r="AL544" s="27" t="s">
        <v>7</v>
      </c>
      <c r="AS544" s="27" t="s">
        <v>8</v>
      </c>
      <c r="AT544" s="27" t="s">
        <v>7</v>
      </c>
      <c r="AY544" s="27" t="s">
        <v>8</v>
      </c>
      <c r="BA544" s="27" t="s">
        <v>8</v>
      </c>
      <c r="BB544" s="27" t="s">
        <v>7</v>
      </c>
      <c r="BC544" s="27" t="s">
        <v>8</v>
      </c>
      <c r="BD544" s="27" t="s">
        <v>7</v>
      </c>
      <c r="BY544" s="27" t="s">
        <v>8</v>
      </c>
      <c r="BZ544" s="27" t="s">
        <v>7</v>
      </c>
      <c r="CA544" s="27" t="s">
        <v>8</v>
      </c>
    </row>
    <row r="545" spans="1:79" x14ac:dyDescent="0.25">
      <c r="A545" s="7">
        <v>2.2972444660248938</v>
      </c>
      <c r="B545"/>
      <c r="C545"/>
      <c r="D545"/>
      <c r="E545" t="s">
        <v>8</v>
      </c>
      <c r="P545" s="27" t="s">
        <v>7</v>
      </c>
      <c r="Q545" s="27" t="s">
        <v>8</v>
      </c>
      <c r="AH545" s="27" t="s">
        <v>7</v>
      </c>
      <c r="AI545" s="27" t="s">
        <v>8</v>
      </c>
      <c r="AL545" s="27" t="s">
        <v>7</v>
      </c>
      <c r="AS545" s="27" t="s">
        <v>8</v>
      </c>
      <c r="AT545" s="27" t="s">
        <v>7</v>
      </c>
      <c r="AU545" s="27" t="s">
        <v>8</v>
      </c>
      <c r="AY545" s="27" t="s">
        <v>8</v>
      </c>
      <c r="AZ545" s="27" t="s">
        <v>7</v>
      </c>
      <c r="BA545" s="27" t="s">
        <v>8</v>
      </c>
      <c r="BB545" s="27" t="s">
        <v>7</v>
      </c>
      <c r="BC545" s="27" t="s">
        <v>8</v>
      </c>
      <c r="BD545" s="27" t="s">
        <v>7</v>
      </c>
      <c r="BY545" s="27" t="s">
        <v>8</v>
      </c>
      <c r="BZ545" s="27" t="s">
        <v>7</v>
      </c>
      <c r="CA545" s="27" t="s">
        <v>8</v>
      </c>
    </row>
    <row r="546" spans="1:79" x14ac:dyDescent="0.25">
      <c r="A546" s="7">
        <v>2.252200456887151</v>
      </c>
      <c r="B546"/>
      <c r="C546"/>
      <c r="D546"/>
      <c r="E546" t="s">
        <v>8</v>
      </c>
      <c r="P546" s="27" t="s">
        <v>7</v>
      </c>
      <c r="Q546" s="27" t="s">
        <v>8</v>
      </c>
      <c r="AH546" s="27" t="s">
        <v>7</v>
      </c>
      <c r="AI546" s="27" t="s">
        <v>8</v>
      </c>
      <c r="AL546" s="27" t="s">
        <v>7</v>
      </c>
      <c r="AM546" s="27" t="s">
        <v>8</v>
      </c>
      <c r="AS546" s="27" t="s">
        <v>8</v>
      </c>
      <c r="AT546" s="27" t="s">
        <v>7</v>
      </c>
      <c r="AU546" s="27" t="s">
        <v>8</v>
      </c>
      <c r="AV546" s="27" t="s">
        <v>7</v>
      </c>
      <c r="AY546" s="27" t="s">
        <v>8</v>
      </c>
      <c r="AZ546" s="27" t="s">
        <v>7</v>
      </c>
      <c r="BA546" s="27" t="s">
        <v>8</v>
      </c>
      <c r="BB546" s="27" t="s">
        <v>7</v>
      </c>
      <c r="BC546" s="27" t="s">
        <v>8</v>
      </c>
      <c r="BD546" s="27" t="s">
        <v>7</v>
      </c>
      <c r="BY546" s="27" t="s">
        <v>8</v>
      </c>
      <c r="BZ546" s="27" t="s">
        <v>7</v>
      </c>
      <c r="CA546" s="27" t="s">
        <v>8</v>
      </c>
    </row>
    <row r="547" spans="1:79" x14ac:dyDescent="0.25">
      <c r="A547" s="7">
        <v>2.208039663614854</v>
      </c>
      <c r="B547"/>
      <c r="C547"/>
      <c r="D547"/>
      <c r="E547" t="s">
        <v>8</v>
      </c>
      <c r="P547" s="27" t="s">
        <v>7</v>
      </c>
      <c r="Q547" s="27" t="s">
        <v>8</v>
      </c>
      <c r="AH547" s="27" t="s">
        <v>7</v>
      </c>
      <c r="AI547" s="27" t="s">
        <v>8</v>
      </c>
      <c r="AL547" s="27" t="s">
        <v>7</v>
      </c>
      <c r="AM547" s="27" t="s">
        <v>8</v>
      </c>
      <c r="AN547" s="27" t="s">
        <v>7</v>
      </c>
      <c r="AS547" s="27" t="s">
        <v>8</v>
      </c>
      <c r="AT547" s="27" t="s">
        <v>7</v>
      </c>
      <c r="AU547" s="27" t="s">
        <v>8</v>
      </c>
      <c r="AV547" s="27" t="s">
        <v>7</v>
      </c>
      <c r="AY547" s="27" t="s">
        <v>8</v>
      </c>
      <c r="AZ547" s="27" t="s">
        <v>7</v>
      </c>
      <c r="BA547" s="27" t="s">
        <v>8</v>
      </c>
      <c r="BB547" s="27" t="s">
        <v>7</v>
      </c>
      <c r="BC547" s="27" t="s">
        <v>8</v>
      </c>
      <c r="BD547" s="27" t="s">
        <v>7</v>
      </c>
      <c r="BG547" s="27" t="s">
        <v>8</v>
      </c>
      <c r="BY547" s="27" t="s">
        <v>8</v>
      </c>
      <c r="BZ547" s="27" t="s">
        <v>7</v>
      </c>
      <c r="CA547" s="27" t="s">
        <v>8</v>
      </c>
    </row>
    <row r="548" spans="1:79" x14ac:dyDescent="0.25">
      <c r="A548" s="7">
        <v>2.1647447682498568</v>
      </c>
      <c r="B548"/>
      <c r="C548"/>
      <c r="D548"/>
      <c r="E548" t="s">
        <v>8</v>
      </c>
      <c r="P548" s="27" t="s">
        <v>7</v>
      </c>
      <c r="Q548" s="27" t="s">
        <v>8</v>
      </c>
      <c r="AH548" s="27" t="s">
        <v>7</v>
      </c>
      <c r="AI548" s="27" t="s">
        <v>8</v>
      </c>
      <c r="AL548" s="27" t="s">
        <v>7</v>
      </c>
      <c r="AM548" s="27" t="s">
        <v>8</v>
      </c>
      <c r="AN548" s="27" t="s">
        <v>7</v>
      </c>
      <c r="AS548" s="27" t="s">
        <v>8</v>
      </c>
      <c r="AT548" s="27" t="s">
        <v>7</v>
      </c>
      <c r="AU548" s="27" t="s">
        <v>8</v>
      </c>
      <c r="AV548" s="27" t="s">
        <v>7</v>
      </c>
      <c r="AY548" s="27" t="s">
        <v>8</v>
      </c>
      <c r="AZ548" s="27" t="s">
        <v>7</v>
      </c>
      <c r="BA548" s="27" t="s">
        <v>8</v>
      </c>
      <c r="BB548" s="27" t="s">
        <v>7</v>
      </c>
      <c r="BC548" s="27" t="s">
        <v>8</v>
      </c>
      <c r="BD548" s="27" t="s">
        <v>7</v>
      </c>
      <c r="BG548" s="27" t="s">
        <v>8</v>
      </c>
      <c r="BH548" s="27" t="s">
        <v>7</v>
      </c>
      <c r="BY548" s="27" t="s">
        <v>8</v>
      </c>
      <c r="BZ548" s="27" t="s">
        <v>7</v>
      </c>
      <c r="CA548" s="27" t="s">
        <v>8</v>
      </c>
    </row>
    <row r="549" spans="1:79" x14ac:dyDescent="0.25">
      <c r="A549" s="7">
        <v>2.1222987924018204</v>
      </c>
      <c r="B549"/>
      <c r="C549"/>
      <c r="D549"/>
      <c r="E549" t="s">
        <v>8</v>
      </c>
      <c r="P549" s="27" t="s">
        <v>7</v>
      </c>
      <c r="AH549" s="27" t="s">
        <v>7</v>
      </c>
      <c r="AI549" s="27" t="s">
        <v>8</v>
      </c>
      <c r="AL549" s="27" t="s">
        <v>7</v>
      </c>
      <c r="AN549" s="27" t="s">
        <v>7</v>
      </c>
      <c r="AS549" s="27" t="s">
        <v>8</v>
      </c>
      <c r="AT549" s="27" t="s">
        <v>7</v>
      </c>
      <c r="AU549" s="27" t="s">
        <v>8</v>
      </c>
      <c r="AV549" s="27" t="s">
        <v>7</v>
      </c>
      <c r="AY549" s="27" t="s">
        <v>8</v>
      </c>
      <c r="AZ549" s="27" t="s">
        <v>7</v>
      </c>
      <c r="BA549" s="27" t="s">
        <v>8</v>
      </c>
      <c r="BB549" s="27" t="s">
        <v>7</v>
      </c>
      <c r="BC549" s="27" t="s">
        <v>8</v>
      </c>
      <c r="BD549" s="27" t="s">
        <v>7</v>
      </c>
      <c r="BG549" s="27" t="s">
        <v>8</v>
      </c>
      <c r="BH549" s="27" t="s">
        <v>7</v>
      </c>
      <c r="BY549" s="27" t="s">
        <v>8</v>
      </c>
      <c r="BZ549" s="27" t="s">
        <v>7</v>
      </c>
      <c r="CA549" s="27" t="s">
        <v>8</v>
      </c>
    </row>
    <row r="550" spans="1:79" x14ac:dyDescent="0.25">
      <c r="A550" s="7">
        <v>2.0806850905900198</v>
      </c>
      <c r="B550"/>
      <c r="C550"/>
      <c r="D550"/>
      <c r="E550" t="s">
        <v>8</v>
      </c>
      <c r="AH550" s="27" t="s">
        <v>7</v>
      </c>
      <c r="AI550" s="27" t="s">
        <v>8</v>
      </c>
      <c r="AN550" s="27" t="s">
        <v>7</v>
      </c>
      <c r="AO550" s="27" t="s">
        <v>8</v>
      </c>
      <c r="AS550" s="27" t="s">
        <v>8</v>
      </c>
      <c r="AT550" s="27" t="s">
        <v>7</v>
      </c>
      <c r="AU550" s="27" t="s">
        <v>8</v>
      </c>
      <c r="AV550" s="27" t="s">
        <v>7</v>
      </c>
      <c r="AW550" s="27" t="s">
        <v>8</v>
      </c>
      <c r="AY550" s="27" t="s">
        <v>8</v>
      </c>
      <c r="AZ550" s="27" t="s">
        <v>7</v>
      </c>
      <c r="BA550" s="27" t="s">
        <v>8</v>
      </c>
      <c r="BB550" s="27" t="s">
        <v>7</v>
      </c>
      <c r="BD550" s="27" t="s">
        <v>7</v>
      </c>
      <c r="BG550" s="27" t="s">
        <v>8</v>
      </c>
      <c r="BH550" s="27" t="s">
        <v>7</v>
      </c>
      <c r="BY550" s="27" t="s">
        <v>8</v>
      </c>
      <c r="BZ550" s="27" t="s">
        <v>7</v>
      </c>
      <c r="CA550" s="27" t="s">
        <v>8</v>
      </c>
    </row>
    <row r="551" spans="1:79" x14ac:dyDescent="0.25">
      <c r="A551" s="7">
        <v>2.0398873437157055</v>
      </c>
      <c r="B551"/>
      <c r="C551"/>
      <c r="D551"/>
      <c r="E551" t="s">
        <v>8</v>
      </c>
      <c r="AH551" s="27" t="s">
        <v>7</v>
      </c>
      <c r="AN551" s="27" t="s">
        <v>7</v>
      </c>
      <c r="AO551" s="27" t="s">
        <v>8</v>
      </c>
      <c r="AP551" s="27" t="s">
        <v>7</v>
      </c>
      <c r="AS551" s="27" t="s">
        <v>8</v>
      </c>
      <c r="AT551" s="27" t="s">
        <v>7</v>
      </c>
      <c r="AU551" s="27" t="s">
        <v>8</v>
      </c>
      <c r="AV551" s="27" t="s">
        <v>7</v>
      </c>
      <c r="AW551" s="27" t="s">
        <v>8</v>
      </c>
      <c r="AX551" s="27" t="s">
        <v>7</v>
      </c>
      <c r="AY551" s="27" t="s">
        <v>8</v>
      </c>
      <c r="AZ551" s="27" t="s">
        <v>7</v>
      </c>
      <c r="BD551" s="27" t="s">
        <v>7</v>
      </c>
      <c r="BE551" s="27" t="s">
        <v>8</v>
      </c>
      <c r="BG551" s="27" t="s">
        <v>8</v>
      </c>
      <c r="BH551" s="27" t="s">
        <v>7</v>
      </c>
      <c r="BY551" s="27" t="s">
        <v>8</v>
      </c>
      <c r="BZ551" s="27" t="s">
        <v>7</v>
      </c>
      <c r="CA551" s="27" t="s">
        <v>8</v>
      </c>
    </row>
    <row r="552" spans="1:79" x14ac:dyDescent="0.25">
      <c r="A552" s="7">
        <v>1.9998895526624565</v>
      </c>
      <c r="B552"/>
      <c r="C552"/>
      <c r="D552"/>
      <c r="E552" t="s">
        <v>8</v>
      </c>
      <c r="AN552" s="27" t="s">
        <v>7</v>
      </c>
      <c r="AO552" s="27" t="s">
        <v>8</v>
      </c>
      <c r="AP552" s="27" t="s">
        <v>7</v>
      </c>
      <c r="AS552" s="27" t="s">
        <v>8</v>
      </c>
      <c r="AT552" s="27" t="s">
        <v>7</v>
      </c>
      <c r="AU552" s="27" t="s">
        <v>8</v>
      </c>
      <c r="AV552" s="27" t="s">
        <v>7</v>
      </c>
      <c r="AW552" s="27" t="s">
        <v>8</v>
      </c>
      <c r="AX552" s="27" t="s">
        <v>7</v>
      </c>
      <c r="AY552" s="27" t="s">
        <v>8</v>
      </c>
      <c r="BD552" s="27" t="s">
        <v>7</v>
      </c>
      <c r="BE552" s="27" t="s">
        <v>8</v>
      </c>
      <c r="BF552" s="27" t="s">
        <v>7</v>
      </c>
      <c r="BG552" s="27" t="s">
        <v>8</v>
      </c>
      <c r="BH552" s="27" t="s">
        <v>7</v>
      </c>
      <c r="BY552" s="27" t="s">
        <v>8</v>
      </c>
      <c r="BZ552" s="27" t="s">
        <v>7</v>
      </c>
      <c r="CA552" s="27" t="s">
        <v>8</v>
      </c>
    </row>
    <row r="553" spans="1:79" x14ac:dyDescent="0.25">
      <c r="A553" s="7">
        <v>1.9606760320220162</v>
      </c>
      <c r="B553"/>
      <c r="C553"/>
      <c r="D553"/>
      <c r="E553" t="s">
        <v>8</v>
      </c>
      <c r="AN553" s="27" t="s">
        <v>7</v>
      </c>
      <c r="AO553" s="27" t="s">
        <v>8</v>
      </c>
      <c r="AP553" s="27" t="s">
        <v>7</v>
      </c>
      <c r="AS553" s="27" t="s">
        <v>8</v>
      </c>
      <c r="AT553" s="27" t="s">
        <v>7</v>
      </c>
      <c r="AV553" s="27" t="s">
        <v>7</v>
      </c>
      <c r="AW553" s="27" t="s">
        <v>8</v>
      </c>
      <c r="AX553" s="27" t="s">
        <v>7</v>
      </c>
      <c r="AY553" s="27" t="s">
        <v>8</v>
      </c>
      <c r="BD553" s="27" t="s">
        <v>7</v>
      </c>
      <c r="BE553" s="27" t="s">
        <v>8</v>
      </c>
      <c r="BF553" s="27" t="s">
        <v>7</v>
      </c>
      <c r="BG553" s="27" t="s">
        <v>8</v>
      </c>
      <c r="BH553" s="27" t="s">
        <v>7</v>
      </c>
      <c r="BI553" s="27" t="s">
        <v>8</v>
      </c>
      <c r="BY553" s="27" t="s">
        <v>8</v>
      </c>
      <c r="BZ553" s="27" t="s">
        <v>7</v>
      </c>
      <c r="CA553" s="27" t="s">
        <v>8</v>
      </c>
    </row>
    <row r="554" spans="1:79" x14ac:dyDescent="0.25">
      <c r="A554" s="7">
        <v>1.9222314039431532</v>
      </c>
      <c r="B554"/>
      <c r="C554"/>
      <c r="D554"/>
      <c r="E554" t="s">
        <v>8</v>
      </c>
      <c r="AN554" s="27" t="s">
        <v>7</v>
      </c>
      <c r="AO554" s="27" t="s">
        <v>8</v>
      </c>
      <c r="AP554" s="27" t="s">
        <v>7</v>
      </c>
      <c r="AS554" s="27" t="s">
        <v>8</v>
      </c>
      <c r="AV554" s="27" t="s">
        <v>7</v>
      </c>
      <c r="AW554" s="27" t="s">
        <v>8</v>
      </c>
      <c r="AX554" s="27" t="s">
        <v>7</v>
      </c>
      <c r="AY554" s="27" t="s">
        <v>8</v>
      </c>
      <c r="BD554" s="27" t="s">
        <v>7</v>
      </c>
      <c r="BE554" s="27" t="s">
        <v>8</v>
      </c>
      <c r="BF554" s="27" t="s">
        <v>7</v>
      </c>
      <c r="BG554" s="27" t="s">
        <v>8</v>
      </c>
      <c r="BH554" s="27" t="s">
        <v>7</v>
      </c>
      <c r="BI554" s="27" t="s">
        <v>8</v>
      </c>
      <c r="BJ554" s="27" t="s">
        <v>7</v>
      </c>
      <c r="BY554" s="27" t="s">
        <v>8</v>
      </c>
      <c r="BZ554" s="27" t="s">
        <v>7</v>
      </c>
    </row>
    <row r="555" spans="1:79" x14ac:dyDescent="0.25">
      <c r="A555" s="7">
        <v>1.8845405921011305</v>
      </c>
      <c r="B555"/>
      <c r="C555"/>
      <c r="D555"/>
      <c r="E555" t="s">
        <v>8</v>
      </c>
      <c r="AN555" s="27" t="s">
        <v>7</v>
      </c>
      <c r="AO555" s="27" t="s">
        <v>8</v>
      </c>
      <c r="AP555" s="27" t="s">
        <v>7</v>
      </c>
      <c r="AS555" s="27" t="s">
        <v>8</v>
      </c>
      <c r="AV555" s="27" t="s">
        <v>7</v>
      </c>
      <c r="AW555" s="27" t="s">
        <v>8</v>
      </c>
      <c r="AX555" s="27" t="s">
        <v>7</v>
      </c>
      <c r="BD555" s="27" t="s">
        <v>7</v>
      </c>
      <c r="BE555" s="27" t="s">
        <v>8</v>
      </c>
      <c r="BF555" s="27" t="s">
        <v>7</v>
      </c>
      <c r="BG555" s="27" t="s">
        <v>8</v>
      </c>
      <c r="BH555" s="27" t="s">
        <v>7</v>
      </c>
      <c r="BI555" s="27" t="s">
        <v>8</v>
      </c>
      <c r="BJ555" s="27" t="s">
        <v>7</v>
      </c>
      <c r="BY555" s="27" t="s">
        <v>8</v>
      </c>
    </row>
    <row r="556" spans="1:79" x14ac:dyDescent="0.25">
      <c r="A556" s="7">
        <v>1.8475888157854219</v>
      </c>
      <c r="B556"/>
      <c r="C556"/>
      <c r="D556"/>
      <c r="E556" t="s">
        <v>8</v>
      </c>
      <c r="AN556" s="27" t="s">
        <v>7</v>
      </c>
      <c r="AP556" s="27" t="s">
        <v>7</v>
      </c>
      <c r="AS556" s="27" t="s">
        <v>8</v>
      </c>
      <c r="AV556" s="27" t="s">
        <v>7</v>
      </c>
      <c r="BD556" s="27" t="s">
        <v>7</v>
      </c>
      <c r="BE556" s="27" t="s">
        <v>8</v>
      </c>
      <c r="BF556" s="27" t="s">
        <v>7</v>
      </c>
      <c r="BG556" s="27" t="s">
        <v>8</v>
      </c>
      <c r="BH556" s="27" t="s">
        <v>7</v>
      </c>
      <c r="BJ556" s="27" t="s">
        <v>7</v>
      </c>
      <c r="BY556" s="27" t="s">
        <v>8</v>
      </c>
    </row>
    <row r="557" spans="1:79" x14ac:dyDescent="0.25">
      <c r="A557" s="7">
        <v>1.8113615841033548</v>
      </c>
      <c r="B557"/>
      <c r="C557"/>
      <c r="D557"/>
      <c r="E557" t="s">
        <v>8</v>
      </c>
      <c r="AP557" s="27" t="s">
        <v>7</v>
      </c>
      <c r="AS557" s="27" t="s">
        <v>8</v>
      </c>
      <c r="BD557" s="27" t="s">
        <v>7</v>
      </c>
      <c r="BE557" s="27" t="s">
        <v>8</v>
      </c>
      <c r="BF557" s="27" t="s">
        <v>7</v>
      </c>
      <c r="BJ557" s="27" t="s">
        <v>7</v>
      </c>
      <c r="BY557" s="27" t="s">
        <v>8</v>
      </c>
    </row>
    <row r="558" spans="1:79" x14ac:dyDescent="0.25">
      <c r="A558" s="7">
        <v>1.7758446902974065</v>
      </c>
      <c r="B558"/>
      <c r="C558"/>
      <c r="D558"/>
      <c r="E558" t="s">
        <v>8</v>
      </c>
      <c r="AP558" s="27" t="s">
        <v>7</v>
      </c>
      <c r="AS558" s="27" t="s">
        <v>8</v>
      </c>
      <c r="BD558" s="27" t="s">
        <v>7</v>
      </c>
      <c r="BE558" s="27" t="s">
        <v>8</v>
      </c>
      <c r="BJ558" s="27" t="s">
        <v>7</v>
      </c>
      <c r="BO558" s="27" t="s">
        <v>8</v>
      </c>
      <c r="BQ558" s="27" t="s">
        <v>8</v>
      </c>
      <c r="BY558" s="27" t="s">
        <v>8</v>
      </c>
    </row>
    <row r="559" spans="1:79" x14ac:dyDescent="0.25">
      <c r="A559" s="7">
        <v>1.7410242061739281</v>
      </c>
      <c r="B559"/>
      <c r="C559"/>
      <c r="D559"/>
      <c r="E559" t="s">
        <v>8</v>
      </c>
      <c r="AP559" s="27" t="s">
        <v>7</v>
      </c>
      <c r="AS559" s="27" t="s">
        <v>8</v>
      </c>
      <c r="BD559" s="27" t="s">
        <v>7</v>
      </c>
      <c r="BJ559" s="27" t="s">
        <v>7</v>
      </c>
      <c r="BO559" s="27" t="s">
        <v>8</v>
      </c>
      <c r="BP559" s="27" t="s">
        <v>7</v>
      </c>
      <c r="BQ559" s="27" t="s">
        <v>8</v>
      </c>
      <c r="BR559" s="27" t="s">
        <v>7</v>
      </c>
      <c r="BS559" s="27" t="s">
        <v>8</v>
      </c>
      <c r="BY559" s="27" t="s">
        <v>8</v>
      </c>
    </row>
    <row r="560" spans="1:79" x14ac:dyDescent="0.25">
      <c r="A560" s="7">
        <v>1.7068864766411058</v>
      </c>
      <c r="B560"/>
      <c r="C560"/>
      <c r="D560"/>
      <c r="E560" t="s">
        <v>8</v>
      </c>
      <c r="AP560" s="27" t="s">
        <v>7</v>
      </c>
      <c r="AS560" s="27" t="s">
        <v>8</v>
      </c>
      <c r="BJ560" s="27" t="s">
        <v>7</v>
      </c>
      <c r="BO560" s="27" t="s">
        <v>8</v>
      </c>
      <c r="BP560" s="27" t="s">
        <v>7</v>
      </c>
      <c r="BQ560" s="27" t="s">
        <v>8</v>
      </c>
      <c r="BR560" s="27" t="s">
        <v>7</v>
      </c>
      <c r="BS560" s="27" t="s">
        <v>8</v>
      </c>
      <c r="BT560" s="27" t="s">
        <v>7</v>
      </c>
      <c r="BW560" s="27" t="s">
        <v>8</v>
      </c>
      <c r="BY560" s="27" t="s">
        <v>8</v>
      </c>
    </row>
    <row r="561" spans="1:77" x14ac:dyDescent="0.25">
      <c r="A561" s="7">
        <v>1.6734181143540252</v>
      </c>
      <c r="B561"/>
      <c r="C561"/>
      <c r="D561"/>
      <c r="E561" t="s">
        <v>8</v>
      </c>
      <c r="AP561" s="27" t="s">
        <v>7</v>
      </c>
      <c r="AS561" s="27" t="s">
        <v>8</v>
      </c>
      <c r="BJ561" s="27" t="s">
        <v>7</v>
      </c>
      <c r="BM561" s="27" t="s">
        <v>8</v>
      </c>
      <c r="BO561" s="27" t="s">
        <v>8</v>
      </c>
      <c r="BP561" s="27" t="s">
        <v>7</v>
      </c>
      <c r="BQ561" s="27" t="s">
        <v>8</v>
      </c>
      <c r="BR561" s="27" t="s">
        <v>7</v>
      </c>
      <c r="BS561" s="27" t="s">
        <v>8</v>
      </c>
      <c r="BT561" s="27" t="s">
        <v>7</v>
      </c>
      <c r="BW561" s="27" t="s">
        <v>8</v>
      </c>
      <c r="BX561" s="27" t="s">
        <v>7</v>
      </c>
      <c r="BY561" s="27" t="s">
        <v>8</v>
      </c>
    </row>
    <row r="562" spans="1:77" x14ac:dyDescent="0.25">
      <c r="A562" s="7">
        <v>1.6406059944647307</v>
      </c>
      <c r="B562"/>
      <c r="C562"/>
      <c r="D562"/>
      <c r="E562" t="s">
        <v>8</v>
      </c>
      <c r="AP562" s="27" t="s">
        <v>7</v>
      </c>
      <c r="AQ562" s="27" t="s">
        <v>8</v>
      </c>
      <c r="AS562" s="27" t="s">
        <v>8</v>
      </c>
      <c r="BJ562" s="27" t="s">
        <v>7</v>
      </c>
      <c r="BK562" s="27" t="s">
        <v>8</v>
      </c>
      <c r="BM562" s="27" t="s">
        <v>8</v>
      </c>
      <c r="BN562" s="27" t="s">
        <v>7</v>
      </c>
      <c r="BO562" s="27" t="s">
        <v>8</v>
      </c>
      <c r="BP562" s="27" t="s">
        <v>7</v>
      </c>
      <c r="BQ562" s="27" t="s">
        <v>8</v>
      </c>
      <c r="BR562" s="27" t="s">
        <v>7</v>
      </c>
      <c r="BT562" s="27" t="s">
        <v>7</v>
      </c>
      <c r="BW562" s="27" t="s">
        <v>8</v>
      </c>
      <c r="BX562" s="27" t="s">
        <v>7</v>
      </c>
      <c r="BY562" s="27" t="s">
        <v>8</v>
      </c>
    </row>
    <row r="563" spans="1:77" x14ac:dyDescent="0.25">
      <c r="A563" s="7">
        <v>1.6084372494752261</v>
      </c>
      <c r="B563"/>
      <c r="C563"/>
      <c r="D563"/>
      <c r="E563" t="s">
        <v>8</v>
      </c>
      <c r="AP563" s="27" t="s">
        <v>7</v>
      </c>
      <c r="AQ563" s="27" t="s">
        <v>8</v>
      </c>
      <c r="AR563" s="27" t="s">
        <v>7</v>
      </c>
      <c r="AS563" s="27" t="s">
        <v>8</v>
      </c>
      <c r="BJ563" s="27" t="s">
        <v>7</v>
      </c>
      <c r="BK563" s="27" t="s">
        <v>8</v>
      </c>
      <c r="BL563" s="27" t="s">
        <v>7</v>
      </c>
      <c r="BM563" s="27" t="s">
        <v>8</v>
      </c>
      <c r="BN563" s="27" t="s">
        <v>7</v>
      </c>
      <c r="BO563" s="27" t="s">
        <v>8</v>
      </c>
      <c r="BP563" s="27" t="s">
        <v>7</v>
      </c>
      <c r="BT563" s="27" t="s">
        <v>7</v>
      </c>
      <c r="BW563" s="27" t="s">
        <v>8</v>
      </c>
      <c r="BX563" s="27" t="s">
        <v>7</v>
      </c>
      <c r="BY563" s="27" t="s">
        <v>8</v>
      </c>
    </row>
    <row r="564" spans="1:77" x14ac:dyDescent="0.25">
      <c r="A564" s="7">
        <v>1.5768992641913981</v>
      </c>
      <c r="B564"/>
      <c r="C564"/>
      <c r="D564"/>
      <c r="E564" t="s">
        <v>8</v>
      </c>
      <c r="AP564" s="27" t="s">
        <v>7</v>
      </c>
      <c r="AQ564" s="27" t="s">
        <v>8</v>
      </c>
      <c r="AR564" s="27" t="s">
        <v>7</v>
      </c>
      <c r="AS564" s="27" t="s">
        <v>8</v>
      </c>
      <c r="BJ564" s="27" t="s">
        <v>7</v>
      </c>
      <c r="BK564" s="27" t="s">
        <v>8</v>
      </c>
      <c r="BL564" s="27" t="s">
        <v>7</v>
      </c>
      <c r="BM564" s="27" t="s">
        <v>8</v>
      </c>
      <c r="BN564" s="27" t="s">
        <v>7</v>
      </c>
      <c r="BO564" s="27" t="s">
        <v>8</v>
      </c>
      <c r="BT564" s="27" t="s">
        <v>7</v>
      </c>
      <c r="BW564" s="27" t="s">
        <v>8</v>
      </c>
      <c r="BX564" s="27" t="s">
        <v>7</v>
      </c>
      <c r="BY564" s="27" t="s">
        <v>8</v>
      </c>
    </row>
    <row r="565" spans="1:77" x14ac:dyDescent="0.25">
      <c r="A565" s="7">
        <v>1.5459796707758806</v>
      </c>
      <c r="B565"/>
      <c r="C565"/>
      <c r="D565"/>
      <c r="E565" t="s">
        <v>8</v>
      </c>
      <c r="AP565" s="27" t="s">
        <v>7</v>
      </c>
      <c r="AQ565" s="27" t="s">
        <v>8</v>
      </c>
      <c r="AR565" s="27" t="s">
        <v>7</v>
      </c>
      <c r="AS565" s="27" t="s">
        <v>8</v>
      </c>
      <c r="BJ565" s="27" t="s">
        <v>7</v>
      </c>
      <c r="BK565" s="27" t="s">
        <v>8</v>
      </c>
      <c r="BL565" s="27" t="s">
        <v>7</v>
      </c>
      <c r="BM565" s="27" t="s">
        <v>8</v>
      </c>
      <c r="BN565" s="27" t="s">
        <v>7</v>
      </c>
      <c r="BT565" s="27" t="s">
        <v>7</v>
      </c>
      <c r="BW565" s="27" t="s">
        <v>8</v>
      </c>
      <c r="BX565" s="27" t="s">
        <v>7</v>
      </c>
      <c r="BY565" s="27" t="s">
        <v>8</v>
      </c>
    </row>
    <row r="566" spans="1:77" x14ac:dyDescent="0.25">
      <c r="A566" s="7">
        <v>1.5156663438979221</v>
      </c>
      <c r="B566"/>
      <c r="C566"/>
      <c r="D566"/>
      <c r="E566" t="s">
        <v>8</v>
      </c>
      <c r="AP566" s="27" t="s">
        <v>7</v>
      </c>
      <c r="AQ566" s="27" t="s">
        <v>8</v>
      </c>
      <c r="AR566" s="27" t="s">
        <v>7</v>
      </c>
      <c r="AS566" s="27" t="s">
        <v>8</v>
      </c>
      <c r="BJ566" s="27" t="s">
        <v>7</v>
      </c>
      <c r="BL566" s="27" t="s">
        <v>7</v>
      </c>
      <c r="BM566" s="27" t="s">
        <v>8</v>
      </c>
      <c r="BT566" s="27" t="s">
        <v>7</v>
      </c>
      <c r="BW566" s="27" t="s">
        <v>8</v>
      </c>
      <c r="BX566" s="27" t="s">
        <v>7</v>
      </c>
      <c r="BY566" s="27" t="s">
        <v>8</v>
      </c>
    </row>
    <row r="567" spans="1:77" x14ac:dyDescent="0.25">
      <c r="A567" s="7">
        <v>1.4859473959783549</v>
      </c>
      <c r="B567"/>
      <c r="C567"/>
      <c r="D567"/>
      <c r="E567" t="s">
        <v>8</v>
      </c>
      <c r="AP567" s="27" t="s">
        <v>7</v>
      </c>
      <c r="AQ567" s="27" t="s">
        <v>8</v>
      </c>
      <c r="AR567" s="27" t="s">
        <v>7</v>
      </c>
      <c r="AS567" s="27" t="s">
        <v>8</v>
      </c>
      <c r="BL567" s="27" t="s">
        <v>7</v>
      </c>
      <c r="BM567" s="27" t="s">
        <v>8</v>
      </c>
      <c r="BT567" s="27" t="s">
        <v>7</v>
      </c>
      <c r="BW567" s="27" t="s">
        <v>8</v>
      </c>
      <c r="BX567" s="27" t="s">
        <v>7</v>
      </c>
      <c r="BY567" s="27" t="s">
        <v>8</v>
      </c>
    </row>
    <row r="568" spans="1:77" x14ac:dyDescent="0.25">
      <c r="A568" s="7">
        <v>1.4568111725277988</v>
      </c>
      <c r="B568"/>
      <c r="C568"/>
      <c r="D568"/>
      <c r="E568" t="s">
        <v>8</v>
      </c>
      <c r="AP568" s="27" t="s">
        <v>7</v>
      </c>
      <c r="AQ568" s="27" t="s">
        <v>8</v>
      </c>
      <c r="AR568" s="27" t="s">
        <v>7</v>
      </c>
      <c r="AS568" s="27" t="s">
        <v>8</v>
      </c>
      <c r="BL568" s="27" t="s">
        <v>7</v>
      </c>
      <c r="BT568" s="27" t="s">
        <v>7</v>
      </c>
      <c r="BU568" s="27" t="s">
        <v>8</v>
      </c>
      <c r="BW568" s="27" t="s">
        <v>8</v>
      </c>
      <c r="BX568" s="27" t="s">
        <v>7</v>
      </c>
      <c r="BY568" s="27" t="s">
        <v>8</v>
      </c>
    </row>
    <row r="569" spans="1:77" x14ac:dyDescent="0.25">
      <c r="A569" s="7">
        <v>1.4282462475762734</v>
      </c>
      <c r="B569"/>
      <c r="C569"/>
      <c r="D569"/>
      <c r="E569" t="s">
        <v>8</v>
      </c>
      <c r="AP569" s="27" t="s">
        <v>7</v>
      </c>
      <c r="AQ569" s="27" t="s">
        <v>8</v>
      </c>
      <c r="AR569" s="27" t="s">
        <v>7</v>
      </c>
      <c r="AS569" s="27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</row>
    <row r="570" spans="1:77" x14ac:dyDescent="0.25">
      <c r="A570" s="7">
        <v>1.4002414191924248</v>
      </c>
      <c r="B570"/>
      <c r="C570"/>
      <c r="D570"/>
      <c r="E570" t="s">
        <v>8</v>
      </c>
      <c r="AP570" s="27" t="s">
        <v>7</v>
      </c>
      <c r="AQ570" s="27" t="s">
        <v>8</v>
      </c>
      <c r="AR570" s="27" t="s">
        <v>7</v>
      </c>
      <c r="AS570" s="27" t="s">
        <v>8</v>
      </c>
      <c r="BT570" s="27" t="s">
        <v>7</v>
      </c>
      <c r="BU570" s="27" t="s">
        <v>8</v>
      </c>
      <c r="BV570" s="27" t="s">
        <v>7</v>
      </c>
      <c r="BW570" s="27" t="s">
        <v>8</v>
      </c>
    </row>
    <row r="571" spans="1:77" x14ac:dyDescent="0.25">
      <c r="A571" s="7">
        <v>1.3727857050906125</v>
      </c>
      <c r="B571"/>
      <c r="C571"/>
      <c r="D571"/>
      <c r="E571" t="s">
        <v>8</v>
      </c>
      <c r="AP571" s="27" t="s">
        <v>7</v>
      </c>
      <c r="AQ571" s="27" t="s">
        <v>8</v>
      </c>
      <c r="AR571" s="27" t="s">
        <v>7</v>
      </c>
      <c r="AS571" s="27" t="s">
        <v>8</v>
      </c>
      <c r="BT571" s="27" t="s">
        <v>7</v>
      </c>
      <c r="BU571" s="27" t="s">
        <v>8</v>
      </c>
      <c r="BV571" s="27" t="s">
        <v>7</v>
      </c>
      <c r="BW571" s="27" t="s">
        <v>8</v>
      </c>
    </row>
    <row r="572" spans="1:77" x14ac:dyDescent="0.25">
      <c r="A572" s="7">
        <v>1.3458683383241299</v>
      </c>
      <c r="B572"/>
      <c r="C572"/>
      <c r="D572"/>
      <c r="E572" t="s">
        <v>8</v>
      </c>
      <c r="AP572" s="27" t="s">
        <v>7</v>
      </c>
      <c r="AQ572" s="27" t="s">
        <v>8</v>
      </c>
      <c r="AR572" s="27" t="s">
        <v>7</v>
      </c>
      <c r="AS572" s="27" t="s">
        <v>8</v>
      </c>
      <c r="BT572" s="27" t="s">
        <v>7</v>
      </c>
      <c r="BU572" s="27" t="s">
        <v>8</v>
      </c>
      <c r="BV572" s="27" t="s">
        <v>7</v>
      </c>
      <c r="BW572" s="27" t="s">
        <v>8</v>
      </c>
    </row>
    <row r="573" spans="1:77" x14ac:dyDescent="0.25">
      <c r="A573" s="7">
        <v>1.3194787630628724</v>
      </c>
      <c r="B573"/>
      <c r="C573"/>
      <c r="D573"/>
      <c r="E573" t="s">
        <v>8</v>
      </c>
      <c r="AP573" s="27" t="s">
        <v>7</v>
      </c>
      <c r="AR573" s="27" t="s">
        <v>7</v>
      </c>
      <c r="AS573" s="27" t="s">
        <v>8</v>
      </c>
      <c r="BT573" s="27" t="s">
        <v>7</v>
      </c>
      <c r="BU573" s="27" t="s">
        <v>8</v>
      </c>
      <c r="BV573" s="27" t="s">
        <v>7</v>
      </c>
      <c r="BW573" s="27" t="s">
        <v>8</v>
      </c>
    </row>
    <row r="574" spans="1:77" x14ac:dyDescent="0.25">
      <c r="A574" s="7">
        <v>1.2936066304537963</v>
      </c>
      <c r="B574"/>
      <c r="C574"/>
      <c r="D574"/>
      <c r="E574" t="s">
        <v>8</v>
      </c>
      <c r="AR574" s="27" t="s">
        <v>7</v>
      </c>
      <c r="BT574" s="27" t="s">
        <v>7</v>
      </c>
      <c r="BU574" s="27" t="s">
        <v>8</v>
      </c>
      <c r="BV574" s="27" t="s">
        <v>7</v>
      </c>
      <c r="BW574" s="27" t="s">
        <v>8</v>
      </c>
    </row>
    <row r="575" spans="1:77" x14ac:dyDescent="0.25">
      <c r="A575" s="7">
        <v>1.2682417945625455</v>
      </c>
      <c r="B575"/>
      <c r="C575"/>
      <c r="D575"/>
      <c r="E575" t="s">
        <v>8</v>
      </c>
      <c r="BT575" s="27" t="s">
        <v>7</v>
      </c>
      <c r="BU575" s="27" t="s">
        <v>8</v>
      </c>
      <c r="BV575" s="27" t="s">
        <v>7</v>
      </c>
    </row>
    <row r="576" spans="1:77" x14ac:dyDescent="0.25">
      <c r="A576" s="7">
        <v>1.2433743083946525</v>
      </c>
      <c r="B576"/>
      <c r="C576"/>
      <c r="D576"/>
      <c r="E576" t="s">
        <v>8</v>
      </c>
      <c r="BT576" s="27" t="s">
        <v>7</v>
      </c>
      <c r="BU576" s="27" t="s">
        <v>8</v>
      </c>
    </row>
    <row r="577" spans="1:73" x14ac:dyDescent="0.25">
      <c r="A577" s="7">
        <v>1.2189944199947573</v>
      </c>
      <c r="B577"/>
      <c r="C577"/>
      <c r="D577"/>
      <c r="E577" t="s">
        <v>8</v>
      </c>
      <c r="BT577" s="27" t="s">
        <v>7</v>
      </c>
      <c r="BU577" s="27" t="s">
        <v>8</v>
      </c>
    </row>
    <row r="578" spans="1:73" x14ac:dyDescent="0.25">
      <c r="A578" s="7">
        <v>1.1950925686223111</v>
      </c>
      <c r="B578"/>
      <c r="C578"/>
      <c r="D578"/>
      <c r="E578" t="s">
        <v>8</v>
      </c>
      <c r="BT578" s="27" t="s">
        <v>7</v>
      </c>
      <c r="BU578" s="27" t="s">
        <v>8</v>
      </c>
    </row>
    <row r="579" spans="1:73" x14ac:dyDescent="0.25">
      <c r="A579" s="7">
        <v>1.1716593810022657</v>
      </c>
      <c r="B579"/>
      <c r="C579"/>
      <c r="D579"/>
      <c r="E579" t="s">
        <v>8</v>
      </c>
      <c r="BT579" s="27" t="s">
        <v>7</v>
      </c>
      <c r="BU579" s="27" t="s">
        <v>8</v>
      </c>
    </row>
    <row r="580" spans="1:73" x14ac:dyDescent="0.25">
      <c r="A580" s="7">
        <v>1.14868566764928</v>
      </c>
      <c r="B580"/>
      <c r="C580"/>
      <c r="D580"/>
      <c r="E580" t="s">
        <v>8</v>
      </c>
      <c r="BT580" s="27" t="s">
        <v>7</v>
      </c>
      <c r="BU580" s="27" t="s">
        <v>8</v>
      </c>
    </row>
    <row r="581" spans="1:73" x14ac:dyDescent="0.25">
      <c r="A581" s="7">
        <v>1.1261624192640001</v>
      </c>
      <c r="B581"/>
      <c r="C581"/>
      <c r="D581"/>
      <c r="E581" t="s">
        <v>8</v>
      </c>
      <c r="BT581" s="27" t="s">
        <v>7</v>
      </c>
      <c r="BU581" s="27" t="s">
        <v>8</v>
      </c>
    </row>
    <row r="582" spans="1:73" x14ac:dyDescent="0.25">
      <c r="A582" s="7">
        <v>1.1040808032</v>
      </c>
      <c r="B582"/>
      <c r="C582"/>
      <c r="D582"/>
      <c r="E582" t="s">
        <v>8</v>
      </c>
      <c r="BT582" s="27" t="s">
        <v>7</v>
      </c>
      <c r="BU582" s="27" t="s">
        <v>8</v>
      </c>
    </row>
    <row r="583" spans="1:73" x14ac:dyDescent="0.25">
      <c r="A583" s="7">
        <v>1.08243216</v>
      </c>
      <c r="B583"/>
      <c r="C583"/>
      <c r="D583"/>
      <c r="E583" t="s">
        <v>8</v>
      </c>
      <c r="BT583" s="27" t="s">
        <v>7</v>
      </c>
      <c r="BU583" s="27" t="s">
        <v>8</v>
      </c>
    </row>
    <row r="584" spans="1:73" x14ac:dyDescent="0.25">
      <c r="A584" s="7">
        <v>1.0612079999999999</v>
      </c>
      <c r="B584"/>
      <c r="C584"/>
      <c r="D584"/>
      <c r="E584" t="s">
        <v>8</v>
      </c>
      <c r="BT584" s="27" t="s">
        <v>7</v>
      </c>
      <c r="BU584" s="27" t="s">
        <v>8</v>
      </c>
    </row>
    <row r="585" spans="1:73" x14ac:dyDescent="0.25">
      <c r="A585" s="7">
        <v>1.0404</v>
      </c>
      <c r="B585"/>
      <c r="C585"/>
      <c r="D585"/>
      <c r="E585" t="s">
        <v>8</v>
      </c>
      <c r="BT585" s="27" t="s">
        <v>7</v>
      </c>
    </row>
    <row r="586" spans="1:73" x14ac:dyDescent="0.25">
      <c r="A586" s="7">
        <v>1.02</v>
      </c>
      <c r="B586"/>
      <c r="C586"/>
      <c r="D586"/>
      <c r="E586" t="s">
        <v>8</v>
      </c>
    </row>
    <row r="587" spans="1:73" x14ac:dyDescent="0.25">
      <c r="A587" s="7">
        <v>1</v>
      </c>
      <c r="B587"/>
      <c r="C587"/>
      <c r="D587"/>
      <c r="E587" s="29" t="s">
        <v>8</v>
      </c>
    </row>
    <row r="588" spans="1:73" x14ac:dyDescent="0.25">
      <c r="A588" s="7">
        <v>0.98039215686274506</v>
      </c>
      <c r="B588"/>
      <c r="C588"/>
      <c r="D588"/>
      <c r="E588"/>
    </row>
    <row r="589" spans="1:73" x14ac:dyDescent="0.25">
      <c r="A589" s="7">
        <v>0.96116878123798544</v>
      </c>
      <c r="B589"/>
      <c r="C589"/>
      <c r="D589"/>
      <c r="E589"/>
    </row>
    <row r="590" spans="1:73" x14ac:dyDescent="0.25">
      <c r="A590" s="7">
        <v>0.94232233454704462</v>
      </c>
      <c r="B590"/>
      <c r="C590"/>
      <c r="D590"/>
      <c r="E590"/>
    </row>
    <row r="591" spans="1:73" x14ac:dyDescent="0.25">
      <c r="A591" s="7">
        <v>0.92384542602651432</v>
      </c>
      <c r="B591"/>
      <c r="C591"/>
      <c r="D591"/>
      <c r="E591"/>
    </row>
    <row r="592" spans="1:73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2" zoomScale="90" zoomScaleNormal="90" workbookViewId="0">
      <pane xSplit="4" topLeftCell="BT1" activePane="topRight" state="frozen"/>
      <selection activeCell="A109" sqref="A109"/>
      <selection pane="topRight" activeCell="EC145" sqref="EC14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$A$144</v>
      </c>
      <c r="D111" s="1" t="str">
        <f>ADDRESS(C121-1,D121,1,1)</f>
        <v>$EC$144</v>
      </c>
      <c r="E111"/>
    </row>
    <row r="112" spans="1:5" x14ac:dyDescent="0.25">
      <c r="A112" s="30">
        <v>515.50191262726139</v>
      </c>
      <c r="C112" s="1" t="str">
        <f>ADDRESS(C121,1,1,1)</f>
        <v>$A$145</v>
      </c>
      <c r="D112" s="1" t="str">
        <f>ADDRESS(C121,D121-1,1,1)</f>
        <v>$EB$145</v>
      </c>
      <c r="E112"/>
    </row>
    <row r="113" spans="1:121" x14ac:dyDescent="0.25">
      <c r="A113" s="30">
        <v>490.95420250215363</v>
      </c>
      <c r="C113" s="1" t="str">
        <f>ADDRESS(C121+1,1,1,1)</f>
        <v>$A$146</v>
      </c>
      <c r="D113" s="1" t="str">
        <f>ADDRESS(C121-1,D121+1,1,1)</f>
        <v>$ED$144</v>
      </c>
    </row>
    <row r="114" spans="1:121" x14ac:dyDescent="0.25">
      <c r="A114" s="30">
        <v>467.57543095443202</v>
      </c>
      <c r="C114" s="1" t="str">
        <f>ADDRESS(C121,D121,1,1)</f>
        <v>$EC$145</v>
      </c>
      <c r="D114" s="1" t="str">
        <f>ADDRESS(C121+1,D121+1,1,1)</f>
        <v>$ED$146</v>
      </c>
    </row>
    <row r="115" spans="1:121" x14ac:dyDescent="0.25">
      <c r="A115" s="30">
        <v>445.30993424231622</v>
      </c>
      <c r="C115" s="1" t="str">
        <f>ADDRESS(C121+1,D121,1,1)</f>
        <v>$EC$146</v>
      </c>
    </row>
    <row r="116" spans="1:121" x14ac:dyDescent="0.25">
      <c r="A116" s="30">
        <v>424.10469927839637</v>
      </c>
      <c r="C116" s="1">
        <f>C117-1</f>
        <v>144</v>
      </c>
    </row>
    <row r="117" spans="1:121" x14ac:dyDescent="0.25">
      <c r="A117" s="30">
        <v>403.9092374079965</v>
      </c>
      <c r="C117" s="1">
        <f>C121</f>
        <v>145</v>
      </c>
      <c r="D117" s="1">
        <f>D121</f>
        <v>133</v>
      </c>
    </row>
    <row r="118" spans="1:121" x14ac:dyDescent="0.25">
      <c r="A118" s="30">
        <v>384.6754641980919</v>
      </c>
      <c r="C118" s="1">
        <f>C117+1</f>
        <v>146</v>
      </c>
      <c r="D118" s="1">
        <f>D117+1</f>
        <v>134</v>
      </c>
    </row>
    <row r="119" spans="1:121" x14ac:dyDescent="0.25">
      <c r="A119" s="30">
        <v>366.35758495056371</v>
      </c>
    </row>
    <row r="120" spans="1:121" x14ac:dyDescent="0.25">
      <c r="A120" s="30">
        <v>348.91198566720351</v>
      </c>
      <c r="C120" s="1" t="s">
        <v>9</v>
      </c>
    </row>
    <row r="121" spans="1:121" x14ac:dyDescent="0.25">
      <c r="A121" s="30">
        <v>332.29712920686046</v>
      </c>
      <c r="C121" s="18">
        <v>145</v>
      </c>
      <c r="D121" s="19">
        <v>133</v>
      </c>
      <c r="E121" s="19"/>
    </row>
    <row r="122" spans="1:121" x14ac:dyDescent="0.25">
      <c r="A122" s="30">
        <v>316.47345638748612</v>
      </c>
      <c r="C122" s="1" t="str">
        <f>INDEX(1:1048576,C117,D117)</f>
        <v>X</v>
      </c>
    </row>
    <row r="123" spans="1:121" x14ac:dyDescent="0.25">
      <c r="A123" s="30">
        <v>301.40329179760585</v>
      </c>
      <c r="C123" s="1" t="str">
        <f>"R"&amp;C121</f>
        <v>R145</v>
      </c>
      <c r="D123" s="1" t="str">
        <f>"C"&amp;D121</f>
        <v>C133</v>
      </c>
    </row>
    <row r="124" spans="1:121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121" x14ac:dyDescent="0.25">
      <c r="A125" s="30">
        <v>273.38167056472184</v>
      </c>
    </row>
    <row r="126" spans="1:121" x14ac:dyDescent="0.25">
      <c r="A126" s="30">
        <v>260.36349577592557</v>
      </c>
      <c r="C126" s="1" t="s">
        <v>10</v>
      </c>
    </row>
    <row r="127" spans="1:121" x14ac:dyDescent="0.25">
      <c r="A127" s="30">
        <v>247.96523407231004</v>
      </c>
      <c r="C127" s="30">
        <v>103.03467644609493</v>
      </c>
      <c r="D127"/>
      <c r="DM127" s="27" t="s">
        <v>8</v>
      </c>
    </row>
    <row r="128" spans="1:121" x14ac:dyDescent="0.25">
      <c r="A128" s="30">
        <v>236.15736578315241</v>
      </c>
      <c r="DM128" s="27" t="s">
        <v>8</v>
      </c>
      <c r="DN128" s="27" t="s">
        <v>7</v>
      </c>
      <c r="DO128" s="27" t="s">
        <v>8</v>
      </c>
      <c r="DQ128" s="27" t="s">
        <v>8</v>
      </c>
    </row>
    <row r="129" spans="1:130" x14ac:dyDescent="0.25">
      <c r="A129" s="30">
        <v>224.91177693633563</v>
      </c>
      <c r="C129" s="1" t="s">
        <v>11</v>
      </c>
      <c r="D129" s="1" t="s">
        <v>12</v>
      </c>
      <c r="E129"/>
      <c r="DM129" s="27" t="s">
        <v>8</v>
      </c>
      <c r="DN129" s="27" t="s">
        <v>7</v>
      </c>
      <c r="DO129" s="27" t="s">
        <v>8</v>
      </c>
      <c r="DP129" s="27" t="s">
        <v>7</v>
      </c>
      <c r="DQ129" s="27" t="s">
        <v>8</v>
      </c>
      <c r="DR129" s="27" t="s">
        <v>7</v>
      </c>
    </row>
    <row r="130" spans="1:130" x14ac:dyDescent="0.25">
      <c r="A130" s="30">
        <v>214.20169232031964</v>
      </c>
      <c r="C130" s="6"/>
      <c r="D130" s="6"/>
      <c r="E130"/>
      <c r="DC130" s="27" t="s">
        <v>8</v>
      </c>
      <c r="DK130" s="27" t="s">
        <v>8</v>
      </c>
      <c r="DM130" s="27" t="s">
        <v>8</v>
      </c>
      <c r="DN130" s="27" t="s">
        <v>7</v>
      </c>
      <c r="DO130" s="27" t="s">
        <v>8</v>
      </c>
      <c r="DP130" s="27" t="s">
        <v>7</v>
      </c>
      <c r="DQ130" s="27" t="s">
        <v>8</v>
      </c>
      <c r="DR130" s="27" t="s">
        <v>7</v>
      </c>
    </row>
    <row r="131" spans="1:130" x14ac:dyDescent="0.25">
      <c r="A131" s="30">
        <v>204.00161173363773</v>
      </c>
      <c r="E131"/>
      <c r="DC131" s="27" t="s">
        <v>8</v>
      </c>
      <c r="DD131" s="27" t="s">
        <v>7</v>
      </c>
      <c r="DK131" s="27" t="s">
        <v>8</v>
      </c>
      <c r="DL131" s="27" t="s">
        <v>7</v>
      </c>
      <c r="DM131" s="27" t="s">
        <v>8</v>
      </c>
      <c r="DN131" s="27" t="s">
        <v>7</v>
      </c>
      <c r="DO131" s="27" t="s">
        <v>8</v>
      </c>
      <c r="DP131" s="27" t="s">
        <v>7</v>
      </c>
      <c r="DQ131" s="27" t="s">
        <v>8</v>
      </c>
      <c r="DR131" s="27" t="s">
        <v>7</v>
      </c>
      <c r="DS131" s="27" t="s">
        <v>8</v>
      </c>
      <c r="DU131" s="27" t="s">
        <v>8</v>
      </c>
      <c r="DW131" s="27" t="s">
        <v>8</v>
      </c>
    </row>
    <row r="132" spans="1:130" x14ac:dyDescent="0.25">
      <c r="A132" s="30">
        <v>194.28724927013116</v>
      </c>
      <c r="C132" s="1" t="s">
        <v>13</v>
      </c>
      <c r="E132"/>
      <c r="DA132" s="27" t="s">
        <v>8</v>
      </c>
      <c r="DC132" s="27" t="s">
        <v>8</v>
      </c>
      <c r="DD132" s="27" t="s">
        <v>7</v>
      </c>
      <c r="DK132" s="27" t="s">
        <v>8</v>
      </c>
      <c r="DL132" s="27" t="s">
        <v>7</v>
      </c>
      <c r="DM132" s="27" t="s">
        <v>8</v>
      </c>
      <c r="DN132" s="27" t="s">
        <v>7</v>
      </c>
      <c r="DP132" s="27" t="s">
        <v>7</v>
      </c>
      <c r="DQ132" s="27" t="s">
        <v>8</v>
      </c>
      <c r="DR132" s="27" t="s">
        <v>7</v>
      </c>
      <c r="DS132" s="27" t="s">
        <v>8</v>
      </c>
      <c r="DT132" s="27" t="s">
        <v>7</v>
      </c>
      <c r="DU132" s="27" t="s">
        <v>8</v>
      </c>
      <c r="DV132" s="27" t="s">
        <v>7</v>
      </c>
      <c r="DW132" s="27" t="s">
        <v>8</v>
      </c>
      <c r="DX132" s="27" t="s">
        <v>7</v>
      </c>
    </row>
    <row r="133" spans="1:130" x14ac:dyDescent="0.25">
      <c r="A133" s="30">
        <v>185.03547549536299</v>
      </c>
      <c r="C133" s="1" t="str">
        <f>C122</f>
        <v>X</v>
      </c>
      <c r="E133"/>
      <c r="DA133" s="27" t="s">
        <v>8</v>
      </c>
      <c r="DB133" s="27" t="s">
        <v>7</v>
      </c>
      <c r="DC133" s="27" t="s">
        <v>8</v>
      </c>
      <c r="DD133" s="27" t="s">
        <v>7</v>
      </c>
      <c r="DK133" s="27" t="s">
        <v>8</v>
      </c>
      <c r="DL133" s="27" t="s">
        <v>7</v>
      </c>
      <c r="DP133" s="27" t="s">
        <v>7</v>
      </c>
      <c r="DR133" s="27" t="s">
        <v>7</v>
      </c>
      <c r="DS133" s="27" t="s">
        <v>8</v>
      </c>
      <c r="DT133" s="27" t="s">
        <v>7</v>
      </c>
      <c r="DU133" s="27" t="s">
        <v>8</v>
      </c>
      <c r="DV133" s="27" t="s">
        <v>7</v>
      </c>
      <c r="DW133" s="27" t="s">
        <v>8</v>
      </c>
      <c r="DX133" s="27" t="s">
        <v>7</v>
      </c>
    </row>
    <row r="134" spans="1:130" x14ac:dyDescent="0.25">
      <c r="A134" s="30">
        <v>176.22426237653616</v>
      </c>
      <c r="C134"/>
      <c r="E134"/>
      <c r="DA134" s="27" t="s">
        <v>8</v>
      </c>
      <c r="DB134" s="27" t="s">
        <v>7</v>
      </c>
      <c r="DC134" s="27" t="s">
        <v>8</v>
      </c>
      <c r="DD134" s="27" t="s">
        <v>7</v>
      </c>
      <c r="DI134" s="27" t="s">
        <v>8</v>
      </c>
      <c r="DK134" s="27" t="s">
        <v>8</v>
      </c>
      <c r="DR134" s="27" t="s">
        <v>7</v>
      </c>
      <c r="DT134" s="27" t="s">
        <v>7</v>
      </c>
      <c r="DV134" s="27" t="s">
        <v>7</v>
      </c>
      <c r="DW134" s="27" t="s">
        <v>8</v>
      </c>
      <c r="DX134" s="27" t="s">
        <v>7</v>
      </c>
    </row>
    <row r="135" spans="1:130" x14ac:dyDescent="0.25">
      <c r="A135" s="30">
        <v>167.83263083479633</v>
      </c>
      <c r="C135" s="1" t="s">
        <v>14</v>
      </c>
      <c r="E135"/>
      <c r="DA135" s="27" t="s">
        <v>8</v>
      </c>
      <c r="DB135" s="27" t="s">
        <v>7</v>
      </c>
      <c r="DC135" s="27" t="s">
        <v>8</v>
      </c>
      <c r="DD135" s="27" t="s">
        <v>7</v>
      </c>
      <c r="DE135" s="27" t="s">
        <v>8</v>
      </c>
      <c r="DI135" s="27" t="s">
        <v>8</v>
      </c>
      <c r="DJ135" s="27" t="s">
        <v>7</v>
      </c>
      <c r="DK135" s="27" t="s">
        <v>8</v>
      </c>
      <c r="DV135" s="27" t="s">
        <v>7</v>
      </c>
      <c r="DW135" s="27" t="s">
        <v>8</v>
      </c>
      <c r="DX135" s="27" t="s">
        <v>7</v>
      </c>
    </row>
    <row r="136" spans="1:130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DA136" s="27" t="s">
        <v>8</v>
      </c>
      <c r="DB136" s="27" t="s">
        <v>7</v>
      </c>
      <c r="DC136" s="27" t="s">
        <v>8</v>
      </c>
      <c r="DD136" s="27" t="s">
        <v>7</v>
      </c>
      <c r="DE136" s="27" t="s">
        <v>8</v>
      </c>
      <c r="DF136" s="27" t="s">
        <v>7</v>
      </c>
      <c r="DI136" s="27" t="s">
        <v>8</v>
      </c>
      <c r="DJ136" s="27" t="s">
        <v>7</v>
      </c>
      <c r="DK136" s="27" t="s">
        <v>8</v>
      </c>
      <c r="DV136" s="27" t="s">
        <v>7</v>
      </c>
      <c r="DW136" s="27" t="s">
        <v>8</v>
      </c>
      <c r="DX136" s="27" t="s">
        <v>7</v>
      </c>
    </row>
    <row r="137" spans="1:130" x14ac:dyDescent="0.25">
      <c r="A137" s="30">
        <v>152.22914361432771</v>
      </c>
      <c r="E137"/>
      <c r="DA137" s="27" t="s">
        <v>8</v>
      </c>
      <c r="DB137" s="27" t="s">
        <v>7</v>
      </c>
      <c r="DD137" s="27" t="s">
        <v>7</v>
      </c>
      <c r="DE137" s="27" t="s">
        <v>8</v>
      </c>
      <c r="DF137" s="27" t="s">
        <v>7</v>
      </c>
      <c r="DG137" s="27" t="s">
        <v>8</v>
      </c>
      <c r="DI137" s="27" t="s">
        <v>8</v>
      </c>
      <c r="DJ137" s="27" t="s">
        <v>7</v>
      </c>
      <c r="DK137" s="27" t="s">
        <v>8</v>
      </c>
      <c r="DV137" s="27" t="s">
        <v>7</v>
      </c>
      <c r="DX137" s="27" t="s">
        <v>7</v>
      </c>
      <c r="DY137" s="27" t="s">
        <v>8</v>
      </c>
    </row>
    <row r="138" spans="1:130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DA138" s="27" t="s">
        <v>8</v>
      </c>
      <c r="DD138" s="27" t="s">
        <v>7</v>
      </c>
      <c r="DE138" s="27" t="s">
        <v>8</v>
      </c>
      <c r="DF138" s="27" t="s">
        <v>7</v>
      </c>
      <c r="DG138" s="27" t="s">
        <v>8</v>
      </c>
      <c r="DH138" s="27" t="s">
        <v>7</v>
      </c>
      <c r="DI138" s="27" t="s">
        <v>8</v>
      </c>
      <c r="DJ138" s="27" t="s">
        <v>7</v>
      </c>
      <c r="DK138" s="27" t="s">
        <v>8</v>
      </c>
      <c r="DX138" s="27" t="s">
        <v>7</v>
      </c>
      <c r="DY138" s="27" t="s">
        <v>8</v>
      </c>
      <c r="DZ138" s="27" t="s">
        <v>7</v>
      </c>
    </row>
    <row r="139" spans="1:130" x14ac:dyDescent="0.25">
      <c r="A139" s="30">
        <v>138.07632073861922</v>
      </c>
      <c r="E139"/>
      <c r="DA139" s="27" t="s">
        <v>8</v>
      </c>
      <c r="DD139" s="27" t="s">
        <v>7</v>
      </c>
      <c r="DF139" s="27" t="s">
        <v>7</v>
      </c>
      <c r="DG139" s="27" t="s">
        <v>8</v>
      </c>
      <c r="DH139" s="27" t="s">
        <v>7</v>
      </c>
      <c r="DI139" s="27" t="s">
        <v>8</v>
      </c>
      <c r="DJ139" s="27" t="s">
        <v>7</v>
      </c>
      <c r="DX139" s="27" t="s">
        <v>7</v>
      </c>
      <c r="DY139" s="27" t="s">
        <v>8</v>
      </c>
      <c r="DZ139" s="27" t="s">
        <v>7</v>
      </c>
    </row>
    <row r="140" spans="1:130" x14ac:dyDescent="0.25">
      <c r="A140" s="30">
        <v>131.50125784630401</v>
      </c>
      <c r="C140" s="1">
        <v>0</v>
      </c>
      <c r="E140"/>
      <c r="DA140" s="27" t="s">
        <v>8</v>
      </c>
      <c r="DF140" s="27" t="s">
        <v>7</v>
      </c>
      <c r="DG140" s="27" t="s">
        <v>8</v>
      </c>
      <c r="DH140" s="27" t="s">
        <v>7</v>
      </c>
      <c r="DI140" s="27" t="s">
        <v>8</v>
      </c>
      <c r="DX140" s="27" t="s">
        <v>7</v>
      </c>
      <c r="DZ140" s="27" t="s">
        <v>7</v>
      </c>
    </row>
    <row r="141" spans="1:130" x14ac:dyDescent="0.25">
      <c r="A141" s="30">
        <v>125.23929318695619</v>
      </c>
      <c r="C141" s="1">
        <v>1</v>
      </c>
      <c r="E141"/>
      <c r="CY141" s="27" t="s">
        <v>8</v>
      </c>
      <c r="DA141" s="27" t="s">
        <v>8</v>
      </c>
      <c r="DF141" s="27" t="s">
        <v>7</v>
      </c>
      <c r="DG141" s="27" t="s">
        <v>8</v>
      </c>
      <c r="DH141" s="27" t="s">
        <v>7</v>
      </c>
      <c r="DZ141" s="27" t="s">
        <v>7</v>
      </c>
    </row>
    <row r="142" spans="1:130" x14ac:dyDescent="0.25">
      <c r="A142" s="30">
        <v>119.27551732091065</v>
      </c>
      <c r="C142" s="1">
        <v>2</v>
      </c>
      <c r="E142"/>
      <c r="CY142" s="27" t="s">
        <v>8</v>
      </c>
      <c r="CZ142" s="27" t="s">
        <v>7</v>
      </c>
      <c r="DA142" s="27" t="s">
        <v>8</v>
      </c>
      <c r="DF142" s="27" t="s">
        <v>7</v>
      </c>
      <c r="DZ142" s="27" t="s">
        <v>7</v>
      </c>
    </row>
    <row r="143" spans="1:130" x14ac:dyDescent="0.25">
      <c r="A143" s="30">
        <v>113.59573078181967</v>
      </c>
      <c r="C143" s="1">
        <v>3</v>
      </c>
      <c r="E143"/>
      <c r="CY143" s="27" t="s">
        <v>8</v>
      </c>
      <c r="CZ143" s="27" t="s">
        <v>7</v>
      </c>
      <c r="DA143" s="27" t="s">
        <v>8</v>
      </c>
      <c r="DZ143" s="27" t="s">
        <v>7</v>
      </c>
    </row>
    <row r="144" spans="1:130" x14ac:dyDescent="0.25">
      <c r="A144" s="30">
        <v>108.18641026839968</v>
      </c>
      <c r="C144" s="1">
        <v>4</v>
      </c>
      <c r="E144"/>
      <c r="CY144" s="27" t="s">
        <v>8</v>
      </c>
      <c r="CZ144" s="27" t="s">
        <v>7</v>
      </c>
      <c r="DZ144" s="27" t="s">
        <v>7</v>
      </c>
    </row>
    <row r="145" spans="1:133" x14ac:dyDescent="0.25">
      <c r="A145" s="30">
        <v>103.03467644609493</v>
      </c>
      <c r="E145"/>
      <c r="CY145" s="27" t="s">
        <v>8</v>
      </c>
      <c r="DZ145" s="27" t="s">
        <v>7</v>
      </c>
      <c r="EA145" s="27" t="s">
        <v>8</v>
      </c>
      <c r="EC145" s="27" t="s">
        <v>8</v>
      </c>
    </row>
    <row r="146" spans="1:133" x14ac:dyDescent="0.25">
      <c r="A146" s="30">
        <v>98.128263281995174</v>
      </c>
      <c r="E146"/>
      <c r="CY146" s="27" t="s">
        <v>8</v>
      </c>
      <c r="DZ146" s="27" t="s">
        <v>7</v>
      </c>
      <c r="EA146" s="27" t="s">
        <v>8</v>
      </c>
      <c r="EB146" s="27" t="s">
        <v>7</v>
      </c>
      <c r="EC146" s="27" t="s">
        <v>8</v>
      </c>
    </row>
    <row r="147" spans="1:133" x14ac:dyDescent="0.25">
      <c r="A147" s="30">
        <v>93.455488839995397</v>
      </c>
      <c r="E147"/>
      <c r="CY147" s="27" t="s">
        <v>8</v>
      </c>
      <c r="DZ147" s="27" t="s">
        <v>7</v>
      </c>
      <c r="EA147" s="27" t="s">
        <v>8</v>
      </c>
      <c r="EB147" s="27" t="s">
        <v>7</v>
      </c>
      <c r="EC147" s="27" t="s">
        <v>8</v>
      </c>
    </row>
    <row r="148" spans="1:133" x14ac:dyDescent="0.25">
      <c r="A148" s="30">
        <v>89.005227466662276</v>
      </c>
      <c r="E148"/>
      <c r="CY148" s="27" t="s">
        <v>8</v>
      </c>
      <c r="DZ148" s="27" t="s">
        <v>7</v>
      </c>
      <c r="EB148" s="27" t="s">
        <v>7</v>
      </c>
      <c r="EC148" s="27" t="s">
        <v>8</v>
      </c>
    </row>
    <row r="149" spans="1:133" x14ac:dyDescent="0.25">
      <c r="A149" s="30">
        <v>84.766883301583121</v>
      </c>
      <c r="E149"/>
      <c r="CY149" s="27" t="s">
        <v>8</v>
      </c>
      <c r="EB149" s="27" t="s">
        <v>7</v>
      </c>
    </row>
    <row r="150" spans="1:133" x14ac:dyDescent="0.25">
      <c r="A150" s="30">
        <v>80.730365049126775</v>
      </c>
      <c r="E150"/>
      <c r="CW150" s="27" t="s">
        <v>8</v>
      </c>
      <c r="CY150" s="27" t="s">
        <v>8</v>
      </c>
    </row>
    <row r="151" spans="1:133" x14ac:dyDescent="0.25">
      <c r="A151" s="30">
        <v>76.886061951549308</v>
      </c>
      <c r="E151"/>
      <c r="CW151" s="27" t="s">
        <v>8</v>
      </c>
      <c r="CX151" s="27" t="s">
        <v>7</v>
      </c>
      <c r="CY151" s="27" t="s">
        <v>8</v>
      </c>
    </row>
    <row r="152" spans="1:133" x14ac:dyDescent="0.25">
      <c r="A152" s="30">
        <v>73.22482090623744</v>
      </c>
      <c r="E152"/>
      <c r="CW152" s="27" t="s">
        <v>8</v>
      </c>
      <c r="CX152" s="27" t="s">
        <v>7</v>
      </c>
      <c r="CY152" s="27" t="s">
        <v>8</v>
      </c>
    </row>
    <row r="153" spans="1:133" x14ac:dyDescent="0.25">
      <c r="A153" s="30">
        <v>69.737924672607079</v>
      </c>
      <c r="C153" s="7"/>
      <c r="D153"/>
      <c r="E153"/>
      <c r="CW153" s="27" t="s">
        <v>8</v>
      </c>
      <c r="CX153" s="27" t="s">
        <v>7</v>
      </c>
      <c r="CY153" s="27" t="s">
        <v>8</v>
      </c>
    </row>
    <row r="154" spans="1:133" x14ac:dyDescent="0.25">
      <c r="A154" s="30">
        <v>66.417071116768639</v>
      </c>
      <c r="E154"/>
      <c r="CW154" s="27" t="s">
        <v>8</v>
      </c>
      <c r="CX154" s="27" t="s">
        <v>7</v>
      </c>
    </row>
    <row r="155" spans="1:133" x14ac:dyDescent="0.25">
      <c r="A155" s="30">
        <v>63.254353444541557</v>
      </c>
      <c r="E155"/>
      <c r="CW155" s="27" t="s">
        <v>8</v>
      </c>
    </row>
    <row r="156" spans="1:133" x14ac:dyDescent="0.25">
      <c r="A156" s="30">
        <v>60.242241375753864</v>
      </c>
      <c r="C156"/>
      <c r="D156"/>
      <c r="E156"/>
      <c r="CW156" s="27" t="s">
        <v>8</v>
      </c>
    </row>
    <row r="157" spans="1:133" x14ac:dyDescent="0.25">
      <c r="A157" s="30">
        <v>57.373563215003678</v>
      </c>
      <c r="E157"/>
      <c r="CC157" s="27" t="s">
        <v>8</v>
      </c>
      <c r="CW157" s="27" t="s">
        <v>8</v>
      </c>
    </row>
    <row r="158" spans="1:133" x14ac:dyDescent="0.25">
      <c r="A158" s="30">
        <v>54.641488776193974</v>
      </c>
      <c r="E158"/>
      <c r="CC158" s="27" t="s">
        <v>8</v>
      </c>
      <c r="CD158" s="27" t="s">
        <v>7</v>
      </c>
      <c r="CW158" s="27" t="s">
        <v>8</v>
      </c>
    </row>
    <row r="159" spans="1:133" x14ac:dyDescent="0.25">
      <c r="A159" s="30">
        <v>52.039513120184736</v>
      </c>
      <c r="E159"/>
      <c r="CA159" s="27" t="s">
        <v>8</v>
      </c>
      <c r="CC159" s="27" t="s">
        <v>8</v>
      </c>
      <c r="CD159" s="27" t="s">
        <v>7</v>
      </c>
      <c r="CE159" s="27" t="s">
        <v>8</v>
      </c>
      <c r="CW159" s="27" t="s">
        <v>8</v>
      </c>
    </row>
    <row r="160" spans="1:133" x14ac:dyDescent="0.25">
      <c r="A160" s="30">
        <v>49.561441066842605</v>
      </c>
      <c r="C160"/>
      <c r="E160"/>
      <c r="BW160" s="27" t="s">
        <v>8</v>
      </c>
      <c r="CA160" s="33" t="s">
        <v>8</v>
      </c>
      <c r="CB160" s="27" t="s">
        <v>7</v>
      </c>
      <c r="CC160" s="27" t="s">
        <v>8</v>
      </c>
      <c r="CD160" s="27" t="s">
        <v>7</v>
      </c>
      <c r="CE160" s="27" t="s">
        <v>8</v>
      </c>
      <c r="CF160" s="27" t="s">
        <v>7</v>
      </c>
      <c r="CW160" s="27" t="s">
        <v>8</v>
      </c>
    </row>
    <row r="161" spans="1:101" x14ac:dyDescent="0.25">
      <c r="A161" s="30">
        <v>47.201372444612005</v>
      </c>
      <c r="E161"/>
      <c r="BU161" s="27" t="s">
        <v>8</v>
      </c>
      <c r="BW161" s="27" t="s">
        <v>8</v>
      </c>
      <c r="BX161" s="27" t="s">
        <v>7</v>
      </c>
      <c r="BY161" s="27" t="s">
        <v>8</v>
      </c>
      <c r="CA161" s="27" t="s">
        <v>8</v>
      </c>
      <c r="CB161" s="27" t="s">
        <v>7</v>
      </c>
      <c r="CC161" s="27" t="s">
        <v>8</v>
      </c>
      <c r="CD161" s="27" t="s">
        <v>7</v>
      </c>
      <c r="CE161" s="27" t="s">
        <v>8</v>
      </c>
      <c r="CF161" s="27" t="s">
        <v>7</v>
      </c>
      <c r="CW161" s="27" t="s">
        <v>8</v>
      </c>
    </row>
    <row r="162" spans="1:101" x14ac:dyDescent="0.25">
      <c r="A162" s="30">
        <v>44.95368804248762</v>
      </c>
      <c r="E162"/>
      <c r="BU162" s="27" t="s">
        <v>8</v>
      </c>
      <c r="BV162" s="27" t="s">
        <v>7</v>
      </c>
      <c r="BW162" s="27" t="s">
        <v>8</v>
      </c>
      <c r="BX162" s="27" t="s">
        <v>7</v>
      </c>
      <c r="BY162" s="27" t="s">
        <v>8</v>
      </c>
      <c r="BZ162" s="27" t="s">
        <v>7</v>
      </c>
      <c r="CA162" s="27" t="s">
        <v>8</v>
      </c>
      <c r="CB162" s="27" t="s">
        <v>7</v>
      </c>
      <c r="CD162" s="27" t="s">
        <v>7</v>
      </c>
      <c r="CE162" s="27" t="s">
        <v>8</v>
      </c>
      <c r="CF162" s="27" t="s">
        <v>7</v>
      </c>
      <c r="CW162" s="27" t="s">
        <v>8</v>
      </c>
    </row>
    <row r="163" spans="1:101" x14ac:dyDescent="0.25">
      <c r="A163" s="30">
        <v>42.81303623094059</v>
      </c>
      <c r="E163"/>
      <c r="BU163" s="27" t="s">
        <v>8</v>
      </c>
      <c r="BV163" s="27" t="s">
        <v>7</v>
      </c>
      <c r="BW163" s="27" t="s">
        <v>8</v>
      </c>
      <c r="BX163" s="27" t="s">
        <v>7</v>
      </c>
      <c r="BY163" s="27" t="s">
        <v>8</v>
      </c>
      <c r="BZ163" s="27" t="s">
        <v>7</v>
      </c>
      <c r="CA163" s="27" t="s">
        <v>8</v>
      </c>
      <c r="CD163" s="34" t="s">
        <v>7</v>
      </c>
      <c r="CE163" s="27" t="s">
        <v>8</v>
      </c>
      <c r="CF163" s="27" t="s">
        <v>7</v>
      </c>
      <c r="CM163" s="32" t="s">
        <v>8</v>
      </c>
      <c r="CO163" s="32" t="s">
        <v>8</v>
      </c>
      <c r="CW163" s="27" t="s">
        <v>8</v>
      </c>
    </row>
    <row r="164" spans="1:101" x14ac:dyDescent="0.25">
      <c r="A164" s="30">
        <v>40.774320219943419</v>
      </c>
      <c r="E164"/>
      <c r="BS164" s="27" t="s">
        <v>8</v>
      </c>
      <c r="BU164" s="27" t="s">
        <v>8</v>
      </c>
      <c r="BV164" s="32" t="s">
        <v>7</v>
      </c>
      <c r="BX164" s="32" t="s">
        <v>7</v>
      </c>
      <c r="BZ164" s="27" t="s">
        <v>7</v>
      </c>
      <c r="CA164" s="27" t="s">
        <v>8</v>
      </c>
      <c r="CD164" s="27" t="s">
        <v>7</v>
      </c>
      <c r="CE164" s="27" t="s">
        <v>8</v>
      </c>
      <c r="CF164" s="27" t="s">
        <v>7</v>
      </c>
      <c r="CK164" s="27" t="s">
        <v>8</v>
      </c>
      <c r="CM164" s="27" t="s">
        <v>8</v>
      </c>
      <c r="CN164" s="27" t="s">
        <v>7</v>
      </c>
      <c r="CO164" s="27" t="s">
        <v>8</v>
      </c>
      <c r="CP164" s="27" t="s">
        <v>7</v>
      </c>
      <c r="CQ164" s="27" t="s">
        <v>8</v>
      </c>
      <c r="CW164" s="27" t="s">
        <v>8</v>
      </c>
    </row>
    <row r="165" spans="1:101" x14ac:dyDescent="0.25">
      <c r="A165" s="30">
        <v>38.832685923755633</v>
      </c>
      <c r="E165"/>
      <c r="BS165" s="27" t="s">
        <v>8</v>
      </c>
      <c r="BT165" s="27" t="s">
        <v>7</v>
      </c>
      <c r="BU165" s="27" t="s">
        <v>8</v>
      </c>
      <c r="BZ165" s="34" t="s">
        <v>7</v>
      </c>
      <c r="CD165" s="27" t="s">
        <v>7</v>
      </c>
      <c r="CE165" s="27" t="s">
        <v>8</v>
      </c>
      <c r="CF165" s="27" t="s">
        <v>7</v>
      </c>
      <c r="CK165" s="27" t="s">
        <v>8</v>
      </c>
      <c r="CL165" s="27" t="s">
        <v>7</v>
      </c>
      <c r="CM165" s="27" t="s">
        <v>8</v>
      </c>
      <c r="CN165" s="27" t="s">
        <v>7</v>
      </c>
      <c r="CO165" s="27" t="s">
        <v>8</v>
      </c>
      <c r="CP165" s="27" t="s">
        <v>7</v>
      </c>
      <c r="CQ165" s="27" t="s">
        <v>8</v>
      </c>
      <c r="CR165" s="27" t="s">
        <v>7</v>
      </c>
      <c r="CW165" s="33" t="s">
        <v>8</v>
      </c>
    </row>
    <row r="166" spans="1:101" x14ac:dyDescent="0.25">
      <c r="A166" s="30">
        <v>36.983510403576794</v>
      </c>
      <c r="E166"/>
      <c r="BS166" s="27" t="s">
        <v>8</v>
      </c>
      <c r="BT166" s="27" t="s">
        <v>7</v>
      </c>
      <c r="BU166" s="27" t="s">
        <v>8</v>
      </c>
      <c r="CD166" s="27" t="s">
        <v>7</v>
      </c>
      <c r="CE166" s="27" t="s">
        <v>8</v>
      </c>
      <c r="CF166" s="27" t="s">
        <v>7</v>
      </c>
      <c r="CI166" s="27" t="s">
        <v>8</v>
      </c>
      <c r="CK166" s="27" t="s">
        <v>8</v>
      </c>
      <c r="CL166" s="27" t="s">
        <v>7</v>
      </c>
      <c r="CM166" s="27" t="s">
        <v>8</v>
      </c>
      <c r="CN166" s="27" t="s">
        <v>7</v>
      </c>
      <c r="CO166" s="27" t="s">
        <v>8</v>
      </c>
      <c r="CP166" s="27" t="s">
        <v>7</v>
      </c>
      <c r="CQ166" s="27" t="s">
        <v>8</v>
      </c>
      <c r="CR166" s="27" t="s">
        <v>7</v>
      </c>
      <c r="CU166" s="27" t="s">
        <v>8</v>
      </c>
      <c r="CW166" s="27" t="s">
        <v>8</v>
      </c>
    </row>
    <row r="167" spans="1:101" x14ac:dyDescent="0.25">
      <c r="A167" s="30">
        <v>35.222390860549325</v>
      </c>
      <c r="E167"/>
      <c r="BQ167" s="27" t="s">
        <v>8</v>
      </c>
      <c r="BS167" s="27" t="s">
        <v>8</v>
      </c>
      <c r="BT167" s="27" t="s">
        <v>7</v>
      </c>
      <c r="BU167" s="27" t="s">
        <v>8</v>
      </c>
      <c r="CD167" s="27" t="s">
        <v>7</v>
      </c>
      <c r="CE167" s="27" t="s">
        <v>8</v>
      </c>
      <c r="CF167" s="27" t="s">
        <v>7</v>
      </c>
      <c r="CI167" s="27" t="s">
        <v>8</v>
      </c>
      <c r="CJ167" s="27" t="s">
        <v>7</v>
      </c>
      <c r="CK167" s="27" t="s">
        <v>8</v>
      </c>
      <c r="CL167" s="32" t="s">
        <v>7</v>
      </c>
      <c r="CN167" s="32" t="s">
        <v>7</v>
      </c>
      <c r="CP167" s="32" t="s">
        <v>7</v>
      </c>
      <c r="CR167" s="27" t="s">
        <v>7</v>
      </c>
      <c r="CU167" s="27" t="s">
        <v>8</v>
      </c>
      <c r="CV167" s="27" t="s">
        <v>7</v>
      </c>
      <c r="CW167" s="27" t="s">
        <v>8</v>
      </c>
    </row>
    <row r="168" spans="1:101" x14ac:dyDescent="0.25">
      <c r="A168" s="30">
        <v>33.545134152904119</v>
      </c>
      <c r="E168"/>
      <c r="BQ168" s="27" t="s">
        <v>8</v>
      </c>
      <c r="BR168" s="27" t="s">
        <v>7</v>
      </c>
      <c r="BS168" s="27" t="s">
        <v>8</v>
      </c>
      <c r="BT168" s="27" t="s">
        <v>7</v>
      </c>
      <c r="BU168" s="27" t="s">
        <v>8</v>
      </c>
      <c r="CD168" s="27" t="s">
        <v>7</v>
      </c>
      <c r="CE168" s="27" t="s">
        <v>8</v>
      </c>
      <c r="CF168" s="27" t="s">
        <v>7</v>
      </c>
      <c r="CI168" s="33" t="s">
        <v>8</v>
      </c>
      <c r="CJ168" s="27" t="s">
        <v>7</v>
      </c>
      <c r="CK168" s="27" t="s">
        <v>8</v>
      </c>
      <c r="CR168" s="34" t="s">
        <v>7</v>
      </c>
      <c r="CU168" s="33" t="s">
        <v>8</v>
      </c>
      <c r="CV168" s="27" t="s">
        <v>7</v>
      </c>
      <c r="CW168" s="27" t="s">
        <v>8</v>
      </c>
    </row>
    <row r="169" spans="1:101" x14ac:dyDescent="0.25">
      <c r="A169" s="30">
        <v>31.947746812289637</v>
      </c>
      <c r="E169"/>
      <c r="BQ169" s="27" t="s">
        <v>8</v>
      </c>
      <c r="BR169" s="27" t="s">
        <v>7</v>
      </c>
      <c r="BS169" s="27" t="s">
        <v>8</v>
      </c>
      <c r="BT169" s="27" t="s">
        <v>7</v>
      </c>
      <c r="CD169" s="27" t="s">
        <v>7</v>
      </c>
      <c r="CE169" s="27" t="s">
        <v>8</v>
      </c>
      <c r="CF169" s="27" t="s">
        <v>7</v>
      </c>
      <c r="CG169" s="27" t="s">
        <v>8</v>
      </c>
      <c r="CI169" s="27" t="s">
        <v>8</v>
      </c>
      <c r="CJ169" s="27" t="s">
        <v>7</v>
      </c>
      <c r="CK169" s="27" t="s">
        <v>8</v>
      </c>
      <c r="CR169" s="27" t="s">
        <v>7</v>
      </c>
      <c r="CS169" s="27" t="s">
        <v>8</v>
      </c>
      <c r="CU169" s="27" t="s">
        <v>8</v>
      </c>
      <c r="CV169" s="27" t="s">
        <v>7</v>
      </c>
      <c r="CW169" s="27" t="s">
        <v>8</v>
      </c>
    </row>
    <row r="170" spans="1:101" x14ac:dyDescent="0.25">
      <c r="A170" s="30">
        <v>30.426425535513939</v>
      </c>
      <c r="E170"/>
      <c r="BQ170" s="27" t="s">
        <v>8</v>
      </c>
      <c r="BR170" s="27" t="s">
        <v>7</v>
      </c>
      <c r="BS170" s="27" t="s">
        <v>8</v>
      </c>
      <c r="CD170" s="27" t="s">
        <v>7</v>
      </c>
      <c r="CE170" s="27" t="s">
        <v>8</v>
      </c>
      <c r="CF170" s="27" t="s">
        <v>7</v>
      </c>
      <c r="CG170" s="27" t="s">
        <v>8</v>
      </c>
      <c r="CH170" s="27" t="s">
        <v>7</v>
      </c>
      <c r="CI170" s="27" t="s">
        <v>8</v>
      </c>
      <c r="CJ170" s="27" t="s">
        <v>7</v>
      </c>
      <c r="CK170" s="27" t="s">
        <v>8</v>
      </c>
      <c r="CR170" s="27" t="s">
        <v>7</v>
      </c>
      <c r="CS170" s="27" t="s">
        <v>8</v>
      </c>
      <c r="CT170" s="27" t="s">
        <v>7</v>
      </c>
      <c r="CU170" s="27" t="s">
        <v>8</v>
      </c>
      <c r="CV170" s="27" t="s">
        <v>7</v>
      </c>
      <c r="CW170" s="27" t="s">
        <v>8</v>
      </c>
    </row>
    <row r="171" spans="1:101" x14ac:dyDescent="0.25">
      <c r="A171" s="30">
        <v>28.977548129060892</v>
      </c>
      <c r="E171"/>
      <c r="BO171" s="27" t="s">
        <v>8</v>
      </c>
      <c r="BQ171" s="27" t="s">
        <v>8</v>
      </c>
      <c r="BR171" s="27" t="s">
        <v>7</v>
      </c>
      <c r="CD171" s="27" t="s">
        <v>7</v>
      </c>
      <c r="CE171" s="27" t="s">
        <v>8</v>
      </c>
      <c r="CF171" s="27" t="s">
        <v>7</v>
      </c>
      <c r="CG171" s="27" t="s">
        <v>8</v>
      </c>
      <c r="CH171" s="27" t="s">
        <v>7</v>
      </c>
      <c r="CI171" s="27" t="s">
        <v>8</v>
      </c>
      <c r="CJ171" s="27" t="s">
        <v>7</v>
      </c>
      <c r="CK171" s="27" t="s">
        <v>8</v>
      </c>
      <c r="CR171" s="27" t="s">
        <v>7</v>
      </c>
      <c r="CS171" s="27" t="s">
        <v>8</v>
      </c>
      <c r="CT171" s="27" t="s">
        <v>7</v>
      </c>
      <c r="CU171" s="27" t="s">
        <v>8</v>
      </c>
      <c r="CV171" s="27" t="s">
        <v>7</v>
      </c>
      <c r="CW171" s="27" t="s">
        <v>8</v>
      </c>
    </row>
    <row r="172" spans="1:101" x14ac:dyDescent="0.25">
      <c r="A172" s="30">
        <v>27.597664884819896</v>
      </c>
      <c r="E172"/>
      <c r="BO172" s="27" t="s">
        <v>8</v>
      </c>
      <c r="BP172" s="27" t="s">
        <v>7</v>
      </c>
      <c r="BQ172" s="27" t="s">
        <v>8</v>
      </c>
      <c r="CD172" s="27" t="s">
        <v>7</v>
      </c>
      <c r="CF172" s="27" t="s">
        <v>7</v>
      </c>
      <c r="CG172" s="27" t="s">
        <v>8</v>
      </c>
      <c r="CH172" s="27" t="s">
        <v>7</v>
      </c>
      <c r="CI172" s="27" t="s">
        <v>8</v>
      </c>
      <c r="CJ172" s="27" t="s">
        <v>7</v>
      </c>
      <c r="CK172" s="27" t="s">
        <v>8</v>
      </c>
      <c r="CR172" s="27" t="s">
        <v>7</v>
      </c>
      <c r="CS172" s="27" t="s">
        <v>8</v>
      </c>
      <c r="CT172" s="27" t="s">
        <v>7</v>
      </c>
      <c r="CV172" s="27" t="s">
        <v>7</v>
      </c>
      <c r="CW172" s="27" t="s">
        <v>8</v>
      </c>
    </row>
    <row r="173" spans="1:101" x14ac:dyDescent="0.25">
      <c r="A173" s="30">
        <v>26.283490366495137</v>
      </c>
      <c r="E173"/>
      <c r="BO173" s="27" t="s">
        <v>8</v>
      </c>
      <c r="BP173" s="27" t="s">
        <v>7</v>
      </c>
      <c r="BQ173" s="27" t="s">
        <v>8</v>
      </c>
      <c r="CF173" s="27" t="s">
        <v>7</v>
      </c>
      <c r="CG173" s="27" t="s">
        <v>8</v>
      </c>
      <c r="CH173" s="32" t="s">
        <v>7</v>
      </c>
      <c r="CJ173" s="32" t="s">
        <v>7</v>
      </c>
      <c r="CR173" s="27" t="s">
        <v>7</v>
      </c>
      <c r="CS173" s="27" t="s">
        <v>8</v>
      </c>
      <c r="CV173" s="34" t="s">
        <v>7</v>
      </c>
      <c r="CW173" s="27" t="s">
        <v>8</v>
      </c>
    </row>
    <row r="174" spans="1:101" x14ac:dyDescent="0.25">
      <c r="A174" s="30">
        <v>25.031895587138223</v>
      </c>
      <c r="E174"/>
      <c r="BO174" s="27" t="s">
        <v>8</v>
      </c>
      <c r="BP174" s="27" t="s">
        <v>7</v>
      </c>
      <c r="BQ174" s="27" t="s">
        <v>8</v>
      </c>
      <c r="CF174" s="27" t="s">
        <v>7</v>
      </c>
      <c r="CG174" s="27" t="s">
        <v>8</v>
      </c>
      <c r="CR174" s="27" t="s">
        <v>7</v>
      </c>
      <c r="CS174" s="27" t="s">
        <v>8</v>
      </c>
      <c r="CV174" s="18" t="s">
        <v>7</v>
      </c>
      <c r="CW174" s="27" t="s">
        <v>8</v>
      </c>
    </row>
    <row r="175" spans="1:101" x14ac:dyDescent="0.25">
      <c r="A175" s="30">
        <v>23.839900559179259</v>
      </c>
      <c r="E175"/>
      <c r="BO175" s="27" t="s">
        <v>8</v>
      </c>
      <c r="BP175" s="27" t="s">
        <v>7</v>
      </c>
      <c r="BQ175" s="27" t="s">
        <v>8</v>
      </c>
      <c r="CF175" s="27" t="s">
        <v>7</v>
      </c>
      <c r="CG175" s="27" t="s">
        <v>8</v>
      </c>
      <c r="CR175" s="27" t="s">
        <v>7</v>
      </c>
      <c r="CS175" s="27" t="s">
        <v>8</v>
      </c>
      <c r="CV175" s="31" t="s">
        <v>7</v>
      </c>
      <c r="CW175" s="27" t="s">
        <v>8</v>
      </c>
    </row>
    <row r="176" spans="1:101" x14ac:dyDescent="0.25">
      <c r="A176" s="30">
        <v>22.704667199218342</v>
      </c>
      <c r="E176"/>
      <c r="BO176" s="27" t="s">
        <v>8</v>
      </c>
      <c r="BP176" s="27" t="s">
        <v>7</v>
      </c>
      <c r="BQ176" s="27" t="s">
        <v>8</v>
      </c>
      <c r="CF176" s="27" t="s">
        <v>7</v>
      </c>
      <c r="CG176" s="27" t="s">
        <v>8</v>
      </c>
      <c r="CR176" s="27" t="s">
        <v>7</v>
      </c>
      <c r="CS176" s="27" t="s">
        <v>8</v>
      </c>
      <c r="CU176" s="31"/>
      <c r="CV176" s="27" t="s">
        <v>7</v>
      </c>
    </row>
    <row r="177" spans="1:98" x14ac:dyDescent="0.25">
      <c r="A177" s="30">
        <v>21.623492570684135</v>
      </c>
      <c r="E177"/>
      <c r="BO177" s="27" t="s">
        <v>8</v>
      </c>
      <c r="BP177" s="27" t="s">
        <v>7</v>
      </c>
      <c r="CF177" s="27" t="s">
        <v>7</v>
      </c>
      <c r="CG177" s="27" t="s">
        <v>8</v>
      </c>
      <c r="CR177" s="27" t="s">
        <v>7</v>
      </c>
      <c r="CS177" s="27" t="s">
        <v>8</v>
      </c>
      <c r="CT177" s="31"/>
    </row>
    <row r="178" spans="1:98" x14ac:dyDescent="0.25">
      <c r="A178" s="30">
        <v>20.593802448270605</v>
      </c>
      <c r="C178" s="7"/>
      <c r="D178"/>
      <c r="E178"/>
      <c r="BO178" s="27" t="s">
        <v>8</v>
      </c>
      <c r="CF178" s="27" t="s">
        <v>7</v>
      </c>
      <c r="CG178" s="27" t="s">
        <v>8</v>
      </c>
      <c r="CR178" s="27" t="s">
        <v>7</v>
      </c>
      <c r="CS178" s="31"/>
    </row>
    <row r="179" spans="1:98" x14ac:dyDescent="0.25">
      <c r="A179" s="30">
        <v>19.613145188829147</v>
      </c>
      <c r="E179"/>
      <c r="BO179" s="27" t="s">
        <v>8</v>
      </c>
      <c r="CF179" s="27" t="s">
        <v>7</v>
      </c>
      <c r="CR179" s="31"/>
    </row>
    <row r="180" spans="1:98" x14ac:dyDescent="0.25">
      <c r="A180" s="30">
        <v>18.679185894122998</v>
      </c>
      <c r="E180"/>
      <c r="BO180" s="27" t="s">
        <v>8</v>
      </c>
      <c r="CQ180" s="31"/>
    </row>
    <row r="181" spans="1:98" x14ac:dyDescent="0.25">
      <c r="A181" s="30">
        <v>17.78970085154571</v>
      </c>
      <c r="C181"/>
      <c r="D181"/>
      <c r="E181"/>
      <c r="BG181" s="27" t="s">
        <v>8</v>
      </c>
      <c r="BO181" s="27" t="s">
        <v>8</v>
      </c>
      <c r="CP181" s="31"/>
    </row>
    <row r="182" spans="1:98" x14ac:dyDescent="0.25">
      <c r="A182" s="30">
        <v>16.942572239567344</v>
      </c>
      <c r="E182"/>
      <c r="BG182" s="27" t="s">
        <v>8</v>
      </c>
      <c r="BH182" s="27" t="s">
        <v>7</v>
      </c>
      <c r="BO182" s="33" t="s">
        <v>8</v>
      </c>
      <c r="CO182" s="31"/>
    </row>
    <row r="183" spans="1:98" x14ac:dyDescent="0.25">
      <c r="A183" s="30">
        <v>16.135783085302233</v>
      </c>
      <c r="E183"/>
      <c r="BG183" s="27" t="s">
        <v>8</v>
      </c>
      <c r="BH183" s="27" t="s">
        <v>7</v>
      </c>
      <c r="BK183" s="32" t="s">
        <v>8</v>
      </c>
      <c r="BM183" s="32" t="s">
        <v>8</v>
      </c>
      <c r="BO183" s="27" t="s">
        <v>8</v>
      </c>
      <c r="CN183" s="31"/>
    </row>
    <row r="184" spans="1:98" x14ac:dyDescent="0.25">
      <c r="A184" s="30">
        <v>15.367412462192602</v>
      </c>
      <c r="E184"/>
      <c r="BG184" s="27" t="s">
        <v>8</v>
      </c>
      <c r="BH184" s="27" t="s">
        <v>7</v>
      </c>
      <c r="BI184" s="27" t="s">
        <v>8</v>
      </c>
      <c r="BK184" s="27" t="s">
        <v>8</v>
      </c>
      <c r="BL184" s="27" t="s">
        <v>7</v>
      </c>
      <c r="BM184" s="27" t="s">
        <v>8</v>
      </c>
      <c r="BN184" s="27" t="s">
        <v>7</v>
      </c>
      <c r="BO184" s="27" t="s">
        <v>8</v>
      </c>
      <c r="CM184" s="31"/>
    </row>
    <row r="185" spans="1:98" x14ac:dyDescent="0.25">
      <c r="A185" s="30">
        <v>14.635630916373906</v>
      </c>
      <c r="C185"/>
      <c r="E185"/>
      <c r="BG185" s="27" t="s">
        <v>8</v>
      </c>
      <c r="BH185" s="27" t="s">
        <v>7</v>
      </c>
      <c r="BI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N185" s="27" t="s">
        <v>7</v>
      </c>
      <c r="BO185" s="27" t="s">
        <v>8</v>
      </c>
      <c r="CL185" s="31"/>
    </row>
    <row r="186" spans="1:98" x14ac:dyDescent="0.25">
      <c r="A186" s="30">
        <v>13.938696110832291</v>
      </c>
      <c r="E186"/>
      <c r="BG186" s="27" t="s">
        <v>8</v>
      </c>
      <c r="BH186" s="27" t="s">
        <v>7</v>
      </c>
      <c r="BI186" s="27" t="s">
        <v>8</v>
      </c>
      <c r="BJ186" s="27" t="s">
        <v>7</v>
      </c>
      <c r="BK186" s="27" t="s">
        <v>8</v>
      </c>
      <c r="BL186" s="27" t="s">
        <v>7</v>
      </c>
      <c r="BM186" s="27" t="s">
        <v>8</v>
      </c>
      <c r="BN186" s="27" t="s">
        <v>7</v>
      </c>
      <c r="BO186" s="27" t="s">
        <v>8</v>
      </c>
      <c r="CK186" s="31"/>
    </row>
    <row r="187" spans="1:9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G187" s="27" t="s">
        <v>8</v>
      </c>
      <c r="BH187" s="27" t="s">
        <v>7</v>
      </c>
      <c r="BI187" s="27" t="s">
        <v>8</v>
      </c>
      <c r="BJ187" s="27" t="s">
        <v>7</v>
      </c>
      <c r="BK187" s="27" t="s">
        <v>8</v>
      </c>
      <c r="BL187" s="27" t="s">
        <v>7</v>
      </c>
      <c r="BN187" s="27" t="s">
        <v>7</v>
      </c>
      <c r="BO187" s="27" t="s">
        <v>8</v>
      </c>
      <c r="CJ187" s="31"/>
    </row>
    <row r="188" spans="1:98" x14ac:dyDescent="0.25">
      <c r="A188" s="30">
        <v>12.64280826379346</v>
      </c>
      <c r="E188"/>
      <c r="BG188" s="27" t="s">
        <v>8</v>
      </c>
      <c r="BH188" s="27" t="s">
        <v>7</v>
      </c>
      <c r="BI188" s="27" t="s">
        <v>8</v>
      </c>
      <c r="BJ188" s="27" t="s">
        <v>7</v>
      </c>
      <c r="BK188" s="27" t="s">
        <v>8</v>
      </c>
      <c r="BN188" s="34" t="s">
        <v>7</v>
      </c>
      <c r="CI188" s="31"/>
    </row>
    <row r="189" spans="1:98" x14ac:dyDescent="0.25">
      <c r="A189" s="30">
        <v>12.04076977504139</v>
      </c>
      <c r="E189"/>
      <c r="BG189" s="27" t="s">
        <v>8</v>
      </c>
      <c r="BH189" s="27" t="s">
        <v>7</v>
      </c>
      <c r="BI189" s="27" t="s">
        <v>8</v>
      </c>
      <c r="BJ189" s="27" t="s">
        <v>7</v>
      </c>
      <c r="CH189" s="31"/>
    </row>
    <row r="190" spans="1:98" x14ac:dyDescent="0.25">
      <c r="A190" s="30">
        <v>11.467399785753704</v>
      </c>
      <c r="E190"/>
      <c r="BE190" s="27" t="s">
        <v>8</v>
      </c>
      <c r="BG190" s="27" t="s">
        <v>8</v>
      </c>
      <c r="BH190" s="27" t="s">
        <v>7</v>
      </c>
      <c r="CG190" s="31"/>
    </row>
    <row r="191" spans="1:98" x14ac:dyDescent="0.25">
      <c r="A191" s="30">
        <v>10.921333129289241</v>
      </c>
      <c r="E191"/>
      <c r="BE191" s="27" t="s">
        <v>8</v>
      </c>
      <c r="BF191" s="27" t="s">
        <v>7</v>
      </c>
      <c r="BG191" s="27" t="s">
        <v>8</v>
      </c>
      <c r="CF191" s="31"/>
    </row>
    <row r="192" spans="1:98" x14ac:dyDescent="0.25">
      <c r="A192" s="30">
        <v>10.401269646942135</v>
      </c>
      <c r="E192"/>
      <c r="BE192" s="27" t="s">
        <v>8</v>
      </c>
      <c r="BF192" s="27" t="s">
        <v>7</v>
      </c>
      <c r="BG192" s="27" t="s">
        <v>8</v>
      </c>
      <c r="CE192" s="31"/>
    </row>
    <row r="193" spans="1:82" x14ac:dyDescent="0.25">
      <c r="A193" s="30">
        <v>9.9059710923258422</v>
      </c>
      <c r="E193"/>
      <c r="BA193" s="27" t="s">
        <v>8</v>
      </c>
      <c r="BE193" s="27" t="s">
        <v>8</v>
      </c>
      <c r="BF193" s="27" t="s">
        <v>7</v>
      </c>
      <c r="CD193" s="31"/>
    </row>
    <row r="194" spans="1:82" x14ac:dyDescent="0.25">
      <c r="A194" s="30">
        <v>9.4342581831674686</v>
      </c>
      <c r="E194"/>
      <c r="BA194" s="27" t="s">
        <v>8</v>
      </c>
      <c r="BB194" s="27" t="s">
        <v>7</v>
      </c>
      <c r="BE194" s="27" t="s">
        <v>8</v>
      </c>
      <c r="CC194" s="31"/>
    </row>
    <row r="195" spans="1:82" x14ac:dyDescent="0.25">
      <c r="A195" s="30">
        <v>8.9850077934928265</v>
      </c>
      <c r="E195"/>
      <c r="BA195" s="27" t="s">
        <v>8</v>
      </c>
      <c r="BB195" s="27" t="s">
        <v>7</v>
      </c>
      <c r="BC195" s="27" t="s">
        <v>8</v>
      </c>
      <c r="BE195" s="27" t="s">
        <v>8</v>
      </c>
      <c r="CB195" s="31"/>
    </row>
    <row r="196" spans="1:82" x14ac:dyDescent="0.25">
      <c r="A196" s="30">
        <v>8.5571502795169767</v>
      </c>
      <c r="E196"/>
      <c r="BA196" s="27" t="s">
        <v>8</v>
      </c>
      <c r="BB196" s="27" t="s">
        <v>7</v>
      </c>
      <c r="BC196" s="27" t="s">
        <v>8</v>
      </c>
      <c r="BD196" s="27" t="s">
        <v>7</v>
      </c>
      <c r="BE196" s="27" t="s">
        <v>8</v>
      </c>
      <c r="CA196" s="31"/>
    </row>
    <row r="197" spans="1:82" x14ac:dyDescent="0.25">
      <c r="A197" s="30">
        <v>8.1496669328733109</v>
      </c>
      <c r="E197"/>
      <c r="BA197" s="27" t="s">
        <v>8</v>
      </c>
      <c r="BB197" s="27" t="s">
        <v>7</v>
      </c>
      <c r="BC197" s="27" t="s">
        <v>8</v>
      </c>
      <c r="BD197" s="27" t="s">
        <v>7</v>
      </c>
      <c r="BE197" s="27" t="s">
        <v>8</v>
      </c>
      <c r="BZ197" s="31"/>
    </row>
    <row r="198" spans="1:82" x14ac:dyDescent="0.25">
      <c r="A198" s="30">
        <v>7.7615875551174378</v>
      </c>
      <c r="E198"/>
      <c r="BA198" s="27" t="s">
        <v>8</v>
      </c>
      <c r="BB198" s="32" t="s">
        <v>7</v>
      </c>
      <c r="BD198" s="32" t="s">
        <v>7</v>
      </c>
      <c r="BY198" s="31"/>
    </row>
    <row r="199" spans="1:82" x14ac:dyDescent="0.25">
      <c r="A199" s="30">
        <v>7.3919881477308929</v>
      </c>
      <c r="E199"/>
      <c r="BA199" s="27" t="s">
        <v>8</v>
      </c>
      <c r="BX199" s="31"/>
    </row>
    <row r="200" spans="1:82" x14ac:dyDescent="0.25">
      <c r="A200" s="30">
        <v>7.0399887121246598</v>
      </c>
      <c r="E200"/>
      <c r="AY200" s="27" t="s">
        <v>8</v>
      </c>
      <c r="BA200" s="27" t="s">
        <v>8</v>
      </c>
      <c r="BW200" s="31"/>
    </row>
    <row r="201" spans="1:82" x14ac:dyDescent="0.25">
      <c r="A201" s="30">
        <v>6.7047511544044376</v>
      </c>
      <c r="E201"/>
      <c r="AY201" s="27" t="s">
        <v>8</v>
      </c>
      <c r="AZ201" s="27" t="s">
        <v>7</v>
      </c>
      <c r="BA201" s="27" t="s">
        <v>8</v>
      </c>
      <c r="BV201" s="31"/>
    </row>
    <row r="202" spans="1:82" x14ac:dyDescent="0.25">
      <c r="A202" s="30">
        <v>6.3854772899089882</v>
      </c>
      <c r="E202"/>
      <c r="AY202" s="27" t="s">
        <v>8</v>
      </c>
      <c r="AZ202" s="27" t="s">
        <v>7</v>
      </c>
      <c r="BA202" s="27" t="s">
        <v>8</v>
      </c>
      <c r="BU202" s="31"/>
    </row>
    <row r="203" spans="1:82" x14ac:dyDescent="0.25">
      <c r="A203" s="30">
        <v>6.0814069427704647</v>
      </c>
      <c r="C203" s="7"/>
      <c r="D203"/>
      <c r="E203"/>
      <c r="AY203" s="27" t="s">
        <v>8</v>
      </c>
      <c r="AZ203" s="27" t="s">
        <v>7</v>
      </c>
      <c r="BA203" s="27" t="s">
        <v>8</v>
      </c>
      <c r="BT203" s="31"/>
    </row>
    <row r="204" spans="1:82" x14ac:dyDescent="0.25">
      <c r="A204" s="30">
        <v>5.7918161359718709</v>
      </c>
      <c r="E204"/>
      <c r="AY204" s="27" t="s">
        <v>8</v>
      </c>
      <c r="AZ204" s="27" t="s">
        <v>7</v>
      </c>
      <c r="BS204" s="31"/>
    </row>
    <row r="205" spans="1:82" x14ac:dyDescent="0.25">
      <c r="A205" s="30">
        <v>5.5160153675922574</v>
      </c>
      <c r="E205"/>
      <c r="AY205" s="27" t="s">
        <v>8</v>
      </c>
      <c r="BR205" s="31"/>
    </row>
    <row r="206" spans="1:82" x14ac:dyDescent="0.25">
      <c r="A206" s="30">
        <v>5.2533479691354827</v>
      </c>
      <c r="C206"/>
      <c r="D206"/>
      <c r="E206"/>
      <c r="AY206" s="27" t="s">
        <v>8</v>
      </c>
      <c r="BQ206" s="31"/>
    </row>
    <row r="207" spans="1:82" x14ac:dyDescent="0.25">
      <c r="A207" s="30">
        <v>5.0031885420337927</v>
      </c>
      <c r="E207"/>
      <c r="AY207" s="27" t="s">
        <v>8</v>
      </c>
      <c r="BP207" s="31"/>
    </row>
    <row r="208" spans="1:82" x14ac:dyDescent="0.25">
      <c r="A208" s="30">
        <v>4.7649414686036122</v>
      </c>
      <c r="E208"/>
      <c r="K208" s="27" t="s">
        <v>8</v>
      </c>
      <c r="AW208" s="27" t="s">
        <v>8</v>
      </c>
      <c r="AY208" s="27" t="s">
        <v>8</v>
      </c>
      <c r="BO208" s="31"/>
    </row>
    <row r="209" spans="1:66" x14ac:dyDescent="0.25">
      <c r="A209" s="30">
        <v>4.5380394939082018</v>
      </c>
      <c r="E209"/>
      <c r="K209" s="27" t="s">
        <v>8</v>
      </c>
      <c r="L209" s="27" t="s">
        <v>7</v>
      </c>
      <c r="AW209" s="27" t="s">
        <v>8</v>
      </c>
      <c r="AX209" s="27" t="s">
        <v>7</v>
      </c>
      <c r="AY209" s="27" t="s">
        <v>8</v>
      </c>
      <c r="BN209" s="31"/>
    </row>
    <row r="210" spans="1:66" x14ac:dyDescent="0.25">
      <c r="A210" s="30">
        <v>4.3219423751506678</v>
      </c>
      <c r="C210"/>
      <c r="E210"/>
      <c r="K210" s="27" t="s">
        <v>8</v>
      </c>
      <c r="L210" s="27" t="s">
        <v>7</v>
      </c>
      <c r="AW210" s="33" t="s">
        <v>8</v>
      </c>
      <c r="AX210" s="27" t="s">
        <v>7</v>
      </c>
      <c r="AY210" s="27" t="s">
        <v>8</v>
      </c>
      <c r="BM210" s="31"/>
    </row>
    <row r="211" spans="1:66" x14ac:dyDescent="0.25">
      <c r="A211" s="30">
        <v>4.1161355953815884</v>
      </c>
      <c r="E211" t="s">
        <v>8</v>
      </c>
      <c r="K211" s="27" t="s">
        <v>8</v>
      </c>
      <c r="L211" s="27" t="s">
        <v>7</v>
      </c>
      <c r="AU211" s="27" t="s">
        <v>8</v>
      </c>
      <c r="AW211" s="27" t="s">
        <v>8</v>
      </c>
      <c r="AX211" s="27" t="s">
        <v>7</v>
      </c>
      <c r="BL211" s="31"/>
    </row>
    <row r="212" spans="1:66" x14ac:dyDescent="0.25">
      <c r="A212" s="30">
        <v>3.9201291384586554</v>
      </c>
      <c r="E212" t="s">
        <v>8</v>
      </c>
      <c r="F212" s="27" t="s">
        <v>7</v>
      </c>
      <c r="K212" s="27" t="s">
        <v>8</v>
      </c>
      <c r="L212" s="27" t="s">
        <v>7</v>
      </c>
      <c r="AU212" s="33" t="s">
        <v>8</v>
      </c>
      <c r="AV212" s="27" t="s">
        <v>7</v>
      </c>
      <c r="AW212" s="27" t="s">
        <v>8</v>
      </c>
      <c r="BK212" s="31"/>
    </row>
    <row r="213" spans="1:66" x14ac:dyDescent="0.25">
      <c r="A213" s="30">
        <v>3.7334563223415764</v>
      </c>
      <c r="E213" t="s">
        <v>8</v>
      </c>
      <c r="F213" s="27" t="s">
        <v>7</v>
      </c>
      <c r="K213" s="27" t="s">
        <v>8</v>
      </c>
      <c r="L213" s="27" t="s">
        <v>7</v>
      </c>
      <c r="O213" s="27" t="s">
        <v>8</v>
      </c>
      <c r="AO213" s="32" t="s">
        <v>8</v>
      </c>
      <c r="AQ213" s="32" t="s">
        <v>8</v>
      </c>
      <c r="AS213" s="32" t="s">
        <v>8</v>
      </c>
      <c r="AU213" s="27" t="s">
        <v>8</v>
      </c>
      <c r="AV213" s="27" t="s">
        <v>7</v>
      </c>
      <c r="AW213" s="27" t="s">
        <v>8</v>
      </c>
      <c r="BJ213" s="31"/>
    </row>
    <row r="214" spans="1:66" x14ac:dyDescent="0.25">
      <c r="A214" s="30">
        <v>3.5556726879443583</v>
      </c>
      <c r="E214" t="s">
        <v>8</v>
      </c>
      <c r="F214" s="27" t="s">
        <v>7</v>
      </c>
      <c r="I214" s="27" t="s">
        <v>8</v>
      </c>
      <c r="K214" s="27" t="s">
        <v>8</v>
      </c>
      <c r="L214" s="27" t="s">
        <v>7</v>
      </c>
      <c r="O214" s="27" t="s">
        <v>8</v>
      </c>
      <c r="P214" s="27" t="s">
        <v>7</v>
      </c>
      <c r="AO214" s="27" t="s">
        <v>8</v>
      </c>
      <c r="AP214" s="27" t="s">
        <v>7</v>
      </c>
      <c r="AQ214" s="27" t="s">
        <v>8</v>
      </c>
      <c r="AR214" s="27" t="s">
        <v>7</v>
      </c>
      <c r="AS214" s="27" t="s">
        <v>8</v>
      </c>
      <c r="AT214" s="27" t="s">
        <v>7</v>
      </c>
      <c r="AU214" s="27" t="s">
        <v>8</v>
      </c>
      <c r="AV214" s="27" t="s">
        <v>7</v>
      </c>
      <c r="AW214" s="27" t="s">
        <v>8</v>
      </c>
      <c r="BI214" s="31"/>
    </row>
    <row r="215" spans="1:66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I215" s="27" t="s">
        <v>8</v>
      </c>
      <c r="J215" s="27" t="s">
        <v>7</v>
      </c>
      <c r="K215" s="27" t="s">
        <v>8</v>
      </c>
      <c r="L215" s="27" t="s">
        <v>7</v>
      </c>
      <c r="O215" s="27" t="s">
        <v>8</v>
      </c>
      <c r="P215" s="27" t="s">
        <v>7</v>
      </c>
      <c r="AO215" s="27" t="s">
        <v>8</v>
      </c>
      <c r="AP215" s="27" t="s">
        <v>7</v>
      </c>
      <c r="AQ215" s="27" t="s">
        <v>8</v>
      </c>
      <c r="AR215" s="27" t="s">
        <v>7</v>
      </c>
      <c r="AS215" s="27" t="s">
        <v>8</v>
      </c>
      <c r="AT215" s="27" t="s">
        <v>7</v>
      </c>
      <c r="AU215" s="27" t="s">
        <v>8</v>
      </c>
      <c r="AV215" s="27" t="s">
        <v>7</v>
      </c>
      <c r="AW215" s="27" t="s">
        <v>8</v>
      </c>
      <c r="BH215" s="31"/>
    </row>
    <row r="216" spans="1:66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H216" s="27" t="s">
        <v>7</v>
      </c>
      <c r="I216" s="27" t="s">
        <v>8</v>
      </c>
      <c r="J216" s="27" t="s">
        <v>7</v>
      </c>
      <c r="K216" s="27" t="s">
        <v>8</v>
      </c>
      <c r="L216" s="27" t="s">
        <v>7</v>
      </c>
      <c r="O216" s="27" t="s">
        <v>8</v>
      </c>
      <c r="P216" s="27" t="s">
        <v>7</v>
      </c>
      <c r="Q216" s="27" t="s">
        <v>8</v>
      </c>
      <c r="S216" s="27" t="s">
        <v>8</v>
      </c>
      <c r="AO216" s="27" t="s">
        <v>8</v>
      </c>
      <c r="AP216" s="27" t="s">
        <v>7</v>
      </c>
      <c r="AQ216" s="27" t="s">
        <v>8</v>
      </c>
      <c r="AR216" s="27" t="s">
        <v>7</v>
      </c>
      <c r="AS216" s="27" t="s">
        <v>8</v>
      </c>
      <c r="AT216" s="27" t="s">
        <v>7</v>
      </c>
      <c r="AU216" s="27" t="s">
        <v>8</v>
      </c>
      <c r="AV216" s="27" t="s">
        <v>7</v>
      </c>
      <c r="AW216" s="27" t="s">
        <v>8</v>
      </c>
      <c r="BG216" s="31"/>
    </row>
    <row r="217" spans="1:66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I217" s="27" t="s">
        <v>8</v>
      </c>
      <c r="J217" s="27" t="s">
        <v>7</v>
      </c>
      <c r="L217" s="27" t="s">
        <v>7</v>
      </c>
      <c r="M217" s="27" t="s">
        <v>8</v>
      </c>
      <c r="O217" s="27" t="s">
        <v>8</v>
      </c>
      <c r="P217" s="27" t="s">
        <v>7</v>
      </c>
      <c r="Q217" s="27" t="s">
        <v>8</v>
      </c>
      <c r="R217" s="27" t="s">
        <v>7</v>
      </c>
      <c r="S217" s="27" t="s">
        <v>8</v>
      </c>
      <c r="T217" s="27" t="s">
        <v>7</v>
      </c>
      <c r="AO217" s="27" t="s">
        <v>8</v>
      </c>
      <c r="AP217" s="27" t="s">
        <v>7</v>
      </c>
      <c r="AR217" s="27" t="s">
        <v>7</v>
      </c>
      <c r="AS217" s="27" t="s">
        <v>8</v>
      </c>
      <c r="AT217" s="27" t="s">
        <v>7</v>
      </c>
      <c r="AV217" s="27" t="s">
        <v>7</v>
      </c>
      <c r="AW217" s="27" t="s">
        <v>8</v>
      </c>
      <c r="BF217" s="31"/>
    </row>
    <row r="218" spans="1:66" x14ac:dyDescent="0.25">
      <c r="A218" s="30">
        <v>2.9252607199217264</v>
      </c>
      <c r="E218" t="s">
        <v>8</v>
      </c>
      <c r="F218" s="27" t="s">
        <v>7</v>
      </c>
      <c r="H218" s="27" t="s">
        <v>7</v>
      </c>
      <c r="I218" s="27" t="s">
        <v>8</v>
      </c>
      <c r="L218" s="27" t="s">
        <v>7</v>
      </c>
      <c r="M218" s="27" t="s">
        <v>8</v>
      </c>
      <c r="N218" s="27" t="s">
        <v>7</v>
      </c>
      <c r="O218" s="27" t="s">
        <v>8</v>
      </c>
      <c r="P218" s="27" t="s">
        <v>7</v>
      </c>
      <c r="Q218" s="27" t="s">
        <v>8</v>
      </c>
      <c r="R218" s="27" t="s">
        <v>7</v>
      </c>
      <c r="S218" s="27" t="s">
        <v>8</v>
      </c>
      <c r="T218" s="27" t="s">
        <v>7</v>
      </c>
      <c r="AO218" s="27" t="s">
        <v>8</v>
      </c>
      <c r="AR218" s="27" t="s">
        <v>7</v>
      </c>
      <c r="AS218" s="27" t="s">
        <v>8</v>
      </c>
      <c r="AV218" s="34" t="s">
        <v>7</v>
      </c>
      <c r="AW218" s="27" t="s">
        <v>8</v>
      </c>
      <c r="BE218" s="31"/>
    </row>
    <row r="219" spans="1:66" x14ac:dyDescent="0.25">
      <c r="A219" s="30">
        <v>2.7859625904016441</v>
      </c>
      <c r="E219" t="s">
        <v>8</v>
      </c>
      <c r="H219" s="27" t="s">
        <v>7</v>
      </c>
      <c r="L219" s="27" t="s">
        <v>7</v>
      </c>
      <c r="M219" s="27" t="s">
        <v>8</v>
      </c>
      <c r="N219" s="27" t="s">
        <v>7</v>
      </c>
      <c r="O219" s="27" t="s">
        <v>8</v>
      </c>
      <c r="P219" s="27" t="s">
        <v>7</v>
      </c>
      <c r="Q219" s="27" t="s">
        <v>8</v>
      </c>
      <c r="R219" s="27" t="s">
        <v>7</v>
      </c>
      <c r="S219" s="27" t="s">
        <v>8</v>
      </c>
      <c r="T219" s="27" t="s">
        <v>7</v>
      </c>
      <c r="AO219" s="27" t="s">
        <v>8</v>
      </c>
      <c r="AR219" s="27" t="s">
        <v>7</v>
      </c>
      <c r="AS219" s="27" t="s">
        <v>8</v>
      </c>
      <c r="AV219" s="27" t="s">
        <v>7</v>
      </c>
      <c r="AW219" s="27" t="s">
        <v>8</v>
      </c>
      <c r="BD219" s="31"/>
    </row>
    <row r="220" spans="1:66" x14ac:dyDescent="0.25">
      <c r="A220" s="30">
        <v>2.6532977051444226</v>
      </c>
      <c r="E220" t="s">
        <v>8</v>
      </c>
      <c r="L220" s="27" t="s">
        <v>7</v>
      </c>
      <c r="M220" s="27" t="s">
        <v>8</v>
      </c>
      <c r="N220" s="27" t="s">
        <v>7</v>
      </c>
      <c r="O220" s="27" t="s">
        <v>8</v>
      </c>
      <c r="P220" s="27" t="s">
        <v>7</v>
      </c>
      <c r="Q220" s="27" t="s">
        <v>8</v>
      </c>
      <c r="R220" s="27" t="s">
        <v>7</v>
      </c>
      <c r="S220" s="27" t="s">
        <v>8</v>
      </c>
      <c r="T220" s="27" t="s">
        <v>7</v>
      </c>
      <c r="U220" s="27" t="s">
        <v>8</v>
      </c>
      <c r="AO220" s="27" t="s">
        <v>8</v>
      </c>
      <c r="AR220" s="27" t="s">
        <v>7</v>
      </c>
      <c r="AV220" s="27" t="s">
        <v>7</v>
      </c>
      <c r="BC220" s="31"/>
    </row>
    <row r="221" spans="1:66" x14ac:dyDescent="0.25">
      <c r="A221" s="30">
        <v>2.5269501953756404</v>
      </c>
      <c r="E221" t="s">
        <v>8</v>
      </c>
      <c r="L221" s="27" t="s">
        <v>7</v>
      </c>
      <c r="M221" s="27" t="s">
        <v>8</v>
      </c>
      <c r="N221" s="27" t="s">
        <v>7</v>
      </c>
      <c r="O221" s="27" t="s">
        <v>8</v>
      </c>
      <c r="P221" s="27" t="s">
        <v>7</v>
      </c>
      <c r="Q221" s="27" t="s">
        <v>8</v>
      </c>
      <c r="R221" s="27" t="s">
        <v>7</v>
      </c>
      <c r="T221" s="27" t="s">
        <v>7</v>
      </c>
      <c r="U221" s="27" t="s">
        <v>8</v>
      </c>
      <c r="V221" s="27" t="s">
        <v>7</v>
      </c>
      <c r="AO221" s="27" t="s">
        <v>8</v>
      </c>
      <c r="BB221" s="31"/>
    </row>
    <row r="222" spans="1:66" x14ac:dyDescent="0.25">
      <c r="A222" s="30">
        <v>2.4066192336910861</v>
      </c>
      <c r="E222" t="s">
        <v>8</v>
      </c>
      <c r="L222" s="27" t="s">
        <v>7</v>
      </c>
      <c r="M222" s="27" t="s">
        <v>8</v>
      </c>
      <c r="N222" s="27" t="s">
        <v>7</v>
      </c>
      <c r="P222" s="27" t="s">
        <v>7</v>
      </c>
      <c r="T222" s="27" t="s">
        <v>7</v>
      </c>
      <c r="U222" s="27" t="s">
        <v>8</v>
      </c>
      <c r="V222" s="27" t="s">
        <v>7</v>
      </c>
      <c r="Y222" s="27" t="s">
        <v>8</v>
      </c>
      <c r="AC222" s="27" t="s">
        <v>8</v>
      </c>
      <c r="AE222" s="27" t="s">
        <v>8</v>
      </c>
      <c r="AM222" s="27" t="s">
        <v>8</v>
      </c>
      <c r="AO222" s="27" t="s">
        <v>8</v>
      </c>
      <c r="BA222" s="31"/>
    </row>
    <row r="223" spans="1:66" x14ac:dyDescent="0.25">
      <c r="A223" s="30">
        <v>2.2920183178010345</v>
      </c>
      <c r="E223" t="s">
        <v>8</v>
      </c>
      <c r="L223" s="27" t="s">
        <v>7</v>
      </c>
      <c r="M223" s="27" t="s">
        <v>8</v>
      </c>
      <c r="T223" s="27" t="s">
        <v>7</v>
      </c>
      <c r="U223" s="27" t="s">
        <v>8</v>
      </c>
      <c r="V223" s="27" t="s">
        <v>7</v>
      </c>
      <c r="Y223" s="27" t="s">
        <v>8</v>
      </c>
      <c r="Z223" s="27" t="s">
        <v>7</v>
      </c>
      <c r="AA223" s="27" t="s">
        <v>8</v>
      </c>
      <c r="AC223" s="27" t="s">
        <v>8</v>
      </c>
      <c r="AD223" s="27" t="s">
        <v>7</v>
      </c>
      <c r="AE223" s="27" t="s">
        <v>8</v>
      </c>
      <c r="AF223" s="27" t="s">
        <v>7</v>
      </c>
      <c r="AM223" s="27" t="s">
        <v>8</v>
      </c>
      <c r="AN223" s="27" t="s">
        <v>7</v>
      </c>
      <c r="AO223" s="27" t="s">
        <v>8</v>
      </c>
      <c r="AZ223" s="31"/>
    </row>
    <row r="224" spans="1:66" x14ac:dyDescent="0.25">
      <c r="A224" s="30">
        <v>2.1828745883819374</v>
      </c>
      <c r="E224" t="s">
        <v>8</v>
      </c>
      <c r="L224" s="27" t="s">
        <v>7</v>
      </c>
      <c r="T224" s="27" t="s">
        <v>7</v>
      </c>
      <c r="U224" s="27" t="s">
        <v>8</v>
      </c>
      <c r="V224" s="27" t="s">
        <v>7</v>
      </c>
      <c r="Y224" s="27" t="s">
        <v>8</v>
      </c>
      <c r="Z224" s="27" t="s">
        <v>7</v>
      </c>
      <c r="AA224" s="27" t="s">
        <v>8</v>
      </c>
      <c r="AB224" s="27" t="s">
        <v>7</v>
      </c>
      <c r="AC224" s="27" t="s">
        <v>8</v>
      </c>
      <c r="AD224" s="27" t="s">
        <v>7</v>
      </c>
      <c r="AE224" s="27" t="s">
        <v>8</v>
      </c>
      <c r="AF224" s="27" t="s">
        <v>7</v>
      </c>
      <c r="AG224" s="27" t="s">
        <v>8</v>
      </c>
      <c r="AM224" s="27" t="s">
        <v>8</v>
      </c>
      <c r="AN224" s="27" t="s">
        <v>7</v>
      </c>
      <c r="AO224" s="27" t="s">
        <v>8</v>
      </c>
      <c r="AY224" s="31"/>
    </row>
    <row r="225" spans="1:50" x14ac:dyDescent="0.25">
      <c r="A225" s="30">
        <v>2.0789281794113688</v>
      </c>
      <c r="E225" t="s">
        <v>8</v>
      </c>
      <c r="T225" s="27" t="s">
        <v>7</v>
      </c>
      <c r="V225" s="27" t="s">
        <v>7</v>
      </c>
      <c r="Y225" s="27" t="s">
        <v>8</v>
      </c>
      <c r="Z225" s="27" t="s">
        <v>7</v>
      </c>
      <c r="AA225" s="27" t="s">
        <v>8</v>
      </c>
      <c r="AB225" s="27" t="s">
        <v>7</v>
      </c>
      <c r="AC225" s="27" t="s">
        <v>8</v>
      </c>
      <c r="AD225" s="27" t="s">
        <v>7</v>
      </c>
      <c r="AF225" s="27" t="s">
        <v>7</v>
      </c>
      <c r="AG225" s="27" t="s">
        <v>8</v>
      </c>
      <c r="AH225" s="27" t="s">
        <v>7</v>
      </c>
      <c r="AM225" s="27" t="s">
        <v>8</v>
      </c>
      <c r="AN225" s="27" t="s">
        <v>7</v>
      </c>
      <c r="AO225" s="27" t="s">
        <v>8</v>
      </c>
      <c r="AX225" s="31"/>
    </row>
    <row r="226" spans="1:50" x14ac:dyDescent="0.25">
      <c r="A226" s="30">
        <v>1.9799315994393987</v>
      </c>
      <c r="E226" t="s">
        <v>8</v>
      </c>
      <c r="V226" s="27" t="s">
        <v>7</v>
      </c>
      <c r="Y226" s="27" t="s">
        <v>8</v>
      </c>
      <c r="Z226" s="27" t="s">
        <v>7</v>
      </c>
      <c r="AB226" s="27" t="s">
        <v>7</v>
      </c>
      <c r="AC226" s="27" t="s">
        <v>8</v>
      </c>
      <c r="AF226" s="27" t="s">
        <v>7</v>
      </c>
      <c r="AG226" s="27" t="s">
        <v>8</v>
      </c>
      <c r="AH226" s="27" t="s">
        <v>7</v>
      </c>
      <c r="AM226" s="27" t="s">
        <v>8</v>
      </c>
      <c r="AN226" s="27" t="s">
        <v>7</v>
      </c>
      <c r="AW226" s="31"/>
    </row>
    <row r="227" spans="1:50" x14ac:dyDescent="0.25">
      <c r="A227" s="30">
        <v>1.8856491423232367</v>
      </c>
      <c r="E227" t="s">
        <v>8</v>
      </c>
      <c r="V227" s="27" t="s">
        <v>7</v>
      </c>
      <c r="Y227" s="27" t="s">
        <v>8</v>
      </c>
      <c r="AB227" s="27" t="s">
        <v>7</v>
      </c>
      <c r="AF227" s="27" t="s">
        <v>7</v>
      </c>
      <c r="AG227" s="27" t="s">
        <v>8</v>
      </c>
      <c r="AH227" s="27" t="s">
        <v>7</v>
      </c>
      <c r="AM227" s="27" t="s">
        <v>8</v>
      </c>
      <c r="AV227" s="31"/>
    </row>
    <row r="228" spans="1:50" x14ac:dyDescent="0.25">
      <c r="A228" s="30">
        <v>1.7958563260221301</v>
      </c>
      <c r="C228" s="7"/>
      <c r="D228"/>
      <c r="E228" t="s">
        <v>8</v>
      </c>
      <c r="V228" s="27" t="s">
        <v>7</v>
      </c>
      <c r="Y228" s="27" t="s">
        <v>8</v>
      </c>
      <c r="AF228" s="27" t="s">
        <v>7</v>
      </c>
      <c r="AH228" s="27" t="s">
        <v>7</v>
      </c>
      <c r="AI228" s="27" t="s">
        <v>8</v>
      </c>
      <c r="AM228" s="27" t="s">
        <v>8</v>
      </c>
      <c r="AU228" s="31"/>
    </row>
    <row r="229" spans="1:50" x14ac:dyDescent="0.25">
      <c r="A229" s="30">
        <v>1.7103393581163142</v>
      </c>
      <c r="E229" t="s">
        <v>8</v>
      </c>
      <c r="V229" s="27" t="s">
        <v>7</v>
      </c>
      <c r="Y229" s="27" t="s">
        <v>8</v>
      </c>
      <c r="AH229" s="27" t="s">
        <v>7</v>
      </c>
      <c r="AI229" s="27" t="s">
        <v>8</v>
      </c>
      <c r="AJ229" s="27" t="s">
        <v>7</v>
      </c>
      <c r="AK229" s="27" t="s">
        <v>8</v>
      </c>
      <c r="AM229" s="27" t="s">
        <v>8</v>
      </c>
      <c r="AT229" s="31"/>
    </row>
    <row r="230" spans="1:50" x14ac:dyDescent="0.25">
      <c r="A230" s="30">
        <v>1.628894626777442</v>
      </c>
      <c r="E230" t="s">
        <v>8</v>
      </c>
      <c r="V230" s="27" t="s">
        <v>7</v>
      </c>
      <c r="W230" s="27" t="s">
        <v>8</v>
      </c>
      <c r="Y230" s="27" t="s">
        <v>8</v>
      </c>
      <c r="AH230" s="27" t="s">
        <v>7</v>
      </c>
      <c r="AI230" s="27" t="s">
        <v>8</v>
      </c>
      <c r="AJ230" s="27" t="s">
        <v>7</v>
      </c>
      <c r="AK230" s="27" t="s">
        <v>8</v>
      </c>
      <c r="AL230" s="27" t="s">
        <v>7</v>
      </c>
      <c r="AM230" s="27" t="s">
        <v>8</v>
      </c>
      <c r="AS230" s="31"/>
    </row>
    <row r="231" spans="1:50" x14ac:dyDescent="0.25">
      <c r="A231" s="30">
        <v>1.5513282159785162</v>
      </c>
      <c r="C231"/>
      <c r="D231"/>
      <c r="E231" t="s">
        <v>8</v>
      </c>
      <c r="V231" s="27" t="s">
        <v>7</v>
      </c>
      <c r="W231" s="27" t="s">
        <v>8</v>
      </c>
      <c r="X231" s="27" t="s">
        <v>7</v>
      </c>
      <c r="Y231" s="27" t="s">
        <v>8</v>
      </c>
      <c r="AH231" s="27" t="s">
        <v>7</v>
      </c>
      <c r="AI231" s="27" t="s">
        <v>8</v>
      </c>
      <c r="AJ231" s="27" t="s">
        <v>7</v>
      </c>
      <c r="AK231" s="27" t="s">
        <v>8</v>
      </c>
      <c r="AL231" s="27" t="s">
        <v>7</v>
      </c>
      <c r="AM231" s="27" t="s">
        <v>8</v>
      </c>
      <c r="AR231" s="31"/>
    </row>
    <row r="232" spans="1:50" x14ac:dyDescent="0.25">
      <c r="A232" s="30">
        <v>1.477455443789063</v>
      </c>
      <c r="E232" t="s">
        <v>8</v>
      </c>
      <c r="V232" s="27" t="s">
        <v>7</v>
      </c>
      <c r="W232" s="27" t="s">
        <v>8</v>
      </c>
      <c r="X232" s="27" t="s">
        <v>7</v>
      </c>
      <c r="Y232" s="27" t="s">
        <v>8</v>
      </c>
      <c r="AH232" s="27" t="s">
        <v>7</v>
      </c>
      <c r="AJ232" s="27" t="s">
        <v>7</v>
      </c>
      <c r="AK232" s="27" t="s">
        <v>8</v>
      </c>
      <c r="AL232" s="27" t="s">
        <v>7</v>
      </c>
      <c r="AQ232" s="31"/>
    </row>
    <row r="233" spans="1:50" x14ac:dyDescent="0.25">
      <c r="A233" s="30">
        <v>1.4071004226562505</v>
      </c>
      <c r="E233" t="s">
        <v>8</v>
      </c>
      <c r="V233" s="27" t="s">
        <v>7</v>
      </c>
      <c r="W233" s="27" t="s">
        <v>8</v>
      </c>
      <c r="X233" s="27" t="s">
        <v>7</v>
      </c>
      <c r="Y233" s="27" t="s">
        <v>8</v>
      </c>
      <c r="AJ233" s="27" t="s">
        <v>7</v>
      </c>
      <c r="AK233" s="27" t="s">
        <v>8</v>
      </c>
      <c r="AP233" s="31"/>
    </row>
    <row r="234" spans="1:50" x14ac:dyDescent="0.25">
      <c r="A234" s="30">
        <v>1.3400956406250004</v>
      </c>
      <c r="E234" t="s">
        <v>8</v>
      </c>
      <c r="V234" s="27" t="s">
        <v>7</v>
      </c>
      <c r="X234" s="27" t="s">
        <v>7</v>
      </c>
      <c r="Y234" s="27" t="s">
        <v>8</v>
      </c>
      <c r="AJ234" s="27" t="s">
        <v>7</v>
      </c>
      <c r="AK234" s="27" t="s">
        <v>8</v>
      </c>
      <c r="AO234" s="31"/>
    </row>
    <row r="235" spans="1:50" x14ac:dyDescent="0.25">
      <c r="A235" s="30">
        <v>1.2762815625000004</v>
      </c>
      <c r="C235"/>
      <c r="E235" t="s">
        <v>8</v>
      </c>
      <c r="X235" s="27" t="s">
        <v>7</v>
      </c>
      <c r="AJ235" s="27" t="s">
        <v>7</v>
      </c>
      <c r="AK235" s="27" t="s">
        <v>8</v>
      </c>
      <c r="AN235" s="31"/>
    </row>
    <row r="236" spans="1:50" x14ac:dyDescent="0.25">
      <c r="A236" s="30">
        <v>1.2155062500000002</v>
      </c>
      <c r="E236" t="s">
        <v>8</v>
      </c>
      <c r="AJ236" s="27" t="s">
        <v>7</v>
      </c>
      <c r="AK236" s="27" t="s">
        <v>8</v>
      </c>
      <c r="AM236" s="31"/>
    </row>
    <row r="237" spans="1:5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J237" s="27" t="s">
        <v>7</v>
      </c>
      <c r="AK237" s="27" t="s">
        <v>8</v>
      </c>
      <c r="AL237" s="31"/>
    </row>
    <row r="238" spans="1:50" x14ac:dyDescent="0.25">
      <c r="A238" s="30">
        <v>1.1025</v>
      </c>
      <c r="E238" t="s">
        <v>8</v>
      </c>
      <c r="AJ238" s="27" t="s">
        <v>7</v>
      </c>
      <c r="AK238" s="31" t="s">
        <v>8</v>
      </c>
    </row>
    <row r="239" spans="1:50" x14ac:dyDescent="0.25">
      <c r="A239" s="30">
        <v>1.05</v>
      </c>
      <c r="E239" t="s">
        <v>8</v>
      </c>
      <c r="AJ239" s="31" t="s">
        <v>7</v>
      </c>
    </row>
    <row r="240" spans="1:50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9" zoomScale="90" zoomScaleNormal="90" workbookViewId="0">
      <pane xSplit="4" topLeftCell="G1" activePane="topRight" state="frozen"/>
      <selection activeCell="A109" sqref="A109"/>
      <selection pane="topRight" activeCell="AD74" sqref="AD7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0" x14ac:dyDescent="0.25">
      <c r="A49" s="30">
        <v>955.59381772732638</v>
      </c>
      <c r="C49" s="1">
        <f>C38</f>
        <v>0</v>
      </c>
      <c r="E49"/>
    </row>
    <row r="50" spans="1:30" x14ac:dyDescent="0.25">
      <c r="A50" s="30">
        <v>868.72165247938756</v>
      </c>
      <c r="C50"/>
      <c r="D50"/>
      <c r="E50"/>
    </row>
    <row r="51" spans="1:30" x14ac:dyDescent="0.25">
      <c r="A51" s="30">
        <v>789.74695679944318</v>
      </c>
      <c r="C51" s="1" t="s">
        <v>14</v>
      </c>
      <c r="E51"/>
    </row>
    <row r="52" spans="1:30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0" x14ac:dyDescent="0.25">
      <c r="A53" s="30">
        <v>652.68343537144051</v>
      </c>
      <c r="E53"/>
    </row>
    <row r="54" spans="1:30" x14ac:dyDescent="0.25">
      <c r="A54" s="30">
        <v>593.34857761040041</v>
      </c>
      <c r="E54"/>
    </row>
    <row r="55" spans="1:30" x14ac:dyDescent="0.25">
      <c r="A55" s="30">
        <v>539.40779782763673</v>
      </c>
      <c r="E55"/>
    </row>
    <row r="56" spans="1:30" x14ac:dyDescent="0.25">
      <c r="A56" s="30">
        <v>490.37072529785149</v>
      </c>
      <c r="E56"/>
    </row>
    <row r="57" spans="1:30" x14ac:dyDescent="0.25">
      <c r="A57" s="30">
        <v>445.79156845259223</v>
      </c>
      <c r="E57"/>
    </row>
    <row r="58" spans="1:30" x14ac:dyDescent="0.25">
      <c r="A58" s="30">
        <v>405.26506222962928</v>
      </c>
      <c r="E58"/>
    </row>
    <row r="59" spans="1:30" x14ac:dyDescent="0.25">
      <c r="A59" s="30">
        <v>368.42278384511752</v>
      </c>
      <c r="E59"/>
    </row>
    <row r="60" spans="1:30" x14ac:dyDescent="0.25">
      <c r="A60" s="30">
        <v>334.92980349556137</v>
      </c>
      <c r="E60"/>
    </row>
    <row r="61" spans="1:30" x14ac:dyDescent="0.25">
      <c r="A61" s="30">
        <v>304.48163954141938</v>
      </c>
      <c r="E61"/>
    </row>
    <row r="62" spans="1:30" x14ac:dyDescent="0.25">
      <c r="A62" s="30">
        <v>276.80149049219943</v>
      </c>
      <c r="E62"/>
    </row>
    <row r="63" spans="1:30" x14ac:dyDescent="0.25">
      <c r="A63" s="30">
        <v>251.63771862927217</v>
      </c>
      <c r="E63"/>
      <c r="AC63" s="27" t="s">
        <v>8</v>
      </c>
    </row>
    <row r="64" spans="1:30" x14ac:dyDescent="0.25">
      <c r="A64" s="30">
        <v>228.76156239024741</v>
      </c>
      <c r="E64"/>
      <c r="AC64" s="27" t="s">
        <v>8</v>
      </c>
      <c r="AD64" s="27" t="s">
        <v>7</v>
      </c>
    </row>
    <row r="65" spans="1:30" x14ac:dyDescent="0.25">
      <c r="A65" s="30">
        <v>207.96505671840671</v>
      </c>
      <c r="E65"/>
      <c r="AA65" s="27" t="s">
        <v>8</v>
      </c>
      <c r="AC65" s="27" t="s">
        <v>8</v>
      </c>
      <c r="AD65" s="27" t="s">
        <v>7</v>
      </c>
    </row>
    <row r="66" spans="1:30" x14ac:dyDescent="0.25">
      <c r="A66" s="30">
        <v>189.05914247127882</v>
      </c>
      <c r="E66"/>
      <c r="AA66" s="27" t="s">
        <v>8</v>
      </c>
      <c r="AB66" s="27" t="s">
        <v>7</v>
      </c>
      <c r="AC66" s="27" t="s">
        <v>8</v>
      </c>
      <c r="AD66" s="27" t="s">
        <v>7</v>
      </c>
    </row>
    <row r="67" spans="1:30" x14ac:dyDescent="0.25">
      <c r="A67" s="30">
        <v>171.87194770116255</v>
      </c>
      <c r="C67" s="1" t="s">
        <v>15</v>
      </c>
      <c r="E67"/>
      <c r="AA67" s="27" t="s">
        <v>8</v>
      </c>
      <c r="AB67" s="27" t="s">
        <v>7</v>
      </c>
      <c r="AC67" s="27" t="s">
        <v>8</v>
      </c>
      <c r="AD67" s="27" t="s">
        <v>7</v>
      </c>
    </row>
    <row r="68" spans="1:30" x14ac:dyDescent="0.25">
      <c r="A68" s="30">
        <v>156.24722518287504</v>
      </c>
      <c r="C68" s="7">
        <v>0.11167815779424731</v>
      </c>
      <c r="D68"/>
      <c r="E68"/>
      <c r="AA68" s="27" t="s">
        <v>8</v>
      </c>
      <c r="AB68" s="27" t="s">
        <v>7</v>
      </c>
      <c r="AC68" s="27" t="s">
        <v>8</v>
      </c>
      <c r="AD68" s="27" t="s">
        <v>7</v>
      </c>
    </row>
    <row r="69" spans="1:30" x14ac:dyDescent="0.25">
      <c r="A69" s="30">
        <v>142.04293198443185</v>
      </c>
      <c r="E69"/>
      <c r="AA69" s="27" t="s">
        <v>8</v>
      </c>
      <c r="AB69" s="27" t="s">
        <v>7</v>
      </c>
      <c r="AC69" s="27" t="s">
        <v>8</v>
      </c>
      <c r="AD69" s="27" t="s">
        <v>7</v>
      </c>
    </row>
    <row r="70" spans="1:30" x14ac:dyDescent="0.25">
      <c r="A70" s="30">
        <v>129.1299381676653</v>
      </c>
      <c r="C70" s="1" t="s">
        <v>11</v>
      </c>
      <c r="D70" s="1" t="s">
        <v>12</v>
      </c>
      <c r="E70"/>
      <c r="AA70" s="27" t="s">
        <v>8</v>
      </c>
      <c r="AB70" s="27" t="s">
        <v>7</v>
      </c>
      <c r="AC70" s="27" t="s">
        <v>8</v>
      </c>
      <c r="AD70" s="27" t="s">
        <v>7</v>
      </c>
    </row>
    <row r="71" spans="1:30" x14ac:dyDescent="0.25">
      <c r="A71" s="30">
        <v>117.39085287969573</v>
      </c>
      <c r="C71"/>
      <c r="D71"/>
      <c r="E71"/>
      <c r="AA71" s="27" t="s">
        <v>8</v>
      </c>
      <c r="AB71" s="27" t="s">
        <v>7</v>
      </c>
      <c r="AD71" s="27" t="s">
        <v>7</v>
      </c>
    </row>
    <row r="72" spans="1:30" x14ac:dyDescent="0.25">
      <c r="A72" s="30">
        <v>106.71895716335975</v>
      </c>
      <c r="E72"/>
      <c r="AA72" s="27" t="s">
        <v>8</v>
      </c>
      <c r="AD72" s="27" t="s">
        <v>7</v>
      </c>
    </row>
    <row r="73" spans="1:30" x14ac:dyDescent="0.25">
      <c r="A73" s="30">
        <v>97.017233784872488</v>
      </c>
      <c r="C73" s="1" t="s">
        <v>13</v>
      </c>
      <c r="E73"/>
      <c r="AA73" s="27" t="s">
        <v>8</v>
      </c>
      <c r="AD73" s="27" t="s">
        <v>7</v>
      </c>
    </row>
    <row r="74" spans="1:30" x14ac:dyDescent="0.25">
      <c r="A74" s="30">
        <v>88.197485258974979</v>
      </c>
      <c r="C74" s="1">
        <f>C63</f>
        <v>0</v>
      </c>
      <c r="E74"/>
      <c r="AA74" s="27" t="s">
        <v>8</v>
      </c>
      <c r="AD74" s="27" t="s">
        <v>7</v>
      </c>
    </row>
    <row r="75" spans="1:30" x14ac:dyDescent="0.25">
      <c r="A75" s="30">
        <v>80.179532053613613</v>
      </c>
      <c r="C75"/>
      <c r="D75"/>
      <c r="E75"/>
      <c r="AA75" s="27" t="s">
        <v>8</v>
      </c>
    </row>
    <row r="76" spans="1:30" x14ac:dyDescent="0.25">
      <c r="A76" s="30">
        <v>72.890483685103277</v>
      </c>
      <c r="C76" s="1" t="s">
        <v>14</v>
      </c>
      <c r="E76"/>
      <c r="AA76" s="27" t="s">
        <v>8</v>
      </c>
    </row>
    <row r="77" spans="1:30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A77" s="27" t="s">
        <v>8</v>
      </c>
    </row>
    <row r="78" spans="1:30" x14ac:dyDescent="0.25">
      <c r="A78" s="30">
        <v>60.240069161242367</v>
      </c>
      <c r="E78"/>
      <c r="AA78" s="27" t="s">
        <v>8</v>
      </c>
    </row>
    <row r="79" spans="1:30" x14ac:dyDescent="0.25">
      <c r="A79" s="30">
        <v>54.763699237493057</v>
      </c>
      <c r="E79"/>
      <c r="S79" s="27" t="s">
        <v>8</v>
      </c>
      <c r="AA79" s="27" t="s">
        <v>8</v>
      </c>
    </row>
    <row r="80" spans="1:30" x14ac:dyDescent="0.25">
      <c r="A80" s="30">
        <v>49.785181124993684</v>
      </c>
      <c r="E80"/>
      <c r="S80" s="27" t="s">
        <v>8</v>
      </c>
      <c r="T80" s="27" t="s">
        <v>7</v>
      </c>
      <c r="U80" s="27" t="s">
        <v>8</v>
      </c>
      <c r="AA80" s="27" t="s">
        <v>8</v>
      </c>
    </row>
    <row r="81" spans="1:28" x14ac:dyDescent="0.25">
      <c r="A81" s="30">
        <v>45.259255568176073</v>
      </c>
      <c r="E81"/>
      <c r="S81" s="27" t="s">
        <v>8</v>
      </c>
      <c r="T81" s="27" t="s">
        <v>7</v>
      </c>
      <c r="U81" s="27" t="s">
        <v>8</v>
      </c>
      <c r="V81" s="27" t="s">
        <v>7</v>
      </c>
      <c r="AA81" s="27" t="s">
        <v>8</v>
      </c>
    </row>
    <row r="82" spans="1:28" x14ac:dyDescent="0.25">
      <c r="A82" s="30">
        <v>41.144777789250973</v>
      </c>
      <c r="E82"/>
      <c r="S82" s="27" t="s">
        <v>8</v>
      </c>
      <c r="T82" s="27" t="s">
        <v>7</v>
      </c>
      <c r="U82" s="27" t="s">
        <v>8</v>
      </c>
      <c r="V82" s="27" t="s">
        <v>7</v>
      </c>
      <c r="W82" s="27" t="s">
        <v>8</v>
      </c>
      <c r="AA82" s="27" t="s">
        <v>8</v>
      </c>
    </row>
    <row r="83" spans="1:28" x14ac:dyDescent="0.25">
      <c r="A83" s="30">
        <v>37.404343444773609</v>
      </c>
      <c r="E83"/>
      <c r="S83" s="27" t="s">
        <v>8</v>
      </c>
      <c r="T83" s="27" t="s">
        <v>7</v>
      </c>
      <c r="U83" s="27" t="s">
        <v>8</v>
      </c>
      <c r="V83" s="27" t="s">
        <v>7</v>
      </c>
      <c r="W83" s="27" t="s">
        <v>8</v>
      </c>
      <c r="X83" s="27" t="s">
        <v>7</v>
      </c>
      <c r="Y83" s="31" t="s">
        <v>8</v>
      </c>
      <c r="AA83" s="27" t="s">
        <v>8</v>
      </c>
    </row>
    <row r="84" spans="1:28" x14ac:dyDescent="0.25">
      <c r="A84" s="30">
        <v>34.003948586157826</v>
      </c>
      <c r="E84"/>
      <c r="S84" s="27" t="s">
        <v>8</v>
      </c>
      <c r="T84" s="27" t="s">
        <v>7</v>
      </c>
      <c r="U84" s="27" t="s">
        <v>8</v>
      </c>
      <c r="V84" s="27" t="s">
        <v>7</v>
      </c>
      <c r="W84" s="27" t="s">
        <v>8</v>
      </c>
      <c r="X84" s="27" t="s">
        <v>7</v>
      </c>
      <c r="Y84" s="27" t="s">
        <v>8</v>
      </c>
      <c r="Z84" s="31" t="s">
        <v>7</v>
      </c>
      <c r="AA84" s="27" t="s">
        <v>8</v>
      </c>
    </row>
    <row r="85" spans="1:28" x14ac:dyDescent="0.25">
      <c r="A85" s="30">
        <v>30.912680532870748</v>
      </c>
      <c r="E85"/>
      <c r="S85" s="27" t="s">
        <v>8</v>
      </c>
      <c r="T85" s="27" t="s">
        <v>7</v>
      </c>
      <c r="U85" s="27" t="s">
        <v>8</v>
      </c>
      <c r="V85" s="27" t="s">
        <v>7</v>
      </c>
      <c r="W85" s="27" t="s">
        <v>8</v>
      </c>
      <c r="X85" s="27" t="s">
        <v>7</v>
      </c>
      <c r="Y85" s="27" t="s">
        <v>8</v>
      </c>
      <c r="Z85" s="27" t="s">
        <v>7</v>
      </c>
      <c r="AA85" s="31" t="s">
        <v>8</v>
      </c>
    </row>
    <row r="86" spans="1:28" x14ac:dyDescent="0.25">
      <c r="A86" s="30">
        <v>28.102436848064315</v>
      </c>
      <c r="E86"/>
      <c r="S86" s="27" t="s">
        <v>8</v>
      </c>
      <c r="T86" s="27" t="s">
        <v>7</v>
      </c>
      <c r="V86" s="27" t="s">
        <v>7</v>
      </c>
      <c r="W86" s="27" t="s">
        <v>8</v>
      </c>
      <c r="X86" s="27" t="s">
        <v>7</v>
      </c>
      <c r="Y86" s="27" t="s">
        <v>8</v>
      </c>
      <c r="Z86" s="27" t="s">
        <v>7</v>
      </c>
      <c r="AA86" s="27" t="s">
        <v>8</v>
      </c>
      <c r="AB86" s="31"/>
    </row>
    <row r="87" spans="1:28" x14ac:dyDescent="0.25">
      <c r="A87" s="30">
        <v>25.547669861876649</v>
      </c>
      <c r="E87"/>
      <c r="S87" s="27" t="s">
        <v>8</v>
      </c>
      <c r="V87" s="34" t="s">
        <v>7</v>
      </c>
      <c r="W87" s="27" t="s">
        <v>8</v>
      </c>
      <c r="X87" s="27" t="s">
        <v>7</v>
      </c>
      <c r="Y87" s="27" t="s">
        <v>8</v>
      </c>
      <c r="Z87" s="18" t="s">
        <v>7</v>
      </c>
      <c r="AA87" s="27" t="s">
        <v>8</v>
      </c>
    </row>
    <row r="88" spans="1:28" x14ac:dyDescent="0.25">
      <c r="A88" s="30">
        <v>23.225154419887861</v>
      </c>
      <c r="E88"/>
      <c r="S88" s="27" t="s">
        <v>8</v>
      </c>
      <c r="V88" s="27" t="s">
        <v>7</v>
      </c>
      <c r="W88" s="27" t="s">
        <v>8</v>
      </c>
      <c r="X88" s="27" t="s">
        <v>7</v>
      </c>
      <c r="Y88" s="27" t="s">
        <v>8</v>
      </c>
      <c r="Z88" s="27" t="s">
        <v>7</v>
      </c>
    </row>
    <row r="89" spans="1:28" x14ac:dyDescent="0.25">
      <c r="A89" s="30">
        <v>21.113776745352599</v>
      </c>
      <c r="E89"/>
      <c r="S89" s="27" t="s">
        <v>8</v>
      </c>
      <c r="V89" s="27" t="s">
        <v>7</v>
      </c>
      <c r="W89" s="27" t="s">
        <v>8</v>
      </c>
      <c r="X89" s="27" t="s">
        <v>7</v>
      </c>
    </row>
    <row r="90" spans="1:28" x14ac:dyDescent="0.25">
      <c r="A90" s="30">
        <v>19.194342495775089</v>
      </c>
      <c r="E90"/>
      <c r="S90" s="27" t="s">
        <v>8</v>
      </c>
      <c r="V90" s="27" t="s">
        <v>7</v>
      </c>
    </row>
    <row r="91" spans="1:28" x14ac:dyDescent="0.25">
      <c r="A91" s="30">
        <v>17.449402268886445</v>
      </c>
      <c r="E91"/>
      <c r="Q91" s="27" t="s">
        <v>8</v>
      </c>
      <c r="S91" s="27" t="s">
        <v>8</v>
      </c>
    </row>
    <row r="92" spans="1:28" x14ac:dyDescent="0.25">
      <c r="A92" s="30">
        <v>15.863092971714948</v>
      </c>
      <c r="C92" s="1" t="s">
        <v>15</v>
      </c>
      <c r="E92"/>
      <c r="Q92" s="27" t="s">
        <v>8</v>
      </c>
      <c r="R92" s="27" t="s">
        <v>7</v>
      </c>
      <c r="S92" s="27" t="s">
        <v>8</v>
      </c>
    </row>
    <row r="93" spans="1:28" x14ac:dyDescent="0.25">
      <c r="A93" s="30">
        <v>14.420993610649951</v>
      </c>
      <c r="C93" s="7">
        <v>0.11167815779424731</v>
      </c>
      <c r="D93"/>
      <c r="E93"/>
      <c r="Q93" s="27" t="s">
        <v>8</v>
      </c>
      <c r="R93" s="27" t="s">
        <v>7</v>
      </c>
      <c r="S93" s="27" t="s">
        <v>8</v>
      </c>
    </row>
    <row r="94" spans="1:28" x14ac:dyDescent="0.25">
      <c r="A94" s="30">
        <v>13.109994191499954</v>
      </c>
      <c r="E94"/>
      <c r="Q94" s="27" t="s">
        <v>8</v>
      </c>
      <c r="R94" s="27" t="s">
        <v>7</v>
      </c>
      <c r="S94" s="27" t="s">
        <v>8</v>
      </c>
    </row>
    <row r="95" spans="1:28" x14ac:dyDescent="0.25">
      <c r="A95" s="30">
        <v>11.918176537727231</v>
      </c>
      <c r="C95" s="1" t="s">
        <v>11</v>
      </c>
      <c r="D95" s="1" t="s">
        <v>12</v>
      </c>
      <c r="E95"/>
      <c r="Q95" s="27" t="s">
        <v>8</v>
      </c>
      <c r="R95" s="27" t="s">
        <v>7</v>
      </c>
    </row>
    <row r="96" spans="1:28" x14ac:dyDescent="0.25">
      <c r="A96" s="30">
        <v>10.834705943388391</v>
      </c>
      <c r="C96"/>
      <c r="D96"/>
      <c r="E96"/>
      <c r="Q96" s="27" t="s">
        <v>8</v>
      </c>
    </row>
    <row r="97" spans="1:35" x14ac:dyDescent="0.25">
      <c r="A97" s="30">
        <v>9.849732675807628</v>
      </c>
      <c r="E97"/>
      <c r="Q97" s="27" t="s">
        <v>8</v>
      </c>
      <c r="AI97" s="31"/>
    </row>
    <row r="98" spans="1:35" x14ac:dyDescent="0.25">
      <c r="A98" s="30">
        <v>8.9543024325523888</v>
      </c>
      <c r="C98" s="1" t="s">
        <v>13</v>
      </c>
      <c r="E98"/>
      <c r="Q98" s="27" t="s">
        <v>8</v>
      </c>
      <c r="AH98" s="31"/>
    </row>
    <row r="99" spans="1:35" x14ac:dyDescent="0.25">
      <c r="A99" s="30">
        <v>8.140274938683989</v>
      </c>
      <c r="C99" s="1">
        <f>C88</f>
        <v>0</v>
      </c>
      <c r="E99"/>
      <c r="Q99" s="27" t="s">
        <v>8</v>
      </c>
      <c r="AG99" s="31"/>
    </row>
    <row r="100" spans="1:35" x14ac:dyDescent="0.25">
      <c r="A100" s="30">
        <v>7.4002499442581717</v>
      </c>
      <c r="C100"/>
      <c r="D100"/>
      <c r="E100"/>
      <c r="Q100" s="27" t="s">
        <v>8</v>
      </c>
      <c r="AF100" s="31"/>
    </row>
    <row r="101" spans="1:35" x14ac:dyDescent="0.25">
      <c r="A101" s="30">
        <v>6.72749994932561</v>
      </c>
      <c r="C101" s="1" t="s">
        <v>14</v>
      </c>
      <c r="E101"/>
      <c r="Q101" s="27" t="s">
        <v>8</v>
      </c>
      <c r="AE101" s="31"/>
    </row>
    <row r="102" spans="1:3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Q102" s="27" t="s">
        <v>8</v>
      </c>
      <c r="AD102" s="31"/>
    </row>
    <row r="103" spans="1:35" x14ac:dyDescent="0.25">
      <c r="A103" s="30">
        <v>5.5599173134922388</v>
      </c>
      <c r="E103"/>
      <c r="Q103" s="27" t="s">
        <v>8</v>
      </c>
      <c r="AC103" s="31"/>
    </row>
    <row r="104" spans="1:35" x14ac:dyDescent="0.25">
      <c r="A104" s="30">
        <v>5.0544702849929442</v>
      </c>
      <c r="E104"/>
      <c r="Q104" s="27" t="s">
        <v>8</v>
      </c>
      <c r="AB104" s="31"/>
    </row>
    <row r="105" spans="1:35" x14ac:dyDescent="0.25">
      <c r="A105" s="30">
        <v>4.594972986357222</v>
      </c>
      <c r="E105"/>
      <c r="G105" s="27" t="s">
        <v>8</v>
      </c>
      <c r="Q105" s="27" t="s">
        <v>8</v>
      </c>
      <c r="AA105" s="31"/>
    </row>
    <row r="106" spans="1:35" x14ac:dyDescent="0.25">
      <c r="A106" s="30">
        <v>4.1772481694156562</v>
      </c>
      <c r="E106"/>
      <c r="G106" s="27" t="s">
        <v>8</v>
      </c>
      <c r="H106" s="27" t="s">
        <v>7</v>
      </c>
      <c r="Q106" s="27" t="s">
        <v>8</v>
      </c>
      <c r="Z106" s="31"/>
    </row>
    <row r="107" spans="1:35" x14ac:dyDescent="0.25">
      <c r="A107" s="30">
        <v>3.7974983358324148</v>
      </c>
      <c r="E107" t="s">
        <v>8</v>
      </c>
      <c r="G107" s="27" t="s">
        <v>8</v>
      </c>
      <c r="H107" s="27" t="s">
        <v>7</v>
      </c>
      <c r="I107" s="27" t="s">
        <v>8</v>
      </c>
      <c r="M107" s="32" t="s">
        <v>8</v>
      </c>
      <c r="O107" s="32" t="s">
        <v>8</v>
      </c>
      <c r="Q107" s="27" t="s">
        <v>8</v>
      </c>
      <c r="Y107" s="31"/>
    </row>
    <row r="108" spans="1:35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H108" s="27" t="s">
        <v>7</v>
      </c>
      <c r="I108" s="27" t="s">
        <v>8</v>
      </c>
      <c r="J108" s="27" t="s">
        <v>7</v>
      </c>
      <c r="M108" s="27" t="s">
        <v>8</v>
      </c>
      <c r="N108" s="27" t="s">
        <v>7</v>
      </c>
      <c r="O108" s="27" t="s">
        <v>8</v>
      </c>
      <c r="P108" s="27" t="s">
        <v>7</v>
      </c>
      <c r="Q108" s="27" t="s">
        <v>8</v>
      </c>
      <c r="X108" s="31"/>
    </row>
    <row r="109" spans="1:35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  <c r="I109" s="27" t="s">
        <v>8</v>
      </c>
      <c r="J109" s="27" t="s">
        <v>7</v>
      </c>
      <c r="M109" s="27" t="s">
        <v>8</v>
      </c>
      <c r="N109" s="27" t="s">
        <v>7</v>
      </c>
      <c r="O109" s="27" t="s">
        <v>8</v>
      </c>
      <c r="P109" s="27" t="s">
        <v>7</v>
      </c>
      <c r="Q109" s="27" t="s">
        <v>8</v>
      </c>
      <c r="W109" s="31"/>
    </row>
    <row r="110" spans="1:35" x14ac:dyDescent="0.25">
      <c r="A110" s="30">
        <v>2.8531167061100029</v>
      </c>
      <c r="E110" t="s">
        <v>8</v>
      </c>
      <c r="F110" s="27" t="s">
        <v>7</v>
      </c>
      <c r="H110" s="27" t="s">
        <v>7</v>
      </c>
      <c r="I110" s="27" t="s">
        <v>8</v>
      </c>
      <c r="J110" s="27" t="s">
        <v>7</v>
      </c>
      <c r="M110" s="27" t="s">
        <v>8</v>
      </c>
      <c r="N110" s="27" t="s">
        <v>7</v>
      </c>
      <c r="O110" s="27" t="s">
        <v>8</v>
      </c>
      <c r="P110" s="27" t="s">
        <v>7</v>
      </c>
      <c r="Q110" s="27" t="s">
        <v>8</v>
      </c>
      <c r="V110" s="31"/>
    </row>
    <row r="111" spans="1:35" x14ac:dyDescent="0.25">
      <c r="A111" s="30">
        <v>2.5937424601000023</v>
      </c>
      <c r="C111" s="1" t="str">
        <f>ADDRESS(C121-1,1,1,1)</f>
        <v>$A$73</v>
      </c>
      <c r="D111" s="1" t="str">
        <f>ADDRESS(C121-1,D121,1,1)</f>
        <v>$AD$73</v>
      </c>
      <c r="E111" t="s">
        <v>8</v>
      </c>
      <c r="H111" s="27" t="s">
        <v>7</v>
      </c>
      <c r="I111" s="27" t="s">
        <v>8</v>
      </c>
      <c r="J111" s="27" t="s">
        <v>7</v>
      </c>
      <c r="M111" s="33" t="s">
        <v>8</v>
      </c>
      <c r="N111" s="32" t="s">
        <v>7</v>
      </c>
      <c r="P111" s="32" t="s">
        <v>7</v>
      </c>
      <c r="U111" s="31"/>
    </row>
    <row r="112" spans="1:35" x14ac:dyDescent="0.25">
      <c r="A112" s="30">
        <v>2.3579476910000019</v>
      </c>
      <c r="C112" s="1" t="str">
        <f>ADDRESS(C121,1,1,1)</f>
        <v>$A$74</v>
      </c>
      <c r="D112" s="1" t="str">
        <f>ADDRESS(C121,D121-1,1,1)</f>
        <v>$AC$74</v>
      </c>
      <c r="E112" t="s">
        <v>8</v>
      </c>
      <c r="H112" s="27" t="s">
        <v>7</v>
      </c>
      <c r="I112" s="27" t="s">
        <v>8</v>
      </c>
      <c r="J112" s="27" t="s">
        <v>7</v>
      </c>
      <c r="K112" s="27" t="s">
        <v>8</v>
      </c>
      <c r="M112" s="27" t="s">
        <v>8</v>
      </c>
      <c r="T112" s="31"/>
    </row>
    <row r="113" spans="1:19" x14ac:dyDescent="0.25">
      <c r="A113" s="30">
        <v>2.1435888100000016</v>
      </c>
      <c r="C113" s="1" t="str">
        <f>ADDRESS(C121+1,1,1,1)</f>
        <v>$A$75</v>
      </c>
      <c r="D113" s="1" t="str">
        <f>ADDRESS(C121-1,D121+1,1,1)</f>
        <v>$AE$73</v>
      </c>
      <c r="E113" s="1" t="s">
        <v>8</v>
      </c>
      <c r="H113" s="27" t="s">
        <v>7</v>
      </c>
      <c r="J113" s="27" t="s">
        <v>7</v>
      </c>
      <c r="K113" s="27" t="s">
        <v>8</v>
      </c>
      <c r="L113" s="27" t="s">
        <v>7</v>
      </c>
      <c r="M113" s="27" t="s">
        <v>8</v>
      </c>
      <c r="S113" s="31"/>
    </row>
    <row r="114" spans="1:19" x14ac:dyDescent="0.25">
      <c r="A114" s="30">
        <v>1.9487171000000014</v>
      </c>
      <c r="C114" s="1" t="str">
        <f>ADDRESS(C121,D121,1,1)</f>
        <v>$AD$74</v>
      </c>
      <c r="D114" s="1" t="str">
        <f>ADDRESS(C121+1,D121+1,1,1)</f>
        <v>$AE$75</v>
      </c>
      <c r="E114" s="1" t="s">
        <v>8</v>
      </c>
      <c r="J114" s="27" t="s">
        <v>7</v>
      </c>
      <c r="K114" s="27" t="s">
        <v>8</v>
      </c>
      <c r="L114" s="27" t="s">
        <v>7</v>
      </c>
      <c r="M114" s="27" t="s">
        <v>8</v>
      </c>
      <c r="R114" s="31"/>
    </row>
    <row r="115" spans="1:19" x14ac:dyDescent="0.25">
      <c r="A115" s="30">
        <v>1.7715610000000011</v>
      </c>
      <c r="C115" s="1" t="str">
        <f>ADDRESS(C121+1,D121,1,1)</f>
        <v>$AD$75</v>
      </c>
      <c r="E115" s="1" t="s">
        <v>8</v>
      </c>
      <c r="J115" s="27" t="s">
        <v>7</v>
      </c>
      <c r="K115" s="27" t="s">
        <v>8</v>
      </c>
      <c r="L115" s="27" t="s">
        <v>7</v>
      </c>
      <c r="M115" s="27" t="s">
        <v>8</v>
      </c>
      <c r="Q115" s="31"/>
    </row>
    <row r="116" spans="1:19" x14ac:dyDescent="0.25">
      <c r="A116" s="30">
        <v>1.6105100000000008</v>
      </c>
      <c r="C116" s="1">
        <f>C117-1</f>
        <v>73</v>
      </c>
      <c r="E116" s="1" t="s">
        <v>8</v>
      </c>
      <c r="J116" s="27" t="s">
        <v>7</v>
      </c>
      <c r="K116" s="27" t="s">
        <v>8</v>
      </c>
      <c r="L116" s="27" t="s">
        <v>7</v>
      </c>
      <c r="M116" s="27" t="s">
        <v>8</v>
      </c>
      <c r="P116" s="31"/>
    </row>
    <row r="117" spans="1:19" x14ac:dyDescent="0.25">
      <c r="A117" s="30">
        <v>1.4641000000000006</v>
      </c>
      <c r="C117" s="1">
        <f>C121</f>
        <v>74</v>
      </c>
      <c r="D117" s="1">
        <f>D121</f>
        <v>30</v>
      </c>
      <c r="E117" s="1" t="s">
        <v>8</v>
      </c>
      <c r="J117" s="27" t="s">
        <v>7</v>
      </c>
      <c r="K117" s="27" t="s">
        <v>8</v>
      </c>
      <c r="L117" s="27" t="s">
        <v>7</v>
      </c>
      <c r="M117" s="27" t="s">
        <v>8</v>
      </c>
      <c r="O117" s="31"/>
    </row>
    <row r="118" spans="1:19" x14ac:dyDescent="0.25">
      <c r="A118" s="30">
        <v>1.3310000000000004</v>
      </c>
      <c r="C118" s="1">
        <f>C117+1</f>
        <v>75</v>
      </c>
      <c r="D118" s="1">
        <f>D117+1</f>
        <v>31</v>
      </c>
      <c r="E118" s="1" t="s">
        <v>8</v>
      </c>
      <c r="J118" s="27" t="s">
        <v>7</v>
      </c>
      <c r="L118" s="27" t="s">
        <v>7</v>
      </c>
      <c r="M118" s="27" t="s">
        <v>8</v>
      </c>
      <c r="N118" s="31"/>
    </row>
    <row r="119" spans="1:19" x14ac:dyDescent="0.25">
      <c r="A119" s="30">
        <v>1.2100000000000002</v>
      </c>
      <c r="E119" s="1" t="s">
        <v>8</v>
      </c>
      <c r="L119" s="27" t="s">
        <v>7</v>
      </c>
      <c r="M119" s="31" t="s">
        <v>8</v>
      </c>
    </row>
    <row r="120" spans="1:19" x14ac:dyDescent="0.25">
      <c r="A120" s="30">
        <v>1.1000000000000001</v>
      </c>
      <c r="C120" s="1" t="s">
        <v>9</v>
      </c>
      <c r="E120" s="1" t="s">
        <v>8</v>
      </c>
      <c r="L120" s="31" t="s">
        <v>7</v>
      </c>
    </row>
    <row r="121" spans="1:19" x14ac:dyDescent="0.25">
      <c r="A121" s="30">
        <v>1</v>
      </c>
      <c r="C121" s="18">
        <v>74</v>
      </c>
      <c r="D121" s="19">
        <v>30</v>
      </c>
      <c r="E121" s="18" t="s">
        <v>8</v>
      </c>
    </row>
    <row r="122" spans="1:19" x14ac:dyDescent="0.25">
      <c r="A122" s="30">
        <v>0.90909090909090895</v>
      </c>
      <c r="C122" s="1" t="str">
        <f>INDEX(1:1048576,C117,D117)</f>
        <v>O</v>
      </c>
    </row>
    <row r="123" spans="1:19" x14ac:dyDescent="0.25">
      <c r="A123" s="30">
        <v>0.82644628099173523</v>
      </c>
      <c r="C123" s="1" t="str">
        <f>"R"&amp;C121</f>
        <v>R74</v>
      </c>
      <c r="D123" s="1" t="str">
        <f>"C"&amp;D121</f>
        <v>C30</v>
      </c>
    </row>
    <row r="124" spans="1:19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9" x14ac:dyDescent="0.25">
      <c r="A125" s="30">
        <v>0.68301345536507019</v>
      </c>
    </row>
    <row r="126" spans="1:19" x14ac:dyDescent="0.25">
      <c r="A126" s="30">
        <v>0.6209213230591546</v>
      </c>
      <c r="C126" s="1" t="s">
        <v>10</v>
      </c>
    </row>
    <row r="127" spans="1:19" x14ac:dyDescent="0.25">
      <c r="A127" s="30">
        <v>0.56447393005377677</v>
      </c>
      <c r="C127" s="30">
        <v>88.197485258974979</v>
      </c>
      <c r="D127"/>
    </row>
    <row r="128" spans="1:19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22.704667199218342</v>
      </c>
      <c r="F3" s="30">
        <v>23.839900559179259</v>
      </c>
      <c r="G3" s="30">
        <v>80.730365049126775</v>
      </c>
      <c r="H3" s="25">
        <f>IF(G3="","",(3*(G3-F3))+E3)</f>
        <v>193.37606066906088</v>
      </c>
      <c r="I3" s="7"/>
      <c r="J3" s="7">
        <f>(E3+G3)/2</f>
        <v>51.717516124172562</v>
      </c>
      <c r="K3" s="7">
        <f>H3/2</f>
        <v>96.688030334530438</v>
      </c>
      <c r="M3" s="26">
        <f>IF(OR(J3="",H3=""),"",H3/J3)</f>
        <v>3.7390825229264575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2022-01-28T01:21:24Z</dcterms:modified>
</cp:coreProperties>
</file>