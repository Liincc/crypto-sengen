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1F22EE0-DB57-4BC0-8A4E-92870EFE506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4"/>
  <c r="C133" i="4" s="1"/>
  <c r="C136" i="4" s="1"/>
  <c r="R765" i="1"/>
  <c r="C122" i="3"/>
  <c r="C133" i="3" s="1"/>
  <c r="D136" i="3" s="1"/>
  <c r="C118" i="3"/>
  <c r="C116" i="3"/>
  <c r="C136" i="5" l="1"/>
  <c r="C138" i="5" s="1"/>
  <c r="D136" i="4"/>
  <c r="C138" i="4" s="1"/>
  <c r="R764" i="1"/>
  <c r="S765" i="1"/>
  <c r="T765" i="1" s="1"/>
  <c r="C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S760" i="1" l="1"/>
  <c r="T760" i="1" s="1"/>
  <c r="R759" i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R724" i="1" l="1"/>
  <c r="S725" i="1"/>
  <c r="T725" i="1" s="1"/>
  <c r="S724" i="1" l="1"/>
  <c r="T724" i="1" s="1"/>
  <c r="R723" i="1"/>
  <c r="R722" i="1" l="1"/>
  <c r="S723" i="1"/>
  <c r="T723" i="1" s="1"/>
  <c r="S722" i="1" l="1"/>
  <c r="T722" i="1" s="1"/>
  <c r="R721" i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S678" i="1" l="1"/>
  <c r="T678" i="1" s="1"/>
  <c r="R677" i="1"/>
  <c r="R676" i="1" l="1"/>
  <c r="S677" i="1"/>
  <c r="T677" i="1" s="1"/>
  <c r="S676" i="1" l="1"/>
  <c r="T676" i="1" s="1"/>
  <c r="R675" i="1"/>
  <c r="R674" i="1" l="1"/>
  <c r="S675" i="1"/>
  <c r="T675" i="1" s="1"/>
  <c r="S674" i="1" l="1"/>
  <c r="T674" i="1" s="1"/>
  <c r="R673" i="1"/>
  <c r="R672" i="1" l="1"/>
  <c r="S673" i="1"/>
  <c r="T673" i="1" s="1"/>
  <c r="S672" i="1" l="1"/>
  <c r="T672" i="1" s="1"/>
  <c r="R671" i="1"/>
  <c r="R670" i="1" l="1"/>
  <c r="S671" i="1"/>
  <c r="T671" i="1" s="1"/>
  <c r="S670" i="1" l="1"/>
  <c r="T670" i="1" s="1"/>
  <c r="R669" i="1"/>
  <c r="R668" i="1" l="1"/>
  <c r="S669" i="1"/>
  <c r="T669" i="1" s="1"/>
  <c r="S668" i="1" l="1"/>
  <c r="T668" i="1" s="1"/>
  <c r="R667" i="1"/>
  <c r="R666" i="1" l="1"/>
  <c r="S667" i="1"/>
  <c r="T667" i="1" s="1"/>
  <c r="S666" i="1" l="1"/>
  <c r="T666" i="1" s="1"/>
  <c r="R665" i="1"/>
  <c r="R664" i="1" l="1"/>
  <c r="S665" i="1"/>
  <c r="T665" i="1" s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S585" i="1" l="1"/>
  <c r="T585" i="1" s="1"/>
  <c r="R584" i="1"/>
  <c r="R583" i="1" l="1"/>
  <c r="S584" i="1"/>
  <c r="T584" i="1" s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S553" i="1" l="1"/>
  <c r="T553" i="1" s="1"/>
  <c r="R552" i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S545" i="1" l="1"/>
  <c r="T545" i="1" s="1"/>
  <c r="R544" i="1"/>
  <c r="R543" i="1" l="1"/>
  <c r="S544" i="1"/>
  <c r="T544" i="1" s="1"/>
  <c r="S543" i="1" l="1"/>
  <c r="T543" i="1" s="1"/>
  <c r="R542" i="1"/>
  <c r="R541" i="1" l="1"/>
  <c r="S542" i="1"/>
  <c r="T542" i="1" s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R525" i="1" l="1"/>
  <c r="S526" i="1"/>
  <c r="T526" i="1" s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R515" i="1" l="1"/>
  <c r="S516" i="1"/>
  <c r="T516" i="1" s="1"/>
  <c r="S515" i="1" l="1"/>
  <c r="T515" i="1" s="1"/>
  <c r="R514" i="1"/>
  <c r="R513" i="1" l="1"/>
  <c r="S514" i="1"/>
  <c r="T514" i="1" s="1"/>
  <c r="S513" i="1" l="1"/>
  <c r="T513" i="1" s="1"/>
  <c r="R512" i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S508" i="1" l="1"/>
  <c r="T508" i="1" s="1"/>
  <c r="R507" i="1"/>
  <c r="R506" i="1" l="1"/>
  <c r="S507" i="1"/>
  <c r="T507" i="1" s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S496" i="1" l="1"/>
  <c r="T496" i="1" s="1"/>
  <c r="R495" i="1"/>
  <c r="R494" i="1" l="1"/>
  <c r="S495" i="1"/>
  <c r="T495" i="1" s="1"/>
  <c r="S494" i="1" l="1"/>
  <c r="T494" i="1" s="1"/>
  <c r="R493" i="1"/>
  <c r="R492" i="1" l="1"/>
  <c r="S493" i="1"/>
  <c r="T493" i="1" s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S480" i="1" l="1"/>
  <c r="T480" i="1" s="1"/>
  <c r="R479" i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S466" i="1" l="1"/>
  <c r="T466" i="1" s="1"/>
  <c r="R465" i="1"/>
  <c r="R464" i="1" l="1"/>
  <c r="S465" i="1"/>
  <c r="T465" i="1" s="1"/>
  <c r="S464" i="1" l="1"/>
  <c r="T464" i="1" s="1"/>
  <c r="R463" i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R425" i="1" l="1"/>
  <c r="S426" i="1"/>
  <c r="T426" i="1" s="1"/>
  <c r="S425" i="1" l="1"/>
  <c r="T425" i="1" s="1"/>
  <c r="R424" i="1"/>
  <c r="R423" i="1" l="1"/>
  <c r="S424" i="1"/>
  <c r="T424" i="1" s="1"/>
  <c r="S423" i="1" l="1"/>
  <c r="T423" i="1" s="1"/>
  <c r="R422" i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S386" i="1" l="1"/>
  <c r="T386" i="1" s="1"/>
  <c r="R385" i="1"/>
  <c r="R384" i="1" l="1"/>
  <c r="S385" i="1"/>
  <c r="T385" i="1" s="1"/>
  <c r="S384" i="1" l="1"/>
  <c r="T384" i="1" s="1"/>
  <c r="R383" i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R378" i="1" l="1"/>
  <c r="S379" i="1"/>
  <c r="T379" i="1" s="1"/>
  <c r="S378" i="1" l="1"/>
  <c r="T378" i="1" s="1"/>
  <c r="R377" i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S347" i="1" l="1"/>
  <c r="T347" i="1" s="1"/>
  <c r="R346" i="1"/>
  <c r="R345" i="1" l="1"/>
  <c r="S346" i="1"/>
  <c r="T346" i="1" s="1"/>
  <c r="S345" i="1" l="1"/>
  <c r="T345" i="1" s="1"/>
  <c r="R344" i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S338" i="1" l="1"/>
  <c r="T338" i="1" s="1"/>
  <c r="R337" i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S330" i="1" l="1"/>
  <c r="T330" i="1" s="1"/>
  <c r="R329" i="1"/>
  <c r="R328" i="1" l="1"/>
  <c r="S329" i="1"/>
  <c r="T329" i="1" s="1"/>
  <c r="S328" i="1" l="1"/>
  <c r="T328" i="1" s="1"/>
  <c r="R327" i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S305" i="1" l="1"/>
  <c r="T305" i="1" s="1"/>
  <c r="R304" i="1"/>
  <c r="S304" i="1" l="1"/>
  <c r="T304" i="1" s="1"/>
  <c r="R303" i="1"/>
  <c r="R302" i="1" l="1"/>
  <c r="S303" i="1"/>
  <c r="T303" i="1" s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S283" i="1" l="1"/>
  <c r="T283" i="1" s="1"/>
  <c r="R282" i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S252" i="1" l="1"/>
  <c r="T252" i="1" s="1"/>
  <c r="R251" i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R220" i="1" l="1"/>
  <c r="S221" i="1"/>
  <c r="T221" i="1" s="1"/>
  <c r="S220" i="1" l="1"/>
  <c r="T220" i="1" s="1"/>
  <c r="R219" i="1"/>
  <c r="R218" i="1" l="1"/>
  <c r="S219" i="1"/>
  <c r="T219" i="1" s="1"/>
  <c r="S218" i="1" l="1"/>
  <c r="T218" i="1" s="1"/>
  <c r="R217" i="1"/>
  <c r="R216" i="1" l="1"/>
  <c r="S217" i="1"/>
  <c r="T217" i="1" s="1"/>
  <c r="S216" i="1" l="1"/>
  <c r="T216" i="1" s="1"/>
  <c r="R215" i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S185" i="1" l="1"/>
  <c r="T185" i="1" s="1"/>
  <c r="R184" i="1"/>
  <c r="R183" i="1" l="1"/>
  <c r="S184" i="1"/>
  <c r="T184" i="1" s="1"/>
  <c r="S183" i="1" l="1"/>
  <c r="T183" i="1" s="1"/>
  <c r="R182" i="1"/>
  <c r="R181" i="1" l="1"/>
  <c r="S182" i="1"/>
  <c r="T182" i="1" s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R173" i="1" l="1"/>
  <c r="S174" i="1"/>
  <c r="T174" i="1" s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S165" i="1" l="1"/>
  <c r="T165" i="1" s="1"/>
  <c r="R164" i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S141" i="1" l="1"/>
  <c r="T141" i="1" s="1"/>
  <c r="R140" i="1"/>
  <c r="R139" i="1" l="1"/>
  <c r="S140" i="1"/>
  <c r="T140" i="1" s="1"/>
  <c r="S139" i="1" l="1"/>
  <c r="T139" i="1" s="1"/>
  <c r="R138" i="1"/>
  <c r="R137" i="1" l="1"/>
  <c r="S138" i="1"/>
  <c r="T138" i="1" s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<sst xmlns="http://schemas.openxmlformats.org/spreadsheetml/2006/main" count="7580" uniqueCount="34">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</sst>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0.2072</c:v>
                </c:pt>
                <c:pt idx="1">
                  <c:v>0.21190000000000001</c:v>
                </c:pt>
                <c:pt idx="2">
                  <c:v>0.2114</c:v>
                </c:pt>
                <c:pt idx="3">
                  <c:v>0.2064</c:v>
                </c:pt>
                <c:pt idx="4">
                  <c:v>0.2225</c:v>
                </c:pt>
                <c:pt idx="5">
                  <c:v>0.222</c:v>
                </c:pt>
                <c:pt idx="6">
                  <c:v>0.23430000000000001</c:v>
                </c:pt>
                <c:pt idx="7">
                  <c:v>0.25979999999999998</c:v>
                </c:pt>
                <c:pt idx="8">
                  <c:v>0.26719999999999999</c:v>
                </c:pt>
                <c:pt idx="9">
                  <c:v>0.26569999999999999</c:v>
                </c:pt>
                <c:pt idx="10">
                  <c:v>0.26989999999999997</c:v>
                </c:pt>
                <c:pt idx="11">
                  <c:v>0.27889999999999998</c:v>
                </c:pt>
                <c:pt idx="12">
                  <c:v>0.27960000000000002</c:v>
                </c:pt>
                <c:pt idx="13">
                  <c:v>0.28129999999999999</c:v>
                </c:pt>
                <c:pt idx="14">
                  <c:v>0.27810000000000001</c:v>
                </c:pt>
                <c:pt idx="15">
                  <c:v>0.29649999999999999</c:v>
                </c:pt>
                <c:pt idx="16">
                  <c:v>0.27539999999999998</c:v>
                </c:pt>
                <c:pt idx="17">
                  <c:v>0.25940000000000002</c:v>
                </c:pt>
                <c:pt idx="18">
                  <c:v>0.27139999999999997</c:v>
                </c:pt>
                <c:pt idx="19">
                  <c:v>0.26469999999999999</c:v>
                </c:pt>
                <c:pt idx="20">
                  <c:v>0.27289999999999998</c:v>
                </c:pt>
                <c:pt idx="21">
                  <c:v>0.29409999999999997</c:v>
                </c:pt>
                <c:pt idx="22">
                  <c:v>0.28760000000000002</c:v>
                </c:pt>
                <c:pt idx="23">
                  <c:v>0.32500000000000001</c:v>
                </c:pt>
                <c:pt idx="24">
                  <c:v>0.30659999999999998</c:v>
                </c:pt>
                <c:pt idx="25">
                  <c:v>0.31209999999999999</c:v>
                </c:pt>
                <c:pt idx="26">
                  <c:v>0.30030000000000001</c:v>
                </c:pt>
                <c:pt idx="27">
                  <c:v>0.29039999999999999</c:v>
                </c:pt>
                <c:pt idx="28">
                  <c:v>0.29759999999999998</c:v>
                </c:pt>
                <c:pt idx="29">
                  <c:v>0.28260000000000002</c:v>
                </c:pt>
                <c:pt idx="30">
                  <c:v>0.29070000000000001</c:v>
                </c:pt>
                <c:pt idx="31">
                  <c:v>0.31390000000000001</c:v>
                </c:pt>
                <c:pt idx="32">
                  <c:v>0.31840000000000002</c:v>
                </c:pt>
                <c:pt idx="33">
                  <c:v>0.31480000000000002</c:v>
                </c:pt>
                <c:pt idx="34">
                  <c:v>0.31040000000000001</c:v>
                </c:pt>
                <c:pt idx="35">
                  <c:v>0.3291</c:v>
                </c:pt>
                <c:pt idx="36">
                  <c:v>0.31840000000000002</c:v>
                </c:pt>
                <c:pt idx="37">
                  <c:v>0.30840000000000001</c:v>
                </c:pt>
                <c:pt idx="38">
                  <c:v>0.3049</c:v>
                </c:pt>
                <c:pt idx="39">
                  <c:v>0.32400000000000001</c:v>
                </c:pt>
                <c:pt idx="40">
                  <c:v>0.30830000000000002</c:v>
                </c:pt>
                <c:pt idx="41">
                  <c:v>0.25080000000000002</c:v>
                </c:pt>
                <c:pt idx="42">
                  <c:v>0.26079999999999998</c:v>
                </c:pt>
                <c:pt idx="43">
                  <c:v>0.25619999999999998</c:v>
                </c:pt>
                <c:pt idx="44">
                  <c:v>0.23319999999999999</c:v>
                </c:pt>
                <c:pt idx="45">
                  <c:v>0.22559999999999999</c:v>
                </c:pt>
                <c:pt idx="46">
                  <c:v>0.25569999999999998</c:v>
                </c:pt>
                <c:pt idx="47">
                  <c:v>0.24</c:v>
                </c:pt>
                <c:pt idx="48">
                  <c:v>0.2366</c:v>
                </c:pt>
                <c:pt idx="49">
                  <c:v>0.2515</c:v>
                </c:pt>
                <c:pt idx="50">
                  <c:v>0.28070000000000001</c:v>
                </c:pt>
                <c:pt idx="51">
                  <c:v>0.27279999999999999</c:v>
                </c:pt>
                <c:pt idx="52">
                  <c:v>0.27889999999999998</c:v>
                </c:pt>
                <c:pt idx="53">
                  <c:v>0.27510000000000001</c:v>
                </c:pt>
                <c:pt idx="54">
                  <c:v>0.28560000000000002</c:v>
                </c:pt>
                <c:pt idx="55">
                  <c:v>0.31530000000000002</c:v>
                </c:pt>
                <c:pt idx="56">
                  <c:v>0.33929999999999999</c:v>
                </c:pt>
                <c:pt idx="57">
                  <c:v>0.35049999999999998</c:v>
                </c:pt>
                <c:pt idx="58">
                  <c:v>0.3478</c:v>
                </c:pt>
                <c:pt idx="59">
                  <c:v>0.35909999999999997</c:v>
                </c:pt>
                <c:pt idx="60">
                  <c:v>0.33229999999999998</c:v>
                </c:pt>
                <c:pt idx="61">
                  <c:v>0.33110000000000001</c:v>
                </c:pt>
                <c:pt idx="62">
                  <c:v>0.3241</c:v>
                </c:pt>
                <c:pt idx="63">
                  <c:v>0.35610000000000003</c:v>
                </c:pt>
                <c:pt idx="64">
                  <c:v>0.36109999999999998</c:v>
                </c:pt>
                <c:pt idx="65">
                  <c:v>0.37059999999999998</c:v>
                </c:pt>
                <c:pt idx="66">
                  <c:v>0.36270000000000002</c:v>
                </c:pt>
                <c:pt idx="67">
                  <c:v>0.3846</c:v>
                </c:pt>
                <c:pt idx="68">
                  <c:v>0.38790000000000002</c:v>
                </c:pt>
                <c:pt idx="69">
                  <c:v>0.3795</c:v>
                </c:pt>
                <c:pt idx="70">
                  <c:v>0.35820000000000002</c:v>
                </c:pt>
                <c:pt idx="71">
                  <c:v>0.40660000000000002</c:v>
                </c:pt>
                <c:pt idx="72">
                  <c:v>0.39500000000000002</c:v>
                </c:pt>
                <c:pt idx="73">
                  <c:v>0.42580000000000001</c:v>
                </c:pt>
                <c:pt idx="74">
                  <c:v>0.43890000000000001</c:v>
                </c:pt>
                <c:pt idx="75">
                  <c:v>0.43680000000000002</c:v>
                </c:pt>
                <c:pt idx="76">
                  <c:v>0.45179999999999998</c:v>
                </c:pt>
                <c:pt idx="77">
                  <c:v>0.43149999999999999</c:v>
                </c:pt>
                <c:pt idx="78">
                  <c:v>0.40679999999999999</c:v>
                </c:pt>
                <c:pt idx="79">
                  <c:v>0.42549999999999999</c:v>
                </c:pt>
                <c:pt idx="80">
                  <c:v>0.42249999999999999</c:v>
                </c:pt>
                <c:pt idx="81">
                  <c:v>0.39319999999999999</c:v>
                </c:pt>
                <c:pt idx="82">
                  <c:v>0.3851</c:v>
                </c:pt>
                <c:pt idx="83">
                  <c:v>0.39029999999999998</c:v>
                </c:pt>
                <c:pt idx="84">
                  <c:v>0.39410000000000001</c:v>
                </c:pt>
                <c:pt idx="85">
                  <c:v>0.39040000000000002</c:v>
                </c:pt>
                <c:pt idx="86">
                  <c:v>0.39700000000000002</c:v>
                </c:pt>
                <c:pt idx="87">
                  <c:v>0.3997</c:v>
                </c:pt>
                <c:pt idx="88">
                  <c:v>0.40760000000000002</c:v>
                </c:pt>
                <c:pt idx="89">
                  <c:v>0.41870000000000002</c:v>
                </c:pt>
                <c:pt idx="90">
                  <c:v>0.39050000000000001</c:v>
                </c:pt>
                <c:pt idx="91">
                  <c:v>0.37040000000000001</c:v>
                </c:pt>
                <c:pt idx="92">
                  <c:v>0.35010000000000002</c:v>
                </c:pt>
                <c:pt idx="93">
                  <c:v>0.39140000000000003</c:v>
                </c:pt>
                <c:pt idx="94">
                  <c:v>0.38700000000000001</c:v>
                </c:pt>
                <c:pt idx="95">
                  <c:v>0.3669</c:v>
                </c:pt>
                <c:pt idx="96">
                  <c:v>0.37919999999999998</c:v>
                </c:pt>
                <c:pt idx="97">
                  <c:v>0.37859999999999999</c:v>
                </c:pt>
                <c:pt idx="98">
                  <c:v>0.379</c:v>
                </c:pt>
                <c:pt idx="99">
                  <c:v>0.4027</c:v>
                </c:pt>
                <c:pt idx="100">
                  <c:v>0.37490000000000001</c:v>
                </c:pt>
                <c:pt idx="101">
                  <c:v>0.35589999999999999</c:v>
                </c:pt>
                <c:pt idx="102">
                  <c:v>0.35510000000000003</c:v>
                </c:pt>
                <c:pt idx="103">
                  <c:v>0.3725</c:v>
                </c:pt>
                <c:pt idx="104">
                  <c:v>0.36409999999999998</c:v>
                </c:pt>
                <c:pt idx="105">
                  <c:v>0.38900000000000001</c:v>
                </c:pt>
                <c:pt idx="106">
                  <c:v>0.3569</c:v>
                </c:pt>
                <c:pt idx="107">
                  <c:v>0.3488</c:v>
                </c:pt>
                <c:pt idx="108">
                  <c:v>0.34360000000000002</c:v>
                </c:pt>
                <c:pt idx="109">
                  <c:v>0.33900000000000002</c:v>
                </c:pt>
                <c:pt idx="110">
                  <c:v>0.37090000000000001</c:v>
                </c:pt>
                <c:pt idx="111">
                  <c:v>0.37380000000000002</c:v>
                </c:pt>
                <c:pt idx="112">
                  <c:v>0.378</c:v>
                </c:pt>
                <c:pt idx="113">
                  <c:v>0.38150000000000001</c:v>
                </c:pt>
                <c:pt idx="114">
                  <c:v>0.40350000000000003</c:v>
                </c:pt>
                <c:pt idx="115">
                  <c:v>0.40699999999999997</c:v>
                </c:pt>
                <c:pt idx="116">
                  <c:v>0.39629999999999999</c:v>
                </c:pt>
                <c:pt idx="117">
                  <c:v>0.38550000000000001</c:v>
                </c:pt>
                <c:pt idx="118">
                  <c:v>0.36499999999999999</c:v>
                </c:pt>
                <c:pt idx="119">
                  <c:v>0.33800000000000002</c:v>
                </c:pt>
                <c:pt idx="120">
                  <c:v>0.31080000000000002</c:v>
                </c:pt>
                <c:pt idx="121">
                  <c:v>0.30349999999999999</c:v>
                </c:pt>
                <c:pt idx="122">
                  <c:v>0.31929999999999997</c:v>
                </c:pt>
                <c:pt idx="123">
                  <c:v>0.33460000000000001</c:v>
                </c:pt>
                <c:pt idx="124">
                  <c:v>0.3417</c:v>
                </c:pt>
                <c:pt idx="125">
                  <c:v>0.3498</c:v>
                </c:pt>
                <c:pt idx="126">
                  <c:v>0.38290000000000002</c:v>
                </c:pt>
                <c:pt idx="127">
                  <c:v>0.36659999999999998</c:v>
                </c:pt>
                <c:pt idx="128">
                  <c:v>0.30549999999999999</c:v>
                </c:pt>
                <c:pt idx="129">
                  <c:v>0.35399999999999998</c:v>
                </c:pt>
                <c:pt idx="130">
                  <c:v>0.39679999999999999</c:v>
                </c:pt>
                <c:pt idx="131">
                  <c:v>0.4294</c:v>
                </c:pt>
                <c:pt idx="132">
                  <c:v>0.42599999999999999</c:v>
                </c:pt>
                <c:pt idx="133">
                  <c:v>0.47670000000000001</c:v>
                </c:pt>
                <c:pt idx="134">
                  <c:v>0.505</c:v>
                </c:pt>
                <c:pt idx="135">
                  <c:v>0.45629999999999998</c:v>
                </c:pt>
                <c:pt idx="136">
                  <c:v>0.43169999999999997</c:v>
                </c:pt>
                <c:pt idx="137">
                  <c:v>0.42420000000000002</c:v>
                </c:pt>
                <c:pt idx="138">
                  <c:v>0.36299999999999999</c:v>
                </c:pt>
                <c:pt idx="139">
                  <c:v>0.31630000000000003</c:v>
                </c:pt>
                <c:pt idx="140">
                  <c:v>0.33100000000000002</c:v>
                </c:pt>
                <c:pt idx="141">
                  <c:v>0.31879999999999997</c:v>
                </c:pt>
                <c:pt idx="142">
                  <c:v>0.27200000000000002</c:v>
                </c:pt>
                <c:pt idx="143">
                  <c:v>0.312</c:v>
                </c:pt>
                <c:pt idx="144">
                  <c:v>0.3075</c:v>
                </c:pt>
                <c:pt idx="145">
                  <c:v>0.318</c:v>
                </c:pt>
                <c:pt idx="146">
                  <c:v>0.28589999999999999</c:v>
                </c:pt>
                <c:pt idx="147">
                  <c:v>0.27450000000000002</c:v>
                </c:pt>
                <c:pt idx="148">
                  <c:v>0.2641</c:v>
                </c:pt>
                <c:pt idx="149">
                  <c:v>0.25169999999999998</c:v>
                </c:pt>
                <c:pt idx="150">
                  <c:v>0.24460000000000001</c:v>
                </c:pt>
                <c:pt idx="151">
                  <c:v>0.25209999999999999</c:v>
                </c:pt>
                <c:pt idx="152">
                  <c:v>0.26079999999999998</c:v>
                </c:pt>
                <c:pt idx="153">
                  <c:v>0.25419999999999998</c:v>
                </c:pt>
                <c:pt idx="154">
                  <c:v>0.2379</c:v>
                </c:pt>
                <c:pt idx="155">
                  <c:v>0.25819999999999999</c:v>
                </c:pt>
                <c:pt idx="156">
                  <c:v>0.25285999999999997</c:v>
                </c:pt>
                <c:pt idx="157">
                  <c:v>0.26095000000000002</c:v>
                </c:pt>
                <c:pt idx="158">
                  <c:v>0.24507999999999999</c:v>
                </c:pt>
                <c:pt idx="159">
                  <c:v>0.24229000000000001</c:v>
                </c:pt>
                <c:pt idx="160">
                  <c:v>0.24709999999999999</c:v>
                </c:pt>
                <c:pt idx="161">
                  <c:v>0.23733000000000001</c:v>
                </c:pt>
                <c:pt idx="162">
                  <c:v>0.22323000000000001</c:v>
                </c:pt>
                <c:pt idx="163">
                  <c:v>0.22717000000000001</c:v>
                </c:pt>
                <c:pt idx="164">
                  <c:v>0.24242</c:v>
                </c:pt>
                <c:pt idx="165">
                  <c:v>0.25185999999999997</c:v>
                </c:pt>
                <c:pt idx="166">
                  <c:v>0.26284999999999997</c:v>
                </c:pt>
                <c:pt idx="167">
                  <c:v>0.23122999999999999</c:v>
                </c:pt>
                <c:pt idx="168">
                  <c:v>0.21826999999999999</c:v>
                </c:pt>
                <c:pt idx="169">
                  <c:v>0.22756000000000001</c:v>
                </c:pt>
                <c:pt idx="170">
                  <c:v>0.22500000000000001</c:v>
                </c:pt>
                <c:pt idx="171">
                  <c:v>0.22123000000000001</c:v>
                </c:pt>
                <c:pt idx="172">
                  <c:v>0.21329999999999999</c:v>
                </c:pt>
                <c:pt idx="173">
                  <c:v>0.22519</c:v>
                </c:pt>
                <c:pt idx="174">
                  <c:v>0.21831999999999999</c:v>
                </c:pt>
                <c:pt idx="175">
                  <c:v>0.21923999999999999</c:v>
                </c:pt>
                <c:pt idx="176">
                  <c:v>0.21798000000000001</c:v>
                </c:pt>
                <c:pt idx="177">
                  <c:v>0.21506</c:v>
                </c:pt>
                <c:pt idx="178">
                  <c:v>0.20907999999999999</c:v>
                </c:pt>
                <c:pt idx="179">
                  <c:v>0.2044</c:v>
                </c:pt>
                <c:pt idx="180">
                  <c:v>0.21443000000000001</c:v>
                </c:pt>
                <c:pt idx="181">
                  <c:v>0.21454000000000001</c:v>
                </c:pt>
                <c:pt idx="182">
                  <c:v>0.20397999999999999</c:v>
                </c:pt>
                <c:pt idx="183">
                  <c:v>0.1971</c:v>
                </c:pt>
                <c:pt idx="184">
                  <c:v>0.19777</c:v>
                </c:pt>
                <c:pt idx="185">
                  <c:v>0.18353</c:v>
                </c:pt>
                <c:pt idx="186">
                  <c:v>0.17688000000000001</c:v>
                </c:pt>
                <c:pt idx="187">
                  <c:v>0.17985000000000001</c:v>
                </c:pt>
                <c:pt idx="188">
                  <c:v>0.17435999999999999</c:v>
                </c:pt>
                <c:pt idx="189">
                  <c:v>0.17329</c:v>
                </c:pt>
                <c:pt idx="190">
                  <c:v>0.16949</c:v>
                </c:pt>
                <c:pt idx="191">
                  <c:v>0.15795000000000001</c:v>
                </c:pt>
                <c:pt idx="192">
                  <c:v>0.17297000000000001</c:v>
                </c:pt>
                <c:pt idx="193">
                  <c:v>0.18060000000000001</c:v>
                </c:pt>
                <c:pt idx="194">
                  <c:v>0.18734999999999999</c:v>
                </c:pt>
                <c:pt idx="195">
                  <c:v>0.18249000000000001</c:v>
                </c:pt>
                <c:pt idx="196">
                  <c:v>0.17449999999999999</c:v>
                </c:pt>
                <c:pt idx="197">
                  <c:v>0.17027999999999999</c:v>
                </c:pt>
                <c:pt idx="198">
                  <c:v>0.17602999999999999</c:v>
                </c:pt>
                <c:pt idx="199">
                  <c:v>0.16792000000000001</c:v>
                </c:pt>
                <c:pt idx="200">
                  <c:v>0.17122000000000001</c:v>
                </c:pt>
                <c:pt idx="201">
                  <c:v>0.16908000000000001</c:v>
                </c:pt>
                <c:pt idx="202">
                  <c:v>0.17516000000000001</c:v>
                </c:pt>
                <c:pt idx="203">
                  <c:v>0.1709</c:v>
                </c:pt>
                <c:pt idx="204">
                  <c:v>0.18568000000000001</c:v>
                </c:pt>
                <c:pt idx="205">
                  <c:v>0.18526000000000001</c:v>
                </c:pt>
                <c:pt idx="206">
                  <c:v>0.18437000000000001</c:v>
                </c:pt>
                <c:pt idx="207">
                  <c:v>0.19458</c:v>
                </c:pt>
                <c:pt idx="208">
                  <c:v>0.19363</c:v>
                </c:pt>
                <c:pt idx="209">
                  <c:v>0.19292000000000001</c:v>
                </c:pt>
                <c:pt idx="210">
                  <c:v>0.21162</c:v>
                </c:pt>
                <c:pt idx="211">
                  <c:v>0.1956</c:v>
                </c:pt>
                <c:pt idx="212">
                  <c:v>0.19087999999999999</c:v>
                </c:pt>
                <c:pt idx="213">
                  <c:v>0.18287999999999999</c:v>
                </c:pt>
                <c:pt idx="214">
                  <c:v>0.18251000000000001</c:v>
                </c:pt>
                <c:pt idx="215">
                  <c:v>0.17902000000000001</c:v>
                </c:pt>
                <c:pt idx="216">
                  <c:v>0.16483999999999999</c:v>
                </c:pt>
                <c:pt idx="217">
                  <c:v>0.19238</c:v>
                </c:pt>
                <c:pt idx="218">
                  <c:v>0.18223</c:v>
                </c:pt>
                <c:pt idx="219">
                  <c:v>0.16639000000000001</c:v>
                </c:pt>
                <c:pt idx="220">
                  <c:v>0.17393</c:v>
                </c:pt>
                <c:pt idx="221">
                  <c:v>0.19306999999999999</c:v>
                </c:pt>
                <c:pt idx="222">
                  <c:v>0.19550999999999999</c:v>
                </c:pt>
                <c:pt idx="223">
                  <c:v>0.20716000000000001</c:v>
                </c:pt>
                <c:pt idx="224">
                  <c:v>0.20821999999999999</c:v>
                </c:pt>
                <c:pt idx="225">
                  <c:v>0.20571999999999999</c:v>
                </c:pt>
                <c:pt idx="226">
                  <c:v>0.21209</c:v>
                </c:pt>
                <c:pt idx="227">
                  <c:v>0.20480999999999999</c:v>
                </c:pt>
                <c:pt idx="228">
                  <c:v>0.19670000000000001</c:v>
                </c:pt>
                <c:pt idx="229">
                  <c:v>0.18934999999999999</c:v>
                </c:pt>
                <c:pt idx="230">
                  <c:v>0.20049</c:v>
                </c:pt>
                <c:pt idx="231">
                  <c:v>0.20562</c:v>
                </c:pt>
                <c:pt idx="232">
                  <c:v>0.21776000000000001</c:v>
                </c:pt>
                <c:pt idx="233">
                  <c:v>0.21576999999999999</c:v>
                </c:pt>
                <c:pt idx="234">
                  <c:v>0.20732</c:v>
                </c:pt>
                <c:pt idx="235">
                  <c:v>0.22900000000000001</c:v>
                </c:pt>
                <c:pt idx="236">
                  <c:v>0.22173000000000001</c:v>
                </c:pt>
                <c:pt idx="237">
                  <c:v>0.23252999999999999</c:v>
                </c:pt>
                <c:pt idx="238">
                  <c:v>0.25779000000000002</c:v>
                </c:pt>
                <c:pt idx="239">
                  <c:v>0.23186000000000001</c:v>
                </c:pt>
                <c:pt idx="240">
                  <c:v>0.22672</c:v>
                </c:pt>
                <c:pt idx="241">
                  <c:v>0.23347999999999999</c:v>
                </c:pt>
                <c:pt idx="242">
                  <c:v>0.21820999999999999</c:v>
                </c:pt>
                <c:pt idx="243">
                  <c:v>0.20901</c:v>
                </c:pt>
                <c:pt idx="244">
                  <c:v>0.21784999999999999</c:v>
                </c:pt>
                <c:pt idx="245">
                  <c:v>0.2545</c:v>
                </c:pt>
                <c:pt idx="246">
                  <c:v>0.27321000000000001</c:v>
                </c:pt>
                <c:pt idx="247">
                  <c:v>0.25289</c:v>
                </c:pt>
                <c:pt idx="248">
                  <c:v>0.25474000000000002</c:v>
                </c:pt>
                <c:pt idx="249">
                  <c:v>0.23188</c:v>
                </c:pt>
                <c:pt idx="250">
                  <c:v>0.26869999999999999</c:v>
                </c:pt>
                <c:pt idx="251">
                  <c:v>0.23718</c:v>
                </c:pt>
                <c:pt idx="252">
                  <c:v>0.27435999999999999</c:v>
                </c:pt>
                <c:pt idx="253">
                  <c:v>0.2147</c:v>
                </c:pt>
                <c:pt idx="254">
                  <c:v>0.33637</c:v>
                </c:pt>
                <c:pt idx="255">
                  <c:v>0.29199999999999998</c:v>
                </c:pt>
                <c:pt idx="256">
                  <c:v>0.32843</c:v>
                </c:pt>
                <c:pt idx="257">
                  <c:v>0.31385000000000002</c:v>
                </c:pt>
                <c:pt idx="258">
                  <c:v>0.33511000000000002</c:v>
                </c:pt>
                <c:pt idx="259">
                  <c:v>0.33434999999999998</c:v>
                </c:pt>
                <c:pt idx="260">
                  <c:v>0.23982000000000001</c:v>
                </c:pt>
                <c:pt idx="261">
                  <c:v>0.28286</c:v>
                </c:pt>
                <c:pt idx="262">
                  <c:v>0.26413999999999999</c:v>
                </c:pt>
                <c:pt idx="263">
                  <c:v>0.29185</c:v>
                </c:pt>
                <c:pt idx="264">
                  <c:v>0.29762</c:v>
                </c:pt>
                <c:pt idx="265">
                  <c:v>0.30575999999999998</c:v>
                </c:pt>
                <c:pt idx="266">
                  <c:v>0.29816999999999999</c:v>
                </c:pt>
                <c:pt idx="267">
                  <c:v>0.31512000000000001</c:v>
                </c:pt>
                <c:pt idx="268">
                  <c:v>0.27818999999999999</c:v>
                </c:pt>
                <c:pt idx="269">
                  <c:v>0.32239000000000001</c:v>
                </c:pt>
                <c:pt idx="270">
                  <c:v>0.32893</c:v>
                </c:pt>
                <c:pt idx="271">
                  <c:v>0.32680999999999999</c:v>
                </c:pt>
                <c:pt idx="272">
                  <c:v>0.29998000000000002</c:v>
                </c:pt>
                <c:pt idx="273">
                  <c:v>0.28645999999999999</c:v>
                </c:pt>
                <c:pt idx="274">
                  <c:v>0.28720000000000001</c:v>
                </c:pt>
                <c:pt idx="275">
                  <c:v>0.30404999999999999</c:v>
                </c:pt>
                <c:pt idx="276">
                  <c:v>0.2848</c:v>
                </c:pt>
                <c:pt idx="277">
                  <c:v>0.246</c:v>
                </c:pt>
                <c:pt idx="278">
                  <c:v>0.24354999999999999</c:v>
                </c:pt>
                <c:pt idx="279">
                  <c:v>0.26860000000000001</c:v>
                </c:pt>
                <c:pt idx="280">
                  <c:v>0.25779999999999997</c:v>
                </c:pt>
                <c:pt idx="281">
                  <c:v>0.29119</c:v>
                </c:pt>
                <c:pt idx="282">
                  <c:v>0.32386999999999999</c:v>
                </c:pt>
                <c:pt idx="283">
                  <c:v>0.28810000000000002</c:v>
                </c:pt>
                <c:pt idx="284">
                  <c:v>0.30956</c:v>
                </c:pt>
                <c:pt idx="285">
                  <c:v>0.34217999999999998</c:v>
                </c:pt>
                <c:pt idx="286">
                  <c:v>0.34893999999999997</c:v>
                </c:pt>
                <c:pt idx="287">
                  <c:v>0.38009999999999999</c:v>
                </c:pt>
                <c:pt idx="288">
                  <c:v>0.37448999999999999</c:v>
                </c:pt>
                <c:pt idx="289">
                  <c:v>0.41010000000000002</c:v>
                </c:pt>
                <c:pt idx="290">
                  <c:v>0.35716999999999999</c:v>
                </c:pt>
                <c:pt idx="291">
                  <c:v>0.34813</c:v>
                </c:pt>
                <c:pt idx="292">
                  <c:v>0.33098</c:v>
                </c:pt>
                <c:pt idx="293">
                  <c:v>0.33839999999999998</c:v>
                </c:pt>
                <c:pt idx="294">
                  <c:v>0.32758999999999999</c:v>
                </c:pt>
                <c:pt idx="295">
                  <c:v>0.29919000000000001</c:v>
                </c:pt>
                <c:pt idx="296">
                  <c:v>0.32600000000000001</c:v>
                </c:pt>
                <c:pt idx="297">
                  <c:v>0.31730999999999998</c:v>
                </c:pt>
                <c:pt idx="298">
                  <c:v>0.32477</c:v>
                </c:pt>
                <c:pt idx="299">
                  <c:v>0.31153999999999998</c:v>
                </c:pt>
                <c:pt idx="300">
                  <c:v>0.35209000000000001</c:v>
                </c:pt>
                <c:pt idx="301">
                  <c:v>0.34544000000000002</c:v>
                </c:pt>
                <c:pt idx="302">
                  <c:v>0.36058000000000001</c:v>
                </c:pt>
                <c:pt idx="303">
                  <c:v>0.38566</c:v>
                </c:pt>
                <c:pt idx="304">
                  <c:v>0.37028</c:v>
                </c:pt>
                <c:pt idx="305">
                  <c:v>0.33839999999999998</c:v>
                </c:pt>
                <c:pt idx="306">
                  <c:v>0.33828000000000003</c:v>
                </c:pt>
                <c:pt idx="307">
                  <c:v>0.34575</c:v>
                </c:pt>
                <c:pt idx="308">
                  <c:v>0.30159999999999998</c:v>
                </c:pt>
                <c:pt idx="309">
                  <c:v>0.29765000000000003</c:v>
                </c:pt>
                <c:pt idx="310">
                  <c:v>0.32063000000000003</c:v>
                </c:pt>
                <c:pt idx="311">
                  <c:v>0.31379000000000001</c:v>
                </c:pt>
                <c:pt idx="312">
                  <c:v>0.34149000000000002</c:v>
                </c:pt>
                <c:pt idx="313">
                  <c:v>0.31641000000000002</c:v>
                </c:pt>
                <c:pt idx="314">
                  <c:v>0.34410000000000002</c:v>
                </c:pt>
                <c:pt idx="315">
                  <c:v>0.34356999999999999</c:v>
                </c:pt>
                <c:pt idx="316">
                  <c:v>0.36001</c:v>
                </c:pt>
                <c:pt idx="317">
                  <c:v>0.34301999999999999</c:v>
                </c:pt>
                <c:pt idx="318">
                  <c:v>0.40194999999999997</c:v>
                </c:pt>
                <c:pt idx="319">
                  <c:v>0.36336000000000002</c:v>
                </c:pt>
                <c:pt idx="320">
                  <c:v>0.27755999999999997</c:v>
                </c:pt>
                <c:pt idx="321">
                  <c:v>0.27161999999999997</c:v>
                </c:pt>
                <c:pt idx="322">
                  <c:v>0.26945000000000002</c:v>
                </c:pt>
                <c:pt idx="323">
                  <c:v>0.22</c:v>
                </c:pt>
                <c:pt idx="324">
                  <c:v>0.20977000000000001</c:v>
                </c:pt>
                <c:pt idx="325">
                  <c:v>0.1741</c:v>
                </c:pt>
                <c:pt idx="326">
                  <c:v>0.15254999999999999</c:v>
                </c:pt>
                <c:pt idx="327">
                  <c:v>0.14512</c:v>
                </c:pt>
                <c:pt idx="328">
                  <c:v>0.14865</c:v>
                </c:pt>
                <c:pt idx="329">
                  <c:v>0.15856000000000001</c:v>
                </c:pt>
                <c:pt idx="330">
                  <c:v>0.12834999999999999</c:v>
                </c:pt>
                <c:pt idx="331">
                  <c:v>0.12275</c:v>
                </c:pt>
                <c:pt idx="332">
                  <c:v>0.12492</c:v>
                </c:pt>
                <c:pt idx="333">
                  <c:v>0.11484</c:v>
                </c:pt>
                <c:pt idx="334">
                  <c:v>0.11877</c:v>
                </c:pt>
                <c:pt idx="335">
                  <c:v>0.11806999999999999</c:v>
                </c:pt>
                <c:pt idx="336">
                  <c:v>0.11756</c:v>
                </c:pt>
                <c:pt idx="337">
                  <c:v>0.12859000000000001</c:v>
                </c:pt>
                <c:pt idx="338">
                  <c:v>0.11919</c:v>
                </c:pt>
                <c:pt idx="339">
                  <c:v>0.13628999999999999</c:v>
                </c:pt>
                <c:pt idx="340">
                  <c:v>0.14573</c:v>
                </c:pt>
                <c:pt idx="341">
                  <c:v>0.14004</c:v>
                </c:pt>
                <c:pt idx="342">
                  <c:v>0.15240000000000001</c:v>
                </c:pt>
                <c:pt idx="343">
                  <c:v>0.14945</c:v>
                </c:pt>
                <c:pt idx="344">
                  <c:v>0.13869999999999999</c:v>
                </c:pt>
                <c:pt idx="345">
                  <c:v>0.13702</c:v>
                </c:pt>
                <c:pt idx="346">
                  <c:v>0.14399999999999999</c:v>
                </c:pt>
                <c:pt idx="347">
                  <c:v>0.12698999999999999</c:v>
                </c:pt>
                <c:pt idx="348">
                  <c:v>0.13849</c:v>
                </c:pt>
                <c:pt idx="349">
                  <c:v>0.13769999999999999</c:v>
                </c:pt>
                <c:pt idx="350">
                  <c:v>0.13400999999999999</c:v>
                </c:pt>
                <c:pt idx="351">
                  <c:v>0.10906</c:v>
                </c:pt>
                <c:pt idx="352">
                  <c:v>0.105</c:v>
                </c:pt>
                <c:pt idx="353">
                  <c:v>0.10014000000000001</c:v>
                </c:pt>
                <c:pt idx="354">
                  <c:v>9.6699999999999994E-2</c:v>
                </c:pt>
                <c:pt idx="355">
                  <c:v>0.10366</c:v>
                </c:pt>
                <c:pt idx="356">
                  <c:v>9.9500000000000005E-2</c:v>
                </c:pt>
                <c:pt idx="357">
                  <c:v>9.0020000000000003E-2</c:v>
                </c:pt>
                <c:pt idx="358">
                  <c:v>9.6320000000000003E-2</c:v>
                </c:pt>
                <c:pt idx="359">
                  <c:v>9.3179999999999999E-2</c:v>
                </c:pt>
                <c:pt idx="360">
                  <c:v>8.9130000000000001E-2</c:v>
                </c:pt>
                <c:pt idx="361">
                  <c:v>8.251E-2</c:v>
                </c:pt>
                <c:pt idx="362">
                  <c:v>8.1509999999999999E-2</c:v>
                </c:pt>
                <c:pt idx="363">
                  <c:v>8.7139999999999995E-2</c:v>
                </c:pt>
                <c:pt idx="364">
                  <c:v>9.1560000000000002E-2</c:v>
                </c:pt>
                <c:pt idx="365">
                  <c:v>7.9460000000000003E-2</c:v>
                </c:pt>
                <c:pt idx="366">
                  <c:v>8.9779999999999999E-2</c:v>
                </c:pt>
                <c:pt idx="367">
                  <c:v>9.1249999999999998E-2</c:v>
                </c:pt>
                <c:pt idx="368">
                  <c:v>9.3829999999999997E-2</c:v>
                </c:pt>
                <c:pt idx="369">
                  <c:v>9.5729999999999996E-2</c:v>
                </c:pt>
                <c:pt idx="370">
                  <c:v>9.7180000000000002E-2</c:v>
                </c:pt>
                <c:pt idx="371">
                  <c:v>9.332E-2</c:v>
                </c:pt>
                <c:pt idx="372">
                  <c:v>0.10057000000000001</c:v>
                </c:pt>
                <c:pt idx="373">
                  <c:v>7.1660000000000001E-2</c:v>
                </c:pt>
                <c:pt idx="374">
                  <c:v>6.454E-2</c:v>
                </c:pt>
                <c:pt idx="375">
                  <c:v>6.1359999999999998E-2</c:v>
                </c:pt>
                <c:pt idx="376">
                  <c:v>5.9520000000000003E-2</c:v>
                </c:pt>
                <c:pt idx="377">
                  <c:v>5.5109999999999999E-2</c:v>
                </c:pt>
                <c:pt idx="378">
                  <c:v>5.6890000000000003E-2</c:v>
                </c:pt>
                <c:pt idx="379">
                  <c:v>5.3249999999999999E-2</c:v>
                </c:pt>
                <c:pt idx="380">
                  <c:v>4.6980000000000001E-2</c:v>
                </c:pt>
                <c:pt idx="381">
                  <c:v>4.2799999999999998E-2</c:v>
                </c:pt>
                <c:pt idx="382">
                  <c:v>4.9410000000000003E-2</c:v>
                </c:pt>
                <c:pt idx="383">
                  <c:v>5.074E-2</c:v>
                </c:pt>
                <c:pt idx="384">
                  <c:v>6.0909999999999999E-2</c:v>
                </c:pt>
                <c:pt idx="385">
                  <c:v>3.8240000000000003E-2</c:v>
                </c:pt>
                <c:pt idx="386">
                  <c:v>3.8339999999999999E-2</c:v>
                </c:pt>
                <c:pt idx="387">
                  <c:v>3.7539999999999997E-2</c:v>
                </c:pt>
                <c:pt idx="388">
                  <c:v>3.245E-2</c:v>
                </c:pt>
                <c:pt idx="389">
                  <c:v>3.3050000000000003E-2</c:v>
                </c:pt>
                <c:pt idx="390">
                  <c:v>3.3349999999999998E-2</c:v>
                </c:pt>
                <c:pt idx="391">
                  <c:v>3.2980000000000002E-2</c:v>
                </c:pt>
                <c:pt idx="392">
                  <c:v>3.184E-2</c:v>
                </c:pt>
                <c:pt idx="393">
                  <c:v>3.2509999999999997E-2</c:v>
                </c:pt>
                <c:pt idx="394">
                  <c:v>3.2730000000000002E-2</c:v>
                </c:pt>
                <c:pt idx="395">
                  <c:v>3.3730000000000003E-2</c:v>
                </c:pt>
                <c:pt idx="396">
                  <c:v>3.1600000000000003E-2</c:v>
                </c:pt>
                <c:pt idx="397">
                  <c:v>3.2309999999999998E-2</c:v>
                </c:pt>
                <c:pt idx="398">
                  <c:v>3.2289999999999999E-2</c:v>
                </c:pt>
                <c:pt idx="399">
                  <c:v>3.2939999999999997E-2</c:v>
                </c:pt>
                <c:pt idx="400">
                  <c:v>3.015E-2</c:v>
                </c:pt>
                <c:pt idx="401">
                  <c:v>3.6900000000000002E-2</c:v>
                </c:pt>
                <c:pt idx="402">
                  <c:v>3.6679999999999997E-2</c:v>
                </c:pt>
                <c:pt idx="403">
                  <c:v>3.6920000000000001E-2</c:v>
                </c:pt>
                <c:pt idx="404">
                  <c:v>3.5779999999999999E-2</c:v>
                </c:pt>
                <c:pt idx="405">
                  <c:v>3.5580000000000001E-2</c:v>
                </c:pt>
                <c:pt idx="406">
                  <c:v>3.4680000000000002E-2</c:v>
                </c:pt>
                <c:pt idx="407">
                  <c:v>3.5400000000000001E-2</c:v>
                </c:pt>
                <c:pt idx="408">
                  <c:v>3.4639999999999997E-2</c:v>
                </c:pt>
                <c:pt idx="409">
                  <c:v>3.458E-2</c:v>
                </c:pt>
                <c:pt idx="410">
                  <c:v>3.5150000000000001E-2</c:v>
                </c:pt>
                <c:pt idx="411">
                  <c:v>3.4700000000000002E-2</c:v>
                </c:pt>
                <c:pt idx="412">
                  <c:v>3.3369999999999997E-2</c:v>
                </c:pt>
                <c:pt idx="413">
                  <c:v>3.5830000000000001E-2</c:v>
                </c:pt>
                <c:pt idx="414">
                  <c:v>3.6499999999999998E-2</c:v>
                </c:pt>
                <c:pt idx="415">
                  <c:v>3.6240000000000001E-2</c:v>
                </c:pt>
                <c:pt idx="416">
                  <c:v>3.9570000000000001E-2</c:v>
                </c:pt>
                <c:pt idx="417">
                  <c:v>3.696E-2</c:v>
                </c:pt>
                <c:pt idx="418">
                  <c:v>3.7229999999999999E-2</c:v>
                </c:pt>
                <c:pt idx="419">
                  <c:v>3.5220000000000001E-2</c:v>
                </c:pt>
                <c:pt idx="420">
                  <c:v>3.9210000000000002E-2</c:v>
                </c:pt>
                <c:pt idx="421">
                  <c:v>3.7850000000000002E-2</c:v>
                </c:pt>
                <c:pt idx="422">
                  <c:v>3.4340000000000002E-2</c:v>
                </c:pt>
                <c:pt idx="423">
                  <c:v>3.456E-2</c:v>
                </c:pt>
                <c:pt idx="424">
                  <c:v>3.3700000000000001E-2</c:v>
                </c:pt>
                <c:pt idx="425">
                  <c:v>3.4020000000000002E-2</c:v>
                </c:pt>
                <c:pt idx="426">
                  <c:v>3.3239999999999999E-2</c:v>
                </c:pt>
                <c:pt idx="427">
                  <c:v>3.2579999999999998E-2</c:v>
                </c:pt>
                <c:pt idx="428">
                  <c:v>3.6159999999999998E-2</c:v>
                </c:pt>
                <c:pt idx="429">
                  <c:v>3.6549999999999999E-2</c:v>
                </c:pt>
                <c:pt idx="430">
                  <c:v>3.5249999999999997E-2</c:v>
                </c:pt>
                <c:pt idx="431">
                  <c:v>3.4070000000000003E-2</c:v>
                </c:pt>
                <c:pt idx="432">
                  <c:v>3.3279999999999997E-2</c:v>
                </c:pt>
                <c:pt idx="433">
                  <c:v>3.066E-2</c:v>
                </c:pt>
                <c:pt idx="434">
                  <c:v>3.0130000000000001E-2</c:v>
                </c:pt>
                <c:pt idx="435">
                  <c:v>3.023E-2</c:v>
                </c:pt>
                <c:pt idx="436">
                  <c:v>3.0960000000000001E-2</c:v>
                </c:pt>
                <c:pt idx="437">
                  <c:v>3.2000000000000001E-2</c:v>
                </c:pt>
                <c:pt idx="438">
                  <c:v>3.1419999999999997E-2</c:v>
                </c:pt>
                <c:pt idx="439">
                  <c:v>3.1890000000000002E-2</c:v>
                </c:pt>
                <c:pt idx="440">
                  <c:v>3.2219999999999999E-2</c:v>
                </c:pt>
                <c:pt idx="441">
                  <c:v>3.1050000000000001E-2</c:v>
                </c:pt>
                <c:pt idx="442">
                  <c:v>3.3399999999999999E-2</c:v>
                </c:pt>
                <c:pt idx="443">
                  <c:v>3.1440000000000003E-2</c:v>
                </c:pt>
                <c:pt idx="444">
                  <c:v>3.1510000000000003E-2</c:v>
                </c:pt>
                <c:pt idx="445">
                  <c:v>3.0530000000000002E-2</c:v>
                </c:pt>
                <c:pt idx="446">
                  <c:v>2.9739999999999999E-2</c:v>
                </c:pt>
                <c:pt idx="447">
                  <c:v>3.1269999999999999E-2</c:v>
                </c:pt>
                <c:pt idx="448">
                  <c:v>2.9530000000000001E-2</c:v>
                </c:pt>
                <c:pt idx="449">
                  <c:v>2.878E-2</c:v>
                </c:pt>
                <c:pt idx="450">
                  <c:v>2.8459999999999999E-2</c:v>
                </c:pt>
                <c:pt idx="451">
                  <c:v>2.9940000000000001E-2</c:v>
                </c:pt>
                <c:pt idx="452">
                  <c:v>2.9489999999999999E-2</c:v>
                </c:pt>
                <c:pt idx="453">
                  <c:v>2.9479999999999999E-2</c:v>
                </c:pt>
                <c:pt idx="454">
                  <c:v>2.9309999999999999E-2</c:v>
                </c:pt>
                <c:pt idx="455">
                  <c:v>2.9600000000000001E-2</c:v>
                </c:pt>
                <c:pt idx="456">
                  <c:v>3.0030000000000001E-2</c:v>
                </c:pt>
                <c:pt idx="457">
                  <c:v>3.117E-2</c:v>
                </c:pt>
                <c:pt idx="458">
                  <c:v>3.065E-2</c:v>
                </c:pt>
                <c:pt idx="459">
                  <c:v>3.2289999999999999E-2</c:v>
                </c:pt>
                <c:pt idx="460">
                  <c:v>3.261E-2</c:v>
                </c:pt>
                <c:pt idx="461">
                  <c:v>3.3009999999999998E-2</c:v>
                </c:pt>
                <c:pt idx="462">
                  <c:v>3.2239999999999998E-2</c:v>
                </c:pt>
                <c:pt idx="463">
                  <c:v>3.1189999999999999E-2</c:v>
                </c:pt>
                <c:pt idx="464">
                  <c:v>3.0339999999999999E-2</c:v>
                </c:pt>
                <c:pt idx="465">
                  <c:v>3.1710000000000002E-2</c:v>
                </c:pt>
                <c:pt idx="466">
                  <c:v>3.1600000000000003E-2</c:v>
                </c:pt>
                <c:pt idx="467">
                  <c:v>3.1260000000000003E-2</c:v>
                </c:pt>
                <c:pt idx="468">
                  <c:v>3.134E-2</c:v>
                </c:pt>
                <c:pt idx="469">
                  <c:v>3.3640000000000003E-2</c:v>
                </c:pt>
                <c:pt idx="470">
                  <c:v>3.4750000000000003E-2</c:v>
                </c:pt>
                <c:pt idx="471">
                  <c:v>3.4029999999999998E-2</c:v>
                </c:pt>
                <c:pt idx="472">
                  <c:v>3.4049999999999997E-2</c:v>
                </c:pt>
                <c:pt idx="473">
                  <c:v>3.4079999999999999E-2</c:v>
                </c:pt>
                <c:pt idx="474">
                  <c:v>3.4200000000000001E-2</c:v>
                </c:pt>
                <c:pt idx="475">
                  <c:v>3.431E-2</c:v>
                </c:pt>
                <c:pt idx="476">
                  <c:v>3.2050000000000002E-2</c:v>
                </c:pt>
                <c:pt idx="477">
                  <c:v>3.0200000000000001E-2</c:v>
                </c:pt>
                <c:pt idx="478">
                  <c:v>2.9839999999999998E-2</c:v>
                </c:pt>
                <c:pt idx="479">
                  <c:v>3.107E-2</c:v>
                </c:pt>
                <c:pt idx="480">
                  <c:v>3.091E-2</c:v>
                </c:pt>
                <c:pt idx="481">
                  <c:v>3.0769999999999999E-2</c:v>
                </c:pt>
                <c:pt idx="482">
                  <c:v>3.0439999999999998E-2</c:v>
                </c:pt>
                <c:pt idx="483">
                  <c:v>3.1029999999999999E-2</c:v>
                </c:pt>
                <c:pt idx="484">
                  <c:v>3.168E-2</c:v>
                </c:pt>
                <c:pt idx="485">
                  <c:v>3.193E-2</c:v>
                </c:pt>
                <c:pt idx="486">
                  <c:v>3.1800000000000002E-2</c:v>
                </c:pt>
                <c:pt idx="487">
                  <c:v>3.1449999999999999E-2</c:v>
                </c:pt>
                <c:pt idx="488">
                  <c:v>3.2349999999999997E-2</c:v>
                </c:pt>
                <c:pt idx="489">
                  <c:v>3.2419999999999997E-2</c:v>
                </c:pt>
                <c:pt idx="490">
                  <c:v>3.2230000000000002E-2</c:v>
                </c:pt>
                <c:pt idx="491">
                  <c:v>2.9649999999999999E-2</c:v>
                </c:pt>
                <c:pt idx="492">
                  <c:v>3.2059999999999998E-2</c:v>
                </c:pt>
                <c:pt idx="493">
                  <c:v>3.1309999999999998E-2</c:v>
                </c:pt>
                <c:pt idx="494">
                  <c:v>3.3610000000000001E-2</c:v>
                </c:pt>
                <c:pt idx="495">
                  <c:v>3.44E-2</c:v>
                </c:pt>
                <c:pt idx="496">
                  <c:v>3.449E-2</c:v>
                </c:pt>
                <c:pt idx="497">
                  <c:v>3.4660000000000003E-2</c:v>
                </c:pt>
                <c:pt idx="498">
                  <c:v>3.619E-2</c:v>
                </c:pt>
                <c:pt idx="499">
                  <c:v>3.5999999999999997E-2</c:v>
                </c:pt>
                <c:pt idx="500">
                  <c:v>3.7409999999999999E-2</c:v>
                </c:pt>
                <c:pt idx="501">
                  <c:v>3.7019999999999997E-2</c:v>
                </c:pt>
                <c:pt idx="502">
                  <c:v>3.8580000000000003E-2</c:v>
                </c:pt>
                <c:pt idx="503">
                  <c:v>3.8519999999999999E-2</c:v>
                </c:pt>
                <c:pt idx="504">
                  <c:v>3.8789999999999998E-2</c:v>
                </c:pt>
                <c:pt idx="505">
                  <c:v>3.7139999999999999E-2</c:v>
                </c:pt>
                <c:pt idx="506">
                  <c:v>3.6290000000000003E-2</c:v>
                </c:pt>
                <c:pt idx="507">
                  <c:v>3.6700000000000003E-2</c:v>
                </c:pt>
                <c:pt idx="508">
                  <c:v>3.6470000000000002E-2</c:v>
                </c:pt>
                <c:pt idx="509">
                  <c:v>3.6150000000000002E-2</c:v>
                </c:pt>
                <c:pt idx="510">
                  <c:v>3.8780000000000002E-2</c:v>
                </c:pt>
                <c:pt idx="511">
                  <c:v>3.8679999999999999E-2</c:v>
                </c:pt>
                <c:pt idx="512">
                  <c:v>4.2590000000000003E-2</c:v>
                </c:pt>
                <c:pt idx="513">
                  <c:v>4.5409999999999999E-2</c:v>
                </c:pt>
                <c:pt idx="514">
                  <c:v>4.5600000000000002E-2</c:v>
                </c:pt>
                <c:pt idx="515">
                  <c:v>4.6969999999999998E-2</c:v>
                </c:pt>
                <c:pt idx="516">
                  <c:v>4.5370000000000001E-2</c:v>
                </c:pt>
                <c:pt idx="517">
                  <c:v>4.4819999999999999E-2</c:v>
                </c:pt>
                <c:pt idx="518">
                  <c:v>4.3990000000000001E-2</c:v>
                </c:pt>
                <c:pt idx="519">
                  <c:v>4.657E-2</c:v>
                </c:pt>
                <c:pt idx="520">
                  <c:v>4.623E-2</c:v>
                </c:pt>
                <c:pt idx="521">
                  <c:v>4.9489999999999999E-2</c:v>
                </c:pt>
                <c:pt idx="522">
                  <c:v>4.8779999999999997E-2</c:v>
                </c:pt>
                <c:pt idx="523">
                  <c:v>5.0020000000000002E-2</c:v>
                </c:pt>
                <c:pt idx="524">
                  <c:v>4.8860000000000001E-2</c:v>
                </c:pt>
                <c:pt idx="525">
                  <c:v>5.2220000000000003E-2</c:v>
                </c:pt>
                <c:pt idx="526">
                  <c:v>5.006E-2</c:v>
                </c:pt>
                <c:pt idx="527">
                  <c:v>5.3019999999999998E-2</c:v>
                </c:pt>
                <c:pt idx="528">
                  <c:v>5.6779999999999997E-2</c:v>
                </c:pt>
                <c:pt idx="529">
                  <c:v>5.3800000000000001E-2</c:v>
                </c:pt>
                <c:pt idx="530">
                  <c:v>5.2679999999999998E-2</c:v>
                </c:pt>
                <c:pt idx="531">
                  <c:v>5.3809999999999997E-2</c:v>
                </c:pt>
                <c:pt idx="532">
                  <c:v>5.0869999999999999E-2</c:v>
                </c:pt>
                <c:pt idx="533">
                  <c:v>5.1950000000000003E-2</c:v>
                </c:pt>
                <c:pt idx="534">
                  <c:v>5.1499999999999997E-2</c:v>
                </c:pt>
                <c:pt idx="535">
                  <c:v>5.2859999999999997E-2</c:v>
                </c:pt>
                <c:pt idx="536">
                  <c:v>4.5130000000000003E-2</c:v>
                </c:pt>
                <c:pt idx="537">
                  <c:v>4.5100000000000001E-2</c:v>
                </c:pt>
                <c:pt idx="538">
                  <c:v>4.3790000000000003E-2</c:v>
                </c:pt>
                <c:pt idx="539">
                  <c:v>4.4339999999999997E-2</c:v>
                </c:pt>
                <c:pt idx="540">
                  <c:v>4.3459999999999999E-2</c:v>
                </c:pt>
                <c:pt idx="541">
                  <c:v>4.317E-2</c:v>
                </c:pt>
                <c:pt idx="542">
                  <c:v>4.4080000000000001E-2</c:v>
                </c:pt>
                <c:pt idx="543">
                  <c:v>4.3659999999999997E-2</c:v>
                </c:pt>
                <c:pt idx="544">
                  <c:v>4.5870000000000001E-2</c:v>
                </c:pt>
                <c:pt idx="545">
                  <c:v>4.4549999999999999E-2</c:v>
                </c:pt>
                <c:pt idx="546">
                  <c:v>4.258E-2</c:v>
                </c:pt>
                <c:pt idx="547">
                  <c:v>4.3810000000000002E-2</c:v>
                </c:pt>
                <c:pt idx="548">
                  <c:v>4.2950000000000002E-2</c:v>
                </c:pt>
                <c:pt idx="549">
                  <c:v>3.9809999999999998E-2</c:v>
                </c:pt>
                <c:pt idx="550">
                  <c:v>4.1160000000000002E-2</c:v>
                </c:pt>
                <c:pt idx="551">
                  <c:v>4.299E-2</c:v>
                </c:pt>
                <c:pt idx="552">
                  <c:v>4.2860000000000002E-2</c:v>
                </c:pt>
                <c:pt idx="553">
                  <c:v>4.249E-2</c:v>
                </c:pt>
                <c:pt idx="554">
                  <c:v>4.2259999999999999E-2</c:v>
                </c:pt>
                <c:pt idx="555">
                  <c:v>4.165E-2</c:v>
                </c:pt>
                <c:pt idx="556">
                  <c:v>4.0660000000000002E-2</c:v>
                </c:pt>
                <c:pt idx="557">
                  <c:v>4.018E-2</c:v>
                </c:pt>
                <c:pt idx="558">
                  <c:v>4.0050000000000002E-2</c:v>
                </c:pt>
                <c:pt idx="559">
                  <c:v>3.9329999999999997E-2</c:v>
                </c:pt>
                <c:pt idx="560">
                  <c:v>3.8960000000000002E-2</c:v>
                </c:pt>
                <c:pt idx="561">
                  <c:v>4.0620000000000003E-2</c:v>
                </c:pt>
                <c:pt idx="562">
                  <c:v>4.086E-2</c:v>
                </c:pt>
                <c:pt idx="563">
                  <c:v>4.1309999999999999E-2</c:v>
                </c:pt>
                <c:pt idx="564">
                  <c:v>4.2860000000000002E-2</c:v>
                </c:pt>
                <c:pt idx="565">
                  <c:v>4.1549999999999997E-2</c:v>
                </c:pt>
                <c:pt idx="566">
                  <c:v>4.1309999999999999E-2</c:v>
                </c:pt>
                <c:pt idx="567">
                  <c:v>4.0840000000000001E-2</c:v>
                </c:pt>
                <c:pt idx="568">
                  <c:v>4.2000000000000003E-2</c:v>
                </c:pt>
                <c:pt idx="569">
                  <c:v>4.0739999999999998E-2</c:v>
                </c:pt>
                <c:pt idx="570">
                  <c:v>4.0550000000000003E-2</c:v>
                </c:pt>
                <c:pt idx="571">
                  <c:v>3.9620000000000002E-2</c:v>
                </c:pt>
                <c:pt idx="572">
                  <c:v>4.1169999999999998E-2</c:v>
                </c:pt>
                <c:pt idx="573">
                  <c:v>3.9789999999999999E-2</c:v>
                </c:pt>
                <c:pt idx="574">
                  <c:v>3.8120000000000001E-2</c:v>
                </c:pt>
                <c:pt idx="575">
                  <c:v>3.8800000000000001E-2</c:v>
                </c:pt>
                <c:pt idx="576">
                  <c:v>3.8449999999999998E-2</c:v>
                </c:pt>
                <c:pt idx="577">
                  <c:v>3.8550000000000001E-2</c:v>
                </c:pt>
                <c:pt idx="578">
                  <c:v>3.8170000000000003E-2</c:v>
                </c:pt>
                <c:pt idx="579">
                  <c:v>3.7069999999999999E-2</c:v>
                </c:pt>
                <c:pt idx="580">
                  <c:v>3.943E-2</c:v>
                </c:pt>
                <c:pt idx="581">
                  <c:v>4.0750000000000001E-2</c:v>
                </c:pt>
                <c:pt idx="582">
                  <c:v>4.1660000000000003E-2</c:v>
                </c:pt>
                <c:pt idx="583">
                  <c:v>4.2389999999999997E-2</c:v>
                </c:pt>
                <c:pt idx="584">
                  <c:v>4.4040000000000003E-2</c:v>
                </c:pt>
                <c:pt idx="585">
                  <c:v>4.3560000000000001E-2</c:v>
                </c:pt>
                <c:pt idx="586">
                  <c:v>4.3799999999999999E-2</c:v>
                </c:pt>
                <c:pt idx="587">
                  <c:v>4.4240000000000002E-2</c:v>
                </c:pt>
                <c:pt idx="588">
                  <c:v>4.5580000000000002E-2</c:v>
                </c:pt>
                <c:pt idx="589">
                  <c:v>4.2639999999999997E-2</c:v>
                </c:pt>
                <c:pt idx="590">
                  <c:v>4.181E-2</c:v>
                </c:pt>
                <c:pt idx="591">
                  <c:v>4.1259999999999998E-2</c:v>
                </c:pt>
                <c:pt idx="592">
                  <c:v>4.0980000000000003E-2</c:v>
                </c:pt>
                <c:pt idx="593">
                  <c:v>4.24E-2</c:v>
                </c:pt>
                <c:pt idx="594">
                  <c:v>4.2200000000000001E-2</c:v>
                </c:pt>
                <c:pt idx="595">
                  <c:v>4.0320000000000002E-2</c:v>
                </c:pt>
                <c:pt idx="596">
                  <c:v>4.5240000000000002E-2</c:v>
                </c:pt>
                <c:pt idx="597">
                  <c:v>4.3470000000000002E-2</c:v>
                </c:pt>
                <c:pt idx="598">
                  <c:v>4.4139999999999999E-2</c:v>
                </c:pt>
                <c:pt idx="599">
                  <c:v>4.3819999999999998E-2</c:v>
                </c:pt>
                <c:pt idx="600">
                  <c:v>4.4119999999999999E-2</c:v>
                </c:pt>
                <c:pt idx="601">
                  <c:v>4.4179999999999997E-2</c:v>
                </c:pt>
                <c:pt idx="602">
                  <c:v>4.4819999999999999E-2</c:v>
                </c:pt>
                <c:pt idx="603">
                  <c:v>4.342E-2</c:v>
                </c:pt>
                <c:pt idx="604">
                  <c:v>4.274E-2</c:v>
                </c:pt>
                <c:pt idx="605">
                  <c:v>4.4170000000000001E-2</c:v>
                </c:pt>
                <c:pt idx="606">
                  <c:v>4.3839999999999997E-2</c:v>
                </c:pt>
                <c:pt idx="607">
                  <c:v>4.5809999999999997E-2</c:v>
                </c:pt>
                <c:pt idx="608">
                  <c:v>4.5260000000000002E-2</c:v>
                </c:pt>
                <c:pt idx="609">
                  <c:v>4.5560000000000003E-2</c:v>
                </c:pt>
                <c:pt idx="610">
                  <c:v>4.9770000000000002E-2</c:v>
                </c:pt>
                <c:pt idx="611">
                  <c:v>4.4949999999999997E-2</c:v>
                </c:pt>
                <c:pt idx="612">
                  <c:v>3.9780000000000003E-2</c:v>
                </c:pt>
                <c:pt idx="613">
                  <c:v>3.6830000000000002E-2</c:v>
                </c:pt>
                <c:pt idx="614">
                  <c:v>3.6929999999999998E-2</c:v>
                </c:pt>
                <c:pt idx="615">
                  <c:v>3.7589999999999998E-2</c:v>
                </c:pt>
                <c:pt idx="616">
                  <c:v>3.6060000000000002E-2</c:v>
                </c:pt>
                <c:pt idx="617">
                  <c:v>3.8449999999999998E-2</c:v>
                </c:pt>
                <c:pt idx="618">
                  <c:v>3.6380000000000003E-2</c:v>
                </c:pt>
                <c:pt idx="619">
                  <c:v>3.6409999999999998E-2</c:v>
                </c:pt>
                <c:pt idx="620">
                  <c:v>3.6139999999999999E-2</c:v>
                </c:pt>
                <c:pt idx="621">
                  <c:v>3.6060000000000002E-2</c:v>
                </c:pt>
                <c:pt idx="622">
                  <c:v>3.5830000000000001E-2</c:v>
                </c:pt>
                <c:pt idx="623">
                  <c:v>3.7900000000000003E-2</c:v>
                </c:pt>
                <c:pt idx="624">
                  <c:v>3.5639999999999998E-2</c:v>
                </c:pt>
                <c:pt idx="625">
                  <c:v>3.5589999999999997E-2</c:v>
                </c:pt>
                <c:pt idx="626">
                  <c:v>3.3779999999999998E-2</c:v>
                </c:pt>
                <c:pt idx="627">
                  <c:v>3.4380000000000001E-2</c:v>
                </c:pt>
                <c:pt idx="628">
                  <c:v>3.9219999999999998E-2</c:v>
                </c:pt>
                <c:pt idx="629">
                  <c:v>3.943E-2</c:v>
                </c:pt>
                <c:pt idx="630">
                  <c:v>3.9800000000000002E-2</c:v>
                </c:pt>
                <c:pt idx="631">
                  <c:v>3.8519999999999999E-2</c:v>
                </c:pt>
                <c:pt idx="632">
                  <c:v>4.0050000000000002E-2</c:v>
                </c:pt>
                <c:pt idx="633">
                  <c:v>4.1640000000000003E-2</c:v>
                </c:pt>
                <c:pt idx="634">
                  <c:v>3.9269999999999999E-2</c:v>
                </c:pt>
                <c:pt idx="635">
                  <c:v>4.3869999999999999E-2</c:v>
                </c:pt>
                <c:pt idx="636">
                  <c:v>4.224E-2</c:v>
                </c:pt>
                <c:pt idx="637">
                  <c:v>3.5290000000000002E-2</c:v>
                </c:pt>
                <c:pt idx="638">
                  <c:v>3.508E-2</c:v>
                </c:pt>
                <c:pt idx="639">
                  <c:v>3.3610000000000001E-2</c:v>
                </c:pt>
                <c:pt idx="640">
                  <c:v>3.3939999999999998E-2</c:v>
                </c:pt>
                <c:pt idx="641">
                  <c:v>3.4290000000000001E-2</c:v>
                </c:pt>
                <c:pt idx="642">
                  <c:v>3.3189999999999997E-2</c:v>
                </c:pt>
                <c:pt idx="643">
                  <c:v>3.3079999999999998E-2</c:v>
                </c:pt>
                <c:pt idx="644">
                  <c:v>3.2820000000000002E-2</c:v>
                </c:pt>
                <c:pt idx="645">
                  <c:v>3.279E-2</c:v>
                </c:pt>
                <c:pt idx="646">
                  <c:v>3.107E-2</c:v>
                </c:pt>
                <c:pt idx="647">
                  <c:v>3.0839999999999999E-2</c:v>
                </c:pt>
                <c:pt idx="648">
                  <c:v>3.2969999999999999E-2</c:v>
                </c:pt>
                <c:pt idx="649">
                  <c:v>3.4130000000000001E-2</c:v>
                </c:pt>
                <c:pt idx="650">
                  <c:v>3.2629999999999999E-2</c:v>
                </c:pt>
                <c:pt idx="651">
                  <c:v>3.2890000000000003E-2</c:v>
                </c:pt>
                <c:pt idx="652">
                  <c:v>3.209E-2</c:v>
                </c:pt>
                <c:pt idx="653">
                  <c:v>3.3050000000000003E-2</c:v>
                </c:pt>
                <c:pt idx="654">
                  <c:v>3.243E-2</c:v>
                </c:pt>
                <c:pt idx="655">
                  <c:v>3.3110000000000001E-2</c:v>
                </c:pt>
                <c:pt idx="656">
                  <c:v>3.2800000000000003E-2</c:v>
                </c:pt>
                <c:pt idx="657">
                  <c:v>3.2689999999999997E-2</c:v>
                </c:pt>
                <c:pt idx="658">
                  <c:v>3.6679999999999997E-2</c:v>
                </c:pt>
                <c:pt idx="659">
                  <c:v>3.3790000000000001E-2</c:v>
                </c:pt>
                <c:pt idx="660">
                  <c:v>3.3550000000000003E-2</c:v>
                </c:pt>
                <c:pt idx="661">
                  <c:v>3.5000000000000003E-2</c:v>
                </c:pt>
                <c:pt idx="662">
                  <c:v>3.2910000000000002E-2</c:v>
                </c:pt>
                <c:pt idx="663">
                  <c:v>3.3570000000000003E-2</c:v>
                </c:pt>
                <c:pt idx="664">
                  <c:v>3.3890000000000003E-2</c:v>
                </c:pt>
                <c:pt idx="665">
                  <c:v>3.3419999999999998E-2</c:v>
                </c:pt>
                <c:pt idx="666">
                  <c:v>3.2469999999999999E-2</c:v>
                </c:pt>
                <c:pt idx="667">
                  <c:v>3.1829999999999997E-2</c:v>
                </c:pt>
                <c:pt idx="668">
                  <c:v>3.177E-2</c:v>
                </c:pt>
                <c:pt idx="669">
                  <c:v>3.0499999999999999E-2</c:v>
                </c:pt>
                <c:pt idx="670">
                  <c:v>3.0949999999999998E-2</c:v>
                </c:pt>
                <c:pt idx="671">
                  <c:v>3.177E-2</c:v>
                </c:pt>
                <c:pt idx="672">
                  <c:v>3.3860000000000001E-2</c:v>
                </c:pt>
                <c:pt idx="673">
                  <c:v>3.2930000000000001E-2</c:v>
                </c:pt>
                <c:pt idx="674">
                  <c:v>3.347E-2</c:v>
                </c:pt>
                <c:pt idx="675">
                  <c:v>3.4340000000000002E-2</c:v>
                </c:pt>
                <c:pt idx="676">
                  <c:v>3.3439999999999998E-2</c:v>
                </c:pt>
                <c:pt idx="677">
                  <c:v>3.7199999999999997E-2</c:v>
                </c:pt>
                <c:pt idx="678">
                  <c:v>3.8109999999999998E-2</c:v>
                </c:pt>
                <c:pt idx="679">
                  <c:v>4.0779999999999997E-2</c:v>
                </c:pt>
                <c:pt idx="680">
                  <c:v>3.669E-2</c:v>
                </c:pt>
                <c:pt idx="681">
                  <c:v>3.6830000000000002E-2</c:v>
                </c:pt>
                <c:pt idx="682">
                  <c:v>3.5959999999999999E-2</c:v>
                </c:pt>
                <c:pt idx="683">
                  <c:v>3.984E-2</c:v>
                </c:pt>
                <c:pt idx="684">
                  <c:v>4.02E-2</c:v>
                </c:pt>
                <c:pt idx="685">
                  <c:v>3.5000000000000003E-2</c:v>
                </c:pt>
                <c:pt idx="686">
                  <c:v>2.5760000000000002E-2</c:v>
                </c:pt>
                <c:pt idx="687">
                  <c:v>4.8070000000000002E-2</c:v>
                </c:pt>
                <c:pt idx="688">
                  <c:v>4.4639999999999999E-2</c:v>
                </c:pt>
                <c:pt idx="689">
                  <c:v>4.5179999999999998E-2</c:v>
                </c:pt>
                <c:pt idx="690">
                  <c:v>5.0599999999999999E-2</c:v>
                </c:pt>
                <c:pt idx="691">
                  <c:v>5.611E-2</c:v>
                </c:pt>
                <c:pt idx="692">
                  <c:v>5.8840000000000003E-2</c:v>
                </c:pt>
                <c:pt idx="693">
                  <c:v>4.5769999999999998E-2</c:v>
                </c:pt>
                <c:pt idx="694">
                  <c:v>4.1320000000000003E-2</c:v>
                </c:pt>
                <c:pt idx="695">
                  <c:v>4.1450000000000001E-2</c:v>
                </c:pt>
                <c:pt idx="696">
                  <c:v>3.8519999999999999E-2</c:v>
                </c:pt>
                <c:pt idx="697">
                  <c:v>3.4380000000000001E-2</c:v>
                </c:pt>
                <c:pt idx="698">
                  <c:v>3.4099999999999998E-2</c:v>
                </c:pt>
                <c:pt idx="699">
                  <c:v>3.5340000000000003E-2</c:v>
                </c:pt>
                <c:pt idx="700">
                  <c:v>3.6249999999999998E-2</c:v>
                </c:pt>
                <c:pt idx="701">
                  <c:v>3.2500000000000001E-2</c:v>
                </c:pt>
                <c:pt idx="702">
                  <c:v>3.5430000000000003E-2</c:v>
                </c:pt>
                <c:pt idx="703">
                  <c:v>3.7699999999999997E-2</c:v>
                </c:pt>
                <c:pt idx="704">
                  <c:v>4.2939999999999999E-2</c:v>
                </c:pt>
                <c:pt idx="705">
                  <c:v>4.5220000000000003E-2</c:v>
                </c:pt>
                <c:pt idx="706">
                  <c:v>4.6010000000000002E-2</c:v>
                </c:pt>
                <c:pt idx="707">
                  <c:v>4.614E-2</c:v>
                </c:pt>
                <c:pt idx="708">
                  <c:v>4.6300000000000001E-2</c:v>
                </c:pt>
                <c:pt idx="709">
                  <c:v>5.0810000000000001E-2</c:v>
                </c:pt>
                <c:pt idx="710">
                  <c:v>5.1569999999999998E-2</c:v>
                </c:pt>
                <c:pt idx="711">
                  <c:v>5.1920000000000001E-2</c:v>
                </c:pt>
                <c:pt idx="712">
                  <c:v>4.8009999999999997E-2</c:v>
                </c:pt>
                <c:pt idx="713">
                  <c:v>5.4530000000000002E-2</c:v>
                </c:pt>
                <c:pt idx="714">
                  <c:v>5.5480000000000002E-2</c:v>
                </c:pt>
                <c:pt idx="715">
                  <c:v>6.8510000000000001E-2</c:v>
                </c:pt>
                <c:pt idx="716">
                  <c:v>3.397E-2</c:v>
                </c:pt>
                <c:pt idx="717">
                  <c:v>1.8950000000000002E-2</c:v>
                </c:pt>
                <c:pt idx="718">
                  <c:v>1.9800000000000002E-2</c:v>
                </c:pt>
                <c:pt idx="719">
                  <c:v>1.8509999999999999E-2</c:v>
                </c:pt>
                <c:pt idx="720">
                  <c:v>2.043E-2</c:v>
                </c:pt>
                <c:pt idx="721">
                  <c:v>2.0760000000000001E-2</c:v>
                </c:pt>
                <c:pt idx="722">
                  <c:v>2.2440000000000002E-2</c:v>
                </c:pt>
                <c:pt idx="723">
                  <c:v>1.8089999999999998E-2</c:v>
                </c:pt>
                <c:pt idx="724">
                  <c:v>1.5990000000000001E-2</c:v>
                </c:pt>
                <c:pt idx="725">
                  <c:v>1.3089999999999999E-2</c:v>
                </c:pt>
                <c:pt idx="726">
                  <c:v>1.3390000000000001E-2</c:v>
                </c:pt>
                <c:pt idx="727">
                  <c:v>1.311E-2</c:v>
                </c:pt>
                <c:pt idx="728">
                  <c:v>1.193E-2</c:v>
                </c:pt>
                <c:pt idx="729">
                  <c:v>1.157E-2</c:v>
                </c:pt>
                <c:pt idx="730">
                  <c:v>1.149E-2</c:v>
                </c:pt>
                <c:pt idx="731">
                  <c:v>1.1310000000000001E-2</c:v>
                </c:pt>
                <c:pt idx="732">
                  <c:v>1.1639999999999999E-2</c:v>
                </c:pt>
                <c:pt idx="733">
                  <c:v>1.208E-2</c:v>
                </c:pt>
                <c:pt idx="734">
                  <c:v>1.123E-2</c:v>
                </c:pt>
                <c:pt idx="735">
                  <c:v>1.017E-2</c:v>
                </c:pt>
                <c:pt idx="736">
                  <c:v>1.082E-2</c:v>
                </c:pt>
                <c:pt idx="737">
                  <c:v>1.0449999999999999E-2</c:v>
                </c:pt>
                <c:pt idx="738">
                  <c:v>1.0529999999999999E-2</c:v>
                </c:pt>
                <c:pt idx="739">
                  <c:v>1.085E-2</c:v>
                </c:pt>
                <c:pt idx="740">
                  <c:v>1.1900000000000001E-2</c:v>
                </c:pt>
                <c:pt idx="741">
                  <c:v>1.1730000000000001E-2</c:v>
                </c:pt>
                <c:pt idx="742">
                  <c:v>1.1599999999999999E-2</c:v>
                </c:pt>
                <c:pt idx="743">
                  <c:v>1.042E-2</c:v>
                </c:pt>
                <c:pt idx="744">
                  <c:v>1.0279999999999999E-2</c:v>
                </c:pt>
                <c:pt idx="745">
                  <c:v>1.052E-2</c:v>
                </c:pt>
                <c:pt idx="746">
                  <c:v>1.095E-2</c:v>
                </c:pt>
                <c:pt idx="747">
                  <c:v>1.1310000000000001E-2</c:v>
                </c:pt>
                <c:pt idx="748">
                  <c:v>1.052E-2</c:v>
                </c:pt>
                <c:pt idx="749">
                  <c:v>1.009E-2</c:v>
                </c:pt>
                <c:pt idx="750">
                  <c:v>1.022E-2</c:v>
                </c:pt>
                <c:pt idx="751">
                  <c:v>1.06E-2</c:v>
                </c:pt>
                <c:pt idx="752">
                  <c:v>1.103E-2</c:v>
                </c:pt>
                <c:pt idx="753">
                  <c:v>1.157E-2</c:v>
                </c:pt>
                <c:pt idx="754">
                  <c:v>1.111E-2</c:v>
                </c:pt>
                <c:pt idx="755">
                  <c:v>1.035E-2</c:v>
                </c:pt>
                <c:pt idx="756">
                  <c:v>1.001E-2</c:v>
                </c:pt>
                <c:pt idx="757">
                  <c:v>1.035E-2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D-4672-B39A-6EC4563B2EB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60.257393643260208</c:v>
                </c:pt>
                <c:pt idx="1">
                  <c:v>60.275988969575998</c:v>
                </c:pt>
                <c:pt idx="2">
                  <c:v>60.424573070752473</c:v>
                </c:pt>
                <c:pt idx="3">
                  <c:v>60.180851041107793</c:v>
                </c:pt>
                <c:pt idx="4">
                  <c:v>60.037623304522157</c:v>
                </c:pt>
                <c:pt idx="5">
                  <c:v>60.088739993454197</c:v>
                </c:pt>
                <c:pt idx="6">
                  <c:v>60.015393624185378</c:v>
                </c:pt>
                <c:pt idx="7">
                  <c:v>60.712977520603296</c:v>
                </c:pt>
                <c:pt idx="8">
                  <c:v>61.402536555857537</c:v>
                </c:pt>
                <c:pt idx="9">
                  <c:v>61.213278459253758</c:v>
                </c:pt>
                <c:pt idx="10">
                  <c:v>61.036408401457152</c:v>
                </c:pt>
                <c:pt idx="11">
                  <c:v>61.242103869844243</c:v>
                </c:pt>
                <c:pt idx="12">
                  <c:v>61.201050207622025</c:v>
                </c:pt>
                <c:pt idx="13">
                  <c:v>61.316739190479169</c:v>
                </c:pt>
                <c:pt idx="14">
                  <c:v>61.205219058983111</c:v>
                </c:pt>
                <c:pt idx="15">
                  <c:v>61.650945855099614</c:v>
                </c:pt>
                <c:pt idx="16">
                  <c:v>61.127919198835023</c:v>
                </c:pt>
                <c:pt idx="17">
                  <c:v>60.616808850615129</c:v>
                </c:pt>
                <c:pt idx="18">
                  <c:v>60.738171708124561</c:v>
                </c:pt>
                <c:pt idx="19">
                  <c:v>60.596857848687939</c:v>
                </c:pt>
                <c:pt idx="20">
                  <c:v>60.608214309312942</c:v>
                </c:pt>
                <c:pt idx="21">
                  <c:v>61.345185453172597</c:v>
                </c:pt>
                <c:pt idx="22">
                  <c:v>60.73933124115846</c:v>
                </c:pt>
                <c:pt idx="23">
                  <c:v>61.331110244025602</c:v>
                </c:pt>
                <c:pt idx="24">
                  <c:v>60.995868978311321</c:v>
                </c:pt>
                <c:pt idx="25">
                  <c:v>61.08418139139502</c:v>
                </c:pt>
                <c:pt idx="26">
                  <c:v>60.873568876595016</c:v>
                </c:pt>
                <c:pt idx="27">
                  <c:v>60.638272448995018</c:v>
                </c:pt>
                <c:pt idx="28">
                  <c:v>60.850058002483387</c:v>
                </c:pt>
                <c:pt idx="29">
                  <c:v>60.653932635435766</c:v>
                </c:pt>
                <c:pt idx="30">
                  <c:v>60.77193868505482</c:v>
                </c:pt>
                <c:pt idx="31">
                  <c:v>61.014569597020632</c:v>
                </c:pt>
                <c:pt idx="32">
                  <c:v>61.340001502692267</c:v>
                </c:pt>
                <c:pt idx="33">
                  <c:v>61.056397156949693</c:v>
                </c:pt>
                <c:pt idx="34">
                  <c:v>61.010833446869682</c:v>
                </c:pt>
                <c:pt idx="35">
                  <c:v>61.387500644568433</c:v>
                </c:pt>
                <c:pt idx="36">
                  <c:v>61.095761062407625</c:v>
                </c:pt>
                <c:pt idx="37">
                  <c:v>61.521007202236682</c:v>
                </c:pt>
                <c:pt idx="38">
                  <c:v>61.476552979465595</c:v>
                </c:pt>
                <c:pt idx="39">
                  <c:v>61.949369487680897</c:v>
                </c:pt>
                <c:pt idx="40">
                  <c:v>61.107934903305889</c:v>
                </c:pt>
                <c:pt idx="41">
                  <c:v>59.036655438600008</c:v>
                </c:pt>
                <c:pt idx="42">
                  <c:v>59.20452452612728</c:v>
                </c:pt>
                <c:pt idx="43">
                  <c:v>59.840409670172221</c:v>
                </c:pt>
                <c:pt idx="44">
                  <c:v>59.101684772569698</c:v>
                </c:pt>
                <c:pt idx="45">
                  <c:v>58.701243343860028</c:v>
                </c:pt>
                <c:pt idx="46">
                  <c:v>59.116386844128122</c:v>
                </c:pt>
                <c:pt idx="47">
                  <c:v>58.926917643524092</c:v>
                </c:pt>
                <c:pt idx="48">
                  <c:v>58.903112535968539</c:v>
                </c:pt>
                <c:pt idx="49">
                  <c:v>59.507966217998067</c:v>
                </c:pt>
                <c:pt idx="50">
                  <c:v>60.152667067250405</c:v>
                </c:pt>
                <c:pt idx="51">
                  <c:v>59.520112721958924</c:v>
                </c:pt>
                <c:pt idx="52">
                  <c:v>59.856925630506638</c:v>
                </c:pt>
                <c:pt idx="53">
                  <c:v>59.223761769084518</c:v>
                </c:pt>
                <c:pt idx="54">
                  <c:v>59.307109755974977</c:v>
                </c:pt>
                <c:pt idx="55">
                  <c:v>58.624533387028414</c:v>
                </c:pt>
                <c:pt idx="56">
                  <c:v>59.128913373038273</c:v>
                </c:pt>
                <c:pt idx="57">
                  <c:v>59.229426943383096</c:v>
                </c:pt>
                <c:pt idx="58">
                  <c:v>59.293701387903653</c:v>
                </c:pt>
                <c:pt idx="59">
                  <c:v>59.812758603959992</c:v>
                </c:pt>
                <c:pt idx="60">
                  <c:v>59.272438368702005</c:v>
                </c:pt>
                <c:pt idx="61">
                  <c:v>58.687979993475416</c:v>
                </c:pt>
                <c:pt idx="62">
                  <c:v>58.678507875442627</c:v>
                </c:pt>
                <c:pt idx="63">
                  <c:v>59.33809313245731</c:v>
                </c:pt>
                <c:pt idx="64">
                  <c:v>59.236725661028736</c:v>
                </c:pt>
                <c:pt idx="65">
                  <c:v>59.380524746918312</c:v>
                </c:pt>
                <c:pt idx="66">
                  <c:v>58.773121681463756</c:v>
                </c:pt>
                <c:pt idx="67">
                  <c:v>59.185991555074068</c:v>
                </c:pt>
                <c:pt idx="68">
                  <c:v>59.197247213717894</c:v>
                </c:pt>
                <c:pt idx="69">
                  <c:v>59.195648144677641</c:v>
                </c:pt>
                <c:pt idx="70">
                  <c:v>58.738615348742925</c:v>
                </c:pt>
                <c:pt idx="71">
                  <c:v>59.46863635893326</c:v>
                </c:pt>
                <c:pt idx="72">
                  <c:v>59.365394578933255</c:v>
                </c:pt>
                <c:pt idx="73">
                  <c:v>59.520094970332885</c:v>
                </c:pt>
                <c:pt idx="74">
                  <c:v>59.67500219463669</c:v>
                </c:pt>
                <c:pt idx="75">
                  <c:v>59.438399095959639</c:v>
                </c:pt>
                <c:pt idx="76">
                  <c:v>60.178543047136117</c:v>
                </c:pt>
                <c:pt idx="77">
                  <c:v>60.394029813237808</c:v>
                </c:pt>
                <c:pt idx="78">
                  <c:v>60.168232654549286</c:v>
                </c:pt>
                <c:pt idx="79">
                  <c:v>60.696708172067012</c:v>
                </c:pt>
                <c:pt idx="80">
                  <c:v>60.59503804943229</c:v>
                </c:pt>
                <c:pt idx="81">
                  <c:v>59.449538640913772</c:v>
                </c:pt>
                <c:pt idx="82">
                  <c:v>59.148100493348558</c:v>
                </c:pt>
                <c:pt idx="83">
                  <c:v>59.134802257496709</c:v>
                </c:pt>
                <c:pt idx="84">
                  <c:v>59.457950261246708</c:v>
                </c:pt>
                <c:pt idx="85">
                  <c:v>58.90757462098216</c:v>
                </c:pt>
                <c:pt idx="86">
                  <c:v>58.640263833267866</c:v>
                </c:pt>
                <c:pt idx="87">
                  <c:v>58.451638669728041</c:v>
                </c:pt>
                <c:pt idx="88">
                  <c:v>59.045716383798627</c:v>
                </c:pt>
                <c:pt idx="89">
                  <c:v>60.169868181167047</c:v>
                </c:pt>
                <c:pt idx="90">
                  <c:v>59.619057717564111</c:v>
                </c:pt>
                <c:pt idx="91">
                  <c:v>59.241872859782532</c:v>
                </c:pt>
                <c:pt idx="92">
                  <c:v>59.004758501404957</c:v>
                </c:pt>
                <c:pt idx="93">
                  <c:v>59.520270644382549</c:v>
                </c:pt>
                <c:pt idx="94">
                  <c:v>60.030465978466637</c:v>
                </c:pt>
                <c:pt idx="95">
                  <c:v>59.39413263741605</c:v>
                </c:pt>
                <c:pt idx="96">
                  <c:v>59.446110122503761</c:v>
                </c:pt>
                <c:pt idx="97">
                  <c:v>59.068012866706667</c:v>
                </c:pt>
                <c:pt idx="98">
                  <c:v>59.242992825937435</c:v>
                </c:pt>
                <c:pt idx="99">
                  <c:v>59.842418230408974</c:v>
                </c:pt>
                <c:pt idx="100">
                  <c:v>58.803286786157763</c:v>
                </c:pt>
                <c:pt idx="101">
                  <c:v>58.140428775058105</c:v>
                </c:pt>
                <c:pt idx="102">
                  <c:v>58.246194659794952</c:v>
                </c:pt>
                <c:pt idx="103">
                  <c:v>58.386111262585651</c:v>
                </c:pt>
                <c:pt idx="104">
                  <c:v>58.273970847424366</c:v>
                </c:pt>
                <c:pt idx="105">
                  <c:v>58.84124295290129</c:v>
                </c:pt>
                <c:pt idx="106">
                  <c:v>58.130285905997525</c:v>
                </c:pt>
                <c:pt idx="107">
                  <c:v>57.648213804947297</c:v>
                </c:pt>
                <c:pt idx="108">
                  <c:v>57.146492237697942</c:v>
                </c:pt>
                <c:pt idx="109">
                  <c:v>57.411130115452323</c:v>
                </c:pt>
                <c:pt idx="110">
                  <c:v>58.015221517509467</c:v>
                </c:pt>
                <c:pt idx="111">
                  <c:v>57.954783352477612</c:v>
                </c:pt>
                <c:pt idx="112">
                  <c:v>58.486988007023065</c:v>
                </c:pt>
                <c:pt idx="113">
                  <c:v>58.657148151124765</c:v>
                </c:pt>
                <c:pt idx="114">
                  <c:v>58.867630989941972</c:v>
                </c:pt>
                <c:pt idx="115">
                  <c:v>58.912439234437876</c:v>
                </c:pt>
                <c:pt idx="116">
                  <c:v>58.572874587560406</c:v>
                </c:pt>
                <c:pt idx="117">
                  <c:v>58.588816087235017</c:v>
                </c:pt>
                <c:pt idx="118">
                  <c:v>58.683808137958707</c:v>
                </c:pt>
                <c:pt idx="119">
                  <c:v>57.705263251151202</c:v>
                </c:pt>
                <c:pt idx="120">
                  <c:v>56.894161836323612</c:v>
                </c:pt>
                <c:pt idx="121">
                  <c:v>57.119186316361059</c:v>
                </c:pt>
                <c:pt idx="122">
                  <c:v>58.02003351504959</c:v>
                </c:pt>
                <c:pt idx="123">
                  <c:v>58.897392733883954</c:v>
                </c:pt>
                <c:pt idx="124">
                  <c:v>58.289395055183952</c:v>
                </c:pt>
                <c:pt idx="125">
                  <c:v>58.249445999461059</c:v>
                </c:pt>
                <c:pt idx="126">
                  <c:v>58.060869821493149</c:v>
                </c:pt>
                <c:pt idx="127">
                  <c:v>57.208246774975045</c:v>
                </c:pt>
                <c:pt idx="128">
                  <c:v>55.395428989578221</c:v>
                </c:pt>
                <c:pt idx="129">
                  <c:v>57.063563022312245</c:v>
                </c:pt>
                <c:pt idx="130">
                  <c:v>57.839669203058513</c:v>
                </c:pt>
                <c:pt idx="131">
                  <c:v>58.584493844065705</c:v>
                </c:pt>
                <c:pt idx="132">
                  <c:v>58.734961386845974</c:v>
                </c:pt>
                <c:pt idx="133">
                  <c:v>60.498634767491133</c:v>
                </c:pt>
                <c:pt idx="134">
                  <c:v>63.974201298164701</c:v>
                </c:pt>
                <c:pt idx="135">
                  <c:v>64.516015047782346</c:v>
                </c:pt>
                <c:pt idx="136">
                  <c:v>63.484640083819379</c:v>
                </c:pt>
                <c:pt idx="137">
                  <c:v>60.533254943818136</c:v>
                </c:pt>
                <c:pt idx="138">
                  <c:v>58.002917706398783</c:v>
                </c:pt>
                <c:pt idx="139">
                  <c:v>57.057043627432726</c:v>
                </c:pt>
                <c:pt idx="140">
                  <c:v>57.024003155693599</c:v>
                </c:pt>
                <c:pt idx="141">
                  <c:v>57.279975337990138</c:v>
                </c:pt>
                <c:pt idx="142">
                  <c:v>55.302815455318658</c:v>
                </c:pt>
                <c:pt idx="143">
                  <c:v>56.249772726796031</c:v>
                </c:pt>
                <c:pt idx="144">
                  <c:v>55.853441233269052</c:v>
                </c:pt>
                <c:pt idx="145">
                  <c:v>55.7998005087236</c:v>
                </c:pt>
                <c:pt idx="146">
                  <c:v>54.188486929779941</c:v>
                </c:pt>
                <c:pt idx="147">
                  <c:v>53.02248442220175</c:v>
                </c:pt>
                <c:pt idx="148">
                  <c:v>51.960938178596209</c:v>
                </c:pt>
                <c:pt idx="149">
                  <c:v>51.168978456364449</c:v>
                </c:pt>
                <c:pt idx="150">
                  <c:v>51.730115317560163</c:v>
                </c:pt>
                <c:pt idx="151">
                  <c:v>52.097668659685162</c:v>
                </c:pt>
                <c:pt idx="152">
                  <c:v>52.502918600637535</c:v>
                </c:pt>
                <c:pt idx="153">
                  <c:v>52.376713932474075</c:v>
                </c:pt>
                <c:pt idx="154">
                  <c:v>51.702055410292949</c:v>
                </c:pt>
                <c:pt idx="155">
                  <c:v>52.21264062921572</c:v>
                </c:pt>
                <c:pt idx="156">
                  <c:v>51.437637588055232</c:v>
                </c:pt>
                <c:pt idx="157">
                  <c:v>53.653294708097285</c:v>
                </c:pt>
                <c:pt idx="158">
                  <c:v>52.892437537429316</c:v>
                </c:pt>
                <c:pt idx="159">
                  <c:v>52.849838804813935</c:v>
                </c:pt>
                <c:pt idx="160">
                  <c:v>53.150699100548408</c:v>
                </c:pt>
                <c:pt idx="161">
                  <c:v>52.739537948138427</c:v>
                </c:pt>
                <c:pt idx="162">
                  <c:v>51.959997221774934</c:v>
                </c:pt>
                <c:pt idx="163">
                  <c:v>51.936061468515632</c:v>
                </c:pt>
                <c:pt idx="164">
                  <c:v>52.773714180383735</c:v>
                </c:pt>
                <c:pt idx="165">
                  <c:v>53.739128114296015</c:v>
                </c:pt>
                <c:pt idx="166">
                  <c:v>53.811620412136143</c:v>
                </c:pt>
                <c:pt idx="167">
                  <c:v>52.422834499796373</c:v>
                </c:pt>
                <c:pt idx="168">
                  <c:v>51.799584767462839</c:v>
                </c:pt>
                <c:pt idx="169">
                  <c:v>52.145325851529613</c:v>
                </c:pt>
                <c:pt idx="170">
                  <c:v>52.770902132865146</c:v>
                </c:pt>
                <c:pt idx="171">
                  <c:v>52.654209346839032</c:v>
                </c:pt>
                <c:pt idx="172">
                  <c:v>52.268431535544522</c:v>
                </c:pt>
                <c:pt idx="173">
                  <c:v>52.528123617800212</c:v>
                </c:pt>
                <c:pt idx="174">
                  <c:v>51.951594581002468</c:v>
                </c:pt>
                <c:pt idx="175">
                  <c:v>51.630464135701921</c:v>
                </c:pt>
                <c:pt idx="176">
                  <c:v>51.285331895370497</c:v>
                </c:pt>
                <c:pt idx="177">
                  <c:v>50.84909859595497</c:v>
                </c:pt>
                <c:pt idx="178">
                  <c:v>50.955064466336054</c:v>
                </c:pt>
                <c:pt idx="179">
                  <c:v>50.811896224834314</c:v>
                </c:pt>
                <c:pt idx="180">
                  <c:v>51.140450848799034</c:v>
                </c:pt>
                <c:pt idx="181">
                  <c:v>51.017424607894355</c:v>
                </c:pt>
                <c:pt idx="182">
                  <c:v>50.475756863678825</c:v>
                </c:pt>
                <c:pt idx="183">
                  <c:v>50.137803597373498</c:v>
                </c:pt>
                <c:pt idx="184">
                  <c:v>50.443197492063149</c:v>
                </c:pt>
                <c:pt idx="185">
                  <c:v>49.979318192589481</c:v>
                </c:pt>
                <c:pt idx="186">
                  <c:v>51.064015522377026</c:v>
                </c:pt>
                <c:pt idx="187">
                  <c:v>50.932714677299174</c:v>
                </c:pt>
                <c:pt idx="188">
                  <c:v>50.666162600697021</c:v>
                </c:pt>
                <c:pt idx="189">
                  <c:v>50.309958652387742</c:v>
                </c:pt>
                <c:pt idx="190">
                  <c:v>49.979710745739936</c:v>
                </c:pt>
                <c:pt idx="191">
                  <c:v>49.461229229353826</c:v>
                </c:pt>
                <c:pt idx="192">
                  <c:v>49.988011424956717</c:v>
                </c:pt>
                <c:pt idx="193">
                  <c:v>50.184576342093195</c:v>
                </c:pt>
                <c:pt idx="194">
                  <c:v>50.505794830241705</c:v>
                </c:pt>
                <c:pt idx="195">
                  <c:v>50.358218427260176</c:v>
                </c:pt>
                <c:pt idx="196">
                  <c:v>50.728041431719312</c:v>
                </c:pt>
                <c:pt idx="197">
                  <c:v>50.734575431903643</c:v>
                </c:pt>
                <c:pt idx="198">
                  <c:v>50.695533544882991</c:v>
                </c:pt>
                <c:pt idx="199">
                  <c:v>50.544866506658792</c:v>
                </c:pt>
                <c:pt idx="200">
                  <c:v>50.621740642876937</c:v>
                </c:pt>
                <c:pt idx="201">
                  <c:v>50.582832850074553</c:v>
                </c:pt>
                <c:pt idx="202">
                  <c:v>50.740724932118354</c:v>
                </c:pt>
                <c:pt idx="203">
                  <c:v>50.409454654449512</c:v>
                </c:pt>
                <c:pt idx="204">
                  <c:v>50.836937354985224</c:v>
                </c:pt>
                <c:pt idx="205">
                  <c:v>50.975346462427709</c:v>
                </c:pt>
                <c:pt idx="206">
                  <c:v>50.995986167694248</c:v>
                </c:pt>
                <c:pt idx="207">
                  <c:v>51.163717802298741</c:v>
                </c:pt>
                <c:pt idx="208">
                  <c:v>50.960372639798749</c:v>
                </c:pt>
                <c:pt idx="209">
                  <c:v>50.62274613597593</c:v>
                </c:pt>
                <c:pt idx="210">
                  <c:v>51.105355051925024</c:v>
                </c:pt>
                <c:pt idx="211">
                  <c:v>49.320376688008402</c:v>
                </c:pt>
                <c:pt idx="212">
                  <c:v>48.453800590008406</c:v>
                </c:pt>
                <c:pt idx="213">
                  <c:v>48.168399451149959</c:v>
                </c:pt>
                <c:pt idx="214">
                  <c:v>47.701225659002908</c:v>
                </c:pt>
                <c:pt idx="215">
                  <c:v>47.090143631034657</c:v>
                </c:pt>
                <c:pt idx="216">
                  <c:v>46.934955090620221</c:v>
                </c:pt>
                <c:pt idx="217">
                  <c:v>48.115617291575226</c:v>
                </c:pt>
                <c:pt idx="218">
                  <c:v>47.585194461849376</c:v>
                </c:pt>
                <c:pt idx="219">
                  <c:v>47.009211091363333</c:v>
                </c:pt>
                <c:pt idx="220">
                  <c:v>46.041468152423192</c:v>
                </c:pt>
                <c:pt idx="221">
                  <c:v>46.657484355097331</c:v>
                </c:pt>
                <c:pt idx="222">
                  <c:v>46.41834373871869</c:v>
                </c:pt>
                <c:pt idx="223">
                  <c:v>47.029010356091668</c:v>
                </c:pt>
                <c:pt idx="224">
                  <c:v>47.701528300984172</c:v>
                </c:pt>
                <c:pt idx="225">
                  <c:v>47.672880855182576</c:v>
                </c:pt>
                <c:pt idx="226">
                  <c:v>47.528885795675883</c:v>
                </c:pt>
                <c:pt idx="227">
                  <c:v>47.328894516227727</c:v>
                </c:pt>
                <c:pt idx="228">
                  <c:v>47.307652949704661</c:v>
                </c:pt>
                <c:pt idx="229">
                  <c:v>46.830015151451661</c:v>
                </c:pt>
                <c:pt idx="230">
                  <c:v>46.796956124283355</c:v>
                </c:pt>
                <c:pt idx="231">
                  <c:v>47.042330655144667</c:v>
                </c:pt>
                <c:pt idx="232">
                  <c:v>47.509765362910422</c:v>
                </c:pt>
                <c:pt idx="233">
                  <c:v>46.677376626051576</c:v>
                </c:pt>
                <c:pt idx="234">
                  <c:v>45.921092303671415</c:v>
                </c:pt>
                <c:pt idx="235">
                  <c:v>46.596573884320897</c:v>
                </c:pt>
                <c:pt idx="236">
                  <c:v>46.303223781882863</c:v>
                </c:pt>
                <c:pt idx="237">
                  <c:v>46.610031577664586</c:v>
                </c:pt>
                <c:pt idx="238">
                  <c:v>47.142285010316186</c:v>
                </c:pt>
                <c:pt idx="239">
                  <c:v>46.413017686045386</c:v>
                </c:pt>
                <c:pt idx="240">
                  <c:v>46.352044757359678</c:v>
                </c:pt>
                <c:pt idx="241">
                  <c:v>46.381889958093943</c:v>
                </c:pt>
                <c:pt idx="242">
                  <c:v>45.273733562539491</c:v>
                </c:pt>
                <c:pt idx="243">
                  <c:v>44.950224995116891</c:v>
                </c:pt>
                <c:pt idx="244">
                  <c:v>45.236951744613535</c:v>
                </c:pt>
                <c:pt idx="245">
                  <c:v>46.649011102917548</c:v>
                </c:pt>
                <c:pt idx="246">
                  <c:v>47.38079437602137</c:v>
                </c:pt>
                <c:pt idx="247">
                  <c:v>45.741816444205909</c:v>
                </c:pt>
                <c:pt idx="248">
                  <c:v>45.092644906164445</c:v>
                </c:pt>
                <c:pt idx="249">
                  <c:v>44.004623700890555</c:v>
                </c:pt>
                <c:pt idx="250">
                  <c:v>43.72805778077305</c:v>
                </c:pt>
                <c:pt idx="251">
                  <c:v>41.738953084590726</c:v>
                </c:pt>
                <c:pt idx="252">
                  <c:v>42.174746024375025</c:v>
                </c:pt>
                <c:pt idx="253">
                  <c:v>39.678016791775505</c:v>
                </c:pt>
                <c:pt idx="254">
                  <c:v>42.121263602487311</c:v>
                </c:pt>
                <c:pt idx="255">
                  <c:v>40.393197660414479</c:v>
                </c:pt>
                <c:pt idx="256">
                  <c:v>42.886086329096017</c:v>
                </c:pt>
                <c:pt idx="257">
                  <c:v>43.288114379113303</c:v>
                </c:pt>
                <c:pt idx="258">
                  <c:v>43.190595417814343</c:v>
                </c:pt>
                <c:pt idx="259">
                  <c:v>46.929531487408667</c:v>
                </c:pt>
                <c:pt idx="260">
                  <c:v>45.184206599704879</c:v>
                </c:pt>
                <c:pt idx="261">
                  <c:v>46.127850018763148</c:v>
                </c:pt>
                <c:pt idx="262">
                  <c:v>45.274061306253742</c:v>
                </c:pt>
                <c:pt idx="263">
                  <c:v>45.906103805016052</c:v>
                </c:pt>
                <c:pt idx="264">
                  <c:v>45.494727173227567</c:v>
                </c:pt>
                <c:pt idx="265">
                  <c:v>45.578961868506958</c:v>
                </c:pt>
                <c:pt idx="266">
                  <c:v>45.443666368753483</c:v>
                </c:pt>
                <c:pt idx="267">
                  <c:v>45.846372393183678</c:v>
                </c:pt>
                <c:pt idx="268">
                  <c:v>44.561735485776289</c:v>
                </c:pt>
                <c:pt idx="269">
                  <c:v>46.096853301640834</c:v>
                </c:pt>
                <c:pt idx="270">
                  <c:v>46.647658977463493</c:v>
                </c:pt>
                <c:pt idx="271">
                  <c:v>46.10231281222827</c:v>
                </c:pt>
                <c:pt idx="272">
                  <c:v>45.044933688737849</c:v>
                </c:pt>
                <c:pt idx="273">
                  <c:v>44.404500752712956</c:v>
                </c:pt>
                <c:pt idx="274">
                  <c:v>44.84800536636007</c:v>
                </c:pt>
                <c:pt idx="275">
                  <c:v>45.163565951411506</c:v>
                </c:pt>
                <c:pt idx="276">
                  <c:v>44.596444521244514</c:v>
                </c:pt>
                <c:pt idx="277">
                  <c:v>43.483922740362516</c:v>
                </c:pt>
                <c:pt idx="278">
                  <c:v>43.678813746439509</c:v>
                </c:pt>
                <c:pt idx="279">
                  <c:v>44.3665707032021</c:v>
                </c:pt>
                <c:pt idx="280">
                  <c:v>41.652628259819203</c:v>
                </c:pt>
                <c:pt idx="281">
                  <c:v>42.899220050260382</c:v>
                </c:pt>
                <c:pt idx="282">
                  <c:v>44.283866981769371</c:v>
                </c:pt>
                <c:pt idx="283">
                  <c:v>42.880843770505216</c:v>
                </c:pt>
                <c:pt idx="284">
                  <c:v>43.478116941478966</c:v>
                </c:pt>
                <c:pt idx="285">
                  <c:v>42.767401455277721</c:v>
                </c:pt>
                <c:pt idx="286">
                  <c:v>44.04905828801656</c:v>
                </c:pt>
                <c:pt idx="287">
                  <c:v>44.526272385042162</c:v>
                </c:pt>
                <c:pt idx="288">
                  <c:v>43.466054440567682</c:v>
                </c:pt>
                <c:pt idx="289">
                  <c:v>44.841025088856945</c:v>
                </c:pt>
                <c:pt idx="290">
                  <c:v>43.106761108436842</c:v>
                </c:pt>
                <c:pt idx="291">
                  <c:v>42.286834436835946</c:v>
                </c:pt>
                <c:pt idx="292">
                  <c:v>43.110171600614507</c:v>
                </c:pt>
                <c:pt idx="293">
                  <c:v>43.24173915776359</c:v>
                </c:pt>
                <c:pt idx="294">
                  <c:v>44.03303953420987</c:v>
                </c:pt>
                <c:pt idx="295">
                  <c:v>42.902406726291325</c:v>
                </c:pt>
                <c:pt idx="296">
                  <c:v>43.189580373753351</c:v>
                </c:pt>
                <c:pt idx="297">
                  <c:v>42.630170926572617</c:v>
                </c:pt>
                <c:pt idx="298">
                  <c:v>42.485154751305224</c:v>
                </c:pt>
                <c:pt idx="299">
                  <c:v>42.316247678818975</c:v>
                </c:pt>
                <c:pt idx="300">
                  <c:v>43.299496747407765</c:v>
                </c:pt>
                <c:pt idx="301">
                  <c:v>42.561521360351414</c:v>
                </c:pt>
                <c:pt idx="302">
                  <c:v>42.957354336405139</c:v>
                </c:pt>
                <c:pt idx="303">
                  <c:v>43.180722294277153</c:v>
                </c:pt>
                <c:pt idx="304">
                  <c:v>43.298108404451433</c:v>
                </c:pt>
                <c:pt idx="305">
                  <c:v>44.415865316774557</c:v>
                </c:pt>
                <c:pt idx="306">
                  <c:v>44.197189356236869</c:v>
                </c:pt>
                <c:pt idx="307">
                  <c:v>44.183185529929858</c:v>
                </c:pt>
                <c:pt idx="308">
                  <c:v>43.323679882825921</c:v>
                </c:pt>
                <c:pt idx="309">
                  <c:v>43.085474469915475</c:v>
                </c:pt>
                <c:pt idx="310">
                  <c:v>43.907335379834279</c:v>
                </c:pt>
                <c:pt idx="311">
                  <c:v>43.778010051231156</c:v>
                </c:pt>
                <c:pt idx="312">
                  <c:v>44.785509819638442</c:v>
                </c:pt>
                <c:pt idx="313">
                  <c:v>44.659919531398721</c:v>
                </c:pt>
                <c:pt idx="314">
                  <c:v>45.703091211301988</c:v>
                </c:pt>
                <c:pt idx="315">
                  <c:v>45.867651010115381</c:v>
                </c:pt>
                <c:pt idx="316">
                  <c:v>46.573572391763193</c:v>
                </c:pt>
                <c:pt idx="317">
                  <c:v>44.205841859543455</c:v>
                </c:pt>
                <c:pt idx="318">
                  <c:v>46.162775539774152</c:v>
                </c:pt>
                <c:pt idx="319">
                  <c:v>46.499100148699526</c:v>
                </c:pt>
                <c:pt idx="320">
                  <c:v>43.175488470202083</c:v>
                </c:pt>
                <c:pt idx="321">
                  <c:v>41.36551218287623</c:v>
                </c:pt>
                <c:pt idx="322">
                  <c:v>39.633101610545339</c:v>
                </c:pt>
                <c:pt idx="323">
                  <c:v>35.771989840640117</c:v>
                </c:pt>
                <c:pt idx="324">
                  <c:v>34.768825131200686</c:v>
                </c:pt>
                <c:pt idx="325">
                  <c:v>31.790916120487172</c:v>
                </c:pt>
                <c:pt idx="326">
                  <c:v>30.591024248799872</c:v>
                </c:pt>
                <c:pt idx="327">
                  <c:v>30.161557643813957</c:v>
                </c:pt>
                <c:pt idx="328">
                  <c:v>30.188431629658378</c:v>
                </c:pt>
                <c:pt idx="329">
                  <c:v>30.62993370116223</c:v>
                </c:pt>
                <c:pt idx="330">
                  <c:v>29.197612512615262</c:v>
                </c:pt>
                <c:pt idx="331">
                  <c:v>28.723545003121028</c:v>
                </c:pt>
                <c:pt idx="332">
                  <c:v>28.562456720897227</c:v>
                </c:pt>
                <c:pt idx="333">
                  <c:v>26.254433825166235</c:v>
                </c:pt>
                <c:pt idx="334">
                  <c:v>26.098284347600075</c:v>
                </c:pt>
                <c:pt idx="335">
                  <c:v>26.303462910163965</c:v>
                </c:pt>
                <c:pt idx="336">
                  <c:v>26.068688618916237</c:v>
                </c:pt>
                <c:pt idx="337">
                  <c:v>27.890461545590206</c:v>
                </c:pt>
                <c:pt idx="338">
                  <c:v>27.686789928108851</c:v>
                </c:pt>
                <c:pt idx="339">
                  <c:v>27.259724478477921</c:v>
                </c:pt>
                <c:pt idx="340">
                  <c:v>26.603094640123103</c:v>
                </c:pt>
                <c:pt idx="341">
                  <c:v>26.414492148372599</c:v>
                </c:pt>
                <c:pt idx="342">
                  <c:v>27.159561386421096</c:v>
                </c:pt>
                <c:pt idx="343">
                  <c:v>26.676474200523661</c:v>
                </c:pt>
                <c:pt idx="344">
                  <c:v>25.595358703301439</c:v>
                </c:pt>
                <c:pt idx="345">
                  <c:v>25.069424484210533</c:v>
                </c:pt>
                <c:pt idx="346">
                  <c:v>25.645405723626876</c:v>
                </c:pt>
                <c:pt idx="347">
                  <c:v>24.059333106075393</c:v>
                </c:pt>
                <c:pt idx="348">
                  <c:v>24.527684581599367</c:v>
                </c:pt>
                <c:pt idx="349">
                  <c:v>24.390456330412245</c:v>
                </c:pt>
                <c:pt idx="350">
                  <c:v>23.721300537204751</c:v>
                </c:pt>
                <c:pt idx="351">
                  <c:v>21.511336250325918</c:v>
                </c:pt>
                <c:pt idx="352">
                  <c:v>21.334244014541582</c:v>
                </c:pt>
                <c:pt idx="353">
                  <c:v>21.525463643667059</c:v>
                </c:pt>
                <c:pt idx="354">
                  <c:v>20.770435924864241</c:v>
                </c:pt>
                <c:pt idx="355">
                  <c:v>20.94566777954093</c:v>
                </c:pt>
                <c:pt idx="356">
                  <c:v>21.630805437055276</c:v>
                </c:pt>
                <c:pt idx="357">
                  <c:v>20.059965556326876</c:v>
                </c:pt>
                <c:pt idx="358">
                  <c:v>20.691939805189353</c:v>
                </c:pt>
                <c:pt idx="359">
                  <c:v>19.2614515953268</c:v>
                </c:pt>
                <c:pt idx="360">
                  <c:v>18.852962150897692</c:v>
                </c:pt>
                <c:pt idx="361">
                  <c:v>17.481755547387689</c:v>
                </c:pt>
                <c:pt idx="362">
                  <c:v>17.256839986782662</c:v>
                </c:pt>
                <c:pt idx="363">
                  <c:v>18.136931040628728</c:v>
                </c:pt>
                <c:pt idx="364">
                  <c:v>18.873454387177709</c:v>
                </c:pt>
                <c:pt idx="365">
                  <c:v>17.689077091875387</c:v>
                </c:pt>
                <c:pt idx="366">
                  <c:v>18.45400624455409</c:v>
                </c:pt>
                <c:pt idx="367">
                  <c:v>18.257952375758478</c:v>
                </c:pt>
                <c:pt idx="368">
                  <c:v>19.183168198421367</c:v>
                </c:pt>
                <c:pt idx="369">
                  <c:v>19.333155492211521</c:v>
                </c:pt>
                <c:pt idx="370">
                  <c:v>19.415780809121298</c:v>
                </c:pt>
                <c:pt idx="371">
                  <c:v>17.404416793316102</c:v>
                </c:pt>
                <c:pt idx="372">
                  <c:v>22.803263684508558</c:v>
                </c:pt>
                <c:pt idx="373">
                  <c:v>18.628999500103745</c:v>
                </c:pt>
                <c:pt idx="374">
                  <c:v>16.950061320796461</c:v>
                </c:pt>
                <c:pt idx="375">
                  <c:v>15.657642882377363</c:v>
                </c:pt>
                <c:pt idx="376">
                  <c:v>15.594926765013664</c:v>
                </c:pt>
                <c:pt idx="377">
                  <c:v>15.616452963331005</c:v>
                </c:pt>
                <c:pt idx="378">
                  <c:v>14.966083293971144</c:v>
                </c:pt>
                <c:pt idx="379">
                  <c:v>14.741615754242702</c:v>
                </c:pt>
                <c:pt idx="380">
                  <c:v>13.500634464585142</c:v>
                </c:pt>
                <c:pt idx="381">
                  <c:v>12.629419780393441</c:v>
                </c:pt>
                <c:pt idx="382">
                  <c:v>12.74954996499835</c:v>
                </c:pt>
                <c:pt idx="383">
                  <c:v>12.210573315057001</c:v>
                </c:pt>
                <c:pt idx="384">
                  <c:v>14.281651655712594</c:v>
                </c:pt>
                <c:pt idx="385">
                  <c:v>8.1826814634828651</c:v>
                </c:pt>
                <c:pt idx="386">
                  <c:v>8.9582348570701917</c:v>
                </c:pt>
                <c:pt idx="387">
                  <c:v>8.1358403167173758</c:v>
                </c:pt>
                <c:pt idx="388">
                  <c:v>7.2756716727226109</c:v>
                </c:pt>
                <c:pt idx="389">
                  <c:v>7.3754107600976111</c:v>
                </c:pt>
                <c:pt idx="390">
                  <c:v>7.2531083336829765</c:v>
                </c:pt>
                <c:pt idx="391">
                  <c:v>7.3342848185620335</c:v>
                </c:pt>
                <c:pt idx="392">
                  <c:v>7.1873306448120333</c:v>
                </c:pt>
                <c:pt idx="393">
                  <c:v>7.1067648218291266</c:v>
                </c:pt>
                <c:pt idx="394">
                  <c:v>7.0174045861473093</c:v>
                </c:pt>
                <c:pt idx="395">
                  <c:v>6.9374219881673094</c:v>
                </c:pt>
                <c:pt idx="396">
                  <c:v>6.834609806382467</c:v>
                </c:pt>
                <c:pt idx="397">
                  <c:v>7.0098336080426602</c:v>
                </c:pt>
                <c:pt idx="398">
                  <c:v>7.0402824402426605</c:v>
                </c:pt>
                <c:pt idx="399">
                  <c:v>7.129293491337549</c:v>
                </c:pt>
                <c:pt idx="400">
                  <c:v>6.7555850995920963</c:v>
                </c:pt>
                <c:pt idx="401">
                  <c:v>7.2009007368147389</c:v>
                </c:pt>
                <c:pt idx="402">
                  <c:v>7.147890064120082</c:v>
                </c:pt>
                <c:pt idx="403">
                  <c:v>7.0021433610783239</c:v>
                </c:pt>
                <c:pt idx="404">
                  <c:v>6.8754871154228923</c:v>
                </c:pt>
                <c:pt idx="405">
                  <c:v>7.0715267168855789</c:v>
                </c:pt>
                <c:pt idx="406">
                  <c:v>6.8922976407479624</c:v>
                </c:pt>
                <c:pt idx="407">
                  <c:v>7.1815458064321716</c:v>
                </c:pt>
                <c:pt idx="408">
                  <c:v>7.0103957232156757</c:v>
                </c:pt>
                <c:pt idx="409">
                  <c:v>6.9626386663708484</c:v>
                </c:pt>
                <c:pt idx="410">
                  <c:v>6.9831012299937987</c:v>
                </c:pt>
                <c:pt idx="411">
                  <c:v>6.886311988256093</c:v>
                </c:pt>
                <c:pt idx="412">
                  <c:v>6.8129590632118449</c:v>
                </c:pt>
                <c:pt idx="413">
                  <c:v>7.0163711344902353</c:v>
                </c:pt>
                <c:pt idx="414">
                  <c:v>6.9592751465709517</c:v>
                </c:pt>
                <c:pt idx="415">
                  <c:v>6.7309168745227206</c:v>
                </c:pt>
                <c:pt idx="416">
                  <c:v>6.9886604693065042</c:v>
                </c:pt>
                <c:pt idx="417">
                  <c:v>6.9002162058235994</c:v>
                </c:pt>
                <c:pt idx="418">
                  <c:v>6.8611540775655335</c:v>
                </c:pt>
                <c:pt idx="419">
                  <c:v>6.7289268900135335</c:v>
                </c:pt>
                <c:pt idx="420">
                  <c:v>6.9535203047982233</c:v>
                </c:pt>
                <c:pt idx="421">
                  <c:v>6.5283349960443271</c:v>
                </c:pt>
                <c:pt idx="422">
                  <c:v>6.4528222696104649</c:v>
                </c:pt>
                <c:pt idx="423">
                  <c:v>6.3916019195593003</c:v>
                </c:pt>
                <c:pt idx="424">
                  <c:v>6.2079700891445544</c:v>
                </c:pt>
                <c:pt idx="425">
                  <c:v>6.2108631081375609</c:v>
                </c:pt>
                <c:pt idx="426">
                  <c:v>6.0870883126081488</c:v>
                </c:pt>
                <c:pt idx="427">
                  <c:v>5.9138009146195554</c:v>
                </c:pt>
                <c:pt idx="428">
                  <c:v>6.1801410567296875</c:v>
                </c:pt>
                <c:pt idx="429">
                  <c:v>6.4089396456777399</c:v>
                </c:pt>
                <c:pt idx="430">
                  <c:v>6.2602673115158893</c:v>
                </c:pt>
                <c:pt idx="431">
                  <c:v>5.8380416142201144</c:v>
                </c:pt>
                <c:pt idx="432">
                  <c:v>5.6870283291986086</c:v>
                </c:pt>
                <c:pt idx="433">
                  <c:v>5.3471419541986087</c:v>
                </c:pt>
                <c:pt idx="434">
                  <c:v>5.3790268227503324</c:v>
                </c:pt>
                <c:pt idx="435">
                  <c:v>5.4887433410753319</c:v>
                </c:pt>
                <c:pt idx="436">
                  <c:v>5.5635761149381899</c:v>
                </c:pt>
                <c:pt idx="437">
                  <c:v>5.6395865142640336</c:v>
                </c:pt>
                <c:pt idx="438">
                  <c:v>5.5720978065863465</c:v>
                </c:pt>
                <c:pt idx="439">
                  <c:v>5.5443430912530136</c:v>
                </c:pt>
                <c:pt idx="440">
                  <c:v>5.7166536450082006</c:v>
                </c:pt>
                <c:pt idx="441">
                  <c:v>5.6518621282082009</c:v>
                </c:pt>
                <c:pt idx="442">
                  <c:v>5.8391602457373839</c:v>
                </c:pt>
                <c:pt idx="443">
                  <c:v>5.8508231788725196</c:v>
                </c:pt>
                <c:pt idx="444">
                  <c:v>6.0058779328725196</c:v>
                </c:pt>
                <c:pt idx="445">
                  <c:v>5.8603658148725195</c:v>
                </c:pt>
                <c:pt idx="446">
                  <c:v>5.8216072836417503</c:v>
                </c:pt>
                <c:pt idx="447">
                  <c:v>5.9634809975350844</c:v>
                </c:pt>
                <c:pt idx="448">
                  <c:v>5.794803910879085</c:v>
                </c:pt>
                <c:pt idx="449">
                  <c:v>5.7740900088451861</c:v>
                </c:pt>
                <c:pt idx="450">
                  <c:v>5.6725517030161265</c:v>
                </c:pt>
                <c:pt idx="451">
                  <c:v>5.7543375034681032</c:v>
                </c:pt>
                <c:pt idx="452">
                  <c:v>5.7946689510427305</c:v>
                </c:pt>
                <c:pt idx="453">
                  <c:v>5.7766561102720893</c:v>
                </c:pt>
                <c:pt idx="454">
                  <c:v>5.7780465863129056</c:v>
                </c:pt>
                <c:pt idx="455">
                  <c:v>5.7595653909747773</c:v>
                </c:pt>
                <c:pt idx="456">
                  <c:v>5.8391248336716091</c:v>
                </c:pt>
                <c:pt idx="457">
                  <c:v>5.8936702145526896</c:v>
                </c:pt>
                <c:pt idx="458">
                  <c:v>5.8274062550193557</c:v>
                </c:pt>
                <c:pt idx="459">
                  <c:v>5.9660086441421623</c:v>
                </c:pt>
                <c:pt idx="460">
                  <c:v>6.0351481151421629</c:v>
                </c:pt>
                <c:pt idx="461">
                  <c:v>6.1183831692243542</c:v>
                </c:pt>
                <c:pt idx="462">
                  <c:v>6.010076582442629</c:v>
                </c:pt>
                <c:pt idx="463">
                  <c:v>6.0774726355387827</c:v>
                </c:pt>
                <c:pt idx="464">
                  <c:v>6.072144690400485</c:v>
                </c:pt>
                <c:pt idx="465">
                  <c:v>6.153716579873012</c:v>
                </c:pt>
                <c:pt idx="466">
                  <c:v>6.0943360914250126</c:v>
                </c:pt>
                <c:pt idx="467">
                  <c:v>6.0392157734250134</c:v>
                </c:pt>
                <c:pt idx="468">
                  <c:v>6.0476509968815337</c:v>
                </c:pt>
                <c:pt idx="469">
                  <c:v>6.2071311499327297</c:v>
                </c:pt>
                <c:pt idx="470">
                  <c:v>6.2563566071176995</c:v>
                </c:pt>
                <c:pt idx="471">
                  <c:v>6.1830449436891284</c:v>
                </c:pt>
                <c:pt idx="472">
                  <c:v>6.2887024331025891</c:v>
                </c:pt>
                <c:pt idx="473">
                  <c:v>6.274893079468181</c:v>
                </c:pt>
                <c:pt idx="474">
                  <c:v>6.3147140055359774</c:v>
                </c:pt>
                <c:pt idx="475">
                  <c:v>6.4248137489842536</c:v>
                </c:pt>
                <c:pt idx="476">
                  <c:v>6.4169139266720014</c:v>
                </c:pt>
                <c:pt idx="477">
                  <c:v>6.313662964283111</c:v>
                </c:pt>
                <c:pt idx="478">
                  <c:v>6.2900950908942219</c:v>
                </c:pt>
                <c:pt idx="479">
                  <c:v>6.3577829668599373</c:v>
                </c:pt>
                <c:pt idx="480">
                  <c:v>6.3539934442457238</c:v>
                </c:pt>
                <c:pt idx="481">
                  <c:v>6.3170291784221932</c:v>
                </c:pt>
                <c:pt idx="482">
                  <c:v>6.2947108193045462</c:v>
                </c:pt>
                <c:pt idx="483">
                  <c:v>6.2729169925820969</c:v>
                </c:pt>
                <c:pt idx="484">
                  <c:v>6.2832778073271953</c:v>
                </c:pt>
                <c:pt idx="485">
                  <c:v>6.2629400822280212</c:v>
                </c:pt>
                <c:pt idx="486">
                  <c:v>6.3139197766113559</c:v>
                </c:pt>
                <c:pt idx="487">
                  <c:v>6.446113851499442</c:v>
                </c:pt>
                <c:pt idx="488">
                  <c:v>6.497297877408533</c:v>
                </c:pt>
                <c:pt idx="489">
                  <c:v>6.5800977792728181</c:v>
                </c:pt>
                <c:pt idx="490">
                  <c:v>6.5628224864394848</c:v>
                </c:pt>
                <c:pt idx="491">
                  <c:v>6.4809771457899377</c:v>
                </c:pt>
                <c:pt idx="492">
                  <c:v>6.6308250703230112</c:v>
                </c:pt>
                <c:pt idx="493">
                  <c:v>6.6133711875891725</c:v>
                </c:pt>
                <c:pt idx="494">
                  <c:v>6.6796250523012137</c:v>
                </c:pt>
                <c:pt idx="495">
                  <c:v>6.7172881491787644</c:v>
                </c:pt>
                <c:pt idx="496">
                  <c:v>6.7130919343892907</c:v>
                </c:pt>
                <c:pt idx="497">
                  <c:v>6.7673622902153774</c:v>
                </c:pt>
                <c:pt idx="498">
                  <c:v>6.958674660420856</c:v>
                </c:pt>
                <c:pt idx="499">
                  <c:v>6.9162724930546586</c:v>
                </c:pt>
                <c:pt idx="500">
                  <c:v>6.9546828108219003</c:v>
                </c:pt>
                <c:pt idx="501">
                  <c:v>6.8517824974476671</c:v>
                </c:pt>
                <c:pt idx="502">
                  <c:v>6.8766796018043115</c:v>
                </c:pt>
                <c:pt idx="503">
                  <c:v>6.795091049658244</c:v>
                </c:pt>
                <c:pt idx="504">
                  <c:v>6.7421594719987841</c:v>
                </c:pt>
                <c:pt idx="505">
                  <c:v>6.6824658956509593</c:v>
                </c:pt>
                <c:pt idx="506">
                  <c:v>6.6459816651715071</c:v>
                </c:pt>
                <c:pt idx="507">
                  <c:v>6.7465846255488655</c:v>
                </c:pt>
                <c:pt idx="508">
                  <c:v>6.5504163032552363</c:v>
                </c:pt>
                <c:pt idx="509">
                  <c:v>6.494260179108716</c:v>
                </c:pt>
                <c:pt idx="510">
                  <c:v>6.6288305696329086</c:v>
                </c:pt>
                <c:pt idx="511">
                  <c:v>6.5972215341172289</c:v>
                </c:pt>
                <c:pt idx="512">
                  <c:v>7.0122670234620559</c:v>
                </c:pt>
                <c:pt idx="513">
                  <c:v>7.2026232503126302</c:v>
                </c:pt>
                <c:pt idx="514">
                  <c:v>7.082923846378204</c:v>
                </c:pt>
                <c:pt idx="515">
                  <c:v>7.2275898129132905</c:v>
                </c:pt>
                <c:pt idx="516">
                  <c:v>7.0898120112064635</c:v>
                </c:pt>
                <c:pt idx="517">
                  <c:v>7.0703990730814636</c:v>
                </c:pt>
                <c:pt idx="518">
                  <c:v>6.9306156850129712</c:v>
                </c:pt>
                <c:pt idx="519">
                  <c:v>7.100371698855076</c:v>
                </c:pt>
                <c:pt idx="520">
                  <c:v>6.8804722573106307</c:v>
                </c:pt>
                <c:pt idx="521">
                  <c:v>7.1179730770415723</c:v>
                </c:pt>
                <c:pt idx="522">
                  <c:v>6.8620485073311643</c:v>
                </c:pt>
                <c:pt idx="523">
                  <c:v>6.8809418227104757</c:v>
                </c:pt>
                <c:pt idx="524">
                  <c:v>6.5653893355564295</c:v>
                </c:pt>
                <c:pt idx="525">
                  <c:v>7.0713793501532889</c:v>
                </c:pt>
                <c:pt idx="526">
                  <c:v>6.6797346683060272</c:v>
                </c:pt>
                <c:pt idx="527">
                  <c:v>6.9019362501792951</c:v>
                </c:pt>
                <c:pt idx="528">
                  <c:v>7.4997909530714395</c:v>
                </c:pt>
                <c:pt idx="529">
                  <c:v>7.3227857496188093</c:v>
                </c:pt>
                <c:pt idx="530">
                  <c:v>6.9062924761051105</c:v>
                </c:pt>
                <c:pt idx="531">
                  <c:v>7.0993114366051113</c:v>
                </c:pt>
                <c:pt idx="532">
                  <c:v>6.7948676162691379</c:v>
                </c:pt>
                <c:pt idx="533">
                  <c:v>6.5359067580556989</c:v>
                </c:pt>
                <c:pt idx="534">
                  <c:v>5.8351229706738099</c:v>
                </c:pt>
                <c:pt idx="535">
                  <c:v>6.5074717593834874</c:v>
                </c:pt>
                <c:pt idx="536">
                  <c:v>5.078799824114733</c:v>
                </c:pt>
                <c:pt idx="537">
                  <c:v>4.9657429449356938</c:v>
                </c:pt>
                <c:pt idx="538">
                  <c:v>4.6401706033930932</c:v>
                </c:pt>
                <c:pt idx="539">
                  <c:v>4.7279891468437265</c:v>
                </c:pt>
                <c:pt idx="540">
                  <c:v>4.5114831513114684</c:v>
                </c:pt>
                <c:pt idx="541">
                  <c:v>4.2883051018381853</c:v>
                </c:pt>
                <c:pt idx="542">
                  <c:v>4.208275875149873</c:v>
                </c:pt>
                <c:pt idx="543">
                  <c:v>4.2210968494122838</c:v>
                </c:pt>
                <c:pt idx="544">
                  <c:v>4.5660066057153141</c:v>
                </c:pt>
                <c:pt idx="545">
                  <c:v>4.4856104414506071</c:v>
                </c:pt>
                <c:pt idx="546">
                  <c:v>4.1139853157363211</c:v>
                </c:pt>
                <c:pt idx="547">
                  <c:v>4.5955272139971903</c:v>
                </c:pt>
                <c:pt idx="548">
                  <c:v>4.5441539114280589</c:v>
                </c:pt>
                <c:pt idx="549">
                  <c:v>4.1311736415333202</c:v>
                </c:pt>
                <c:pt idx="550">
                  <c:v>4.2978896150017878</c:v>
                </c:pt>
                <c:pt idx="551">
                  <c:v>4.4581093693679854</c:v>
                </c:pt>
                <c:pt idx="552">
                  <c:v>4.4101647764553649</c:v>
                </c:pt>
                <c:pt idx="553">
                  <c:v>4.0638289808928647</c:v>
                </c:pt>
                <c:pt idx="554">
                  <c:v>4.2210816932366146</c:v>
                </c:pt>
                <c:pt idx="555">
                  <c:v>4.2175576630435119</c:v>
                </c:pt>
                <c:pt idx="556">
                  <c:v>3.9656156015050485</c:v>
                </c:pt>
                <c:pt idx="557">
                  <c:v>4.086217732505049</c:v>
                </c:pt>
                <c:pt idx="558">
                  <c:v>4.0200167584360837</c:v>
                </c:pt>
                <c:pt idx="559">
                  <c:v>3.9341806807518727</c:v>
                </c:pt>
                <c:pt idx="560">
                  <c:v>3.9038633155397524</c:v>
                </c:pt>
                <c:pt idx="561">
                  <c:v>3.9325283466472443</c:v>
                </c:pt>
                <c:pt idx="562">
                  <c:v>3.9511513085520056</c:v>
                </c:pt>
                <c:pt idx="563">
                  <c:v>3.903909016230267</c:v>
                </c:pt>
                <c:pt idx="564">
                  <c:v>4.2977288584790703</c:v>
                </c:pt>
                <c:pt idx="565">
                  <c:v>4.0307715928354719</c:v>
                </c:pt>
                <c:pt idx="566">
                  <c:v>3.8968452740691188</c:v>
                </c:pt>
                <c:pt idx="567">
                  <c:v>3.8386047225954347</c:v>
                </c:pt>
                <c:pt idx="568">
                  <c:v>3.8041126850269209</c:v>
                </c:pt>
                <c:pt idx="569">
                  <c:v>3.4701240990269206</c:v>
                </c:pt>
                <c:pt idx="570">
                  <c:v>3.3884449930162837</c:v>
                </c:pt>
                <c:pt idx="571">
                  <c:v>3.2176269903053001</c:v>
                </c:pt>
                <c:pt idx="572">
                  <c:v>3.315595572502668</c:v>
                </c:pt>
                <c:pt idx="573">
                  <c:v>3.0584865342400431</c:v>
                </c:pt>
                <c:pt idx="574">
                  <c:v>2.9798371873635006</c:v>
                </c:pt>
                <c:pt idx="575">
                  <c:v>2.9709300793635007</c:v>
                </c:pt>
                <c:pt idx="576">
                  <c:v>2.9456310613635006</c:v>
                </c:pt>
                <c:pt idx="577">
                  <c:v>2.9151405275549895</c:v>
                </c:pt>
                <c:pt idx="578">
                  <c:v>2.7977230471978469</c:v>
                </c:pt>
                <c:pt idx="579">
                  <c:v>2.7676072744587157</c:v>
                </c:pt>
                <c:pt idx="580">
                  <c:v>2.9248644547052915</c:v>
                </c:pt>
                <c:pt idx="581">
                  <c:v>3.0262261702276794</c:v>
                </c:pt>
                <c:pt idx="582">
                  <c:v>3.002881738977679</c:v>
                </c:pt>
                <c:pt idx="583">
                  <c:v>3.0136349650763328</c:v>
                </c:pt>
                <c:pt idx="584">
                  <c:v>3.0552455712581512</c:v>
                </c:pt>
                <c:pt idx="585">
                  <c:v>2.8989995345914834</c:v>
                </c:pt>
                <c:pt idx="586">
                  <c:v>2.977184577773301</c:v>
                </c:pt>
                <c:pt idx="587">
                  <c:v>2.9200020704656091</c:v>
                </c:pt>
                <c:pt idx="588">
                  <c:v>3.0335942101342654</c:v>
                </c:pt>
                <c:pt idx="589">
                  <c:v>3.2335894399304426</c:v>
                </c:pt>
                <c:pt idx="590">
                  <c:v>3.0796148839602941</c:v>
                </c:pt>
                <c:pt idx="591">
                  <c:v>3.0865863352509519</c:v>
                </c:pt>
                <c:pt idx="592">
                  <c:v>2.8706342215678746</c:v>
                </c:pt>
                <c:pt idx="593">
                  <c:v>2.966622930683259</c:v>
                </c:pt>
                <c:pt idx="594">
                  <c:v>2.8535465621499254</c:v>
                </c:pt>
                <c:pt idx="595">
                  <c:v>2.753496949445875</c:v>
                </c:pt>
                <c:pt idx="596">
                  <c:v>3.1238062638635964</c:v>
                </c:pt>
                <c:pt idx="597">
                  <c:v>2.916225782863596</c:v>
                </c:pt>
                <c:pt idx="598">
                  <c:v>2.9458717323874057</c:v>
                </c:pt>
                <c:pt idx="599">
                  <c:v>2.8295321066096291</c:v>
                </c:pt>
                <c:pt idx="600">
                  <c:v>2.6719488595976775</c:v>
                </c:pt>
                <c:pt idx="601">
                  <c:v>2.6130609689165176</c:v>
                </c:pt>
                <c:pt idx="602">
                  <c:v>2.6564491924851459</c:v>
                </c:pt>
                <c:pt idx="603">
                  <c:v>2.396093115290427</c:v>
                </c:pt>
                <c:pt idx="604">
                  <c:v>2.2775702128162623</c:v>
                </c:pt>
                <c:pt idx="605">
                  <c:v>2.2627697504684359</c:v>
                </c:pt>
                <c:pt idx="606">
                  <c:v>2.0855367310492579</c:v>
                </c:pt>
                <c:pt idx="607">
                  <c:v>2.2552813889703116</c:v>
                </c:pt>
                <c:pt idx="608">
                  <c:v>1.9490039070758403</c:v>
                </c:pt>
                <c:pt idx="609">
                  <c:v>1.6966363156766309</c:v>
                </c:pt>
                <c:pt idx="610">
                  <c:v>2.5487018180555774</c:v>
                </c:pt>
                <c:pt idx="611">
                  <c:v>1.2366409845168769</c:v>
                </c:pt>
                <c:pt idx="612">
                  <c:v>0.77881379215744917</c:v>
                </c:pt>
                <c:pt idx="613">
                  <c:v>0.47207083761638552</c:v>
                </c:pt>
                <c:pt idx="614">
                  <c:v>0.70384133274846072</c:v>
                </c:pt>
                <c:pt idx="615">
                  <c:v>0.84036502282253545</c:v>
                </c:pt>
                <c:pt idx="616">
                  <c:v>0.67292527930014767</c:v>
                </c:pt>
                <c:pt idx="617">
                  <c:v>0.80655000477038563</c:v>
                </c:pt>
                <c:pt idx="618">
                  <c:v>0.58918136289904177</c:v>
                </c:pt>
                <c:pt idx="619">
                  <c:v>0.56138223718671232</c:v>
                </c:pt>
                <c:pt idx="620">
                  <c:v>0.5174241211308469</c:v>
                </c:pt>
                <c:pt idx="621">
                  <c:v>0.49634731774137353</c:v>
                </c:pt>
                <c:pt idx="622">
                  <c:v>0.55753712706569725</c:v>
                </c:pt>
                <c:pt idx="623">
                  <c:v>0.85370782892905117</c:v>
                </c:pt>
                <c:pt idx="624">
                  <c:v>0.74067429970283494</c:v>
                </c:pt>
                <c:pt idx="625">
                  <c:v>0.61510228252975852</c:v>
                </c:pt>
                <c:pt idx="626">
                  <c:v>0.44240359351591851</c:v>
                </c:pt>
                <c:pt idx="627">
                  <c:v>0.39572384836173397</c:v>
                </c:pt>
                <c:pt idx="628">
                  <c:v>0.67495026573368477</c:v>
                </c:pt>
                <c:pt idx="629">
                  <c:v>0.81311451229548282</c:v>
                </c:pt>
                <c:pt idx="630">
                  <c:v>0.89992845099655105</c:v>
                </c:pt>
                <c:pt idx="631">
                  <c:v>0.62426811471655075</c:v>
                </c:pt>
                <c:pt idx="632">
                  <c:v>0.88731146547083684</c:v>
                </c:pt>
                <c:pt idx="633">
                  <c:v>1.0142744961042416</c:v>
                </c:pt>
                <c:pt idx="634">
                  <c:v>0.20363278738403368</c:v>
                </c:pt>
                <c:pt idx="635">
                  <c:v>0.74118380590768174</c:v>
                </c:pt>
                <c:pt idx="636">
                  <c:v>1.1137326565676831</c:v>
                </c:pt>
                <c:pt idx="637">
                  <c:v>-0.44779364502113594</c:v>
                </c:pt>
                <c:pt idx="638">
                  <c:v>-0.37904637192089796</c:v>
                </c:pt>
                <c:pt idx="639">
                  <c:v>-0.74029019720447953</c:v>
                </c:pt>
                <c:pt idx="640">
                  <c:v>-0.68491372881986545</c:v>
                </c:pt>
                <c:pt idx="641">
                  <c:v>-0.65738764609645994</c:v>
                </c:pt>
                <c:pt idx="642">
                  <c:v>-0.74146260302503197</c:v>
                </c:pt>
                <c:pt idx="643">
                  <c:v>-0.65184983809820096</c:v>
                </c:pt>
                <c:pt idx="644">
                  <c:v>-0.52980373609819953</c:v>
                </c:pt>
                <c:pt idx="645">
                  <c:v>-0.6218286282451384</c:v>
                </c:pt>
                <c:pt idx="646">
                  <c:v>-0.75425690032513881</c:v>
                </c:pt>
                <c:pt idx="647">
                  <c:v>-0.78464547207296464</c:v>
                </c:pt>
                <c:pt idx="648">
                  <c:v>-0.59667759179389479</c:v>
                </c:pt>
                <c:pt idx="649">
                  <c:v>-0.5144157627119279</c:v>
                </c:pt>
                <c:pt idx="650">
                  <c:v>-0.70255908783508025</c:v>
                </c:pt>
                <c:pt idx="651">
                  <c:v>-0.7368776468350795</c:v>
                </c:pt>
                <c:pt idx="652">
                  <c:v>-0.88313476563799953</c:v>
                </c:pt>
                <c:pt idx="653">
                  <c:v>-0.79827456285693432</c:v>
                </c:pt>
                <c:pt idx="654">
                  <c:v>-0.88865740245235436</c:v>
                </c:pt>
                <c:pt idx="655">
                  <c:v>-0.91179029557525992</c:v>
                </c:pt>
                <c:pt idx="656">
                  <c:v>-0.83134867210810703</c:v>
                </c:pt>
                <c:pt idx="657">
                  <c:v>-0.725909932381399</c:v>
                </c:pt>
                <c:pt idx="658">
                  <c:v>-0.11324490694486483</c:v>
                </c:pt>
                <c:pt idx="659">
                  <c:v>-0.66150136835764139</c:v>
                </c:pt>
                <c:pt idx="660">
                  <c:v>-0.62320782219891113</c:v>
                </c:pt>
                <c:pt idx="661">
                  <c:v>-0.26857718242910206</c:v>
                </c:pt>
                <c:pt idx="662">
                  <c:v>-0.69390124176768575</c:v>
                </c:pt>
                <c:pt idx="663">
                  <c:v>-0.66711501032153242</c:v>
                </c:pt>
                <c:pt idx="664">
                  <c:v>-0.79531045233833908</c:v>
                </c:pt>
                <c:pt idx="665">
                  <c:v>-0.92159896332341518</c:v>
                </c:pt>
                <c:pt idx="666">
                  <c:v>-1.0493963993161683</c:v>
                </c:pt>
                <c:pt idx="667">
                  <c:v>-1.1726344135161684</c:v>
                </c:pt>
                <c:pt idx="668">
                  <c:v>-1.194447051977706</c:v>
                </c:pt>
                <c:pt idx="669">
                  <c:v>-1.3398051402942881</c:v>
                </c:pt>
                <c:pt idx="670">
                  <c:v>-1.0103665625777773</c:v>
                </c:pt>
                <c:pt idx="671">
                  <c:v>-1.0067413346197933</c:v>
                </c:pt>
                <c:pt idx="672">
                  <c:v>-0.72412626424918647</c:v>
                </c:pt>
                <c:pt idx="673">
                  <c:v>-0.87334516053654254</c:v>
                </c:pt>
                <c:pt idx="674">
                  <c:v>-0.76684394439976489</c:v>
                </c:pt>
                <c:pt idx="675">
                  <c:v>-0.65685630085366564</c:v>
                </c:pt>
                <c:pt idx="676">
                  <c:v>-1.7660566184536657</c:v>
                </c:pt>
                <c:pt idx="677">
                  <c:v>-1.4283432908480316</c:v>
                </c:pt>
                <c:pt idx="678">
                  <c:v>-1.4465075217251502</c:v>
                </c:pt>
                <c:pt idx="679">
                  <c:v>-1.0756376118524444</c:v>
                </c:pt>
                <c:pt idx="680">
                  <c:v>-1.936106198928832</c:v>
                </c:pt>
                <c:pt idx="681">
                  <c:v>-2.2836086612191546</c:v>
                </c:pt>
                <c:pt idx="682">
                  <c:v>-2.3632956072191553</c:v>
                </c:pt>
                <c:pt idx="683">
                  <c:v>-2.5791604400465702</c:v>
                </c:pt>
                <c:pt idx="684">
                  <c:v>-1.7449359015457935</c:v>
                </c:pt>
                <c:pt idx="685">
                  <c:v>-1.5934512155370697</c:v>
                </c:pt>
                <c:pt idx="686">
                  <c:v>-3.5890096005854843</c:v>
                </c:pt>
                <c:pt idx="687">
                  <c:v>-1.851554347143169</c:v>
                </c:pt>
                <c:pt idx="688">
                  <c:v>-1.4861933801728315</c:v>
                </c:pt>
                <c:pt idx="689">
                  <c:v>-0.38157458601922561</c:v>
                </c:pt>
                <c:pt idx="690">
                  <c:v>0.82129696114592732</c:v>
                </c:pt>
                <c:pt idx="691">
                  <c:v>2.2670294099656232</c:v>
                </c:pt>
                <c:pt idx="692">
                  <c:v>3.2909695323207453</c:v>
                </c:pt>
                <c:pt idx="693">
                  <c:v>2.1105170214048465</c:v>
                </c:pt>
                <c:pt idx="694">
                  <c:v>1.9385551251740771</c:v>
                </c:pt>
                <c:pt idx="695">
                  <c:v>2.502712496948936</c:v>
                </c:pt>
                <c:pt idx="696">
                  <c:v>1.8912587089301556</c:v>
                </c:pt>
                <c:pt idx="697">
                  <c:v>1.5864613755917794</c:v>
                </c:pt>
                <c:pt idx="698">
                  <c:v>1.658405129491779</c:v>
                </c:pt>
                <c:pt idx="699">
                  <c:v>2.118614864125925</c:v>
                </c:pt>
                <c:pt idx="700">
                  <c:v>1.9706602913057403</c:v>
                </c:pt>
                <c:pt idx="701">
                  <c:v>1.6132076123684587</c:v>
                </c:pt>
                <c:pt idx="702">
                  <c:v>1.7719943350223482</c:v>
                </c:pt>
                <c:pt idx="703">
                  <c:v>2.01289117594962</c:v>
                </c:pt>
                <c:pt idx="704">
                  <c:v>2.3526045771615407</c:v>
                </c:pt>
                <c:pt idx="705">
                  <c:v>2.538098209288226</c:v>
                </c:pt>
                <c:pt idx="706">
                  <c:v>2.8413074381771137</c:v>
                </c:pt>
                <c:pt idx="707">
                  <c:v>3.1141812642640696</c:v>
                </c:pt>
                <c:pt idx="708">
                  <c:v>3.0792142766063972</c:v>
                </c:pt>
                <c:pt idx="709">
                  <c:v>3.4854788752431274</c:v>
                </c:pt>
                <c:pt idx="710">
                  <c:v>3.4826520386212523</c:v>
                </c:pt>
                <c:pt idx="711">
                  <c:v>3.7636308457223899</c:v>
                </c:pt>
                <c:pt idx="712">
                  <c:v>2.8776366303264953</c:v>
                </c:pt>
                <c:pt idx="713">
                  <c:v>3.7409456731606925</c:v>
                </c:pt>
                <c:pt idx="714">
                  <c:v>3.4993954123308146</c:v>
                </c:pt>
                <c:pt idx="715">
                  <c:v>7.0181662499289024</c:v>
                </c:pt>
                <c:pt idx="716">
                  <c:v>2.2245572210998126</c:v>
                </c:pt>
                <c:pt idx="717">
                  <c:v>-1.0035936266406444</c:v>
                </c:pt>
                <c:pt idx="718">
                  <c:v>-0.86328730547397869</c:v>
                </c:pt>
                <c:pt idx="719">
                  <c:v>-0.90713132928293438</c:v>
                </c:pt>
                <c:pt idx="720">
                  <c:v>-0.67573047397666108</c:v>
                </c:pt>
                <c:pt idx="721">
                  <c:v>-0.63645696939045393</c:v>
                </c:pt>
                <c:pt idx="722">
                  <c:v>-0.12389250202934332</c:v>
                </c:pt>
                <c:pt idx="723">
                  <c:v>-0.66043506970657717</c:v>
                </c:pt>
                <c:pt idx="724">
                  <c:v>-1.1654715270429399</c:v>
                </c:pt>
                <c:pt idx="725">
                  <c:v>-1.742294742358256</c:v>
                </c:pt>
                <c:pt idx="726">
                  <c:v>-1.5986015147218924</c:v>
                </c:pt>
                <c:pt idx="727">
                  <c:v>-1.6138698922673473</c:v>
                </c:pt>
                <c:pt idx="728">
                  <c:v>-1.7856741602945581</c:v>
                </c:pt>
                <c:pt idx="729">
                  <c:v>-1.8052959120982961</c:v>
                </c:pt>
                <c:pt idx="730">
                  <c:v>-1.8419557809966018</c:v>
                </c:pt>
                <c:pt idx="731">
                  <c:v>-1.809101178531813</c:v>
                </c:pt>
                <c:pt idx="732">
                  <c:v>-1.5736217649484803</c:v>
                </c:pt>
                <c:pt idx="733">
                  <c:v>-1.336917249078915</c:v>
                </c:pt>
                <c:pt idx="734">
                  <c:v>-1.5683713270986193</c:v>
                </c:pt>
                <c:pt idx="735">
                  <c:v>-1.7947169920986195</c:v>
                </c:pt>
                <c:pt idx="736">
                  <c:v>-1.6477460244700484</c:v>
                </c:pt>
                <c:pt idx="737">
                  <c:v>-1.7855432412518661</c:v>
                </c:pt>
                <c:pt idx="738">
                  <c:v>-1.8235695706518653</c:v>
                </c:pt>
                <c:pt idx="739">
                  <c:v>-1.7433009574885998</c:v>
                </c:pt>
                <c:pt idx="740">
                  <c:v>-1.5776265863038867</c:v>
                </c:pt>
                <c:pt idx="741">
                  <c:v>-1.6594211906332987</c:v>
                </c:pt>
                <c:pt idx="742">
                  <c:v>-1.9510211249862401</c:v>
                </c:pt>
                <c:pt idx="743">
                  <c:v>-2.2681885643287059</c:v>
                </c:pt>
                <c:pt idx="744">
                  <c:v>-1.9722018002662063</c:v>
                </c:pt>
                <c:pt idx="745">
                  <c:v>-1.7680658672936018</c:v>
                </c:pt>
                <c:pt idx="746">
                  <c:v>-1.6421538546269345</c:v>
                </c:pt>
                <c:pt idx="747">
                  <c:v>-1.5659846016914505</c:v>
                </c:pt>
                <c:pt idx="748">
                  <c:v>-1.7276955945485939</c:v>
                </c:pt>
                <c:pt idx="749">
                  <c:v>-1.662908053834308</c:v>
                </c:pt>
                <c:pt idx="750">
                  <c:v>-1.485004165599014</c:v>
                </c:pt>
                <c:pt idx="751">
                  <c:v>-1.3657139730673682</c:v>
                </c:pt>
                <c:pt idx="752">
                  <c:v>-0.99672412006736821</c:v>
                </c:pt>
                <c:pt idx="753">
                  <c:v>-0.751370396646316</c:v>
                </c:pt>
                <c:pt idx="754">
                  <c:v>-0.46659991850678173</c:v>
                </c:pt>
                <c:pt idx="755">
                  <c:v>-0.4614000879728013</c:v>
                </c:pt>
                <c:pt idx="756">
                  <c:v>-0.43333288561986028</c:v>
                </c:pt>
                <c:pt idx="757">
                  <c:v>-0.17886792370588214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6D-4672-B39A-6EC4563B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790992"/>
        <c:axId val="599788080"/>
      </c:lineChart>
      <c:dateAx>
        <c:axId val="59979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88080"/>
        <c:crosses val="autoZero"/>
        <c:auto val="1"/>
        <c:lblOffset val="100"/>
        <c:baseTimeUnit val="days"/>
      </c:dateAx>
      <c:valAx>
        <c:axId val="5997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9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0D3B400-D04D-49EF-9C83-BC7036924B96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4C293D-FF74-4EEE-9B96-AD0B22E2D3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0.57599999999999996</v>
      </c>
      <c r="D2" s="4">
        <f>MIN(D3:D1912)</f>
        <v>9.8499999999999994E-3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0.2117</v>
      </c>
      <c r="C5">
        <v>0.21279999999999999</v>
      </c>
      <c r="D5">
        <v>0.20710000000000001</v>
      </c>
      <c r="E5">
        <v>0.2072</v>
      </c>
      <c r="F5">
        <v>1927152</v>
      </c>
      <c r="G5">
        <v>0.2072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-0.96491228070175816</v>
      </c>
      <c r="Q5">
        <f t="shared" ref="Q5" si="1">F5*P5</f>
        <v>-1859532.6315789546</v>
      </c>
      <c r="R5">
        <f t="shared" ref="R5" si="2">R6+Q5</f>
        <v>6025739364.3260202</v>
      </c>
      <c r="S5">
        <f t="shared" ref="S5" si="3">R5/100000</f>
        <v>60257.393643260206</v>
      </c>
      <c r="T5">
        <f t="shared" ref="T5" si="4">S5/1000</f>
        <v>60.257393643260208</v>
      </c>
    </row>
    <row r="6" spans="1:20" x14ac:dyDescent="0.25">
      <c r="A6" s="5">
        <v>44587</v>
      </c>
      <c r="B6">
        <v>0.21149999999999999</v>
      </c>
      <c r="C6">
        <v>0.22450000000000001</v>
      </c>
      <c r="D6">
        <v>0.2041</v>
      </c>
      <c r="E6">
        <v>0.21190000000000001</v>
      </c>
      <c r="F6">
        <v>63148243</v>
      </c>
      <c r="G6">
        <v>0.21190000000000001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-0.23529411764705874</v>
      </c>
      <c r="Q6">
        <f t="shared" ref="Q6" si="6">F6*P6</f>
        <v>-14858410.117647054</v>
      </c>
      <c r="R6">
        <f t="shared" ref="R6" si="7">R7+Q6</f>
        <v>6027598896.9575996</v>
      </c>
      <c r="S6">
        <f t="shared" ref="S6" si="8">R6/100000</f>
        <v>60275.988969575999</v>
      </c>
      <c r="T6">
        <f t="shared" ref="T6" si="9">S6/1000</f>
        <v>60.275988969575998</v>
      </c>
    </row>
    <row r="7" spans="1:20" x14ac:dyDescent="0.25">
      <c r="A7" s="5">
        <v>44586</v>
      </c>
      <c r="B7">
        <v>0.20630000000000001</v>
      </c>
      <c r="C7">
        <v>0.21690000000000001</v>
      </c>
      <c r="D7">
        <v>0.19719999999999999</v>
      </c>
      <c r="E7">
        <v>0.2114</v>
      </c>
      <c r="F7">
        <v>55187632</v>
      </c>
      <c r="G7">
        <v>0.2114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0.44162436548223366</v>
      </c>
      <c r="Q7">
        <f t="shared" ref="Q7" si="11">F7*P7</f>
        <v>24372202.964467015</v>
      </c>
      <c r="R7">
        <f t="shared" ref="R7" si="12">R8+Q7</f>
        <v>6042457307.0752468</v>
      </c>
      <c r="S7">
        <f t="shared" ref="S7" si="13">R7/100000</f>
        <v>60424.573070752471</v>
      </c>
      <c r="T7">
        <f t="shared" ref="T7" si="14">S7/1000</f>
        <v>60.424573070752473</v>
      </c>
    </row>
    <row r="8" spans="1:20" x14ac:dyDescent="0.25">
      <c r="A8" s="5">
        <v>44585</v>
      </c>
      <c r="B8">
        <v>0.22220000000000001</v>
      </c>
      <c r="C8">
        <v>0.22220000000000001</v>
      </c>
      <c r="D8">
        <v>0.186</v>
      </c>
      <c r="E8">
        <v>0.2064</v>
      </c>
      <c r="F8">
        <v>112714001.40000001</v>
      </c>
      <c r="G8">
        <v>0.2064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0.12707182320441965</v>
      </c>
      <c r="Q8">
        <f t="shared" ref="Q8" si="16">F8*P8</f>
        <v>14322773.65856351</v>
      </c>
      <c r="R8">
        <f t="shared" ref="R8" si="17">R9+Q8</f>
        <v>6018085104.1107798</v>
      </c>
      <c r="S8">
        <f t="shared" ref="S8" si="18">R8/100000</f>
        <v>60180.851041107795</v>
      </c>
      <c r="T8">
        <f t="shared" ref="T8" si="19">S8/1000</f>
        <v>60.180851041107793</v>
      </c>
    </row>
    <row r="9" spans="1:20" x14ac:dyDescent="0.25">
      <c r="A9" s="5">
        <v>44584</v>
      </c>
      <c r="B9">
        <v>0.22189999999999999</v>
      </c>
      <c r="C9">
        <v>0.2336</v>
      </c>
      <c r="D9">
        <v>0.21299999999999999</v>
      </c>
      <c r="E9">
        <v>0.2225</v>
      </c>
      <c r="F9">
        <v>65812737</v>
      </c>
      <c r="G9">
        <v>0.2225</v>
      </c>
      <c r="L9" t="s">
        <v>8</v>
      </c>
      <c r="M9" t="s">
        <v>7</v>
      </c>
      <c r="N9" t="s">
        <v>7</v>
      </c>
      <c r="P9">
        <f t="shared" ref="P9" si="20">IF(C9=D9,0,((E9-D9)-(C9-E9))/(C9-D9))</f>
        <v>-7.7669902912620867E-2</v>
      </c>
      <c r="Q9">
        <f t="shared" ref="Q9" si="21">F9*P9</f>
        <v>-5111668.8932038508</v>
      </c>
      <c r="R9">
        <f t="shared" ref="R9" si="22">R10+Q9</f>
        <v>6003762330.4522161</v>
      </c>
      <c r="S9">
        <f t="shared" ref="S9" si="23">R9/100000</f>
        <v>60037.62330452216</v>
      </c>
      <c r="T9">
        <f t="shared" ref="T9" si="24">S9/1000</f>
        <v>60.037623304522157</v>
      </c>
    </row>
    <row r="10" spans="1:20" x14ac:dyDescent="0.25">
      <c r="A10" s="5">
        <v>44583</v>
      </c>
      <c r="B10">
        <v>0.23430000000000001</v>
      </c>
      <c r="C10">
        <v>0.2392</v>
      </c>
      <c r="D10">
        <v>0.20200000000000001</v>
      </c>
      <c r="E10">
        <v>0.222</v>
      </c>
      <c r="F10">
        <v>97445890.599999994</v>
      </c>
      <c r="G10">
        <v>0.222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7.5268817204301022E-2</v>
      </c>
      <c r="Q10">
        <f t="shared" ref="Q10" si="26">F10*P10</f>
        <v>7334636.9268817147</v>
      </c>
      <c r="R10">
        <f t="shared" ref="R10" si="27">R11+Q10</f>
        <v>6008873999.3454199</v>
      </c>
      <c r="S10">
        <f t="shared" ref="S10" si="28">R10/100000</f>
        <v>60088.739993454197</v>
      </c>
      <c r="T10">
        <f t="shared" ref="T10" si="29">S10/1000</f>
        <v>60.088739993454197</v>
      </c>
    </row>
    <row r="11" spans="1:20" x14ac:dyDescent="0.25">
      <c r="A11" s="5">
        <v>44582</v>
      </c>
      <c r="B11">
        <v>0.25969999999999999</v>
      </c>
      <c r="C11">
        <v>0.26819999999999999</v>
      </c>
      <c r="D11">
        <v>0.22800000000000001</v>
      </c>
      <c r="E11">
        <v>0.23430000000000001</v>
      </c>
      <c r="F11">
        <v>101604611</v>
      </c>
      <c r="G11">
        <v>0.23430000000000001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-0.68656716417910435</v>
      </c>
      <c r="Q11">
        <f t="shared" ref="Q11" si="31">F11*P11</f>
        <v>-69758389.641791031</v>
      </c>
      <c r="R11">
        <f t="shared" ref="R11" si="32">R12+Q11</f>
        <v>6001539362.4185381</v>
      </c>
      <c r="S11">
        <f t="shared" ref="S11" si="33">R11/100000</f>
        <v>60015.393624185381</v>
      </c>
      <c r="T11">
        <f t="shared" ref="T11" si="34">S11/1000</f>
        <v>60.015393624185378</v>
      </c>
    </row>
    <row r="12" spans="1:20" x14ac:dyDescent="0.25">
      <c r="A12" s="5">
        <v>44581</v>
      </c>
      <c r="B12">
        <v>0.26719999999999999</v>
      </c>
      <c r="C12">
        <v>0.28199999999999997</v>
      </c>
      <c r="D12">
        <v>0.25840000000000002</v>
      </c>
      <c r="E12">
        <v>0.25979999999999998</v>
      </c>
      <c r="F12">
        <v>78238429</v>
      </c>
      <c r="G12">
        <v>0.25979999999999998</v>
      </c>
      <c r="L12" t="s">
        <v>8</v>
      </c>
      <c r="M12" t="s">
        <v>7</v>
      </c>
      <c r="N12" t="s">
        <v>8</v>
      </c>
      <c r="P12">
        <f t="shared" ref="P12" si="35">IF(C12=D12,0,((E12-D12)-(C12-E12))/(C12-D12))</f>
        <v>-0.88135593220339326</v>
      </c>
      <c r="Q12">
        <f t="shared" ref="Q12" si="36">F12*P12</f>
        <v>-68955903.525424004</v>
      </c>
      <c r="R12">
        <f t="shared" ref="R12" si="37">R13+Q12</f>
        <v>6071297752.0603294</v>
      </c>
      <c r="S12">
        <f t="shared" ref="S12" si="38">R12/100000</f>
        <v>60712.977520603294</v>
      </c>
      <c r="T12">
        <f t="shared" ref="T12" si="39">S12/1000</f>
        <v>60.712977520603296</v>
      </c>
    </row>
    <row r="13" spans="1:20" x14ac:dyDescent="0.25">
      <c r="A13" s="5">
        <v>44580</v>
      </c>
      <c r="B13">
        <v>0.26569999999999999</v>
      </c>
      <c r="C13">
        <v>0.27339999999999998</v>
      </c>
      <c r="D13">
        <v>0.25219999999999998</v>
      </c>
      <c r="E13">
        <v>0.26719999999999999</v>
      </c>
      <c r="F13">
        <v>45593996</v>
      </c>
      <c r="G13">
        <v>0.26719999999999999</v>
      </c>
      <c r="L13" t="s">
        <v>8</v>
      </c>
      <c r="M13" t="s">
        <v>7</v>
      </c>
      <c r="N13" t="s">
        <v>8</v>
      </c>
      <c r="P13">
        <f t="shared" ref="P13" si="40">IF(C13=D13,0,((E13-D13)-(C13-E13))/(C13-D13))</f>
        <v>0.41509433962264297</v>
      </c>
      <c r="Q13">
        <f t="shared" ref="Q13" si="41">F13*P13</f>
        <v>18925809.660377424</v>
      </c>
      <c r="R13">
        <f t="shared" ref="R13" si="42">R14+Q13</f>
        <v>6140253655.5857534</v>
      </c>
      <c r="S13">
        <f t="shared" ref="S13" si="43">R13/100000</f>
        <v>61402.536555857536</v>
      </c>
      <c r="T13">
        <f t="shared" ref="T13" si="44">S13/1000</f>
        <v>61.402536555857537</v>
      </c>
    </row>
    <row r="14" spans="1:20" x14ac:dyDescent="0.25">
      <c r="A14" s="5">
        <v>44579</v>
      </c>
      <c r="B14">
        <v>0.26979999999999998</v>
      </c>
      <c r="C14">
        <v>0.27210000000000001</v>
      </c>
      <c r="D14">
        <v>0.2485</v>
      </c>
      <c r="E14">
        <v>0.26569999999999999</v>
      </c>
      <c r="F14">
        <v>38649383</v>
      </c>
      <c r="G14">
        <v>0.26569999999999999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0.45762711864406658</v>
      </c>
      <c r="Q14">
        <f t="shared" ref="Q14" si="46">F14*P14</f>
        <v>17687005.77966097</v>
      </c>
      <c r="R14">
        <f t="shared" ref="R14" si="47">R15+Q14</f>
        <v>6121327845.9253759</v>
      </c>
      <c r="S14">
        <f t="shared" ref="S14" si="48">R14/100000</f>
        <v>61213.278459253757</v>
      </c>
      <c r="T14">
        <f t="shared" ref="T14" si="49">S14/1000</f>
        <v>61.213278459253758</v>
      </c>
    </row>
    <row r="15" spans="1:20" x14ac:dyDescent="0.25">
      <c r="A15" s="5">
        <v>44578</v>
      </c>
      <c r="B15">
        <v>0.27889999999999998</v>
      </c>
      <c r="C15">
        <v>0.28399999999999997</v>
      </c>
      <c r="D15">
        <v>0.26540000000000002</v>
      </c>
      <c r="E15">
        <v>0.26989999999999997</v>
      </c>
      <c r="F15">
        <v>39853497</v>
      </c>
      <c r="G15">
        <v>0.26989999999999997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-0.51612903225806872</v>
      </c>
      <c r="Q15">
        <f t="shared" ref="Q15" si="51">F15*P15</f>
        <v>-20569546.838709846</v>
      </c>
      <c r="R15">
        <f t="shared" ref="R15" si="52">R16+Q15</f>
        <v>6103640840.1457148</v>
      </c>
      <c r="S15">
        <f t="shared" ref="S15" si="53">R15/100000</f>
        <v>61036.408401457149</v>
      </c>
      <c r="T15">
        <f t="shared" ref="T15" si="54">S15/1000</f>
        <v>61.036408401457152</v>
      </c>
    </row>
    <row r="16" spans="1:20" x14ac:dyDescent="0.25">
      <c r="A16" s="5">
        <v>44577</v>
      </c>
      <c r="B16">
        <v>0.27950000000000003</v>
      </c>
      <c r="C16">
        <v>0.28270000000000001</v>
      </c>
      <c r="D16">
        <v>0.2737</v>
      </c>
      <c r="E16">
        <v>0.27889999999999998</v>
      </c>
      <c r="F16">
        <v>26391640</v>
      </c>
      <c r="G16">
        <v>0.27889999999999998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0.15555555555555062</v>
      </c>
      <c r="Q16">
        <f t="shared" ref="Q16" si="56">F16*P16</f>
        <v>4105366.2222220921</v>
      </c>
      <c r="R16">
        <f t="shared" ref="R16" si="57">R17+Q16</f>
        <v>6124210386.9844246</v>
      </c>
      <c r="S16">
        <f t="shared" ref="S16" si="58">R16/100000</f>
        <v>61242.103869844243</v>
      </c>
      <c r="T16">
        <f t="shared" ref="T16" si="59">S16/1000</f>
        <v>61.242103869844243</v>
      </c>
    </row>
    <row r="17" spans="1:20" x14ac:dyDescent="0.25">
      <c r="A17" s="5">
        <v>44576</v>
      </c>
      <c r="B17">
        <v>0.28129999999999999</v>
      </c>
      <c r="C17">
        <v>0.28460000000000002</v>
      </c>
      <c r="D17">
        <v>0.27760000000000001</v>
      </c>
      <c r="E17">
        <v>0.27960000000000002</v>
      </c>
      <c r="F17">
        <v>26994096</v>
      </c>
      <c r="G17">
        <v>0.27960000000000002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-0.42857142857142855</v>
      </c>
      <c r="Q17">
        <f t="shared" ref="Q17" si="61">F17*P17</f>
        <v>-11568898.285714285</v>
      </c>
      <c r="R17">
        <f t="shared" ref="R17" si="62">R18+Q17</f>
        <v>6120105020.7622023</v>
      </c>
      <c r="S17">
        <f t="shared" ref="S17" si="63">R17/100000</f>
        <v>61201.050207622022</v>
      </c>
      <c r="T17">
        <f t="shared" ref="T17" si="64">S17/1000</f>
        <v>61.201050207622025</v>
      </c>
    </row>
    <row r="18" spans="1:20" x14ac:dyDescent="0.25">
      <c r="A18" s="5">
        <v>44575</v>
      </c>
      <c r="B18">
        <v>0.27810000000000001</v>
      </c>
      <c r="C18">
        <v>0.28570000000000001</v>
      </c>
      <c r="D18">
        <v>0.27300000000000002</v>
      </c>
      <c r="E18">
        <v>0.28129999999999999</v>
      </c>
      <c r="F18">
        <v>36315530</v>
      </c>
      <c r="G18">
        <v>0.28129999999999999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0.30708661417322541</v>
      </c>
      <c r="Q18">
        <f t="shared" ref="Q18" si="66">F18*P18</f>
        <v>11152013.149606192</v>
      </c>
      <c r="R18">
        <f t="shared" ref="R18" si="67">R19+Q18</f>
        <v>6131673919.0479164</v>
      </c>
      <c r="S18">
        <f t="shared" ref="S18" si="68">R18/100000</f>
        <v>61316.739190479166</v>
      </c>
      <c r="T18">
        <f t="shared" ref="T18" si="69">S18/1000</f>
        <v>61.316739190479169</v>
      </c>
    </row>
    <row r="19" spans="1:20" x14ac:dyDescent="0.25">
      <c r="A19" s="5">
        <v>44574</v>
      </c>
      <c r="B19">
        <v>0.2964</v>
      </c>
      <c r="C19">
        <v>0.2969</v>
      </c>
      <c r="D19">
        <v>0.27629999999999999</v>
      </c>
      <c r="E19">
        <v>0.27810000000000001</v>
      </c>
      <c r="F19">
        <v>54011600</v>
      </c>
      <c r="G19">
        <v>0.27810000000000001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-0.82524271844659969</v>
      </c>
      <c r="Q19">
        <f t="shared" ref="Q19" si="71">F19*P19</f>
        <v>-44572679.611650363</v>
      </c>
      <c r="R19">
        <f t="shared" ref="R19" si="72">R20+Q19</f>
        <v>6120521905.8983107</v>
      </c>
      <c r="S19">
        <f t="shared" ref="S19" si="73">R19/100000</f>
        <v>61205.219058983108</v>
      </c>
      <c r="T19">
        <f t="shared" ref="T19" si="74">S19/1000</f>
        <v>61.205219058983111</v>
      </c>
    </row>
    <row r="20" spans="1:20" x14ac:dyDescent="0.25">
      <c r="A20" s="5">
        <v>44573</v>
      </c>
      <c r="B20">
        <v>0.27529999999999999</v>
      </c>
      <c r="C20">
        <v>0.2984</v>
      </c>
      <c r="D20">
        <v>0.2727</v>
      </c>
      <c r="E20">
        <v>0.29649999999999999</v>
      </c>
      <c r="F20">
        <v>61378014</v>
      </c>
      <c r="G20">
        <v>0.29649999999999999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0.85214007782101064</v>
      </c>
      <c r="Q20">
        <f t="shared" ref="Q20" si="76">F20*P20</f>
        <v>52302665.626459084</v>
      </c>
      <c r="R20">
        <f t="shared" ref="R20" si="77">R21+Q20</f>
        <v>6165094585.5099611</v>
      </c>
      <c r="S20">
        <f t="shared" ref="S20" si="78">R20/100000</f>
        <v>61650.945855099613</v>
      </c>
      <c r="T20">
        <f t="shared" ref="T20" si="79">S20/1000</f>
        <v>61.650945855099614</v>
      </c>
    </row>
    <row r="21" spans="1:20" x14ac:dyDescent="0.25">
      <c r="A21" s="5">
        <v>44572</v>
      </c>
      <c r="B21">
        <v>0.25929999999999997</v>
      </c>
      <c r="C21">
        <v>0.27579999999999999</v>
      </c>
      <c r="D21">
        <v>0.25669999999999998</v>
      </c>
      <c r="E21">
        <v>0.27539999999999998</v>
      </c>
      <c r="F21">
        <v>53345397</v>
      </c>
      <c r="G21">
        <v>0.27539999999999998</v>
      </c>
      <c r="L21" t="s">
        <v>8</v>
      </c>
      <c r="M21" t="s">
        <v>7</v>
      </c>
      <c r="N21" t="s">
        <v>8</v>
      </c>
      <c r="P21">
        <f t="shared" ref="P21" si="80">IF(C21=D21,0,((E21-D21)-(C21-E21))/(C21-D21))</f>
        <v>0.95811518324607214</v>
      </c>
      <c r="Q21">
        <f t="shared" ref="Q21" si="81">F21*P21</f>
        <v>51111034.821989469</v>
      </c>
      <c r="R21">
        <f t="shared" ref="R21" si="82">R22+Q21</f>
        <v>6112791919.883502</v>
      </c>
      <c r="S21">
        <f t="shared" ref="S21" si="83">R21/100000</f>
        <v>61127.919198835021</v>
      </c>
      <c r="T21">
        <f t="shared" ref="T21" si="84">S21/1000</f>
        <v>61.127919198835023</v>
      </c>
    </row>
    <row r="22" spans="1:20" x14ac:dyDescent="0.25">
      <c r="A22" s="5">
        <v>44571</v>
      </c>
      <c r="B22">
        <v>0.27150000000000002</v>
      </c>
      <c r="C22">
        <v>0.27560000000000001</v>
      </c>
      <c r="D22">
        <v>0.24909999999999999</v>
      </c>
      <c r="E22">
        <v>0.25940000000000002</v>
      </c>
      <c r="F22">
        <v>54510436</v>
      </c>
      <c r="G22">
        <v>0.25940000000000002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-0.22264150943396058</v>
      </c>
      <c r="Q22">
        <f t="shared" ref="Q22" si="86">F22*P22</f>
        <v>-12136285.750943305</v>
      </c>
      <c r="R22">
        <f t="shared" ref="R22" si="87">R23+Q22</f>
        <v>6061680885.0615129</v>
      </c>
      <c r="S22">
        <f t="shared" ref="S22" si="88">R22/100000</f>
        <v>60616.808850615133</v>
      </c>
      <c r="T22">
        <f t="shared" ref="T22" si="89">S22/1000</f>
        <v>60.616808850615129</v>
      </c>
    </row>
    <row r="23" spans="1:20" x14ac:dyDescent="0.25">
      <c r="A23" s="5">
        <v>44570</v>
      </c>
      <c r="B23">
        <v>0.26450000000000001</v>
      </c>
      <c r="C23">
        <v>0.2762</v>
      </c>
      <c r="D23">
        <v>0.26200000000000001</v>
      </c>
      <c r="E23">
        <v>0.27139999999999997</v>
      </c>
      <c r="F23">
        <v>43622974</v>
      </c>
      <c r="G23">
        <v>0.27139999999999997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0.32394366197182678</v>
      </c>
      <c r="Q23">
        <f t="shared" ref="Q23" si="91">F23*P23</f>
        <v>14131385.943661788</v>
      </c>
      <c r="R23">
        <f t="shared" ref="R23" si="92">R24+Q23</f>
        <v>6073817170.8124561</v>
      </c>
      <c r="S23">
        <f t="shared" ref="S23" si="93">R23/100000</f>
        <v>60738.171708124559</v>
      </c>
      <c r="T23">
        <f t="shared" ref="T23" si="94">S23/1000</f>
        <v>60.738171708124561</v>
      </c>
    </row>
    <row r="24" spans="1:20" x14ac:dyDescent="0.25">
      <c r="A24" s="5">
        <v>44569</v>
      </c>
      <c r="B24">
        <v>0.27289999999999998</v>
      </c>
      <c r="C24">
        <v>0.2777</v>
      </c>
      <c r="D24">
        <v>0.25209999999999999</v>
      </c>
      <c r="E24">
        <v>0.26469999999999999</v>
      </c>
      <c r="F24">
        <v>72681348</v>
      </c>
      <c r="G24">
        <v>0.26469999999999999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-1.5625000000000441E-2</v>
      </c>
      <c r="Q24">
        <f t="shared" ref="Q24" si="96">F24*P24</f>
        <v>-1135646.0625000321</v>
      </c>
      <c r="R24">
        <f t="shared" ref="R24" si="97">R25+Q24</f>
        <v>6059685784.8687944</v>
      </c>
      <c r="S24">
        <f t="shared" ref="S24" si="98">R24/100000</f>
        <v>60596.857848687941</v>
      </c>
      <c r="T24">
        <f t="shared" ref="T24" si="99">S24/1000</f>
        <v>60.596857848687939</v>
      </c>
    </row>
    <row r="25" spans="1:20" x14ac:dyDescent="0.25">
      <c r="A25" s="5">
        <v>44568</v>
      </c>
      <c r="B25">
        <v>0.29420000000000002</v>
      </c>
      <c r="C25">
        <v>0.30030000000000001</v>
      </c>
      <c r="D25">
        <v>0.2661</v>
      </c>
      <c r="E25">
        <v>0.27289999999999998</v>
      </c>
      <c r="F25">
        <v>122351520</v>
      </c>
      <c r="G25">
        <v>0.27289999999999998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-0.6023391812865514</v>
      </c>
      <c r="Q25">
        <f t="shared" ref="Q25" si="101">F25*P25</f>
        <v>-73697114.385965124</v>
      </c>
      <c r="R25">
        <f t="shared" ref="R25" si="102">R26+Q25</f>
        <v>6060821430.9312944</v>
      </c>
      <c r="S25">
        <f t="shared" ref="S25" si="103">R25/100000</f>
        <v>60608.214309312942</v>
      </c>
      <c r="T25">
        <f t="shared" ref="T25" si="104">S25/1000</f>
        <v>60.608214309312942</v>
      </c>
    </row>
    <row r="26" spans="1:20" x14ac:dyDescent="0.25">
      <c r="A26" s="5">
        <v>44567</v>
      </c>
      <c r="B26">
        <v>0.28710000000000002</v>
      </c>
      <c r="C26">
        <v>0.29899999999999999</v>
      </c>
      <c r="D26">
        <v>0.2707</v>
      </c>
      <c r="E26">
        <v>0.29409999999999997</v>
      </c>
      <c r="F26">
        <v>92679320</v>
      </c>
      <c r="G26">
        <v>0.29409999999999997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0.65371024734982208</v>
      </c>
      <c r="Q26">
        <f t="shared" ref="Q26" si="106">F26*P26</f>
        <v>60585421.201413311</v>
      </c>
      <c r="R26">
        <f t="shared" ref="R26" si="107">R27+Q26</f>
        <v>6134518545.3172598</v>
      </c>
      <c r="S26">
        <f t="shared" ref="S26" si="108">R26/100000</f>
        <v>61345.185453172598</v>
      </c>
      <c r="T26">
        <f t="shared" ref="T26" si="109">S26/1000</f>
        <v>61.345185453172597</v>
      </c>
    </row>
    <row r="27" spans="1:20" x14ac:dyDescent="0.25">
      <c r="A27" s="5">
        <v>44566</v>
      </c>
      <c r="B27">
        <v>0.32500000000000001</v>
      </c>
      <c r="C27">
        <v>0.3412</v>
      </c>
      <c r="D27">
        <v>0.2697</v>
      </c>
      <c r="E27">
        <v>0.28760000000000002</v>
      </c>
      <c r="F27">
        <v>118521565</v>
      </c>
      <c r="G27">
        <v>0.28760000000000002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-0.49930069930069859</v>
      </c>
      <c r="Q27">
        <f t="shared" ref="Q27" si="111">F27*P27</f>
        <v>-59177900.286713205</v>
      </c>
      <c r="R27">
        <f t="shared" ref="R27" si="112">R28+Q27</f>
        <v>6073933124.1158466</v>
      </c>
      <c r="S27">
        <f t="shared" ref="S27" si="113">R27/100000</f>
        <v>60739.331241158463</v>
      </c>
      <c r="T27">
        <f t="shared" ref="T27" si="114">S27/1000</f>
        <v>60.73933124115846</v>
      </c>
    </row>
    <row r="28" spans="1:20" x14ac:dyDescent="0.25">
      <c r="A28" s="5">
        <v>44565</v>
      </c>
      <c r="B28">
        <v>0.30669999999999997</v>
      </c>
      <c r="C28">
        <v>0.33750000000000002</v>
      </c>
      <c r="D28">
        <v>0.30249999999999999</v>
      </c>
      <c r="E28">
        <v>0.32500000000000001</v>
      </c>
      <c r="F28">
        <v>117334443</v>
      </c>
      <c r="G28">
        <v>0.32500000000000001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0.2857142857142857</v>
      </c>
      <c r="Q28">
        <f t="shared" ref="Q28" si="116">F28*P28</f>
        <v>33524126.571428571</v>
      </c>
      <c r="R28">
        <f t="shared" ref="R28" si="117">R29+Q28</f>
        <v>6133111024.4025602</v>
      </c>
      <c r="S28">
        <f t="shared" ref="S28" si="118">R28/100000</f>
        <v>61331.1102440256</v>
      </c>
      <c r="T28">
        <f t="shared" ref="T28" si="119">S28/1000</f>
        <v>61.331110244025602</v>
      </c>
    </row>
    <row r="29" spans="1:20" x14ac:dyDescent="0.25">
      <c r="A29" s="5">
        <v>44564</v>
      </c>
      <c r="B29">
        <v>0.31180000000000002</v>
      </c>
      <c r="C29">
        <v>0.3201</v>
      </c>
      <c r="D29">
        <v>0.2974</v>
      </c>
      <c r="E29">
        <v>0.30659999999999998</v>
      </c>
      <c r="F29">
        <v>46620739</v>
      </c>
      <c r="G29">
        <v>0.30659999999999998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-0.18942731277533156</v>
      </c>
      <c r="Q29">
        <f t="shared" ref="Q29" si="121">F29*P29</f>
        <v>-8831241.3083700985</v>
      </c>
      <c r="R29">
        <f t="shared" ref="R29" si="122">R30+Q29</f>
        <v>6099586897.8311319</v>
      </c>
      <c r="S29">
        <f t="shared" ref="S29" si="123">R29/100000</f>
        <v>60995.868978311322</v>
      </c>
      <c r="T29">
        <f t="shared" ref="T29" si="124">S29/1000</f>
        <v>60.995868978311321</v>
      </c>
    </row>
    <row r="30" spans="1:20" x14ac:dyDescent="0.25">
      <c r="A30" s="5">
        <v>44563</v>
      </c>
      <c r="B30">
        <v>0.30030000000000001</v>
      </c>
      <c r="C30">
        <v>0.31940000000000002</v>
      </c>
      <c r="D30">
        <v>0.2969</v>
      </c>
      <c r="E30">
        <v>0.31209999999999999</v>
      </c>
      <c r="F30">
        <v>59984577</v>
      </c>
      <c r="G30">
        <v>0.31209999999999999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0.35111111111110915</v>
      </c>
      <c r="Q30">
        <f t="shared" ref="Q30" si="126">F30*P30</f>
        <v>21061251.479999881</v>
      </c>
      <c r="R30">
        <f t="shared" ref="R30" si="127">R31+Q30</f>
        <v>6108418139.1395016</v>
      </c>
      <c r="S30">
        <f t="shared" ref="S30" si="128">R30/100000</f>
        <v>61084.181391395017</v>
      </c>
      <c r="T30">
        <f t="shared" ref="T30" si="129">S30/1000</f>
        <v>61.08418139139502</v>
      </c>
    </row>
    <row r="31" spans="1:20" x14ac:dyDescent="0.25">
      <c r="A31" s="5">
        <v>44562</v>
      </c>
      <c r="B31">
        <v>0.29010000000000002</v>
      </c>
      <c r="C31">
        <v>0.30149999999999999</v>
      </c>
      <c r="D31">
        <v>0.28899999999999998</v>
      </c>
      <c r="E31">
        <v>0.30030000000000001</v>
      </c>
      <c r="F31">
        <v>29120845</v>
      </c>
      <c r="G31">
        <v>0.30030000000000001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0.8080000000000036</v>
      </c>
      <c r="Q31">
        <f t="shared" ref="Q31" si="131">F31*P31</f>
        <v>23529642.760000106</v>
      </c>
      <c r="R31">
        <f t="shared" ref="R31" si="132">R32+Q31</f>
        <v>6087356887.659502</v>
      </c>
      <c r="S31">
        <f t="shared" ref="S31" si="133">R31/100000</f>
        <v>60873.568876595018</v>
      </c>
      <c r="T31">
        <f t="shared" ref="T31" si="134">S31/1000</f>
        <v>60.873568876595016</v>
      </c>
    </row>
    <row r="32" spans="1:20" x14ac:dyDescent="0.25">
      <c r="A32" s="5">
        <v>44561</v>
      </c>
      <c r="B32">
        <v>0.29730000000000001</v>
      </c>
      <c r="C32">
        <v>0.30890000000000001</v>
      </c>
      <c r="D32">
        <v>0.28310000000000002</v>
      </c>
      <c r="E32">
        <v>0.29039999999999999</v>
      </c>
      <c r="F32">
        <v>48786315</v>
      </c>
      <c r="G32">
        <v>0.29039999999999999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-0.43410852713178477</v>
      </c>
      <c r="Q32">
        <f t="shared" ref="Q32" si="136">F32*P32</f>
        <v>-21178555.348837297</v>
      </c>
      <c r="R32">
        <f t="shared" ref="R32" si="137">R33+Q32</f>
        <v>6063827244.8995018</v>
      </c>
      <c r="S32">
        <f t="shared" ref="S32" si="138">R32/100000</f>
        <v>60638.27244899502</v>
      </c>
      <c r="T32">
        <f t="shared" ref="T32" si="139">S32/1000</f>
        <v>60.638272448995018</v>
      </c>
    </row>
    <row r="33" spans="1:20" x14ac:dyDescent="0.25">
      <c r="A33" s="5">
        <v>44560</v>
      </c>
      <c r="B33">
        <v>0.28260000000000002</v>
      </c>
      <c r="C33">
        <v>0.30890000000000001</v>
      </c>
      <c r="D33">
        <v>0.27739999999999998</v>
      </c>
      <c r="E33">
        <v>0.29759999999999998</v>
      </c>
      <c r="F33">
        <v>69415158</v>
      </c>
      <c r="G33">
        <v>0.29759999999999998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0.28253968253968115</v>
      </c>
      <c r="Q33">
        <f t="shared" ref="Q33" si="141">F33*P33</f>
        <v>19612536.704761807</v>
      </c>
      <c r="R33">
        <f t="shared" ref="R33" si="142">R34+Q33</f>
        <v>6085005800.2483387</v>
      </c>
      <c r="S33">
        <f t="shared" ref="S33" si="143">R33/100000</f>
        <v>60850.058002483383</v>
      </c>
      <c r="T33">
        <f t="shared" ref="T33" si="144">S33/1000</f>
        <v>60.850058002483387</v>
      </c>
    </row>
    <row r="34" spans="1:20" x14ac:dyDescent="0.25">
      <c r="A34" s="5">
        <v>44559</v>
      </c>
      <c r="B34">
        <v>0.29070000000000001</v>
      </c>
      <c r="C34">
        <v>0.29620000000000002</v>
      </c>
      <c r="D34">
        <v>0.2752</v>
      </c>
      <c r="E34">
        <v>0.28260000000000002</v>
      </c>
      <c r="F34">
        <v>39969791</v>
      </c>
      <c r="G34">
        <v>0.28260000000000002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-0.29523809523809419</v>
      </c>
      <c r="Q34">
        <f t="shared" ref="Q34" si="146">F34*P34</f>
        <v>-11800604.961904719</v>
      </c>
      <c r="R34">
        <f t="shared" ref="R34" si="147">R35+Q34</f>
        <v>6065393263.5435772</v>
      </c>
      <c r="S34">
        <f t="shared" ref="S34" si="148">R34/100000</f>
        <v>60653.932635435769</v>
      </c>
      <c r="T34">
        <f t="shared" ref="T34" si="149">S34/1000</f>
        <v>60.653932635435766</v>
      </c>
    </row>
    <row r="35" spans="1:20" x14ac:dyDescent="0.25">
      <c r="A35" s="5">
        <v>44558</v>
      </c>
      <c r="B35">
        <v>0.31369999999999998</v>
      </c>
      <c r="C35">
        <v>0.314</v>
      </c>
      <c r="D35">
        <v>0.27889999999999998</v>
      </c>
      <c r="E35">
        <v>0.29070000000000001</v>
      </c>
      <c r="F35">
        <v>74055174</v>
      </c>
      <c r="G35">
        <v>0.29070000000000001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-0.32763532763532616</v>
      </c>
      <c r="Q35">
        <f t="shared" ref="Q35" si="151">F35*P35</f>
        <v>-24263091.196581088</v>
      </c>
      <c r="R35">
        <f t="shared" ref="R35" si="152">R36+Q35</f>
        <v>6077193868.5054817</v>
      </c>
      <c r="S35">
        <f t="shared" ref="S35" si="153">R35/100000</f>
        <v>60771.938685054818</v>
      </c>
      <c r="T35">
        <f t="shared" ref="T35" si="154">S35/1000</f>
        <v>60.77193868505482</v>
      </c>
    </row>
    <row r="36" spans="1:20" x14ac:dyDescent="0.25">
      <c r="A36" s="5">
        <v>44557</v>
      </c>
      <c r="B36">
        <v>0.31869999999999998</v>
      </c>
      <c r="C36">
        <v>0.32550000000000001</v>
      </c>
      <c r="D36">
        <v>0.31209999999999999</v>
      </c>
      <c r="E36">
        <v>0.31390000000000001</v>
      </c>
      <c r="F36">
        <v>44497832</v>
      </c>
      <c r="G36">
        <v>0.31390000000000001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-0.73134328358208645</v>
      </c>
      <c r="Q36">
        <f t="shared" ref="Q36" si="156">F36*P36</f>
        <v>-32543190.567164041</v>
      </c>
      <c r="R36">
        <f t="shared" ref="R36" si="157">R37+Q36</f>
        <v>6101456959.7020626</v>
      </c>
      <c r="S36">
        <f t="shared" ref="S36" si="158">R36/100000</f>
        <v>61014.569597020629</v>
      </c>
      <c r="T36">
        <f t="shared" ref="T36" si="159">S36/1000</f>
        <v>61.014569597020632</v>
      </c>
    </row>
    <row r="37" spans="1:20" x14ac:dyDescent="0.25">
      <c r="A37" s="5">
        <v>44556</v>
      </c>
      <c r="B37">
        <v>0.31490000000000001</v>
      </c>
      <c r="C37">
        <v>0.32269999999999999</v>
      </c>
      <c r="D37">
        <v>0.30249999999999999</v>
      </c>
      <c r="E37">
        <v>0.31840000000000002</v>
      </c>
      <c r="F37">
        <v>49386274</v>
      </c>
      <c r="G37">
        <v>0.31840000000000002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0.5742574257425771</v>
      </c>
      <c r="Q37">
        <f t="shared" ref="Q37" si="161">F37*P37</f>
        <v>28360434.574257568</v>
      </c>
      <c r="R37">
        <f t="shared" ref="R37" si="162">R38+Q37</f>
        <v>6134000150.269227</v>
      </c>
      <c r="S37">
        <f t="shared" ref="S37" si="163">R37/100000</f>
        <v>61340.00150269227</v>
      </c>
      <c r="T37">
        <f t="shared" ref="T37" si="164">S37/1000</f>
        <v>61.340001502692267</v>
      </c>
    </row>
    <row r="38" spans="1:20" x14ac:dyDescent="0.25">
      <c r="A38" s="5">
        <v>44555</v>
      </c>
      <c r="B38">
        <v>0.31040000000000001</v>
      </c>
      <c r="C38">
        <v>0.32019999999999998</v>
      </c>
      <c r="D38">
        <v>0.30769999999999997</v>
      </c>
      <c r="E38">
        <v>0.31480000000000002</v>
      </c>
      <c r="F38">
        <v>33502728</v>
      </c>
      <c r="G38">
        <v>0.31480000000000002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0.13600000000000712</v>
      </c>
      <c r="Q38">
        <f t="shared" ref="Q38" si="166">F38*P38</f>
        <v>4556371.0080002388</v>
      </c>
      <c r="R38">
        <f t="shared" ref="R38" si="167">R39+Q38</f>
        <v>6105639715.6949692</v>
      </c>
      <c r="S38">
        <f t="shared" ref="S38" si="168">R38/100000</f>
        <v>61056.397156949693</v>
      </c>
      <c r="T38">
        <f t="shared" ref="T38" si="169">S38/1000</f>
        <v>61.056397156949693</v>
      </c>
    </row>
    <row r="39" spans="1:20" x14ac:dyDescent="0.25">
      <c r="A39" s="5">
        <v>44554</v>
      </c>
      <c r="B39">
        <v>0.32919999999999999</v>
      </c>
      <c r="C39">
        <v>0.3296</v>
      </c>
      <c r="D39">
        <v>0.30570000000000003</v>
      </c>
      <c r="E39">
        <v>0.31040000000000001</v>
      </c>
      <c r="F39">
        <v>62085145</v>
      </c>
      <c r="G39">
        <v>0.31040000000000001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-0.60669456066945715</v>
      </c>
      <c r="Q39">
        <f t="shared" ref="Q39" si="171">F39*P39</f>
        <v>-37666719.769874543</v>
      </c>
      <c r="R39">
        <f t="shared" ref="R39" si="172">R40+Q39</f>
        <v>6101083344.6869688</v>
      </c>
      <c r="S39">
        <f t="shared" ref="S39" si="173">R39/100000</f>
        <v>61010.833446869685</v>
      </c>
      <c r="T39">
        <f t="shared" ref="T39" si="174">S39/1000</f>
        <v>61.010833446869682</v>
      </c>
    </row>
    <row r="40" spans="1:20" x14ac:dyDescent="0.25">
      <c r="A40" s="5">
        <v>44553</v>
      </c>
      <c r="B40">
        <v>0.31840000000000002</v>
      </c>
      <c r="C40">
        <v>0.33379999999999999</v>
      </c>
      <c r="D40">
        <v>0.31390000000000001</v>
      </c>
      <c r="E40">
        <v>0.3291</v>
      </c>
      <c r="F40">
        <v>55291597</v>
      </c>
      <c r="G40">
        <v>0.3291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0.52763819095477504</v>
      </c>
      <c r="Q40">
        <f t="shared" ref="Q40" si="176">F40*P40</f>
        <v>29173958.216080468</v>
      </c>
      <c r="R40">
        <f t="shared" ref="R40" si="177">R41+Q40</f>
        <v>6138750064.4568434</v>
      </c>
      <c r="S40">
        <f t="shared" ref="S40" si="178">R40/100000</f>
        <v>61387.500644568434</v>
      </c>
      <c r="T40">
        <f t="shared" ref="T40" si="179">S40/1000</f>
        <v>61.387500644568433</v>
      </c>
    </row>
    <row r="41" spans="1:20" x14ac:dyDescent="0.25">
      <c r="A41" s="5">
        <v>44552</v>
      </c>
      <c r="B41">
        <v>0.30830000000000002</v>
      </c>
      <c r="C41">
        <v>0.34329999999999999</v>
      </c>
      <c r="D41">
        <v>0.30819999999999997</v>
      </c>
      <c r="E41">
        <v>0.31840000000000002</v>
      </c>
      <c r="F41">
        <v>101538364</v>
      </c>
      <c r="G41">
        <v>0.31840000000000002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-0.4188034188034167</v>
      </c>
      <c r="Q41">
        <f t="shared" ref="Q41" si="181">F41*P41</f>
        <v>-42524613.982905768</v>
      </c>
      <c r="R41">
        <f t="shared" ref="R41" si="182">R42+Q41</f>
        <v>6109576106.2407627</v>
      </c>
      <c r="S41">
        <f t="shared" ref="S41" si="183">R41/100000</f>
        <v>61095.761062407626</v>
      </c>
      <c r="T41">
        <f t="shared" ref="T41" si="184">S41/1000</f>
        <v>61.095761062407625</v>
      </c>
    </row>
    <row r="42" spans="1:20" x14ac:dyDescent="0.25">
      <c r="A42" s="5">
        <v>44551</v>
      </c>
      <c r="B42">
        <v>0.30459999999999998</v>
      </c>
      <c r="C42">
        <v>0.316</v>
      </c>
      <c r="D42">
        <v>0.2994</v>
      </c>
      <c r="E42">
        <v>0.30840000000000001</v>
      </c>
      <c r="F42">
        <v>52710007</v>
      </c>
      <c r="G42">
        <v>0.30840000000000001</v>
      </c>
      <c r="L42" t="s">
        <v>7</v>
      </c>
      <c r="M42" t="s">
        <v>8</v>
      </c>
      <c r="N42" t="s">
        <v>8</v>
      </c>
      <c r="P42">
        <f t="shared" ref="P42" si="185">IF(C42=D42,0,((E42-D42)-(C42-E42))/(C42-D42))</f>
        <v>8.4337349397591091E-2</v>
      </c>
      <c r="Q42">
        <f t="shared" ref="Q42" si="186">F42*P42</f>
        <v>4445422.2771084718</v>
      </c>
      <c r="R42">
        <f t="shared" ref="R42" si="187">R43+Q42</f>
        <v>6152100720.2236681</v>
      </c>
      <c r="S42">
        <f t="shared" ref="S42" si="188">R42/100000</f>
        <v>61521.00720223668</v>
      </c>
      <c r="T42">
        <f t="shared" ref="T42" si="189">S42/1000</f>
        <v>61.521007202236682</v>
      </c>
    </row>
    <row r="43" spans="1:20" x14ac:dyDescent="0.25">
      <c r="A43" s="5">
        <v>44550</v>
      </c>
      <c r="B43">
        <v>0.32429999999999998</v>
      </c>
      <c r="C43">
        <v>0.33</v>
      </c>
      <c r="D43">
        <v>0.29470000000000002</v>
      </c>
      <c r="E43">
        <v>0.3049</v>
      </c>
      <c r="F43">
        <v>112016260</v>
      </c>
      <c r="G43">
        <v>0.3049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-0.42209631728045399</v>
      </c>
      <c r="Q43">
        <f t="shared" ref="Q43" si="191">F43*P43</f>
        <v>-47281650.821529828</v>
      </c>
      <c r="R43">
        <f t="shared" ref="R43" si="192">R44+Q43</f>
        <v>6147655297.9465599</v>
      </c>
      <c r="S43">
        <f t="shared" ref="S43" si="193">R43/100000</f>
        <v>61476.552979465596</v>
      </c>
      <c r="T43">
        <f t="shared" ref="T43" si="194">S43/1000</f>
        <v>61.476552979465595</v>
      </c>
    </row>
    <row r="44" spans="1:20" x14ac:dyDescent="0.25">
      <c r="A44" s="5">
        <v>44549</v>
      </c>
      <c r="B44">
        <v>0.30840000000000001</v>
      </c>
      <c r="C44">
        <v>0.33460000000000001</v>
      </c>
      <c r="D44">
        <v>0.2898</v>
      </c>
      <c r="E44">
        <v>0.32400000000000001</v>
      </c>
      <c r="F44">
        <v>159729955</v>
      </c>
      <c r="G44">
        <v>0.32400000000000001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0.52678571428571441</v>
      </c>
      <c r="Q44">
        <f t="shared" ref="Q44" si="196">F44*P44</f>
        <v>84143458.437500015</v>
      </c>
      <c r="R44">
        <f t="shared" ref="R44" si="197">R45+Q44</f>
        <v>6194936948.7680893</v>
      </c>
      <c r="S44">
        <f t="shared" ref="S44" si="198">R44/100000</f>
        <v>61949.369487680895</v>
      </c>
      <c r="T44">
        <f t="shared" ref="T44" si="199">S44/1000</f>
        <v>61.949369487680897</v>
      </c>
    </row>
    <row r="45" spans="1:20" x14ac:dyDescent="0.25">
      <c r="A45" s="5">
        <v>44548</v>
      </c>
      <c r="B45">
        <v>0.25109999999999999</v>
      </c>
      <c r="C45">
        <v>0.31230000000000002</v>
      </c>
      <c r="D45">
        <v>0.24429999999999999</v>
      </c>
      <c r="E45">
        <v>0.30830000000000002</v>
      </c>
      <c r="F45">
        <v>234745006</v>
      </c>
      <c r="G45">
        <v>0.30830000000000002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0.88235294117647056</v>
      </c>
      <c r="Q45">
        <f t="shared" ref="Q45" si="201">F45*P45</f>
        <v>207127946.47058824</v>
      </c>
      <c r="R45">
        <f t="shared" ref="R45" si="202">R46+Q45</f>
        <v>6110793490.3305893</v>
      </c>
      <c r="S45">
        <f t="shared" ref="S45" si="203">R45/100000</f>
        <v>61107.93490330589</v>
      </c>
      <c r="T45">
        <f t="shared" ref="T45" si="204">S45/1000</f>
        <v>61.107934903305889</v>
      </c>
    </row>
    <row r="46" spans="1:20" x14ac:dyDescent="0.25">
      <c r="A46" s="5">
        <v>44547</v>
      </c>
      <c r="B46">
        <v>0.26079999999999998</v>
      </c>
      <c r="C46">
        <v>0.2681</v>
      </c>
      <c r="D46">
        <v>0.24060000000000001</v>
      </c>
      <c r="E46">
        <v>0.25080000000000002</v>
      </c>
      <c r="F46">
        <v>65019717</v>
      </c>
      <c r="G46">
        <v>0.25080000000000002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-0.25818181818181701</v>
      </c>
      <c r="Q46">
        <f t="shared" ref="Q46" si="206">F46*P46</f>
        <v>-16786908.752727196</v>
      </c>
      <c r="R46">
        <f t="shared" ref="R46" si="207">R47+Q46</f>
        <v>5903665543.8600006</v>
      </c>
      <c r="S46">
        <f t="shared" ref="S46" si="208">R46/100000</f>
        <v>59036.655438600006</v>
      </c>
      <c r="T46">
        <f t="shared" ref="T46" si="209">S46/1000</f>
        <v>59.036655438600008</v>
      </c>
    </row>
    <row r="47" spans="1:20" x14ac:dyDescent="0.25">
      <c r="A47" s="5">
        <v>44546</v>
      </c>
      <c r="B47">
        <v>0.25640000000000002</v>
      </c>
      <c r="C47">
        <v>0.29020000000000001</v>
      </c>
      <c r="D47">
        <v>0.25459999999999999</v>
      </c>
      <c r="E47">
        <v>0.26079999999999998</v>
      </c>
      <c r="F47">
        <v>97575479</v>
      </c>
      <c r="G47">
        <v>0.26079999999999998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-0.65168539325842811</v>
      </c>
      <c r="Q47">
        <f t="shared" ref="Q47" si="211">F47*P47</f>
        <v>-63588514.404494494</v>
      </c>
      <c r="R47">
        <f t="shared" ref="R47" si="212">R48+Q47</f>
        <v>5920452452.6127281</v>
      </c>
      <c r="S47">
        <f t="shared" ref="S47" si="213">R47/100000</f>
        <v>59204.524526127279</v>
      </c>
      <c r="T47">
        <f t="shared" ref="T47" si="214">S47/1000</f>
        <v>59.20452452612728</v>
      </c>
    </row>
    <row r="48" spans="1:20" x14ac:dyDescent="0.25">
      <c r="A48" s="5">
        <v>44545</v>
      </c>
      <c r="B48">
        <v>0.2331</v>
      </c>
      <c r="C48">
        <v>0.2576</v>
      </c>
      <c r="D48">
        <v>0.22589999999999999</v>
      </c>
      <c r="E48">
        <v>0.25619999999999998</v>
      </c>
      <c r="F48">
        <v>81029686</v>
      </c>
      <c r="G48">
        <v>0.25619999999999998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0.91167192429022004</v>
      </c>
      <c r="Q48">
        <f t="shared" ref="Q48" si="216">F48*P48</f>
        <v>73872489.760252297</v>
      </c>
      <c r="R48">
        <f t="shared" ref="R48" si="217">R49+Q48</f>
        <v>5984040967.0172224</v>
      </c>
      <c r="S48">
        <f t="shared" ref="S48" si="218">R48/100000</f>
        <v>59840.409670172223</v>
      </c>
      <c r="T48">
        <f t="shared" ref="T48" si="219">S48/1000</f>
        <v>59.840409670172221</v>
      </c>
    </row>
    <row r="49" spans="1:20" x14ac:dyDescent="0.25">
      <c r="A49" s="5">
        <v>44544</v>
      </c>
      <c r="B49">
        <v>0.22570000000000001</v>
      </c>
      <c r="C49">
        <v>0.23580000000000001</v>
      </c>
      <c r="D49">
        <v>0.2172</v>
      </c>
      <c r="E49">
        <v>0.23319999999999999</v>
      </c>
      <c r="F49">
        <v>55583661</v>
      </c>
      <c r="G49">
        <v>0.23319999999999999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0.72043010752687975</v>
      </c>
      <c r="Q49">
        <f t="shared" ref="Q49" si="221">F49*P49</f>
        <v>40044142.870967634</v>
      </c>
      <c r="R49">
        <f t="shared" ref="R49" si="222">R50+Q49</f>
        <v>5910168477.2569704</v>
      </c>
      <c r="S49">
        <f t="shared" ref="S49" si="223">R49/100000</f>
        <v>59101.684772569701</v>
      </c>
      <c r="T49">
        <f t="shared" ref="T49" si="224">S49/1000</f>
        <v>59.101684772569698</v>
      </c>
    </row>
    <row r="50" spans="1:20" x14ac:dyDescent="0.25">
      <c r="A50" s="5">
        <v>44543</v>
      </c>
      <c r="B50">
        <v>0.2555</v>
      </c>
      <c r="C50">
        <v>0.25850000000000001</v>
      </c>
      <c r="D50">
        <v>0.22120000000000001</v>
      </c>
      <c r="E50">
        <v>0.22559999999999999</v>
      </c>
      <c r="F50">
        <v>54332816</v>
      </c>
      <c r="G50">
        <v>0.22559999999999999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-0.76407506702412942</v>
      </c>
      <c r="Q50">
        <f t="shared" ref="Q50" si="226">F50*P50</f>
        <v>-41514350.026809692</v>
      </c>
      <c r="R50">
        <f t="shared" ref="R50" si="227">R51+Q50</f>
        <v>5870124334.3860025</v>
      </c>
      <c r="S50">
        <f t="shared" ref="S50" si="228">R50/100000</f>
        <v>58701.243343860027</v>
      </c>
      <c r="T50">
        <f t="shared" ref="T50" si="229">S50/1000</f>
        <v>58.701243343860028</v>
      </c>
    </row>
    <row r="51" spans="1:20" x14ac:dyDescent="0.25">
      <c r="A51" s="5">
        <v>44542</v>
      </c>
      <c r="B51">
        <v>0.25359999999999999</v>
      </c>
      <c r="C51">
        <v>0.2586</v>
      </c>
      <c r="D51">
        <v>0.2437</v>
      </c>
      <c r="E51">
        <v>0.25569999999999998</v>
      </c>
      <c r="F51">
        <v>31022979</v>
      </c>
      <c r="G51">
        <v>0.25569999999999998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0.61073825503355517</v>
      </c>
      <c r="Q51">
        <f t="shared" ref="Q51" si="231">F51*P51</f>
        <v>18946920.060402628</v>
      </c>
      <c r="R51">
        <f t="shared" ref="R51" si="232">R52+Q51</f>
        <v>5911638684.4128122</v>
      </c>
      <c r="S51">
        <f t="shared" ref="S51" si="233">R51/100000</f>
        <v>59116.386844128123</v>
      </c>
      <c r="T51">
        <f t="shared" ref="T51" si="234">S51/1000</f>
        <v>59.116386844128122</v>
      </c>
    </row>
    <row r="52" spans="1:20" x14ac:dyDescent="0.25">
      <c r="A52" s="5">
        <v>44541</v>
      </c>
      <c r="B52">
        <v>0.2364</v>
      </c>
      <c r="C52">
        <v>0.24160000000000001</v>
      </c>
      <c r="D52">
        <v>0.2326</v>
      </c>
      <c r="E52">
        <v>0.24</v>
      </c>
      <c r="F52">
        <v>3693896</v>
      </c>
      <c r="G52">
        <v>0.24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0.64444444444444071</v>
      </c>
      <c r="Q52">
        <f t="shared" ref="Q52" si="236">F52*P52</f>
        <v>2380510.7555555417</v>
      </c>
      <c r="R52">
        <f t="shared" ref="R52" si="237">R53+Q52</f>
        <v>5892691764.3524094</v>
      </c>
      <c r="S52">
        <f t="shared" ref="S52" si="238">R52/100000</f>
        <v>58926.917643524095</v>
      </c>
      <c r="T52">
        <f t="shared" ref="T52" si="239">S52/1000</f>
        <v>58.926917643524092</v>
      </c>
    </row>
    <row r="53" spans="1:20" x14ac:dyDescent="0.25">
      <c r="A53" s="5">
        <v>44540</v>
      </c>
      <c r="B53">
        <v>0.25140000000000001</v>
      </c>
      <c r="C53">
        <v>0.26250000000000001</v>
      </c>
      <c r="D53">
        <v>0.2354</v>
      </c>
      <c r="E53">
        <v>0.2366</v>
      </c>
      <c r="F53">
        <v>66362489</v>
      </c>
      <c r="G53">
        <v>0.2366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-0.91143911439114345</v>
      </c>
      <c r="Q53">
        <f t="shared" ref="Q53" si="241">F53*P53</f>
        <v>-60485368.202951998</v>
      </c>
      <c r="R53">
        <f t="shared" ref="R53" si="242">R54+Q53</f>
        <v>5890311253.5968542</v>
      </c>
      <c r="S53">
        <f t="shared" ref="S53" si="243">R53/100000</f>
        <v>58903.112535968539</v>
      </c>
      <c r="T53">
        <f t="shared" ref="T53" si="244">S53/1000</f>
        <v>58.903112535968539</v>
      </c>
    </row>
    <row r="54" spans="1:20" x14ac:dyDescent="0.25">
      <c r="A54" s="5">
        <v>44539</v>
      </c>
      <c r="B54">
        <v>0.28100000000000003</v>
      </c>
      <c r="C54">
        <v>0.29149999999999998</v>
      </c>
      <c r="D54">
        <v>0.2487</v>
      </c>
      <c r="E54">
        <v>0.2515</v>
      </c>
      <c r="F54">
        <v>74175259</v>
      </c>
      <c r="G54">
        <v>0.2515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-0.86915887850467299</v>
      </c>
      <c r="Q54">
        <f t="shared" ref="Q54" si="246">F54*P54</f>
        <v>-64470084.925233655</v>
      </c>
      <c r="R54">
        <f t="shared" ref="R54" si="247">R55+Q54</f>
        <v>5950796621.7998066</v>
      </c>
      <c r="S54">
        <f t="shared" ref="S54" si="248">R54/100000</f>
        <v>59507.966217998066</v>
      </c>
      <c r="T54">
        <f t="shared" ref="T54" si="249">S54/1000</f>
        <v>59.507966217998067</v>
      </c>
    </row>
    <row r="55" spans="1:20" x14ac:dyDescent="0.25">
      <c r="A55" s="5">
        <v>44538</v>
      </c>
      <c r="B55">
        <v>0.2727</v>
      </c>
      <c r="C55">
        <v>0.28129999999999999</v>
      </c>
      <c r="D55">
        <v>0.25900000000000001</v>
      </c>
      <c r="E55">
        <v>0.28070000000000001</v>
      </c>
      <c r="F55">
        <v>66852900</v>
      </c>
      <c r="G55">
        <v>0.28070000000000001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0.94618834080717584</v>
      </c>
      <c r="Q55">
        <f t="shared" ref="Q55" si="251">F55*P55</f>
        <v>63255434.529148042</v>
      </c>
      <c r="R55">
        <f t="shared" ref="R55" si="252">R56+Q55</f>
        <v>6015266706.7250404</v>
      </c>
      <c r="S55">
        <f t="shared" ref="S55" si="253">R55/100000</f>
        <v>60152.667067250404</v>
      </c>
      <c r="T55">
        <f t="shared" ref="T55" si="254">S55/1000</f>
        <v>60.152667067250405</v>
      </c>
    </row>
    <row r="56" spans="1:20" x14ac:dyDescent="0.25">
      <c r="A56" s="5">
        <v>44537</v>
      </c>
      <c r="B56">
        <v>0.27889999999999998</v>
      </c>
      <c r="C56">
        <v>0.29149999999999998</v>
      </c>
      <c r="D56">
        <v>0.26740000000000003</v>
      </c>
      <c r="E56">
        <v>0.27279999999999999</v>
      </c>
      <c r="F56">
        <v>61031512</v>
      </c>
      <c r="G56">
        <v>0.27279999999999999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-0.55186721991701493</v>
      </c>
      <c r="Q56">
        <f t="shared" ref="Q56" si="256">F56*P56</f>
        <v>-33681290.854771934</v>
      </c>
      <c r="R56">
        <f t="shared" ref="R56" si="257">R57+Q56</f>
        <v>5952011272.1958923</v>
      </c>
      <c r="S56">
        <f t="shared" ref="S56" si="258">R56/100000</f>
        <v>59520.112721958925</v>
      </c>
      <c r="T56">
        <f t="shared" ref="T56" si="259">S56/1000</f>
        <v>59.520112721958924</v>
      </c>
    </row>
    <row r="57" spans="1:20" x14ac:dyDescent="0.25">
      <c r="A57" s="5">
        <v>44536</v>
      </c>
      <c r="B57">
        <v>0.27510000000000001</v>
      </c>
      <c r="C57">
        <v>0.28320000000000001</v>
      </c>
      <c r="D57">
        <v>0.2389</v>
      </c>
      <c r="E57">
        <v>0.27889999999999998</v>
      </c>
      <c r="F57">
        <v>78569073</v>
      </c>
      <c r="G57">
        <v>0.27889999999999998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0.80586907449209821</v>
      </c>
      <c r="Q57">
        <f t="shared" ref="Q57" si="261">F57*P57</f>
        <v>63316386.1422121</v>
      </c>
      <c r="R57">
        <f t="shared" ref="R57" si="262">R58+Q57</f>
        <v>5985692563.0506639</v>
      </c>
      <c r="S57">
        <f t="shared" ref="S57" si="263">R57/100000</f>
        <v>59856.925630506637</v>
      </c>
      <c r="T57">
        <f t="shared" ref="T57" si="264">S57/1000</f>
        <v>59.856925630506638</v>
      </c>
    </row>
    <row r="58" spans="1:20" x14ac:dyDescent="0.25">
      <c r="A58" s="5">
        <v>44535</v>
      </c>
      <c r="B58">
        <v>0.2858</v>
      </c>
      <c r="C58">
        <v>0.29089999999999999</v>
      </c>
      <c r="D58">
        <v>0.2626</v>
      </c>
      <c r="E58">
        <v>0.27510000000000001</v>
      </c>
      <c r="F58">
        <v>71477213</v>
      </c>
      <c r="G58">
        <v>0.27510000000000001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-0.11660777385158906</v>
      </c>
      <c r="Q58">
        <f t="shared" ref="Q58" si="266">F58*P58</f>
        <v>-8334798.6890458614</v>
      </c>
      <c r="R58">
        <f t="shared" ref="R58" si="267">R59+Q58</f>
        <v>5922376176.908452</v>
      </c>
      <c r="S58">
        <f t="shared" ref="S58" si="268">R58/100000</f>
        <v>59223.761769084522</v>
      </c>
      <c r="T58">
        <f t="shared" ref="T58" si="269">S58/1000</f>
        <v>59.223761769084518</v>
      </c>
    </row>
    <row r="59" spans="1:20" x14ac:dyDescent="0.25">
      <c r="A59" s="5">
        <v>44534</v>
      </c>
      <c r="B59">
        <v>0.31509999999999999</v>
      </c>
      <c r="C59">
        <v>0.31590000000000001</v>
      </c>
      <c r="D59">
        <v>0.21110000000000001</v>
      </c>
      <c r="E59">
        <v>0.28560000000000002</v>
      </c>
      <c r="F59">
        <v>161841636.80000001</v>
      </c>
      <c r="G59">
        <v>0.28560000000000002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0.42175572519083981</v>
      </c>
      <c r="Q59">
        <f t="shared" ref="Q59" si="271">F59*P59</f>
        <v>68257636.894656509</v>
      </c>
      <c r="R59">
        <f t="shared" ref="R59" si="272">R60+Q59</f>
        <v>5930710975.5974979</v>
      </c>
      <c r="S59">
        <f t="shared" ref="S59" si="273">R59/100000</f>
        <v>59307.109755974976</v>
      </c>
      <c r="T59">
        <f t="shared" ref="T59" si="274">S59/1000</f>
        <v>59.307109755974977</v>
      </c>
    </row>
    <row r="60" spans="1:20" x14ac:dyDescent="0.25">
      <c r="A60" s="5">
        <v>44533</v>
      </c>
      <c r="B60">
        <v>0.33929999999999999</v>
      </c>
      <c r="C60">
        <v>0.35020000000000001</v>
      </c>
      <c r="D60">
        <v>0.30959999999999999</v>
      </c>
      <c r="E60">
        <v>0.31530000000000002</v>
      </c>
      <c r="F60">
        <v>70129546</v>
      </c>
      <c r="G60">
        <v>0.31530000000000002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-0.71921182266009676</v>
      </c>
      <c r="Q60">
        <f t="shared" ref="Q60" si="276">F60*P60</f>
        <v>-50437998.600985095</v>
      </c>
      <c r="R60">
        <f t="shared" ref="R60" si="277">R61+Q60</f>
        <v>5862453338.7028418</v>
      </c>
      <c r="S60">
        <f t="shared" ref="S60" si="278">R60/100000</f>
        <v>58624.533387028416</v>
      </c>
      <c r="T60">
        <f t="shared" ref="T60" si="279">S60/1000</f>
        <v>58.624533387028414</v>
      </c>
    </row>
    <row r="61" spans="1:20" x14ac:dyDescent="0.25">
      <c r="A61" s="5">
        <v>44532</v>
      </c>
      <c r="B61">
        <v>0.35049999999999998</v>
      </c>
      <c r="C61">
        <v>0.35060000000000002</v>
      </c>
      <c r="D61">
        <v>0.3332</v>
      </c>
      <c r="E61">
        <v>0.33929999999999999</v>
      </c>
      <c r="F61">
        <v>33633387</v>
      </c>
      <c r="G61">
        <v>0.33929999999999999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-0.29885057471264542</v>
      </c>
      <c r="Q61">
        <f t="shared" ref="Q61" si="281">F61*P61</f>
        <v>-10051357.034482818</v>
      </c>
      <c r="R61">
        <f t="shared" ref="R61" si="282">R62+Q61</f>
        <v>5912891337.3038273</v>
      </c>
      <c r="S61">
        <f t="shared" ref="S61" si="283">R61/100000</f>
        <v>59128.913373038275</v>
      </c>
      <c r="T61">
        <f t="shared" ref="T61" si="284">S61/1000</f>
        <v>59.128913373038273</v>
      </c>
    </row>
    <row r="62" spans="1:20" x14ac:dyDescent="0.25">
      <c r="A62" s="5">
        <v>44531</v>
      </c>
      <c r="B62">
        <v>0.3478</v>
      </c>
      <c r="C62">
        <v>0.36299999999999999</v>
      </c>
      <c r="D62">
        <v>0.34110000000000001</v>
      </c>
      <c r="E62">
        <v>0.35049999999999998</v>
      </c>
      <c r="F62">
        <v>45406785</v>
      </c>
      <c r="G62">
        <v>0.35049999999999998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-0.14155251141552744</v>
      </c>
      <c r="Q62">
        <f t="shared" ref="Q62" si="286">F62*P62</f>
        <v>-6427444.4520549001</v>
      </c>
      <c r="R62">
        <f t="shared" ref="R62" si="287">R63+Q62</f>
        <v>5922942694.3383102</v>
      </c>
      <c r="S62">
        <f t="shared" ref="S62" si="288">R62/100000</f>
        <v>59229.4269433831</v>
      </c>
      <c r="T62">
        <f t="shared" ref="T62" si="289">S62/1000</f>
        <v>59.229426943383096</v>
      </c>
    </row>
    <row r="63" spans="1:20" x14ac:dyDescent="0.25">
      <c r="A63" s="5">
        <v>44530</v>
      </c>
      <c r="B63">
        <v>0.35930000000000001</v>
      </c>
      <c r="C63">
        <v>0.36959999999999998</v>
      </c>
      <c r="D63">
        <v>0.3412</v>
      </c>
      <c r="E63">
        <v>0.3478</v>
      </c>
      <c r="F63">
        <v>96981743</v>
      </c>
      <c r="G63">
        <v>0.3478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-0.53521126760563387</v>
      </c>
      <c r="Q63">
        <f t="shared" ref="Q63" si="291">F63*P63</f>
        <v>-51905721.60563381</v>
      </c>
      <c r="R63">
        <f t="shared" ref="R63" si="292">R64+Q63</f>
        <v>5929370138.7903652</v>
      </c>
      <c r="S63">
        <f t="shared" ref="S63" si="293">R63/100000</f>
        <v>59293.701387903653</v>
      </c>
      <c r="T63">
        <f t="shared" ref="T63" si="294">S63/1000</f>
        <v>59.293701387903653</v>
      </c>
    </row>
    <row r="64" spans="1:20" x14ac:dyDescent="0.25">
      <c r="A64" s="5">
        <v>44529</v>
      </c>
      <c r="B64">
        <v>0.33229999999999998</v>
      </c>
      <c r="C64">
        <v>0.36370000000000002</v>
      </c>
      <c r="D64">
        <v>0.32300000000000001</v>
      </c>
      <c r="E64">
        <v>0.35909999999999997</v>
      </c>
      <c r="F64">
        <v>69812805</v>
      </c>
      <c r="G64">
        <v>0.35909999999999997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0.77395577395577164</v>
      </c>
      <c r="Q64">
        <f t="shared" ref="Q64" si="296">F64*P64</f>
        <v>54032023.525798365</v>
      </c>
      <c r="R64">
        <f t="shared" ref="R64" si="297">R65+Q64</f>
        <v>5981275860.395999</v>
      </c>
      <c r="S64">
        <f t="shared" ref="S64" si="298">R64/100000</f>
        <v>59812.758603959992</v>
      </c>
      <c r="T64">
        <f t="shared" ref="T64" si="299">S64/1000</f>
        <v>59.812758603959992</v>
      </c>
    </row>
    <row r="65" spans="1:20" x14ac:dyDescent="0.25">
      <c r="A65" s="5">
        <v>44528</v>
      </c>
      <c r="B65">
        <v>0.33100000000000002</v>
      </c>
      <c r="C65">
        <v>0.3332</v>
      </c>
      <c r="D65">
        <v>0.30009999999999998</v>
      </c>
      <c r="E65">
        <v>0.33229999999999998</v>
      </c>
      <c r="F65">
        <v>61806940</v>
      </c>
      <c r="G65">
        <v>0.33229999999999998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0.94561933534743137</v>
      </c>
      <c r="Q65">
        <f t="shared" ref="Q65" si="301">F65*P65</f>
        <v>58445837.522658572</v>
      </c>
      <c r="R65">
        <f t="shared" ref="R65" si="302">R66+Q65</f>
        <v>5927243836.8702002</v>
      </c>
      <c r="S65">
        <f t="shared" ref="S65" si="303">R65/100000</f>
        <v>59272.438368702002</v>
      </c>
      <c r="T65">
        <f t="shared" ref="T65" si="304">S65/1000</f>
        <v>59.272438368702005</v>
      </c>
    </row>
    <row r="66" spans="1:20" x14ac:dyDescent="0.25">
      <c r="A66" s="5">
        <v>44527</v>
      </c>
      <c r="B66">
        <v>0.32390000000000002</v>
      </c>
      <c r="C66">
        <v>0.34</v>
      </c>
      <c r="D66">
        <v>0.32169999999999999</v>
      </c>
      <c r="E66">
        <v>0.33110000000000001</v>
      </c>
      <c r="F66">
        <v>34667952</v>
      </c>
      <c r="G66">
        <v>0.33110000000000001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2.7322404371584667E-2</v>
      </c>
      <c r="Q66">
        <f t="shared" ref="Q66" si="306">F66*P66</f>
        <v>947211.80327868741</v>
      </c>
      <c r="R66">
        <f t="shared" ref="R66" si="307">R67+Q66</f>
        <v>5868797999.3475418</v>
      </c>
      <c r="S66">
        <f t="shared" ref="S66" si="308">R66/100000</f>
        <v>58687.979993475419</v>
      </c>
      <c r="T66">
        <f t="shared" ref="T66" si="309">S66/1000</f>
        <v>58.687979993475416</v>
      </c>
    </row>
    <row r="67" spans="1:20" x14ac:dyDescent="0.25">
      <c r="A67" s="5">
        <v>44526</v>
      </c>
      <c r="B67">
        <v>0.35630000000000001</v>
      </c>
      <c r="C67">
        <v>0.3725</v>
      </c>
      <c r="D67">
        <v>0.31119999999999998</v>
      </c>
      <c r="E67">
        <v>0.3241</v>
      </c>
      <c r="F67">
        <v>113894581</v>
      </c>
      <c r="G67">
        <v>0.3241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-0.57911908646003207</v>
      </c>
      <c r="Q67">
        <f t="shared" ref="Q67" si="311">F67*P67</f>
        <v>-65958525.701468125</v>
      </c>
      <c r="R67">
        <f t="shared" ref="R67" si="312">R68+Q67</f>
        <v>5867850787.5442629</v>
      </c>
      <c r="S67">
        <f t="shared" ref="S67" si="313">R67/100000</f>
        <v>58678.507875442629</v>
      </c>
      <c r="T67">
        <f t="shared" ref="T67" si="314">S67/1000</f>
        <v>58.678507875442627</v>
      </c>
    </row>
    <row r="68" spans="1:20" x14ac:dyDescent="0.25">
      <c r="A68" s="5">
        <v>44525</v>
      </c>
      <c r="B68">
        <v>0.35199999999999998</v>
      </c>
      <c r="C68">
        <v>0.3644</v>
      </c>
      <c r="D68">
        <v>0.3448</v>
      </c>
      <c r="E68">
        <v>0.35610000000000003</v>
      </c>
      <c r="F68">
        <v>66226748</v>
      </c>
      <c r="G68">
        <v>0.35610000000000003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0.15306122448979884</v>
      </c>
      <c r="Q68">
        <f t="shared" ref="Q68" si="316">F68*P68</f>
        <v>10136747.142857336</v>
      </c>
      <c r="R68">
        <f t="shared" ref="R68" si="317">R69+Q68</f>
        <v>5933809313.2457314</v>
      </c>
      <c r="S68">
        <f t="shared" ref="S68" si="318">R68/100000</f>
        <v>59338.09313245731</v>
      </c>
      <c r="T68">
        <f t="shared" ref="T68" si="319">S68/1000</f>
        <v>59.33809313245731</v>
      </c>
    </row>
    <row r="69" spans="1:20" x14ac:dyDescent="0.25">
      <c r="A69" s="5">
        <v>44524</v>
      </c>
      <c r="B69">
        <v>0.37030000000000002</v>
      </c>
      <c r="C69">
        <v>0.37490000000000001</v>
      </c>
      <c r="D69">
        <v>0.35859999999999997</v>
      </c>
      <c r="E69">
        <v>0.36109999999999998</v>
      </c>
      <c r="F69">
        <v>20742700</v>
      </c>
      <c r="G69">
        <v>0.36109999999999998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-0.69325153374233173</v>
      </c>
      <c r="Q69">
        <f t="shared" ref="Q69" si="321">F69*P69</f>
        <v>-14379908.588957064</v>
      </c>
      <c r="R69">
        <f t="shared" ref="R69" si="322">R70+Q69</f>
        <v>5923672566.1028738</v>
      </c>
      <c r="S69">
        <f t="shared" ref="S69" si="323">R69/100000</f>
        <v>59236.725661028737</v>
      </c>
      <c r="T69">
        <f t="shared" ref="T69" si="324">S69/1000</f>
        <v>59.236725661028736</v>
      </c>
    </row>
    <row r="70" spans="1:20" x14ac:dyDescent="0.25">
      <c r="A70" s="5">
        <v>44523</v>
      </c>
      <c r="B70">
        <v>0.36270000000000002</v>
      </c>
      <c r="C70">
        <v>0.37119999999999997</v>
      </c>
      <c r="D70">
        <v>0.35139999999999999</v>
      </c>
      <c r="E70">
        <v>0.37059999999999998</v>
      </c>
      <c r="F70">
        <v>64659036</v>
      </c>
      <c r="G70">
        <v>0.37059999999999998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0.93939393939394045</v>
      </c>
      <c r="Q70">
        <f t="shared" ref="Q70" si="326">F70*P70</f>
        <v>60740306.545454614</v>
      </c>
      <c r="R70">
        <f t="shared" ref="R70" si="327">R71+Q70</f>
        <v>5938052474.6918306</v>
      </c>
      <c r="S70">
        <f t="shared" ref="S70" si="328">R70/100000</f>
        <v>59380.524746918309</v>
      </c>
      <c r="T70">
        <f t="shared" ref="T70" si="329">S70/1000</f>
        <v>59.380524746918312</v>
      </c>
    </row>
    <row r="71" spans="1:20" x14ac:dyDescent="0.25">
      <c r="A71" s="5">
        <v>44522</v>
      </c>
      <c r="B71">
        <v>0.38450000000000001</v>
      </c>
      <c r="C71">
        <v>0.39</v>
      </c>
      <c r="D71">
        <v>0.35510000000000003</v>
      </c>
      <c r="E71">
        <v>0.36270000000000002</v>
      </c>
      <c r="F71">
        <v>73142937</v>
      </c>
      <c r="G71">
        <v>0.36270000000000002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-0.56446991404011471</v>
      </c>
      <c r="Q71">
        <f t="shared" ref="Q71" si="331">F71*P71</f>
        <v>-41286987.361031525</v>
      </c>
      <c r="R71">
        <f t="shared" ref="R71" si="332">R72+Q71</f>
        <v>5877312168.1463757</v>
      </c>
      <c r="S71">
        <f t="shared" ref="S71" si="333">R71/100000</f>
        <v>58773.121681463759</v>
      </c>
      <c r="T71">
        <f t="shared" ref="T71" si="334">S71/1000</f>
        <v>58.773121681463756</v>
      </c>
    </row>
    <row r="72" spans="1:20" x14ac:dyDescent="0.25">
      <c r="A72" s="5">
        <v>44521</v>
      </c>
      <c r="B72">
        <v>0.38819999999999999</v>
      </c>
      <c r="C72">
        <v>0.41880000000000001</v>
      </c>
      <c r="D72">
        <v>0.35170000000000001</v>
      </c>
      <c r="E72">
        <v>0.3846</v>
      </c>
      <c r="F72">
        <v>58096515</v>
      </c>
      <c r="G72">
        <v>0.3846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-1.9374068554396773E-2</v>
      </c>
      <c r="Q72">
        <f t="shared" ref="Q72" si="336">F72*P72</f>
        <v>-1125565.8643815403</v>
      </c>
      <c r="R72">
        <f t="shared" ref="R72" si="337">R73+Q72</f>
        <v>5918599155.5074072</v>
      </c>
      <c r="S72">
        <f t="shared" ref="S72" si="338">R72/100000</f>
        <v>59185.99155507407</v>
      </c>
      <c r="T72">
        <f t="shared" ref="T72" si="339">S72/1000</f>
        <v>59.185991555074068</v>
      </c>
    </row>
    <row r="73" spans="1:20" x14ac:dyDescent="0.25">
      <c r="A73" s="5">
        <v>44520</v>
      </c>
      <c r="B73">
        <v>0.37969999999999998</v>
      </c>
      <c r="C73">
        <v>0.40400000000000003</v>
      </c>
      <c r="D73">
        <v>0.37169999999999997</v>
      </c>
      <c r="E73">
        <v>0.38790000000000002</v>
      </c>
      <c r="F73">
        <v>51649930</v>
      </c>
      <c r="G73">
        <v>0.38790000000000002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3.0959752321995152E-3</v>
      </c>
      <c r="Q73">
        <f t="shared" ref="Q73" si="341">F73*P73</f>
        <v>159906.9040248387</v>
      </c>
      <c r="R73">
        <f t="shared" ref="R73" si="342">R74+Q73</f>
        <v>5919724721.371789</v>
      </c>
      <c r="S73">
        <f t="shared" ref="S73" si="343">R73/100000</f>
        <v>59197.247213717892</v>
      </c>
      <c r="T73">
        <f t="shared" ref="T73" si="344">S73/1000</f>
        <v>59.197247213717894</v>
      </c>
    </row>
    <row r="74" spans="1:20" x14ac:dyDescent="0.25">
      <c r="A74" s="5">
        <v>44519</v>
      </c>
      <c r="B74">
        <v>0.3584</v>
      </c>
      <c r="C74">
        <v>0.38369999999999999</v>
      </c>
      <c r="D74">
        <v>0.35</v>
      </c>
      <c r="E74">
        <v>0.3795</v>
      </c>
      <c r="F74">
        <v>60877491</v>
      </c>
      <c r="G74">
        <v>0.3795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0.75074183976261244</v>
      </c>
      <c r="Q74">
        <f t="shared" ref="Q74" si="346">F74*P74</f>
        <v>45703279.593471877</v>
      </c>
      <c r="R74">
        <f t="shared" ref="R74" si="347">R75+Q74</f>
        <v>5919564814.4677639</v>
      </c>
      <c r="S74">
        <f t="shared" ref="S74" si="348">R74/100000</f>
        <v>59195.648144677638</v>
      </c>
      <c r="T74">
        <f t="shared" ref="T74" si="349">S74/1000</f>
        <v>59.195648144677641</v>
      </c>
    </row>
    <row r="75" spans="1:20" x14ac:dyDescent="0.25">
      <c r="A75" s="5">
        <v>44518</v>
      </c>
      <c r="B75">
        <v>0.40670000000000001</v>
      </c>
      <c r="C75">
        <v>0.41449999999999998</v>
      </c>
      <c r="D75">
        <v>0.34620000000000001</v>
      </c>
      <c r="E75">
        <v>0.35820000000000002</v>
      </c>
      <c r="F75">
        <v>112551772</v>
      </c>
      <c r="G75">
        <v>0.35820000000000002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-0.64860907759882824</v>
      </c>
      <c r="Q75">
        <f t="shared" ref="Q75" si="351">F75*P75</f>
        <v>-73002101.019033626</v>
      </c>
      <c r="R75">
        <f t="shared" ref="R75" si="352">R76+Q75</f>
        <v>5873861534.8742924</v>
      </c>
      <c r="S75">
        <f t="shared" ref="S75" si="353">R75/100000</f>
        <v>58738.615348742926</v>
      </c>
      <c r="T75">
        <f t="shared" ref="T75" si="354">S75/1000</f>
        <v>58.738615348742925</v>
      </c>
    </row>
    <row r="76" spans="1:20" x14ac:dyDescent="0.25">
      <c r="A76" s="5">
        <v>44517</v>
      </c>
      <c r="B76">
        <v>0.39479999999999998</v>
      </c>
      <c r="C76">
        <v>0.42059999999999997</v>
      </c>
      <c r="D76">
        <v>0.3886</v>
      </c>
      <c r="E76">
        <v>0.40660000000000002</v>
      </c>
      <c r="F76">
        <v>82593424</v>
      </c>
      <c r="G76">
        <v>0.40660000000000002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0.12500000000000194</v>
      </c>
      <c r="Q76">
        <f t="shared" ref="Q76" si="356">F76*P76</f>
        <v>10324178.00000016</v>
      </c>
      <c r="R76">
        <f t="shared" ref="R76" si="357">R77+Q76</f>
        <v>5946863635.8933258</v>
      </c>
      <c r="S76">
        <f t="shared" ref="S76" si="358">R76/100000</f>
        <v>59468.636358933261</v>
      </c>
      <c r="T76">
        <f t="shared" ref="T76" si="359">S76/1000</f>
        <v>59.46863635893326</v>
      </c>
    </row>
    <row r="77" spans="1:20" x14ac:dyDescent="0.25">
      <c r="A77" s="5">
        <v>44516</v>
      </c>
      <c r="B77">
        <v>0.42580000000000001</v>
      </c>
      <c r="C77">
        <v>0.42580000000000001</v>
      </c>
      <c r="D77">
        <v>0.3715</v>
      </c>
      <c r="E77">
        <v>0.39500000000000002</v>
      </c>
      <c r="F77">
        <v>115071661</v>
      </c>
      <c r="G77">
        <v>0.39500000000000002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-0.1344383057090234</v>
      </c>
      <c r="Q77">
        <f t="shared" ref="Q77" si="361">F77*P77</f>
        <v>-15470039.139963105</v>
      </c>
      <c r="R77">
        <f t="shared" ref="R77" si="362">R78+Q77</f>
        <v>5936539457.8933258</v>
      </c>
      <c r="S77">
        <f t="shared" ref="S77" si="363">R77/100000</f>
        <v>59365.394578933257</v>
      </c>
      <c r="T77">
        <f t="shared" ref="T77" si="364">S77/1000</f>
        <v>59.365394578933255</v>
      </c>
    </row>
    <row r="78" spans="1:20" x14ac:dyDescent="0.25">
      <c r="A78" s="5">
        <v>44515</v>
      </c>
      <c r="B78">
        <v>0.43890000000000001</v>
      </c>
      <c r="C78">
        <v>0.44109999999999999</v>
      </c>
      <c r="D78">
        <v>0.41739999999999999</v>
      </c>
      <c r="E78">
        <v>0.42580000000000001</v>
      </c>
      <c r="F78">
        <v>53207264</v>
      </c>
      <c r="G78">
        <v>0.42580000000000001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-0.2911392405063275</v>
      </c>
      <c r="Q78">
        <f t="shared" ref="Q78" si="366">F78*P78</f>
        <v>-15490722.430379661</v>
      </c>
      <c r="R78">
        <f t="shared" ref="R78" si="367">R79+Q78</f>
        <v>5952009497.033289</v>
      </c>
      <c r="S78">
        <f t="shared" ref="S78" si="368">R78/100000</f>
        <v>59520.094970332888</v>
      </c>
      <c r="T78">
        <f t="shared" ref="T78" si="369">S78/1000</f>
        <v>59.520094970332885</v>
      </c>
    </row>
    <row r="79" spans="1:20" x14ac:dyDescent="0.25">
      <c r="A79" s="5">
        <v>44514</v>
      </c>
      <c r="B79">
        <v>0.43669999999999998</v>
      </c>
      <c r="C79">
        <v>0.44569999999999999</v>
      </c>
      <c r="D79">
        <v>0.42</v>
      </c>
      <c r="E79">
        <v>0.43890000000000001</v>
      </c>
      <c r="F79">
        <v>50253716</v>
      </c>
      <c r="G79">
        <v>0.43890000000000001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0.47081712062257025</v>
      </c>
      <c r="Q79">
        <f t="shared" ref="Q79" si="371">F79*P79</f>
        <v>23660309.867704388</v>
      </c>
      <c r="R79">
        <f t="shared" ref="R79" si="372">R80+Q79</f>
        <v>5967500219.4636688</v>
      </c>
      <c r="S79">
        <f t="shared" ref="S79" si="373">R79/100000</f>
        <v>59675.002194636691</v>
      </c>
      <c r="T79">
        <f t="shared" ref="T79" si="374">S79/1000</f>
        <v>59.67500219463669</v>
      </c>
    </row>
    <row r="80" spans="1:20" x14ac:dyDescent="0.25">
      <c r="A80" s="5">
        <v>44513</v>
      </c>
      <c r="B80">
        <v>0.45179999999999998</v>
      </c>
      <c r="C80">
        <v>0.47160000000000002</v>
      </c>
      <c r="D80">
        <v>0.43590000000000001</v>
      </c>
      <c r="E80">
        <v>0.43680000000000002</v>
      </c>
      <c r="F80">
        <v>77944363</v>
      </c>
      <c r="G80">
        <v>0.43680000000000002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-0.94957983193277251</v>
      </c>
      <c r="Q80">
        <f t="shared" ref="Q80" si="376">F80*P80</f>
        <v>-74014395.117647007</v>
      </c>
      <c r="R80">
        <f t="shared" ref="R80" si="377">R81+Q80</f>
        <v>5943839909.5959644</v>
      </c>
      <c r="S80">
        <f t="shared" ref="S80" si="378">R80/100000</f>
        <v>59438.399095959641</v>
      </c>
      <c r="T80">
        <f t="shared" ref="T80" si="379">S80/1000</f>
        <v>59.438399095959639</v>
      </c>
    </row>
    <row r="81" spans="1:20" x14ac:dyDescent="0.25">
      <c r="A81" s="5">
        <v>44512</v>
      </c>
      <c r="B81">
        <v>0.43130000000000002</v>
      </c>
      <c r="C81">
        <v>0.47799999999999998</v>
      </c>
      <c r="D81">
        <v>0.43080000000000002</v>
      </c>
      <c r="E81">
        <v>0.45179999999999998</v>
      </c>
      <c r="F81">
        <v>195595680</v>
      </c>
      <c r="G81">
        <v>0.45179999999999998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-0.11016949152542461</v>
      </c>
      <c r="Q81">
        <f t="shared" ref="Q81" si="381">F81*P81</f>
        <v>-21548676.610169664</v>
      </c>
      <c r="R81">
        <f t="shared" ref="R81" si="382">R82+Q81</f>
        <v>6017854304.7136116</v>
      </c>
      <c r="S81">
        <f t="shared" ref="S81" si="383">R81/100000</f>
        <v>60178.543047136118</v>
      </c>
      <c r="T81">
        <f t="shared" ref="T81" si="384">S81/1000</f>
        <v>60.178543047136117</v>
      </c>
    </row>
    <row r="82" spans="1:20" x14ac:dyDescent="0.25">
      <c r="A82" s="5">
        <v>44511</v>
      </c>
      <c r="B82">
        <v>0.40670000000000001</v>
      </c>
      <c r="C82">
        <v>0.4521</v>
      </c>
      <c r="D82">
        <v>0.40329999999999999</v>
      </c>
      <c r="E82">
        <v>0.43149999999999999</v>
      </c>
      <c r="F82">
        <v>144985544</v>
      </c>
      <c r="G82">
        <v>0.43149999999999999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0.15573770491803265</v>
      </c>
      <c r="Q82">
        <f t="shared" ref="Q82" si="386">F82*P82</f>
        <v>22579715.86885244</v>
      </c>
      <c r="R82">
        <f t="shared" ref="R82" si="387">R83+Q82</f>
        <v>6039402981.323781</v>
      </c>
      <c r="S82">
        <f t="shared" ref="S82" si="388">R82/100000</f>
        <v>60394.029813237808</v>
      </c>
      <c r="T82">
        <f t="shared" ref="T82" si="389">S82/1000</f>
        <v>60.394029813237808</v>
      </c>
    </row>
    <row r="83" spans="1:20" x14ac:dyDescent="0.25">
      <c r="A83" s="5">
        <v>44510</v>
      </c>
      <c r="B83">
        <v>0.42559999999999998</v>
      </c>
      <c r="C83">
        <v>0.45250000000000001</v>
      </c>
      <c r="D83">
        <v>0.38200000000000001</v>
      </c>
      <c r="E83">
        <v>0.40679999999999999</v>
      </c>
      <c r="F83">
        <v>178265665</v>
      </c>
      <c r="G83">
        <v>0.40679999999999999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-0.29645390070922023</v>
      </c>
      <c r="Q83">
        <f t="shared" ref="Q83" si="391">F83*P83</f>
        <v>-52847551.751773119</v>
      </c>
      <c r="R83">
        <f t="shared" ref="R83" si="392">R84+Q83</f>
        <v>6016823265.4549284</v>
      </c>
      <c r="S83">
        <f t="shared" ref="S83" si="393">R83/100000</f>
        <v>60168.232654549283</v>
      </c>
      <c r="T83">
        <f t="shared" ref="T83" si="394">S83/1000</f>
        <v>60.168232654549286</v>
      </c>
    </row>
    <row r="84" spans="1:20" x14ac:dyDescent="0.25">
      <c r="A84" s="5">
        <v>44509</v>
      </c>
      <c r="B84">
        <v>0.42249999999999999</v>
      </c>
      <c r="C84">
        <v>0.44080000000000003</v>
      </c>
      <c r="D84">
        <v>0.40739999999999998</v>
      </c>
      <c r="E84">
        <v>0.42549999999999999</v>
      </c>
      <c r="F84">
        <v>121277932</v>
      </c>
      <c r="G84">
        <v>0.42549999999999999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8.3832335329340299E-2</v>
      </c>
      <c r="Q84">
        <f t="shared" ref="Q84" si="396">F84*P84</f>
        <v>10167012.26347293</v>
      </c>
      <c r="R84">
        <f t="shared" ref="R84" si="397">R85+Q84</f>
        <v>6069670817.2067013</v>
      </c>
      <c r="S84">
        <f t="shared" ref="S84" si="398">R84/100000</f>
        <v>60696.70817206701</v>
      </c>
      <c r="T84">
        <f t="shared" ref="T84" si="399">S84/1000</f>
        <v>60.696708172067012</v>
      </c>
    </row>
    <row r="85" spans="1:20" x14ac:dyDescent="0.25">
      <c r="A85" s="5">
        <v>44508</v>
      </c>
      <c r="B85">
        <v>0.39319999999999999</v>
      </c>
      <c r="C85">
        <v>0.43</v>
      </c>
      <c r="D85">
        <v>0.38950000000000001</v>
      </c>
      <c r="E85">
        <v>0.42249999999999999</v>
      </c>
      <c r="F85">
        <v>181932259</v>
      </c>
      <c r="G85">
        <v>0.42249999999999999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0.6296296296296291</v>
      </c>
      <c r="Q85">
        <f t="shared" ref="Q85" si="401">F85*P85</f>
        <v>114549940.85185176</v>
      </c>
      <c r="R85">
        <f t="shared" ref="R85" si="402">R86+Q85</f>
        <v>6059503804.9432287</v>
      </c>
      <c r="S85">
        <f t="shared" ref="S85" si="403">R85/100000</f>
        <v>60595.038049432289</v>
      </c>
      <c r="T85">
        <f t="shared" ref="T85" si="404">S85/1000</f>
        <v>60.59503804943229</v>
      </c>
    </row>
    <row r="86" spans="1:20" x14ac:dyDescent="0.25">
      <c r="A86" s="5">
        <v>44507</v>
      </c>
      <c r="B86">
        <v>0.38550000000000001</v>
      </c>
      <c r="C86">
        <v>0.39450000000000002</v>
      </c>
      <c r="D86">
        <v>0.38300000000000001</v>
      </c>
      <c r="E86">
        <v>0.39319999999999999</v>
      </c>
      <c r="F86">
        <v>38949873</v>
      </c>
      <c r="G86">
        <v>0.39319999999999999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0.77391304347825696</v>
      </c>
      <c r="Q86">
        <f t="shared" ref="Q86" si="406">F86*P86</f>
        <v>30143814.756521586</v>
      </c>
      <c r="R86">
        <f t="shared" ref="R86" si="407">R87+Q86</f>
        <v>5944953864.0913773</v>
      </c>
      <c r="S86">
        <f t="shared" ref="S86" si="408">R86/100000</f>
        <v>59449.538640913772</v>
      </c>
      <c r="T86">
        <f t="shared" ref="T86" si="409">S86/1000</f>
        <v>59.449538640913772</v>
      </c>
    </row>
    <row r="87" spans="1:20" x14ac:dyDescent="0.25">
      <c r="A87" s="5">
        <v>44506</v>
      </c>
      <c r="B87">
        <v>0.39</v>
      </c>
      <c r="C87">
        <v>0.3982</v>
      </c>
      <c r="D87">
        <v>0.37119999999999997</v>
      </c>
      <c r="E87">
        <v>0.3851</v>
      </c>
      <c r="F87">
        <v>44881546</v>
      </c>
      <c r="G87">
        <v>0.3851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2.9629629629630453E-2</v>
      </c>
      <c r="Q87">
        <f t="shared" ref="Q87" si="411">F87*P87</f>
        <v>1329823.5851852221</v>
      </c>
      <c r="R87">
        <f t="shared" ref="R87" si="412">R88+Q87</f>
        <v>5914810049.334856</v>
      </c>
      <c r="S87">
        <f t="shared" ref="S87" si="413">R87/100000</f>
        <v>59148.10049334856</v>
      </c>
      <c r="T87">
        <f t="shared" ref="T87" si="414">S87/1000</f>
        <v>59.148100493348558</v>
      </c>
    </row>
    <row r="88" spans="1:20" x14ac:dyDescent="0.25">
      <c r="A88" s="5">
        <v>44505</v>
      </c>
      <c r="B88">
        <v>0.39410000000000001</v>
      </c>
      <c r="C88">
        <v>0.40429999999999999</v>
      </c>
      <c r="D88">
        <v>0.3851</v>
      </c>
      <c r="E88">
        <v>0.39029999999999998</v>
      </c>
      <c r="F88">
        <v>70505019</v>
      </c>
      <c r="G88">
        <v>0.39029999999999998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-0.45833333333333504</v>
      </c>
      <c r="Q88">
        <f t="shared" ref="Q88" si="416">F88*P88</f>
        <v>-32314800.375000119</v>
      </c>
      <c r="R88">
        <f t="shared" ref="R88" si="417">R89+Q88</f>
        <v>5913480225.749671</v>
      </c>
      <c r="S88">
        <f t="shared" ref="S88" si="418">R88/100000</f>
        <v>59134.802257496711</v>
      </c>
      <c r="T88">
        <f t="shared" ref="T88" si="419">S88/1000</f>
        <v>59.134802257496709</v>
      </c>
    </row>
    <row r="89" spans="1:20" x14ac:dyDescent="0.25">
      <c r="A89" s="5">
        <v>44504</v>
      </c>
      <c r="B89">
        <v>0.39050000000000001</v>
      </c>
      <c r="C89">
        <v>0.39610000000000001</v>
      </c>
      <c r="D89">
        <v>0.37719999999999998</v>
      </c>
      <c r="E89">
        <v>0.39410000000000001</v>
      </c>
      <c r="F89">
        <v>69812749</v>
      </c>
      <c r="G89">
        <v>0.39410000000000001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0.78835978835978848</v>
      </c>
      <c r="Q89">
        <f t="shared" ref="Q89" si="421">F89*P89</f>
        <v>55037564.026455037</v>
      </c>
      <c r="R89">
        <f t="shared" ref="R89" si="422">R90+Q89</f>
        <v>5945795026.124671</v>
      </c>
      <c r="S89">
        <f t="shared" ref="S89" si="423">R89/100000</f>
        <v>59457.950261246711</v>
      </c>
      <c r="T89">
        <f t="shared" ref="T89" si="424">S89/1000</f>
        <v>59.457950261246708</v>
      </c>
    </row>
    <row r="90" spans="1:20" x14ac:dyDescent="0.25">
      <c r="A90" s="5">
        <v>44503</v>
      </c>
      <c r="B90">
        <v>0.39700000000000002</v>
      </c>
      <c r="C90">
        <v>0.39700000000000002</v>
      </c>
      <c r="D90">
        <v>0.376</v>
      </c>
      <c r="E90">
        <v>0.39040000000000002</v>
      </c>
      <c r="F90">
        <v>71968289</v>
      </c>
      <c r="G90">
        <v>0.39040000000000002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0.3714285714285725</v>
      </c>
      <c r="Q90">
        <f t="shared" ref="Q90" si="426">F90*P90</f>
        <v>26731078.771428648</v>
      </c>
      <c r="R90">
        <f t="shared" ref="R90" si="427">R91+Q90</f>
        <v>5890757462.0982161</v>
      </c>
      <c r="S90">
        <f t="shared" ref="S90" si="428">R90/100000</f>
        <v>58907.574620982159</v>
      </c>
      <c r="T90">
        <f t="shared" ref="T90" si="429">S90/1000</f>
        <v>58.90757462098216</v>
      </c>
    </row>
    <row r="91" spans="1:20" x14ac:dyDescent="0.25">
      <c r="A91" s="5">
        <v>44502</v>
      </c>
      <c r="B91">
        <v>0.39979999999999999</v>
      </c>
      <c r="C91">
        <v>0.40129999999999999</v>
      </c>
      <c r="D91">
        <v>0.39</v>
      </c>
      <c r="E91">
        <v>0.39700000000000002</v>
      </c>
      <c r="F91">
        <v>78943124</v>
      </c>
      <c r="G91">
        <v>0.39700000000000002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0.23893805309734878</v>
      </c>
      <c r="Q91">
        <f t="shared" ref="Q91" si="431">F91*P91</f>
        <v>18862516.35398259</v>
      </c>
      <c r="R91">
        <f t="shared" ref="R91" si="432">R92+Q91</f>
        <v>5864026383.326787</v>
      </c>
      <c r="S91">
        <f t="shared" ref="S91" si="433">R91/100000</f>
        <v>58640.263833267869</v>
      </c>
      <c r="T91">
        <f t="shared" ref="T91" si="434">S91/1000</f>
        <v>58.640263833267866</v>
      </c>
    </row>
    <row r="92" spans="1:20" x14ac:dyDescent="0.25">
      <c r="A92" s="5">
        <v>44501</v>
      </c>
      <c r="B92">
        <v>0.40760000000000002</v>
      </c>
      <c r="C92">
        <v>0.4335</v>
      </c>
      <c r="D92">
        <v>0.39100000000000001</v>
      </c>
      <c r="E92">
        <v>0.3997</v>
      </c>
      <c r="F92">
        <v>100590848</v>
      </c>
      <c r="G92">
        <v>0.3997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-0.59058823529411819</v>
      </c>
      <c r="Q92">
        <f t="shared" ref="Q92" si="436">F92*P92</f>
        <v>-59407771.40705888</v>
      </c>
      <c r="R92">
        <f t="shared" ref="R92" si="437">R93+Q92</f>
        <v>5845163866.9728041</v>
      </c>
      <c r="S92">
        <f t="shared" ref="S92" si="438">R92/100000</f>
        <v>58451.63866972804</v>
      </c>
      <c r="T92">
        <f t="shared" ref="T92" si="439">S92/1000</f>
        <v>58.451638669728041</v>
      </c>
    </row>
    <row r="93" spans="1:20" x14ac:dyDescent="0.25">
      <c r="A93" s="5">
        <v>44500</v>
      </c>
      <c r="B93">
        <v>0.41870000000000002</v>
      </c>
      <c r="C93">
        <v>0.46600000000000003</v>
      </c>
      <c r="D93">
        <v>0.39</v>
      </c>
      <c r="E93">
        <v>0.40760000000000002</v>
      </c>
      <c r="F93">
        <v>209400825</v>
      </c>
      <c r="G93">
        <v>0.40760000000000002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-0.5368421052631579</v>
      </c>
      <c r="Q93">
        <f t="shared" ref="Q93" si="441">F93*P93</f>
        <v>-112415179.73684211</v>
      </c>
      <c r="R93">
        <f t="shared" ref="R93" si="442">R94+Q93</f>
        <v>5904571638.3798628</v>
      </c>
      <c r="S93">
        <f t="shared" ref="S93" si="443">R93/100000</f>
        <v>59045.71638379863</v>
      </c>
      <c r="T93">
        <f t="shared" ref="T93" si="444">S93/1000</f>
        <v>59.045716383798627</v>
      </c>
    </row>
    <row r="94" spans="1:20" x14ac:dyDescent="0.25">
      <c r="A94" s="5">
        <v>44499</v>
      </c>
      <c r="B94">
        <v>0.3906</v>
      </c>
      <c r="C94">
        <v>0.43940000000000001</v>
      </c>
      <c r="D94">
        <v>0.38500000000000001</v>
      </c>
      <c r="E94">
        <v>0.41870000000000002</v>
      </c>
      <c r="F94">
        <v>230492994</v>
      </c>
      <c r="G94">
        <v>0.41870000000000002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0.23897058823529432</v>
      </c>
      <c r="Q94">
        <f t="shared" ref="Q94" si="446">F94*P94</f>
        <v>55081046.360294163</v>
      </c>
      <c r="R94">
        <f t="shared" ref="R94" si="447">R95+Q94</f>
        <v>6016986818.1167049</v>
      </c>
      <c r="S94">
        <f t="shared" ref="S94" si="448">R94/100000</f>
        <v>60169.868181167047</v>
      </c>
      <c r="T94">
        <f t="shared" ref="T94" si="449">S94/1000</f>
        <v>60.169868181167047</v>
      </c>
    </row>
    <row r="95" spans="1:20" x14ac:dyDescent="0.25">
      <c r="A95" s="5">
        <v>44498</v>
      </c>
      <c r="B95">
        <v>0.37040000000000001</v>
      </c>
      <c r="C95">
        <v>0.39800000000000002</v>
      </c>
      <c r="D95">
        <v>0.36870000000000003</v>
      </c>
      <c r="E95">
        <v>0.39050000000000001</v>
      </c>
      <c r="F95">
        <v>77283331</v>
      </c>
      <c r="G95">
        <v>0.39050000000000001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0.48805460750853186</v>
      </c>
      <c r="Q95">
        <f t="shared" ref="Q95" si="451">F95*P95</f>
        <v>37718485.778156951</v>
      </c>
      <c r="R95">
        <f t="shared" ref="R95" si="452">R96+Q95</f>
        <v>5961905771.7564106</v>
      </c>
      <c r="S95">
        <f t="shared" ref="S95" si="453">R95/100000</f>
        <v>59619.057717564108</v>
      </c>
      <c r="T95">
        <f t="shared" ref="T95" si="454">S95/1000</f>
        <v>59.619057717564111</v>
      </c>
    </row>
    <row r="96" spans="1:20" x14ac:dyDescent="0.25">
      <c r="A96" s="5">
        <v>44497</v>
      </c>
      <c r="B96">
        <v>0.35010000000000002</v>
      </c>
      <c r="C96">
        <v>0.38319999999999999</v>
      </c>
      <c r="D96">
        <v>0.3493</v>
      </c>
      <c r="E96">
        <v>0.37040000000000001</v>
      </c>
      <c r="F96">
        <v>96845503</v>
      </c>
      <c r="G96">
        <v>0.37040000000000001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0.24483775811209538</v>
      </c>
      <c r="Q96">
        <f t="shared" ref="Q96" si="456">F96*P96</f>
        <v>23711435.837758206</v>
      </c>
      <c r="R96">
        <f t="shared" ref="R96" si="457">R97+Q96</f>
        <v>5924187285.9782534</v>
      </c>
      <c r="S96">
        <f t="shared" ref="S96" si="458">R96/100000</f>
        <v>59241.872859782532</v>
      </c>
      <c r="T96">
        <f t="shared" ref="T96" si="459">S96/1000</f>
        <v>59.241872859782532</v>
      </c>
    </row>
    <row r="97" spans="1:20" x14ac:dyDescent="0.25">
      <c r="A97" s="5">
        <v>44496</v>
      </c>
      <c r="B97">
        <v>0.39129999999999998</v>
      </c>
      <c r="C97">
        <v>0.39939999999999998</v>
      </c>
      <c r="D97">
        <v>0.32350000000000001</v>
      </c>
      <c r="E97">
        <v>0.35010000000000002</v>
      </c>
      <c r="F97">
        <v>172367276</v>
      </c>
      <c r="G97">
        <v>0.35010000000000002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-0.29907773386034192</v>
      </c>
      <c r="Q97">
        <f t="shared" ref="Q97" si="461">F97*P97</f>
        <v>-51551214.297760099</v>
      </c>
      <c r="R97">
        <f t="shared" ref="R97" si="462">R98+Q97</f>
        <v>5900475850.1404953</v>
      </c>
      <c r="S97">
        <f t="shared" ref="S97" si="463">R97/100000</f>
        <v>59004.758501404955</v>
      </c>
      <c r="T97">
        <f t="shared" ref="T97" si="464">S97/1000</f>
        <v>59.004758501404957</v>
      </c>
    </row>
    <row r="98" spans="1:20" x14ac:dyDescent="0.25">
      <c r="A98" s="5">
        <v>44495</v>
      </c>
      <c r="B98">
        <v>0.38700000000000001</v>
      </c>
      <c r="C98">
        <v>0.41460000000000002</v>
      </c>
      <c r="D98">
        <v>0.38129999999999997</v>
      </c>
      <c r="E98">
        <v>0.39140000000000003</v>
      </c>
      <c r="F98">
        <v>129690875</v>
      </c>
      <c r="G98">
        <v>0.39140000000000003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-0.39339339339339113</v>
      </c>
      <c r="Q98">
        <f t="shared" ref="Q98" si="466">F98*P98</f>
        <v>-51019533.408408113</v>
      </c>
      <c r="R98">
        <f t="shared" ref="R98" si="467">R99+Q98</f>
        <v>5952027064.4382553</v>
      </c>
      <c r="S98">
        <f t="shared" ref="S98" si="468">R98/100000</f>
        <v>59520.270644382552</v>
      </c>
      <c r="T98">
        <f t="shared" ref="T98" si="469">S98/1000</f>
        <v>59.520270644382549</v>
      </c>
    </row>
    <row r="99" spans="1:20" x14ac:dyDescent="0.25">
      <c r="A99" s="5">
        <v>44494</v>
      </c>
      <c r="B99">
        <v>0.36699999999999999</v>
      </c>
      <c r="C99">
        <v>0.39</v>
      </c>
      <c r="D99">
        <v>0.36430000000000001</v>
      </c>
      <c r="E99">
        <v>0.38700000000000001</v>
      </c>
      <c r="F99">
        <v>83014045</v>
      </c>
      <c r="G99">
        <v>0.38700000000000001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0.76653696498054458</v>
      </c>
      <c r="Q99">
        <f t="shared" ref="Q99" si="471">F99*P99</f>
        <v>63633334.10505835</v>
      </c>
      <c r="R99">
        <f t="shared" ref="R99" si="472">R100+Q99</f>
        <v>6003046597.8466635</v>
      </c>
      <c r="S99">
        <f t="shared" ref="S99" si="473">R99/100000</f>
        <v>60030.465978466636</v>
      </c>
      <c r="T99">
        <f t="shared" ref="T99" si="474">S99/1000</f>
        <v>60.030465978466637</v>
      </c>
    </row>
    <row r="100" spans="1:20" x14ac:dyDescent="0.25">
      <c r="A100" s="5">
        <v>44493</v>
      </c>
      <c r="B100">
        <v>0.37919999999999998</v>
      </c>
      <c r="C100">
        <v>0.37930000000000003</v>
      </c>
      <c r="D100">
        <v>0.35649999999999998</v>
      </c>
      <c r="E100">
        <v>0.3669</v>
      </c>
      <c r="F100">
        <v>59254333</v>
      </c>
      <c r="G100">
        <v>0.3669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-8.7719298245613947E-2</v>
      </c>
      <c r="Q100">
        <f t="shared" ref="Q100" si="476">F100*P100</f>
        <v>-5197748.5087719243</v>
      </c>
      <c r="R100">
        <f t="shared" ref="R100" si="477">R101+Q100</f>
        <v>5939413263.7416048</v>
      </c>
      <c r="S100">
        <f t="shared" ref="S100" si="478">R100/100000</f>
        <v>59394.132637416049</v>
      </c>
      <c r="T100">
        <f t="shared" ref="T100" si="479">S100/1000</f>
        <v>59.39413263741605</v>
      </c>
    </row>
    <row r="101" spans="1:20" x14ac:dyDescent="0.25">
      <c r="A101" s="5">
        <v>44492</v>
      </c>
      <c r="B101">
        <v>0.3785</v>
      </c>
      <c r="C101">
        <v>0.38140000000000002</v>
      </c>
      <c r="D101">
        <v>0.36759999999999998</v>
      </c>
      <c r="E101">
        <v>0.37919999999999998</v>
      </c>
      <c r="F101">
        <v>55507895</v>
      </c>
      <c r="G101">
        <v>0.37919999999999998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0.68115942028985077</v>
      </c>
      <c r="Q101">
        <f t="shared" ref="Q101" si="481">F101*P101</f>
        <v>37809725.579709902</v>
      </c>
      <c r="R101">
        <f t="shared" ref="R101" si="482">R102+Q101</f>
        <v>5944611012.2503767</v>
      </c>
      <c r="S101">
        <f t="shared" ref="S101" si="483">R101/100000</f>
        <v>59446.110122503764</v>
      </c>
      <c r="T101">
        <f t="shared" ref="T101" si="484">S101/1000</f>
        <v>59.446110122503761</v>
      </c>
    </row>
    <row r="102" spans="1:20" x14ac:dyDescent="0.25">
      <c r="A102" s="5">
        <v>44491</v>
      </c>
      <c r="B102">
        <v>0.37869999999999998</v>
      </c>
      <c r="C102">
        <v>0.39119999999999999</v>
      </c>
      <c r="D102">
        <v>0.37169999999999997</v>
      </c>
      <c r="E102">
        <v>0.37859999999999999</v>
      </c>
      <c r="F102">
        <v>59861565</v>
      </c>
      <c r="G102">
        <v>0.37859999999999999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-0.29230769230769116</v>
      </c>
      <c r="Q102">
        <f t="shared" ref="Q102" si="486">F102*P102</f>
        <v>-17497995.923076853</v>
      </c>
      <c r="R102">
        <f t="shared" ref="R102" si="487">R103+Q102</f>
        <v>5906801286.6706667</v>
      </c>
      <c r="S102">
        <f t="shared" ref="S102" si="488">R102/100000</f>
        <v>59068.012866706667</v>
      </c>
      <c r="T102">
        <f t="shared" ref="T102" si="489">S102/1000</f>
        <v>59.068012866706667</v>
      </c>
    </row>
    <row r="103" spans="1:20" x14ac:dyDescent="0.25">
      <c r="A103" s="5">
        <v>44490</v>
      </c>
      <c r="B103">
        <v>0.40260000000000001</v>
      </c>
      <c r="C103">
        <v>0.40839999999999999</v>
      </c>
      <c r="D103">
        <v>0.3715</v>
      </c>
      <c r="E103">
        <v>0.379</v>
      </c>
      <c r="F103">
        <v>100999075</v>
      </c>
      <c r="G103">
        <v>0.379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-0.59349593495934916</v>
      </c>
      <c r="Q103">
        <f t="shared" ref="Q103" si="491">F103*P103</f>
        <v>-59942540.447154425</v>
      </c>
      <c r="R103">
        <f t="shared" ref="R103" si="492">R104+Q103</f>
        <v>5924299282.5937433</v>
      </c>
      <c r="S103">
        <f t="shared" ref="S103" si="493">R103/100000</f>
        <v>59242.992825937436</v>
      </c>
      <c r="T103">
        <f t="shared" ref="T103" si="494">S103/1000</f>
        <v>59.242992825937435</v>
      </c>
    </row>
    <row r="104" spans="1:20" x14ac:dyDescent="0.25">
      <c r="A104" s="5">
        <v>44489</v>
      </c>
      <c r="B104">
        <v>0.37490000000000001</v>
      </c>
      <c r="C104">
        <v>0.41</v>
      </c>
      <c r="D104">
        <v>0.36859999999999998</v>
      </c>
      <c r="E104">
        <v>0.4027</v>
      </c>
      <c r="F104">
        <v>160522544</v>
      </c>
      <c r="G104">
        <v>0.4027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0.64734299516908334</v>
      </c>
      <c r="Q104">
        <f t="shared" ref="Q104" si="496">F104*P104</f>
        <v>103913144.42512096</v>
      </c>
      <c r="R104">
        <f t="shared" ref="R104" si="497">R105+Q104</f>
        <v>5984241823.0408974</v>
      </c>
      <c r="S104">
        <f t="shared" ref="S104" si="498">R104/100000</f>
        <v>59842.418230408977</v>
      </c>
      <c r="T104">
        <f t="shared" ref="T104" si="499">S104/1000</f>
        <v>59.842418230408974</v>
      </c>
    </row>
    <row r="105" spans="1:20" x14ac:dyDescent="0.25">
      <c r="A105" s="5">
        <v>44488</v>
      </c>
      <c r="B105">
        <v>0.35589999999999999</v>
      </c>
      <c r="C105">
        <v>0.37959999999999999</v>
      </c>
      <c r="D105">
        <v>0.35049999999999998</v>
      </c>
      <c r="E105">
        <v>0.37490000000000001</v>
      </c>
      <c r="F105">
        <v>97914559</v>
      </c>
      <c r="G105">
        <v>0.37490000000000001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0.6769759450171835</v>
      </c>
      <c r="Q105">
        <f t="shared" ref="Q105" si="501">F105*P105</f>
        <v>66285801.109965771</v>
      </c>
      <c r="R105">
        <f t="shared" ref="R105" si="502">R106+Q105</f>
        <v>5880328678.6157761</v>
      </c>
      <c r="S105">
        <f t="shared" ref="S105" si="503">R105/100000</f>
        <v>58803.286786157762</v>
      </c>
      <c r="T105">
        <f t="shared" ref="T105" si="504">S105/1000</f>
        <v>58.803286786157763</v>
      </c>
    </row>
    <row r="106" spans="1:20" x14ac:dyDescent="0.25">
      <c r="A106" s="5">
        <v>44487</v>
      </c>
      <c r="B106">
        <v>0.35510000000000003</v>
      </c>
      <c r="C106">
        <v>0.36969999999999997</v>
      </c>
      <c r="D106">
        <v>0.34499999999999997</v>
      </c>
      <c r="E106">
        <v>0.35589999999999999</v>
      </c>
      <c r="F106">
        <v>90083357</v>
      </c>
      <c r="G106">
        <v>0.35589999999999999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-0.1174089068825894</v>
      </c>
      <c r="Q106">
        <f t="shared" ref="Q106" si="506">F106*P106</f>
        <v>-10576588.473684058</v>
      </c>
      <c r="R106">
        <f t="shared" ref="R106" si="507">R107+Q106</f>
        <v>5814042877.5058107</v>
      </c>
      <c r="S106">
        <f t="shared" ref="S106" si="508">R106/100000</f>
        <v>58140.428775058106</v>
      </c>
      <c r="T106">
        <f t="shared" ref="T106" si="509">S106/1000</f>
        <v>58.140428775058105</v>
      </c>
    </row>
    <row r="107" spans="1:20" x14ac:dyDescent="0.25">
      <c r="A107" s="5">
        <v>44486</v>
      </c>
      <c r="B107">
        <v>0.3725</v>
      </c>
      <c r="C107">
        <v>0.3755</v>
      </c>
      <c r="D107">
        <v>0.34110000000000001</v>
      </c>
      <c r="E107">
        <v>0.35510000000000003</v>
      </c>
      <c r="F107">
        <v>75205174</v>
      </c>
      <c r="G107">
        <v>0.35510000000000003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-0.18604651162790592</v>
      </c>
      <c r="Q107">
        <f t="shared" ref="Q107" si="511">F107*P107</f>
        <v>-13991660.279069688</v>
      </c>
      <c r="R107">
        <f t="shared" ref="R107" si="512">R108+Q107</f>
        <v>5824619465.979495</v>
      </c>
      <c r="S107">
        <f t="shared" ref="S107" si="513">R107/100000</f>
        <v>58246.19465979495</v>
      </c>
      <c r="T107">
        <f t="shared" ref="T107" si="514">S107/1000</f>
        <v>58.246194659794952</v>
      </c>
    </row>
    <row r="108" spans="1:20" x14ac:dyDescent="0.25">
      <c r="A108" s="5">
        <v>44485</v>
      </c>
      <c r="B108">
        <v>0.36409999999999998</v>
      </c>
      <c r="C108">
        <v>0.37890000000000001</v>
      </c>
      <c r="D108">
        <v>0.3634</v>
      </c>
      <c r="E108">
        <v>0.3725</v>
      </c>
      <c r="F108">
        <v>64376905</v>
      </c>
      <c r="G108">
        <v>0.3725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0.17419354838709533</v>
      </c>
      <c r="Q108">
        <f t="shared" ref="Q108" si="516">F108*P108</f>
        <v>11214041.516128939</v>
      </c>
      <c r="R108">
        <f t="shared" ref="R108" si="517">R109+Q108</f>
        <v>5838611126.2585649</v>
      </c>
      <c r="S108">
        <f t="shared" ref="S108" si="518">R108/100000</f>
        <v>58386.111262585648</v>
      </c>
      <c r="T108">
        <f t="shared" ref="T108" si="519">S108/1000</f>
        <v>58.386111262585651</v>
      </c>
    </row>
    <row r="109" spans="1:20" x14ac:dyDescent="0.25">
      <c r="A109" s="5">
        <v>44484</v>
      </c>
      <c r="B109">
        <v>0.38900000000000001</v>
      </c>
      <c r="C109">
        <v>0.38929999999999998</v>
      </c>
      <c r="D109">
        <v>0.35680000000000001</v>
      </c>
      <c r="E109">
        <v>0.36409999999999998</v>
      </c>
      <c r="F109">
        <v>102996332</v>
      </c>
      <c r="G109">
        <v>0.36409999999999998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-0.55076923076923201</v>
      </c>
      <c r="Q109">
        <f t="shared" ref="Q109" si="521">F109*P109</f>
        <v>-56727210.547692433</v>
      </c>
      <c r="R109">
        <f t="shared" ref="R109" si="522">R110+Q109</f>
        <v>5827397084.7424364</v>
      </c>
      <c r="S109">
        <f t="shared" ref="S109" si="523">R109/100000</f>
        <v>58273.970847424367</v>
      </c>
      <c r="T109">
        <f t="shared" ref="T109" si="524">S109/1000</f>
        <v>58.273970847424366</v>
      </c>
    </row>
    <row r="110" spans="1:20" x14ac:dyDescent="0.25">
      <c r="A110" s="5">
        <v>44483</v>
      </c>
      <c r="B110">
        <v>0.35709999999999997</v>
      </c>
      <c r="C110">
        <v>0.4</v>
      </c>
      <c r="D110">
        <v>0.35220000000000001</v>
      </c>
      <c r="E110">
        <v>0.38900000000000001</v>
      </c>
      <c r="F110">
        <v>131719949</v>
      </c>
      <c r="G110">
        <v>0.38900000000000001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0.53974895397489508</v>
      </c>
      <c r="Q110">
        <f t="shared" ref="Q110" si="526">F110*P110</f>
        <v>71095704.690376535</v>
      </c>
      <c r="R110">
        <f t="shared" ref="R110" si="527">R111+Q110</f>
        <v>5884124295.2901287</v>
      </c>
      <c r="S110">
        <f t="shared" ref="S110" si="528">R110/100000</f>
        <v>58841.242952901288</v>
      </c>
      <c r="T110">
        <f t="shared" ref="T110" si="529">S110/1000</f>
        <v>58.84124295290129</v>
      </c>
    </row>
    <row r="111" spans="1:20" x14ac:dyDescent="0.25">
      <c r="A111" s="5">
        <v>44482</v>
      </c>
      <c r="B111">
        <v>0.3488</v>
      </c>
      <c r="C111">
        <v>0.3609</v>
      </c>
      <c r="D111">
        <v>0.33900000000000002</v>
      </c>
      <c r="E111">
        <v>0.3569</v>
      </c>
      <c r="F111">
        <v>75952367</v>
      </c>
      <c r="G111">
        <v>0.3569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0.63470319634703121</v>
      </c>
      <c r="Q111">
        <f t="shared" ref="Q111" si="531">F111*P111</f>
        <v>48207210.105022773</v>
      </c>
      <c r="R111">
        <f t="shared" ref="R111" si="532">R112+Q111</f>
        <v>5813028590.5997524</v>
      </c>
      <c r="S111">
        <f t="shared" ref="S111" si="533">R111/100000</f>
        <v>58130.285905997524</v>
      </c>
      <c r="T111">
        <f t="shared" ref="T111" si="534">S111/1000</f>
        <v>58.130285905997525</v>
      </c>
    </row>
    <row r="112" spans="1:20" x14ac:dyDescent="0.25">
      <c r="A112" s="5">
        <v>44481</v>
      </c>
      <c r="B112">
        <v>0.34339999999999998</v>
      </c>
      <c r="C112">
        <v>0.3589</v>
      </c>
      <c r="D112">
        <v>0.32</v>
      </c>
      <c r="E112">
        <v>0.3488</v>
      </c>
      <c r="F112">
        <v>104368818</v>
      </c>
      <c r="G112">
        <v>0.3488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0.48071979434447298</v>
      </c>
      <c r="Q112">
        <f t="shared" ref="Q112" si="536">F112*P112</f>
        <v>50172156.724935733</v>
      </c>
      <c r="R112">
        <f t="shared" ref="R112" si="537">R113+Q112</f>
        <v>5764821380.49473</v>
      </c>
      <c r="S112">
        <f t="shared" ref="S112" si="538">R112/100000</f>
        <v>57648.2138049473</v>
      </c>
      <c r="T112">
        <f t="shared" ref="T112" si="539">S112/1000</f>
        <v>57.648213804947297</v>
      </c>
    </row>
    <row r="113" spans="1:20" x14ac:dyDescent="0.25">
      <c r="A113" s="5">
        <v>44480</v>
      </c>
      <c r="B113">
        <v>0.3392</v>
      </c>
      <c r="C113">
        <v>0.36270000000000002</v>
      </c>
      <c r="D113">
        <v>0.3342</v>
      </c>
      <c r="E113">
        <v>0.34360000000000002</v>
      </c>
      <c r="F113">
        <v>77754428</v>
      </c>
      <c r="G113">
        <v>0.34360000000000002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-0.34035087719298168</v>
      </c>
      <c r="Q113">
        <f t="shared" ref="Q113" si="541">F113*P113</f>
        <v>-26463787.775438536</v>
      </c>
      <c r="R113">
        <f t="shared" ref="R113" si="542">R114+Q113</f>
        <v>5714649223.7697945</v>
      </c>
      <c r="S113">
        <f t="shared" ref="S113" si="543">R113/100000</f>
        <v>57146.492237697945</v>
      </c>
      <c r="T113">
        <f t="shared" ref="T113" si="544">S113/1000</f>
        <v>57.146492237697942</v>
      </c>
    </row>
    <row r="114" spans="1:20" x14ac:dyDescent="0.25">
      <c r="A114" s="5">
        <v>44479</v>
      </c>
      <c r="B114">
        <v>0.37090000000000001</v>
      </c>
      <c r="C114">
        <v>0.37109999999999999</v>
      </c>
      <c r="D114">
        <v>0.33610000000000001</v>
      </c>
      <c r="E114">
        <v>0.33900000000000002</v>
      </c>
      <c r="F114">
        <v>72408216</v>
      </c>
      <c r="G114">
        <v>0.33900000000000002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-0.83428571428571341</v>
      </c>
      <c r="Q114">
        <f t="shared" ref="Q114" si="546">F114*P114</f>
        <v>-60409140.205714226</v>
      </c>
      <c r="R114">
        <f t="shared" ref="R114" si="547">R115+Q114</f>
        <v>5741113011.5452328</v>
      </c>
      <c r="S114">
        <f t="shared" ref="S114" si="548">R114/100000</f>
        <v>57411.130115452324</v>
      </c>
      <c r="T114">
        <f t="shared" ref="T114" si="549">S114/1000</f>
        <v>57.411130115452323</v>
      </c>
    </row>
    <row r="115" spans="1:20" x14ac:dyDescent="0.25">
      <c r="A115" s="5">
        <v>44478</v>
      </c>
      <c r="B115">
        <v>0.37390000000000001</v>
      </c>
      <c r="C115">
        <v>0.37809999999999999</v>
      </c>
      <c r="D115">
        <v>0.3624</v>
      </c>
      <c r="E115">
        <v>0.37090000000000001</v>
      </c>
      <c r="F115">
        <v>72990707</v>
      </c>
      <c r="G115">
        <v>0.37090000000000001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8.2802547770702173E-2</v>
      </c>
      <c r="Q115">
        <f t="shared" ref="Q115" si="551">F115*P115</f>
        <v>6043816.5031848252</v>
      </c>
      <c r="R115">
        <f t="shared" ref="R115" si="552">R116+Q115</f>
        <v>5801522151.750947</v>
      </c>
      <c r="S115">
        <f t="shared" ref="S115" si="553">R115/100000</f>
        <v>58015.221517509468</v>
      </c>
      <c r="T115">
        <f t="shared" ref="T115" si="554">S115/1000</f>
        <v>58.015221517509467</v>
      </c>
    </row>
    <row r="116" spans="1:20" x14ac:dyDescent="0.25">
      <c r="A116" s="5">
        <v>44477</v>
      </c>
      <c r="B116">
        <v>0.37809999999999999</v>
      </c>
      <c r="C116">
        <v>0.39119999999999999</v>
      </c>
      <c r="D116">
        <v>0.36919999999999997</v>
      </c>
      <c r="E116">
        <v>0.37380000000000002</v>
      </c>
      <c r="F116">
        <v>91472675</v>
      </c>
      <c r="G116">
        <v>0.37380000000000002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-0.58181818181817779</v>
      </c>
      <c r="Q116">
        <f t="shared" ref="Q116" si="556">F116*P116</f>
        <v>-53220465.454545088</v>
      </c>
      <c r="R116">
        <f t="shared" ref="R116" si="557">R117+Q116</f>
        <v>5795478335.2477617</v>
      </c>
      <c r="S116">
        <f t="shared" ref="S116" si="558">R116/100000</f>
        <v>57954.783352477614</v>
      </c>
      <c r="T116">
        <f t="shared" ref="T116" si="559">S116/1000</f>
        <v>57.954783352477612</v>
      </c>
    </row>
    <row r="117" spans="1:20" x14ac:dyDescent="0.25">
      <c r="A117" s="5">
        <v>44476</v>
      </c>
      <c r="B117">
        <v>0.38129999999999997</v>
      </c>
      <c r="C117">
        <v>0.39460000000000001</v>
      </c>
      <c r="D117">
        <v>0.36509999999999998</v>
      </c>
      <c r="E117">
        <v>0.378</v>
      </c>
      <c r="F117">
        <v>135668223</v>
      </c>
      <c r="G117">
        <v>0.378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-0.12542372881355857</v>
      </c>
      <c r="Q117">
        <f t="shared" ref="Q117" si="561">F117*P117</f>
        <v>-17016014.410169389</v>
      </c>
      <c r="R117">
        <f t="shared" ref="R117" si="562">R118+Q117</f>
        <v>5848698800.7023067</v>
      </c>
      <c r="S117">
        <f t="shared" ref="S117" si="563">R117/100000</f>
        <v>58486.988007023065</v>
      </c>
      <c r="T117">
        <f t="shared" ref="T117" si="564">S117/1000</f>
        <v>58.486988007023065</v>
      </c>
    </row>
    <row r="118" spans="1:20" x14ac:dyDescent="0.25">
      <c r="A118" s="5">
        <v>44475</v>
      </c>
      <c r="B118">
        <v>0.40339999999999998</v>
      </c>
      <c r="C118">
        <v>0.40839999999999999</v>
      </c>
      <c r="D118">
        <v>0.3619</v>
      </c>
      <c r="E118">
        <v>0.38150000000000001</v>
      </c>
      <c r="F118">
        <v>134074685</v>
      </c>
      <c r="G118">
        <v>0.38150000000000001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-0.15698924731182742</v>
      </c>
      <c r="Q118">
        <f t="shared" ref="Q118" si="566">F118*P118</f>
        <v>-21048283.88172036</v>
      </c>
      <c r="R118">
        <f t="shared" ref="R118" si="567">R119+Q118</f>
        <v>5865714815.1124763</v>
      </c>
      <c r="S118">
        <f t="shared" ref="S118" si="568">R118/100000</f>
        <v>58657.148151124762</v>
      </c>
      <c r="T118">
        <f t="shared" ref="T118" si="569">S118/1000</f>
        <v>58.657148151124765</v>
      </c>
    </row>
    <row r="119" spans="1:20" x14ac:dyDescent="0.25">
      <c r="A119" s="5">
        <v>44474</v>
      </c>
      <c r="B119">
        <v>0.4047</v>
      </c>
      <c r="C119">
        <v>0.42249999999999999</v>
      </c>
      <c r="D119">
        <v>0.38579999999999998</v>
      </c>
      <c r="E119">
        <v>0.40350000000000003</v>
      </c>
      <c r="F119">
        <v>126497121</v>
      </c>
      <c r="G119">
        <v>0.40350000000000003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-3.5422343324248283E-2</v>
      </c>
      <c r="Q119">
        <f t="shared" ref="Q119" si="571">F119*P119</f>
        <v>-4480824.4495909773</v>
      </c>
      <c r="R119">
        <f t="shared" ref="R119" si="572">R120+Q119</f>
        <v>5886763098.9941969</v>
      </c>
      <c r="S119">
        <f t="shared" ref="S119" si="573">R119/100000</f>
        <v>58867.630989941972</v>
      </c>
      <c r="T119">
        <f t="shared" ref="T119" si="574">S119/1000</f>
        <v>58.867630989941972</v>
      </c>
    </row>
    <row r="120" spans="1:20" x14ac:dyDescent="0.25">
      <c r="A120" s="5">
        <v>44473</v>
      </c>
      <c r="B120">
        <v>0.39889999999999998</v>
      </c>
      <c r="C120">
        <v>0.42799999999999999</v>
      </c>
      <c r="D120">
        <v>0.37740000000000001</v>
      </c>
      <c r="E120">
        <v>0.40699999999999997</v>
      </c>
      <c r="F120">
        <v>199790362</v>
      </c>
      <c r="G120">
        <v>0.40699999999999997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0.1699604743082993</v>
      </c>
      <c r="Q120">
        <f t="shared" ref="Q120" si="576">F120*P120</f>
        <v>33956464.687746815</v>
      </c>
      <c r="R120">
        <f t="shared" ref="R120" si="577">R121+Q120</f>
        <v>5891243923.4437876</v>
      </c>
      <c r="S120">
        <f t="shared" ref="S120" si="578">R120/100000</f>
        <v>58912.439234437879</v>
      </c>
      <c r="T120">
        <f t="shared" ref="T120" si="579">S120/1000</f>
        <v>58.912439234437876</v>
      </c>
    </row>
    <row r="121" spans="1:20" x14ac:dyDescent="0.25">
      <c r="A121" s="5">
        <v>44472</v>
      </c>
      <c r="B121">
        <v>0.38550000000000001</v>
      </c>
      <c r="C121">
        <v>0.41959999999999997</v>
      </c>
      <c r="D121">
        <v>0.3735</v>
      </c>
      <c r="E121">
        <v>0.39629999999999999</v>
      </c>
      <c r="F121">
        <v>146980627</v>
      </c>
      <c r="G121">
        <v>0.39629999999999999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-1.0845986984815634E-2</v>
      </c>
      <c r="Q121">
        <f t="shared" ref="Q121" si="581">F121*P121</f>
        <v>-1594149.9674620414</v>
      </c>
      <c r="R121">
        <f t="shared" ref="R121" si="582">R122+Q121</f>
        <v>5857287458.7560406</v>
      </c>
      <c r="S121">
        <f t="shared" ref="S121" si="583">R121/100000</f>
        <v>58572.874587560407</v>
      </c>
      <c r="T121">
        <f t="shared" ref="T121" si="584">S121/1000</f>
        <v>58.572874587560406</v>
      </c>
    </row>
    <row r="122" spans="1:20" x14ac:dyDescent="0.25">
      <c r="A122" s="5">
        <v>44471</v>
      </c>
      <c r="B122">
        <v>0.36520000000000002</v>
      </c>
      <c r="C122">
        <v>0.41770000000000002</v>
      </c>
      <c r="D122">
        <v>0.3569</v>
      </c>
      <c r="E122">
        <v>0.38550000000000001</v>
      </c>
      <c r="F122">
        <v>160431019</v>
      </c>
      <c r="G122">
        <v>0.38550000000000001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-5.9210526315789325E-2</v>
      </c>
      <c r="Q122">
        <f t="shared" ref="Q122" si="586">F122*P122</f>
        <v>-9499205.0723683964</v>
      </c>
      <c r="R122">
        <f t="shared" ref="R122" si="587">R123+Q122</f>
        <v>5858881608.7235022</v>
      </c>
      <c r="S122">
        <f t="shared" ref="S122" si="588">R122/100000</f>
        <v>58588.81608723502</v>
      </c>
      <c r="T122">
        <f t="shared" ref="T122" si="589">S122/1000</f>
        <v>58.588816087235017</v>
      </c>
    </row>
    <row r="123" spans="1:20" x14ac:dyDescent="0.25">
      <c r="A123" s="5">
        <v>44470</v>
      </c>
      <c r="B123">
        <v>0.33800000000000002</v>
      </c>
      <c r="C123">
        <v>0.37</v>
      </c>
      <c r="D123">
        <v>0.32740000000000002</v>
      </c>
      <c r="E123">
        <v>0.36499999999999999</v>
      </c>
      <c r="F123">
        <v>127871203</v>
      </c>
      <c r="G123">
        <v>0.36499999999999999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0.76525821596244092</v>
      </c>
      <c r="Q123">
        <f t="shared" ref="Q123" si="591">F123*P123</f>
        <v>97854488.68075113</v>
      </c>
      <c r="R123">
        <f t="shared" ref="R123" si="592">R124+Q123</f>
        <v>5868380813.7958708</v>
      </c>
      <c r="S123">
        <f t="shared" ref="S123" si="593">R123/100000</f>
        <v>58683.808137958709</v>
      </c>
      <c r="T123">
        <f t="shared" ref="T123" si="594">S123/1000</f>
        <v>58.683808137958707</v>
      </c>
    </row>
    <row r="124" spans="1:20" x14ac:dyDescent="0.25">
      <c r="A124" s="5">
        <v>44469</v>
      </c>
      <c r="B124">
        <v>0.31080000000000002</v>
      </c>
      <c r="C124">
        <v>0.34350000000000003</v>
      </c>
      <c r="D124">
        <v>0.30869999999999997</v>
      </c>
      <c r="E124">
        <v>0.33800000000000002</v>
      </c>
      <c r="F124">
        <v>118598022</v>
      </c>
      <c r="G124">
        <v>0.33800000000000002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0.68390804597701171</v>
      </c>
      <c r="Q124">
        <f t="shared" ref="Q124" si="596">F124*P124</f>
        <v>81110141.482758641</v>
      </c>
      <c r="R124">
        <f t="shared" ref="R124" si="597">R125+Q124</f>
        <v>5770526325.1151199</v>
      </c>
      <c r="S124">
        <f t="shared" ref="S124" si="598">R124/100000</f>
        <v>57705.263251151198</v>
      </c>
      <c r="T124">
        <f t="shared" ref="T124" si="599">S124/1000</f>
        <v>57.705263251151202</v>
      </c>
    </row>
    <row r="125" spans="1:20" x14ac:dyDescent="0.25">
      <c r="A125" s="5">
        <v>44468</v>
      </c>
      <c r="B125">
        <v>0.30330000000000001</v>
      </c>
      <c r="C125">
        <v>0.32679999999999998</v>
      </c>
      <c r="D125">
        <v>0.30009999999999998</v>
      </c>
      <c r="E125">
        <v>0.31080000000000002</v>
      </c>
      <c r="F125">
        <v>113361389</v>
      </c>
      <c r="G125">
        <v>0.31080000000000002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-0.19850187265917288</v>
      </c>
      <c r="Q125">
        <f t="shared" ref="Q125" si="601">F125*P125</f>
        <v>-22502448.00374496</v>
      </c>
      <c r="R125">
        <f t="shared" ref="R125" si="602">R126+Q125</f>
        <v>5689416183.6323614</v>
      </c>
      <c r="S125">
        <f t="shared" ref="S125" si="603">R125/100000</f>
        <v>56894.161836323612</v>
      </c>
      <c r="T125">
        <f t="shared" ref="T125" si="604">S125/1000</f>
        <v>56.894161836323612</v>
      </c>
    </row>
    <row r="126" spans="1:20" x14ac:dyDescent="0.25">
      <c r="A126" s="5">
        <v>44467</v>
      </c>
      <c r="B126">
        <v>0.31919999999999998</v>
      </c>
      <c r="C126">
        <v>0.3261</v>
      </c>
      <c r="D126">
        <v>0.30170000000000002</v>
      </c>
      <c r="E126">
        <v>0.30349999999999999</v>
      </c>
      <c r="F126">
        <v>105676306</v>
      </c>
      <c r="G126">
        <v>0.30349999999999999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-0.85245901639344512</v>
      </c>
      <c r="Q126">
        <f t="shared" ref="Q126" si="606">F126*P126</f>
        <v>-90084719.86885272</v>
      </c>
      <c r="R126">
        <f t="shared" ref="R126" si="607">R127+Q126</f>
        <v>5711918631.6361065</v>
      </c>
      <c r="S126">
        <f t="shared" ref="S126" si="608">R126/100000</f>
        <v>57119.186316361061</v>
      </c>
      <c r="T126">
        <f t="shared" ref="T126" si="609">S126/1000</f>
        <v>57.119186316361059</v>
      </c>
    </row>
    <row r="127" spans="1:20" x14ac:dyDescent="0.25">
      <c r="A127" s="5">
        <v>44466</v>
      </c>
      <c r="B127">
        <v>0.33450000000000002</v>
      </c>
      <c r="C127">
        <v>0.3765</v>
      </c>
      <c r="D127">
        <v>0.31130000000000002</v>
      </c>
      <c r="E127">
        <v>0.31929999999999997</v>
      </c>
      <c r="F127">
        <v>116267929</v>
      </c>
      <c r="G127">
        <v>0.31929999999999997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-0.75460122699386645</v>
      </c>
      <c r="Q127">
        <f t="shared" ref="Q127" si="611">F127*P127</f>
        <v>-87735921.883435741</v>
      </c>
      <c r="R127">
        <f t="shared" ref="R127" si="612">R128+Q127</f>
        <v>5802003351.5049591</v>
      </c>
      <c r="S127">
        <f t="shared" ref="S127" si="613">R127/100000</f>
        <v>58020.033515049588</v>
      </c>
      <c r="T127">
        <f t="shared" ref="T127" si="614">S127/1000</f>
        <v>58.02003351504959</v>
      </c>
    </row>
    <row r="128" spans="1:20" x14ac:dyDescent="0.25">
      <c r="A128" s="5">
        <v>44465</v>
      </c>
      <c r="B128">
        <v>0.3417</v>
      </c>
      <c r="C128">
        <v>0.34599999999999997</v>
      </c>
      <c r="D128">
        <v>0.30599999999999999</v>
      </c>
      <c r="E128">
        <v>0.33460000000000001</v>
      </c>
      <c r="F128">
        <v>141394809</v>
      </c>
      <c r="G128">
        <v>0.33460000000000001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0.43000000000000144</v>
      </c>
      <c r="Q128">
        <f t="shared" ref="Q128" si="616">F128*P128</f>
        <v>60799767.870000206</v>
      </c>
      <c r="R128">
        <f t="shared" ref="R128" si="617">R129+Q128</f>
        <v>5889739273.3883953</v>
      </c>
      <c r="S128">
        <f t="shared" ref="S128" si="618">R128/100000</f>
        <v>58897.392733883957</v>
      </c>
      <c r="T128">
        <f t="shared" ref="T128" si="619">S128/1000</f>
        <v>58.897392733883954</v>
      </c>
    </row>
    <row r="129" spans="1:20" x14ac:dyDescent="0.25">
      <c r="A129" s="5">
        <v>44464</v>
      </c>
      <c r="B129">
        <v>0.34989999999999999</v>
      </c>
      <c r="C129">
        <v>0.35780000000000001</v>
      </c>
      <c r="D129">
        <v>0.3246</v>
      </c>
      <c r="E129">
        <v>0.3417</v>
      </c>
      <c r="F129">
        <v>132630865</v>
      </c>
      <c r="G129">
        <v>0.3417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3.0120481927710864E-2</v>
      </c>
      <c r="Q129">
        <f t="shared" ref="Q129" si="621">F129*P129</f>
        <v>3994905.5722891595</v>
      </c>
      <c r="R129">
        <f t="shared" ref="R129" si="622">R130+Q129</f>
        <v>5828939505.5183954</v>
      </c>
      <c r="S129">
        <f t="shared" ref="S129" si="623">R129/100000</f>
        <v>58289.395055183952</v>
      </c>
      <c r="T129">
        <f t="shared" ref="T129" si="624">S129/1000</f>
        <v>58.289395055183952</v>
      </c>
    </row>
    <row r="130" spans="1:20" x14ac:dyDescent="0.25">
      <c r="A130" s="5">
        <v>44463</v>
      </c>
      <c r="B130">
        <v>0.38279999999999997</v>
      </c>
      <c r="C130">
        <v>0.38479999999999998</v>
      </c>
      <c r="D130">
        <v>0.31</v>
      </c>
      <c r="E130">
        <v>0.3498</v>
      </c>
      <c r="F130">
        <v>293864544</v>
      </c>
      <c r="G130">
        <v>0.3498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6.4171122994652774E-2</v>
      </c>
      <c r="Q130">
        <f t="shared" ref="Q130" si="626">F130*P130</f>
        <v>18857617.796791553</v>
      </c>
      <c r="R130">
        <f t="shared" ref="R130" si="627">R131+Q130</f>
        <v>5824944599.946106</v>
      </c>
      <c r="S130">
        <f t="shared" ref="S130" si="628">R130/100000</f>
        <v>58249.445999461059</v>
      </c>
      <c r="T130">
        <f t="shared" ref="T130" si="629">S130/1000</f>
        <v>58.249445999461059</v>
      </c>
    </row>
    <row r="131" spans="1:20" x14ac:dyDescent="0.25">
      <c r="A131" s="5">
        <v>44462</v>
      </c>
      <c r="B131">
        <v>0.3664</v>
      </c>
      <c r="C131">
        <v>0.39360000000000001</v>
      </c>
      <c r="D131">
        <v>0.35770000000000002</v>
      </c>
      <c r="E131">
        <v>0.38290000000000002</v>
      </c>
      <c r="F131">
        <v>211097706</v>
      </c>
      <c r="G131">
        <v>0.38290000000000002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0.40389972144846847</v>
      </c>
      <c r="Q131">
        <f t="shared" ref="Q131" si="631">F131*P131</f>
        <v>85262304.651810691</v>
      </c>
      <c r="R131">
        <f t="shared" ref="R131" si="632">R132+Q131</f>
        <v>5806086982.1493149</v>
      </c>
      <c r="S131">
        <f t="shared" ref="S131" si="633">R131/100000</f>
        <v>58060.86982149315</v>
      </c>
      <c r="T131">
        <f t="shared" ref="T131" si="634">S131/1000</f>
        <v>58.060869821493149</v>
      </c>
    </row>
    <row r="132" spans="1:20" x14ac:dyDescent="0.25">
      <c r="A132" s="5">
        <v>44461</v>
      </c>
      <c r="B132">
        <v>0.30559999999999998</v>
      </c>
      <c r="C132">
        <v>0.38090000000000002</v>
      </c>
      <c r="D132">
        <v>0.29899999999999999</v>
      </c>
      <c r="E132">
        <v>0.36659999999999998</v>
      </c>
      <c r="F132">
        <v>278554928</v>
      </c>
      <c r="G132">
        <v>0.36659999999999998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0.65079365079365004</v>
      </c>
      <c r="Q132">
        <f t="shared" ref="Q132" si="636">F132*P132</f>
        <v>181281778.53968233</v>
      </c>
      <c r="R132">
        <f t="shared" ref="R132" si="637">R133+Q132</f>
        <v>5720824677.4975042</v>
      </c>
      <c r="S132">
        <f t="shared" ref="S132" si="638">R132/100000</f>
        <v>57208.246774975043</v>
      </c>
      <c r="T132">
        <f t="shared" ref="T132" si="639">S132/1000</f>
        <v>57.208246774975045</v>
      </c>
    </row>
    <row r="133" spans="1:20" x14ac:dyDescent="0.25">
      <c r="A133" s="5">
        <v>44460</v>
      </c>
      <c r="B133">
        <v>0.33950000000000002</v>
      </c>
      <c r="C133">
        <v>0.3553</v>
      </c>
      <c r="D133">
        <v>0.28799999999999998</v>
      </c>
      <c r="E133">
        <v>0.30549999999999999</v>
      </c>
      <c r="F133">
        <v>347570961</v>
      </c>
      <c r="G133">
        <v>0.30549999999999999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-0.47994056463595813</v>
      </c>
      <c r="Q133">
        <f t="shared" ref="Q133" si="641">F133*P133</f>
        <v>-166813403.27340257</v>
      </c>
      <c r="R133">
        <f t="shared" ref="R133" si="642">R134+Q133</f>
        <v>5539542898.9578218</v>
      </c>
      <c r="S133">
        <f t="shared" ref="S133" si="643">R133/100000</f>
        <v>55395.42898957822</v>
      </c>
      <c r="T133">
        <f t="shared" ref="T133" si="644">S133/1000</f>
        <v>55.395428989578221</v>
      </c>
    </row>
    <row r="134" spans="1:20" x14ac:dyDescent="0.25">
      <c r="A134" s="5">
        <v>44459</v>
      </c>
      <c r="B134">
        <v>0.39689999999999998</v>
      </c>
      <c r="C134">
        <v>0.39710000000000001</v>
      </c>
      <c r="D134">
        <v>0.34350000000000003</v>
      </c>
      <c r="E134">
        <v>0.35399999999999998</v>
      </c>
      <c r="F134">
        <v>127605188</v>
      </c>
      <c r="G134">
        <v>0.35399999999999998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-0.60820895522388219</v>
      </c>
      <c r="Q134">
        <f t="shared" ref="Q134" si="646">F134*P134</f>
        <v>-77610618.074627072</v>
      </c>
      <c r="R134">
        <f t="shared" ref="R134" si="647">R135+Q134</f>
        <v>5706356302.2312241</v>
      </c>
      <c r="S134">
        <f t="shared" ref="S134" si="648">R134/100000</f>
        <v>57063.563022312243</v>
      </c>
      <c r="T134">
        <f t="shared" ref="T134" si="649">S134/1000</f>
        <v>57.063563022312245</v>
      </c>
    </row>
    <row r="135" spans="1:20" x14ac:dyDescent="0.25">
      <c r="A135" s="5">
        <v>44458</v>
      </c>
      <c r="B135">
        <v>0.42980000000000002</v>
      </c>
      <c r="C135">
        <v>0.4299</v>
      </c>
      <c r="D135">
        <v>0.38819999999999999</v>
      </c>
      <c r="E135">
        <v>0.39679999999999999</v>
      </c>
      <c r="F135">
        <v>126772194</v>
      </c>
      <c r="G135">
        <v>0.39679999999999999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-0.587529976019185</v>
      </c>
      <c r="Q135">
        <f t="shared" ref="Q135" si="651">F135*P135</f>
        <v>-74482464.100719467</v>
      </c>
      <c r="R135">
        <f t="shared" ref="R135" si="652">R136+Q135</f>
        <v>5783966920.305851</v>
      </c>
      <c r="S135">
        <f t="shared" ref="S135" si="653">R135/100000</f>
        <v>57839.669203058511</v>
      </c>
      <c r="T135">
        <f t="shared" ref="T135" si="654">S135/1000</f>
        <v>57.839669203058513</v>
      </c>
    </row>
    <row r="136" spans="1:20" x14ac:dyDescent="0.25">
      <c r="A136" s="5">
        <v>44457</v>
      </c>
      <c r="B136">
        <v>0.42609999999999998</v>
      </c>
      <c r="C136">
        <v>0.45340000000000003</v>
      </c>
      <c r="D136">
        <v>0.4088</v>
      </c>
      <c r="E136">
        <v>0.4294</v>
      </c>
      <c r="F136">
        <v>197378012</v>
      </c>
      <c r="G136">
        <v>0.4294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-7.6233183856502504E-2</v>
      </c>
      <c r="Q136">
        <f t="shared" ref="Q136" si="656">F136*P136</f>
        <v>-15046754.278026957</v>
      </c>
      <c r="R136">
        <f t="shared" ref="R136" si="657">R137+Q136</f>
        <v>5858449384.4065704</v>
      </c>
      <c r="S136">
        <f t="shared" ref="S136" si="658">R136/100000</f>
        <v>58584.493844065706</v>
      </c>
      <c r="T136">
        <f t="shared" ref="T136" si="659">S136/1000</f>
        <v>58.584493844065705</v>
      </c>
    </row>
    <row r="137" spans="1:20" x14ac:dyDescent="0.25">
      <c r="A137" s="5">
        <v>44456</v>
      </c>
      <c r="B137">
        <v>0.47670000000000001</v>
      </c>
      <c r="C137">
        <v>0.47699999999999998</v>
      </c>
      <c r="D137">
        <v>0.41499999999999998</v>
      </c>
      <c r="E137">
        <v>0.42599999999999999</v>
      </c>
      <c r="F137">
        <v>273369374</v>
      </c>
      <c r="G137">
        <v>0.42599999999999999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-0.64516129032258029</v>
      </c>
      <c r="Q137">
        <f t="shared" ref="Q137" si="661">F137*P137</f>
        <v>-176367338.06451604</v>
      </c>
      <c r="R137">
        <f t="shared" ref="R137" si="662">R138+Q137</f>
        <v>5873496138.684597</v>
      </c>
      <c r="S137">
        <f t="shared" ref="S137" si="663">R137/100000</f>
        <v>58734.961386845971</v>
      </c>
      <c r="T137">
        <f t="shared" ref="T137" si="664">S137/1000</f>
        <v>58.734961386845974</v>
      </c>
    </row>
    <row r="138" spans="1:20" x14ac:dyDescent="0.25">
      <c r="A138" s="5">
        <v>44455</v>
      </c>
      <c r="B138">
        <v>0.50490000000000002</v>
      </c>
      <c r="C138">
        <v>0.57599999999999996</v>
      </c>
      <c r="D138">
        <v>0.4602</v>
      </c>
      <c r="E138">
        <v>0.47670000000000001</v>
      </c>
      <c r="F138">
        <v>486075609</v>
      </c>
      <c r="G138">
        <v>0.47670000000000001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-0.71502590673575095</v>
      </c>
      <c r="Q138">
        <f t="shared" ref="Q138" si="666">F138*P138</f>
        <v>-347556653.06735736</v>
      </c>
      <c r="R138">
        <f t="shared" ref="R138" si="667">R139+Q138</f>
        <v>6049863476.7491131</v>
      </c>
      <c r="S138">
        <f t="shared" ref="S138" si="668">R138/100000</f>
        <v>60498.63476749113</v>
      </c>
      <c r="T138">
        <f t="shared" ref="T138" si="669">S138/1000</f>
        <v>60.498634767491133</v>
      </c>
    </row>
    <row r="139" spans="1:20" x14ac:dyDescent="0.25">
      <c r="A139" s="5">
        <v>44454</v>
      </c>
      <c r="B139">
        <v>0.45610000000000001</v>
      </c>
      <c r="C139">
        <v>0.56950000000000001</v>
      </c>
      <c r="D139">
        <v>0.45390000000000003</v>
      </c>
      <c r="E139">
        <v>0.505</v>
      </c>
      <c r="F139">
        <v>467415443.69999999</v>
      </c>
      <c r="G139">
        <v>0.505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-0.11591695501730126</v>
      </c>
      <c r="Q139">
        <f t="shared" ref="Q139" si="671">F139*P139</f>
        <v>-54181374.961764805</v>
      </c>
      <c r="R139">
        <f t="shared" ref="R139" si="672">R140+Q139</f>
        <v>6397420129.8164701</v>
      </c>
      <c r="S139">
        <f t="shared" ref="S139" si="673">R139/100000</f>
        <v>63974.201298164699</v>
      </c>
      <c r="T139">
        <f t="shared" ref="T139" si="674">S139/1000</f>
        <v>63.974201298164701</v>
      </c>
    </row>
    <row r="140" spans="1:20" x14ac:dyDescent="0.25">
      <c r="A140" s="5">
        <v>44453</v>
      </c>
      <c r="B140">
        <v>0.43180000000000002</v>
      </c>
      <c r="C140">
        <v>0.48770000000000002</v>
      </c>
      <c r="D140">
        <v>0.40129999999999999</v>
      </c>
      <c r="E140">
        <v>0.45629999999999998</v>
      </c>
      <c r="F140">
        <v>377588122.39999998</v>
      </c>
      <c r="G140">
        <v>0.45629999999999998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0.27314814814814753</v>
      </c>
      <c r="Q140">
        <f t="shared" ref="Q140" si="676">F140*P140</f>
        <v>103137496.39629605</v>
      </c>
      <c r="R140">
        <f t="shared" ref="R140" si="677">R141+Q140</f>
        <v>6451601504.7782345</v>
      </c>
      <c r="S140">
        <f t="shared" ref="S140" si="678">R140/100000</f>
        <v>64516.015047782348</v>
      </c>
      <c r="T140">
        <f t="shared" ref="T140" si="679">S140/1000</f>
        <v>64.516015047782346</v>
      </c>
    </row>
    <row r="141" spans="1:20" x14ac:dyDescent="0.25">
      <c r="A141" s="5">
        <v>44452</v>
      </c>
      <c r="B141">
        <v>0.42499999999999999</v>
      </c>
      <c r="C141">
        <v>0.44750000000000001</v>
      </c>
      <c r="D141">
        <v>0.36699999999999999</v>
      </c>
      <c r="E141">
        <v>0.43169999999999997</v>
      </c>
      <c r="F141">
        <v>485861970.89999998</v>
      </c>
      <c r="G141">
        <v>0.43169999999999997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0.60745341614906745</v>
      </c>
      <c r="Q141">
        <f t="shared" ref="Q141" si="681">F141*P141</f>
        <v>295138514.0001238</v>
      </c>
      <c r="R141">
        <f t="shared" ref="R141" si="682">R142+Q141</f>
        <v>6348464008.381938</v>
      </c>
      <c r="S141">
        <f t="shared" ref="S141" si="683">R141/100000</f>
        <v>63484.64008381938</v>
      </c>
      <c r="T141">
        <f t="shared" ref="T141" si="684">S141/1000</f>
        <v>63.484640083819379</v>
      </c>
    </row>
    <row r="142" spans="1:20" x14ac:dyDescent="0.25">
      <c r="A142" s="5">
        <v>44451</v>
      </c>
      <c r="B142">
        <v>0.36320000000000002</v>
      </c>
      <c r="C142">
        <v>0.42749999999999999</v>
      </c>
      <c r="D142">
        <v>0.34689999999999999</v>
      </c>
      <c r="E142">
        <v>0.42420000000000002</v>
      </c>
      <c r="F142">
        <v>275601596.39999998</v>
      </c>
      <c r="G142">
        <v>0.42420000000000002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0.91811414392059632</v>
      </c>
      <c r="Q142">
        <f t="shared" ref="Q142" si="686">F142*P142</f>
        <v>253033723.74193567</v>
      </c>
      <c r="R142">
        <f t="shared" ref="R142" si="687">R143+Q142</f>
        <v>6053325494.381814</v>
      </c>
      <c r="S142">
        <f t="shared" ref="S142" si="688">R142/100000</f>
        <v>60533.254943818138</v>
      </c>
      <c r="T142">
        <f t="shared" ref="T142" si="689">S142/1000</f>
        <v>60.533254943818136</v>
      </c>
    </row>
    <row r="143" spans="1:20" x14ac:dyDescent="0.25">
      <c r="A143" s="5">
        <v>44450</v>
      </c>
      <c r="B143">
        <v>0.31630000000000003</v>
      </c>
      <c r="C143">
        <v>0.39</v>
      </c>
      <c r="D143">
        <v>0.31340000000000001</v>
      </c>
      <c r="E143">
        <v>0.36299999999999999</v>
      </c>
      <c r="F143">
        <v>320592718.80000001</v>
      </c>
      <c r="G143">
        <v>0.36299999999999999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0.29503916449086098</v>
      </c>
      <c r="Q143">
        <f t="shared" ref="Q143" si="691">F143*P143</f>
        <v>94587407.896605551</v>
      </c>
      <c r="R143">
        <f t="shared" ref="R143" si="692">R144+Q143</f>
        <v>5800291770.6398783</v>
      </c>
      <c r="S143">
        <f t="shared" ref="S143" si="693">R143/100000</f>
        <v>58002.917706398781</v>
      </c>
      <c r="T143">
        <f t="shared" ref="T143" si="694">S143/1000</f>
        <v>58.002917706398783</v>
      </c>
    </row>
    <row r="144" spans="1:20" x14ac:dyDescent="0.25">
      <c r="A144" s="5">
        <v>44449</v>
      </c>
      <c r="B144">
        <v>0.33079999999999998</v>
      </c>
      <c r="C144">
        <v>0.33879999999999999</v>
      </c>
      <c r="D144">
        <v>0.2928</v>
      </c>
      <c r="E144">
        <v>0.31630000000000003</v>
      </c>
      <c r="F144">
        <v>151986170</v>
      </c>
      <c r="G144">
        <v>0.31630000000000003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2.1739130434783843E-2</v>
      </c>
      <c r="Q144">
        <f t="shared" ref="Q144" si="696">F144*P144</f>
        <v>3304047.1739132311</v>
      </c>
      <c r="R144">
        <f t="shared" ref="R144" si="697">R145+Q144</f>
        <v>5705704362.7432728</v>
      </c>
      <c r="S144">
        <f t="shared" ref="S144" si="698">R144/100000</f>
        <v>57057.043627432729</v>
      </c>
      <c r="T144">
        <f t="shared" ref="T144" si="699">S144/1000</f>
        <v>57.057043627432726</v>
      </c>
    </row>
    <row r="145" spans="1:20" x14ac:dyDescent="0.25">
      <c r="A145" s="5">
        <v>44448</v>
      </c>
      <c r="B145">
        <v>0.31869999999999998</v>
      </c>
      <c r="C145">
        <v>0.36209999999999998</v>
      </c>
      <c r="D145">
        <v>0.30409999999999998</v>
      </c>
      <c r="E145">
        <v>0.33100000000000002</v>
      </c>
      <c r="F145">
        <v>353485394.60000002</v>
      </c>
      <c r="G145">
        <v>0.33100000000000002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-7.2413793103447005E-2</v>
      </c>
      <c r="Q145">
        <f t="shared" ref="Q145" si="701">F145*P145</f>
        <v>-25597218.229654726</v>
      </c>
      <c r="R145">
        <f t="shared" ref="R145" si="702">R146+Q145</f>
        <v>5702400315.5693598</v>
      </c>
      <c r="S145">
        <f t="shared" ref="S145" si="703">R145/100000</f>
        <v>57024.003155693601</v>
      </c>
      <c r="T145">
        <f t="shared" ref="T145" si="704">S145/1000</f>
        <v>57.024003155693599</v>
      </c>
    </row>
    <row r="146" spans="1:20" x14ac:dyDescent="0.25">
      <c r="A146" s="5">
        <v>44447</v>
      </c>
      <c r="B146">
        <v>0.27160000000000001</v>
      </c>
      <c r="C146">
        <v>0.3266</v>
      </c>
      <c r="D146">
        <v>0.24349999999999999</v>
      </c>
      <c r="E146">
        <v>0.31879999999999997</v>
      </c>
      <c r="F146">
        <v>243410350</v>
      </c>
      <c r="G146">
        <v>0.31879999999999997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0.81227436823104626</v>
      </c>
      <c r="Q146">
        <f t="shared" ref="Q146" si="706">F146*P146</f>
        <v>197715988.26714784</v>
      </c>
      <c r="R146">
        <f t="shared" ref="R146" si="707">R147+Q146</f>
        <v>5727997533.7990141</v>
      </c>
      <c r="S146">
        <f t="shared" ref="S146" si="708">R146/100000</f>
        <v>57279.975337990138</v>
      </c>
      <c r="T146">
        <f t="shared" ref="T146" si="709">S146/1000</f>
        <v>57.279975337990138</v>
      </c>
    </row>
    <row r="147" spans="1:20" x14ac:dyDescent="0.25">
      <c r="A147" s="5">
        <v>44446</v>
      </c>
      <c r="B147">
        <v>0.312</v>
      </c>
      <c r="C147">
        <v>0.34477000000000002</v>
      </c>
      <c r="D147">
        <v>0.23100000000000001</v>
      </c>
      <c r="E147">
        <v>0.27200000000000002</v>
      </c>
      <c r="F147">
        <v>339110257.39999998</v>
      </c>
      <c r="G147">
        <v>0.27200000000000002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-0.27924760481673544</v>
      </c>
      <c r="Q147">
        <f t="shared" ref="Q147" si="711">F147*P147</f>
        <v>-94695727.147736624</v>
      </c>
      <c r="R147">
        <f t="shared" ref="R147" si="712">R148+Q147</f>
        <v>5530281545.5318661</v>
      </c>
      <c r="S147">
        <f t="shared" ref="S147" si="713">R147/100000</f>
        <v>55302.815455318661</v>
      </c>
      <c r="T147">
        <f t="shared" ref="T147" si="714">S147/1000</f>
        <v>55.302815455318658</v>
      </c>
    </row>
    <row r="148" spans="1:20" x14ac:dyDescent="0.25">
      <c r="A148" s="5">
        <v>44445</v>
      </c>
      <c r="B148">
        <v>0.3075</v>
      </c>
      <c r="C148">
        <v>0.31940000000000002</v>
      </c>
      <c r="D148">
        <v>0.29530000000000001</v>
      </c>
      <c r="E148">
        <v>0.312</v>
      </c>
      <c r="F148">
        <v>102705258</v>
      </c>
      <c r="G148">
        <v>0.312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0.38589211618257141</v>
      </c>
      <c r="Q148">
        <f t="shared" ref="Q148" si="716">F148*P148</f>
        <v>39633149.35269697</v>
      </c>
      <c r="R148">
        <f t="shared" ref="R148" si="717">R149+Q148</f>
        <v>5624977272.6796026</v>
      </c>
      <c r="S148">
        <f t="shared" ref="S148" si="718">R148/100000</f>
        <v>56249.772726796029</v>
      </c>
      <c r="T148">
        <f t="shared" ref="T148" si="719">S148/1000</f>
        <v>56.249772726796031</v>
      </c>
    </row>
    <row r="149" spans="1:20" x14ac:dyDescent="0.25">
      <c r="A149" s="5">
        <v>44444</v>
      </c>
      <c r="B149">
        <v>0.318</v>
      </c>
      <c r="C149">
        <v>0.318</v>
      </c>
      <c r="D149">
        <v>0.29599999999999999</v>
      </c>
      <c r="E149">
        <v>0.3075</v>
      </c>
      <c r="F149">
        <v>118009594</v>
      </c>
      <c r="G149">
        <v>0.3075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4.5454545454545456E-2</v>
      </c>
      <c r="Q149">
        <f t="shared" ref="Q149" si="721">F149*P149</f>
        <v>5364072.4545454551</v>
      </c>
      <c r="R149">
        <f t="shared" ref="R149" si="722">R150+Q149</f>
        <v>5585344123.3269053</v>
      </c>
      <c r="S149">
        <f t="shared" ref="S149" si="723">R149/100000</f>
        <v>55853.441233269055</v>
      </c>
      <c r="T149">
        <f t="shared" ref="T149" si="724">S149/1000</f>
        <v>55.853441233269052</v>
      </c>
    </row>
    <row r="150" spans="1:20" x14ac:dyDescent="0.25">
      <c r="A150" s="5">
        <v>44443</v>
      </c>
      <c r="B150">
        <v>0.28589999999999999</v>
      </c>
      <c r="C150">
        <v>0.31979999999999997</v>
      </c>
      <c r="D150">
        <v>0.2772</v>
      </c>
      <c r="E150">
        <v>0.318</v>
      </c>
      <c r="F150">
        <v>176005021.69999999</v>
      </c>
      <c r="G150">
        <v>0.318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0.91549295774648032</v>
      </c>
      <c r="Q150">
        <f t="shared" ref="Q150" si="726">F150*P150</f>
        <v>161131357.89436644</v>
      </c>
      <c r="R150">
        <f t="shared" ref="R150" si="727">R151+Q150</f>
        <v>5579980050.8723602</v>
      </c>
      <c r="S150">
        <f t="shared" ref="S150" si="728">R150/100000</f>
        <v>55799.800508723602</v>
      </c>
      <c r="T150">
        <f t="shared" ref="T150" si="729">S150/1000</f>
        <v>55.7998005087236</v>
      </c>
    </row>
    <row r="151" spans="1:20" x14ac:dyDescent="0.25">
      <c r="A151" s="5">
        <v>44442</v>
      </c>
      <c r="B151">
        <v>0.27450000000000002</v>
      </c>
      <c r="C151">
        <v>0.28610000000000002</v>
      </c>
      <c r="D151">
        <v>0.26500000000000001</v>
      </c>
      <c r="E151">
        <v>0.28589999999999999</v>
      </c>
      <c r="F151">
        <v>118853395.7</v>
      </c>
      <c r="G151">
        <v>0.28589999999999999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0.98104265402843283</v>
      </c>
      <c r="Q151">
        <f t="shared" ref="Q151" si="731">F151*P151</f>
        <v>116600250.75781953</v>
      </c>
      <c r="R151">
        <f t="shared" ref="R151" si="732">R152+Q151</f>
        <v>5418848692.977994</v>
      </c>
      <c r="S151">
        <f t="shared" ref="S151" si="733">R151/100000</f>
        <v>54188.486929779938</v>
      </c>
      <c r="T151">
        <f t="shared" ref="T151" si="734">S151/1000</f>
        <v>54.188486929779941</v>
      </c>
    </row>
    <row r="152" spans="1:20" x14ac:dyDescent="0.25">
      <c r="A152" s="5">
        <v>44441</v>
      </c>
      <c r="B152">
        <v>0.2641</v>
      </c>
      <c r="C152">
        <v>0.27839999999999998</v>
      </c>
      <c r="D152">
        <v>0.2495</v>
      </c>
      <c r="E152">
        <v>0.27450000000000002</v>
      </c>
      <c r="F152">
        <v>145396618.19999999</v>
      </c>
      <c r="G152">
        <v>0.27450000000000002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0.73010380622837634</v>
      </c>
      <c r="Q152">
        <f t="shared" ref="Q152" si="736">F152*P152</f>
        <v>106154624.36055401</v>
      </c>
      <c r="R152">
        <f t="shared" ref="R152" si="737">R153+Q152</f>
        <v>5302248442.2201748</v>
      </c>
      <c r="S152">
        <f t="shared" ref="S152" si="738">R152/100000</f>
        <v>53022.484422201749</v>
      </c>
      <c r="T152">
        <f t="shared" ref="T152" si="739">S152/1000</f>
        <v>53.02248442220175</v>
      </c>
    </row>
    <row r="153" spans="1:20" x14ac:dyDescent="0.25">
      <c r="A153" s="5">
        <v>44440</v>
      </c>
      <c r="B153">
        <v>0.25180000000000002</v>
      </c>
      <c r="C153">
        <v>0.2666</v>
      </c>
      <c r="D153">
        <v>0.24329999999999999</v>
      </c>
      <c r="E153">
        <v>0.2641</v>
      </c>
      <c r="F153">
        <v>100834216</v>
      </c>
      <c r="G153">
        <v>0.2641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0.78540772532188841</v>
      </c>
      <c r="Q153">
        <f t="shared" ref="Q153" si="741">F153*P153</f>
        <v>79195972.223175958</v>
      </c>
      <c r="R153">
        <f t="shared" ref="R153" si="742">R154+Q153</f>
        <v>5196093817.859621</v>
      </c>
      <c r="S153">
        <f t="shared" ref="S153" si="743">R153/100000</f>
        <v>51960.93817859621</v>
      </c>
      <c r="T153">
        <f t="shared" ref="T153" si="744">S153/1000</f>
        <v>51.960938178596209</v>
      </c>
    </row>
    <row r="154" spans="1:20" x14ac:dyDescent="0.25">
      <c r="A154" s="5">
        <v>44439</v>
      </c>
      <c r="B154">
        <v>0.2447</v>
      </c>
      <c r="C154">
        <v>0.27653</v>
      </c>
      <c r="D154">
        <v>0.24010000000000001</v>
      </c>
      <c r="E154">
        <v>0.25169999999999998</v>
      </c>
      <c r="F154">
        <v>154514103.19999999</v>
      </c>
      <c r="G154">
        <v>0.25169999999999998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-0.36316222893220013</v>
      </c>
      <c r="Q154">
        <f t="shared" ref="Q154" si="746">F154*P154</f>
        <v>-56113686.119571991</v>
      </c>
      <c r="R154">
        <f t="shared" ref="R154" si="747">R155+Q154</f>
        <v>5116897845.636445</v>
      </c>
      <c r="S154">
        <f t="shared" ref="S154" si="748">R154/100000</f>
        <v>51168.97845636445</v>
      </c>
      <c r="T154">
        <f t="shared" ref="T154" si="749">S154/1000</f>
        <v>51.168978456364449</v>
      </c>
    </row>
    <row r="155" spans="1:20" x14ac:dyDescent="0.25">
      <c r="A155" s="5">
        <v>44438</v>
      </c>
      <c r="B155">
        <v>0.252</v>
      </c>
      <c r="C155">
        <v>0.25729999999999997</v>
      </c>
      <c r="D155">
        <v>0.24129999999999999</v>
      </c>
      <c r="E155">
        <v>0.24460000000000001</v>
      </c>
      <c r="F155">
        <v>62562271</v>
      </c>
      <c r="G155">
        <v>0.24460000000000001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-0.58749999999999647</v>
      </c>
      <c r="Q155">
        <f t="shared" ref="Q155" si="751">F155*P155</f>
        <v>-36755334.212499782</v>
      </c>
      <c r="R155">
        <f t="shared" ref="R155" si="752">R156+Q155</f>
        <v>5173011531.7560167</v>
      </c>
      <c r="S155">
        <f t="shared" ref="S155" si="753">R155/100000</f>
        <v>51730.115317560165</v>
      </c>
      <c r="T155">
        <f t="shared" ref="T155" si="754">S155/1000</f>
        <v>51.730115317560163</v>
      </c>
    </row>
    <row r="156" spans="1:20" x14ac:dyDescent="0.25">
      <c r="A156" s="5">
        <v>44437</v>
      </c>
      <c r="B156">
        <v>0.26119999999999999</v>
      </c>
      <c r="C156">
        <v>0.26400000000000001</v>
      </c>
      <c r="D156">
        <v>0.24929999999999999</v>
      </c>
      <c r="E156">
        <v>0.25209999999999999</v>
      </c>
      <c r="F156">
        <v>65463452</v>
      </c>
      <c r="G156">
        <v>0.25209999999999999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-0.61904761904761996</v>
      </c>
      <c r="Q156">
        <f t="shared" ref="Q156" si="756">F156*P156</f>
        <v>-40524994.095238157</v>
      </c>
      <c r="R156">
        <f t="shared" ref="R156" si="757">R157+Q156</f>
        <v>5209766865.9685163</v>
      </c>
      <c r="S156">
        <f t="shared" ref="S156" si="758">R156/100000</f>
        <v>52097.668659685165</v>
      </c>
      <c r="T156">
        <f t="shared" ref="T156" si="759">S156/1000</f>
        <v>52.097668659685162</v>
      </c>
    </row>
    <row r="157" spans="1:20" x14ac:dyDescent="0.25">
      <c r="A157" s="5">
        <v>44436</v>
      </c>
      <c r="B157">
        <v>0.25430000000000003</v>
      </c>
      <c r="C157">
        <v>0.26950000000000002</v>
      </c>
      <c r="D157">
        <v>0.2487</v>
      </c>
      <c r="E157">
        <v>0.26079999999999998</v>
      </c>
      <c r="F157">
        <v>77207561.700000003</v>
      </c>
      <c r="G157">
        <v>0.26079999999999998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0.16346153846153502</v>
      </c>
      <c r="Q157">
        <f t="shared" ref="Q157" si="761">F157*P157</f>
        <v>12620466.816345889</v>
      </c>
      <c r="R157">
        <f t="shared" ref="R157" si="762">R158+Q157</f>
        <v>5250291860.0637541</v>
      </c>
      <c r="S157">
        <f t="shared" ref="S157" si="763">R157/100000</f>
        <v>52502.918600637538</v>
      </c>
      <c r="T157">
        <f t="shared" ref="T157" si="764">S157/1000</f>
        <v>52.502918600637535</v>
      </c>
    </row>
    <row r="158" spans="1:20" x14ac:dyDescent="0.25">
      <c r="A158" s="5">
        <v>44435</v>
      </c>
      <c r="B158">
        <v>0.23799999999999999</v>
      </c>
      <c r="C158">
        <v>0.25490000000000002</v>
      </c>
      <c r="D158">
        <v>0.22839999999999999</v>
      </c>
      <c r="E158">
        <v>0.25419999999999998</v>
      </c>
      <c r="F158">
        <v>71228887.799999997</v>
      </c>
      <c r="G158">
        <v>0.25419999999999998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0.94716981132075218</v>
      </c>
      <c r="Q158">
        <f t="shared" ref="Q158" si="766">F158*P158</f>
        <v>67465852.21811302</v>
      </c>
      <c r="R158">
        <f t="shared" ref="R158" si="767">R159+Q158</f>
        <v>5237671393.2474079</v>
      </c>
      <c r="S158">
        <f t="shared" ref="S158" si="768">R158/100000</f>
        <v>52376.713932474078</v>
      </c>
      <c r="T158">
        <f t="shared" ref="T158" si="769">S158/1000</f>
        <v>52.376713932474075</v>
      </c>
    </row>
    <row r="159" spans="1:20" x14ac:dyDescent="0.25">
      <c r="A159" s="5">
        <v>44434</v>
      </c>
      <c r="B159">
        <v>0.25823000000000002</v>
      </c>
      <c r="C159">
        <v>0.26352999999999999</v>
      </c>
      <c r="D159">
        <v>0.23089999999999999</v>
      </c>
      <c r="E159">
        <v>0.2379</v>
      </c>
      <c r="F159">
        <v>89427781.5</v>
      </c>
      <c r="G159">
        <v>0.2379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-0.57094698130554655</v>
      </c>
      <c r="Q159">
        <f t="shared" ref="Q159" si="771">F159*P159</f>
        <v>-51058521.892277002</v>
      </c>
      <c r="R159">
        <f t="shared" ref="R159" si="772">R160+Q159</f>
        <v>5170205541.029295</v>
      </c>
      <c r="S159">
        <f t="shared" ref="S159" si="773">R159/100000</f>
        <v>51702.055410292953</v>
      </c>
      <c r="T159">
        <f t="shared" ref="T159" si="774">S159/1000</f>
        <v>51.702055410292949</v>
      </c>
    </row>
    <row r="160" spans="1:20" x14ac:dyDescent="0.25">
      <c r="A160" s="5">
        <v>44433</v>
      </c>
      <c r="B160">
        <v>0.25261</v>
      </c>
      <c r="C160">
        <v>0.26106000000000001</v>
      </c>
      <c r="D160">
        <v>0.24</v>
      </c>
      <c r="E160">
        <v>0.25819999999999999</v>
      </c>
      <c r="F160">
        <v>106398722.59999999</v>
      </c>
      <c r="G160">
        <v>0.25819999999999999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0.72839506172839263</v>
      </c>
      <c r="Q160">
        <f t="shared" ref="Q160" si="776">F160*P160</f>
        <v>77500304.116049126</v>
      </c>
      <c r="R160">
        <f t="shared" ref="R160" si="777">R161+Q160</f>
        <v>5221264062.9215717</v>
      </c>
      <c r="S160">
        <f t="shared" ref="S160" si="778">R160/100000</f>
        <v>52212.640629215719</v>
      </c>
      <c r="T160">
        <f t="shared" ref="T160" si="779">S160/1000</f>
        <v>52.21264062921572</v>
      </c>
    </row>
    <row r="161" spans="1:20" x14ac:dyDescent="0.25">
      <c r="A161" s="5">
        <v>44432</v>
      </c>
      <c r="B161">
        <v>0.26096999999999998</v>
      </c>
      <c r="C161">
        <v>0.29116999999999998</v>
      </c>
      <c r="D161">
        <v>0.25122</v>
      </c>
      <c r="E161">
        <v>0.25285999999999997</v>
      </c>
      <c r="F161">
        <v>241383970.40000001</v>
      </c>
      <c r="G161">
        <v>0.25285999999999997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-0.91789737171464458</v>
      </c>
      <c r="Q161">
        <f t="shared" ref="Q161" si="781">F161*P161</f>
        <v>-221565712.00420558</v>
      </c>
      <c r="R161">
        <f t="shared" ref="R161" si="782">R162+Q161</f>
        <v>5143763758.8055229</v>
      </c>
      <c r="S161">
        <f t="shared" ref="S161" si="783">R161/100000</f>
        <v>51437.63758805523</v>
      </c>
      <c r="T161">
        <f t="shared" ref="T161" si="784">S161/1000</f>
        <v>51.437637588055232</v>
      </c>
    </row>
    <row r="162" spans="1:20" x14ac:dyDescent="0.25">
      <c r="A162" s="5">
        <v>44431</v>
      </c>
      <c r="B162">
        <v>0.24138999999999999</v>
      </c>
      <c r="C162">
        <v>0.26600000000000001</v>
      </c>
      <c r="D162">
        <v>0.24052000000000001</v>
      </c>
      <c r="E162">
        <v>0.26095000000000002</v>
      </c>
      <c r="F162">
        <v>126050979.90000001</v>
      </c>
      <c r="G162">
        <v>0.26095000000000002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0.60361067503924659</v>
      </c>
      <c r="Q162">
        <f t="shared" ref="Q162" si="786">F162*P162</f>
        <v>76085717.06679751</v>
      </c>
      <c r="R162">
        <f t="shared" ref="R162" si="787">R163+Q162</f>
        <v>5365329470.8097286</v>
      </c>
      <c r="S162">
        <f t="shared" ref="S162" si="788">R162/100000</f>
        <v>53653.294708097288</v>
      </c>
      <c r="T162">
        <f t="shared" ref="T162" si="789">S162/1000</f>
        <v>53.653294708097285</v>
      </c>
    </row>
    <row r="163" spans="1:20" x14ac:dyDescent="0.25">
      <c r="A163" s="5">
        <v>44430</v>
      </c>
      <c r="B163">
        <v>0.24223</v>
      </c>
      <c r="C163">
        <v>0.24646000000000001</v>
      </c>
      <c r="D163">
        <v>0.24048</v>
      </c>
      <c r="E163">
        <v>0.24507999999999999</v>
      </c>
      <c r="F163">
        <v>7911193.2000000002</v>
      </c>
      <c r="G163">
        <v>0.24507999999999999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0.53846153846153277</v>
      </c>
      <c r="Q163">
        <f t="shared" ref="Q163" si="791">F163*P163</f>
        <v>4259873.2615384171</v>
      </c>
      <c r="R163">
        <f t="shared" ref="R163" si="792">R164+Q163</f>
        <v>5289243753.7429314</v>
      </c>
      <c r="S163">
        <f t="shared" ref="S163" si="793">R163/100000</f>
        <v>52892.437537429316</v>
      </c>
      <c r="T163">
        <f t="shared" ref="T163" si="794">S163/1000</f>
        <v>52.892437537429316</v>
      </c>
    </row>
    <row r="164" spans="1:20" x14ac:dyDescent="0.25">
      <c r="A164" s="5">
        <v>44429</v>
      </c>
      <c r="B164">
        <v>0.24698999999999999</v>
      </c>
      <c r="C164">
        <v>0.25059999999999999</v>
      </c>
      <c r="D164">
        <v>0.23899999999999999</v>
      </c>
      <c r="E164">
        <v>0.24229000000000001</v>
      </c>
      <c r="F164">
        <v>69521502.599999994</v>
      </c>
      <c r="G164">
        <v>0.24229000000000001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-0.43275862068965254</v>
      </c>
      <c r="Q164">
        <f t="shared" ref="Q164" si="796">F164*P164</f>
        <v>-30086029.573448092</v>
      </c>
      <c r="R164">
        <f t="shared" ref="R164" si="797">R165+Q164</f>
        <v>5284983880.4813929</v>
      </c>
      <c r="S164">
        <f t="shared" ref="S164" si="798">R164/100000</f>
        <v>52849.838804813931</v>
      </c>
      <c r="T164">
        <f t="shared" ref="T164" si="799">S164/1000</f>
        <v>52.849838804813935</v>
      </c>
    </row>
    <row r="165" spans="1:20" x14ac:dyDescent="0.25">
      <c r="A165" s="5">
        <v>44428</v>
      </c>
      <c r="B165">
        <v>0.23718</v>
      </c>
      <c r="C165">
        <v>0.252</v>
      </c>
      <c r="D165">
        <v>0.23416999999999999</v>
      </c>
      <c r="E165">
        <v>0.24709999999999999</v>
      </c>
      <c r="F165">
        <v>91295184.900000006</v>
      </c>
      <c r="G165">
        <v>0.24709999999999999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0.4503645541222645</v>
      </c>
      <c r="Q165">
        <f t="shared" ref="Q165" si="801">F165*P165</f>
        <v>41116115.240998201</v>
      </c>
      <c r="R165">
        <f t="shared" ref="R165" si="802">R166+Q165</f>
        <v>5315069910.054841</v>
      </c>
      <c r="S165">
        <f t="shared" ref="S165" si="803">R165/100000</f>
        <v>53150.699100548409</v>
      </c>
      <c r="T165">
        <f t="shared" ref="T165" si="804">S165/1000</f>
        <v>53.150699100548408</v>
      </c>
    </row>
    <row r="166" spans="1:20" x14ac:dyDescent="0.25">
      <c r="A166" s="5">
        <v>44427</v>
      </c>
      <c r="B166">
        <v>0.22348000000000001</v>
      </c>
      <c r="C166">
        <v>0.23752000000000001</v>
      </c>
      <c r="D166">
        <v>0.21099999999999999</v>
      </c>
      <c r="E166">
        <v>0.23733000000000001</v>
      </c>
      <c r="F166">
        <v>79087299.400000006</v>
      </c>
      <c r="G166">
        <v>0.23733000000000001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0.98567119155354488</v>
      </c>
      <c r="Q166">
        <f t="shared" ref="Q166" si="806">F166*P166</f>
        <v>77954072.636349961</v>
      </c>
      <c r="R166">
        <f t="shared" ref="R166" si="807">R167+Q166</f>
        <v>5273953794.8138428</v>
      </c>
      <c r="S166">
        <f t="shared" ref="S166" si="808">R166/100000</f>
        <v>52739.53794813843</v>
      </c>
      <c r="T166">
        <f t="shared" ref="T166" si="809">S166/1000</f>
        <v>52.739537948138427</v>
      </c>
    </row>
    <row r="167" spans="1:20" x14ac:dyDescent="0.25">
      <c r="A167" s="5">
        <v>44426</v>
      </c>
      <c r="B167">
        <v>0.22722999999999999</v>
      </c>
      <c r="C167">
        <v>0.23379</v>
      </c>
      <c r="D167">
        <v>0.21199999999999999</v>
      </c>
      <c r="E167">
        <v>0.22323000000000001</v>
      </c>
      <c r="F167">
        <v>77844785.599999994</v>
      </c>
      <c r="G167">
        <v>0.22323000000000001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3.0748049564021641E-2</v>
      </c>
      <c r="Q167">
        <f t="shared" ref="Q167" si="811">F167*P167</f>
        <v>2393575.3259294378</v>
      </c>
      <c r="R167">
        <f t="shared" ref="R167" si="812">R168+Q167</f>
        <v>5195999722.1774931</v>
      </c>
      <c r="S167">
        <f t="shared" ref="S167" si="813">R167/100000</f>
        <v>51959.997221774931</v>
      </c>
      <c r="T167">
        <f t="shared" ref="T167" si="814">S167/1000</f>
        <v>51.959997221774934</v>
      </c>
    </row>
    <row r="168" spans="1:20" x14ac:dyDescent="0.25">
      <c r="A168" s="5">
        <v>44425</v>
      </c>
      <c r="B168">
        <v>0.24227000000000001</v>
      </c>
      <c r="C168">
        <v>0.25272</v>
      </c>
      <c r="D168">
        <v>0.22223999999999999</v>
      </c>
      <c r="E168">
        <v>0.22717000000000001</v>
      </c>
      <c r="F168">
        <v>123819857.7</v>
      </c>
      <c r="G168">
        <v>0.22717000000000001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-0.67650918635170498</v>
      </c>
      <c r="Q168">
        <f t="shared" ref="Q168" si="816">F168*P168</f>
        <v>-83765271.186810896</v>
      </c>
      <c r="R168">
        <f t="shared" ref="R168" si="817">R169+Q168</f>
        <v>5193606146.8515635</v>
      </c>
      <c r="S168">
        <f t="shared" ref="S168" si="818">R168/100000</f>
        <v>51936.061468515632</v>
      </c>
      <c r="T168">
        <f t="shared" ref="T168" si="819">S168/1000</f>
        <v>51.936061468515632</v>
      </c>
    </row>
    <row r="169" spans="1:20" x14ac:dyDescent="0.25">
      <c r="A169" s="5">
        <v>44424</v>
      </c>
      <c r="B169">
        <v>0.25185999999999997</v>
      </c>
      <c r="C169">
        <v>0.26624999999999999</v>
      </c>
      <c r="D169">
        <v>0.24060000000000001</v>
      </c>
      <c r="E169">
        <v>0.24242</v>
      </c>
      <c r="F169">
        <v>112507348.5</v>
      </c>
      <c r="G169">
        <v>0.24242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-0.85808966861598523</v>
      </c>
      <c r="Q169">
        <f t="shared" ref="Q169" si="821">F169*P169</f>
        <v>-96541393.391228169</v>
      </c>
      <c r="R169">
        <f t="shared" ref="R169" si="822">R170+Q169</f>
        <v>5277371418.0383739</v>
      </c>
      <c r="S169">
        <f t="shared" ref="S169" si="823">R169/100000</f>
        <v>52773.714180383737</v>
      </c>
      <c r="T169">
        <f t="shared" ref="T169" si="824">S169/1000</f>
        <v>52.773714180383735</v>
      </c>
    </row>
    <row r="170" spans="1:20" x14ac:dyDescent="0.25">
      <c r="A170" s="5">
        <v>44423</v>
      </c>
      <c r="B170">
        <v>0.2631</v>
      </c>
      <c r="C170">
        <v>0.26486999999999999</v>
      </c>
      <c r="D170">
        <v>0.24010000000000001</v>
      </c>
      <c r="E170">
        <v>0.25185999999999997</v>
      </c>
      <c r="F170">
        <v>143650737.40000001</v>
      </c>
      <c r="G170">
        <v>0.25185999999999997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-5.0464271295924804E-2</v>
      </c>
      <c r="Q170">
        <f t="shared" ref="Q170" si="826">F170*P170</f>
        <v>-7249229.7840132518</v>
      </c>
      <c r="R170">
        <f t="shared" ref="R170" si="827">R171+Q170</f>
        <v>5373912811.4296017</v>
      </c>
      <c r="S170">
        <f t="shared" ref="S170" si="828">R170/100000</f>
        <v>53739.128114296014</v>
      </c>
      <c r="T170">
        <f t="shared" ref="T170" si="829">S170/1000</f>
        <v>53.739128114296015</v>
      </c>
    </row>
    <row r="171" spans="1:20" x14ac:dyDescent="0.25">
      <c r="A171" s="5">
        <v>44422</v>
      </c>
      <c r="B171">
        <v>0.23122999999999999</v>
      </c>
      <c r="C171">
        <v>0.27775</v>
      </c>
      <c r="D171">
        <v>0.22500999999999999</v>
      </c>
      <c r="E171">
        <v>0.26284999999999997</v>
      </c>
      <c r="F171">
        <v>319287572</v>
      </c>
      <c r="G171">
        <v>0.26284999999999997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0.43496397421312016</v>
      </c>
      <c r="Q171">
        <f t="shared" ref="Q171" si="831">F171*P171</f>
        <v>138878591.23397774</v>
      </c>
      <c r="R171">
        <f t="shared" ref="R171" si="832">R172+Q171</f>
        <v>5381162041.2136145</v>
      </c>
      <c r="S171">
        <f t="shared" ref="S171" si="833">R171/100000</f>
        <v>53811.620412136144</v>
      </c>
      <c r="T171">
        <f t="shared" ref="T171" si="834">S171/1000</f>
        <v>53.811620412136143</v>
      </c>
    </row>
    <row r="172" spans="1:20" x14ac:dyDescent="0.25">
      <c r="A172" s="5">
        <v>44421</v>
      </c>
      <c r="B172">
        <v>0.21854999999999999</v>
      </c>
      <c r="C172">
        <v>0.23158999999999999</v>
      </c>
      <c r="D172">
        <v>0.21551999999999999</v>
      </c>
      <c r="E172">
        <v>0.23122999999999999</v>
      </c>
      <c r="F172">
        <v>65248359.600000001</v>
      </c>
      <c r="G172">
        <v>0.23122999999999999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0.95519601742377114</v>
      </c>
      <c r="Q172">
        <f t="shared" ref="Q172" si="836">F172*P172</f>
        <v>62324973.233354084</v>
      </c>
      <c r="R172">
        <f t="shared" ref="R172" si="837">R173+Q172</f>
        <v>5242283449.9796371</v>
      </c>
      <c r="S172">
        <f t="shared" ref="S172" si="838">R172/100000</f>
        <v>52422.834499796372</v>
      </c>
      <c r="T172">
        <f t="shared" ref="T172" si="839">S172/1000</f>
        <v>52.422834499796373</v>
      </c>
    </row>
    <row r="173" spans="1:20" x14ac:dyDescent="0.25">
      <c r="A173" s="5">
        <v>44420</v>
      </c>
      <c r="B173">
        <v>0.22756999999999999</v>
      </c>
      <c r="C173">
        <v>0.23641000000000001</v>
      </c>
      <c r="D173">
        <v>0.21199999999999999</v>
      </c>
      <c r="E173">
        <v>0.21826999999999999</v>
      </c>
      <c r="F173">
        <v>71099746.099999994</v>
      </c>
      <c r="G173">
        <v>0.21826999999999999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-0.48627611634576046</v>
      </c>
      <c r="Q173">
        <f t="shared" ref="Q173" si="841">F173*P173</f>
        <v>-34574108.406677626</v>
      </c>
      <c r="R173">
        <f t="shared" ref="R173" si="842">R174+Q173</f>
        <v>5179958476.7462835</v>
      </c>
      <c r="S173">
        <f t="shared" ref="S173" si="843">R173/100000</f>
        <v>51799.584767462838</v>
      </c>
      <c r="T173">
        <f t="shared" ref="T173" si="844">S173/1000</f>
        <v>51.799584767462839</v>
      </c>
    </row>
    <row r="174" spans="1:20" x14ac:dyDescent="0.25">
      <c r="A174" s="5">
        <v>44419</v>
      </c>
      <c r="B174">
        <v>0.22503000000000001</v>
      </c>
      <c r="C174">
        <v>0.24127999999999999</v>
      </c>
      <c r="D174">
        <v>0.22316</v>
      </c>
      <c r="E174">
        <v>0.22756000000000001</v>
      </c>
      <c r="F174">
        <v>121624916.5</v>
      </c>
      <c r="G174">
        <v>0.22756000000000001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-0.51434878587196298</v>
      </c>
      <c r="Q174">
        <f t="shared" ref="Q174" si="846">F174*P174</f>
        <v>-62557628.133553877</v>
      </c>
      <c r="R174">
        <f t="shared" ref="R174" si="847">R175+Q174</f>
        <v>5214532585.1529608</v>
      </c>
      <c r="S174">
        <f t="shared" ref="S174" si="848">R174/100000</f>
        <v>52145.325851529611</v>
      </c>
      <c r="T174">
        <f t="shared" ref="T174" si="849">S174/1000</f>
        <v>52.145325851529613</v>
      </c>
    </row>
    <row r="175" spans="1:20" x14ac:dyDescent="0.25">
      <c r="A175" s="5">
        <v>44418</v>
      </c>
      <c r="B175">
        <v>0.22120000000000001</v>
      </c>
      <c r="C175">
        <v>0.23097000000000001</v>
      </c>
      <c r="D175">
        <v>0.21679999999999999</v>
      </c>
      <c r="E175">
        <v>0.22500000000000001</v>
      </c>
      <c r="F175">
        <v>74149631.299999997</v>
      </c>
      <c r="G175">
        <v>0.22500000000000001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0.15737473535638724</v>
      </c>
      <c r="Q175">
        <f t="shared" ref="Q175" si="851">F175*P175</f>
        <v>11669278.602611188</v>
      </c>
      <c r="R175">
        <f t="shared" ref="R175" si="852">R176+Q175</f>
        <v>5277090213.2865143</v>
      </c>
      <c r="S175">
        <f t="shared" ref="S175" si="853">R175/100000</f>
        <v>52770.902132865143</v>
      </c>
      <c r="T175">
        <f t="shared" ref="T175" si="854">S175/1000</f>
        <v>52.770902132865146</v>
      </c>
    </row>
    <row r="176" spans="1:20" x14ac:dyDescent="0.25">
      <c r="A176" s="5">
        <v>44417</v>
      </c>
      <c r="B176">
        <v>0.21337</v>
      </c>
      <c r="C176">
        <v>0.22297</v>
      </c>
      <c r="D176">
        <v>0.2064</v>
      </c>
      <c r="E176">
        <v>0.22123000000000001</v>
      </c>
      <c r="F176">
        <v>48833753.5</v>
      </c>
      <c r="G176">
        <v>0.22123000000000001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0.78998189499094851</v>
      </c>
      <c r="Q176">
        <f t="shared" ref="Q176" si="856">F176*P176</f>
        <v>38577781.129450865</v>
      </c>
      <c r="R176">
        <f t="shared" ref="R176" si="857">R177+Q176</f>
        <v>5265420934.6839027</v>
      </c>
      <c r="S176">
        <f t="shared" ref="S176" si="858">R176/100000</f>
        <v>52654.20934683903</v>
      </c>
      <c r="T176">
        <f t="shared" ref="T176" si="859">S176/1000</f>
        <v>52.654209346839032</v>
      </c>
    </row>
    <row r="177" spans="1:20" x14ac:dyDescent="0.25">
      <c r="A177" s="5">
        <v>44416</v>
      </c>
      <c r="B177">
        <v>0.22517999999999999</v>
      </c>
      <c r="C177">
        <v>0.22541</v>
      </c>
      <c r="D177">
        <v>0.20918</v>
      </c>
      <c r="E177">
        <v>0.21329999999999999</v>
      </c>
      <c r="F177">
        <v>52750969.899999999</v>
      </c>
      <c r="G177">
        <v>0.21329999999999999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-0.49229821318546074</v>
      </c>
      <c r="Q177">
        <f t="shared" ref="Q177" si="861">F177*P177</f>
        <v>-25969208.225570023</v>
      </c>
      <c r="R177">
        <f t="shared" ref="R177" si="862">R178+Q177</f>
        <v>5226843153.5544519</v>
      </c>
      <c r="S177">
        <f t="shared" ref="S177" si="863">R177/100000</f>
        <v>52268.431535544521</v>
      </c>
      <c r="T177">
        <f t="shared" ref="T177" si="864">S177/1000</f>
        <v>52.268431535544522</v>
      </c>
    </row>
    <row r="178" spans="1:20" x14ac:dyDescent="0.25">
      <c r="A178" s="5">
        <v>44415</v>
      </c>
      <c r="B178">
        <v>0.21831999999999999</v>
      </c>
      <c r="C178">
        <v>0.22678999999999999</v>
      </c>
      <c r="D178">
        <v>0.21611</v>
      </c>
      <c r="E178">
        <v>0.22519</v>
      </c>
      <c r="F178">
        <v>82317247.5</v>
      </c>
      <c r="G178">
        <v>0.22519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0.7003745318352077</v>
      </c>
      <c r="Q178">
        <f t="shared" ref="Q178" si="866">F178*P178</f>
        <v>57652903.679775424</v>
      </c>
      <c r="R178">
        <f t="shared" ref="R178" si="867">R179+Q178</f>
        <v>5252812361.7800217</v>
      </c>
      <c r="S178">
        <f t="shared" ref="S178" si="868">R178/100000</f>
        <v>52528.123617800215</v>
      </c>
      <c r="T178">
        <f t="shared" ref="T178" si="869">S178/1000</f>
        <v>52.528123617800212</v>
      </c>
    </row>
    <row r="179" spans="1:20" x14ac:dyDescent="0.25">
      <c r="A179" s="5">
        <v>44414</v>
      </c>
      <c r="B179">
        <v>0.21915999999999999</v>
      </c>
      <c r="C179">
        <v>0.2198</v>
      </c>
      <c r="D179">
        <v>0.21248</v>
      </c>
      <c r="E179">
        <v>0.21831999999999999</v>
      </c>
      <c r="F179">
        <v>53914561</v>
      </c>
      <c r="G179">
        <v>0.21831999999999999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0.59562841530054356</v>
      </c>
      <c r="Q179">
        <f t="shared" ref="Q179" si="871">F179*P179</f>
        <v>32113044.530054487</v>
      </c>
      <c r="R179">
        <f t="shared" ref="R179" si="872">R180+Q179</f>
        <v>5195159458.1002464</v>
      </c>
      <c r="S179">
        <f t="shared" ref="S179" si="873">R179/100000</f>
        <v>51951.594581002464</v>
      </c>
      <c r="T179">
        <f t="shared" ref="T179" si="874">S179/1000</f>
        <v>51.951594581002468</v>
      </c>
    </row>
    <row r="180" spans="1:20" x14ac:dyDescent="0.25">
      <c r="A180" s="5">
        <v>44413</v>
      </c>
      <c r="B180">
        <v>0.21779000000000001</v>
      </c>
      <c r="C180">
        <v>0.222</v>
      </c>
      <c r="D180">
        <v>0.20799999999999999</v>
      </c>
      <c r="E180">
        <v>0.21923999999999999</v>
      </c>
      <c r="F180">
        <v>56979379.299999997</v>
      </c>
      <c r="G180">
        <v>0.21923999999999999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0.60571428571428432</v>
      </c>
      <c r="Q180">
        <f t="shared" ref="Q180" si="876">F180*P180</f>
        <v>34513224.033142775</v>
      </c>
      <c r="R180">
        <f t="shared" ref="R180" si="877">R181+Q180</f>
        <v>5163046413.5701923</v>
      </c>
      <c r="S180">
        <f t="shared" ref="S180" si="878">R180/100000</f>
        <v>51630.464135701921</v>
      </c>
      <c r="T180">
        <f t="shared" ref="T180" si="879">S180/1000</f>
        <v>51.630464135701921</v>
      </c>
    </row>
    <row r="181" spans="1:20" x14ac:dyDescent="0.25">
      <c r="A181" s="5">
        <v>44412</v>
      </c>
      <c r="B181">
        <v>0.21489</v>
      </c>
      <c r="C181">
        <v>0.21897</v>
      </c>
      <c r="D181">
        <v>0.20660000000000001</v>
      </c>
      <c r="E181">
        <v>0.21798000000000001</v>
      </c>
      <c r="F181">
        <v>51936534.299999997</v>
      </c>
      <c r="G181">
        <v>0.21798000000000001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0.83993532740501353</v>
      </c>
      <c r="Q181">
        <f t="shared" ref="Q181" si="881">F181*P181</f>
        <v>43623329.941552214</v>
      </c>
      <c r="R181">
        <f t="shared" ref="R181" si="882">R182+Q181</f>
        <v>5128533189.5370493</v>
      </c>
      <c r="S181">
        <f t="shared" ref="S181" si="883">R181/100000</f>
        <v>51285.331895370495</v>
      </c>
      <c r="T181">
        <f t="shared" ref="T181" si="884">S181/1000</f>
        <v>51.285331895370497</v>
      </c>
    </row>
    <row r="182" spans="1:20" x14ac:dyDescent="0.25">
      <c r="A182" s="5">
        <v>44411</v>
      </c>
      <c r="B182">
        <v>0.20885999999999999</v>
      </c>
      <c r="C182">
        <v>0.22800000000000001</v>
      </c>
      <c r="D182">
        <v>0.20454</v>
      </c>
      <c r="E182">
        <v>0.21506</v>
      </c>
      <c r="F182">
        <v>102725591.7</v>
      </c>
      <c r="G182">
        <v>0.21506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-0.1031543052003412</v>
      </c>
      <c r="Q182">
        <f t="shared" ref="Q182" si="886">F182*P182</f>
        <v>-10596587.038107438</v>
      </c>
      <c r="R182">
        <f t="shared" ref="R182" si="887">R183+Q182</f>
        <v>5084909859.5954971</v>
      </c>
      <c r="S182">
        <f t="shared" ref="S182" si="888">R182/100000</f>
        <v>50849.098595954973</v>
      </c>
      <c r="T182">
        <f t="shared" ref="T182" si="889">S182/1000</f>
        <v>50.84909859595497</v>
      </c>
    </row>
    <row r="183" spans="1:20" x14ac:dyDescent="0.25">
      <c r="A183" s="5">
        <v>44410</v>
      </c>
      <c r="B183">
        <v>0.20452999999999999</v>
      </c>
      <c r="C183">
        <v>0.21292</v>
      </c>
      <c r="D183">
        <v>0.20136000000000001</v>
      </c>
      <c r="E183">
        <v>0.20907999999999999</v>
      </c>
      <c r="F183">
        <v>42655280.200000003</v>
      </c>
      <c r="G183">
        <v>0.20907999999999999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0.33564013840830198</v>
      </c>
      <c r="Q183">
        <f t="shared" ref="Q183" si="891">F183*P183</f>
        <v>14316824.150172904</v>
      </c>
      <c r="R183">
        <f t="shared" ref="R183" si="892">R184+Q183</f>
        <v>5095506446.633605</v>
      </c>
      <c r="S183">
        <f t="shared" ref="S183" si="893">R183/100000</f>
        <v>50955.064466336051</v>
      </c>
      <c r="T183">
        <f t="shared" ref="T183" si="894">S183/1000</f>
        <v>50.955064466336054</v>
      </c>
    </row>
    <row r="184" spans="1:20" x14ac:dyDescent="0.25">
      <c r="A184" s="5">
        <v>44409</v>
      </c>
      <c r="B184">
        <v>0.21409</v>
      </c>
      <c r="C184">
        <v>0.219</v>
      </c>
      <c r="D184">
        <v>0.20200000000000001</v>
      </c>
      <c r="E184">
        <v>0.2044</v>
      </c>
      <c r="F184">
        <v>45782201.700000003</v>
      </c>
      <c r="G184">
        <v>0.2044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-0.71764705882353086</v>
      </c>
      <c r="Q184">
        <f t="shared" ref="Q184" si="896">F184*P184</f>
        <v>-32855462.396470658</v>
      </c>
      <c r="R184">
        <f t="shared" ref="R184" si="897">R185+Q184</f>
        <v>5081189622.4834318</v>
      </c>
      <c r="S184">
        <f t="shared" ref="S184" si="898">R184/100000</f>
        <v>50811.896224834316</v>
      </c>
      <c r="T184">
        <f t="shared" ref="T184" si="899">S184/1000</f>
        <v>50.811896224834314</v>
      </c>
    </row>
    <row r="185" spans="1:20" x14ac:dyDescent="0.25">
      <c r="A185" s="5">
        <v>44408</v>
      </c>
      <c r="B185">
        <v>0.21446999999999999</v>
      </c>
      <c r="C185">
        <v>0.21858</v>
      </c>
      <c r="D185">
        <v>0.20724999999999999</v>
      </c>
      <c r="E185">
        <v>0.21443000000000001</v>
      </c>
      <c r="F185">
        <v>46002881.5</v>
      </c>
      <c r="G185">
        <v>0.21443000000000001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0.26743159752868761</v>
      </c>
      <c r="Q185">
        <f t="shared" ref="Q185" si="901">F185*P185</f>
        <v>12302624.090467909</v>
      </c>
      <c r="R185">
        <f t="shared" ref="R185" si="902">R186+Q185</f>
        <v>5114045084.8799028</v>
      </c>
      <c r="S185">
        <f t="shared" ref="S185" si="903">R185/100000</f>
        <v>51140.450848799032</v>
      </c>
      <c r="T185">
        <f t="shared" ref="T185" si="904">S185/1000</f>
        <v>51.140450848799034</v>
      </c>
    </row>
    <row r="186" spans="1:20" x14ac:dyDescent="0.25">
      <c r="A186" s="5">
        <v>44407</v>
      </c>
      <c r="B186">
        <v>0.20405999999999999</v>
      </c>
      <c r="C186">
        <v>0.21793000000000001</v>
      </c>
      <c r="D186">
        <v>0.19900000000000001</v>
      </c>
      <c r="E186">
        <v>0.21454000000000001</v>
      </c>
      <c r="F186">
        <v>84393172</v>
      </c>
      <c r="G186">
        <v>0.21454000000000001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0.64183835182250359</v>
      </c>
      <c r="Q186">
        <f t="shared" ref="Q186" si="906">F186*P186</f>
        <v>54166774.42155306</v>
      </c>
      <c r="R186">
        <f t="shared" ref="R186" si="907">R187+Q186</f>
        <v>5101742460.7894354</v>
      </c>
      <c r="S186">
        <f t="shared" ref="S186" si="908">R186/100000</f>
        <v>51017.424607894354</v>
      </c>
      <c r="T186">
        <f t="shared" ref="T186" si="909">S186/1000</f>
        <v>51.017424607894355</v>
      </c>
    </row>
    <row r="187" spans="1:20" x14ac:dyDescent="0.25">
      <c r="A187" s="5">
        <v>44406</v>
      </c>
      <c r="B187">
        <v>0.19700999999999999</v>
      </c>
      <c r="C187">
        <v>0.20523</v>
      </c>
      <c r="D187">
        <v>0.19416</v>
      </c>
      <c r="E187">
        <v>0.20397999999999999</v>
      </c>
      <c r="F187">
        <v>43653940</v>
      </c>
      <c r="G187">
        <v>0.20397999999999999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0.77416440831074951</v>
      </c>
      <c r="Q187">
        <f t="shared" ref="Q187" si="911">F187*P187</f>
        <v>33795326.630532958</v>
      </c>
      <c r="R187">
        <f t="shared" ref="R187" si="912">R188+Q187</f>
        <v>5047575686.3678827</v>
      </c>
      <c r="S187">
        <f t="shared" ref="S187" si="913">R187/100000</f>
        <v>50475.756863678827</v>
      </c>
      <c r="T187">
        <f t="shared" ref="T187" si="914">S187/1000</f>
        <v>50.475756863678825</v>
      </c>
    </row>
    <row r="188" spans="1:20" x14ac:dyDescent="0.25">
      <c r="A188" s="5">
        <v>44405</v>
      </c>
      <c r="B188">
        <v>0.19774</v>
      </c>
      <c r="C188">
        <v>0.20749999999999999</v>
      </c>
      <c r="D188">
        <v>0.193</v>
      </c>
      <c r="E188">
        <v>0.1971</v>
      </c>
      <c r="F188">
        <v>70289071</v>
      </c>
      <c r="G188">
        <v>0.1971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-0.43448275862069008</v>
      </c>
      <c r="Q188">
        <f t="shared" ref="Q188" si="916">F188*P188</f>
        <v>-30539389.468965545</v>
      </c>
      <c r="R188">
        <f t="shared" ref="R188" si="917">R189+Q188</f>
        <v>5013780359.7373495</v>
      </c>
      <c r="S188">
        <f t="shared" ref="S188" si="918">R188/100000</f>
        <v>50137.803597373495</v>
      </c>
      <c r="T188">
        <f t="shared" ref="T188" si="919">S188/1000</f>
        <v>50.137803597373498</v>
      </c>
    </row>
    <row r="189" spans="1:20" x14ac:dyDescent="0.25">
      <c r="A189" s="5">
        <v>44404</v>
      </c>
      <c r="B189">
        <v>0.18339</v>
      </c>
      <c r="C189">
        <v>0.20499999999999999</v>
      </c>
      <c r="D189">
        <v>0.17974999999999999</v>
      </c>
      <c r="E189">
        <v>0.19777</v>
      </c>
      <c r="F189">
        <v>108553774.90000001</v>
      </c>
      <c r="G189">
        <v>0.19777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0.42732673267326826</v>
      </c>
      <c r="Q189">
        <f t="shared" ref="Q189" si="921">F189*P189</f>
        <v>46387929.947366439</v>
      </c>
      <c r="R189">
        <f t="shared" ref="R189" si="922">R190+Q189</f>
        <v>5044319749.206315</v>
      </c>
      <c r="S189">
        <f t="shared" ref="S189" si="923">R189/100000</f>
        <v>50443.197492063147</v>
      </c>
      <c r="T189">
        <f t="shared" ref="T189" si="924">S189/1000</f>
        <v>50.443197492063149</v>
      </c>
    </row>
    <row r="190" spans="1:20" x14ac:dyDescent="0.25">
      <c r="A190" s="5">
        <v>44403</v>
      </c>
      <c r="B190">
        <v>0.17699999999999999</v>
      </c>
      <c r="C190">
        <v>0.20996000000000001</v>
      </c>
      <c r="D190">
        <v>0.17560000000000001</v>
      </c>
      <c r="E190">
        <v>0.18353</v>
      </c>
      <c r="F190">
        <v>201460541.90000001</v>
      </c>
      <c r="G190">
        <v>0.18353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-0.53841676367869662</v>
      </c>
      <c r="Q190">
        <f t="shared" ref="Q190" si="926">F190*P190</f>
        <v>-108469732.97875446</v>
      </c>
      <c r="R190">
        <f t="shared" ref="R190" si="927">R191+Q190</f>
        <v>4997931819.2589483</v>
      </c>
      <c r="S190">
        <f t="shared" ref="S190" si="928">R190/100000</f>
        <v>49979.318192589482</v>
      </c>
      <c r="T190">
        <f t="shared" ref="T190" si="929">S190/1000</f>
        <v>49.979318192589481</v>
      </c>
    </row>
    <row r="191" spans="1:20" x14ac:dyDescent="0.25">
      <c r="A191" s="5">
        <v>44402</v>
      </c>
      <c r="B191">
        <v>0.17988999999999999</v>
      </c>
      <c r="C191">
        <v>0.18032999999999999</v>
      </c>
      <c r="D191">
        <v>0.17030999999999999</v>
      </c>
      <c r="E191">
        <v>0.17688000000000001</v>
      </c>
      <c r="F191">
        <v>42167771.399999999</v>
      </c>
      <c r="G191">
        <v>0.17688000000000001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0.31137724550898593</v>
      </c>
      <c r="Q191">
        <f t="shared" ref="Q191" si="931">F191*P191</f>
        <v>13130084.507784596</v>
      </c>
      <c r="R191">
        <f t="shared" ref="R191" si="932">R192+Q191</f>
        <v>5106401552.2377024</v>
      </c>
      <c r="S191">
        <f t="shared" ref="S191" si="933">R191/100000</f>
        <v>51064.015522377027</v>
      </c>
      <c r="T191">
        <f t="shared" ref="T191:T197" si="934">S191/1000</f>
        <v>51.064015522377026</v>
      </c>
    </row>
    <row r="192" spans="1:20" x14ac:dyDescent="0.25">
      <c r="A192" s="5">
        <v>44401</v>
      </c>
      <c r="B192">
        <v>0.17462</v>
      </c>
      <c r="C192">
        <v>0.18190000000000001</v>
      </c>
      <c r="D192">
        <v>0.1726</v>
      </c>
      <c r="E192">
        <v>0.17985000000000001</v>
      </c>
      <c r="F192">
        <v>47671813.700000003</v>
      </c>
      <c r="G192">
        <v>0.17985000000000001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0.55913978494623751</v>
      </c>
      <c r="Q192">
        <f t="shared" ref="Q192" si="936">F192*P192</f>
        <v>26655207.660215102</v>
      </c>
      <c r="R192">
        <f t="shared" ref="R192" si="937">R193+Q192</f>
        <v>5093271467.7299175</v>
      </c>
      <c r="S192">
        <f t="shared" ref="S192" si="938">R192/100000</f>
        <v>50932.714677299176</v>
      </c>
      <c r="T192">
        <f t="shared" si="934"/>
        <v>50.932714677299174</v>
      </c>
    </row>
    <row r="193" spans="1:20" x14ac:dyDescent="0.25">
      <c r="A193" s="5">
        <v>44400</v>
      </c>
      <c r="B193">
        <v>0.17355000000000001</v>
      </c>
      <c r="C193">
        <v>0.17505999999999999</v>
      </c>
      <c r="D193">
        <v>0.16536000000000001</v>
      </c>
      <c r="E193">
        <v>0.17435999999999999</v>
      </c>
      <c r="F193">
        <v>41628654.200000003</v>
      </c>
      <c r="G193">
        <v>0.17435999999999999</v>
      </c>
      <c r="L193" t="s">
        <v>8</v>
      </c>
      <c r="M193" t="s">
        <v>7</v>
      </c>
      <c r="N193" t="s">
        <v>8</v>
      </c>
      <c r="P193">
        <f t="shared" ref="P193" si="939">IF(C193=D193,0,((E193-D193)-(C193-E193))/(C193-D193))</f>
        <v>0.85567010309278202</v>
      </c>
      <c r="Q193">
        <f t="shared" ref="Q193" si="940">F193*P193</f>
        <v>35620394.830927774</v>
      </c>
      <c r="R193">
        <f t="shared" ref="R193" si="941">R194+Q193</f>
        <v>5066616260.0697021</v>
      </c>
      <c r="S193">
        <f t="shared" ref="S193" si="942">R193/100000</f>
        <v>50666.162600697018</v>
      </c>
      <c r="T193">
        <f t="shared" si="934"/>
        <v>50.666162600697021</v>
      </c>
    </row>
    <row r="194" spans="1:20" x14ac:dyDescent="0.25">
      <c r="A194" s="5">
        <v>44399</v>
      </c>
      <c r="B194">
        <v>0.16944999999999999</v>
      </c>
      <c r="C194">
        <v>0.17680000000000001</v>
      </c>
      <c r="D194">
        <v>0.16266</v>
      </c>
      <c r="E194">
        <v>0.17329</v>
      </c>
      <c r="F194">
        <v>65585750</v>
      </c>
      <c r="G194">
        <v>0.17329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0.50353606789250216</v>
      </c>
      <c r="Q194">
        <f t="shared" ref="Q194" si="944">F194*P194</f>
        <v>33024790.664780673</v>
      </c>
      <c r="R194">
        <f t="shared" ref="R194" si="945">R195+Q194</f>
        <v>5030995865.2387743</v>
      </c>
      <c r="S194">
        <f t="shared" ref="S194" si="946">R194/100000</f>
        <v>50309.958652387744</v>
      </c>
      <c r="T194">
        <f t="shared" si="934"/>
        <v>50.309958652387742</v>
      </c>
    </row>
    <row r="195" spans="1:20" x14ac:dyDescent="0.25">
      <c r="A195" s="5">
        <v>44398</v>
      </c>
      <c r="B195">
        <v>0.15781999999999999</v>
      </c>
      <c r="C195">
        <v>0.17199</v>
      </c>
      <c r="D195">
        <v>0.155</v>
      </c>
      <c r="E195">
        <v>0.16949</v>
      </c>
      <c r="F195">
        <v>73469566</v>
      </c>
      <c r="G195">
        <v>0.16949</v>
      </c>
      <c r="L195" t="s">
        <v>7</v>
      </c>
      <c r="M195" t="s">
        <v>7</v>
      </c>
      <c r="N195" t="s">
        <v>8</v>
      </c>
      <c r="P195">
        <f t="shared" ref="P195" si="947">IF(C195=D195,0,((E195-D195)-(C195-E195))/(C195-D195))</f>
        <v>0.70570924072984087</v>
      </c>
      <c r="Q195">
        <f t="shared" ref="Q195" si="948">F195*P195</f>
        <v>51848151.638610929</v>
      </c>
      <c r="R195">
        <f t="shared" ref="R195" si="949">R196+Q195</f>
        <v>4997971074.5739937</v>
      </c>
      <c r="S195">
        <f t="shared" ref="S195" si="950">R195/100000</f>
        <v>49979.71074573994</v>
      </c>
      <c r="T195">
        <f t="shared" si="934"/>
        <v>49.979710745739936</v>
      </c>
    </row>
    <row r="196" spans="1:20" x14ac:dyDescent="0.25">
      <c r="A196" s="5">
        <v>44397</v>
      </c>
      <c r="B196">
        <v>0.17294999999999999</v>
      </c>
      <c r="C196">
        <v>0.17485999999999999</v>
      </c>
      <c r="D196">
        <v>0.15551999999999999</v>
      </c>
      <c r="E196">
        <v>0.15795000000000001</v>
      </c>
      <c r="F196">
        <v>70358892.700000003</v>
      </c>
      <c r="G196">
        <v>0.15795000000000001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-0.74870734229575842</v>
      </c>
      <c r="Q196">
        <f t="shared" ref="Q196" si="952">F196*P196</f>
        <v>-52678219.560289443</v>
      </c>
      <c r="R196">
        <f t="shared" ref="R196" si="953">R197+Q196</f>
        <v>4946122922.9353828</v>
      </c>
      <c r="S196">
        <f t="shared" ref="S196" si="954">R196/100000</f>
        <v>49461.229229353827</v>
      </c>
      <c r="T196">
        <f t="shared" si="934"/>
        <v>49.461229229353826</v>
      </c>
    </row>
    <row r="197" spans="1:20" x14ac:dyDescent="0.25">
      <c r="A197" s="5">
        <v>44396</v>
      </c>
      <c r="B197">
        <v>0.18064</v>
      </c>
      <c r="C197">
        <v>0.18189</v>
      </c>
      <c r="D197">
        <v>0.17002</v>
      </c>
      <c r="E197">
        <v>0.17297000000000001</v>
      </c>
      <c r="F197">
        <v>39082505.299999997</v>
      </c>
      <c r="G197">
        <v>0</v>
      </c>
      <c r="L197" t="s">
        <v>7</v>
      </c>
      <c r="M197" t="s">
        <v>8</v>
      </c>
      <c r="N197" t="s">
        <v>8</v>
      </c>
      <c r="P197">
        <f t="shared" ref="P197" si="955">IF(C197=D197,0,((E197-D197)-(C197-E197))/(C197-D197))</f>
        <v>-0.50294860994102608</v>
      </c>
      <c r="Q197">
        <f t="shared" ref="Q197" si="956">F197*P197</f>
        <v>-19656491.713647783</v>
      </c>
      <c r="R197">
        <f t="shared" ref="R197" si="957">R198+Q197</f>
        <v>4998801142.4956722</v>
      </c>
      <c r="S197">
        <f t="shared" ref="S197" si="958">R197/100000</f>
        <v>49988.01142495672</v>
      </c>
      <c r="T197">
        <f t="shared" si="934"/>
        <v>49.988011424956717</v>
      </c>
    </row>
    <row r="198" spans="1:20" x14ac:dyDescent="0.25">
      <c r="A198" s="5">
        <v>44395</v>
      </c>
      <c r="B198">
        <v>0.18734999999999999</v>
      </c>
      <c r="C198">
        <v>0.19442999999999999</v>
      </c>
      <c r="D198">
        <v>0.17799999999999999</v>
      </c>
      <c r="E198">
        <v>0.18060000000000001</v>
      </c>
      <c r="F198">
        <v>46995723.600000001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-0.68350578210590152</v>
      </c>
      <c r="Q198">
        <f t="shared" ref="Q198:Q261" si="960">F198*P198</f>
        <v>-32121848.814850774</v>
      </c>
      <c r="R198">
        <f t="shared" ref="R198:R261" si="961">R199+Q198</f>
        <v>5018457634.2093201</v>
      </c>
      <c r="S198">
        <f t="shared" ref="S198:S261" si="962">R198/100000</f>
        <v>50184.576342093198</v>
      </c>
      <c r="T198">
        <f t="shared" ref="T198:T261" si="963">S198/1000</f>
        <v>50.184576342093195</v>
      </c>
    </row>
    <row r="199" spans="1:20" x14ac:dyDescent="0.25">
      <c r="A199" s="5">
        <v>44394</v>
      </c>
      <c r="B199">
        <v>0.18246000000000001</v>
      </c>
      <c r="C199">
        <v>0.19425000000000001</v>
      </c>
      <c r="D199">
        <v>0.17799999999999999</v>
      </c>
      <c r="E199">
        <v>0.18734999999999999</v>
      </c>
      <c r="F199">
        <v>97882308.099999994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0.15076923076922941</v>
      </c>
      <c r="Q199">
        <f t="shared" si="960"/>
        <v>14757640.298153711</v>
      </c>
      <c r="R199">
        <f t="shared" si="961"/>
        <v>5050579483.0241709</v>
      </c>
      <c r="S199">
        <f t="shared" si="962"/>
        <v>50505.794830241706</v>
      </c>
      <c r="T199">
        <f t="shared" si="963"/>
        <v>50.505794830241705</v>
      </c>
    </row>
    <row r="200" spans="1:20" x14ac:dyDescent="0.25">
      <c r="A200" s="5">
        <v>44393</v>
      </c>
      <c r="B200">
        <v>0.17471999999999999</v>
      </c>
      <c r="C200">
        <v>0.19982</v>
      </c>
      <c r="D200">
        <v>0.17019999999999999</v>
      </c>
      <c r="E200">
        <v>0.18249000000000001</v>
      </c>
      <c r="F200">
        <v>217344392.69999999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-0.17015530047265226</v>
      </c>
      <c r="Q200">
        <f t="shared" si="960"/>
        <v>-36982300.445914626</v>
      </c>
      <c r="R200">
        <f t="shared" si="961"/>
        <v>5035821842.726017</v>
      </c>
      <c r="S200">
        <f t="shared" si="962"/>
        <v>50358.218427260173</v>
      </c>
      <c r="T200">
        <f t="shared" si="963"/>
        <v>50.358218427260176</v>
      </c>
    </row>
    <row r="201" spans="1:20" x14ac:dyDescent="0.25">
      <c r="A201" s="5">
        <v>44392</v>
      </c>
      <c r="B201">
        <v>0.17027999999999999</v>
      </c>
      <c r="C201">
        <v>0.184</v>
      </c>
      <c r="D201">
        <v>0.16511999999999999</v>
      </c>
      <c r="E201">
        <v>0.17449999999999999</v>
      </c>
      <c r="F201">
        <v>102801602.90000001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-6.3559322033903036E-3</v>
      </c>
      <c r="Q201">
        <f t="shared" si="960"/>
        <v>-653400.01843225211</v>
      </c>
      <c r="R201">
        <f t="shared" si="961"/>
        <v>5072804143.1719313</v>
      </c>
      <c r="S201">
        <f t="shared" si="962"/>
        <v>50728.041431719314</v>
      </c>
      <c r="T201">
        <f t="shared" si="963"/>
        <v>50.728041431719312</v>
      </c>
    </row>
    <row r="202" spans="1:20" x14ac:dyDescent="0.25">
      <c r="A202" s="5">
        <v>44391</v>
      </c>
      <c r="B202">
        <v>0.17587</v>
      </c>
      <c r="C202">
        <v>0.17655999999999999</v>
      </c>
      <c r="D202">
        <v>0.16300000000000001</v>
      </c>
      <c r="E202">
        <v>0.17027999999999999</v>
      </c>
      <c r="F202">
        <v>52940798.799999997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7.3746312684363866E-2</v>
      </c>
      <c r="Q202">
        <f t="shared" si="960"/>
        <v>3904188.702064795</v>
      </c>
      <c r="R202">
        <f t="shared" si="961"/>
        <v>5073457543.1903639</v>
      </c>
      <c r="S202">
        <f t="shared" si="962"/>
        <v>50734.575431903642</v>
      </c>
      <c r="T202">
        <f t="shared" si="963"/>
        <v>50.734575431903643</v>
      </c>
    </row>
    <row r="203" spans="1:20" x14ac:dyDescent="0.25">
      <c r="A203" s="5">
        <v>44390</v>
      </c>
      <c r="B203">
        <v>0.1676</v>
      </c>
      <c r="C203">
        <v>0.18440999999999999</v>
      </c>
      <c r="D203">
        <v>0.16531999999999999</v>
      </c>
      <c r="E203">
        <v>0.17602999999999999</v>
      </c>
      <c r="F203">
        <v>123443509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0.12205343111576737</v>
      </c>
      <c r="Q203">
        <f t="shared" si="960"/>
        <v>15066703.822420109</v>
      </c>
      <c r="R203">
        <f t="shared" si="961"/>
        <v>5069553354.4882994</v>
      </c>
      <c r="S203">
        <f t="shared" si="962"/>
        <v>50695.533544882994</v>
      </c>
      <c r="T203">
        <f t="shared" si="963"/>
        <v>50.695533544882991</v>
      </c>
    </row>
    <row r="204" spans="1:20" x14ac:dyDescent="0.25">
      <c r="A204" s="5">
        <v>44389</v>
      </c>
      <c r="B204">
        <v>0.17152000000000001</v>
      </c>
      <c r="C204">
        <v>0.17383999999999999</v>
      </c>
      <c r="D204">
        <v>0.16403000000000001</v>
      </c>
      <c r="E204">
        <v>0.16792000000000001</v>
      </c>
      <c r="F204">
        <v>37149521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-0.20693170234454428</v>
      </c>
      <c r="Q204">
        <f t="shared" si="960"/>
        <v>-7687413.6218143972</v>
      </c>
      <c r="R204">
        <f t="shared" si="961"/>
        <v>5054486650.6658792</v>
      </c>
      <c r="S204">
        <f t="shared" si="962"/>
        <v>50544.866506658793</v>
      </c>
      <c r="T204">
        <f t="shared" si="963"/>
        <v>50.544866506658792</v>
      </c>
    </row>
    <row r="205" spans="1:20" x14ac:dyDescent="0.25">
      <c r="A205" s="5">
        <v>44388</v>
      </c>
      <c r="B205">
        <v>0.16914999999999999</v>
      </c>
      <c r="C205">
        <v>0.1736</v>
      </c>
      <c r="D205">
        <v>0.16772999999999999</v>
      </c>
      <c r="E205">
        <v>0.17122000000000001</v>
      </c>
      <c r="F205">
        <v>20575562.5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0.18909710391823253</v>
      </c>
      <c r="Q205">
        <f t="shared" si="960"/>
        <v>3890779.2802385883</v>
      </c>
      <c r="R205">
        <f t="shared" si="961"/>
        <v>5062174064.287694</v>
      </c>
      <c r="S205">
        <f t="shared" si="962"/>
        <v>50621.740642876939</v>
      </c>
      <c r="T205">
        <f t="shared" si="963"/>
        <v>50.621740642876937</v>
      </c>
    </row>
    <row r="206" spans="1:20" x14ac:dyDescent="0.25">
      <c r="A206" s="5">
        <v>44387</v>
      </c>
      <c r="B206">
        <v>0.17507</v>
      </c>
      <c r="C206">
        <v>0.17696000000000001</v>
      </c>
      <c r="D206">
        <v>0.16600000000000001</v>
      </c>
      <c r="E206">
        <v>0.16908000000000001</v>
      </c>
      <c r="F206">
        <v>36052025.399999999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-0.43795620437956201</v>
      </c>
      <c r="Q206">
        <f t="shared" si="960"/>
        <v>-15789208.20437956</v>
      </c>
      <c r="R206">
        <f t="shared" si="961"/>
        <v>5058283285.0074558</v>
      </c>
      <c r="S206">
        <f t="shared" si="962"/>
        <v>50582.832850074556</v>
      </c>
      <c r="T206">
        <f t="shared" si="963"/>
        <v>50.582832850074553</v>
      </c>
    </row>
    <row r="207" spans="1:20" x14ac:dyDescent="0.25">
      <c r="A207" s="5">
        <v>44386</v>
      </c>
      <c r="B207">
        <v>0.17111999999999999</v>
      </c>
      <c r="C207">
        <v>0.17787</v>
      </c>
      <c r="D207">
        <v>0.1641</v>
      </c>
      <c r="E207">
        <v>0.17516000000000001</v>
      </c>
      <c r="F207">
        <v>54629841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0.60639070442992171</v>
      </c>
      <c r="Q207">
        <f t="shared" si="960"/>
        <v>33127027.766884618</v>
      </c>
      <c r="R207">
        <f t="shared" si="961"/>
        <v>5074072493.2118359</v>
      </c>
      <c r="S207">
        <f t="shared" si="962"/>
        <v>50740.724932118355</v>
      </c>
      <c r="T207">
        <f t="shared" si="963"/>
        <v>50.740724932118354</v>
      </c>
    </row>
    <row r="208" spans="1:20" x14ac:dyDescent="0.25">
      <c r="A208" s="5">
        <v>44385</v>
      </c>
      <c r="B208">
        <v>0.18557000000000001</v>
      </c>
      <c r="C208">
        <v>0.18737999999999999</v>
      </c>
      <c r="D208">
        <v>0.16946</v>
      </c>
      <c r="E208">
        <v>0.1709</v>
      </c>
      <c r="F208">
        <v>50934109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-0.83928571428571452</v>
      </c>
      <c r="Q208">
        <f t="shared" si="960"/>
        <v>-42748270.05357144</v>
      </c>
      <c r="R208">
        <f t="shared" si="961"/>
        <v>5040945465.4449511</v>
      </c>
      <c r="S208">
        <f t="shared" si="962"/>
        <v>50409.45465444951</v>
      </c>
      <c r="T208">
        <f t="shared" si="963"/>
        <v>50.409454654449512</v>
      </c>
    </row>
    <row r="209" spans="1:20" x14ac:dyDescent="0.25">
      <c r="A209" s="5">
        <v>44384</v>
      </c>
      <c r="B209">
        <v>0.18515000000000001</v>
      </c>
      <c r="C209">
        <v>0.19184999999999999</v>
      </c>
      <c r="D209">
        <v>0.1822</v>
      </c>
      <c r="E209">
        <v>0.18568000000000001</v>
      </c>
      <c r="F209">
        <v>49652337.799999997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-0.278756476683935</v>
      </c>
      <c r="Q209">
        <f t="shared" si="960"/>
        <v>-13840910.744248563</v>
      </c>
      <c r="R209">
        <f t="shared" si="961"/>
        <v>5083693735.4985228</v>
      </c>
      <c r="S209">
        <f t="shared" si="962"/>
        <v>50836.937354985224</v>
      </c>
      <c r="T209">
        <f t="shared" si="963"/>
        <v>50.836937354985224</v>
      </c>
    </row>
    <row r="210" spans="1:20" x14ac:dyDescent="0.25">
      <c r="A210" s="5">
        <v>44383</v>
      </c>
      <c r="B210">
        <v>0.18421000000000001</v>
      </c>
      <c r="C210">
        <v>0.19041</v>
      </c>
      <c r="D210">
        <v>0.18043000000000001</v>
      </c>
      <c r="E210">
        <v>0.18526000000000001</v>
      </c>
      <c r="F210">
        <v>64370080.799999997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-3.2064128256511754E-2</v>
      </c>
      <c r="Q210">
        <f t="shared" si="960"/>
        <v>-2063970.5266532246</v>
      </c>
      <c r="R210">
        <f t="shared" si="961"/>
        <v>5097534646.2427711</v>
      </c>
      <c r="S210">
        <f t="shared" si="962"/>
        <v>50975.346462427711</v>
      </c>
      <c r="T210">
        <f t="shared" si="963"/>
        <v>50.975346462427709</v>
      </c>
    </row>
    <row r="211" spans="1:20" x14ac:dyDescent="0.25">
      <c r="A211" s="5">
        <v>44382</v>
      </c>
      <c r="B211">
        <v>0.19456999999999999</v>
      </c>
      <c r="C211">
        <v>0.19456999999999999</v>
      </c>
      <c r="D211">
        <v>0.17902000000000001</v>
      </c>
      <c r="E211">
        <v>0.18437000000000001</v>
      </c>
      <c r="F211">
        <v>53777874.600000001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-0.3118971061093247</v>
      </c>
      <c r="Q211">
        <f t="shared" si="960"/>
        <v>-16773163.460450158</v>
      </c>
      <c r="R211">
        <f t="shared" si="961"/>
        <v>5099598616.7694244</v>
      </c>
      <c r="S211">
        <f t="shared" si="962"/>
        <v>50995.986167694246</v>
      </c>
      <c r="T211">
        <f t="shared" si="963"/>
        <v>50.995986167694248</v>
      </c>
    </row>
    <row r="212" spans="1:20" x14ac:dyDescent="0.25">
      <c r="A212" s="5">
        <v>44381</v>
      </c>
      <c r="B212">
        <v>0.19369</v>
      </c>
      <c r="C212">
        <v>0.19731000000000001</v>
      </c>
      <c r="D212">
        <v>0.18834999999999999</v>
      </c>
      <c r="E212">
        <v>0.19458</v>
      </c>
      <c r="F212">
        <v>52056361.600000001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0.39062499999999933</v>
      </c>
      <c r="Q212">
        <f t="shared" si="960"/>
        <v>20334516.249999966</v>
      </c>
      <c r="R212">
        <f t="shared" si="961"/>
        <v>5116371780.2298746</v>
      </c>
      <c r="S212">
        <f t="shared" si="962"/>
        <v>51163.717802298743</v>
      </c>
      <c r="T212">
        <f t="shared" si="963"/>
        <v>51.163717802298741</v>
      </c>
    </row>
    <row r="213" spans="1:20" x14ac:dyDescent="0.25">
      <c r="A213" s="5">
        <v>44380</v>
      </c>
      <c r="B213">
        <v>0.19297</v>
      </c>
      <c r="C213">
        <v>0.19545000000000001</v>
      </c>
      <c r="D213">
        <v>0.188</v>
      </c>
      <c r="E213">
        <v>0.19363</v>
      </c>
      <c r="F213">
        <v>66018830.799999997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0.51140939597315083</v>
      </c>
      <c r="Q213">
        <f t="shared" si="960"/>
        <v>33762650.382281646</v>
      </c>
      <c r="R213">
        <f t="shared" si="961"/>
        <v>5096037263.9798746</v>
      </c>
      <c r="S213">
        <f t="shared" si="962"/>
        <v>50960.372639798748</v>
      </c>
      <c r="T213">
        <f t="shared" si="963"/>
        <v>50.960372639798749</v>
      </c>
    </row>
    <row r="214" spans="1:20" x14ac:dyDescent="0.25">
      <c r="A214" s="5">
        <v>44379</v>
      </c>
      <c r="B214">
        <v>0.21142</v>
      </c>
      <c r="C214">
        <v>0.21224999999999999</v>
      </c>
      <c r="D214">
        <v>0.18711</v>
      </c>
      <c r="E214">
        <v>0.19292000000000001</v>
      </c>
      <c r="F214">
        <v>89739557.299999997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-0.53778838504375415</v>
      </c>
      <c r="Q214">
        <f t="shared" si="960"/>
        <v>-48260891.594908439</v>
      </c>
      <c r="R214">
        <f t="shared" si="961"/>
        <v>5062274613.5975933</v>
      </c>
      <c r="S214">
        <f t="shared" si="962"/>
        <v>50622.746135975933</v>
      </c>
      <c r="T214">
        <f t="shared" si="963"/>
        <v>50.62274613597593</v>
      </c>
    </row>
    <row r="215" spans="1:20" x14ac:dyDescent="0.25">
      <c r="A215" s="5">
        <v>44378</v>
      </c>
      <c r="B215">
        <v>0.1956</v>
      </c>
      <c r="C215">
        <v>0.21360000000000001</v>
      </c>
      <c r="D215">
        <v>0.18121999999999999</v>
      </c>
      <c r="E215">
        <v>0.21162</v>
      </c>
      <c r="F215">
        <v>203369456.09999999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0.87770228536133366</v>
      </c>
      <c r="Q215">
        <f t="shared" si="960"/>
        <v>178497836.39166141</v>
      </c>
      <c r="R215">
        <f t="shared" si="961"/>
        <v>5110535505.192502</v>
      </c>
      <c r="S215">
        <f t="shared" si="962"/>
        <v>51105.35505192502</v>
      </c>
      <c r="T215">
        <f t="shared" si="963"/>
        <v>51.105355051925024</v>
      </c>
    </row>
    <row r="216" spans="1:20" x14ac:dyDescent="0.25">
      <c r="A216" s="5">
        <v>44377</v>
      </c>
      <c r="B216">
        <v>0.19087999999999999</v>
      </c>
      <c r="C216">
        <v>0.1956</v>
      </c>
      <c r="D216">
        <v>0.17532</v>
      </c>
      <c r="E216">
        <v>0.1956</v>
      </c>
      <c r="F216">
        <v>86657609.799999997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1</v>
      </c>
      <c r="Q216">
        <f t="shared" si="960"/>
        <v>86657609.799999997</v>
      </c>
      <c r="R216">
        <f t="shared" si="961"/>
        <v>4932037668.8008404</v>
      </c>
      <c r="S216">
        <f t="shared" si="962"/>
        <v>49320.3766880084</v>
      </c>
      <c r="T216">
        <f t="shared" si="963"/>
        <v>49.320376688008402</v>
      </c>
    </row>
    <row r="217" spans="1:20" x14ac:dyDescent="0.25">
      <c r="A217" s="5">
        <v>44376</v>
      </c>
      <c r="B217">
        <v>0.18287999999999999</v>
      </c>
      <c r="C217">
        <v>0.19577</v>
      </c>
      <c r="D217">
        <v>0.18149999999999999</v>
      </c>
      <c r="E217">
        <v>0.19087999999999999</v>
      </c>
      <c r="F217">
        <v>90705439.900000006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0.31464611072179344</v>
      </c>
      <c r="Q217">
        <f t="shared" si="960"/>
        <v>28540113.885844383</v>
      </c>
      <c r="R217">
        <f t="shared" si="961"/>
        <v>4845380059.0008402</v>
      </c>
      <c r="S217">
        <f t="shared" si="962"/>
        <v>48453.800590008403</v>
      </c>
      <c r="T217">
        <f t="shared" si="963"/>
        <v>48.453800590008406</v>
      </c>
    </row>
    <row r="218" spans="1:20" x14ac:dyDescent="0.25">
      <c r="A218" s="5">
        <v>44375</v>
      </c>
      <c r="B218">
        <v>0.18243999999999999</v>
      </c>
      <c r="C218">
        <v>0.18476999999999999</v>
      </c>
      <c r="D218">
        <v>0.17524999999999999</v>
      </c>
      <c r="E218">
        <v>0.18287999999999999</v>
      </c>
      <c r="F218">
        <v>77482482.599999994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0.60294117647058765</v>
      </c>
      <c r="Q218">
        <f t="shared" si="960"/>
        <v>46717379.214705832</v>
      </c>
      <c r="R218">
        <f t="shared" si="961"/>
        <v>4816839945.114996</v>
      </c>
      <c r="S218">
        <f t="shared" si="962"/>
        <v>48168.399451149962</v>
      </c>
      <c r="T218">
        <f t="shared" si="963"/>
        <v>48.168399451149959</v>
      </c>
    </row>
    <row r="219" spans="1:20" x14ac:dyDescent="0.25">
      <c r="A219" s="5">
        <v>44374</v>
      </c>
      <c r="B219">
        <v>0.17904</v>
      </c>
      <c r="C219">
        <v>0.18287</v>
      </c>
      <c r="D219">
        <v>0.17152999999999999</v>
      </c>
      <c r="E219">
        <v>0.18251000000000001</v>
      </c>
      <c r="F219">
        <v>65251131.799999997</v>
      </c>
      <c r="G219">
        <v>0</v>
      </c>
      <c r="L219" t="s">
        <v>7</v>
      </c>
      <c r="M219" t="s">
        <v>8</v>
      </c>
      <c r="N219" t="s">
        <v>7</v>
      </c>
      <c r="P219">
        <f t="shared" si="959"/>
        <v>0.93650793650793673</v>
      </c>
      <c r="Q219">
        <f t="shared" si="960"/>
        <v>61108202.796825409</v>
      </c>
      <c r="R219">
        <f t="shared" si="961"/>
        <v>4770122565.9002905</v>
      </c>
      <c r="S219">
        <f t="shared" si="962"/>
        <v>47701.225659002906</v>
      </c>
      <c r="T219">
        <f t="shared" si="963"/>
        <v>47.701225659002908</v>
      </c>
    </row>
    <row r="220" spans="1:20" x14ac:dyDescent="0.25">
      <c r="A220" s="5">
        <v>44373</v>
      </c>
      <c r="B220">
        <v>0.16492999999999999</v>
      </c>
      <c r="C220">
        <v>0.19303000000000001</v>
      </c>
      <c r="D220">
        <v>0.16253000000000001</v>
      </c>
      <c r="E220">
        <v>0.17902000000000001</v>
      </c>
      <c r="F220">
        <v>190856874.30000001</v>
      </c>
      <c r="G220">
        <v>0</v>
      </c>
      <c r="L220" t="s">
        <v>8</v>
      </c>
      <c r="M220" t="s">
        <v>8</v>
      </c>
      <c r="N220" t="s">
        <v>7</v>
      </c>
      <c r="P220">
        <f t="shared" si="959"/>
        <v>8.1311475409836395E-2</v>
      </c>
      <c r="Q220">
        <f t="shared" si="960"/>
        <v>15518854.041442687</v>
      </c>
      <c r="R220">
        <f t="shared" si="961"/>
        <v>4709014363.1034651</v>
      </c>
      <c r="S220">
        <f t="shared" si="962"/>
        <v>47090.143631034654</v>
      </c>
      <c r="T220">
        <f t="shared" si="963"/>
        <v>47.090143631034657</v>
      </c>
    </row>
    <row r="221" spans="1:20" x14ac:dyDescent="0.25">
      <c r="A221" s="5">
        <v>44372</v>
      </c>
      <c r="B221">
        <v>0.19238</v>
      </c>
      <c r="C221">
        <v>0.19500000000000001</v>
      </c>
      <c r="D221">
        <v>0.16300000000000001</v>
      </c>
      <c r="E221">
        <v>0.16483999999999999</v>
      </c>
      <c r="F221">
        <v>133408158.3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-0.88500000000000123</v>
      </c>
      <c r="Q221">
        <f t="shared" si="960"/>
        <v>-118066220.09550016</v>
      </c>
      <c r="R221">
        <f t="shared" si="961"/>
        <v>4693495509.0620222</v>
      </c>
      <c r="S221">
        <f t="shared" si="962"/>
        <v>46934.95509062022</v>
      </c>
      <c r="T221">
        <f t="shared" si="963"/>
        <v>46.934955090620221</v>
      </c>
    </row>
    <row r="222" spans="1:20" x14ac:dyDescent="0.25">
      <c r="A222" s="5">
        <v>44371</v>
      </c>
      <c r="B222">
        <v>0.18207999999999999</v>
      </c>
      <c r="C222">
        <v>0.19520000000000001</v>
      </c>
      <c r="D222">
        <v>0.17605000000000001</v>
      </c>
      <c r="E222">
        <v>0.19238</v>
      </c>
      <c r="F222">
        <v>75185767.5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0.70548302872062485</v>
      </c>
      <c r="Q222">
        <f t="shared" si="960"/>
        <v>53042282.972584724</v>
      </c>
      <c r="R222">
        <f t="shared" si="961"/>
        <v>4811561729.1575222</v>
      </c>
      <c r="S222">
        <f t="shared" si="962"/>
        <v>48115.617291575225</v>
      </c>
      <c r="T222">
        <f t="shared" si="963"/>
        <v>48.115617291575226</v>
      </c>
    </row>
    <row r="223" spans="1:20" x14ac:dyDescent="0.25">
      <c r="A223" s="5">
        <v>44370</v>
      </c>
      <c r="B223">
        <v>0.16672000000000001</v>
      </c>
      <c r="C223">
        <v>0.18990000000000001</v>
      </c>
      <c r="D223">
        <v>0.16161</v>
      </c>
      <c r="E223">
        <v>0.18223</v>
      </c>
      <c r="F223">
        <v>125826791.90000001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0.45775892541534058</v>
      </c>
      <c r="Q223">
        <f t="shared" si="960"/>
        <v>57598337.048603684</v>
      </c>
      <c r="R223">
        <f t="shared" si="961"/>
        <v>4758519446.1849375</v>
      </c>
      <c r="S223">
        <f t="shared" si="962"/>
        <v>47585.194461849373</v>
      </c>
      <c r="T223">
        <f t="shared" si="963"/>
        <v>47.585194461849376</v>
      </c>
    </row>
    <row r="224" spans="1:20" x14ac:dyDescent="0.25">
      <c r="A224" s="5">
        <v>44369</v>
      </c>
      <c r="B224">
        <v>0.17441999999999999</v>
      </c>
      <c r="C224">
        <v>0.17896999999999999</v>
      </c>
      <c r="D224">
        <v>0.13821</v>
      </c>
      <c r="E224">
        <v>0.16639000000000001</v>
      </c>
      <c r="F224">
        <v>252853860.19999999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0.38272816486751798</v>
      </c>
      <c r="Q224">
        <f t="shared" si="960"/>
        <v>96774293.894013941</v>
      </c>
      <c r="R224">
        <f t="shared" si="961"/>
        <v>4700921109.1363335</v>
      </c>
      <c r="S224">
        <f t="shared" si="962"/>
        <v>47009.211091363337</v>
      </c>
      <c r="T224">
        <f t="shared" si="963"/>
        <v>47.009211091363333</v>
      </c>
    </row>
    <row r="225" spans="1:20" x14ac:dyDescent="0.25">
      <c r="A225" s="5">
        <v>44368</v>
      </c>
      <c r="B225">
        <v>0.19327</v>
      </c>
      <c r="C225">
        <v>0.19703000000000001</v>
      </c>
      <c r="D225">
        <v>0.16134000000000001</v>
      </c>
      <c r="E225">
        <v>0.17393</v>
      </c>
      <c r="F225">
        <v>209187614.40000001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-0.29448024656766658</v>
      </c>
      <c r="Q225">
        <f t="shared" si="960"/>
        <v>-61601620.267413959</v>
      </c>
      <c r="R225">
        <f t="shared" si="961"/>
        <v>4604146815.2423191</v>
      </c>
      <c r="S225">
        <f t="shared" si="962"/>
        <v>46041.468152423193</v>
      </c>
      <c r="T225">
        <f t="shared" si="963"/>
        <v>46.041468152423192</v>
      </c>
    </row>
    <row r="226" spans="1:20" x14ac:dyDescent="0.25">
      <c r="A226" s="5">
        <v>44367</v>
      </c>
      <c r="B226">
        <v>0.19539999999999999</v>
      </c>
      <c r="C226">
        <v>0.19999</v>
      </c>
      <c r="D226">
        <v>0.17938999999999999</v>
      </c>
      <c r="E226">
        <v>0.19306999999999999</v>
      </c>
      <c r="F226">
        <v>72874211.5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0.32815533980582456</v>
      </c>
      <c r="Q226">
        <f t="shared" si="960"/>
        <v>23914061.637864027</v>
      </c>
      <c r="R226">
        <f t="shared" si="961"/>
        <v>4665748435.5097332</v>
      </c>
      <c r="S226">
        <f t="shared" si="962"/>
        <v>46657.484355097331</v>
      </c>
      <c r="T226">
        <f t="shared" si="963"/>
        <v>46.657484355097331</v>
      </c>
    </row>
    <row r="227" spans="1:20" x14ac:dyDescent="0.25">
      <c r="A227" s="5">
        <v>44366</v>
      </c>
      <c r="B227">
        <v>0.20732999999999999</v>
      </c>
      <c r="C227">
        <v>0.21163999999999999</v>
      </c>
      <c r="D227">
        <v>0.19491</v>
      </c>
      <c r="E227">
        <v>0.19550999999999999</v>
      </c>
      <c r="F227">
        <v>65785270.5</v>
      </c>
      <c r="G227">
        <v>0</v>
      </c>
      <c r="L227" t="s">
        <v>7</v>
      </c>
      <c r="M227" t="s">
        <v>8</v>
      </c>
      <c r="N227" t="s">
        <v>7</v>
      </c>
      <c r="P227">
        <f t="shared" si="959"/>
        <v>-0.92827256425582905</v>
      </c>
      <c r="Q227">
        <f t="shared" si="960"/>
        <v>-61066661.737298347</v>
      </c>
      <c r="R227">
        <f t="shared" si="961"/>
        <v>4641834373.8718691</v>
      </c>
      <c r="S227">
        <f t="shared" si="962"/>
        <v>46418.343738718693</v>
      </c>
      <c r="T227">
        <f t="shared" si="963"/>
        <v>46.41834373871869</v>
      </c>
    </row>
    <row r="228" spans="1:20" x14ac:dyDescent="0.25">
      <c r="A228" s="5">
        <v>44365</v>
      </c>
      <c r="B228">
        <v>0.20821000000000001</v>
      </c>
      <c r="C228">
        <v>0.2296</v>
      </c>
      <c r="D228">
        <v>0.1976</v>
      </c>
      <c r="E228">
        <v>0.20716000000000001</v>
      </c>
      <c r="F228">
        <v>167085203.69999999</v>
      </c>
      <c r="G228">
        <v>0</v>
      </c>
      <c r="L228" t="s">
        <v>8</v>
      </c>
      <c r="M228" t="s">
        <v>8</v>
      </c>
      <c r="N228" t="s">
        <v>7</v>
      </c>
      <c r="P228">
        <f t="shared" si="959"/>
        <v>-0.40249999999999919</v>
      </c>
      <c r="Q228">
        <f t="shared" si="960"/>
        <v>-67251794.489249855</v>
      </c>
      <c r="R228">
        <f t="shared" si="961"/>
        <v>4702901035.6091671</v>
      </c>
      <c r="S228">
        <f t="shared" si="962"/>
        <v>47029.010356091669</v>
      </c>
      <c r="T228">
        <f t="shared" si="963"/>
        <v>47.029010356091668</v>
      </c>
    </row>
    <row r="229" spans="1:20" x14ac:dyDescent="0.25">
      <c r="A229" s="5">
        <v>44364</v>
      </c>
      <c r="B229">
        <v>0.20551</v>
      </c>
      <c r="C229">
        <v>0.21673999999999999</v>
      </c>
      <c r="D229">
        <v>0.19914999999999999</v>
      </c>
      <c r="E229">
        <v>0.20821999999999999</v>
      </c>
      <c r="F229">
        <v>91619740.299999997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3.1267765776008816E-2</v>
      </c>
      <c r="Q229">
        <f t="shared" si="960"/>
        <v>2864744.5801591557</v>
      </c>
      <c r="R229">
        <f t="shared" si="961"/>
        <v>4770152830.0984173</v>
      </c>
      <c r="S229">
        <f t="shared" si="962"/>
        <v>47701.528300984173</v>
      </c>
      <c r="T229">
        <f t="shared" si="963"/>
        <v>47.701528300984172</v>
      </c>
    </row>
    <row r="230" spans="1:20" x14ac:dyDescent="0.25">
      <c r="A230" s="5">
        <v>44363</v>
      </c>
      <c r="B230">
        <v>0.21210999999999999</v>
      </c>
      <c r="C230">
        <v>0.21365000000000001</v>
      </c>
      <c r="D230">
        <v>0.19500000000000001</v>
      </c>
      <c r="E230">
        <v>0.20571999999999999</v>
      </c>
      <c r="F230">
        <v>96254762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0.14959785522787986</v>
      </c>
      <c r="Q230">
        <f t="shared" si="960"/>
        <v>14399505.950670032</v>
      </c>
      <c r="R230">
        <f t="shared" si="961"/>
        <v>4767288085.5182581</v>
      </c>
      <c r="S230">
        <f t="shared" si="962"/>
        <v>47672.880855182579</v>
      </c>
      <c r="T230">
        <f t="shared" si="963"/>
        <v>47.672880855182576</v>
      </c>
    </row>
    <row r="231" spans="1:20" x14ac:dyDescent="0.25">
      <c r="A231" s="5">
        <v>44362</v>
      </c>
      <c r="B231">
        <v>0.20479</v>
      </c>
      <c r="C231">
        <v>0.21865999999999999</v>
      </c>
      <c r="D231">
        <v>0.20216999999999999</v>
      </c>
      <c r="E231">
        <v>0.21209</v>
      </c>
      <c r="F231">
        <v>98443468.599999994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0.20315342631898234</v>
      </c>
      <c r="Q231">
        <f t="shared" si="960"/>
        <v>19999127.944815151</v>
      </c>
      <c r="R231">
        <f t="shared" si="961"/>
        <v>4752888579.5675879</v>
      </c>
      <c r="S231">
        <f t="shared" si="962"/>
        <v>47528.88579567588</v>
      </c>
      <c r="T231">
        <f t="shared" si="963"/>
        <v>47.528885795675883</v>
      </c>
    </row>
    <row r="232" spans="1:20" x14ac:dyDescent="0.25">
      <c r="A232" s="5">
        <v>44361</v>
      </c>
      <c r="B232">
        <v>0.1968</v>
      </c>
      <c r="C232">
        <v>0.21822</v>
      </c>
      <c r="D232">
        <v>0.19092000000000001</v>
      </c>
      <c r="E232">
        <v>0.20480999999999999</v>
      </c>
      <c r="F232">
        <v>120811409.59999999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1.7582417582416871E-2</v>
      </c>
      <c r="Q232">
        <f t="shared" si="960"/>
        <v>2124156.6523076063</v>
      </c>
      <c r="R232">
        <f t="shared" si="961"/>
        <v>4732889451.6227732</v>
      </c>
      <c r="S232">
        <f t="shared" si="962"/>
        <v>47328.89451622773</v>
      </c>
      <c r="T232">
        <f t="shared" si="963"/>
        <v>47.328894516227727</v>
      </c>
    </row>
    <row r="233" spans="1:20" x14ac:dyDescent="0.25">
      <c r="A233" s="5">
        <v>44360</v>
      </c>
      <c r="B233">
        <v>0.18931000000000001</v>
      </c>
      <c r="C233">
        <v>0.19977</v>
      </c>
      <c r="D233">
        <v>0.17968999999999999</v>
      </c>
      <c r="E233">
        <v>0.19670000000000001</v>
      </c>
      <c r="F233">
        <v>68801771.799999997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0.69422310756972239</v>
      </c>
      <c r="Q233">
        <f t="shared" si="960"/>
        <v>47763779.82529889</v>
      </c>
      <c r="R233">
        <f t="shared" si="961"/>
        <v>4730765294.9704657</v>
      </c>
      <c r="S233">
        <f t="shared" si="962"/>
        <v>47307.652949704658</v>
      </c>
      <c r="T233">
        <f t="shared" si="963"/>
        <v>47.307652949704661</v>
      </c>
    </row>
    <row r="234" spans="1:20" x14ac:dyDescent="0.25">
      <c r="A234" s="5">
        <v>44359</v>
      </c>
      <c r="B234">
        <v>0.20043</v>
      </c>
      <c r="C234">
        <v>0.20061999999999999</v>
      </c>
      <c r="D234">
        <v>0.17738999999999999</v>
      </c>
      <c r="E234">
        <v>0.18934999999999999</v>
      </c>
      <c r="F234">
        <v>111298724.8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2.9702970297029539E-2</v>
      </c>
      <c r="Q234">
        <f t="shared" si="960"/>
        <v>3305902.7168316646</v>
      </c>
      <c r="R234">
        <f t="shared" si="961"/>
        <v>4683001515.1451664</v>
      </c>
      <c r="S234">
        <f t="shared" si="962"/>
        <v>46830.015151451662</v>
      </c>
      <c r="T234">
        <f t="shared" si="963"/>
        <v>46.830015151451661</v>
      </c>
    </row>
    <row r="235" spans="1:20" x14ac:dyDescent="0.25">
      <c r="A235" s="5">
        <v>44358</v>
      </c>
      <c r="B235">
        <v>0.20585999999999999</v>
      </c>
      <c r="C235">
        <v>0.21143999999999999</v>
      </c>
      <c r="D235">
        <v>0.19500000000000001</v>
      </c>
      <c r="E235">
        <v>0.20049</v>
      </c>
      <c r="F235">
        <v>73882001.599999994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-0.33211678832116781</v>
      </c>
      <c r="Q235">
        <f t="shared" si="960"/>
        <v>-24537453.086131379</v>
      </c>
      <c r="R235">
        <f t="shared" si="961"/>
        <v>4679695612.4283352</v>
      </c>
      <c r="S235">
        <f t="shared" si="962"/>
        <v>46796.956124283352</v>
      </c>
      <c r="T235">
        <f t="shared" si="963"/>
        <v>46.796956124283355</v>
      </c>
    </row>
    <row r="236" spans="1:20" x14ac:dyDescent="0.25">
      <c r="A236" s="5">
        <v>44357</v>
      </c>
      <c r="B236">
        <v>0.21779000000000001</v>
      </c>
      <c r="C236">
        <v>0.21895999999999999</v>
      </c>
      <c r="D236">
        <v>0.20119999999999999</v>
      </c>
      <c r="E236">
        <v>0.20562</v>
      </c>
      <c r="F236">
        <v>93067717.599999994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-0.50225225225225134</v>
      </c>
      <c r="Q236">
        <f t="shared" si="960"/>
        <v>-46743470.776576489</v>
      </c>
      <c r="R236">
        <f t="shared" si="961"/>
        <v>4704233065.5144663</v>
      </c>
      <c r="S236">
        <f t="shared" si="962"/>
        <v>47042.330655144666</v>
      </c>
      <c r="T236">
        <f t="shared" si="963"/>
        <v>47.042330655144667</v>
      </c>
    </row>
    <row r="237" spans="1:20" x14ac:dyDescent="0.25">
      <c r="A237" s="5">
        <v>44356</v>
      </c>
      <c r="B237">
        <v>0.21571000000000001</v>
      </c>
      <c r="C237">
        <v>0.22022</v>
      </c>
      <c r="D237">
        <v>0.2001</v>
      </c>
      <c r="E237">
        <v>0.21776000000000001</v>
      </c>
      <c r="F237">
        <v>110181982.8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0.75546719681908647</v>
      </c>
      <c r="Q237">
        <f t="shared" si="960"/>
        <v>83238873.685884804</v>
      </c>
      <c r="R237">
        <f t="shared" si="961"/>
        <v>4750976536.2910423</v>
      </c>
      <c r="S237">
        <f t="shared" si="962"/>
        <v>47509.765362910424</v>
      </c>
      <c r="T237">
        <f t="shared" si="963"/>
        <v>47.509765362910422</v>
      </c>
    </row>
    <row r="238" spans="1:20" x14ac:dyDescent="0.25">
      <c r="A238" s="5">
        <v>44355</v>
      </c>
      <c r="B238">
        <v>0.20716999999999999</v>
      </c>
      <c r="C238">
        <v>0.22367000000000001</v>
      </c>
      <c r="D238">
        <v>0.19</v>
      </c>
      <c r="E238">
        <v>0.21576999999999999</v>
      </c>
      <c r="F238">
        <v>142496324.19999999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0.53073953073952973</v>
      </c>
      <c r="Q238">
        <f t="shared" si="960"/>
        <v>75628432.23801589</v>
      </c>
      <c r="R238">
        <f t="shared" si="961"/>
        <v>4667737662.6051579</v>
      </c>
      <c r="S238">
        <f t="shared" si="962"/>
        <v>46677.376626051577</v>
      </c>
      <c r="T238">
        <f t="shared" si="963"/>
        <v>46.677376626051576</v>
      </c>
    </row>
    <row r="239" spans="1:20" x14ac:dyDescent="0.25">
      <c r="A239" s="5">
        <v>44354</v>
      </c>
      <c r="B239">
        <v>0.22875000000000001</v>
      </c>
      <c r="C239">
        <v>0.23430000000000001</v>
      </c>
      <c r="D239">
        <v>0.20519999999999999</v>
      </c>
      <c r="E239">
        <v>0.20732</v>
      </c>
      <c r="F239">
        <v>79068841.5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-0.85429553264604741</v>
      </c>
      <c r="Q239">
        <f t="shared" si="960"/>
        <v>-67548158.064948395</v>
      </c>
      <c r="R239">
        <f t="shared" si="961"/>
        <v>4592109230.3671417</v>
      </c>
      <c r="S239">
        <f t="shared" si="962"/>
        <v>45921.092303671416</v>
      </c>
      <c r="T239">
        <f t="shared" si="963"/>
        <v>45.921092303671415</v>
      </c>
    </row>
    <row r="240" spans="1:20" x14ac:dyDescent="0.25">
      <c r="A240" s="5">
        <v>44353</v>
      </c>
      <c r="B240">
        <v>0.22156999999999999</v>
      </c>
      <c r="C240">
        <v>0.23136999999999999</v>
      </c>
      <c r="D240">
        <v>0.21959000000000001</v>
      </c>
      <c r="E240">
        <v>0.22900000000000001</v>
      </c>
      <c r="F240">
        <v>49086139.299999997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0.59762308998302438</v>
      </c>
      <c r="Q240">
        <f t="shared" si="960"/>
        <v>29335010.243803166</v>
      </c>
      <c r="R240">
        <f t="shared" si="961"/>
        <v>4659657388.4320898</v>
      </c>
      <c r="S240">
        <f t="shared" si="962"/>
        <v>46596.573884320896</v>
      </c>
      <c r="T240">
        <f t="shared" si="963"/>
        <v>46.596573884320897</v>
      </c>
    </row>
    <row r="241" spans="1:20" x14ac:dyDescent="0.25">
      <c r="A241" s="5">
        <v>44352</v>
      </c>
      <c r="B241">
        <v>0.23211000000000001</v>
      </c>
      <c r="C241">
        <v>0.24088000000000001</v>
      </c>
      <c r="D241">
        <v>0.21210999999999999</v>
      </c>
      <c r="E241">
        <v>0.22173000000000001</v>
      </c>
      <c r="F241">
        <v>92621828.799999997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-0.33124782759819177</v>
      </c>
      <c r="Q241">
        <f t="shared" si="960"/>
        <v>-30680779.578171633</v>
      </c>
      <c r="R241">
        <f t="shared" si="961"/>
        <v>4630322378.1882868</v>
      </c>
      <c r="S241">
        <f t="shared" si="962"/>
        <v>46303.223781882865</v>
      </c>
      <c r="T241">
        <f t="shared" si="963"/>
        <v>46.303223781882863</v>
      </c>
    </row>
    <row r="242" spans="1:20" x14ac:dyDescent="0.25">
      <c r="A242" s="5">
        <v>44351</v>
      </c>
      <c r="B242">
        <v>0.25779999999999997</v>
      </c>
      <c r="C242">
        <v>0.25903999999999999</v>
      </c>
      <c r="D242">
        <v>0.22012000000000001</v>
      </c>
      <c r="E242">
        <v>0.23252999999999999</v>
      </c>
      <c r="F242">
        <v>146917046.80000001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-0.36228160328879844</v>
      </c>
      <c r="Q242">
        <f t="shared" si="960"/>
        <v>-53225343.265159436</v>
      </c>
      <c r="R242">
        <f t="shared" si="961"/>
        <v>4661003157.7664585</v>
      </c>
      <c r="S242">
        <f t="shared" si="962"/>
        <v>46610.031577664588</v>
      </c>
      <c r="T242">
        <f t="shared" si="963"/>
        <v>46.610031577664586</v>
      </c>
    </row>
    <row r="243" spans="1:20" x14ac:dyDescent="0.25">
      <c r="A243" s="5">
        <v>44350</v>
      </c>
      <c r="B243">
        <v>0.23158999999999999</v>
      </c>
      <c r="C243">
        <v>0.2676</v>
      </c>
      <c r="D243">
        <v>0.22911999999999999</v>
      </c>
      <c r="E243">
        <v>0.25779000000000002</v>
      </c>
      <c r="F243">
        <v>148792187.90000001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0.49012474012474105</v>
      </c>
      <c r="Q243">
        <f t="shared" si="960"/>
        <v>72926732.427079141</v>
      </c>
      <c r="R243">
        <f t="shared" si="961"/>
        <v>4714228501.0316181</v>
      </c>
      <c r="S243">
        <f t="shared" si="962"/>
        <v>47142.285010316184</v>
      </c>
      <c r="T243">
        <f t="shared" si="963"/>
        <v>47.142285010316186</v>
      </c>
    </row>
    <row r="244" spans="1:20" x14ac:dyDescent="0.25">
      <c r="A244" s="5">
        <v>44349</v>
      </c>
      <c r="B244">
        <v>0.22705</v>
      </c>
      <c r="C244">
        <v>0.245</v>
      </c>
      <c r="D244">
        <v>0.217</v>
      </c>
      <c r="E244">
        <v>0.23186000000000001</v>
      </c>
      <c r="F244">
        <v>99258256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6.1428571428572401E-2</v>
      </c>
      <c r="Q244">
        <f t="shared" si="960"/>
        <v>6097292.8685715254</v>
      </c>
      <c r="R244">
        <f t="shared" si="961"/>
        <v>4641301768.6045389</v>
      </c>
      <c r="S244">
        <f t="shared" si="962"/>
        <v>46413.017686045387</v>
      </c>
      <c r="T244">
        <f t="shared" si="963"/>
        <v>46.413017686045386</v>
      </c>
    </row>
    <row r="245" spans="1:20" x14ac:dyDescent="0.25">
      <c r="A245" s="5">
        <v>44348</v>
      </c>
      <c r="B245">
        <v>0.23327000000000001</v>
      </c>
      <c r="C245">
        <v>0.23782</v>
      </c>
      <c r="D245">
        <v>0.21637000000000001</v>
      </c>
      <c r="E245">
        <v>0.22672</v>
      </c>
      <c r="F245">
        <v>85357274.099999994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-3.4965034965035002E-2</v>
      </c>
      <c r="Q245">
        <f t="shared" si="960"/>
        <v>-2984520.0734265763</v>
      </c>
      <c r="R245">
        <f t="shared" si="961"/>
        <v>4635204475.7359676</v>
      </c>
      <c r="S245">
        <f t="shared" si="962"/>
        <v>46352.044757359676</v>
      </c>
      <c r="T245">
        <f t="shared" si="963"/>
        <v>46.352044757359678</v>
      </c>
    </row>
    <row r="246" spans="1:20" x14ac:dyDescent="0.25">
      <c r="A246" s="5">
        <v>44347</v>
      </c>
      <c r="B246">
        <v>0.21809999999999999</v>
      </c>
      <c r="C246">
        <v>0.23515</v>
      </c>
      <c r="D246">
        <v>0.20502999999999999</v>
      </c>
      <c r="E246">
        <v>0.23347999999999999</v>
      </c>
      <c r="F246">
        <v>124636559.5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0.88911022576361187</v>
      </c>
      <c r="Q246">
        <f t="shared" si="960"/>
        <v>110815639.55544484</v>
      </c>
      <c r="R246">
        <f t="shared" si="961"/>
        <v>4638188995.8093939</v>
      </c>
      <c r="S246">
        <f t="shared" si="962"/>
        <v>46381.88995809394</v>
      </c>
      <c r="T246">
        <f t="shared" si="963"/>
        <v>46.381889958093943</v>
      </c>
    </row>
    <row r="247" spans="1:20" x14ac:dyDescent="0.25">
      <c r="A247" s="5">
        <v>44346</v>
      </c>
      <c r="B247">
        <v>0.20849000000000001</v>
      </c>
      <c r="C247">
        <v>0.22800000000000001</v>
      </c>
      <c r="D247">
        <v>0.1988</v>
      </c>
      <c r="E247">
        <v>0.21820999999999999</v>
      </c>
      <c r="F247">
        <v>98195947.700000003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0.32945205479451922</v>
      </c>
      <c r="Q247">
        <f t="shared" si="960"/>
        <v>32350856.742260143</v>
      </c>
      <c r="R247">
        <f t="shared" si="961"/>
        <v>4527373356.2539492</v>
      </c>
      <c r="S247">
        <f t="shared" si="962"/>
        <v>45273.733562539492</v>
      </c>
      <c r="T247">
        <f t="shared" si="963"/>
        <v>45.273733562539491</v>
      </c>
    </row>
    <row r="248" spans="1:20" x14ac:dyDescent="0.25">
      <c r="A248" s="5">
        <v>44345</v>
      </c>
      <c r="B248">
        <v>0.21787000000000001</v>
      </c>
      <c r="C248">
        <v>0.22439999999999999</v>
      </c>
      <c r="D248">
        <v>0.19907</v>
      </c>
      <c r="E248">
        <v>0.20901</v>
      </c>
      <c r="F248">
        <v>133262175.5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-0.21515988945913875</v>
      </c>
      <c r="Q248">
        <f t="shared" si="960"/>
        <v>-28672674.949664347</v>
      </c>
      <c r="R248">
        <f t="shared" si="961"/>
        <v>4495022499.5116892</v>
      </c>
      <c r="S248">
        <f t="shared" si="962"/>
        <v>44950.224995116892</v>
      </c>
      <c r="T248">
        <f t="shared" si="963"/>
        <v>44.950224995116891</v>
      </c>
    </row>
    <row r="249" spans="1:20" x14ac:dyDescent="0.25">
      <c r="A249" s="5">
        <v>44344</v>
      </c>
      <c r="B249">
        <v>0.25452999999999998</v>
      </c>
      <c r="C249">
        <v>0.25952999999999998</v>
      </c>
      <c r="D249">
        <v>0.20815</v>
      </c>
      <c r="E249">
        <v>0.21784999999999999</v>
      </c>
      <c r="F249">
        <v>226865571.69999999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-0.6224211755546909</v>
      </c>
      <c r="Q249">
        <f t="shared" si="960"/>
        <v>-141205935.830401</v>
      </c>
      <c r="R249">
        <f t="shared" si="961"/>
        <v>4523695174.4613533</v>
      </c>
      <c r="S249">
        <f t="shared" si="962"/>
        <v>45236.951744613536</v>
      </c>
      <c r="T249">
        <f t="shared" si="963"/>
        <v>45.236951744613535</v>
      </c>
    </row>
    <row r="250" spans="1:20" x14ac:dyDescent="0.25">
      <c r="A250" s="5">
        <v>44343</v>
      </c>
      <c r="B250">
        <v>0.27321000000000001</v>
      </c>
      <c r="C250">
        <v>0.27400000000000002</v>
      </c>
      <c r="D250">
        <v>0.24809</v>
      </c>
      <c r="E250">
        <v>0.2545</v>
      </c>
      <c r="F250">
        <v>144847246.80000001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-0.50521034349671978</v>
      </c>
      <c r="Q250">
        <f t="shared" si="960"/>
        <v>-73178327.310382158</v>
      </c>
      <c r="R250">
        <f t="shared" si="961"/>
        <v>4664901110.2917547</v>
      </c>
      <c r="S250">
        <f t="shared" si="962"/>
        <v>46649.011102917546</v>
      </c>
      <c r="T250">
        <f t="shared" si="963"/>
        <v>46.649011102917548</v>
      </c>
    </row>
    <row r="251" spans="1:20" x14ac:dyDescent="0.25">
      <c r="A251" s="5">
        <v>44342</v>
      </c>
      <c r="B251">
        <v>0.25278</v>
      </c>
      <c r="C251">
        <v>0.27616000000000002</v>
      </c>
      <c r="D251">
        <v>0.24603</v>
      </c>
      <c r="E251">
        <v>0.27321000000000001</v>
      </c>
      <c r="F251">
        <v>203806872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0.80418187852638523</v>
      </c>
      <c r="Q251">
        <f t="shared" si="960"/>
        <v>163897793.18154654</v>
      </c>
      <c r="R251">
        <f t="shared" si="961"/>
        <v>4738079437.6021366</v>
      </c>
      <c r="S251">
        <f t="shared" si="962"/>
        <v>47380.794376021367</v>
      </c>
      <c r="T251">
        <f t="shared" si="963"/>
        <v>47.38079437602137</v>
      </c>
    </row>
    <row r="252" spans="1:20" x14ac:dyDescent="0.25">
      <c r="A252" s="5">
        <v>44341</v>
      </c>
      <c r="B252">
        <v>0.25490000000000002</v>
      </c>
      <c r="C252">
        <v>0.26562000000000002</v>
      </c>
      <c r="D252">
        <v>0.22775000000000001</v>
      </c>
      <c r="E252">
        <v>0.25289</v>
      </c>
      <c r="F252">
        <v>198099324.30000001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0.3277000264061255</v>
      </c>
      <c r="Q252">
        <f t="shared" si="960"/>
        <v>64917153.804145619</v>
      </c>
      <c r="R252">
        <f t="shared" si="961"/>
        <v>4574181644.4205904</v>
      </c>
      <c r="S252">
        <f t="shared" si="962"/>
        <v>45741.816444205906</v>
      </c>
      <c r="T252">
        <f t="shared" si="963"/>
        <v>45.741816444205909</v>
      </c>
    </row>
    <row r="253" spans="1:20" x14ac:dyDescent="0.25">
      <c r="A253" s="5">
        <v>44340</v>
      </c>
      <c r="B253">
        <v>0.23199</v>
      </c>
      <c r="C253">
        <v>0.27045000000000002</v>
      </c>
      <c r="D253">
        <v>0.21593999999999999</v>
      </c>
      <c r="E253">
        <v>0.25474000000000002</v>
      </c>
      <c r="F253">
        <v>256855937.19999999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0.42359200146762088</v>
      </c>
      <c r="Q253">
        <f t="shared" si="960"/>
        <v>108802120.52738953</v>
      </c>
      <c r="R253">
        <f t="shared" si="961"/>
        <v>4509264490.6164446</v>
      </c>
      <c r="S253">
        <f t="shared" si="962"/>
        <v>45092.644906164445</v>
      </c>
      <c r="T253">
        <f t="shared" si="963"/>
        <v>45.092644906164445</v>
      </c>
    </row>
    <row r="254" spans="1:20" x14ac:dyDescent="0.25">
      <c r="A254" s="5">
        <v>44339</v>
      </c>
      <c r="B254">
        <v>0.26860000000000001</v>
      </c>
      <c r="C254">
        <v>0.26889000000000002</v>
      </c>
      <c r="D254">
        <v>0.18889</v>
      </c>
      <c r="E254">
        <v>0.23188</v>
      </c>
      <c r="F254">
        <v>369987853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7.4749999999999803E-2</v>
      </c>
      <c r="Q254">
        <f t="shared" si="960"/>
        <v>27656592.011749927</v>
      </c>
      <c r="R254">
        <f t="shared" si="961"/>
        <v>4400462370.0890551</v>
      </c>
      <c r="S254">
        <f t="shared" si="962"/>
        <v>44004.623700890552</v>
      </c>
      <c r="T254">
        <f t="shared" si="963"/>
        <v>44.004623700890555</v>
      </c>
    </row>
    <row r="255" spans="1:20" x14ac:dyDescent="0.25">
      <c r="A255" s="5">
        <v>44338</v>
      </c>
      <c r="B255">
        <v>0.23663999999999999</v>
      </c>
      <c r="C255">
        <v>0.29641000000000001</v>
      </c>
      <c r="D255">
        <v>0.2041</v>
      </c>
      <c r="E255">
        <v>0.26869999999999999</v>
      </c>
      <c r="F255">
        <v>497734493.10000002</v>
      </c>
      <c r="G255">
        <v>0</v>
      </c>
      <c r="L255" t="s">
        <v>7</v>
      </c>
      <c r="M255" t="s">
        <v>8</v>
      </c>
      <c r="N255" t="s">
        <v>8</v>
      </c>
      <c r="P255">
        <f t="shared" si="959"/>
        <v>0.39963167587476955</v>
      </c>
      <c r="Q255">
        <f t="shared" si="960"/>
        <v>198910469.61823192</v>
      </c>
      <c r="R255">
        <f t="shared" si="961"/>
        <v>4372805778.0773048</v>
      </c>
      <c r="S255">
        <f t="shared" si="962"/>
        <v>43728.057780773051</v>
      </c>
      <c r="T255">
        <f t="shared" si="963"/>
        <v>43.72805778077305</v>
      </c>
    </row>
    <row r="256" spans="1:20" x14ac:dyDescent="0.25">
      <c r="A256" s="5">
        <v>44337</v>
      </c>
      <c r="B256">
        <v>0.27500999999999998</v>
      </c>
      <c r="C256">
        <v>0.29449999999999998</v>
      </c>
      <c r="D256">
        <v>0.19353000000000001</v>
      </c>
      <c r="E256">
        <v>0.23718</v>
      </c>
      <c r="F256">
        <v>321887440.60000002</v>
      </c>
      <c r="G256">
        <v>0</v>
      </c>
      <c r="L256" t="s">
        <v>8</v>
      </c>
      <c r="M256" t="s">
        <v>7</v>
      </c>
      <c r="N256" t="s">
        <v>7</v>
      </c>
      <c r="P256">
        <f t="shared" si="959"/>
        <v>-0.13538674853916996</v>
      </c>
      <c r="Q256">
        <f t="shared" si="960"/>
        <v>-43579293.978429213</v>
      </c>
      <c r="R256">
        <f t="shared" si="961"/>
        <v>4173895308.4590731</v>
      </c>
      <c r="S256">
        <f t="shared" si="962"/>
        <v>41738.953084590728</v>
      </c>
      <c r="T256">
        <f t="shared" si="963"/>
        <v>41.738953084590726</v>
      </c>
    </row>
    <row r="257" spans="1:20" x14ac:dyDescent="0.25">
      <c r="A257" s="5">
        <v>44336</v>
      </c>
      <c r="B257">
        <v>0.21510000000000001</v>
      </c>
      <c r="C257">
        <v>0.29008</v>
      </c>
      <c r="D257">
        <v>0.19</v>
      </c>
      <c r="E257">
        <v>0.27435999999999999</v>
      </c>
      <c r="F257">
        <v>364033597.89999998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0.68585131894484386</v>
      </c>
      <c r="Q257">
        <f t="shared" si="960"/>
        <v>249672923.25995192</v>
      </c>
      <c r="R257">
        <f t="shared" si="961"/>
        <v>4217474602.4375024</v>
      </c>
      <c r="S257">
        <f t="shared" si="962"/>
        <v>42174.746024375025</v>
      </c>
      <c r="T257">
        <f t="shared" si="963"/>
        <v>42.174746024375025</v>
      </c>
    </row>
    <row r="258" spans="1:20" x14ac:dyDescent="0.25">
      <c r="A258" s="5">
        <v>44335</v>
      </c>
      <c r="B258">
        <v>0.33685999999999999</v>
      </c>
      <c r="C258">
        <v>0.34473999999999999</v>
      </c>
      <c r="D258">
        <v>0.16</v>
      </c>
      <c r="E258">
        <v>0.2147</v>
      </c>
      <c r="F258">
        <v>599104613.5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-0.40781639060300962</v>
      </c>
      <c r="Q258">
        <f t="shared" si="960"/>
        <v>-244324681.07118112</v>
      </c>
      <c r="R258">
        <f t="shared" si="961"/>
        <v>3967801679.1775503</v>
      </c>
      <c r="S258">
        <f t="shared" si="962"/>
        <v>39678.016791775502</v>
      </c>
      <c r="T258">
        <f t="shared" si="963"/>
        <v>39.678016791775505</v>
      </c>
    </row>
    <row r="259" spans="1:20" x14ac:dyDescent="0.25">
      <c r="A259" s="5">
        <v>44334</v>
      </c>
      <c r="B259">
        <v>0.29199999999999998</v>
      </c>
      <c r="C259">
        <v>0.35</v>
      </c>
      <c r="D259">
        <v>0.28341</v>
      </c>
      <c r="E259">
        <v>0.33637</v>
      </c>
      <c r="F259">
        <v>292580501.10000002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0.59062922360714887</v>
      </c>
      <c r="Q259">
        <f t="shared" si="960"/>
        <v>172806594.20728359</v>
      </c>
      <c r="R259">
        <f t="shared" si="961"/>
        <v>4212126360.2487316</v>
      </c>
      <c r="S259">
        <f t="shared" si="962"/>
        <v>42121.263602487314</v>
      </c>
      <c r="T259">
        <f t="shared" si="963"/>
        <v>42.121263602487311</v>
      </c>
    </row>
    <row r="260" spans="1:20" x14ac:dyDescent="0.25">
      <c r="A260" s="5">
        <v>44333</v>
      </c>
      <c r="B260">
        <v>0.32887</v>
      </c>
      <c r="C260">
        <v>0.35211999999999999</v>
      </c>
      <c r="D260">
        <v>0.28510999999999997</v>
      </c>
      <c r="E260">
        <v>0.29199999999999998</v>
      </c>
      <c r="F260">
        <v>313823914.5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-0.79435905088792702</v>
      </c>
      <c r="Q260">
        <f t="shared" si="960"/>
        <v>-249288866.86815396</v>
      </c>
      <c r="R260">
        <f t="shared" si="961"/>
        <v>4039319766.0414481</v>
      </c>
      <c r="S260">
        <f t="shared" si="962"/>
        <v>40393.19766041448</v>
      </c>
      <c r="T260">
        <f t="shared" si="963"/>
        <v>40.393197660414479</v>
      </c>
    </row>
    <row r="261" spans="1:20" x14ac:dyDescent="0.25">
      <c r="A261" s="5">
        <v>44332</v>
      </c>
      <c r="B261">
        <v>0.31302000000000002</v>
      </c>
      <c r="C261">
        <v>0.36249999999999999</v>
      </c>
      <c r="D261">
        <v>0.3</v>
      </c>
      <c r="E261">
        <v>0.32843</v>
      </c>
      <c r="F261">
        <v>445509807.19999999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-9.0239999999999654E-2</v>
      </c>
      <c r="Q261">
        <f t="shared" si="960"/>
        <v>-40202805.001727842</v>
      </c>
      <c r="R261">
        <f t="shared" si="961"/>
        <v>4288608632.9096022</v>
      </c>
      <c r="S261">
        <f t="shared" si="962"/>
        <v>42886.086329096019</v>
      </c>
      <c r="T261">
        <f t="shared" si="963"/>
        <v>42.886086329096017</v>
      </c>
    </row>
    <row r="262" spans="1:20" x14ac:dyDescent="0.25">
      <c r="A262" s="5">
        <v>44331</v>
      </c>
      <c r="B262">
        <v>0.33511999999999997</v>
      </c>
      <c r="C262">
        <v>0.33540999999999999</v>
      </c>
      <c r="D262">
        <v>0.29099000000000003</v>
      </c>
      <c r="E262">
        <v>0.31385000000000002</v>
      </c>
      <c r="F262">
        <v>333214789.30000001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2.9266096352994698E-2</v>
      </c>
      <c r="Q262">
        <f t="shared" ref="Q262:Q325" si="965">F262*P262</f>
        <v>9751896.1298966277</v>
      </c>
      <c r="R262">
        <f t="shared" ref="R262:R325" si="966">R263+Q262</f>
        <v>4328811437.9113302</v>
      </c>
      <c r="S262">
        <f t="shared" ref="S262:S325" si="967">R262/100000</f>
        <v>43288.1143791133</v>
      </c>
      <c r="T262">
        <f t="shared" ref="T262:T325" si="968">S262/1000</f>
        <v>43.288114379113303</v>
      </c>
    </row>
    <row r="263" spans="1:20" x14ac:dyDescent="0.25">
      <c r="A263" s="5">
        <v>44330</v>
      </c>
      <c r="B263">
        <v>0.33434999999999998</v>
      </c>
      <c r="C263">
        <v>0.39128000000000002</v>
      </c>
      <c r="D263">
        <v>0.31506000000000001</v>
      </c>
      <c r="E263">
        <v>0.33511000000000002</v>
      </c>
      <c r="F263">
        <v>788985900.39999998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-0.47389136709525032</v>
      </c>
      <c r="Q263">
        <f t="shared" si="965"/>
        <v>-373893606.95943302</v>
      </c>
      <c r="R263">
        <f t="shared" si="966"/>
        <v>4319059541.7814341</v>
      </c>
      <c r="S263">
        <f t="shared" si="967"/>
        <v>43190.595417814344</v>
      </c>
      <c r="T263">
        <f t="shared" si="968"/>
        <v>43.190595417814343</v>
      </c>
    </row>
    <row r="264" spans="1:20" x14ac:dyDescent="0.25">
      <c r="A264" s="5">
        <v>44329</v>
      </c>
      <c r="B264">
        <v>0.23981</v>
      </c>
      <c r="C264">
        <v>0.40949000000000002</v>
      </c>
      <c r="D264">
        <v>0.22600000000000001</v>
      </c>
      <c r="E264">
        <v>0.33434999999999998</v>
      </c>
      <c r="F264">
        <v>964316963.70000005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0.18099078968881099</v>
      </c>
      <c r="Q264">
        <f t="shared" si="965"/>
        <v>174532488.77037948</v>
      </c>
      <c r="R264">
        <f t="shared" si="966"/>
        <v>4692953148.7408667</v>
      </c>
      <c r="S264">
        <f t="shared" si="967"/>
        <v>46929.531487408669</v>
      </c>
      <c r="T264">
        <f t="shared" si="968"/>
        <v>46.929531487408667</v>
      </c>
    </row>
    <row r="265" spans="1:20" x14ac:dyDescent="0.25">
      <c r="A265" s="5">
        <v>44328</v>
      </c>
      <c r="B265">
        <v>0.28327000000000002</v>
      </c>
      <c r="C265">
        <v>0.28588000000000002</v>
      </c>
      <c r="D265">
        <v>0.2344</v>
      </c>
      <c r="E265">
        <v>0.23982000000000001</v>
      </c>
      <c r="F265">
        <v>119534358.3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-0.78943278943278927</v>
      </c>
      <c r="Q265">
        <f t="shared" si="965"/>
        <v>-94364341.905827478</v>
      </c>
      <c r="R265">
        <f t="shared" si="966"/>
        <v>4518420659.9704876</v>
      </c>
      <c r="S265">
        <f t="shared" si="967"/>
        <v>45184.206599704878</v>
      </c>
      <c r="T265">
        <f t="shared" si="968"/>
        <v>45.184206599704879</v>
      </c>
    </row>
    <row r="266" spans="1:20" x14ac:dyDescent="0.25">
      <c r="A266" s="5">
        <v>44327</v>
      </c>
      <c r="B266">
        <v>0.26413999999999999</v>
      </c>
      <c r="C266">
        <v>0.28498000000000001</v>
      </c>
      <c r="D266">
        <v>0.26157999999999998</v>
      </c>
      <c r="E266">
        <v>0.28286</v>
      </c>
      <c r="F266">
        <v>104272734.2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0.81880341880341811</v>
      </c>
      <c r="Q266">
        <f t="shared" si="965"/>
        <v>85378871.250940099</v>
      </c>
      <c r="R266">
        <f t="shared" si="966"/>
        <v>4612785001.8763151</v>
      </c>
      <c r="S266">
        <f t="shared" si="967"/>
        <v>46127.850018763151</v>
      </c>
      <c r="T266">
        <f t="shared" si="968"/>
        <v>46.127850018763148</v>
      </c>
    </row>
    <row r="267" spans="1:20" x14ac:dyDescent="0.25">
      <c r="A267" s="5">
        <v>44326</v>
      </c>
      <c r="B267">
        <v>0.29199999999999998</v>
      </c>
      <c r="C267">
        <v>0.29998999999999998</v>
      </c>
      <c r="D267">
        <v>0.249</v>
      </c>
      <c r="E267">
        <v>0.26413999999999999</v>
      </c>
      <c r="F267">
        <v>155614905.90000001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-0.40615807020984535</v>
      </c>
      <c r="Q267">
        <f t="shared" si="965"/>
        <v>-63204249.876230679</v>
      </c>
      <c r="R267">
        <f t="shared" si="966"/>
        <v>4527406130.6253748</v>
      </c>
      <c r="S267">
        <f t="shared" si="967"/>
        <v>45274.061306253745</v>
      </c>
      <c r="T267">
        <f t="shared" si="968"/>
        <v>45.274061306253742</v>
      </c>
    </row>
    <row r="268" spans="1:20" x14ac:dyDescent="0.25">
      <c r="A268" s="5">
        <v>44325</v>
      </c>
      <c r="B268">
        <v>0.29801</v>
      </c>
      <c r="C268">
        <v>0.29908000000000001</v>
      </c>
      <c r="D268">
        <v>0.27511000000000002</v>
      </c>
      <c r="E268">
        <v>0.29185</v>
      </c>
      <c r="F268">
        <v>103687674.7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0.39674593241551798</v>
      </c>
      <c r="Q268">
        <f t="shared" si="965"/>
        <v>41137663.178848416</v>
      </c>
      <c r="R268">
        <f t="shared" si="966"/>
        <v>4590610380.501605</v>
      </c>
      <c r="S268">
        <f t="shared" si="967"/>
        <v>45906.10380501605</v>
      </c>
      <c r="T268">
        <f t="shared" si="968"/>
        <v>45.906103805016052</v>
      </c>
    </row>
    <row r="269" spans="1:20" x14ac:dyDescent="0.25">
      <c r="A269" s="5">
        <v>44324</v>
      </c>
      <c r="B269">
        <v>0.30595</v>
      </c>
      <c r="C269">
        <v>0.30621999999999999</v>
      </c>
      <c r="D269">
        <v>0.29039999999999999</v>
      </c>
      <c r="E269">
        <v>0.29762</v>
      </c>
      <c r="F269">
        <v>96564701.400000006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-8.7231352718077887E-2</v>
      </c>
      <c r="Q269">
        <f t="shared" si="965"/>
        <v>-8423469.5279392693</v>
      </c>
      <c r="R269">
        <f t="shared" si="966"/>
        <v>4549472717.3227568</v>
      </c>
      <c r="S269">
        <f t="shared" si="967"/>
        <v>45494.727173227569</v>
      </c>
      <c r="T269">
        <f t="shared" si="968"/>
        <v>45.494727173227567</v>
      </c>
    </row>
    <row r="270" spans="1:20" x14ac:dyDescent="0.25">
      <c r="A270" s="5">
        <v>44323</v>
      </c>
      <c r="B270">
        <v>0.29816999999999999</v>
      </c>
      <c r="C270">
        <v>0.32194</v>
      </c>
      <c r="D270">
        <v>0.28599999999999998</v>
      </c>
      <c r="E270">
        <v>0.30575999999999998</v>
      </c>
      <c r="F270">
        <v>135824588.30000001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9.9610461880911785E-2</v>
      </c>
      <c r="Q270">
        <f t="shared" si="965"/>
        <v>13529549.975347688</v>
      </c>
      <c r="R270">
        <f t="shared" si="966"/>
        <v>4557896186.8506956</v>
      </c>
      <c r="S270">
        <f t="shared" si="967"/>
        <v>45578.961868506958</v>
      </c>
      <c r="T270">
        <f t="shared" si="968"/>
        <v>45.578961868506958</v>
      </c>
    </row>
    <row r="271" spans="1:20" x14ac:dyDescent="0.25">
      <c r="A271" s="5">
        <v>44322</v>
      </c>
      <c r="B271">
        <v>0.31472</v>
      </c>
      <c r="C271">
        <v>0.31824000000000002</v>
      </c>
      <c r="D271">
        <v>0.28665000000000002</v>
      </c>
      <c r="E271">
        <v>0.29816999999999999</v>
      </c>
      <c r="F271">
        <v>148789278.5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-0.2706552706552724</v>
      </c>
      <c r="Q271">
        <f t="shared" si="965"/>
        <v>-40270602.443020202</v>
      </c>
      <c r="R271">
        <f t="shared" si="966"/>
        <v>4544366636.8753481</v>
      </c>
      <c r="S271">
        <f t="shared" si="967"/>
        <v>45443.666368753482</v>
      </c>
      <c r="T271">
        <f t="shared" si="968"/>
        <v>45.443666368753483</v>
      </c>
    </row>
    <row r="272" spans="1:20" x14ac:dyDescent="0.25">
      <c r="A272" s="5">
        <v>44321</v>
      </c>
      <c r="B272">
        <v>0.2782</v>
      </c>
      <c r="C272">
        <v>0.31595000000000001</v>
      </c>
      <c r="D272">
        <v>0.27400000000000002</v>
      </c>
      <c r="E272">
        <v>0.31512000000000001</v>
      </c>
      <c r="F272">
        <v>133756560.59999999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0.96042908224076295</v>
      </c>
      <c r="Q272">
        <f t="shared" si="965"/>
        <v>128463690.74073899</v>
      </c>
      <c r="R272">
        <f t="shared" si="966"/>
        <v>4584637239.318368</v>
      </c>
      <c r="S272">
        <f t="shared" si="967"/>
        <v>45846.372393183679</v>
      </c>
      <c r="T272">
        <f t="shared" si="968"/>
        <v>45.846372393183678</v>
      </c>
    </row>
    <row r="273" spans="1:20" x14ac:dyDescent="0.25">
      <c r="A273" s="5">
        <v>44320</v>
      </c>
      <c r="B273">
        <v>0.32221</v>
      </c>
      <c r="C273">
        <v>0.32268999999999998</v>
      </c>
      <c r="D273">
        <v>0.27500000000000002</v>
      </c>
      <c r="E273">
        <v>0.27818999999999999</v>
      </c>
      <c r="F273">
        <v>177220451.80000001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-0.86621933319354272</v>
      </c>
      <c r="Q273">
        <f t="shared" si="965"/>
        <v>-153511781.58645439</v>
      </c>
      <c r="R273">
        <f t="shared" si="966"/>
        <v>4456173548.5776291</v>
      </c>
      <c r="S273">
        <f t="shared" si="967"/>
        <v>44561.735485776291</v>
      </c>
      <c r="T273">
        <f t="shared" si="968"/>
        <v>44.561735485776289</v>
      </c>
    </row>
    <row r="274" spans="1:20" x14ac:dyDescent="0.25">
      <c r="A274" s="5">
        <v>44319</v>
      </c>
      <c r="B274">
        <v>0.32890999999999998</v>
      </c>
      <c r="C274">
        <v>0.34</v>
      </c>
      <c r="D274">
        <v>0.31563999999999998</v>
      </c>
      <c r="E274">
        <v>0.32239000000000001</v>
      </c>
      <c r="F274">
        <v>123550886.40000001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-0.44581280788177174</v>
      </c>
      <c r="Q274">
        <f t="shared" si="965"/>
        <v>-55080567.582265809</v>
      </c>
      <c r="R274">
        <f t="shared" si="966"/>
        <v>4609685330.1640835</v>
      </c>
      <c r="S274">
        <f t="shared" si="967"/>
        <v>46096.853301640833</v>
      </c>
      <c r="T274">
        <f t="shared" si="968"/>
        <v>46.096853301640834</v>
      </c>
    </row>
    <row r="275" spans="1:20" x14ac:dyDescent="0.25">
      <c r="A275" s="5">
        <v>44318</v>
      </c>
      <c r="B275">
        <v>0.32680999999999999</v>
      </c>
      <c r="C275">
        <v>0.34534999999999999</v>
      </c>
      <c r="D275">
        <v>0.29560999999999998</v>
      </c>
      <c r="E275">
        <v>0.32893</v>
      </c>
      <c r="F275">
        <v>160506025.19999999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0.3397667872939289</v>
      </c>
      <c r="Q275">
        <f t="shared" si="965"/>
        <v>54534616.523522384</v>
      </c>
      <c r="R275">
        <f t="shared" si="966"/>
        <v>4664765897.7463493</v>
      </c>
      <c r="S275">
        <f t="shared" si="967"/>
        <v>46647.658977463492</v>
      </c>
      <c r="T275">
        <f t="shared" si="968"/>
        <v>46.647658977463493</v>
      </c>
    </row>
    <row r="276" spans="1:20" x14ac:dyDescent="0.25">
      <c r="A276" s="5">
        <v>44317</v>
      </c>
      <c r="B276">
        <v>0.29997000000000001</v>
      </c>
      <c r="C276">
        <v>0.33676</v>
      </c>
      <c r="D276">
        <v>0.28248000000000001</v>
      </c>
      <c r="E276">
        <v>0.32680999999999999</v>
      </c>
      <c r="F276">
        <v>166941648.69999999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0.63338246131171649</v>
      </c>
      <c r="Q276">
        <f t="shared" si="965"/>
        <v>105737912.34904191</v>
      </c>
      <c r="R276">
        <f t="shared" si="966"/>
        <v>4610231281.222827</v>
      </c>
      <c r="S276">
        <f t="shared" si="967"/>
        <v>46102.312812228272</v>
      </c>
      <c r="T276">
        <f t="shared" si="968"/>
        <v>46.10231281222827</v>
      </c>
    </row>
    <row r="277" spans="1:20" x14ac:dyDescent="0.25">
      <c r="A277" s="5">
        <v>44316</v>
      </c>
      <c r="B277">
        <v>0.28622999999999998</v>
      </c>
      <c r="C277">
        <v>0.30464999999999998</v>
      </c>
      <c r="D277">
        <v>0.27854000000000001</v>
      </c>
      <c r="E277">
        <v>0.29998000000000002</v>
      </c>
      <c r="F277">
        <v>99712009.299999997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0.64228265032554899</v>
      </c>
      <c r="Q277">
        <f t="shared" si="965"/>
        <v>64043293.602489784</v>
      </c>
      <c r="R277">
        <f t="shared" si="966"/>
        <v>4504493368.873785</v>
      </c>
      <c r="S277">
        <f t="shared" si="967"/>
        <v>45044.933688737852</v>
      </c>
      <c r="T277">
        <f t="shared" si="968"/>
        <v>45.044933688737849</v>
      </c>
    </row>
    <row r="278" spans="1:20" x14ac:dyDescent="0.25">
      <c r="A278" s="5">
        <v>44315</v>
      </c>
      <c r="B278">
        <v>0.28720000000000001</v>
      </c>
      <c r="C278">
        <v>0.31361</v>
      </c>
      <c r="D278">
        <v>0.27150000000000002</v>
      </c>
      <c r="E278">
        <v>0.28645999999999999</v>
      </c>
      <c r="F278">
        <v>153207377.19999999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-0.28947993350748136</v>
      </c>
      <c r="Q278">
        <f t="shared" si="965"/>
        <v>-44350461.364711612</v>
      </c>
      <c r="R278">
        <f t="shared" si="966"/>
        <v>4440450075.2712955</v>
      </c>
      <c r="S278">
        <f t="shared" si="967"/>
        <v>44404.500752712956</v>
      </c>
      <c r="T278">
        <f t="shared" si="968"/>
        <v>44.404500752712956</v>
      </c>
    </row>
    <row r="279" spans="1:20" x14ac:dyDescent="0.25">
      <c r="A279" s="5">
        <v>44314</v>
      </c>
      <c r="B279">
        <v>0.30364000000000002</v>
      </c>
      <c r="C279">
        <v>0.31</v>
      </c>
      <c r="D279">
        <v>0.27500000000000002</v>
      </c>
      <c r="E279">
        <v>0.28720000000000001</v>
      </c>
      <c r="F279">
        <v>104194532.8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-0.30285714285714305</v>
      </c>
      <c r="Q279">
        <f t="shared" si="965"/>
        <v>-31556058.505142875</v>
      </c>
      <c r="R279">
        <f t="shared" si="966"/>
        <v>4484800536.6360073</v>
      </c>
      <c r="S279">
        <f t="shared" si="967"/>
        <v>44848.00536636007</v>
      </c>
      <c r="T279">
        <f t="shared" si="968"/>
        <v>44.84800536636007</v>
      </c>
    </row>
    <row r="280" spans="1:20" x14ac:dyDescent="0.25">
      <c r="A280" s="5">
        <v>44313</v>
      </c>
      <c r="B280">
        <v>0.28503000000000001</v>
      </c>
      <c r="C280">
        <v>0.31480999999999998</v>
      </c>
      <c r="D280">
        <v>0.27839999999999998</v>
      </c>
      <c r="E280">
        <v>0.30404999999999999</v>
      </c>
      <c r="F280">
        <v>138676234.19999999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0.40895358418017069</v>
      </c>
      <c r="Q280">
        <f t="shared" si="965"/>
        <v>56712143.016698763</v>
      </c>
      <c r="R280">
        <f t="shared" si="966"/>
        <v>4516356595.1411505</v>
      </c>
      <c r="S280">
        <f t="shared" si="967"/>
        <v>45163.565951411503</v>
      </c>
      <c r="T280">
        <f t="shared" si="968"/>
        <v>45.163565951411506</v>
      </c>
    </row>
    <row r="281" spans="1:20" x14ac:dyDescent="0.25">
      <c r="A281" s="5">
        <v>44312</v>
      </c>
      <c r="B281">
        <v>0.24632000000000001</v>
      </c>
      <c r="C281">
        <v>0.29138999999999998</v>
      </c>
      <c r="D281">
        <v>0.24240999999999999</v>
      </c>
      <c r="E281">
        <v>0.2848</v>
      </c>
      <c r="F281">
        <v>152210382.19999999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0.73091057574520268</v>
      </c>
      <c r="Q281">
        <f t="shared" si="965"/>
        <v>111252178.08819935</v>
      </c>
      <c r="R281">
        <f t="shared" si="966"/>
        <v>4459644452.1244516</v>
      </c>
      <c r="S281">
        <f t="shared" si="967"/>
        <v>44596.444521244513</v>
      </c>
      <c r="T281">
        <f t="shared" si="968"/>
        <v>44.596444521244514</v>
      </c>
    </row>
    <row r="282" spans="1:20" x14ac:dyDescent="0.25">
      <c r="A282" s="5">
        <v>44311</v>
      </c>
      <c r="B282">
        <v>0.24384</v>
      </c>
      <c r="C282">
        <v>0.26600000000000001</v>
      </c>
      <c r="D282">
        <v>0.23222999999999999</v>
      </c>
      <c r="E282">
        <v>0.246</v>
      </c>
      <c r="F282">
        <v>105641561.40000001</v>
      </c>
      <c r="G282">
        <v>0</v>
      </c>
      <c r="L282" t="s">
        <v>7</v>
      </c>
      <c r="M282" t="s">
        <v>8</v>
      </c>
      <c r="N282" t="s">
        <v>8</v>
      </c>
      <c r="P282">
        <f t="shared" si="964"/>
        <v>-0.18448326917382318</v>
      </c>
      <c r="Q282">
        <f t="shared" si="965"/>
        <v>-19489100.607699171</v>
      </c>
      <c r="R282">
        <f t="shared" si="966"/>
        <v>4348392274.036252</v>
      </c>
      <c r="S282">
        <f t="shared" si="967"/>
        <v>43483.922740362519</v>
      </c>
      <c r="T282">
        <f t="shared" si="968"/>
        <v>43.483922740362516</v>
      </c>
    </row>
    <row r="283" spans="1:20" x14ac:dyDescent="0.25">
      <c r="A283" s="5">
        <v>44310</v>
      </c>
      <c r="B283">
        <v>0.26841999999999999</v>
      </c>
      <c r="C283">
        <v>0.26900000000000002</v>
      </c>
      <c r="D283">
        <v>0.23783000000000001</v>
      </c>
      <c r="E283">
        <v>0.24354999999999999</v>
      </c>
      <c r="F283">
        <v>108653747.3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-0.63298042990054704</v>
      </c>
      <c r="Q283">
        <f t="shared" si="965"/>
        <v>-68775695.676259398</v>
      </c>
      <c r="R283">
        <f t="shared" si="966"/>
        <v>4367881374.6439514</v>
      </c>
      <c r="S283">
        <f t="shared" si="967"/>
        <v>43678.813746439511</v>
      </c>
      <c r="T283">
        <f t="shared" si="968"/>
        <v>43.678813746439509</v>
      </c>
    </row>
    <row r="284" spans="1:20" x14ac:dyDescent="0.25">
      <c r="A284" s="5">
        <v>44309</v>
      </c>
      <c r="B284">
        <v>0.25779999999999997</v>
      </c>
      <c r="C284">
        <v>0.26982</v>
      </c>
      <c r="D284">
        <v>0.191</v>
      </c>
      <c r="E284">
        <v>0.26860000000000001</v>
      </c>
      <c r="F284">
        <v>280064078.80000001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0.96904339000253747</v>
      </c>
      <c r="Q284">
        <f t="shared" si="965"/>
        <v>271394244.3382898</v>
      </c>
      <c r="R284">
        <f t="shared" si="966"/>
        <v>4436657070.3202105</v>
      </c>
      <c r="S284">
        <f t="shared" si="967"/>
        <v>44366.570703202102</v>
      </c>
      <c r="T284">
        <f t="shared" si="968"/>
        <v>44.3665707032021</v>
      </c>
    </row>
    <row r="285" spans="1:20" x14ac:dyDescent="0.25">
      <c r="A285" s="5">
        <v>44308</v>
      </c>
      <c r="B285">
        <v>0.29121000000000002</v>
      </c>
      <c r="C285">
        <v>0.30499999999999999</v>
      </c>
      <c r="D285">
        <v>0.25059999999999999</v>
      </c>
      <c r="E285">
        <v>0.25779999999999997</v>
      </c>
      <c r="F285">
        <v>169536483.5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-0.73529411764705943</v>
      </c>
      <c r="Q285">
        <f t="shared" si="965"/>
        <v>-124659179.04411775</v>
      </c>
      <c r="R285">
        <f t="shared" si="966"/>
        <v>4165262825.9819202</v>
      </c>
      <c r="S285">
        <f t="shared" si="967"/>
        <v>41652.628259819205</v>
      </c>
      <c r="T285">
        <f t="shared" si="968"/>
        <v>41.652628259819203</v>
      </c>
    </row>
    <row r="286" spans="1:20" x14ac:dyDescent="0.25">
      <c r="A286" s="5">
        <v>44307</v>
      </c>
      <c r="B286">
        <v>0.32430999999999999</v>
      </c>
      <c r="C286">
        <v>0.32500000000000001</v>
      </c>
      <c r="D286">
        <v>0.28663</v>
      </c>
      <c r="E286">
        <v>0.29119</v>
      </c>
      <c r="F286">
        <v>181637274.40000001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-0.76231430805316613</v>
      </c>
      <c r="Q286">
        <f t="shared" si="965"/>
        <v>-138464693.15089908</v>
      </c>
      <c r="R286">
        <f t="shared" si="966"/>
        <v>4289922005.0260382</v>
      </c>
      <c r="S286">
        <f t="shared" si="967"/>
        <v>42899.220050260381</v>
      </c>
      <c r="T286">
        <f t="shared" si="968"/>
        <v>42.899220050260382</v>
      </c>
    </row>
    <row r="287" spans="1:20" x14ac:dyDescent="0.25">
      <c r="A287" s="5">
        <v>44306</v>
      </c>
      <c r="B287">
        <v>0.28804000000000002</v>
      </c>
      <c r="C287">
        <v>0.34669</v>
      </c>
      <c r="D287">
        <v>0.26351999999999998</v>
      </c>
      <c r="E287">
        <v>0.32386999999999999</v>
      </c>
      <c r="F287">
        <v>310923102.80000001</v>
      </c>
      <c r="G287">
        <v>0</v>
      </c>
      <c r="L287" t="s">
        <v>8</v>
      </c>
      <c r="M287" t="s">
        <v>8</v>
      </c>
      <c r="N287" t="s">
        <v>7</v>
      </c>
      <c r="P287">
        <f t="shared" si="964"/>
        <v>0.45124443910063722</v>
      </c>
      <c r="Q287">
        <f t="shared" si="965"/>
        <v>140302321.12641576</v>
      </c>
      <c r="R287">
        <f t="shared" si="966"/>
        <v>4428386698.1769371</v>
      </c>
      <c r="S287">
        <f t="shared" si="967"/>
        <v>44283.866981769374</v>
      </c>
      <c r="T287">
        <f t="shared" si="968"/>
        <v>44.283866981769371</v>
      </c>
    </row>
    <row r="288" spans="1:20" x14ac:dyDescent="0.25">
      <c r="A288" s="5">
        <v>44305</v>
      </c>
      <c r="B288">
        <v>0.30930999999999997</v>
      </c>
      <c r="C288">
        <v>0.32280999999999999</v>
      </c>
      <c r="D288">
        <v>0.26832</v>
      </c>
      <c r="E288">
        <v>0.28810000000000002</v>
      </c>
      <c r="F288">
        <v>217986705.19999999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-0.27399522848228935</v>
      </c>
      <c r="Q288">
        <f t="shared" si="965"/>
        <v>-59727317.097375453</v>
      </c>
      <c r="R288">
        <f t="shared" si="966"/>
        <v>4288084377.0505214</v>
      </c>
      <c r="S288">
        <f t="shared" si="967"/>
        <v>42880.843770505213</v>
      </c>
      <c r="T288">
        <f t="shared" si="968"/>
        <v>42.880843770505216</v>
      </c>
    </row>
    <row r="289" spans="1:20" x14ac:dyDescent="0.25">
      <c r="A289" s="5">
        <v>44304</v>
      </c>
      <c r="B289">
        <v>0.34189000000000003</v>
      </c>
      <c r="C289">
        <v>0.34537000000000001</v>
      </c>
      <c r="D289">
        <v>0.24235999999999999</v>
      </c>
      <c r="E289">
        <v>0.30956</v>
      </c>
      <c r="F289">
        <v>233229698.09999999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0.30472769634016111</v>
      </c>
      <c r="Q289">
        <f t="shared" si="965"/>
        <v>71071548.620124251</v>
      </c>
      <c r="R289">
        <f t="shared" si="966"/>
        <v>4347811694.1478968</v>
      </c>
      <c r="S289">
        <f t="shared" si="967"/>
        <v>43478.116941478969</v>
      </c>
      <c r="T289">
        <f t="shared" si="968"/>
        <v>43.478116941478966</v>
      </c>
    </row>
    <row r="290" spans="1:20" x14ac:dyDescent="0.25">
      <c r="A290" s="5">
        <v>44303</v>
      </c>
      <c r="B290">
        <v>0.34913</v>
      </c>
      <c r="C290">
        <v>0.37164999999999998</v>
      </c>
      <c r="D290">
        <v>0.33940999999999999</v>
      </c>
      <c r="E290">
        <v>0.34217999999999998</v>
      </c>
      <c r="F290">
        <v>154758862.5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-0.82816377171215905</v>
      </c>
      <c r="Q290">
        <f t="shared" si="965"/>
        <v>-128165683.27388342</v>
      </c>
      <c r="R290">
        <f t="shared" si="966"/>
        <v>4276740145.5277724</v>
      </c>
      <c r="S290">
        <f t="shared" si="967"/>
        <v>42767.401455277723</v>
      </c>
      <c r="T290">
        <f t="shared" si="968"/>
        <v>42.767401455277721</v>
      </c>
    </row>
    <row r="291" spans="1:20" x14ac:dyDescent="0.25">
      <c r="A291" s="5">
        <v>44302</v>
      </c>
      <c r="B291">
        <v>0.38022</v>
      </c>
      <c r="C291">
        <v>0.38229000000000002</v>
      </c>
      <c r="D291">
        <v>0.32800000000000001</v>
      </c>
      <c r="E291">
        <v>0.34893999999999997</v>
      </c>
      <c r="F291">
        <v>208766747.19999999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-0.22858721679867539</v>
      </c>
      <c r="Q291">
        <f t="shared" si="965"/>
        <v>-47721409.702560656</v>
      </c>
      <c r="R291">
        <f t="shared" si="966"/>
        <v>4404905828.8016558</v>
      </c>
      <c r="S291">
        <f t="shared" si="967"/>
        <v>44049.05828801656</v>
      </c>
      <c r="T291">
        <f t="shared" si="968"/>
        <v>44.04905828801656</v>
      </c>
    </row>
    <row r="292" spans="1:20" x14ac:dyDescent="0.25">
      <c r="A292" s="5">
        <v>44301</v>
      </c>
      <c r="B292">
        <v>0.37444</v>
      </c>
      <c r="C292">
        <v>0.38485000000000003</v>
      </c>
      <c r="D292">
        <v>0.36251</v>
      </c>
      <c r="E292">
        <v>0.38009999999999999</v>
      </c>
      <c r="F292">
        <v>184464710.90000001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0.57475380483437544</v>
      </c>
      <c r="Q292">
        <f t="shared" si="965"/>
        <v>106021794.44744809</v>
      </c>
      <c r="R292">
        <f t="shared" si="966"/>
        <v>4452627238.5042162</v>
      </c>
      <c r="S292">
        <f t="shared" si="967"/>
        <v>44526.272385042161</v>
      </c>
      <c r="T292">
        <f t="shared" si="968"/>
        <v>44.526272385042162</v>
      </c>
    </row>
    <row r="293" spans="1:20" x14ac:dyDescent="0.25">
      <c r="A293" s="5">
        <v>44300</v>
      </c>
      <c r="B293">
        <v>0.41006999999999999</v>
      </c>
      <c r="C293">
        <v>0.41454999999999997</v>
      </c>
      <c r="D293">
        <v>0.35979</v>
      </c>
      <c r="E293">
        <v>0.37448999999999999</v>
      </c>
      <c r="F293">
        <v>296898236.19999999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-0.46311176040905783</v>
      </c>
      <c r="Q293">
        <f t="shared" si="965"/>
        <v>-137497064.82892627</v>
      </c>
      <c r="R293">
        <f t="shared" si="966"/>
        <v>4346605444.0567684</v>
      </c>
      <c r="S293">
        <f t="shared" si="967"/>
        <v>43466.054440567685</v>
      </c>
      <c r="T293">
        <f t="shared" si="968"/>
        <v>43.466054440567682</v>
      </c>
    </row>
    <row r="294" spans="1:20" x14ac:dyDescent="0.25">
      <c r="A294" s="5">
        <v>44299</v>
      </c>
      <c r="B294">
        <v>0.35721000000000003</v>
      </c>
      <c r="C294">
        <v>0.41366999999999998</v>
      </c>
      <c r="D294">
        <v>0.33368999999999999</v>
      </c>
      <c r="E294">
        <v>0.41010000000000002</v>
      </c>
      <c r="F294">
        <v>190426185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0.91072768192048104</v>
      </c>
      <c r="Q294">
        <f t="shared" si="965"/>
        <v>173426398.04201066</v>
      </c>
      <c r="R294">
        <f t="shared" si="966"/>
        <v>4484102508.8856945</v>
      </c>
      <c r="S294">
        <f t="shared" si="967"/>
        <v>44841.025088856943</v>
      </c>
      <c r="T294">
        <f t="shared" si="968"/>
        <v>44.841025088856945</v>
      </c>
    </row>
    <row r="295" spans="1:20" x14ac:dyDescent="0.25">
      <c r="A295" s="5">
        <v>44298</v>
      </c>
      <c r="B295">
        <v>0.34841</v>
      </c>
      <c r="C295">
        <v>0.36568000000000001</v>
      </c>
      <c r="D295">
        <v>0.33</v>
      </c>
      <c r="E295">
        <v>0.35716999999999999</v>
      </c>
      <c r="F295">
        <v>156779119.19999999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0.52298206278026793</v>
      </c>
      <c r="Q295">
        <f t="shared" si="965"/>
        <v>81992667.160089508</v>
      </c>
      <c r="R295">
        <f t="shared" si="966"/>
        <v>4310676110.8436842</v>
      </c>
      <c r="S295">
        <f t="shared" si="967"/>
        <v>43106.76110843684</v>
      </c>
      <c r="T295">
        <f t="shared" si="968"/>
        <v>43.106761108436842</v>
      </c>
    </row>
    <row r="296" spans="1:20" x14ac:dyDescent="0.25">
      <c r="A296" s="5">
        <v>44297</v>
      </c>
      <c r="B296">
        <v>0.33138000000000001</v>
      </c>
      <c r="C296">
        <v>0.38350000000000001</v>
      </c>
      <c r="D296">
        <v>0.33089000000000002</v>
      </c>
      <c r="E296">
        <v>0.34813</v>
      </c>
      <c r="F296">
        <v>238917640.30000001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-0.34461129062915868</v>
      </c>
      <c r="Q296">
        <f t="shared" si="965"/>
        <v>-82333716.377856106</v>
      </c>
      <c r="R296">
        <f t="shared" si="966"/>
        <v>4228683443.6835947</v>
      </c>
      <c r="S296">
        <f t="shared" si="967"/>
        <v>42286.834436835947</v>
      </c>
      <c r="T296">
        <f t="shared" si="968"/>
        <v>42.286834436835946</v>
      </c>
    </row>
    <row r="297" spans="1:20" x14ac:dyDescent="0.25">
      <c r="A297" s="5">
        <v>44296</v>
      </c>
      <c r="B297">
        <v>0.33844999999999997</v>
      </c>
      <c r="C297">
        <v>0.34599999999999997</v>
      </c>
      <c r="D297">
        <v>0.31890000000000002</v>
      </c>
      <c r="E297">
        <v>0.33098</v>
      </c>
      <c r="F297">
        <v>121274857.09999999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-0.10848708487084881</v>
      </c>
      <c r="Q297">
        <f t="shared" si="965"/>
        <v>-13156755.71490776</v>
      </c>
      <c r="R297">
        <f t="shared" si="966"/>
        <v>4311017160.061451</v>
      </c>
      <c r="S297">
        <f t="shared" si="967"/>
        <v>43110.171600614507</v>
      </c>
      <c r="T297">
        <f t="shared" si="968"/>
        <v>43.110171600614507</v>
      </c>
    </row>
    <row r="298" spans="1:20" x14ac:dyDescent="0.25">
      <c r="A298" s="5">
        <v>44295</v>
      </c>
      <c r="B298">
        <v>0.32755000000000001</v>
      </c>
      <c r="C298">
        <v>0.36688999999999999</v>
      </c>
      <c r="D298">
        <v>0.32695999999999997</v>
      </c>
      <c r="E298">
        <v>0.33839999999999998</v>
      </c>
      <c r="F298">
        <v>185317443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-0.4269972451790634</v>
      </c>
      <c r="Q298">
        <f t="shared" si="965"/>
        <v>-79130037.644628108</v>
      </c>
      <c r="R298">
        <f t="shared" si="966"/>
        <v>4324173915.7763586</v>
      </c>
      <c r="S298">
        <f t="shared" si="967"/>
        <v>43241.739157763586</v>
      </c>
      <c r="T298">
        <f t="shared" si="968"/>
        <v>43.24173915776359</v>
      </c>
    </row>
    <row r="299" spans="1:20" x14ac:dyDescent="0.25">
      <c r="A299" s="5">
        <v>44294</v>
      </c>
      <c r="B299">
        <v>0.29946</v>
      </c>
      <c r="C299">
        <v>0.32779999999999998</v>
      </c>
      <c r="D299">
        <v>0.29686000000000001</v>
      </c>
      <c r="E299">
        <v>0.32758999999999999</v>
      </c>
      <c r="F299">
        <v>114619197.5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0.98642533936651655</v>
      </c>
      <c r="Q299">
        <f t="shared" si="965"/>
        <v>113063280.79185529</v>
      </c>
      <c r="R299">
        <f t="shared" si="966"/>
        <v>4403303953.4209871</v>
      </c>
      <c r="S299">
        <f t="shared" si="967"/>
        <v>44033.039534209871</v>
      </c>
      <c r="T299">
        <f t="shared" si="968"/>
        <v>44.03303953420987</v>
      </c>
    </row>
    <row r="300" spans="1:20" x14ac:dyDescent="0.25">
      <c r="A300" s="5">
        <v>44293</v>
      </c>
      <c r="B300">
        <v>0.32601999999999998</v>
      </c>
      <c r="C300">
        <v>0.32956000000000002</v>
      </c>
      <c r="D300">
        <v>0.27900000000000003</v>
      </c>
      <c r="E300">
        <v>0.29919000000000001</v>
      </c>
      <c r="F300">
        <v>142627697.59999999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-0.20134493670886122</v>
      </c>
      <c r="Q300">
        <f t="shared" si="965"/>
        <v>-28717364.746202596</v>
      </c>
      <c r="R300">
        <f t="shared" si="966"/>
        <v>4290240672.6291323</v>
      </c>
      <c r="S300">
        <f t="shared" si="967"/>
        <v>42902.406726291323</v>
      </c>
      <c r="T300">
        <f t="shared" si="968"/>
        <v>42.902406726291325</v>
      </c>
    </row>
    <row r="301" spans="1:20" x14ac:dyDescent="0.25">
      <c r="A301" s="5">
        <v>44292</v>
      </c>
      <c r="B301">
        <v>0.31759999999999999</v>
      </c>
      <c r="C301">
        <v>0.3382</v>
      </c>
      <c r="D301">
        <v>0.30499999999999999</v>
      </c>
      <c r="E301">
        <v>0.32600000000000001</v>
      </c>
      <c r="F301">
        <v>211049927.80000001</v>
      </c>
      <c r="G301">
        <v>0</v>
      </c>
      <c r="L301" t="s">
        <v>8</v>
      </c>
      <c r="M301" t="s">
        <v>7</v>
      </c>
      <c r="N301" t="s">
        <v>7</v>
      </c>
      <c r="P301">
        <f t="shared" si="964"/>
        <v>0.26506024096385628</v>
      </c>
      <c r="Q301">
        <f t="shared" si="965"/>
        <v>55940944.718072474</v>
      </c>
      <c r="R301">
        <f t="shared" si="966"/>
        <v>4318958037.3753347</v>
      </c>
      <c r="S301">
        <f t="shared" si="967"/>
        <v>43189.58037375335</v>
      </c>
      <c r="T301">
        <f t="shared" si="968"/>
        <v>43.189580373753351</v>
      </c>
    </row>
    <row r="302" spans="1:20" x14ac:dyDescent="0.25">
      <c r="A302" s="5">
        <v>44291</v>
      </c>
      <c r="B302">
        <v>0.32477</v>
      </c>
      <c r="C302">
        <v>0.32843</v>
      </c>
      <c r="D302">
        <v>0.30386000000000002</v>
      </c>
      <c r="E302">
        <v>0.31730999999999998</v>
      </c>
      <c r="F302">
        <v>152920490.40000001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9.4831094831092588E-2</v>
      </c>
      <c r="Q302">
        <f t="shared" si="965"/>
        <v>14501617.526739584</v>
      </c>
      <c r="R302">
        <f t="shared" si="966"/>
        <v>4263017092.6572618</v>
      </c>
      <c r="S302">
        <f t="shared" si="967"/>
        <v>42630.170926572617</v>
      </c>
      <c r="T302">
        <f t="shared" si="968"/>
        <v>42.630170926572617</v>
      </c>
    </row>
    <row r="303" spans="1:20" x14ac:dyDescent="0.25">
      <c r="A303" s="5">
        <v>44290</v>
      </c>
      <c r="B303">
        <v>0.31145</v>
      </c>
      <c r="C303">
        <v>0.33745000000000003</v>
      </c>
      <c r="D303">
        <v>0.30581999999999998</v>
      </c>
      <c r="E303">
        <v>0.32477</v>
      </c>
      <c r="F303">
        <v>85207826.200000003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0.19822952892823234</v>
      </c>
      <c r="Q303">
        <f t="shared" si="965"/>
        <v>16890707.248624694</v>
      </c>
      <c r="R303">
        <f t="shared" si="966"/>
        <v>4248515475.1305223</v>
      </c>
      <c r="S303">
        <f t="shared" si="967"/>
        <v>42485.154751305221</v>
      </c>
      <c r="T303">
        <f t="shared" si="968"/>
        <v>42.485154751305224</v>
      </c>
    </row>
    <row r="304" spans="1:20" x14ac:dyDescent="0.25">
      <c r="A304" s="5">
        <v>44289</v>
      </c>
      <c r="B304">
        <v>0.35239999999999999</v>
      </c>
      <c r="C304">
        <v>0.35416999999999998</v>
      </c>
      <c r="D304">
        <v>0.30602000000000001</v>
      </c>
      <c r="E304">
        <v>0.31153999999999998</v>
      </c>
      <c r="F304">
        <v>127575970.5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-0.77071651090342796</v>
      </c>
      <c r="Q304">
        <f t="shared" si="965"/>
        <v>-98324906.858878657</v>
      </c>
      <c r="R304">
        <f t="shared" si="966"/>
        <v>4231624767.8818974</v>
      </c>
      <c r="S304">
        <f t="shared" si="967"/>
        <v>42316.247678818974</v>
      </c>
      <c r="T304">
        <f t="shared" si="968"/>
        <v>42.316247678818975</v>
      </c>
    </row>
    <row r="305" spans="1:20" x14ac:dyDescent="0.25">
      <c r="A305" s="5">
        <v>44288</v>
      </c>
      <c r="B305">
        <v>0.34528999999999999</v>
      </c>
      <c r="C305">
        <v>0.3548</v>
      </c>
      <c r="D305">
        <v>0.33385999999999999</v>
      </c>
      <c r="E305">
        <v>0.35209000000000001</v>
      </c>
      <c r="F305">
        <v>99569617.299999997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0.74116523400191137</v>
      </c>
      <c r="Q305">
        <f t="shared" si="965"/>
        <v>73797538.705635265</v>
      </c>
      <c r="R305">
        <f t="shared" si="966"/>
        <v>4329949674.7407761</v>
      </c>
      <c r="S305">
        <f t="shared" si="967"/>
        <v>43299.496747407764</v>
      </c>
      <c r="T305">
        <f t="shared" si="968"/>
        <v>43.299496747407765</v>
      </c>
    </row>
    <row r="306" spans="1:20" x14ac:dyDescent="0.25">
      <c r="A306" s="5">
        <v>44287</v>
      </c>
      <c r="B306">
        <v>0.36058000000000001</v>
      </c>
      <c r="C306">
        <v>0.36498999999999998</v>
      </c>
      <c r="D306">
        <v>0.33521000000000001</v>
      </c>
      <c r="E306">
        <v>0.34544000000000002</v>
      </c>
      <c r="F306">
        <v>126479678.40000001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-0.31296171927467925</v>
      </c>
      <c r="Q306">
        <f t="shared" si="965"/>
        <v>-39583297.605372518</v>
      </c>
      <c r="R306">
        <f t="shared" si="966"/>
        <v>4256152136.035141</v>
      </c>
      <c r="S306">
        <f t="shared" si="967"/>
        <v>42561.521360351413</v>
      </c>
      <c r="T306">
        <f t="shared" si="968"/>
        <v>42.561521360351414</v>
      </c>
    </row>
    <row r="307" spans="1:20" x14ac:dyDescent="0.25">
      <c r="A307" s="5">
        <v>44286</v>
      </c>
      <c r="B307">
        <v>0.38567000000000001</v>
      </c>
      <c r="C307">
        <v>0.38782</v>
      </c>
      <c r="D307">
        <v>0.34</v>
      </c>
      <c r="E307">
        <v>0.36058000000000001</v>
      </c>
      <c r="F307">
        <v>160382218.40000001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-0.13927227101631123</v>
      </c>
      <c r="Q307">
        <f t="shared" si="965"/>
        <v>-22336795.787202019</v>
      </c>
      <c r="R307">
        <f t="shared" si="966"/>
        <v>4295735433.6405134</v>
      </c>
      <c r="S307">
        <f t="shared" si="967"/>
        <v>42957.354336405137</v>
      </c>
      <c r="T307">
        <f t="shared" si="968"/>
        <v>42.957354336405139</v>
      </c>
    </row>
    <row r="308" spans="1:20" x14ac:dyDescent="0.25">
      <c r="A308" s="5">
        <v>44285</v>
      </c>
      <c r="B308">
        <v>0.37056</v>
      </c>
      <c r="C308">
        <v>0.41338000000000003</v>
      </c>
      <c r="D308">
        <v>0.36065000000000003</v>
      </c>
      <c r="E308">
        <v>0.38566</v>
      </c>
      <c r="F308">
        <v>228404781.90000001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-5.1393893419306766E-2</v>
      </c>
      <c r="Q308">
        <f t="shared" si="965"/>
        <v>-11738611.017428607</v>
      </c>
      <c r="R308">
        <f t="shared" si="966"/>
        <v>4318072229.4277153</v>
      </c>
      <c r="S308">
        <f t="shared" si="967"/>
        <v>43180.722294277155</v>
      </c>
      <c r="T308">
        <f t="shared" si="968"/>
        <v>43.180722294277153</v>
      </c>
    </row>
    <row r="309" spans="1:20" x14ac:dyDescent="0.25">
      <c r="A309" s="5">
        <v>44284</v>
      </c>
      <c r="B309">
        <v>0.33839000000000002</v>
      </c>
      <c r="C309">
        <v>0.43837999999999999</v>
      </c>
      <c r="D309">
        <v>0.33389999999999997</v>
      </c>
      <c r="E309">
        <v>0.37028</v>
      </c>
      <c r="F309">
        <v>368169111.60000002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-0.30359877488514514</v>
      </c>
      <c r="Q309">
        <f t="shared" si="965"/>
        <v>-111775691.23231229</v>
      </c>
      <c r="R309">
        <f t="shared" si="966"/>
        <v>4329810840.4451437</v>
      </c>
      <c r="S309">
        <f t="shared" si="967"/>
        <v>43298.108404451435</v>
      </c>
      <c r="T309">
        <f t="shared" si="968"/>
        <v>43.298108404451433</v>
      </c>
    </row>
    <row r="310" spans="1:20" x14ac:dyDescent="0.25">
      <c r="A310" s="5">
        <v>44283</v>
      </c>
      <c r="B310">
        <v>0.33806999999999998</v>
      </c>
      <c r="C310">
        <v>0.34499999999999997</v>
      </c>
      <c r="D310">
        <v>0.3251</v>
      </c>
      <c r="E310">
        <v>0.33839999999999998</v>
      </c>
      <c r="F310">
        <v>64950024.100000001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0.33668341708542676</v>
      </c>
      <c r="Q310">
        <f t="shared" si="965"/>
        <v>21867596.053768821</v>
      </c>
      <c r="R310">
        <f t="shared" si="966"/>
        <v>4441586531.6774559</v>
      </c>
      <c r="S310">
        <f t="shared" si="967"/>
        <v>44415.865316774558</v>
      </c>
      <c r="T310">
        <f t="shared" si="968"/>
        <v>44.415865316774557</v>
      </c>
    </row>
    <row r="311" spans="1:20" x14ac:dyDescent="0.25">
      <c r="A311" s="5">
        <v>44282</v>
      </c>
      <c r="B311">
        <v>0.34575</v>
      </c>
      <c r="C311">
        <v>0.35599999999999998</v>
      </c>
      <c r="D311">
        <v>0.32003999999999999</v>
      </c>
      <c r="E311">
        <v>0.33828000000000003</v>
      </c>
      <c r="F311">
        <v>96841845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1.4460511679646165E-2</v>
      </c>
      <c r="Q311">
        <f t="shared" si="965"/>
        <v>1400382.6307009836</v>
      </c>
      <c r="R311">
        <f t="shared" si="966"/>
        <v>4419718935.6236868</v>
      </c>
      <c r="S311">
        <f t="shared" si="967"/>
        <v>44197.189356236871</v>
      </c>
      <c r="T311">
        <f t="shared" si="968"/>
        <v>44.197189356236869</v>
      </c>
    </row>
    <row r="312" spans="1:20" x14ac:dyDescent="0.25">
      <c r="A312" s="5">
        <v>44281</v>
      </c>
      <c r="B312">
        <v>0.30146000000000001</v>
      </c>
      <c r="C312">
        <v>0.34761999999999998</v>
      </c>
      <c r="D312">
        <v>0.30019000000000001</v>
      </c>
      <c r="E312">
        <v>0.34575</v>
      </c>
      <c r="F312">
        <v>93308200.599999994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0.92114695340501862</v>
      </c>
      <c r="Q312">
        <f t="shared" si="965"/>
        <v>85950564.710394323</v>
      </c>
      <c r="R312">
        <f t="shared" si="966"/>
        <v>4418318552.9929857</v>
      </c>
      <c r="S312">
        <f t="shared" si="967"/>
        <v>44183.185529929855</v>
      </c>
      <c r="T312">
        <f t="shared" si="968"/>
        <v>44.183185529929858</v>
      </c>
    </row>
    <row r="313" spans="1:20" x14ac:dyDescent="0.25">
      <c r="A313" s="5">
        <v>44280</v>
      </c>
      <c r="B313">
        <v>0.29730000000000001</v>
      </c>
      <c r="C313">
        <v>0.3145</v>
      </c>
      <c r="D313">
        <v>0.28100000000000003</v>
      </c>
      <c r="E313">
        <v>0.30159999999999998</v>
      </c>
      <c r="F313">
        <v>103634822.5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0.22985074626865479</v>
      </c>
      <c r="Q313">
        <f t="shared" si="965"/>
        <v>23820541.291044578</v>
      </c>
      <c r="R313">
        <f t="shared" si="966"/>
        <v>4332367988.2825918</v>
      </c>
      <c r="S313">
        <f t="shared" si="967"/>
        <v>43323.67988282592</v>
      </c>
      <c r="T313">
        <f t="shared" si="968"/>
        <v>43.323679882825921</v>
      </c>
    </row>
    <row r="314" spans="1:20" x14ac:dyDescent="0.25">
      <c r="A314" s="5">
        <v>44279</v>
      </c>
      <c r="B314">
        <v>0.31994</v>
      </c>
      <c r="C314">
        <v>0.34</v>
      </c>
      <c r="D314">
        <v>0.28852</v>
      </c>
      <c r="E314">
        <v>0.29765000000000003</v>
      </c>
      <c r="F314">
        <v>127361227.09999999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-0.64529914529914445</v>
      </c>
      <c r="Q314">
        <f t="shared" si="965"/>
        <v>-82186090.991880223</v>
      </c>
      <c r="R314">
        <f t="shared" si="966"/>
        <v>4308547446.9915476</v>
      </c>
      <c r="S314">
        <f t="shared" si="967"/>
        <v>43085.474469915476</v>
      </c>
      <c r="T314">
        <f t="shared" si="968"/>
        <v>43.085474469915475</v>
      </c>
    </row>
    <row r="315" spans="1:20" x14ac:dyDescent="0.25">
      <c r="A315" s="5">
        <v>44278</v>
      </c>
      <c r="B315">
        <v>0.31369000000000002</v>
      </c>
      <c r="C315">
        <v>0.33714</v>
      </c>
      <c r="D315">
        <v>0.3</v>
      </c>
      <c r="E315">
        <v>0.32063000000000003</v>
      </c>
      <c r="F315">
        <v>116581133.59999999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0.11093161012385749</v>
      </c>
      <c r="Q315">
        <f t="shared" si="965"/>
        <v>12932532.860312542</v>
      </c>
      <c r="R315">
        <f t="shared" si="966"/>
        <v>4390733537.983428</v>
      </c>
      <c r="S315">
        <f t="shared" si="967"/>
        <v>43907.33537983428</v>
      </c>
      <c r="T315">
        <f t="shared" si="968"/>
        <v>43.907335379834279</v>
      </c>
    </row>
    <row r="316" spans="1:20" x14ac:dyDescent="0.25">
      <c r="A316" s="5">
        <v>44277</v>
      </c>
      <c r="B316">
        <v>0.34122999999999998</v>
      </c>
      <c r="C316">
        <v>0.35548000000000002</v>
      </c>
      <c r="D316">
        <v>0.30499999999999999</v>
      </c>
      <c r="E316">
        <v>0.31379000000000001</v>
      </c>
      <c r="F316">
        <v>154585374.80000001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-0.65174326465927035</v>
      </c>
      <c r="Q316">
        <f t="shared" si="965"/>
        <v>-100749976.84072891</v>
      </c>
      <c r="R316">
        <f t="shared" si="966"/>
        <v>4377801005.1231155</v>
      </c>
      <c r="S316">
        <f t="shared" si="967"/>
        <v>43778.010051231155</v>
      </c>
      <c r="T316">
        <f t="shared" si="968"/>
        <v>43.778010051231156</v>
      </c>
    </row>
    <row r="317" spans="1:20" x14ac:dyDescent="0.25">
      <c r="A317" s="5">
        <v>44276</v>
      </c>
      <c r="B317">
        <v>0.31668000000000002</v>
      </c>
      <c r="C317">
        <v>0.37</v>
      </c>
      <c r="D317">
        <v>0.30775999999999998</v>
      </c>
      <c r="E317">
        <v>0.34149000000000002</v>
      </c>
      <c r="F317">
        <v>149745968.19999999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8.3868894601543328E-2</v>
      </c>
      <c r="Q317">
        <f t="shared" si="965"/>
        <v>12559028.823971858</v>
      </c>
      <c r="R317">
        <f t="shared" si="966"/>
        <v>4478550981.9638443</v>
      </c>
      <c r="S317">
        <f t="shared" si="967"/>
        <v>44785.509819638442</v>
      </c>
      <c r="T317">
        <f t="shared" si="968"/>
        <v>44.785509819638442</v>
      </c>
    </row>
    <row r="318" spans="1:20" x14ac:dyDescent="0.25">
      <c r="A318" s="5">
        <v>44275</v>
      </c>
      <c r="B318">
        <v>0.34377999999999997</v>
      </c>
      <c r="C318">
        <v>0.35055999999999998</v>
      </c>
      <c r="D318">
        <v>0.315</v>
      </c>
      <c r="E318">
        <v>0.31641000000000002</v>
      </c>
      <c r="F318">
        <v>113302336.40000001</v>
      </c>
      <c r="G318">
        <v>0</v>
      </c>
      <c r="L318" t="s">
        <v>7</v>
      </c>
      <c r="M318" t="s">
        <v>8</v>
      </c>
      <c r="N318" t="s">
        <v>7</v>
      </c>
      <c r="P318">
        <f t="shared" si="964"/>
        <v>-0.92069741282339579</v>
      </c>
      <c r="Q318">
        <f t="shared" si="965"/>
        <v>-104317167.99032606</v>
      </c>
      <c r="R318">
        <f t="shared" si="966"/>
        <v>4465991953.1398726</v>
      </c>
      <c r="S318">
        <f t="shared" si="967"/>
        <v>44659.919531398722</v>
      </c>
      <c r="T318">
        <f t="shared" si="968"/>
        <v>44.659919531398721</v>
      </c>
    </row>
    <row r="319" spans="1:20" x14ac:dyDescent="0.25">
      <c r="A319" s="5">
        <v>44274</v>
      </c>
      <c r="B319">
        <v>0.34378999999999998</v>
      </c>
      <c r="C319">
        <v>0.36292999999999997</v>
      </c>
      <c r="D319">
        <v>0.32980999999999999</v>
      </c>
      <c r="E319">
        <v>0.34410000000000002</v>
      </c>
      <c r="F319">
        <v>120048910.5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-0.13707729468598839</v>
      </c>
      <c r="Q319">
        <f t="shared" si="965"/>
        <v>-16455979.881340345</v>
      </c>
      <c r="R319">
        <f t="shared" si="966"/>
        <v>4570309121.1301985</v>
      </c>
      <c r="S319">
        <f t="shared" si="967"/>
        <v>45703.091211301988</v>
      </c>
      <c r="T319">
        <f t="shared" si="968"/>
        <v>45.703091211301988</v>
      </c>
    </row>
    <row r="320" spans="1:20" x14ac:dyDescent="0.25">
      <c r="A320" s="5">
        <v>44273</v>
      </c>
      <c r="B320">
        <v>0.36003000000000002</v>
      </c>
      <c r="C320">
        <v>0.375</v>
      </c>
      <c r="D320">
        <v>0.33082</v>
      </c>
      <c r="E320">
        <v>0.34356999999999999</v>
      </c>
      <c r="F320">
        <v>166957209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-0.4228157537347223</v>
      </c>
      <c r="Q320">
        <f t="shared" si="965"/>
        <v>-70592138.164780557</v>
      </c>
      <c r="R320">
        <f t="shared" si="966"/>
        <v>4586765101.0115385</v>
      </c>
      <c r="S320">
        <f t="shared" si="967"/>
        <v>45867.651010115384</v>
      </c>
      <c r="T320">
        <f t="shared" si="968"/>
        <v>45.867651010115381</v>
      </c>
    </row>
    <row r="321" spans="1:20" x14ac:dyDescent="0.25">
      <c r="A321" s="5">
        <v>44272</v>
      </c>
      <c r="B321">
        <v>0.34328999999999998</v>
      </c>
      <c r="C321">
        <v>0.38088</v>
      </c>
      <c r="D321">
        <v>0.29349999999999998</v>
      </c>
      <c r="E321">
        <v>0.36001</v>
      </c>
      <c r="F321">
        <v>453313527.39999998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0.52231631952391855</v>
      </c>
      <c r="Q321">
        <f t="shared" si="965"/>
        <v>236773053.221973</v>
      </c>
      <c r="R321">
        <f t="shared" si="966"/>
        <v>4657357239.1763191</v>
      </c>
      <c r="S321">
        <f t="shared" si="967"/>
        <v>46573.572391763191</v>
      </c>
      <c r="T321">
        <f t="shared" si="968"/>
        <v>46.573572391763193</v>
      </c>
    </row>
    <row r="322" spans="1:20" x14ac:dyDescent="0.25">
      <c r="A322" s="5">
        <v>44271</v>
      </c>
      <c r="B322">
        <v>0.40194000000000002</v>
      </c>
      <c r="C322">
        <v>0.40892000000000001</v>
      </c>
      <c r="D322">
        <v>0.32578000000000001</v>
      </c>
      <c r="E322">
        <v>0.34301999999999999</v>
      </c>
      <c r="F322">
        <v>334359774.30000001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-0.5852778445994713</v>
      </c>
      <c r="Q322">
        <f t="shared" si="965"/>
        <v>-195693368.02306971</v>
      </c>
      <c r="R322">
        <f t="shared" si="966"/>
        <v>4420584185.9543457</v>
      </c>
      <c r="S322">
        <f t="shared" si="967"/>
        <v>44205.841859543456</v>
      </c>
      <c r="T322">
        <f t="shared" si="968"/>
        <v>44.205841859543455</v>
      </c>
    </row>
    <row r="323" spans="1:20" x14ac:dyDescent="0.25">
      <c r="A323" s="5">
        <v>44270</v>
      </c>
      <c r="B323">
        <v>0.36337000000000003</v>
      </c>
      <c r="C323">
        <v>0.45550000000000002</v>
      </c>
      <c r="D323">
        <v>0.35499999999999998</v>
      </c>
      <c r="E323">
        <v>0.40194999999999997</v>
      </c>
      <c r="F323">
        <v>512130654.5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-6.567164179104526E-2</v>
      </c>
      <c r="Q323">
        <f t="shared" si="965"/>
        <v>-33632460.892537564</v>
      </c>
      <c r="R323">
        <f t="shared" si="966"/>
        <v>4616277553.9774151</v>
      </c>
      <c r="S323">
        <f t="shared" si="967"/>
        <v>46162.775539774149</v>
      </c>
      <c r="T323">
        <f t="shared" si="968"/>
        <v>46.162775539774152</v>
      </c>
    </row>
    <row r="324" spans="1:20" x14ac:dyDescent="0.25">
      <c r="A324" s="5">
        <v>44269</v>
      </c>
      <c r="B324">
        <v>0.27751999999999999</v>
      </c>
      <c r="C324">
        <v>0.39428999999999997</v>
      </c>
      <c r="D324">
        <v>0.27737000000000001</v>
      </c>
      <c r="E324">
        <v>0.36336000000000002</v>
      </c>
      <c r="F324">
        <v>705769483.20000005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0.47092028737598418</v>
      </c>
      <c r="Q324">
        <f t="shared" si="965"/>
        <v>332361167.84974384</v>
      </c>
      <c r="R324">
        <f t="shared" si="966"/>
        <v>4649910014.8699522</v>
      </c>
      <c r="S324">
        <f t="shared" si="967"/>
        <v>46499.100148699523</v>
      </c>
      <c r="T324">
        <f t="shared" si="968"/>
        <v>46.499100148699526</v>
      </c>
    </row>
    <row r="325" spans="1:20" x14ac:dyDescent="0.25">
      <c r="A325" s="5">
        <v>44268</v>
      </c>
      <c r="B325">
        <v>0.27161999999999997</v>
      </c>
      <c r="C325">
        <v>0.27862999999999999</v>
      </c>
      <c r="D325">
        <v>0.255</v>
      </c>
      <c r="E325">
        <v>0.27755999999999997</v>
      </c>
      <c r="F325">
        <v>199021589.90000001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0.9094371561574256</v>
      </c>
      <c r="Q325">
        <f t="shared" si="965"/>
        <v>180997628.73258543</v>
      </c>
      <c r="R325">
        <f t="shared" si="966"/>
        <v>4317548847.0202084</v>
      </c>
      <c r="S325">
        <f t="shared" si="967"/>
        <v>43175.488470202086</v>
      </c>
      <c r="T325">
        <f t="shared" si="968"/>
        <v>43.175488470202083</v>
      </c>
    </row>
    <row r="326" spans="1:20" x14ac:dyDescent="0.25">
      <c r="A326" s="5">
        <v>44267</v>
      </c>
      <c r="B326">
        <v>0.26912000000000003</v>
      </c>
      <c r="C326">
        <v>0.27906999999999998</v>
      </c>
      <c r="D326">
        <v>0.24365000000000001</v>
      </c>
      <c r="E326">
        <v>0.27161999999999997</v>
      </c>
      <c r="F326">
        <v>299035002.30000001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0.57933370976849141</v>
      </c>
      <c r="Q326">
        <f t="shared" ref="Q326:Q389" si="970">F326*P326</f>
        <v>173241057.23308837</v>
      </c>
      <c r="R326">
        <f t="shared" ref="R326:R389" si="971">R327+Q326</f>
        <v>4136551218.2876225</v>
      </c>
      <c r="S326">
        <f t="shared" ref="S326:S389" si="972">R326/100000</f>
        <v>41365.512182876228</v>
      </c>
      <c r="T326">
        <f t="shared" ref="T326:T389" si="973">S326/1000</f>
        <v>41.36551218287623</v>
      </c>
    </row>
    <row r="327" spans="1:20" x14ac:dyDescent="0.25">
      <c r="A327" s="5">
        <v>44266</v>
      </c>
      <c r="B327">
        <v>0.221</v>
      </c>
      <c r="C327">
        <v>0.27888000000000002</v>
      </c>
      <c r="D327">
        <v>0.20851</v>
      </c>
      <c r="E327">
        <v>0.26945000000000002</v>
      </c>
      <c r="F327">
        <v>527482887.30000001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0.73198806309506914</v>
      </c>
      <c r="Q327">
        <f t="shared" si="970"/>
        <v>386111176.99052167</v>
      </c>
      <c r="R327">
        <f t="shared" si="971"/>
        <v>3963310161.054534</v>
      </c>
      <c r="S327">
        <f t="shared" si="972"/>
        <v>39633.101610545338</v>
      </c>
      <c r="T327">
        <f t="shared" si="973"/>
        <v>39.633101610545339</v>
      </c>
    </row>
    <row r="328" spans="1:20" x14ac:dyDescent="0.25">
      <c r="A328" s="5">
        <v>44265</v>
      </c>
      <c r="B328">
        <v>0.20977000000000001</v>
      </c>
      <c r="C328">
        <v>0.23998</v>
      </c>
      <c r="D328">
        <v>0.185</v>
      </c>
      <c r="E328">
        <v>0.22</v>
      </c>
      <c r="F328">
        <v>367203699.89999998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0.27319025100036387</v>
      </c>
      <c r="Q328">
        <f t="shared" si="970"/>
        <v>100316470.94394328</v>
      </c>
      <c r="R328">
        <f t="shared" si="971"/>
        <v>3577198984.0640121</v>
      </c>
      <c r="S328">
        <f t="shared" si="972"/>
        <v>35771.989840640119</v>
      </c>
      <c r="T328">
        <f t="shared" si="973"/>
        <v>35.771989840640117</v>
      </c>
    </row>
    <row r="329" spans="1:20" x14ac:dyDescent="0.25">
      <c r="A329" s="5">
        <v>44264</v>
      </c>
      <c r="B329">
        <v>0.17413000000000001</v>
      </c>
      <c r="C329">
        <v>0.2142</v>
      </c>
      <c r="D329">
        <v>0.16808999999999999</v>
      </c>
      <c r="E329">
        <v>0.20977000000000001</v>
      </c>
      <c r="F329">
        <v>368621166.39999998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0.8078507915853399</v>
      </c>
      <c r="Q329">
        <f t="shared" si="970"/>
        <v>297790901.07135129</v>
      </c>
      <c r="R329">
        <f t="shared" si="971"/>
        <v>3476882513.1200686</v>
      </c>
      <c r="S329">
        <f t="shared" si="972"/>
        <v>34768.825131200683</v>
      </c>
      <c r="T329">
        <f t="shared" si="973"/>
        <v>34.768825131200686</v>
      </c>
    </row>
    <row r="330" spans="1:20" x14ac:dyDescent="0.25">
      <c r="A330" s="5">
        <v>44263</v>
      </c>
      <c r="B330">
        <v>0.15221000000000001</v>
      </c>
      <c r="C330">
        <v>0.18484</v>
      </c>
      <c r="D330">
        <v>0.14799999999999999</v>
      </c>
      <c r="E330">
        <v>0.1741</v>
      </c>
      <c r="F330">
        <v>287786566.10000002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0.41693811074918585</v>
      </c>
      <c r="Q330">
        <f t="shared" si="970"/>
        <v>119989187.16872971</v>
      </c>
      <c r="R330">
        <f t="shared" si="971"/>
        <v>3179091612.048717</v>
      </c>
      <c r="S330">
        <f t="shared" si="972"/>
        <v>31790.916120487171</v>
      </c>
      <c r="T330">
        <f t="shared" si="973"/>
        <v>31.790916120487172</v>
      </c>
    </row>
    <row r="331" spans="1:20" x14ac:dyDescent="0.25">
      <c r="A331" s="5">
        <v>44262</v>
      </c>
      <c r="B331">
        <v>0.14512</v>
      </c>
      <c r="C331">
        <v>0.15626999999999999</v>
      </c>
      <c r="D331">
        <v>0.14491000000000001</v>
      </c>
      <c r="E331">
        <v>0.15254999999999999</v>
      </c>
      <c r="F331">
        <v>124457669.2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0.34507042253520998</v>
      </c>
      <c r="Q331">
        <f t="shared" si="970"/>
        <v>42946660.498591386</v>
      </c>
      <c r="R331">
        <f t="shared" si="971"/>
        <v>3059102424.8799872</v>
      </c>
      <c r="S331">
        <f t="shared" si="972"/>
        <v>30591.024248799873</v>
      </c>
      <c r="T331">
        <f t="shared" si="973"/>
        <v>30.591024248799872</v>
      </c>
    </row>
    <row r="332" spans="1:20" x14ac:dyDescent="0.25">
      <c r="A332" s="5">
        <v>44261</v>
      </c>
      <c r="B332">
        <v>0.14865999999999999</v>
      </c>
      <c r="C332">
        <v>0.15373000000000001</v>
      </c>
      <c r="D332">
        <v>0.13689000000000001</v>
      </c>
      <c r="E332">
        <v>0.14512</v>
      </c>
      <c r="F332">
        <v>119094189.90000001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-2.2565320665084286E-2</v>
      </c>
      <c r="Q332">
        <f t="shared" si="970"/>
        <v>-2687398.5844419426</v>
      </c>
      <c r="R332">
        <f t="shared" si="971"/>
        <v>3016155764.3813958</v>
      </c>
      <c r="S332">
        <f t="shared" si="972"/>
        <v>30161.557643813958</v>
      </c>
      <c r="T332">
        <f t="shared" si="973"/>
        <v>30.161557643813957</v>
      </c>
    </row>
    <row r="333" spans="1:20" x14ac:dyDescent="0.25">
      <c r="A333" s="5">
        <v>44260</v>
      </c>
      <c r="B333">
        <v>0.15855</v>
      </c>
      <c r="C333">
        <v>0.15884999999999999</v>
      </c>
      <c r="D333">
        <v>0.14198</v>
      </c>
      <c r="E333">
        <v>0.14865</v>
      </c>
      <c r="F333">
        <v>210995465.90000001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-0.20924718435091752</v>
      </c>
      <c r="Q333">
        <f t="shared" si="970"/>
        <v>-44150207.15038503</v>
      </c>
      <c r="R333">
        <f t="shared" si="971"/>
        <v>3018843162.965838</v>
      </c>
      <c r="S333">
        <f t="shared" si="972"/>
        <v>30188.431629658378</v>
      </c>
      <c r="T333">
        <f t="shared" si="973"/>
        <v>30.188431629658378</v>
      </c>
    </row>
    <row r="334" spans="1:20" x14ac:dyDescent="0.25">
      <c r="A334" s="5">
        <v>44259</v>
      </c>
      <c r="B334">
        <v>0.12841</v>
      </c>
      <c r="C334">
        <v>0.17799999999999999</v>
      </c>
      <c r="D334">
        <v>0.12806999999999999</v>
      </c>
      <c r="E334">
        <v>0.15856000000000001</v>
      </c>
      <c r="F334">
        <v>647201782.29999995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0.22130983376727481</v>
      </c>
      <c r="Q334">
        <f t="shared" si="970"/>
        <v>143232118.85469696</v>
      </c>
      <c r="R334">
        <f t="shared" si="971"/>
        <v>3062993370.1162229</v>
      </c>
      <c r="S334">
        <f t="shared" si="972"/>
        <v>30629.93370116223</v>
      </c>
      <c r="T334">
        <f t="shared" si="973"/>
        <v>30.62993370116223</v>
      </c>
    </row>
    <row r="335" spans="1:20" x14ac:dyDescent="0.25">
      <c r="A335" s="5">
        <v>44258</v>
      </c>
      <c r="B335">
        <v>0.1225</v>
      </c>
      <c r="C335">
        <v>0.13131999999999999</v>
      </c>
      <c r="D335">
        <v>0.12005</v>
      </c>
      <c r="E335">
        <v>0.12834999999999999</v>
      </c>
      <c r="F335">
        <v>100239040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0.47293700088731083</v>
      </c>
      <c r="Q335">
        <f t="shared" si="970"/>
        <v>47406750.949423186</v>
      </c>
      <c r="R335">
        <f t="shared" si="971"/>
        <v>2919761251.2615261</v>
      </c>
      <c r="S335">
        <f t="shared" si="972"/>
        <v>29197.612512615262</v>
      </c>
      <c r="T335">
        <f t="shared" si="973"/>
        <v>29.197612512615262</v>
      </c>
    </row>
    <row r="336" spans="1:20" x14ac:dyDescent="0.25">
      <c r="A336" s="5">
        <v>44257</v>
      </c>
      <c r="B336">
        <v>0.12489</v>
      </c>
      <c r="C336">
        <v>0.12736</v>
      </c>
      <c r="D336">
        <v>0.11609999999999999</v>
      </c>
      <c r="E336">
        <v>0.12275</v>
      </c>
      <c r="F336">
        <v>88914414.599999994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0.18117229129662513</v>
      </c>
      <c r="Q336">
        <f t="shared" si="970"/>
        <v>16108828.222380096</v>
      </c>
      <c r="R336">
        <f t="shared" si="971"/>
        <v>2872354500.3121028</v>
      </c>
      <c r="S336">
        <f t="shared" si="972"/>
        <v>28723.545003121028</v>
      </c>
      <c r="T336">
        <f t="shared" si="973"/>
        <v>28.723545003121028</v>
      </c>
    </row>
    <row r="337" spans="1:20" x14ac:dyDescent="0.25">
      <c r="A337" s="5">
        <v>44256</v>
      </c>
      <c r="B337">
        <v>0.11484</v>
      </c>
      <c r="C337">
        <v>0.12734000000000001</v>
      </c>
      <c r="D337">
        <v>0.11366</v>
      </c>
      <c r="E337">
        <v>0.12492</v>
      </c>
      <c r="F337">
        <v>357169154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0.64619883040935622</v>
      </c>
      <c r="Q337">
        <f t="shared" si="970"/>
        <v>230802289.57309923</v>
      </c>
      <c r="R337">
        <f t="shared" si="971"/>
        <v>2856245672.0897226</v>
      </c>
      <c r="S337">
        <f t="shared" si="972"/>
        <v>28562.456720897226</v>
      </c>
      <c r="T337">
        <f t="shared" si="973"/>
        <v>28.562456720897227</v>
      </c>
    </row>
    <row r="338" spans="1:20" x14ac:dyDescent="0.25">
      <c r="A338" s="5">
        <v>44255</v>
      </c>
      <c r="B338">
        <v>0.11895</v>
      </c>
      <c r="C338">
        <v>0.12343999999999999</v>
      </c>
      <c r="D338">
        <v>0.10310999999999999</v>
      </c>
      <c r="E338">
        <v>0.11484</v>
      </c>
      <c r="F338">
        <v>101422328.40000001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0.15395966551893792</v>
      </c>
      <c r="Q338">
        <f t="shared" si="970"/>
        <v>15614947.756615879</v>
      </c>
      <c r="R338">
        <f t="shared" si="971"/>
        <v>2625443382.5166235</v>
      </c>
      <c r="S338">
        <f t="shared" si="972"/>
        <v>26254.433825166234</v>
      </c>
      <c r="T338">
        <f t="shared" si="973"/>
        <v>26.254433825166235</v>
      </c>
    </row>
    <row r="339" spans="1:20" x14ac:dyDescent="0.25">
      <c r="A339" s="5">
        <v>44254</v>
      </c>
      <c r="B339">
        <v>0.11834</v>
      </c>
      <c r="C339">
        <v>0.12429999999999999</v>
      </c>
      <c r="D339">
        <v>0.11577</v>
      </c>
      <c r="E339">
        <v>0.11877</v>
      </c>
      <c r="F339">
        <v>69176803.900000006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-0.29660023446658756</v>
      </c>
      <c r="Q339">
        <f t="shared" si="970"/>
        <v>-20517856.256389152</v>
      </c>
      <c r="R339">
        <f t="shared" si="971"/>
        <v>2609828434.7600074</v>
      </c>
      <c r="S339">
        <f t="shared" si="972"/>
        <v>26098.284347600074</v>
      </c>
      <c r="T339">
        <f t="shared" si="973"/>
        <v>26.098284347600075</v>
      </c>
    </row>
    <row r="340" spans="1:20" x14ac:dyDescent="0.25">
      <c r="A340" s="5">
        <v>44253</v>
      </c>
      <c r="B340">
        <v>0.11758</v>
      </c>
      <c r="C340">
        <v>0.1241</v>
      </c>
      <c r="D340">
        <v>0.10977000000000001</v>
      </c>
      <c r="E340">
        <v>0.11806999999999999</v>
      </c>
      <c r="F340">
        <v>148207735.40000001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0.15840893230983819</v>
      </c>
      <c r="Q340">
        <f t="shared" si="970"/>
        <v>23477429.124773011</v>
      </c>
      <c r="R340">
        <f t="shared" si="971"/>
        <v>2630346291.0163965</v>
      </c>
      <c r="S340">
        <f t="shared" si="972"/>
        <v>26303.462910163966</v>
      </c>
      <c r="T340">
        <f t="shared" si="973"/>
        <v>26.303462910163965</v>
      </c>
    </row>
    <row r="341" spans="1:20" x14ac:dyDescent="0.25">
      <c r="A341" s="5">
        <v>44252</v>
      </c>
      <c r="B341">
        <v>0.12834000000000001</v>
      </c>
      <c r="C341">
        <v>0.14199000000000001</v>
      </c>
      <c r="D341">
        <v>0.11552</v>
      </c>
      <c r="E341">
        <v>0.11756</v>
      </c>
      <c r="F341">
        <v>215374405.40000001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-0.84586324140536462</v>
      </c>
      <c r="Q341">
        <f t="shared" si="970"/>
        <v>-182177292.66739708</v>
      </c>
      <c r="R341">
        <f t="shared" si="971"/>
        <v>2606868861.8916235</v>
      </c>
      <c r="S341">
        <f t="shared" si="972"/>
        <v>26068.688618916236</v>
      </c>
      <c r="T341">
        <f t="shared" si="973"/>
        <v>26.068688618916237</v>
      </c>
    </row>
    <row r="342" spans="1:20" x14ac:dyDescent="0.25">
      <c r="A342" s="5">
        <v>44251</v>
      </c>
      <c r="B342">
        <v>0.1192</v>
      </c>
      <c r="C342">
        <v>0.14459</v>
      </c>
      <c r="D342">
        <v>0.10972999999999999</v>
      </c>
      <c r="E342">
        <v>0.12859000000000001</v>
      </c>
      <c r="F342">
        <v>248251489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8.2042455536432274E-2</v>
      </c>
      <c r="Q342">
        <f t="shared" si="970"/>
        <v>20367161.748135604</v>
      </c>
      <c r="R342">
        <f t="shared" si="971"/>
        <v>2789046154.5590205</v>
      </c>
      <c r="S342">
        <f t="shared" si="972"/>
        <v>27890.461545590206</v>
      </c>
      <c r="T342">
        <f t="shared" si="973"/>
        <v>27.890461545590206</v>
      </c>
    </row>
    <row r="343" spans="1:20" x14ac:dyDescent="0.25">
      <c r="A343" s="5">
        <v>44250</v>
      </c>
      <c r="B343">
        <v>0.13596</v>
      </c>
      <c r="C343">
        <v>0.13999</v>
      </c>
      <c r="D343">
        <v>0.09</v>
      </c>
      <c r="E343">
        <v>0.11919</v>
      </c>
      <c r="F343">
        <v>254457709.5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0.16783356671334282</v>
      </c>
      <c r="Q343">
        <f t="shared" si="970"/>
        <v>42706544.963092655</v>
      </c>
      <c r="R343">
        <f t="shared" si="971"/>
        <v>2768678992.810885</v>
      </c>
      <c r="S343">
        <f t="shared" si="972"/>
        <v>27686.78992810885</v>
      </c>
      <c r="T343">
        <f t="shared" si="973"/>
        <v>27.686789928108851</v>
      </c>
    </row>
    <row r="344" spans="1:20" x14ac:dyDescent="0.25">
      <c r="A344" s="5">
        <v>44249</v>
      </c>
      <c r="B344">
        <v>0.14582999999999999</v>
      </c>
      <c r="C344">
        <v>0.14596000000000001</v>
      </c>
      <c r="D344">
        <v>0.114</v>
      </c>
      <c r="E344">
        <v>0.13628999999999999</v>
      </c>
      <c r="F344">
        <v>166290726.09999999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0.39486858573216449</v>
      </c>
      <c r="Q344">
        <f t="shared" si="970"/>
        <v>65662983.835481733</v>
      </c>
      <c r="R344">
        <f t="shared" si="971"/>
        <v>2725972447.8477921</v>
      </c>
      <c r="S344">
        <f t="shared" si="972"/>
        <v>27259.724478477921</v>
      </c>
      <c r="T344">
        <f t="shared" si="973"/>
        <v>27.259724478477921</v>
      </c>
    </row>
    <row r="345" spans="1:20" x14ac:dyDescent="0.25">
      <c r="A345" s="5">
        <v>44248</v>
      </c>
      <c r="B345">
        <v>0.14032</v>
      </c>
      <c r="C345">
        <v>0.1517</v>
      </c>
      <c r="D345">
        <v>0.13699</v>
      </c>
      <c r="E345">
        <v>0.14573</v>
      </c>
      <c r="F345">
        <v>100156774.5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0.18830727396328992</v>
      </c>
      <c r="Q345">
        <f t="shared" si="970"/>
        <v>18860249.175050948</v>
      </c>
      <c r="R345">
        <f t="shared" si="971"/>
        <v>2660309464.0123105</v>
      </c>
      <c r="S345">
        <f t="shared" si="972"/>
        <v>26603.094640123105</v>
      </c>
      <c r="T345">
        <f t="shared" si="973"/>
        <v>26.603094640123103</v>
      </c>
    </row>
    <row r="346" spans="1:20" x14ac:dyDescent="0.25">
      <c r="A346" s="5">
        <v>44247</v>
      </c>
      <c r="B346">
        <v>0.15239</v>
      </c>
      <c r="C346">
        <v>0.15331</v>
      </c>
      <c r="D346">
        <v>0.13599</v>
      </c>
      <c r="E346">
        <v>0.14004</v>
      </c>
      <c r="F346">
        <v>139963115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-0.53233256351039293</v>
      </c>
      <c r="Q346">
        <f t="shared" si="970"/>
        <v>-74506923.804849923</v>
      </c>
      <c r="R346">
        <f t="shared" si="971"/>
        <v>2641449214.8372598</v>
      </c>
      <c r="S346">
        <f t="shared" si="972"/>
        <v>26414.492148372599</v>
      </c>
      <c r="T346">
        <f t="shared" si="973"/>
        <v>26.414492148372599</v>
      </c>
    </row>
    <row r="347" spans="1:20" x14ac:dyDescent="0.25">
      <c r="A347" s="5">
        <v>44246</v>
      </c>
      <c r="B347">
        <v>0.14946000000000001</v>
      </c>
      <c r="C347">
        <v>0.16</v>
      </c>
      <c r="D347">
        <v>0.13738</v>
      </c>
      <c r="E347">
        <v>0.15240000000000001</v>
      </c>
      <c r="F347">
        <v>147269975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0.32802829354553537</v>
      </c>
      <c r="Q347">
        <f t="shared" si="970"/>
        <v>48308718.589743651</v>
      </c>
      <c r="R347">
        <f t="shared" si="971"/>
        <v>2715956138.6421099</v>
      </c>
      <c r="S347">
        <f t="shared" si="972"/>
        <v>27159.561386421097</v>
      </c>
      <c r="T347">
        <f t="shared" si="973"/>
        <v>27.159561386421096</v>
      </c>
    </row>
    <row r="348" spans="1:20" x14ac:dyDescent="0.25">
      <c r="A348" s="5">
        <v>44245</v>
      </c>
      <c r="B348">
        <v>0.13905000000000001</v>
      </c>
      <c r="C348">
        <v>0.15007999999999999</v>
      </c>
      <c r="D348">
        <v>0.13711999999999999</v>
      </c>
      <c r="E348">
        <v>0.14945</v>
      </c>
      <c r="F348">
        <v>119754332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0.90277777777777901</v>
      </c>
      <c r="Q348">
        <f t="shared" si="970"/>
        <v>108111549.72222237</v>
      </c>
      <c r="R348">
        <f t="shared" si="971"/>
        <v>2667647420.0523663</v>
      </c>
      <c r="S348">
        <f t="shared" si="972"/>
        <v>26676.474200523662</v>
      </c>
      <c r="T348">
        <f t="shared" si="973"/>
        <v>26.676474200523661</v>
      </c>
    </row>
    <row r="349" spans="1:20" x14ac:dyDescent="0.25">
      <c r="A349" s="5">
        <v>44244</v>
      </c>
      <c r="B349">
        <v>0.13678999999999999</v>
      </c>
      <c r="C349">
        <v>0.1429</v>
      </c>
      <c r="D349">
        <v>0.1275</v>
      </c>
      <c r="E349">
        <v>0.13869999999999999</v>
      </c>
      <c r="F349">
        <v>115705528.2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0.45454545454545325</v>
      </c>
      <c r="Q349">
        <f t="shared" si="970"/>
        <v>52593421.909090757</v>
      </c>
      <c r="R349">
        <f t="shared" si="971"/>
        <v>2559535870.3301439</v>
      </c>
      <c r="S349">
        <f t="shared" si="972"/>
        <v>25595.358703301441</v>
      </c>
      <c r="T349">
        <f t="shared" si="973"/>
        <v>25.595358703301439</v>
      </c>
    </row>
    <row r="350" spans="1:20" x14ac:dyDescent="0.25">
      <c r="A350" s="5">
        <v>44243</v>
      </c>
      <c r="B350">
        <v>0.14399999999999999</v>
      </c>
      <c r="C350">
        <v>0.14899000000000001</v>
      </c>
      <c r="D350">
        <v>0.13100000000000001</v>
      </c>
      <c r="E350">
        <v>0.13702</v>
      </c>
      <c r="F350">
        <v>174149621.80000001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-0.33073929961089543</v>
      </c>
      <c r="Q350">
        <f t="shared" si="970"/>
        <v>-57598123.941634327</v>
      </c>
      <c r="R350">
        <f t="shared" si="971"/>
        <v>2506942448.4210534</v>
      </c>
      <c r="S350">
        <f t="shared" si="972"/>
        <v>25069.424484210533</v>
      </c>
      <c r="T350">
        <f t="shared" si="973"/>
        <v>25.069424484210533</v>
      </c>
    </row>
    <row r="351" spans="1:20" x14ac:dyDescent="0.25">
      <c r="A351" s="5">
        <v>44242</v>
      </c>
      <c r="B351">
        <v>0.12697</v>
      </c>
      <c r="C351">
        <v>0.15310000000000001</v>
      </c>
      <c r="D351">
        <v>0.1094</v>
      </c>
      <c r="E351">
        <v>0.14399999999999999</v>
      </c>
      <c r="F351">
        <v>271809307.39999998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0.58352402745995324</v>
      </c>
      <c r="Q351">
        <f t="shared" si="970"/>
        <v>158607261.75514847</v>
      </c>
      <c r="R351">
        <f t="shared" si="971"/>
        <v>2564540572.3626876</v>
      </c>
      <c r="S351">
        <f t="shared" si="972"/>
        <v>25645.405723626875</v>
      </c>
      <c r="T351">
        <f t="shared" si="973"/>
        <v>25.645405723626876</v>
      </c>
    </row>
    <row r="352" spans="1:20" x14ac:dyDescent="0.25">
      <c r="A352" s="5">
        <v>44241</v>
      </c>
      <c r="B352">
        <v>0.13850000000000001</v>
      </c>
      <c r="C352">
        <v>0.13952000000000001</v>
      </c>
      <c r="D352">
        <v>0.122</v>
      </c>
      <c r="E352">
        <v>0.12698999999999999</v>
      </c>
      <c r="F352">
        <v>108826496.7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-0.43036529680365387</v>
      </c>
      <c r="Q352">
        <f t="shared" si="970"/>
        <v>-46835147.552397363</v>
      </c>
      <c r="R352">
        <f t="shared" si="971"/>
        <v>2405933310.6075392</v>
      </c>
      <c r="S352">
        <f t="shared" si="972"/>
        <v>24059.333106075392</v>
      </c>
      <c r="T352">
        <f t="shared" si="973"/>
        <v>24.059333106075393</v>
      </c>
    </row>
    <row r="353" spans="1:20" x14ac:dyDescent="0.25">
      <c r="A353" s="5">
        <v>44240</v>
      </c>
      <c r="B353">
        <v>0.13782</v>
      </c>
      <c r="C353">
        <v>0.14824999999999999</v>
      </c>
      <c r="D353">
        <v>0.12698000000000001</v>
      </c>
      <c r="E353">
        <v>0.13849</v>
      </c>
      <c r="F353">
        <v>166791137.30000001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8.2275505406676205E-2</v>
      </c>
      <c r="Q353">
        <f t="shared" si="970"/>
        <v>13722825.118711824</v>
      </c>
      <c r="R353">
        <f t="shared" si="971"/>
        <v>2452768458.1599364</v>
      </c>
      <c r="S353">
        <f t="shared" si="972"/>
        <v>24527.684581599366</v>
      </c>
      <c r="T353">
        <f t="shared" si="973"/>
        <v>24.527684581599367</v>
      </c>
    </row>
    <row r="354" spans="1:20" x14ac:dyDescent="0.25">
      <c r="A354" s="5">
        <v>44239</v>
      </c>
      <c r="B354">
        <v>0.13433</v>
      </c>
      <c r="C354">
        <v>0.14319999999999999</v>
      </c>
      <c r="D354">
        <v>0.12584999999999999</v>
      </c>
      <c r="E354">
        <v>0.13769999999999999</v>
      </c>
      <c r="F354">
        <v>182832330.90000001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0.36599423631123879</v>
      </c>
      <c r="Q354">
        <f t="shared" si="970"/>
        <v>66915579.320749208</v>
      </c>
      <c r="R354">
        <f t="shared" si="971"/>
        <v>2439045633.0412245</v>
      </c>
      <c r="S354">
        <f t="shared" si="972"/>
        <v>24390.456330412246</v>
      </c>
      <c r="T354">
        <f t="shared" si="973"/>
        <v>24.390456330412245</v>
      </c>
    </row>
    <row r="355" spans="1:20" x14ac:dyDescent="0.25">
      <c r="A355" s="5">
        <v>44238</v>
      </c>
      <c r="B355">
        <v>0.10866000000000001</v>
      </c>
      <c r="C355">
        <v>0.14262</v>
      </c>
      <c r="D355">
        <v>0.10349999999999999</v>
      </c>
      <c r="E355">
        <v>0.13400999999999999</v>
      </c>
      <c r="F355">
        <v>394766223.30000001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0.55981595092024505</v>
      </c>
      <c r="Q355">
        <f t="shared" si="970"/>
        <v>220996428.68788332</v>
      </c>
      <c r="R355">
        <f t="shared" si="971"/>
        <v>2372130053.7204752</v>
      </c>
      <c r="S355">
        <f t="shared" si="972"/>
        <v>23721.300537204752</v>
      </c>
      <c r="T355">
        <f t="shared" si="973"/>
        <v>23.721300537204751</v>
      </c>
    </row>
    <row r="356" spans="1:20" x14ac:dyDescent="0.25">
      <c r="A356" s="5">
        <v>44237</v>
      </c>
      <c r="B356">
        <v>0.105</v>
      </c>
      <c r="C356">
        <v>0.11733</v>
      </c>
      <c r="D356">
        <v>9.9199999999999997E-2</v>
      </c>
      <c r="E356">
        <v>0.10906</v>
      </c>
      <c r="F356">
        <v>201929700.30000001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8.7699944842802399E-2</v>
      </c>
      <c r="Q356">
        <f t="shared" si="970"/>
        <v>17709223.578433622</v>
      </c>
      <c r="R356">
        <f t="shared" si="971"/>
        <v>2151133625.0325918</v>
      </c>
      <c r="S356">
        <f t="shared" si="972"/>
        <v>21511.33625032592</v>
      </c>
      <c r="T356">
        <f t="shared" si="973"/>
        <v>21.511336250325918</v>
      </c>
    </row>
    <row r="357" spans="1:20" x14ac:dyDescent="0.25">
      <c r="A357" s="5">
        <v>44236</v>
      </c>
      <c r="B357">
        <v>0.10013</v>
      </c>
      <c r="C357">
        <v>0.11348999999999999</v>
      </c>
      <c r="D357">
        <v>9.7710000000000005E-2</v>
      </c>
      <c r="E357">
        <v>0.105</v>
      </c>
      <c r="F357">
        <v>251453812.30000001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-7.6045627376426325E-2</v>
      </c>
      <c r="Q357">
        <f t="shared" si="970"/>
        <v>-19121962.912547648</v>
      </c>
      <c r="R357">
        <f t="shared" si="971"/>
        <v>2133424401.4541583</v>
      </c>
      <c r="S357">
        <f t="shared" si="972"/>
        <v>21334.244014541582</v>
      </c>
      <c r="T357">
        <f t="shared" si="973"/>
        <v>21.334244014541582</v>
      </c>
    </row>
    <row r="358" spans="1:20" x14ac:dyDescent="0.25">
      <c r="A358" s="5">
        <v>44235</v>
      </c>
      <c r="B358">
        <v>9.6530000000000005E-2</v>
      </c>
      <c r="C358">
        <v>0.10233</v>
      </c>
      <c r="D358">
        <v>9.3100000000000002E-2</v>
      </c>
      <c r="E358">
        <v>0.10014000000000001</v>
      </c>
      <c r="F358">
        <v>143688780.30000001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0.52546045503792049</v>
      </c>
      <c r="Q358">
        <f t="shared" si="970"/>
        <v>75502771.880281791</v>
      </c>
      <c r="R358">
        <f t="shared" si="971"/>
        <v>2152546364.3667059</v>
      </c>
      <c r="S358">
        <f t="shared" si="972"/>
        <v>21525.463643667059</v>
      </c>
      <c r="T358">
        <f t="shared" si="973"/>
        <v>21.525463643667059</v>
      </c>
    </row>
    <row r="359" spans="1:20" x14ac:dyDescent="0.25">
      <c r="A359" s="5">
        <v>44234</v>
      </c>
      <c r="B359">
        <v>0.10349</v>
      </c>
      <c r="C359">
        <v>0.10549</v>
      </c>
      <c r="D359">
        <v>8.9529999999999998E-2</v>
      </c>
      <c r="E359">
        <v>9.6699999999999994E-2</v>
      </c>
      <c r="F359">
        <v>172635827.19999999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-0.10150375939849687</v>
      </c>
      <c r="Q359">
        <f t="shared" si="970"/>
        <v>-17523185.467669282</v>
      </c>
      <c r="R359">
        <f t="shared" si="971"/>
        <v>2077043592.486424</v>
      </c>
      <c r="S359">
        <f t="shared" si="972"/>
        <v>20770.435924864239</v>
      </c>
      <c r="T359">
        <f t="shared" si="973"/>
        <v>20.770435924864241</v>
      </c>
    </row>
    <row r="360" spans="1:20" x14ac:dyDescent="0.25">
      <c r="A360" s="5">
        <v>44233</v>
      </c>
      <c r="B360">
        <v>9.9500000000000005E-2</v>
      </c>
      <c r="C360">
        <v>0.11369</v>
      </c>
      <c r="D360">
        <v>9.8000000000000004E-2</v>
      </c>
      <c r="E360">
        <v>0.10366</v>
      </c>
      <c r="F360">
        <v>245991072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-0.27852135117909499</v>
      </c>
      <c r="Q360">
        <f t="shared" si="970"/>
        <v>-68513765.751434043</v>
      </c>
      <c r="R360">
        <f t="shared" si="971"/>
        <v>2094566777.9540932</v>
      </c>
      <c r="S360">
        <f t="shared" si="972"/>
        <v>20945.66777954093</v>
      </c>
      <c r="T360">
        <f t="shared" si="973"/>
        <v>20.94566777954093</v>
      </c>
    </row>
    <row r="361" spans="1:20" x14ac:dyDescent="0.25">
      <c r="A361" s="5">
        <v>44232</v>
      </c>
      <c r="B361">
        <v>8.9779999999999999E-2</v>
      </c>
      <c r="C361">
        <v>9.9970000000000003E-2</v>
      </c>
      <c r="D361">
        <v>8.9440000000000006E-2</v>
      </c>
      <c r="E361">
        <v>9.9500000000000005E-2</v>
      </c>
      <c r="F361">
        <v>172481167.30000001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0.91073124406457773</v>
      </c>
      <c r="Q361">
        <f t="shared" si="970"/>
        <v>157083988.07283959</v>
      </c>
      <c r="R361">
        <f t="shared" si="971"/>
        <v>2163080543.7055273</v>
      </c>
      <c r="S361">
        <f t="shared" si="972"/>
        <v>21630.805437055275</v>
      </c>
      <c r="T361">
        <f t="shared" si="973"/>
        <v>21.630805437055276</v>
      </c>
    </row>
    <row r="362" spans="1:20" x14ac:dyDescent="0.25">
      <c r="A362" s="5">
        <v>44231</v>
      </c>
      <c r="B362">
        <v>9.6310000000000007E-2</v>
      </c>
      <c r="C362">
        <v>9.7199999999999995E-2</v>
      </c>
      <c r="D362">
        <v>8.702E-2</v>
      </c>
      <c r="E362">
        <v>9.0020000000000003E-2</v>
      </c>
      <c r="F362">
        <v>153911431.90000001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-0.41060903732809345</v>
      </c>
      <c r="Q362">
        <f t="shared" si="970"/>
        <v>-63197424.886247419</v>
      </c>
      <c r="R362">
        <f t="shared" si="971"/>
        <v>2005996555.6326876</v>
      </c>
      <c r="S362">
        <f t="shared" si="972"/>
        <v>20059.965556326875</v>
      </c>
      <c r="T362">
        <f t="shared" si="973"/>
        <v>20.059965556326876</v>
      </c>
    </row>
    <row r="363" spans="1:20" x14ac:dyDescent="0.25">
      <c r="A363" s="5">
        <v>44230</v>
      </c>
      <c r="B363">
        <v>9.3130000000000004E-2</v>
      </c>
      <c r="C363">
        <v>9.7500000000000003E-2</v>
      </c>
      <c r="D363">
        <v>8.9569999999999997E-2</v>
      </c>
      <c r="E363">
        <v>9.6320000000000003E-2</v>
      </c>
      <c r="F363">
        <v>203658375.30000001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0.70239596469104681</v>
      </c>
      <c r="Q363">
        <f t="shared" si="970"/>
        <v>143048820.98625478</v>
      </c>
      <c r="R363">
        <f t="shared" si="971"/>
        <v>2069193980.518935</v>
      </c>
      <c r="S363">
        <f t="shared" si="972"/>
        <v>20691.939805189351</v>
      </c>
      <c r="T363">
        <f t="shared" si="973"/>
        <v>20.691939805189353</v>
      </c>
    </row>
    <row r="364" spans="1:20" x14ac:dyDescent="0.25">
      <c r="A364" s="5">
        <v>44229</v>
      </c>
      <c r="B364">
        <v>8.8980000000000004E-2</v>
      </c>
      <c r="C364">
        <v>0.1</v>
      </c>
      <c r="D364">
        <v>8.4129999999999996E-2</v>
      </c>
      <c r="E364">
        <v>9.3179999999999999E-2</v>
      </c>
      <c r="F364">
        <v>290705268.30000001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0.14051669817265247</v>
      </c>
      <c r="Q364">
        <f t="shared" si="970"/>
        <v>40848944.442911059</v>
      </c>
      <c r="R364">
        <f t="shared" si="971"/>
        <v>1926145159.5326803</v>
      </c>
      <c r="S364">
        <f t="shared" si="972"/>
        <v>19261.451595326802</v>
      </c>
      <c r="T364">
        <f t="shared" si="973"/>
        <v>19.2614515953268</v>
      </c>
    </row>
    <row r="365" spans="1:20" x14ac:dyDescent="0.25">
      <c r="A365" s="5">
        <v>44228</v>
      </c>
      <c r="B365">
        <v>8.2619999999999999E-2</v>
      </c>
      <c r="C365">
        <v>9.1999999999999998E-2</v>
      </c>
      <c r="D365">
        <v>7.8E-2</v>
      </c>
      <c r="E365">
        <v>8.9130000000000001E-2</v>
      </c>
      <c r="F365">
        <v>232407898.90000001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0.5900000000000003</v>
      </c>
      <c r="Q365">
        <f t="shared" si="970"/>
        <v>137120660.35100007</v>
      </c>
      <c r="R365">
        <f t="shared" si="971"/>
        <v>1885296215.0897691</v>
      </c>
      <c r="S365">
        <f t="shared" si="972"/>
        <v>18852.962150897692</v>
      </c>
      <c r="T365">
        <f t="shared" si="973"/>
        <v>18.852962150897692</v>
      </c>
    </row>
    <row r="366" spans="1:20" x14ac:dyDescent="0.25">
      <c r="A366" s="5">
        <v>44227</v>
      </c>
      <c r="B366">
        <v>8.1420000000000006E-2</v>
      </c>
      <c r="C366">
        <v>8.7669999999999998E-2</v>
      </c>
      <c r="D366">
        <v>7.6530000000000001E-2</v>
      </c>
      <c r="E366">
        <v>8.251E-2</v>
      </c>
      <c r="F366">
        <v>305556017.69999999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7.3608617594255077E-2</v>
      </c>
      <c r="Q366">
        <f t="shared" si="970"/>
        <v>22491556.060502734</v>
      </c>
      <c r="R366">
        <f t="shared" si="971"/>
        <v>1748175554.7387691</v>
      </c>
      <c r="S366">
        <f t="shared" si="972"/>
        <v>17481.755547387689</v>
      </c>
      <c r="T366">
        <f t="shared" si="973"/>
        <v>17.481755547387689</v>
      </c>
    </row>
    <row r="367" spans="1:20" x14ac:dyDescent="0.25">
      <c r="A367" s="5">
        <v>44226</v>
      </c>
      <c r="B367">
        <v>8.6999999999999994E-2</v>
      </c>
      <c r="C367">
        <v>8.7830000000000005E-2</v>
      </c>
      <c r="D367">
        <v>7.9579999999999998E-2</v>
      </c>
      <c r="E367">
        <v>8.1509999999999999E-2</v>
      </c>
      <c r="F367">
        <v>165392965.69999999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-0.53212121212121222</v>
      </c>
      <c r="Q367">
        <f t="shared" si="970"/>
        <v>-88009105.384606063</v>
      </c>
      <c r="R367">
        <f t="shared" si="971"/>
        <v>1725683998.6782663</v>
      </c>
      <c r="S367">
        <f t="shared" si="972"/>
        <v>17256.839986782663</v>
      </c>
      <c r="T367">
        <f t="shared" si="973"/>
        <v>17.256839986782662</v>
      </c>
    </row>
    <row r="368" spans="1:20" x14ac:dyDescent="0.25">
      <c r="A368" s="5">
        <v>44225</v>
      </c>
      <c r="B368">
        <v>9.1920000000000002E-2</v>
      </c>
      <c r="C368">
        <v>9.5329999999999998E-2</v>
      </c>
      <c r="D368">
        <v>8.4000000000000005E-2</v>
      </c>
      <c r="E368">
        <v>8.7139999999999995E-2</v>
      </c>
      <c r="F368">
        <v>165243752.80000001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-0.44571932921447627</v>
      </c>
      <c r="Q368">
        <f t="shared" si="970"/>
        <v>-73652334.654898733</v>
      </c>
      <c r="R368">
        <f t="shared" si="971"/>
        <v>1813693104.0628724</v>
      </c>
      <c r="S368">
        <f t="shared" si="972"/>
        <v>18136.931040628726</v>
      </c>
      <c r="T368">
        <f t="shared" si="973"/>
        <v>18.136931040628728</v>
      </c>
    </row>
    <row r="369" spans="1:20" x14ac:dyDescent="0.25">
      <c r="A369" s="5">
        <v>44224</v>
      </c>
      <c r="B369">
        <v>7.9390000000000002E-2</v>
      </c>
      <c r="C369">
        <v>9.6060000000000006E-2</v>
      </c>
      <c r="D369">
        <v>7.5420000000000001E-2</v>
      </c>
      <c r="E369">
        <v>9.1560000000000002E-2</v>
      </c>
      <c r="F369">
        <v>210013293.59999999</v>
      </c>
      <c r="G369">
        <v>0</v>
      </c>
      <c r="L369" t="s">
        <v>7</v>
      </c>
      <c r="M369" t="s">
        <v>8</v>
      </c>
      <c r="N369" t="s">
        <v>7</v>
      </c>
      <c r="P369">
        <f t="shared" si="969"/>
        <v>0.5639534883720928</v>
      </c>
      <c r="Q369">
        <f t="shared" si="970"/>
        <v>118437729.5302325</v>
      </c>
      <c r="R369">
        <f t="shared" si="971"/>
        <v>1887345438.7177711</v>
      </c>
      <c r="S369">
        <f t="shared" si="972"/>
        <v>18873.45438717771</v>
      </c>
      <c r="T369">
        <f t="shared" si="973"/>
        <v>18.873454387177709</v>
      </c>
    </row>
    <row r="370" spans="1:20" x14ac:dyDescent="0.25">
      <c r="A370" s="5">
        <v>44223</v>
      </c>
      <c r="B370">
        <v>8.9800000000000005E-2</v>
      </c>
      <c r="C370">
        <v>8.9929999999999996E-2</v>
      </c>
      <c r="D370">
        <v>7.6359999999999997E-2</v>
      </c>
      <c r="E370">
        <v>7.9460000000000003E-2</v>
      </c>
      <c r="F370">
        <v>140842450.5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-0.54310980103168671</v>
      </c>
      <c r="Q370">
        <f t="shared" si="970"/>
        <v>-76492915.267870188</v>
      </c>
      <c r="R370">
        <f t="shared" si="971"/>
        <v>1768907709.1875386</v>
      </c>
      <c r="S370">
        <f t="shared" si="972"/>
        <v>17689.077091875388</v>
      </c>
      <c r="T370">
        <f t="shared" si="973"/>
        <v>17.689077091875387</v>
      </c>
    </row>
    <row r="371" spans="1:20" x14ac:dyDescent="0.25">
      <c r="A371" s="5">
        <v>44222</v>
      </c>
      <c r="B371">
        <v>9.1230000000000006E-2</v>
      </c>
      <c r="C371">
        <v>9.493E-2</v>
      </c>
      <c r="D371">
        <v>8.3089999999999997E-2</v>
      </c>
      <c r="E371">
        <v>8.9779999999999999E-2</v>
      </c>
      <c r="F371">
        <v>150732325.09999999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0.13006756756756752</v>
      </c>
      <c r="Q371">
        <f t="shared" si="970"/>
        <v>19605386.879560802</v>
      </c>
      <c r="R371">
        <f t="shared" si="971"/>
        <v>1845400624.4554088</v>
      </c>
      <c r="S371">
        <f t="shared" si="972"/>
        <v>18454.00624455409</v>
      </c>
      <c r="T371">
        <f t="shared" si="973"/>
        <v>18.45400624455409</v>
      </c>
    </row>
    <row r="372" spans="1:20" x14ac:dyDescent="0.25">
      <c r="A372" s="5">
        <v>44221</v>
      </c>
      <c r="B372">
        <v>9.3840000000000007E-2</v>
      </c>
      <c r="C372">
        <v>9.7210000000000005E-2</v>
      </c>
      <c r="D372">
        <v>9.0149999999999994E-2</v>
      </c>
      <c r="E372">
        <v>9.1249999999999998E-2</v>
      </c>
      <c r="F372">
        <v>134403780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-0.68838526912181242</v>
      </c>
      <c r="Q372">
        <f t="shared" si="970"/>
        <v>-92521582.266288862</v>
      </c>
      <c r="R372">
        <f t="shared" si="971"/>
        <v>1825795237.5758481</v>
      </c>
      <c r="S372">
        <f t="shared" si="972"/>
        <v>18257.952375758479</v>
      </c>
      <c r="T372">
        <f t="shared" si="973"/>
        <v>18.257952375758478</v>
      </c>
    </row>
    <row r="373" spans="1:20" x14ac:dyDescent="0.25">
      <c r="A373" s="5">
        <v>44220</v>
      </c>
      <c r="B373">
        <v>9.572E-2</v>
      </c>
      <c r="C373">
        <v>9.9000000000000005E-2</v>
      </c>
      <c r="D373">
        <v>8.9660000000000004E-2</v>
      </c>
      <c r="E373">
        <v>9.3829999999999997E-2</v>
      </c>
      <c r="F373">
        <v>140088132.40000001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-0.10706638115631849</v>
      </c>
      <c r="Q373">
        <f t="shared" si="970"/>
        <v>-14998729.379015211</v>
      </c>
      <c r="R373">
        <f t="shared" si="971"/>
        <v>1918316819.8421369</v>
      </c>
      <c r="S373">
        <f t="shared" si="972"/>
        <v>19183.168198421368</v>
      </c>
      <c r="T373">
        <f t="shared" si="973"/>
        <v>19.183168198421367</v>
      </c>
    </row>
    <row r="374" spans="1:20" x14ac:dyDescent="0.25">
      <c r="A374" s="5">
        <v>44219</v>
      </c>
      <c r="B374">
        <v>9.7180000000000002E-2</v>
      </c>
      <c r="C374">
        <v>0.10197000000000001</v>
      </c>
      <c r="D374">
        <v>0.09</v>
      </c>
      <c r="E374">
        <v>9.5729999999999996E-2</v>
      </c>
      <c r="F374">
        <v>193926479.09999999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-4.2606516290727661E-2</v>
      </c>
      <c r="Q374">
        <f t="shared" si="970"/>
        <v>-8262531.6909776069</v>
      </c>
      <c r="R374">
        <f t="shared" si="971"/>
        <v>1933315549.2211521</v>
      </c>
      <c r="S374">
        <f t="shared" si="972"/>
        <v>19333.155492211521</v>
      </c>
      <c r="T374">
        <f t="shared" si="973"/>
        <v>19.333155492211521</v>
      </c>
    </row>
    <row r="375" spans="1:20" x14ac:dyDescent="0.25">
      <c r="A375" s="5">
        <v>44218</v>
      </c>
      <c r="B375">
        <v>9.3859999999999999E-2</v>
      </c>
      <c r="C375">
        <v>0.1033</v>
      </c>
      <c r="D375">
        <v>7.7119999999999994E-2</v>
      </c>
      <c r="E375">
        <v>9.7180000000000002E-2</v>
      </c>
      <c r="F375">
        <v>377743973.69999999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0.53246753246753264</v>
      </c>
      <c r="Q375">
        <f t="shared" si="970"/>
        <v>201136401.58051953</v>
      </c>
      <c r="R375">
        <f t="shared" si="971"/>
        <v>1941578080.9121296</v>
      </c>
      <c r="S375">
        <f t="shared" si="972"/>
        <v>19415.780809121297</v>
      </c>
      <c r="T375">
        <f t="shared" si="973"/>
        <v>19.415780809121298</v>
      </c>
    </row>
    <row r="376" spans="1:20" x14ac:dyDescent="0.25">
      <c r="A376" s="5">
        <v>44217</v>
      </c>
      <c r="B376">
        <v>0.10052999999999999</v>
      </c>
      <c r="C376">
        <v>0.12467</v>
      </c>
      <c r="D376">
        <v>9.0999999999999998E-2</v>
      </c>
      <c r="E376">
        <v>9.332E-2</v>
      </c>
      <c r="F376">
        <v>626176971.5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-0.86219186219186206</v>
      </c>
      <c r="Q376">
        <f t="shared" si="970"/>
        <v>-539884689.11924553</v>
      </c>
      <c r="R376">
        <f t="shared" si="971"/>
        <v>1740441679.3316102</v>
      </c>
      <c r="S376">
        <f t="shared" si="972"/>
        <v>17404.416793316101</v>
      </c>
      <c r="T376">
        <f t="shared" si="973"/>
        <v>17.404416793316102</v>
      </c>
    </row>
    <row r="377" spans="1:20" x14ac:dyDescent="0.25">
      <c r="A377" s="5">
        <v>44216</v>
      </c>
      <c r="B377">
        <v>7.1639999999999995E-2</v>
      </c>
      <c r="C377">
        <v>0.11600000000000001</v>
      </c>
      <c r="D377">
        <v>6.7780000000000007E-2</v>
      </c>
      <c r="E377">
        <v>0.10057000000000001</v>
      </c>
      <c r="F377">
        <v>1159464395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0.36001659062629615</v>
      </c>
      <c r="Q377">
        <f t="shared" si="970"/>
        <v>417426418.44048113</v>
      </c>
      <c r="R377">
        <f t="shared" si="971"/>
        <v>2280326368.4508557</v>
      </c>
      <c r="S377">
        <f t="shared" si="972"/>
        <v>22803.263684508558</v>
      </c>
      <c r="T377">
        <f t="shared" si="973"/>
        <v>22.803263684508558</v>
      </c>
    </row>
    <row r="378" spans="1:20" x14ac:dyDescent="0.25">
      <c r="A378" s="5">
        <v>44215</v>
      </c>
      <c r="B378">
        <v>6.4689999999999998E-2</v>
      </c>
      <c r="C378">
        <v>7.2789999999999994E-2</v>
      </c>
      <c r="D378">
        <v>6.1530000000000001E-2</v>
      </c>
      <c r="E378">
        <v>7.1660000000000001E-2</v>
      </c>
      <c r="F378">
        <v>210053821.09999999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0.79928952042628898</v>
      </c>
      <c r="Q378">
        <f t="shared" si="970"/>
        <v>167893817.9307285</v>
      </c>
      <c r="R378">
        <f t="shared" si="971"/>
        <v>1862899950.0103745</v>
      </c>
      <c r="S378">
        <f t="shared" si="972"/>
        <v>18628.999500103746</v>
      </c>
      <c r="T378">
        <f t="shared" si="973"/>
        <v>18.628999500103745</v>
      </c>
    </row>
    <row r="379" spans="1:20" x14ac:dyDescent="0.25">
      <c r="A379" s="5">
        <v>44214</v>
      </c>
      <c r="B379">
        <v>6.1359999999999998E-2</v>
      </c>
      <c r="C379">
        <v>6.4850000000000005E-2</v>
      </c>
      <c r="D379">
        <v>5.731E-2</v>
      </c>
      <c r="E379">
        <v>6.454E-2</v>
      </c>
      <c r="F379">
        <v>140821315.40000001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0.91777188328912351</v>
      </c>
      <c r="Q379">
        <f t="shared" si="970"/>
        <v>129241843.84190966</v>
      </c>
      <c r="R379">
        <f t="shared" si="971"/>
        <v>1695006132.0796461</v>
      </c>
      <c r="S379">
        <f t="shared" si="972"/>
        <v>16950.06132079646</v>
      </c>
      <c r="T379">
        <f t="shared" si="973"/>
        <v>16.950061320796461</v>
      </c>
    </row>
    <row r="380" spans="1:20" x14ac:dyDescent="0.25">
      <c r="A380" s="5">
        <v>44213</v>
      </c>
      <c r="B380">
        <v>5.9610000000000003E-2</v>
      </c>
      <c r="C380">
        <v>6.8169999999999994E-2</v>
      </c>
      <c r="D380">
        <v>5.4120000000000001E-2</v>
      </c>
      <c r="E380">
        <v>6.1359999999999998E-2</v>
      </c>
      <c r="F380">
        <v>204921267.19999999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3.0604982206405697E-2</v>
      </c>
      <c r="Q380">
        <f t="shared" si="970"/>
        <v>6271611.7363701072</v>
      </c>
      <c r="R380">
        <f t="shared" si="971"/>
        <v>1565764288.2377365</v>
      </c>
      <c r="S380">
        <f t="shared" si="972"/>
        <v>15657.642882377364</v>
      </c>
      <c r="T380">
        <f t="shared" si="973"/>
        <v>15.657642882377363</v>
      </c>
    </row>
    <row r="381" spans="1:20" x14ac:dyDescent="0.25">
      <c r="A381" s="5">
        <v>44212</v>
      </c>
      <c r="B381">
        <v>5.5230000000000001E-2</v>
      </c>
      <c r="C381">
        <v>6.5000000000000002E-2</v>
      </c>
      <c r="D381">
        <v>5.416E-2</v>
      </c>
      <c r="E381">
        <v>5.9520000000000003E-2</v>
      </c>
      <c r="F381">
        <v>194453324.80000001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-1.1070110701106558E-2</v>
      </c>
      <c r="Q381">
        <f t="shared" si="970"/>
        <v>-2152619.8317342293</v>
      </c>
      <c r="R381">
        <f t="shared" si="971"/>
        <v>1559492676.5013664</v>
      </c>
      <c r="S381">
        <f t="shared" si="972"/>
        <v>15594.926765013664</v>
      </c>
      <c r="T381">
        <f t="shared" si="973"/>
        <v>15.594926765013664</v>
      </c>
    </row>
    <row r="382" spans="1:20" x14ac:dyDescent="0.25">
      <c r="A382" s="5">
        <v>44211</v>
      </c>
      <c r="B382">
        <v>5.6890000000000003E-2</v>
      </c>
      <c r="C382">
        <v>5.7529999999999998E-2</v>
      </c>
      <c r="D382">
        <v>4.8860000000000001E-2</v>
      </c>
      <c r="E382">
        <v>5.5109999999999999E-2</v>
      </c>
      <c r="F382">
        <v>147224674.5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0.44175317185697827</v>
      </c>
      <c r="Q382">
        <f t="shared" si="970"/>
        <v>65036966.935986184</v>
      </c>
      <c r="R382">
        <f t="shared" si="971"/>
        <v>1561645296.3331006</v>
      </c>
      <c r="S382">
        <f t="shared" si="972"/>
        <v>15616.452963331005</v>
      </c>
      <c r="T382">
        <f t="shared" si="973"/>
        <v>15.616452963331005</v>
      </c>
    </row>
    <row r="383" spans="1:20" x14ac:dyDescent="0.25">
      <c r="A383" s="5">
        <v>44210</v>
      </c>
      <c r="B383">
        <v>5.3249999999999999E-2</v>
      </c>
      <c r="C383">
        <v>6.1699999999999998E-2</v>
      </c>
      <c r="D383">
        <v>5.0799999999999998E-2</v>
      </c>
      <c r="E383">
        <v>5.6890000000000003E-2</v>
      </c>
      <c r="F383">
        <v>191148139.30000001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0.11743119266055141</v>
      </c>
      <c r="Q383">
        <f t="shared" si="970"/>
        <v>22446753.972844221</v>
      </c>
      <c r="R383">
        <f t="shared" si="971"/>
        <v>1496608329.3971143</v>
      </c>
      <c r="S383">
        <f t="shared" si="972"/>
        <v>14966.083293971144</v>
      </c>
      <c r="T383">
        <f t="shared" si="973"/>
        <v>14.966083293971144</v>
      </c>
    </row>
    <row r="384" spans="1:20" x14ac:dyDescent="0.25">
      <c r="A384" s="5">
        <v>44209</v>
      </c>
      <c r="B384">
        <v>4.6980000000000001E-2</v>
      </c>
      <c r="C384">
        <v>5.5E-2</v>
      </c>
      <c r="D384">
        <v>4.4019999999999997E-2</v>
      </c>
      <c r="E384">
        <v>5.3249999999999999E-2</v>
      </c>
      <c r="F384">
        <v>182165435.30000001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0.681238615664845</v>
      </c>
      <c r="Q384">
        <f t="shared" si="970"/>
        <v>124098128.96575589</v>
      </c>
      <c r="R384">
        <f t="shared" si="971"/>
        <v>1474161575.4242702</v>
      </c>
      <c r="S384">
        <f t="shared" si="972"/>
        <v>14741.615754242701</v>
      </c>
      <c r="T384">
        <f t="shared" si="973"/>
        <v>14.741615754242702</v>
      </c>
    </row>
    <row r="385" spans="1:20" x14ac:dyDescent="0.25">
      <c r="A385" s="5">
        <v>44208</v>
      </c>
      <c r="B385">
        <v>4.2840000000000003E-2</v>
      </c>
      <c r="C385">
        <v>4.8500000000000001E-2</v>
      </c>
      <c r="D385">
        <v>4.1509999999999998E-2</v>
      </c>
      <c r="E385">
        <v>4.6980000000000001E-2</v>
      </c>
      <c r="F385">
        <v>154171915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0.56509298998569391</v>
      </c>
      <c r="Q385">
        <f t="shared" si="970"/>
        <v>87121468.419170246</v>
      </c>
      <c r="R385">
        <f t="shared" si="971"/>
        <v>1350063446.4585142</v>
      </c>
      <c r="S385">
        <f t="shared" si="972"/>
        <v>13500.634464585142</v>
      </c>
      <c r="T385">
        <f t="shared" si="973"/>
        <v>13.500634464585142</v>
      </c>
    </row>
    <row r="386" spans="1:20" x14ac:dyDescent="0.25">
      <c r="A386" s="5">
        <v>44207</v>
      </c>
      <c r="B386">
        <v>4.8919999999999998E-2</v>
      </c>
      <c r="C386">
        <v>4.9630000000000001E-2</v>
      </c>
      <c r="D386">
        <v>3.6999999999999998E-2</v>
      </c>
      <c r="E386">
        <v>4.2799999999999998E-2</v>
      </c>
      <c r="F386">
        <v>147305265.19999999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-8.1551860649248062E-2</v>
      </c>
      <c r="Q386">
        <f t="shared" si="970"/>
        <v>-12013018.460490929</v>
      </c>
      <c r="R386">
        <f t="shared" si="971"/>
        <v>1262941978.0393441</v>
      </c>
      <c r="S386">
        <f t="shared" si="972"/>
        <v>12629.41978039344</v>
      </c>
      <c r="T386">
        <f t="shared" si="973"/>
        <v>12.629419780393441</v>
      </c>
    </row>
    <row r="387" spans="1:20" x14ac:dyDescent="0.25">
      <c r="A387" s="5">
        <v>44206</v>
      </c>
      <c r="B387">
        <v>5.0750000000000003E-2</v>
      </c>
      <c r="C387">
        <v>5.2999999999999999E-2</v>
      </c>
      <c r="D387">
        <v>4.2770000000000002E-2</v>
      </c>
      <c r="E387">
        <v>4.9410000000000003E-2</v>
      </c>
      <c r="F387">
        <v>180778069.80000001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0.29814271749755672</v>
      </c>
      <c r="Q387">
        <f t="shared" si="970"/>
        <v>53897664.994134992</v>
      </c>
      <c r="R387">
        <f t="shared" si="971"/>
        <v>1274954996.499835</v>
      </c>
      <c r="S387">
        <f t="shared" si="972"/>
        <v>12749.54996499835</v>
      </c>
      <c r="T387">
        <f t="shared" si="973"/>
        <v>12.74954996499835</v>
      </c>
    </row>
    <row r="388" spans="1:20" x14ac:dyDescent="0.25">
      <c r="A388" s="5">
        <v>44205</v>
      </c>
      <c r="B388">
        <v>6.1199999999999997E-2</v>
      </c>
      <c r="C388">
        <v>6.2199999999999998E-2</v>
      </c>
      <c r="D388">
        <v>4.8349999999999997E-2</v>
      </c>
      <c r="E388">
        <v>5.074E-2</v>
      </c>
      <c r="F388">
        <v>316256174.39999998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-0.65487364620938582</v>
      </c>
      <c r="Q388">
        <f t="shared" si="970"/>
        <v>-207107834.06555942</v>
      </c>
      <c r="R388">
        <f t="shared" si="971"/>
        <v>1221057331.5057001</v>
      </c>
      <c r="S388">
        <f t="shared" si="972"/>
        <v>12210.573315057001</v>
      </c>
      <c r="T388">
        <f t="shared" si="973"/>
        <v>12.210573315057001</v>
      </c>
    </row>
    <row r="389" spans="1:20" x14ac:dyDescent="0.25">
      <c r="A389" s="5">
        <v>44204</v>
      </c>
      <c r="B389">
        <v>3.832E-2</v>
      </c>
      <c r="C389">
        <v>6.7409999999999998E-2</v>
      </c>
      <c r="D389">
        <v>3.7810000000000003E-2</v>
      </c>
      <c r="E389">
        <v>6.0909999999999999E-2</v>
      </c>
      <c r="F389">
        <v>1087527215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0.56081081081081086</v>
      </c>
      <c r="Q389">
        <f t="shared" si="970"/>
        <v>609897019.22297299</v>
      </c>
      <c r="R389">
        <f t="shared" si="971"/>
        <v>1428165165.5712595</v>
      </c>
      <c r="S389">
        <f t="shared" si="972"/>
        <v>14281.651655712594</v>
      </c>
      <c r="T389">
        <f t="shared" si="973"/>
        <v>14.281651655712594</v>
      </c>
    </row>
    <row r="390" spans="1:20" x14ac:dyDescent="0.25">
      <c r="A390" s="5">
        <v>44203</v>
      </c>
      <c r="B390">
        <v>3.8240000000000003E-2</v>
      </c>
      <c r="C390">
        <v>4.1980000000000003E-2</v>
      </c>
      <c r="D390">
        <v>3.6769999999999997E-2</v>
      </c>
      <c r="E390">
        <v>3.8240000000000003E-2</v>
      </c>
      <c r="F390">
        <v>178001461.69999999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-0.43570057581573735</v>
      </c>
      <c r="Q390">
        <f t="shared" ref="Q390:Q453" si="975">F390*P390</f>
        <v>-77555339.358732909</v>
      </c>
      <c r="R390">
        <f t="shared" ref="R390:R453" si="976">R391+Q390</f>
        <v>818268146.34828639</v>
      </c>
      <c r="S390">
        <f t="shared" ref="S390:S453" si="977">R390/100000</f>
        <v>8182.6814634828643</v>
      </c>
      <c r="T390">
        <f t="shared" ref="T390:T453" si="978">S390/1000</f>
        <v>8.1826814634828651</v>
      </c>
    </row>
    <row r="391" spans="1:20" x14ac:dyDescent="0.25">
      <c r="A391" s="5">
        <v>44202</v>
      </c>
      <c r="B391">
        <v>3.7429999999999998E-2</v>
      </c>
      <c r="C391">
        <v>3.9789999999999999E-2</v>
      </c>
      <c r="D391">
        <v>3.5000000000000003E-2</v>
      </c>
      <c r="E391">
        <v>3.8339999999999999E-2</v>
      </c>
      <c r="F391">
        <v>208426976.09999999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0.39457202505219158</v>
      </c>
      <c r="Q391">
        <f t="shared" si="975"/>
        <v>82239454.035281733</v>
      </c>
      <c r="R391">
        <f t="shared" si="976"/>
        <v>895823485.70701933</v>
      </c>
      <c r="S391">
        <f t="shared" si="977"/>
        <v>8958.2348570701924</v>
      </c>
      <c r="T391">
        <f t="shared" si="978"/>
        <v>8.9582348570701917</v>
      </c>
    </row>
    <row r="392" spans="1:20" x14ac:dyDescent="0.25">
      <c r="A392" s="5">
        <v>44201</v>
      </c>
      <c r="B392">
        <v>3.243E-2</v>
      </c>
      <c r="C392">
        <v>3.9989999999999998E-2</v>
      </c>
      <c r="D392">
        <v>3.2349999999999997E-2</v>
      </c>
      <c r="E392">
        <v>3.7539999999999997E-2</v>
      </c>
      <c r="F392">
        <v>239842643.80000001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0.35863874345549723</v>
      </c>
      <c r="Q392">
        <f t="shared" si="975"/>
        <v>86016864.399476409</v>
      </c>
      <c r="R392">
        <f t="shared" si="976"/>
        <v>813584031.67173755</v>
      </c>
      <c r="S392">
        <f t="shared" si="977"/>
        <v>8135.8403167173756</v>
      </c>
      <c r="T392">
        <f t="shared" si="978"/>
        <v>8.1358403167173758</v>
      </c>
    </row>
    <row r="393" spans="1:20" x14ac:dyDescent="0.25">
      <c r="A393" s="5">
        <v>44200</v>
      </c>
      <c r="B393">
        <v>3.3090000000000001E-2</v>
      </c>
      <c r="C393">
        <v>3.6049999999999999E-2</v>
      </c>
      <c r="D393">
        <v>2.9649999999999999E-2</v>
      </c>
      <c r="E393">
        <v>3.245E-2</v>
      </c>
      <c r="F393">
        <v>79791269.900000006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-0.12499999999999979</v>
      </c>
      <c r="Q393">
        <f t="shared" si="975"/>
        <v>-9973908.737499984</v>
      </c>
      <c r="R393">
        <f t="shared" si="976"/>
        <v>727567167.27226114</v>
      </c>
      <c r="S393">
        <f t="shared" si="977"/>
        <v>7275.6716727226112</v>
      </c>
      <c r="T393">
        <f t="shared" si="978"/>
        <v>7.2756716727226109</v>
      </c>
    </row>
    <row r="394" spans="1:20" x14ac:dyDescent="0.25">
      <c r="A394" s="5">
        <v>44199</v>
      </c>
      <c r="B394">
        <v>3.3349999999999998E-2</v>
      </c>
      <c r="C394">
        <v>3.3989999999999999E-2</v>
      </c>
      <c r="D394">
        <v>3.1530000000000002E-2</v>
      </c>
      <c r="E394">
        <v>3.3050000000000003E-2</v>
      </c>
      <c r="F394">
        <v>51873098.100000001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0.23577235772357921</v>
      </c>
      <c r="Q394">
        <f t="shared" si="975"/>
        <v>12230242.641463518</v>
      </c>
      <c r="R394">
        <f t="shared" si="976"/>
        <v>737541076.0097611</v>
      </c>
      <c r="S394">
        <f t="shared" si="977"/>
        <v>7375.4107600976113</v>
      </c>
      <c r="T394">
        <f t="shared" si="978"/>
        <v>7.3754107600976111</v>
      </c>
    </row>
    <row r="395" spans="1:20" x14ac:dyDescent="0.25">
      <c r="A395" s="5">
        <v>44198</v>
      </c>
      <c r="B395">
        <v>3.2980000000000002E-2</v>
      </c>
      <c r="C395">
        <v>3.5349999999999999E-2</v>
      </c>
      <c r="D395">
        <v>3.1960000000000002E-2</v>
      </c>
      <c r="E395">
        <v>3.3349999999999998E-2</v>
      </c>
      <c r="F395">
        <v>45112833.399999999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-0.17994100294985454</v>
      </c>
      <c r="Q395">
        <f t="shared" si="975"/>
        <v>-8117648.487905696</v>
      </c>
      <c r="R395">
        <f t="shared" si="976"/>
        <v>725310833.36829758</v>
      </c>
      <c r="S395">
        <f t="shared" si="977"/>
        <v>7253.1083336829761</v>
      </c>
      <c r="T395">
        <f t="shared" si="978"/>
        <v>7.2531083336829765</v>
      </c>
    </row>
    <row r="396" spans="1:20" x14ac:dyDescent="0.25">
      <c r="A396" s="5">
        <v>44197</v>
      </c>
      <c r="B396">
        <v>3.1829999999999997E-2</v>
      </c>
      <c r="C396">
        <v>3.3750000000000002E-2</v>
      </c>
      <c r="D396">
        <v>3.1510000000000003E-2</v>
      </c>
      <c r="E396">
        <v>3.2980000000000002E-2</v>
      </c>
      <c r="F396">
        <v>47025335.600000001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0.31249999999999983</v>
      </c>
      <c r="Q396">
        <f t="shared" si="975"/>
        <v>14695417.374999993</v>
      </c>
      <c r="R396">
        <f t="shared" si="976"/>
        <v>733428481.85620332</v>
      </c>
      <c r="S396">
        <f t="shared" si="977"/>
        <v>7334.2848185620333</v>
      </c>
      <c r="T396">
        <f t="shared" si="978"/>
        <v>7.3342848185620335</v>
      </c>
    </row>
    <row r="397" spans="1:20" x14ac:dyDescent="0.25">
      <c r="A397" s="5">
        <v>44196</v>
      </c>
      <c r="B397">
        <v>3.2539999999999999E-2</v>
      </c>
      <c r="C397">
        <v>3.2640000000000002E-2</v>
      </c>
      <c r="D397">
        <v>3.0300000000000001E-2</v>
      </c>
      <c r="E397">
        <v>3.184E-2</v>
      </c>
      <c r="F397">
        <v>25476219.699999999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0.31623931623931495</v>
      </c>
      <c r="Q397">
        <f t="shared" si="975"/>
        <v>8056582.2982905656</v>
      </c>
      <c r="R397">
        <f t="shared" si="976"/>
        <v>718733064.48120332</v>
      </c>
      <c r="S397">
        <f t="shared" si="977"/>
        <v>7187.3306448120329</v>
      </c>
      <c r="T397">
        <f t="shared" si="978"/>
        <v>7.1873306448120333</v>
      </c>
    </row>
    <row r="398" spans="1:20" x14ac:dyDescent="0.25">
      <c r="A398" s="5">
        <v>44195</v>
      </c>
      <c r="B398">
        <v>3.27E-2</v>
      </c>
      <c r="C398">
        <v>3.3360000000000001E-2</v>
      </c>
      <c r="D398">
        <v>3.116E-2</v>
      </c>
      <c r="E398">
        <v>3.2509999999999997E-2</v>
      </c>
      <c r="F398">
        <v>39318503.700000003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0.22727272727272427</v>
      </c>
      <c r="Q398">
        <f t="shared" si="975"/>
        <v>8936023.568181701</v>
      </c>
      <c r="R398">
        <f t="shared" si="976"/>
        <v>710676482.18291271</v>
      </c>
      <c r="S398">
        <f t="shared" si="977"/>
        <v>7106.764821829127</v>
      </c>
      <c r="T398">
        <f t="shared" si="978"/>
        <v>7.1067648218291266</v>
      </c>
    </row>
    <row r="399" spans="1:20" x14ac:dyDescent="0.25">
      <c r="A399" s="5">
        <v>44194</v>
      </c>
      <c r="B399">
        <v>3.372E-2</v>
      </c>
      <c r="C399">
        <v>3.4000000000000002E-2</v>
      </c>
      <c r="D399">
        <v>3.1E-2</v>
      </c>
      <c r="E399">
        <v>3.2730000000000002E-2</v>
      </c>
      <c r="F399">
        <v>52162563.899999999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0.15333333333333388</v>
      </c>
      <c r="Q399">
        <f t="shared" si="975"/>
        <v>7998259.7980000284</v>
      </c>
      <c r="R399">
        <f t="shared" si="976"/>
        <v>701740458.61473095</v>
      </c>
      <c r="S399">
        <f t="shared" si="977"/>
        <v>7017.4045861473096</v>
      </c>
      <c r="T399">
        <f t="shared" si="978"/>
        <v>7.0174045861473093</v>
      </c>
    </row>
    <row r="400" spans="1:20" x14ac:dyDescent="0.25">
      <c r="A400" s="5">
        <v>44193</v>
      </c>
      <c r="B400">
        <v>3.1699999999999999E-2</v>
      </c>
      <c r="C400">
        <v>3.5499999999999997E-2</v>
      </c>
      <c r="D400">
        <v>3.141E-2</v>
      </c>
      <c r="E400">
        <v>3.3730000000000003E-2</v>
      </c>
      <c r="F400">
        <v>76454877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0.13447432762836414</v>
      </c>
      <c r="Q400">
        <f t="shared" si="975"/>
        <v>10281218.178484282</v>
      </c>
      <c r="R400">
        <f t="shared" si="976"/>
        <v>693742198.81673098</v>
      </c>
      <c r="S400">
        <f t="shared" si="977"/>
        <v>6937.4219881673098</v>
      </c>
      <c r="T400">
        <f t="shared" si="978"/>
        <v>6.9374219881673094</v>
      </c>
    </row>
    <row r="401" spans="1:20" x14ac:dyDescent="0.25">
      <c r="A401" s="5">
        <v>44192</v>
      </c>
      <c r="B401">
        <v>3.245E-2</v>
      </c>
      <c r="C401">
        <v>3.3750000000000002E-2</v>
      </c>
      <c r="D401">
        <v>3.066E-2</v>
      </c>
      <c r="E401">
        <v>3.1600000000000003E-2</v>
      </c>
      <c r="F401">
        <v>44747235.299999997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-0.3915857605177977</v>
      </c>
      <c r="Q401">
        <f t="shared" si="975"/>
        <v>-17522380.166019343</v>
      </c>
      <c r="R401">
        <f t="shared" si="976"/>
        <v>683460980.63824666</v>
      </c>
      <c r="S401">
        <f t="shared" si="977"/>
        <v>6834.6098063824666</v>
      </c>
      <c r="T401">
        <f t="shared" si="978"/>
        <v>6.834609806382467</v>
      </c>
    </row>
    <row r="402" spans="1:20" x14ac:dyDescent="0.25">
      <c r="A402" s="5">
        <v>44191</v>
      </c>
      <c r="B402">
        <v>3.2329999999999998E-2</v>
      </c>
      <c r="C402">
        <v>3.3520000000000001E-2</v>
      </c>
      <c r="D402">
        <v>3.1320000000000001E-2</v>
      </c>
      <c r="E402">
        <v>3.2309999999999998E-2</v>
      </c>
      <c r="F402">
        <v>30448832.199999999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-0.10000000000000221</v>
      </c>
      <c r="Q402">
        <f t="shared" si="975"/>
        <v>-3044883.2200000673</v>
      </c>
      <c r="R402">
        <f t="shared" si="976"/>
        <v>700983360.80426598</v>
      </c>
      <c r="S402">
        <f t="shared" si="977"/>
        <v>7009.8336080426598</v>
      </c>
      <c r="T402">
        <f t="shared" si="978"/>
        <v>7.0098336080426602</v>
      </c>
    </row>
    <row r="403" spans="1:20" x14ac:dyDescent="0.25">
      <c r="A403" s="5">
        <v>44190</v>
      </c>
      <c r="B403">
        <v>3.2969999999999999E-2</v>
      </c>
      <c r="C403">
        <v>3.4139999999999997E-2</v>
      </c>
      <c r="D403">
        <v>3.1399999999999997E-2</v>
      </c>
      <c r="E403">
        <v>3.2289999999999999E-2</v>
      </c>
      <c r="F403">
        <v>25405237.5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-0.3503649635036481</v>
      </c>
      <c r="Q403">
        <f t="shared" si="975"/>
        <v>-8901105.1094890125</v>
      </c>
      <c r="R403">
        <f t="shared" si="976"/>
        <v>704028244.024266</v>
      </c>
      <c r="S403">
        <f t="shared" si="977"/>
        <v>7040.2824402426604</v>
      </c>
      <c r="T403">
        <f t="shared" si="978"/>
        <v>7.0402824402426605</v>
      </c>
    </row>
    <row r="404" spans="1:20" x14ac:dyDescent="0.25">
      <c r="A404" s="5">
        <v>44189</v>
      </c>
      <c r="B404">
        <v>3.014E-2</v>
      </c>
      <c r="C404">
        <v>3.3300000000000003E-2</v>
      </c>
      <c r="D404">
        <v>2.8899999999999999E-2</v>
      </c>
      <c r="E404">
        <v>3.2939999999999997E-2</v>
      </c>
      <c r="F404">
        <v>44682525.100000001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0.83636363636363376</v>
      </c>
      <c r="Q404">
        <f t="shared" si="975"/>
        <v>37370839.17454534</v>
      </c>
      <c r="R404">
        <f t="shared" si="976"/>
        <v>712929349.13375497</v>
      </c>
      <c r="S404">
        <f t="shared" si="977"/>
        <v>7129.2934913375493</v>
      </c>
      <c r="T404">
        <f t="shared" si="978"/>
        <v>7.129293491337549</v>
      </c>
    </row>
    <row r="405" spans="1:20" x14ac:dyDescent="0.25">
      <c r="A405" s="5">
        <v>44188</v>
      </c>
      <c r="B405">
        <v>3.6850000000000001E-2</v>
      </c>
      <c r="C405">
        <v>3.7060000000000003E-2</v>
      </c>
      <c r="D405">
        <v>2.911E-2</v>
      </c>
      <c r="E405">
        <v>3.015E-2</v>
      </c>
      <c r="F405">
        <v>60311061.600000001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-0.73836477987421412</v>
      </c>
      <c r="Q405">
        <f t="shared" si="975"/>
        <v>-44531563.722264171</v>
      </c>
      <c r="R405">
        <f t="shared" si="976"/>
        <v>675558509.95920968</v>
      </c>
      <c r="S405">
        <f t="shared" si="977"/>
        <v>6755.5850995920964</v>
      </c>
      <c r="T405">
        <f t="shared" si="978"/>
        <v>6.7555850995920963</v>
      </c>
    </row>
    <row r="406" spans="1:20" x14ac:dyDescent="0.25">
      <c r="A406" s="5">
        <v>44187</v>
      </c>
      <c r="B406">
        <v>3.6540000000000003E-2</v>
      </c>
      <c r="C406">
        <v>3.8080000000000003E-2</v>
      </c>
      <c r="D406">
        <v>3.5459999999999998E-2</v>
      </c>
      <c r="E406">
        <v>3.6900000000000002E-2</v>
      </c>
      <c r="F406">
        <v>53418447.100000001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9.9236641221375141E-2</v>
      </c>
      <c r="Q406">
        <f t="shared" si="975"/>
        <v>5301067.2694657072</v>
      </c>
      <c r="R406">
        <f t="shared" si="976"/>
        <v>720090073.68147385</v>
      </c>
      <c r="S406">
        <f t="shared" si="977"/>
        <v>7200.9007368147386</v>
      </c>
      <c r="T406">
        <f t="shared" si="978"/>
        <v>7.2009007368147389</v>
      </c>
    </row>
    <row r="407" spans="1:20" x14ac:dyDescent="0.25">
      <c r="A407" s="5">
        <v>44186</v>
      </c>
      <c r="B407">
        <v>3.6920000000000001E-2</v>
      </c>
      <c r="C407">
        <v>3.8339999999999999E-2</v>
      </c>
      <c r="D407">
        <v>3.3790000000000001E-2</v>
      </c>
      <c r="E407">
        <v>3.6679999999999997E-2</v>
      </c>
      <c r="F407">
        <v>53914430.799999997</v>
      </c>
      <c r="G407">
        <v>0</v>
      </c>
      <c r="L407" t="s">
        <v>8</v>
      </c>
      <c r="M407" t="s">
        <v>7</v>
      </c>
      <c r="N407" t="s">
        <v>8</v>
      </c>
      <c r="P407">
        <f t="shared" si="974"/>
        <v>0.27032967032966931</v>
      </c>
      <c r="Q407">
        <f t="shared" si="975"/>
        <v>14574670.304175768</v>
      </c>
      <c r="R407">
        <f t="shared" si="976"/>
        <v>714789006.41200817</v>
      </c>
      <c r="S407">
        <f t="shared" si="977"/>
        <v>7147.8900641200817</v>
      </c>
      <c r="T407">
        <f t="shared" si="978"/>
        <v>7.147890064120082</v>
      </c>
    </row>
    <row r="408" spans="1:20" x14ac:dyDescent="0.25">
      <c r="A408" s="5">
        <v>44185</v>
      </c>
      <c r="B408">
        <v>3.5779999999999999E-2</v>
      </c>
      <c r="C408">
        <v>3.7929999999999998E-2</v>
      </c>
      <c r="D408">
        <v>3.526E-2</v>
      </c>
      <c r="E408">
        <v>3.6920000000000001E-2</v>
      </c>
      <c r="F408">
        <v>52026488.600000001</v>
      </c>
      <c r="G408">
        <v>0</v>
      </c>
      <c r="L408" t="s">
        <v>8</v>
      </c>
      <c r="M408" t="s">
        <v>7</v>
      </c>
      <c r="N408" t="s">
        <v>8</v>
      </c>
      <c r="P408">
        <f t="shared" si="974"/>
        <v>0.24344569288389703</v>
      </c>
      <c r="Q408">
        <f t="shared" si="975"/>
        <v>12665624.565543171</v>
      </c>
      <c r="R408">
        <f t="shared" si="976"/>
        <v>700214336.10783243</v>
      </c>
      <c r="S408">
        <f t="shared" si="977"/>
        <v>7002.1433610783242</v>
      </c>
      <c r="T408">
        <f t="shared" si="978"/>
        <v>7.0021433610783239</v>
      </c>
    </row>
    <row r="409" spans="1:20" x14ac:dyDescent="0.25">
      <c r="A409" s="5">
        <v>44184</v>
      </c>
      <c r="B409">
        <v>3.5540000000000002E-2</v>
      </c>
      <c r="C409">
        <v>3.7479999999999999E-2</v>
      </c>
      <c r="D409">
        <v>3.4799999999999998E-2</v>
      </c>
      <c r="E409">
        <v>3.5779999999999999E-2</v>
      </c>
      <c r="F409">
        <v>72970296.099999994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-0.26865671641790967</v>
      </c>
      <c r="Q409">
        <f t="shared" si="975"/>
        <v>-19603960.146268599</v>
      </c>
      <c r="R409">
        <f t="shared" si="976"/>
        <v>687548711.54228926</v>
      </c>
      <c r="S409">
        <f t="shared" si="977"/>
        <v>6875.4871154228922</v>
      </c>
      <c r="T409">
        <f t="shared" si="978"/>
        <v>6.8754871154228923</v>
      </c>
    </row>
    <row r="410" spans="1:20" x14ac:dyDescent="0.25">
      <c r="A410" s="5">
        <v>44183</v>
      </c>
      <c r="B410">
        <v>3.4660000000000003E-2</v>
      </c>
      <c r="C410">
        <v>3.6179999999999997E-2</v>
      </c>
      <c r="D410">
        <v>3.4000000000000002E-2</v>
      </c>
      <c r="E410">
        <v>3.5580000000000001E-2</v>
      </c>
      <c r="F410">
        <v>39869325.100000001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0.44954128440367164</v>
      </c>
      <c r="Q410">
        <f t="shared" si="975"/>
        <v>17922907.613761544</v>
      </c>
      <c r="R410">
        <f t="shared" si="976"/>
        <v>707152671.68855786</v>
      </c>
      <c r="S410">
        <f t="shared" si="977"/>
        <v>7071.5267168855789</v>
      </c>
      <c r="T410">
        <f t="shared" si="978"/>
        <v>7.0715267168855789</v>
      </c>
    </row>
    <row r="411" spans="1:20" x14ac:dyDescent="0.25">
      <c r="A411" s="5">
        <v>44182</v>
      </c>
      <c r="B411">
        <v>3.5409999999999997E-2</v>
      </c>
      <c r="C411">
        <v>3.6380000000000003E-2</v>
      </c>
      <c r="D411">
        <v>3.4099999999999998E-2</v>
      </c>
      <c r="E411">
        <v>3.4680000000000002E-2</v>
      </c>
      <c r="F411">
        <v>58882662.299999997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-0.4912280701754359</v>
      </c>
      <c r="Q411">
        <f t="shared" si="975"/>
        <v>-28924816.568420894</v>
      </c>
      <c r="R411">
        <f t="shared" si="976"/>
        <v>689229764.07479632</v>
      </c>
      <c r="S411">
        <f t="shared" si="977"/>
        <v>6892.2976407479628</v>
      </c>
      <c r="T411">
        <f t="shared" si="978"/>
        <v>6.8922976407479624</v>
      </c>
    </row>
    <row r="412" spans="1:20" x14ac:dyDescent="0.25">
      <c r="A412" s="5">
        <v>44181</v>
      </c>
      <c r="B412">
        <v>3.4669999999999999E-2</v>
      </c>
      <c r="C412">
        <v>3.5929999999999997E-2</v>
      </c>
      <c r="D412">
        <v>3.3989999999999999E-2</v>
      </c>
      <c r="E412">
        <v>3.5400000000000001E-2</v>
      </c>
      <c r="F412">
        <v>37730813.799999997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0.45360824742268402</v>
      </c>
      <c r="Q412">
        <f t="shared" si="975"/>
        <v>17115008.321649618</v>
      </c>
      <c r="R412">
        <f t="shared" si="976"/>
        <v>718154580.64321721</v>
      </c>
      <c r="S412">
        <f t="shared" si="977"/>
        <v>7181.545806432172</v>
      </c>
      <c r="T412">
        <f t="shared" si="978"/>
        <v>7.1815458064321716</v>
      </c>
    </row>
    <row r="413" spans="1:20" x14ac:dyDescent="0.25">
      <c r="A413" s="5">
        <v>44180</v>
      </c>
      <c r="B413">
        <v>3.4520000000000002E-2</v>
      </c>
      <c r="C413">
        <v>3.5049999999999998E-2</v>
      </c>
      <c r="D413">
        <v>3.3890000000000003E-2</v>
      </c>
      <c r="E413">
        <v>3.4639999999999997E-2</v>
      </c>
      <c r="F413">
        <v>16293584.1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0.29310344827585755</v>
      </c>
      <c r="Q413">
        <f t="shared" si="975"/>
        <v>4775705.6844826853</v>
      </c>
      <c r="R413">
        <f t="shared" si="976"/>
        <v>701039572.32156754</v>
      </c>
      <c r="S413">
        <f t="shared" si="977"/>
        <v>7010.3957232156754</v>
      </c>
      <c r="T413">
        <f t="shared" si="978"/>
        <v>7.0103957232156757</v>
      </c>
    </row>
    <row r="414" spans="1:20" x14ac:dyDescent="0.25">
      <c r="A414" s="5">
        <v>44179</v>
      </c>
      <c r="B414">
        <v>3.5189999999999999E-2</v>
      </c>
      <c r="C414">
        <v>3.5279999999999999E-2</v>
      </c>
      <c r="D414">
        <v>3.406E-2</v>
      </c>
      <c r="E414">
        <v>3.458E-2</v>
      </c>
      <c r="F414">
        <v>13869070.9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-0.14754098360655718</v>
      </c>
      <c r="Q414">
        <f t="shared" si="975"/>
        <v>-2046256.3622950793</v>
      </c>
      <c r="R414">
        <f t="shared" si="976"/>
        <v>696263866.63708484</v>
      </c>
      <c r="S414">
        <f t="shared" si="977"/>
        <v>6962.6386663708481</v>
      </c>
      <c r="T414">
        <f t="shared" si="978"/>
        <v>6.9626386663708484</v>
      </c>
    </row>
    <row r="415" spans="1:20" x14ac:dyDescent="0.25">
      <c r="A415" s="5">
        <v>44178</v>
      </c>
      <c r="B415">
        <v>3.4759999999999999E-2</v>
      </c>
      <c r="C415">
        <v>3.5349999999999999E-2</v>
      </c>
      <c r="D415">
        <v>3.4130000000000001E-2</v>
      </c>
      <c r="E415">
        <v>3.5150000000000001E-2</v>
      </c>
      <c r="F415">
        <v>14400350.6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0.67213114754098524</v>
      </c>
      <c r="Q415">
        <f t="shared" si="975"/>
        <v>9678924.1737705152</v>
      </c>
      <c r="R415">
        <f t="shared" si="976"/>
        <v>698310122.99937987</v>
      </c>
      <c r="S415">
        <f t="shared" si="977"/>
        <v>6983.1012299937984</v>
      </c>
      <c r="T415">
        <f t="shared" si="978"/>
        <v>6.9831012299937987</v>
      </c>
    </row>
    <row r="416" spans="1:20" x14ac:dyDescent="0.25">
      <c r="A416" s="5">
        <v>44177</v>
      </c>
      <c r="B416">
        <v>3.3360000000000001E-2</v>
      </c>
      <c r="C416">
        <v>3.5369999999999999E-2</v>
      </c>
      <c r="D416">
        <v>3.3110000000000001E-2</v>
      </c>
      <c r="E416">
        <v>3.4700000000000002E-2</v>
      </c>
      <c r="F416">
        <v>18019305.5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0.4070796460177013</v>
      </c>
      <c r="Q416">
        <f t="shared" si="975"/>
        <v>7335292.5044248179</v>
      </c>
      <c r="R416">
        <f t="shared" si="976"/>
        <v>688631198.82560933</v>
      </c>
      <c r="S416">
        <f t="shared" si="977"/>
        <v>6886.3119882560932</v>
      </c>
      <c r="T416">
        <f t="shared" si="978"/>
        <v>6.886311988256093</v>
      </c>
    </row>
    <row r="417" spans="1:20" x14ac:dyDescent="0.25">
      <c r="A417" s="5">
        <v>44176</v>
      </c>
      <c r="B417">
        <v>3.569E-2</v>
      </c>
      <c r="C417">
        <v>3.5729999999999998E-2</v>
      </c>
      <c r="D417">
        <v>3.3000000000000002E-2</v>
      </c>
      <c r="E417">
        <v>3.3369999999999997E-2</v>
      </c>
      <c r="F417">
        <v>27905274.100000001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-0.72893772893773201</v>
      </c>
      <c r="Q417">
        <f t="shared" si="975"/>
        <v>-20341207.127838913</v>
      </c>
      <c r="R417">
        <f t="shared" si="976"/>
        <v>681295906.32118452</v>
      </c>
      <c r="S417">
        <f t="shared" si="977"/>
        <v>6812.9590632118452</v>
      </c>
      <c r="T417">
        <f t="shared" si="978"/>
        <v>6.8129590632118449</v>
      </c>
    </row>
    <row r="418" spans="1:20" x14ac:dyDescent="0.25">
      <c r="A418" s="5">
        <v>44175</v>
      </c>
      <c r="B418">
        <v>3.6560000000000002E-2</v>
      </c>
      <c r="C418">
        <v>3.669E-2</v>
      </c>
      <c r="D418">
        <v>3.4459999999999998E-2</v>
      </c>
      <c r="E418">
        <v>3.5830000000000001E-2</v>
      </c>
      <c r="F418">
        <v>24965500.600000001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0.228699551569508</v>
      </c>
      <c r="Q418">
        <f t="shared" si="975"/>
        <v>5709598.7919282829</v>
      </c>
      <c r="R418">
        <f t="shared" si="976"/>
        <v>701637113.44902349</v>
      </c>
      <c r="S418">
        <f t="shared" si="977"/>
        <v>7016.3711344902349</v>
      </c>
      <c r="T418">
        <f t="shared" si="978"/>
        <v>7.0163711344902353</v>
      </c>
    </row>
    <row r="419" spans="1:20" x14ac:dyDescent="0.25">
      <c r="A419" s="5">
        <v>44174</v>
      </c>
      <c r="B419">
        <v>3.6209999999999999E-2</v>
      </c>
      <c r="C419">
        <v>3.6909999999999998E-2</v>
      </c>
      <c r="D419">
        <v>3.3799999999999997E-2</v>
      </c>
      <c r="E419">
        <v>3.6499999999999998E-2</v>
      </c>
      <c r="F419">
        <v>31012848.300000001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0.73633440514469428</v>
      </c>
      <c r="Q419">
        <f t="shared" si="975"/>
        <v>22835827.204823144</v>
      </c>
      <c r="R419">
        <f t="shared" si="976"/>
        <v>695927514.65709519</v>
      </c>
      <c r="S419">
        <f t="shared" si="977"/>
        <v>6959.2751465709516</v>
      </c>
      <c r="T419">
        <f t="shared" si="978"/>
        <v>6.9592751465709517</v>
      </c>
    </row>
    <row r="420" spans="1:20" x14ac:dyDescent="0.25">
      <c r="A420" s="5">
        <v>44173</v>
      </c>
      <c r="B420">
        <v>3.952E-2</v>
      </c>
      <c r="C420">
        <v>3.9579999999999997E-2</v>
      </c>
      <c r="D420">
        <v>3.5880000000000002E-2</v>
      </c>
      <c r="E420">
        <v>3.6240000000000001E-2</v>
      </c>
      <c r="F420">
        <v>32001721.5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-0.80540540540540562</v>
      </c>
      <c r="Q420">
        <f t="shared" si="975"/>
        <v>-25774359.478378385</v>
      </c>
      <c r="R420">
        <f t="shared" si="976"/>
        <v>673091687.45227206</v>
      </c>
      <c r="S420">
        <f t="shared" si="977"/>
        <v>6730.9168745227207</v>
      </c>
      <c r="T420">
        <f t="shared" si="978"/>
        <v>6.7309168745227206</v>
      </c>
    </row>
    <row r="421" spans="1:20" x14ac:dyDescent="0.25">
      <c r="A421" s="5">
        <v>44172</v>
      </c>
      <c r="B421">
        <v>3.7080000000000002E-2</v>
      </c>
      <c r="C421">
        <v>4.1500000000000002E-2</v>
      </c>
      <c r="D421">
        <v>3.6819999999999999E-2</v>
      </c>
      <c r="E421">
        <v>3.9570000000000001E-2</v>
      </c>
      <c r="F421">
        <v>50477945.5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0.17521367521367534</v>
      </c>
      <c r="Q421">
        <f t="shared" si="975"/>
        <v>8844426.3482906055</v>
      </c>
      <c r="R421">
        <f t="shared" si="976"/>
        <v>698866046.93065047</v>
      </c>
      <c r="S421">
        <f t="shared" si="977"/>
        <v>6988.6604693065046</v>
      </c>
      <c r="T421">
        <f t="shared" si="978"/>
        <v>6.9886604693065042</v>
      </c>
    </row>
    <row r="422" spans="1:20" x14ac:dyDescent="0.25">
      <c r="A422" s="5">
        <v>44171</v>
      </c>
      <c r="B422">
        <v>3.7260000000000001E-2</v>
      </c>
      <c r="C422">
        <v>3.7339999999999998E-2</v>
      </c>
      <c r="D422">
        <v>3.61E-2</v>
      </c>
      <c r="E422">
        <v>3.696E-2</v>
      </c>
      <c r="F422">
        <v>10091049.800000001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0.38709677419354999</v>
      </c>
      <c r="Q422">
        <f t="shared" si="975"/>
        <v>3906212.8258064683</v>
      </c>
      <c r="R422">
        <f t="shared" si="976"/>
        <v>690021620.58235991</v>
      </c>
      <c r="S422">
        <f t="shared" si="977"/>
        <v>6900.216205823599</v>
      </c>
      <c r="T422">
        <f t="shared" si="978"/>
        <v>6.9002162058235994</v>
      </c>
    </row>
    <row r="423" spans="1:20" x14ac:dyDescent="0.25">
      <c r="A423" s="5">
        <v>44170</v>
      </c>
      <c r="B423">
        <v>3.533E-2</v>
      </c>
      <c r="C423">
        <v>3.7539999999999997E-2</v>
      </c>
      <c r="D423">
        <v>3.5040000000000002E-2</v>
      </c>
      <c r="E423">
        <v>3.7229999999999999E-2</v>
      </c>
      <c r="F423">
        <v>17583402.600000001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0.75200000000000133</v>
      </c>
      <c r="Q423">
        <f t="shared" si="975"/>
        <v>13222718.755200025</v>
      </c>
      <c r="R423">
        <f t="shared" si="976"/>
        <v>686115407.75655341</v>
      </c>
      <c r="S423">
        <f t="shared" si="977"/>
        <v>6861.154077565534</v>
      </c>
      <c r="T423">
        <f t="shared" si="978"/>
        <v>6.8611540775655335</v>
      </c>
    </row>
    <row r="424" spans="1:20" x14ac:dyDescent="0.25">
      <c r="A424" s="5">
        <v>44169</v>
      </c>
      <c r="B424">
        <v>3.9210000000000002E-2</v>
      </c>
      <c r="C424">
        <v>3.925E-2</v>
      </c>
      <c r="D424">
        <v>3.5069999999999997E-2</v>
      </c>
      <c r="E424">
        <v>3.5220000000000001E-2</v>
      </c>
      <c r="F424">
        <v>24195888.5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-0.9282296650717683</v>
      </c>
      <c r="Q424">
        <f t="shared" si="975"/>
        <v>-22459341.47846885</v>
      </c>
      <c r="R424">
        <f t="shared" si="976"/>
        <v>672892689.00135338</v>
      </c>
      <c r="S424">
        <f t="shared" si="977"/>
        <v>6728.9268900135339</v>
      </c>
      <c r="T424">
        <f t="shared" si="978"/>
        <v>6.7289268900135335</v>
      </c>
    </row>
    <row r="425" spans="1:20" x14ac:dyDescent="0.25">
      <c r="A425" s="5">
        <v>44168</v>
      </c>
      <c r="B425">
        <v>3.7740000000000003E-2</v>
      </c>
      <c r="C425">
        <v>3.9739999999999998E-2</v>
      </c>
      <c r="D425">
        <v>3.653E-2</v>
      </c>
      <c r="E425">
        <v>3.9210000000000002E-2</v>
      </c>
      <c r="F425">
        <v>63481155.399999999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0.66978193146417686</v>
      </c>
      <c r="Q425">
        <f t="shared" si="975"/>
        <v>42518530.875389561</v>
      </c>
      <c r="R425">
        <f t="shared" si="976"/>
        <v>695352030.47982228</v>
      </c>
      <c r="S425">
        <f t="shared" si="977"/>
        <v>6953.5203047982232</v>
      </c>
      <c r="T425">
        <f t="shared" si="978"/>
        <v>6.9535203047982233</v>
      </c>
    </row>
    <row r="426" spans="1:20" x14ac:dyDescent="0.25">
      <c r="A426" s="5">
        <v>44167</v>
      </c>
      <c r="B426">
        <v>3.4320000000000003E-2</v>
      </c>
      <c r="C426">
        <v>4.1309999999999999E-2</v>
      </c>
      <c r="D426">
        <v>3.3750000000000002E-2</v>
      </c>
      <c r="E426">
        <v>3.7850000000000002E-2</v>
      </c>
      <c r="F426">
        <v>89199408.099999994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8.4656084656084915E-2</v>
      </c>
      <c r="Q426">
        <f t="shared" si="975"/>
        <v>7551272.6433862662</v>
      </c>
      <c r="R426">
        <f t="shared" si="976"/>
        <v>652833499.6044327</v>
      </c>
      <c r="S426">
        <f t="shared" si="977"/>
        <v>6528.3349960443275</v>
      </c>
      <c r="T426">
        <f t="shared" si="978"/>
        <v>6.5283349960443271</v>
      </c>
    </row>
    <row r="427" spans="1:20" x14ac:dyDescent="0.25">
      <c r="A427" s="5">
        <v>44166</v>
      </c>
      <c r="B427">
        <v>3.4610000000000002E-2</v>
      </c>
      <c r="C427">
        <v>3.6200000000000003E-2</v>
      </c>
      <c r="D427">
        <v>3.1899999999999998E-2</v>
      </c>
      <c r="E427">
        <v>3.4340000000000002E-2</v>
      </c>
      <c r="F427">
        <v>45387500.899999999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0.13488372093023335</v>
      </c>
      <c r="Q427">
        <f t="shared" si="975"/>
        <v>6122035.0051163146</v>
      </c>
      <c r="R427">
        <f t="shared" si="976"/>
        <v>645282226.96104646</v>
      </c>
      <c r="S427">
        <f t="shared" si="977"/>
        <v>6452.8222696104649</v>
      </c>
      <c r="T427">
        <f t="shared" si="978"/>
        <v>6.4528222696104649</v>
      </c>
    </row>
    <row r="428" spans="1:20" x14ac:dyDescent="0.25">
      <c r="A428" s="5">
        <v>44165</v>
      </c>
      <c r="B428">
        <v>3.3700000000000001E-2</v>
      </c>
      <c r="C428">
        <v>3.517E-2</v>
      </c>
      <c r="D428">
        <v>3.3000000000000002E-2</v>
      </c>
      <c r="E428">
        <v>3.456E-2</v>
      </c>
      <c r="F428">
        <v>41945376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0.43778801843317983</v>
      </c>
      <c r="Q428">
        <f t="shared" si="975"/>
        <v>18363183.041474659</v>
      </c>
      <c r="R428">
        <f t="shared" si="976"/>
        <v>639160191.95593011</v>
      </c>
      <c r="S428">
        <f t="shared" si="977"/>
        <v>6391.6019195593008</v>
      </c>
      <c r="T428">
        <f t="shared" si="978"/>
        <v>6.3916019195593003</v>
      </c>
    </row>
    <row r="429" spans="1:20" x14ac:dyDescent="0.25">
      <c r="A429" s="5">
        <v>44164</v>
      </c>
      <c r="B429">
        <v>3.4020000000000002E-2</v>
      </c>
      <c r="C429">
        <v>3.4430000000000002E-2</v>
      </c>
      <c r="D429">
        <v>3.3000000000000002E-2</v>
      </c>
      <c r="E429">
        <v>3.3700000000000001E-2</v>
      </c>
      <c r="F429">
        <v>13790057.199999999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-2.0979020979022541E-2</v>
      </c>
      <c r="Q429">
        <f t="shared" si="975"/>
        <v>-289301.89930072083</v>
      </c>
      <c r="R429">
        <f t="shared" si="976"/>
        <v>620797008.91445541</v>
      </c>
      <c r="S429">
        <f t="shared" si="977"/>
        <v>6207.9700891445545</v>
      </c>
      <c r="T429">
        <f t="shared" si="978"/>
        <v>6.2079700891445544</v>
      </c>
    </row>
    <row r="430" spans="1:20" x14ac:dyDescent="0.25">
      <c r="A430" s="5">
        <v>44163</v>
      </c>
      <c r="B430">
        <v>3.3239999999999999E-2</v>
      </c>
      <c r="C430">
        <v>3.4470000000000001E-2</v>
      </c>
      <c r="D430">
        <v>3.175E-2</v>
      </c>
      <c r="E430">
        <v>3.4020000000000002E-2</v>
      </c>
      <c r="F430">
        <v>18498211.199999999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0.66911764705882426</v>
      </c>
      <c r="Q430">
        <f t="shared" si="975"/>
        <v>12377479.55294119</v>
      </c>
      <c r="R430">
        <f t="shared" si="976"/>
        <v>621086310.81375611</v>
      </c>
      <c r="S430">
        <f t="shared" si="977"/>
        <v>6210.8631081375606</v>
      </c>
      <c r="T430">
        <f t="shared" si="978"/>
        <v>6.2108631081375609</v>
      </c>
    </row>
    <row r="431" spans="1:20" x14ac:dyDescent="0.25">
      <c r="A431" s="5">
        <v>44162</v>
      </c>
      <c r="B431">
        <v>3.279E-2</v>
      </c>
      <c r="C431">
        <v>3.3649999999999999E-2</v>
      </c>
      <c r="D431">
        <v>3.1019999999999999E-2</v>
      </c>
      <c r="E431">
        <v>3.3239999999999999E-2</v>
      </c>
      <c r="F431">
        <v>25179329.100000001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0.68821292775665355</v>
      </c>
      <c r="Q431">
        <f t="shared" si="975"/>
        <v>17328739.798859306</v>
      </c>
      <c r="R431">
        <f t="shared" si="976"/>
        <v>608708831.26081491</v>
      </c>
      <c r="S431">
        <f t="shared" si="977"/>
        <v>6087.088312608149</v>
      </c>
      <c r="T431">
        <f t="shared" si="978"/>
        <v>6.0870883126081488</v>
      </c>
    </row>
    <row r="432" spans="1:20" x14ac:dyDescent="0.25">
      <c r="A432" s="5">
        <v>44161</v>
      </c>
      <c r="B432">
        <v>3.6269999999999997E-2</v>
      </c>
      <c r="C432">
        <v>3.739E-2</v>
      </c>
      <c r="D432">
        <v>3.058E-2</v>
      </c>
      <c r="E432">
        <v>3.2579999999999998E-2</v>
      </c>
      <c r="F432">
        <v>64547201.700000003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-0.41262848751835585</v>
      </c>
      <c r="Q432">
        <f t="shared" si="975"/>
        <v>-26634014.21101325</v>
      </c>
      <c r="R432">
        <f t="shared" si="976"/>
        <v>591380091.46195555</v>
      </c>
      <c r="S432">
        <f t="shared" si="977"/>
        <v>5913.8009146195554</v>
      </c>
      <c r="T432">
        <f t="shared" si="978"/>
        <v>5.9138009146195554</v>
      </c>
    </row>
    <row r="433" spans="1:20" x14ac:dyDescent="0.25">
      <c r="A433" s="5">
        <v>44160</v>
      </c>
      <c r="B433">
        <v>3.6549999999999999E-2</v>
      </c>
      <c r="C433">
        <v>3.9359999999999999E-2</v>
      </c>
      <c r="D433">
        <v>3.474E-2</v>
      </c>
      <c r="E433">
        <v>3.6159999999999998E-2</v>
      </c>
      <c r="F433">
        <v>59384802.299999997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-0.38528138528138617</v>
      </c>
      <c r="Q433">
        <f t="shared" si="975"/>
        <v>-22879858.894805245</v>
      </c>
      <c r="R433">
        <f t="shared" si="976"/>
        <v>618014105.67296875</v>
      </c>
      <c r="S433">
        <f t="shared" si="977"/>
        <v>6180.1410567296871</v>
      </c>
      <c r="T433">
        <f t="shared" si="978"/>
        <v>6.1801410567296875</v>
      </c>
    </row>
    <row r="434" spans="1:20" x14ac:dyDescent="0.25">
      <c r="A434" s="5">
        <v>44159</v>
      </c>
      <c r="B434">
        <v>3.524E-2</v>
      </c>
      <c r="C434">
        <v>3.8699999999999998E-2</v>
      </c>
      <c r="D434">
        <v>3.3509999999999998E-2</v>
      </c>
      <c r="E434">
        <v>3.6549999999999999E-2</v>
      </c>
      <c r="F434">
        <v>86697687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0.17148362235067474</v>
      </c>
      <c r="Q434">
        <f t="shared" si="975"/>
        <v>14867233.416185003</v>
      </c>
      <c r="R434">
        <f t="shared" si="976"/>
        <v>640893964.56777394</v>
      </c>
      <c r="S434">
        <f t="shared" si="977"/>
        <v>6408.9396456777395</v>
      </c>
      <c r="T434">
        <f t="shared" si="978"/>
        <v>6.4089396456777399</v>
      </c>
    </row>
    <row r="435" spans="1:20" x14ac:dyDescent="0.25">
      <c r="A435" s="5">
        <v>44158</v>
      </c>
      <c r="B435">
        <v>3.4070000000000003E-2</v>
      </c>
      <c r="C435">
        <v>3.5589999999999997E-2</v>
      </c>
      <c r="D435">
        <v>3.2750000000000001E-2</v>
      </c>
      <c r="E435">
        <v>3.5249999999999997E-2</v>
      </c>
      <c r="F435">
        <v>55514860.200000003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0.76056338028168968</v>
      </c>
      <c r="Q435">
        <f t="shared" si="975"/>
        <v>42222569.729577444</v>
      </c>
      <c r="R435">
        <f t="shared" si="976"/>
        <v>626026731.15158892</v>
      </c>
      <c r="S435">
        <f t="shared" si="977"/>
        <v>6260.2673115158896</v>
      </c>
      <c r="T435">
        <f t="shared" si="978"/>
        <v>6.2602673115158893</v>
      </c>
    </row>
    <row r="436" spans="1:20" x14ac:dyDescent="0.25">
      <c r="A436" s="5">
        <v>44157</v>
      </c>
      <c r="B436">
        <v>3.329E-2</v>
      </c>
      <c r="C436">
        <v>3.5139999999999998E-2</v>
      </c>
      <c r="D436">
        <v>3.1419999999999997E-2</v>
      </c>
      <c r="E436">
        <v>3.4070000000000003E-2</v>
      </c>
      <c r="F436">
        <v>35555026.600000001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0.42473118279570199</v>
      </c>
      <c r="Q436">
        <f t="shared" si="975"/>
        <v>15101328.502150647</v>
      </c>
      <c r="R436">
        <f t="shared" si="976"/>
        <v>583804161.42201149</v>
      </c>
      <c r="S436">
        <f t="shared" si="977"/>
        <v>5838.0416142201148</v>
      </c>
      <c r="T436">
        <f t="shared" si="978"/>
        <v>5.8380416142201144</v>
      </c>
    </row>
    <row r="437" spans="1:20" x14ac:dyDescent="0.25">
      <c r="A437" s="5">
        <v>44156</v>
      </c>
      <c r="B437">
        <v>3.0689999999999999E-2</v>
      </c>
      <c r="C437">
        <v>3.3279999999999997E-2</v>
      </c>
      <c r="D437">
        <v>3.0349999999999999E-2</v>
      </c>
      <c r="E437">
        <v>3.3279999999999997E-2</v>
      </c>
      <c r="F437">
        <v>33988637.5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1</v>
      </c>
      <c r="Q437">
        <f t="shared" si="975"/>
        <v>33988637.5</v>
      </c>
      <c r="R437">
        <f t="shared" si="976"/>
        <v>568702832.91986084</v>
      </c>
      <c r="S437">
        <f t="shared" si="977"/>
        <v>5687.0283291986088</v>
      </c>
      <c r="T437">
        <f t="shared" si="978"/>
        <v>5.6870283291986086</v>
      </c>
    </row>
    <row r="438" spans="1:20" x14ac:dyDescent="0.25">
      <c r="A438" s="5">
        <v>44155</v>
      </c>
      <c r="B438">
        <v>3.024E-2</v>
      </c>
      <c r="C438">
        <v>3.1320000000000001E-2</v>
      </c>
      <c r="D438">
        <v>3.0159999999999999E-2</v>
      </c>
      <c r="E438">
        <v>3.066E-2</v>
      </c>
      <c r="F438">
        <v>23116529.699999999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-0.13793103448275884</v>
      </c>
      <c r="Q438">
        <f t="shared" si="975"/>
        <v>-3188486.855172419</v>
      </c>
      <c r="R438">
        <f t="shared" si="976"/>
        <v>534714195.41986084</v>
      </c>
      <c r="S438">
        <f t="shared" si="977"/>
        <v>5347.1419541986088</v>
      </c>
      <c r="T438">
        <f t="shared" si="978"/>
        <v>5.3471419541986087</v>
      </c>
    </row>
    <row r="439" spans="1:20" x14ac:dyDescent="0.25">
      <c r="A439" s="5">
        <v>44154</v>
      </c>
      <c r="B439">
        <v>3.0259999999999999E-2</v>
      </c>
      <c r="C439">
        <v>3.2000000000000001E-2</v>
      </c>
      <c r="D439">
        <v>2.9600000000000001E-2</v>
      </c>
      <c r="E439">
        <v>3.0130000000000001E-2</v>
      </c>
      <c r="F439">
        <v>19650719.699999999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-0.5583333333333339</v>
      </c>
      <c r="Q439">
        <f t="shared" si="975"/>
        <v>-10971651.832500011</v>
      </c>
      <c r="R439">
        <f t="shared" si="976"/>
        <v>537902682.27503324</v>
      </c>
      <c r="S439">
        <f t="shared" si="977"/>
        <v>5379.026822750332</v>
      </c>
      <c r="T439">
        <f t="shared" si="978"/>
        <v>5.3790268227503324</v>
      </c>
    </row>
    <row r="440" spans="1:20" x14ac:dyDescent="0.25">
      <c r="A440" s="5">
        <v>44153</v>
      </c>
      <c r="B440">
        <v>3.0960000000000001E-2</v>
      </c>
      <c r="C440">
        <v>3.1359999999999999E-2</v>
      </c>
      <c r="D440">
        <v>2.9610000000000001E-2</v>
      </c>
      <c r="E440">
        <v>3.023E-2</v>
      </c>
      <c r="F440">
        <v>25677912.600000001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-0.29142857142857176</v>
      </c>
      <c r="Q440">
        <f t="shared" si="975"/>
        <v>-7483277.3862857232</v>
      </c>
      <c r="R440">
        <f t="shared" si="976"/>
        <v>548874334.10753322</v>
      </c>
      <c r="S440">
        <f t="shared" si="977"/>
        <v>5488.743341075332</v>
      </c>
      <c r="T440">
        <f t="shared" si="978"/>
        <v>5.4887433410753319</v>
      </c>
    </row>
    <row r="441" spans="1:20" x14ac:dyDescent="0.25">
      <c r="A441" s="5">
        <v>44152</v>
      </c>
      <c r="B441">
        <v>3.2009999999999997E-2</v>
      </c>
      <c r="C441">
        <v>3.252E-2</v>
      </c>
      <c r="D441">
        <v>2.9850000000000002E-2</v>
      </c>
      <c r="E441">
        <v>3.0960000000000001E-2</v>
      </c>
      <c r="F441">
        <v>45099503.600000001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-0.16853932584269635</v>
      </c>
      <c r="Q441">
        <f t="shared" si="975"/>
        <v>-7601039.9325842569</v>
      </c>
      <c r="R441">
        <f t="shared" si="976"/>
        <v>556357611.493819</v>
      </c>
      <c r="S441">
        <f t="shared" si="977"/>
        <v>5563.5761149381897</v>
      </c>
      <c r="T441">
        <f t="shared" si="978"/>
        <v>5.5635761149381899</v>
      </c>
    </row>
    <row r="442" spans="1:20" x14ac:dyDescent="0.25">
      <c r="A442" s="5">
        <v>44151</v>
      </c>
      <c r="B442">
        <v>3.1390000000000001E-2</v>
      </c>
      <c r="C442">
        <v>3.2340000000000001E-2</v>
      </c>
      <c r="D442">
        <v>3.1130000000000001E-2</v>
      </c>
      <c r="E442">
        <v>3.2000000000000001E-2</v>
      </c>
      <c r="F442">
        <v>15407799.300000001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0.43801652892561943</v>
      </c>
      <c r="Q442">
        <f t="shared" si="975"/>
        <v>6748870.7677685888</v>
      </c>
      <c r="R442">
        <f t="shared" si="976"/>
        <v>563958651.42640328</v>
      </c>
      <c r="S442">
        <f t="shared" si="977"/>
        <v>5639.5865142640332</v>
      </c>
      <c r="T442">
        <f t="shared" si="978"/>
        <v>5.6395865142640336</v>
      </c>
    </row>
    <row r="443" spans="1:20" x14ac:dyDescent="0.25">
      <c r="A443" s="5">
        <v>44150</v>
      </c>
      <c r="B443">
        <v>3.1800000000000002E-2</v>
      </c>
      <c r="C443">
        <v>3.1899999999999998E-2</v>
      </c>
      <c r="D443">
        <v>3.073E-2</v>
      </c>
      <c r="E443">
        <v>3.1419999999999997E-2</v>
      </c>
      <c r="F443">
        <v>15463341.4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0.17948717948717555</v>
      </c>
      <c r="Q443">
        <f t="shared" si="975"/>
        <v>2775471.5333332727</v>
      </c>
      <c r="R443">
        <f t="shared" si="976"/>
        <v>557209780.65863466</v>
      </c>
      <c r="S443">
        <f t="shared" si="977"/>
        <v>5572.0978065863465</v>
      </c>
      <c r="T443">
        <f t="shared" si="978"/>
        <v>5.5720978065863465</v>
      </c>
    </row>
    <row r="444" spans="1:20" x14ac:dyDescent="0.25">
      <c r="A444" s="5">
        <v>44149</v>
      </c>
      <c r="B444">
        <v>3.2199999999999999E-2</v>
      </c>
      <c r="C444">
        <v>3.3750000000000002E-2</v>
      </c>
      <c r="D444">
        <v>3.134E-2</v>
      </c>
      <c r="E444">
        <v>3.1890000000000002E-2</v>
      </c>
      <c r="F444">
        <v>31699880.5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-0.5435684647302893</v>
      </c>
      <c r="Q444">
        <f t="shared" si="975"/>
        <v>-17231055.375518635</v>
      </c>
      <c r="R444">
        <f t="shared" si="976"/>
        <v>554434309.12530136</v>
      </c>
      <c r="S444">
        <f t="shared" si="977"/>
        <v>5544.3430912530139</v>
      </c>
      <c r="T444">
        <f t="shared" si="978"/>
        <v>5.5443430912530136</v>
      </c>
    </row>
    <row r="445" spans="1:20" x14ac:dyDescent="0.25">
      <c r="A445" s="5">
        <v>44148</v>
      </c>
      <c r="B445">
        <v>3.109E-2</v>
      </c>
      <c r="C445">
        <v>3.2759999999999997E-2</v>
      </c>
      <c r="D445">
        <v>3.0960000000000001E-2</v>
      </c>
      <c r="E445">
        <v>3.2219999999999999E-2</v>
      </c>
      <c r="F445">
        <v>16197879.199999999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0.4</v>
      </c>
      <c r="Q445">
        <f t="shared" si="975"/>
        <v>6479151.6799999997</v>
      </c>
      <c r="R445">
        <f t="shared" si="976"/>
        <v>571665364.50082004</v>
      </c>
      <c r="S445">
        <f t="shared" si="977"/>
        <v>5716.6536450082003</v>
      </c>
      <c r="T445">
        <f t="shared" si="978"/>
        <v>5.7166536450082006</v>
      </c>
    </row>
    <row r="446" spans="1:20" x14ac:dyDescent="0.25">
      <c r="A446" s="5">
        <v>44147</v>
      </c>
      <c r="B446">
        <v>3.3309999999999999E-2</v>
      </c>
      <c r="C446">
        <v>3.3410000000000002E-2</v>
      </c>
      <c r="D446">
        <v>3.0839999999999999E-2</v>
      </c>
      <c r="E446">
        <v>3.1050000000000001E-2</v>
      </c>
      <c r="F446">
        <v>22388658.699999999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-0.83657587548638002</v>
      </c>
      <c r="Q446">
        <f t="shared" si="975"/>
        <v>-18729811.752918258</v>
      </c>
      <c r="R446">
        <f t="shared" si="976"/>
        <v>565186212.82082009</v>
      </c>
      <c r="S446">
        <f t="shared" si="977"/>
        <v>5651.8621282082013</v>
      </c>
      <c r="T446">
        <f t="shared" si="978"/>
        <v>5.6518621282082009</v>
      </c>
    </row>
    <row r="447" spans="1:20" x14ac:dyDescent="0.25">
      <c r="A447" s="5">
        <v>44146</v>
      </c>
      <c r="B447">
        <v>3.1440000000000003E-2</v>
      </c>
      <c r="C447">
        <v>3.5650000000000001E-2</v>
      </c>
      <c r="D447">
        <v>3.1210000000000002E-2</v>
      </c>
      <c r="E447">
        <v>3.3399999999999999E-2</v>
      </c>
      <c r="F447">
        <v>86305705.200000003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-1.3513513513514527E-2</v>
      </c>
      <c r="Q447">
        <f t="shared" si="975"/>
        <v>-1166293.313513601</v>
      </c>
      <c r="R447">
        <f t="shared" si="976"/>
        <v>583916024.57373834</v>
      </c>
      <c r="S447">
        <f t="shared" si="977"/>
        <v>5839.1602457373838</v>
      </c>
      <c r="T447">
        <f t="shared" si="978"/>
        <v>5.8391602457373839</v>
      </c>
    </row>
    <row r="448" spans="1:20" x14ac:dyDescent="0.25">
      <c r="A448" s="5">
        <v>44145</v>
      </c>
      <c r="B448">
        <v>3.1539999999999999E-2</v>
      </c>
      <c r="C448">
        <v>3.3000000000000002E-2</v>
      </c>
      <c r="D448">
        <v>3.092E-2</v>
      </c>
      <c r="E448">
        <v>3.1440000000000003E-2</v>
      </c>
      <c r="F448">
        <v>31010950.800000001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-0.4999999999999975</v>
      </c>
      <c r="Q448">
        <f t="shared" si="975"/>
        <v>-15505475.399999922</v>
      </c>
      <c r="R448">
        <f t="shared" si="976"/>
        <v>585082317.88725197</v>
      </c>
      <c r="S448">
        <f t="shared" si="977"/>
        <v>5850.8231788725197</v>
      </c>
      <c r="T448">
        <f t="shared" si="978"/>
        <v>5.8508231788725196</v>
      </c>
    </row>
    <row r="449" spans="1:20" x14ac:dyDescent="0.25">
      <c r="A449" s="5">
        <v>44144</v>
      </c>
      <c r="B449">
        <v>3.0599999999999999E-2</v>
      </c>
      <c r="C449">
        <v>3.1510000000000003E-2</v>
      </c>
      <c r="D449">
        <v>2.9510000000000002E-2</v>
      </c>
      <c r="E449">
        <v>3.1510000000000003E-2</v>
      </c>
      <c r="F449">
        <v>14551211.800000001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1</v>
      </c>
      <c r="Q449">
        <f t="shared" si="975"/>
        <v>14551211.800000001</v>
      </c>
      <c r="R449">
        <f t="shared" si="976"/>
        <v>600587793.28725195</v>
      </c>
      <c r="S449">
        <f t="shared" si="977"/>
        <v>6005.8779328725195</v>
      </c>
      <c r="T449">
        <f t="shared" si="978"/>
        <v>6.0058779328725196</v>
      </c>
    </row>
    <row r="450" spans="1:20" x14ac:dyDescent="0.25">
      <c r="A450" s="5">
        <v>44143</v>
      </c>
      <c r="B450">
        <v>2.9899999999999999E-2</v>
      </c>
      <c r="C450">
        <v>3.0890000000000001E-2</v>
      </c>
      <c r="D450">
        <v>2.9590000000000002E-2</v>
      </c>
      <c r="E450">
        <v>3.0530000000000002E-2</v>
      </c>
      <c r="F450">
        <v>8687257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0.44615384615384696</v>
      </c>
      <c r="Q450">
        <f t="shared" si="975"/>
        <v>3875853.1230769302</v>
      </c>
      <c r="R450">
        <f t="shared" si="976"/>
        <v>586036581.487252</v>
      </c>
      <c r="S450">
        <f t="shared" si="977"/>
        <v>5860.3658148725199</v>
      </c>
      <c r="T450">
        <f t="shared" si="978"/>
        <v>5.8603658148725195</v>
      </c>
    </row>
    <row r="451" spans="1:20" x14ac:dyDescent="0.25">
      <c r="A451" s="5">
        <v>44142</v>
      </c>
      <c r="B451">
        <v>3.1280000000000002E-2</v>
      </c>
      <c r="C451">
        <v>3.2000000000000001E-2</v>
      </c>
      <c r="D451">
        <v>2.9000000000000001E-2</v>
      </c>
      <c r="E451">
        <v>2.9739999999999999E-2</v>
      </c>
      <c r="F451">
        <v>28001390.899999999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-0.50666666666666815</v>
      </c>
      <c r="Q451">
        <f t="shared" si="975"/>
        <v>-14187371.389333375</v>
      </c>
      <c r="R451">
        <f t="shared" si="976"/>
        <v>582160728.36417508</v>
      </c>
      <c r="S451">
        <f t="shared" si="977"/>
        <v>5821.6072836417507</v>
      </c>
      <c r="T451">
        <f t="shared" si="978"/>
        <v>5.8216072836417503</v>
      </c>
    </row>
    <row r="452" spans="1:20" x14ac:dyDescent="0.25">
      <c r="A452" s="5">
        <v>44141</v>
      </c>
      <c r="B452">
        <v>2.9649999999999999E-2</v>
      </c>
      <c r="C452">
        <v>3.15E-2</v>
      </c>
      <c r="D452">
        <v>2.9000000000000001E-2</v>
      </c>
      <c r="E452">
        <v>3.1269999999999999E-2</v>
      </c>
      <c r="F452">
        <v>20671211.600000001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0.81599999999999906</v>
      </c>
      <c r="Q452">
        <f t="shared" si="975"/>
        <v>16867708.665599983</v>
      </c>
      <c r="R452">
        <f t="shared" si="976"/>
        <v>596348099.75350845</v>
      </c>
      <c r="S452">
        <f t="shared" si="977"/>
        <v>5963.4809975350845</v>
      </c>
      <c r="T452">
        <f t="shared" si="978"/>
        <v>5.9634809975350844</v>
      </c>
    </row>
    <row r="453" spans="1:20" x14ac:dyDescent="0.25">
      <c r="A453" s="5">
        <v>44140</v>
      </c>
      <c r="B453">
        <v>2.8809999999999999E-2</v>
      </c>
      <c r="C453">
        <v>3.0509999999999999E-2</v>
      </c>
      <c r="D453">
        <v>2.8150000000000001E-2</v>
      </c>
      <c r="E453">
        <v>2.9530000000000001E-2</v>
      </c>
      <c r="F453">
        <v>12221202.199999999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0.16949152542372944</v>
      </c>
      <c r="Q453">
        <f t="shared" si="975"/>
        <v>2071390.2033898381</v>
      </c>
      <c r="R453">
        <f t="shared" si="976"/>
        <v>579480391.08790851</v>
      </c>
      <c r="S453">
        <f t="shared" si="977"/>
        <v>5794.8039108790854</v>
      </c>
      <c r="T453">
        <f t="shared" si="978"/>
        <v>5.794803910879085</v>
      </c>
    </row>
    <row r="454" spans="1:20" x14ac:dyDescent="0.25">
      <c r="A454" s="5">
        <v>44139</v>
      </c>
      <c r="B454">
        <v>2.8639999999999999E-2</v>
      </c>
      <c r="C454">
        <v>2.886E-2</v>
      </c>
      <c r="D454">
        <v>2.7689999999999999E-2</v>
      </c>
      <c r="E454">
        <v>2.878E-2</v>
      </c>
      <c r="F454">
        <v>11762358.199999999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0.86324786324786296</v>
      </c>
      <c r="Q454">
        <f t="shared" ref="Q454:Q517" si="980">F454*P454</f>
        <v>10153830.582905978</v>
      </c>
      <c r="R454">
        <f t="shared" ref="R454:R517" si="981">R455+Q454</f>
        <v>577409000.88451862</v>
      </c>
      <c r="S454">
        <f t="shared" ref="S454:S517" si="982">R454/100000</f>
        <v>5774.0900088451863</v>
      </c>
      <c r="T454">
        <f t="shared" ref="T454:T517" si="983">S454/1000</f>
        <v>5.7740900088451861</v>
      </c>
    </row>
    <row r="455" spans="1:20" x14ac:dyDescent="0.25">
      <c r="A455" s="5">
        <v>44138</v>
      </c>
      <c r="B455">
        <v>2.981E-2</v>
      </c>
      <c r="C455">
        <v>2.9950000000000001E-2</v>
      </c>
      <c r="D455">
        <v>2.818E-2</v>
      </c>
      <c r="E455">
        <v>2.8459999999999999E-2</v>
      </c>
      <c r="F455">
        <v>11963708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-0.6836158192090408</v>
      </c>
      <c r="Q455">
        <f t="shared" si="980"/>
        <v>-8178580.0451977551</v>
      </c>
      <c r="R455">
        <f t="shared" si="981"/>
        <v>567255170.30161262</v>
      </c>
      <c r="S455">
        <f t="shared" si="982"/>
        <v>5672.5517030161263</v>
      </c>
      <c r="T455">
        <f t="shared" si="983"/>
        <v>5.6725517030161265</v>
      </c>
    </row>
    <row r="456" spans="1:20" x14ac:dyDescent="0.25">
      <c r="A456" s="5">
        <v>44137</v>
      </c>
      <c r="B456">
        <v>2.947E-2</v>
      </c>
      <c r="C456">
        <v>3.1530000000000002E-2</v>
      </c>
      <c r="D456">
        <v>2.8850000000000001E-2</v>
      </c>
      <c r="E456">
        <v>2.9940000000000001E-2</v>
      </c>
      <c r="F456">
        <v>21617655.899999999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-0.18656716417910452</v>
      </c>
      <c r="Q456">
        <f t="shared" si="980"/>
        <v>-4033144.7574626873</v>
      </c>
      <c r="R456">
        <f t="shared" si="981"/>
        <v>575433750.34681034</v>
      </c>
      <c r="S456">
        <f t="shared" si="982"/>
        <v>5754.337503468103</v>
      </c>
      <c r="T456">
        <f t="shared" si="983"/>
        <v>5.7543375034681032</v>
      </c>
    </row>
    <row r="457" spans="1:20" x14ac:dyDescent="0.25">
      <c r="A457" s="5">
        <v>44136</v>
      </c>
      <c r="B457">
        <v>2.9350000000000001E-2</v>
      </c>
      <c r="C457">
        <v>2.989E-2</v>
      </c>
      <c r="D457">
        <v>2.8799999999999999E-2</v>
      </c>
      <c r="E457">
        <v>2.9489999999999999E-2</v>
      </c>
      <c r="F457">
        <v>6770343.5999999996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0.26605504587155815</v>
      </c>
      <c r="Q457">
        <f t="shared" si="980"/>
        <v>1801284.0770642101</v>
      </c>
      <c r="R457">
        <f t="shared" si="981"/>
        <v>579466895.10427308</v>
      </c>
      <c r="S457">
        <f t="shared" si="982"/>
        <v>5794.6689510427304</v>
      </c>
      <c r="T457">
        <f t="shared" si="983"/>
        <v>5.7946689510427305</v>
      </c>
    </row>
    <row r="458" spans="1:20" x14ac:dyDescent="0.25">
      <c r="A458" s="5">
        <v>44135</v>
      </c>
      <c r="B458">
        <v>2.921E-2</v>
      </c>
      <c r="C458">
        <v>2.998E-2</v>
      </c>
      <c r="D458">
        <v>2.9000000000000001E-2</v>
      </c>
      <c r="E458">
        <v>2.9479999999999999E-2</v>
      </c>
      <c r="F458">
        <v>6813332.5999999996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-2.0408163265308869E-2</v>
      </c>
      <c r="Q458">
        <f t="shared" si="980"/>
        <v>-139047.60408165137</v>
      </c>
      <c r="R458">
        <f t="shared" si="981"/>
        <v>577665611.02720892</v>
      </c>
      <c r="S458">
        <f t="shared" si="982"/>
        <v>5776.6561102720889</v>
      </c>
      <c r="T458">
        <f t="shared" si="983"/>
        <v>5.7766561102720893</v>
      </c>
    </row>
    <row r="459" spans="1:20" x14ac:dyDescent="0.25">
      <c r="A459" s="5">
        <v>44134</v>
      </c>
      <c r="B459">
        <v>2.9530000000000001E-2</v>
      </c>
      <c r="C459">
        <v>2.9899999999999999E-2</v>
      </c>
      <c r="D459">
        <v>2.8510000000000001E-2</v>
      </c>
      <c r="E459">
        <v>2.9309999999999999E-2</v>
      </c>
      <c r="F459">
        <v>12232791.199999999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0.15107913669064643</v>
      </c>
      <c r="Q459">
        <f t="shared" si="980"/>
        <v>1848119.5338129366</v>
      </c>
      <c r="R459">
        <f t="shared" si="981"/>
        <v>577804658.63129056</v>
      </c>
      <c r="S459">
        <f t="shared" si="982"/>
        <v>5778.0465863129057</v>
      </c>
      <c r="T459">
        <f t="shared" si="983"/>
        <v>5.7780465863129056</v>
      </c>
    </row>
    <row r="460" spans="1:20" x14ac:dyDescent="0.25">
      <c r="A460" s="5">
        <v>44133</v>
      </c>
      <c r="B460">
        <v>3.0030000000000001E-2</v>
      </c>
      <c r="C460">
        <v>3.1220000000000001E-2</v>
      </c>
      <c r="D460">
        <v>2.9010000000000001E-2</v>
      </c>
      <c r="E460">
        <v>2.9600000000000001E-2</v>
      </c>
      <c r="F460">
        <v>17070521.199999999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-0.46606334841628944</v>
      </c>
      <c r="Q460">
        <f t="shared" si="980"/>
        <v>-7955944.2696832549</v>
      </c>
      <c r="R460">
        <f t="shared" si="981"/>
        <v>575956539.09747767</v>
      </c>
      <c r="S460">
        <f t="shared" si="982"/>
        <v>5759.5653909747771</v>
      </c>
      <c r="T460">
        <f t="shared" si="983"/>
        <v>5.7595653909747773</v>
      </c>
    </row>
    <row r="461" spans="1:20" x14ac:dyDescent="0.25">
      <c r="A461" s="5">
        <v>44132</v>
      </c>
      <c r="B461">
        <v>3.117E-2</v>
      </c>
      <c r="C461">
        <v>3.1449999999999999E-2</v>
      </c>
      <c r="D461">
        <v>2.9600000000000001E-2</v>
      </c>
      <c r="E461">
        <v>3.0030000000000001E-2</v>
      </c>
      <c r="F461">
        <v>10192823.699999999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-0.53513513513513467</v>
      </c>
      <c r="Q461">
        <f t="shared" si="980"/>
        <v>-5454538.0881081028</v>
      </c>
      <c r="R461">
        <f t="shared" si="981"/>
        <v>583912483.36716092</v>
      </c>
      <c r="S461">
        <f t="shared" si="982"/>
        <v>5839.1248336716089</v>
      </c>
      <c r="T461">
        <f t="shared" si="983"/>
        <v>5.8391248336716091</v>
      </c>
    </row>
    <row r="462" spans="1:20" x14ac:dyDescent="0.25">
      <c r="A462" s="5">
        <v>44131</v>
      </c>
      <c r="B462">
        <v>3.0640000000000001E-2</v>
      </c>
      <c r="C462">
        <v>3.1449999999999999E-2</v>
      </c>
      <c r="D462">
        <v>3.04E-2</v>
      </c>
      <c r="E462">
        <v>3.117E-2</v>
      </c>
      <c r="F462">
        <v>14199419.9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0.46666666666666801</v>
      </c>
      <c r="Q462">
        <f t="shared" si="980"/>
        <v>6626395.9533333527</v>
      </c>
      <c r="R462">
        <f t="shared" si="981"/>
        <v>589367021.45526898</v>
      </c>
      <c r="S462">
        <f t="shared" si="982"/>
        <v>5893.6702145526897</v>
      </c>
      <c r="T462">
        <f t="shared" si="983"/>
        <v>5.8936702145526896</v>
      </c>
    </row>
    <row r="463" spans="1:20" x14ac:dyDescent="0.25">
      <c r="A463" s="5">
        <v>44130</v>
      </c>
      <c r="B463">
        <v>3.2300000000000002E-2</v>
      </c>
      <c r="C463">
        <v>3.2669999999999998E-2</v>
      </c>
      <c r="D463">
        <v>3.039E-2</v>
      </c>
      <c r="E463">
        <v>3.065E-2</v>
      </c>
      <c r="F463">
        <v>17955309.5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-0.77192982456140335</v>
      </c>
      <c r="Q463">
        <f t="shared" si="980"/>
        <v>-13860238.912280699</v>
      </c>
      <c r="R463">
        <f t="shared" si="981"/>
        <v>582740625.5019356</v>
      </c>
      <c r="S463">
        <f t="shared" si="982"/>
        <v>5827.4062550193557</v>
      </c>
      <c r="T463">
        <f t="shared" si="983"/>
        <v>5.8274062550193557</v>
      </c>
    </row>
    <row r="464" spans="1:20" x14ac:dyDescent="0.25">
      <c r="A464" s="5">
        <v>44129</v>
      </c>
      <c r="B464">
        <v>3.2730000000000002E-2</v>
      </c>
      <c r="C464">
        <v>3.3610000000000001E-2</v>
      </c>
      <c r="D464">
        <v>3.1850000000000003E-2</v>
      </c>
      <c r="E464">
        <v>3.2289999999999999E-2</v>
      </c>
      <c r="F464">
        <v>13827894.199999999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-0.500000000000004</v>
      </c>
      <c r="Q464">
        <f t="shared" si="980"/>
        <v>-6913947.1000000546</v>
      </c>
      <c r="R464">
        <f t="shared" si="981"/>
        <v>596600864.41421628</v>
      </c>
      <c r="S464">
        <f t="shared" si="982"/>
        <v>5966.0086441421627</v>
      </c>
      <c r="T464">
        <f t="shared" si="983"/>
        <v>5.9660086441421623</v>
      </c>
    </row>
    <row r="465" spans="1:20" x14ac:dyDescent="0.25">
      <c r="A465" s="5">
        <v>44128</v>
      </c>
      <c r="B465">
        <v>3.3000000000000002E-2</v>
      </c>
      <c r="C465">
        <v>3.388E-2</v>
      </c>
      <c r="D465">
        <v>3.2419999999999997E-2</v>
      </c>
      <c r="E465">
        <v>3.261E-2</v>
      </c>
      <c r="F465">
        <v>11252146.199999999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-0.73972602739725712</v>
      </c>
      <c r="Q465">
        <f t="shared" si="980"/>
        <v>-8323505.4082191419</v>
      </c>
      <c r="R465">
        <f t="shared" si="981"/>
        <v>603514811.5142163</v>
      </c>
      <c r="S465">
        <f t="shared" si="982"/>
        <v>6035.1481151421631</v>
      </c>
      <c r="T465">
        <f t="shared" si="983"/>
        <v>6.0351481151421629</v>
      </c>
    </row>
    <row r="466" spans="1:20" x14ac:dyDescent="0.25">
      <c r="A466" s="5">
        <v>44127</v>
      </c>
      <c r="B466">
        <v>3.2250000000000001E-2</v>
      </c>
      <c r="C466">
        <v>3.3590000000000002E-2</v>
      </c>
      <c r="D466">
        <v>3.1620000000000002E-2</v>
      </c>
      <c r="E466">
        <v>3.3009999999999998E-2</v>
      </c>
      <c r="F466">
        <v>26341231.600000001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0.41116751269035101</v>
      </c>
      <c r="Q466">
        <f t="shared" si="980"/>
        <v>10830658.678172477</v>
      </c>
      <c r="R466">
        <f t="shared" si="981"/>
        <v>611838316.9224354</v>
      </c>
      <c r="S466">
        <f t="shared" si="982"/>
        <v>6118.3831692243539</v>
      </c>
      <c r="T466">
        <f t="shared" si="983"/>
        <v>6.1183831692243542</v>
      </c>
    </row>
    <row r="467" spans="1:20" x14ac:dyDescent="0.25">
      <c r="A467" s="5">
        <v>44126</v>
      </c>
      <c r="B467">
        <v>3.1189999999999999E-2</v>
      </c>
      <c r="C467">
        <v>3.5000000000000003E-2</v>
      </c>
      <c r="D467">
        <v>3.0839999999999999E-2</v>
      </c>
      <c r="E467">
        <v>3.2239999999999998E-2</v>
      </c>
      <c r="F467">
        <v>20615263.300000001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-0.32692307692307832</v>
      </c>
      <c r="Q467">
        <f t="shared" si="980"/>
        <v>-6739605.3096154137</v>
      </c>
      <c r="R467">
        <f t="shared" si="981"/>
        <v>601007658.24426293</v>
      </c>
      <c r="S467">
        <f t="shared" si="982"/>
        <v>6010.0765824426289</v>
      </c>
      <c r="T467">
        <f t="shared" si="983"/>
        <v>6.010076582442629</v>
      </c>
    </row>
    <row r="468" spans="1:20" x14ac:dyDescent="0.25">
      <c r="A468" s="5">
        <v>44125</v>
      </c>
      <c r="B468">
        <v>3.022E-2</v>
      </c>
      <c r="C468">
        <v>3.2099999999999997E-2</v>
      </c>
      <c r="D468">
        <v>3.022E-2</v>
      </c>
      <c r="E468">
        <v>3.1189999999999999E-2</v>
      </c>
      <c r="F468">
        <v>16694228.1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3.1914893617021885E-2</v>
      </c>
      <c r="Q468">
        <f t="shared" si="980"/>
        <v>532794.51382979739</v>
      </c>
      <c r="R468">
        <f t="shared" si="981"/>
        <v>607747263.55387831</v>
      </c>
      <c r="S468">
        <f t="shared" si="982"/>
        <v>6077.4726355387829</v>
      </c>
      <c r="T468">
        <f t="shared" si="983"/>
        <v>6.0774726355387827</v>
      </c>
    </row>
    <row r="469" spans="1:20" x14ac:dyDescent="0.25">
      <c r="A469" s="5">
        <v>44124</v>
      </c>
      <c r="B469">
        <v>3.1600000000000003E-2</v>
      </c>
      <c r="C469">
        <v>3.1820000000000001E-2</v>
      </c>
      <c r="D469">
        <v>0.03</v>
      </c>
      <c r="E469">
        <v>3.0339999999999999E-2</v>
      </c>
      <c r="F469">
        <v>13022880.6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-0.62637362637362681</v>
      </c>
      <c r="Q469">
        <f t="shared" si="980"/>
        <v>-8157188.9472527532</v>
      </c>
      <c r="R469">
        <f t="shared" si="981"/>
        <v>607214469.04004848</v>
      </c>
      <c r="S469">
        <f t="shared" si="982"/>
        <v>6072.1446904004852</v>
      </c>
      <c r="T469">
        <f t="shared" si="983"/>
        <v>6.072144690400485</v>
      </c>
    </row>
    <row r="470" spans="1:20" x14ac:dyDescent="0.25">
      <c r="A470" s="5">
        <v>44123</v>
      </c>
      <c r="B470">
        <v>3.1600000000000003E-2</v>
      </c>
      <c r="C470">
        <v>3.1850000000000003E-2</v>
      </c>
      <c r="D470">
        <v>3.0599999999999999E-2</v>
      </c>
      <c r="E470">
        <v>3.1710000000000002E-2</v>
      </c>
      <c r="F470">
        <v>7652124.7999999998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0.7759999999999988</v>
      </c>
      <c r="Q470">
        <f t="shared" si="980"/>
        <v>5938048.8447999908</v>
      </c>
      <c r="R470">
        <f t="shared" si="981"/>
        <v>615371657.98730123</v>
      </c>
      <c r="S470">
        <f t="shared" si="982"/>
        <v>6153.7165798730121</v>
      </c>
      <c r="T470">
        <f t="shared" si="983"/>
        <v>6.153716579873012</v>
      </c>
    </row>
    <row r="471" spans="1:20" x14ac:dyDescent="0.25">
      <c r="A471" s="5">
        <v>44122</v>
      </c>
      <c r="B471">
        <v>3.1289999999999998E-2</v>
      </c>
      <c r="C471">
        <v>3.1600000000000003E-2</v>
      </c>
      <c r="D471">
        <v>3.108E-2</v>
      </c>
      <c r="E471">
        <v>3.1600000000000003E-2</v>
      </c>
      <c r="F471">
        <v>5512031.7999999998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1</v>
      </c>
      <c r="Q471">
        <f t="shared" si="980"/>
        <v>5512031.7999999998</v>
      </c>
      <c r="R471">
        <f t="shared" si="981"/>
        <v>609433609.14250124</v>
      </c>
      <c r="S471">
        <f t="shared" si="982"/>
        <v>6094.3360914250125</v>
      </c>
      <c r="T471">
        <f t="shared" si="983"/>
        <v>6.0943360914250126</v>
      </c>
    </row>
    <row r="472" spans="1:20" x14ac:dyDescent="0.25">
      <c r="A472" s="5">
        <v>44121</v>
      </c>
      <c r="B472">
        <v>3.134E-2</v>
      </c>
      <c r="C472">
        <v>3.175E-2</v>
      </c>
      <c r="D472">
        <v>3.083E-2</v>
      </c>
      <c r="E472">
        <v>3.1260000000000003E-2</v>
      </c>
      <c r="F472">
        <v>12934009.300000001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-6.5217391304341343E-2</v>
      </c>
      <c r="Q472">
        <f t="shared" si="980"/>
        <v>-843522.34565209015</v>
      </c>
      <c r="R472">
        <f t="shared" si="981"/>
        <v>603921577.34250128</v>
      </c>
      <c r="S472">
        <f t="shared" si="982"/>
        <v>6039.2157734250131</v>
      </c>
      <c r="T472">
        <f t="shared" si="983"/>
        <v>6.0392157734250134</v>
      </c>
    </row>
    <row r="473" spans="1:20" x14ac:dyDescent="0.25">
      <c r="A473" s="5">
        <v>44120</v>
      </c>
      <c r="B473">
        <v>3.354E-2</v>
      </c>
      <c r="C473">
        <v>3.381E-2</v>
      </c>
      <c r="D473">
        <v>3.0880000000000001E-2</v>
      </c>
      <c r="E473">
        <v>3.134E-2</v>
      </c>
      <c r="F473">
        <v>23247604.399999999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-0.68600682593856732</v>
      </c>
      <c r="Q473">
        <f t="shared" si="980"/>
        <v>-15948015.305119472</v>
      </c>
      <c r="R473">
        <f t="shared" si="981"/>
        <v>604765099.68815339</v>
      </c>
      <c r="S473">
        <f t="shared" si="982"/>
        <v>6047.6509968815335</v>
      </c>
      <c r="T473">
        <f t="shared" si="983"/>
        <v>6.0476509968815337</v>
      </c>
    </row>
    <row r="474" spans="1:20" x14ac:dyDescent="0.25">
      <c r="A474" s="5">
        <v>44119</v>
      </c>
      <c r="B474">
        <v>3.4840000000000003E-2</v>
      </c>
      <c r="C474">
        <v>3.4909999999999997E-2</v>
      </c>
      <c r="D474">
        <v>3.3180000000000001E-2</v>
      </c>
      <c r="E474">
        <v>3.3640000000000003E-2</v>
      </c>
      <c r="F474">
        <v>10513585.300000001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-0.46820809248554535</v>
      </c>
      <c r="Q474">
        <f t="shared" si="980"/>
        <v>-4922545.7184970705</v>
      </c>
      <c r="R474">
        <f t="shared" si="981"/>
        <v>620713114.9932729</v>
      </c>
      <c r="S474">
        <f t="shared" si="982"/>
        <v>6207.1311499327294</v>
      </c>
      <c r="T474">
        <f t="shared" si="983"/>
        <v>6.2071311499327297</v>
      </c>
    </row>
    <row r="475" spans="1:20" x14ac:dyDescent="0.25">
      <c r="A475" s="5">
        <v>44118</v>
      </c>
      <c r="B475">
        <v>3.3919999999999999E-2</v>
      </c>
      <c r="C475">
        <v>3.5020000000000003E-2</v>
      </c>
      <c r="D475">
        <v>3.3759999999999998E-2</v>
      </c>
      <c r="E475">
        <v>3.4750000000000003E-2</v>
      </c>
      <c r="F475">
        <v>12829541.1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0.57142857142857384</v>
      </c>
      <c r="Q475">
        <f t="shared" si="980"/>
        <v>7331166.3428571736</v>
      </c>
      <c r="R475">
        <f t="shared" si="981"/>
        <v>625635660.71176994</v>
      </c>
      <c r="S475">
        <f t="shared" si="982"/>
        <v>6256.3566071176992</v>
      </c>
      <c r="T475">
        <f t="shared" si="983"/>
        <v>6.2563566071176995</v>
      </c>
    </row>
    <row r="476" spans="1:20" x14ac:dyDescent="0.25">
      <c r="A476" s="5">
        <v>44117</v>
      </c>
      <c r="B476">
        <v>3.4049999999999997E-2</v>
      </c>
      <c r="C476">
        <v>3.5680000000000003E-2</v>
      </c>
      <c r="D476">
        <v>3.3599999999999998E-2</v>
      </c>
      <c r="E476">
        <v>3.4029999999999998E-2</v>
      </c>
      <c r="F476">
        <v>18013735.899999999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-0.58653846153846279</v>
      </c>
      <c r="Q476">
        <f t="shared" si="980"/>
        <v>-10565748.941346176</v>
      </c>
      <c r="R476">
        <f t="shared" si="981"/>
        <v>618304494.36891282</v>
      </c>
      <c r="S476">
        <f t="shared" si="982"/>
        <v>6183.0449436891286</v>
      </c>
      <c r="T476">
        <f t="shared" si="983"/>
        <v>6.1830449436891284</v>
      </c>
    </row>
    <row r="477" spans="1:20" x14ac:dyDescent="0.25">
      <c r="A477" s="5">
        <v>44116</v>
      </c>
      <c r="B477">
        <v>3.4119999999999998E-2</v>
      </c>
      <c r="C477">
        <v>3.4869999999999998E-2</v>
      </c>
      <c r="D477">
        <v>3.3009999999999998E-2</v>
      </c>
      <c r="E477">
        <v>3.4049999999999997E-2</v>
      </c>
      <c r="F477">
        <v>11675180.800000001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0.118279569892472</v>
      </c>
      <c r="Q477">
        <f t="shared" si="980"/>
        <v>1380935.3634408473</v>
      </c>
      <c r="R477">
        <f t="shared" si="981"/>
        <v>628870243.31025898</v>
      </c>
      <c r="S477">
        <f t="shared" si="982"/>
        <v>6288.7024331025896</v>
      </c>
      <c r="T477">
        <f t="shared" si="983"/>
        <v>6.2887024331025891</v>
      </c>
    </row>
    <row r="478" spans="1:20" x14ac:dyDescent="0.25">
      <c r="A478" s="5">
        <v>44115</v>
      </c>
      <c r="B478">
        <v>3.4329999999999999E-2</v>
      </c>
      <c r="C478">
        <v>3.5409999999999997E-2</v>
      </c>
      <c r="D478">
        <v>3.3640000000000003E-2</v>
      </c>
      <c r="E478">
        <v>3.4079999999999999E-2</v>
      </c>
      <c r="F478">
        <v>7919442.5999999996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-0.50282485875706495</v>
      </c>
      <c r="Q478">
        <f t="shared" si="980"/>
        <v>-3982092.6067796829</v>
      </c>
      <c r="R478">
        <f t="shared" si="981"/>
        <v>627489307.94681811</v>
      </c>
      <c r="S478">
        <f t="shared" si="982"/>
        <v>6274.893079468181</v>
      </c>
      <c r="T478">
        <f t="shared" si="983"/>
        <v>6.274893079468181</v>
      </c>
    </row>
    <row r="479" spans="1:20" x14ac:dyDescent="0.25">
      <c r="A479" s="5">
        <v>44114</v>
      </c>
      <c r="B479">
        <v>3.4229999999999997E-2</v>
      </c>
      <c r="C479">
        <v>3.5729999999999998E-2</v>
      </c>
      <c r="D479">
        <v>3.3989999999999999E-2</v>
      </c>
      <c r="E479">
        <v>3.4200000000000001E-2</v>
      </c>
      <c r="F479">
        <v>14513148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-0.75862068965517004</v>
      </c>
      <c r="Q479">
        <f t="shared" si="980"/>
        <v>-11009974.344827551</v>
      </c>
      <c r="R479">
        <f t="shared" si="981"/>
        <v>631471400.55359781</v>
      </c>
      <c r="S479">
        <f t="shared" si="982"/>
        <v>6314.7140055359778</v>
      </c>
      <c r="T479">
        <f t="shared" si="983"/>
        <v>6.3147140055359774</v>
      </c>
    </row>
    <row r="480" spans="1:20" x14ac:dyDescent="0.25">
      <c r="A480" s="5">
        <v>44113</v>
      </c>
      <c r="B480">
        <v>3.2009999999999997E-2</v>
      </c>
      <c r="C480">
        <v>3.6790000000000003E-2</v>
      </c>
      <c r="D480">
        <v>3.1730000000000001E-2</v>
      </c>
      <c r="E480">
        <v>3.431E-2</v>
      </c>
      <c r="F480">
        <v>39973100.899999999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1.976284584980156E-2</v>
      </c>
      <c r="Q480">
        <f t="shared" si="980"/>
        <v>789982.23122526403</v>
      </c>
      <c r="R480">
        <f t="shared" si="981"/>
        <v>642481374.89842534</v>
      </c>
      <c r="S480">
        <f t="shared" si="982"/>
        <v>6424.8137489842538</v>
      </c>
      <c r="T480">
        <f t="shared" si="983"/>
        <v>6.4248137489842536</v>
      </c>
    </row>
    <row r="481" spans="1:20" x14ac:dyDescent="0.25">
      <c r="A481" s="5">
        <v>44112</v>
      </c>
      <c r="B481">
        <v>3.0200000000000001E-2</v>
      </c>
      <c r="C481">
        <v>3.2969999999999999E-2</v>
      </c>
      <c r="D481">
        <v>3.0089999999999999E-2</v>
      </c>
      <c r="E481">
        <v>3.2050000000000002E-2</v>
      </c>
      <c r="F481">
        <v>28592574.199999999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0.36111111111111316</v>
      </c>
      <c r="Q481">
        <f t="shared" si="980"/>
        <v>10325096.238888947</v>
      </c>
      <c r="R481">
        <f t="shared" si="981"/>
        <v>641691392.66720009</v>
      </c>
      <c r="S481">
        <f t="shared" si="982"/>
        <v>6416.9139266720013</v>
      </c>
      <c r="T481">
        <f t="shared" si="983"/>
        <v>6.4169139266720014</v>
      </c>
    </row>
    <row r="482" spans="1:20" x14ac:dyDescent="0.25">
      <c r="A482" s="5">
        <v>44111</v>
      </c>
      <c r="B482">
        <v>2.9950000000000001E-2</v>
      </c>
      <c r="C482">
        <v>3.0530000000000002E-2</v>
      </c>
      <c r="D482">
        <v>2.945E-2</v>
      </c>
      <c r="E482">
        <v>3.0200000000000001E-2</v>
      </c>
      <c r="F482">
        <v>6060310.2999999998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0.38888888888888873</v>
      </c>
      <c r="Q482">
        <f t="shared" si="980"/>
        <v>2356787.3388888878</v>
      </c>
      <c r="R482">
        <f t="shared" si="981"/>
        <v>631366296.42831111</v>
      </c>
      <c r="S482">
        <f t="shared" si="982"/>
        <v>6313.6629642831113</v>
      </c>
      <c r="T482">
        <f t="shared" si="983"/>
        <v>6.313662964283111</v>
      </c>
    </row>
    <row r="483" spans="1:20" x14ac:dyDescent="0.25">
      <c r="A483" s="5">
        <v>44110</v>
      </c>
      <c r="B483">
        <v>3.108E-2</v>
      </c>
      <c r="C483">
        <v>3.1199999999999999E-2</v>
      </c>
      <c r="D483">
        <v>2.945E-2</v>
      </c>
      <c r="E483">
        <v>2.9839999999999998E-2</v>
      </c>
      <c r="F483">
        <v>12211730.199999999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-0.55428571428571605</v>
      </c>
      <c r="Q483">
        <f t="shared" si="980"/>
        <v>-6768787.5965714501</v>
      </c>
      <c r="R483">
        <f t="shared" si="981"/>
        <v>629009509.08942223</v>
      </c>
      <c r="S483">
        <f t="shared" si="982"/>
        <v>6290.0950908942223</v>
      </c>
      <c r="T483">
        <f t="shared" si="983"/>
        <v>6.2900950908942219</v>
      </c>
    </row>
    <row r="484" spans="1:20" x14ac:dyDescent="0.25">
      <c r="A484" s="5">
        <v>44109</v>
      </c>
      <c r="B484">
        <v>3.09E-2</v>
      </c>
      <c r="C484">
        <v>3.2000000000000001E-2</v>
      </c>
      <c r="D484">
        <v>3.0030000000000001E-2</v>
      </c>
      <c r="E484">
        <v>3.107E-2</v>
      </c>
      <c r="F484">
        <v>6786690.5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5.5837563451776151E-2</v>
      </c>
      <c r="Q484">
        <f t="shared" si="980"/>
        <v>378952.26142131642</v>
      </c>
      <c r="R484">
        <f t="shared" si="981"/>
        <v>635778296.68599367</v>
      </c>
      <c r="S484">
        <f t="shared" si="982"/>
        <v>6357.782966859937</v>
      </c>
      <c r="T484">
        <f t="shared" si="983"/>
        <v>6.3577829668599373</v>
      </c>
    </row>
    <row r="485" spans="1:20" x14ac:dyDescent="0.25">
      <c r="A485" s="5">
        <v>44108</v>
      </c>
      <c r="B485">
        <v>3.0759999999999999E-2</v>
      </c>
      <c r="C485">
        <v>3.1189999999999999E-2</v>
      </c>
      <c r="D485">
        <v>0.03</v>
      </c>
      <c r="E485">
        <v>3.091E-2</v>
      </c>
      <c r="F485">
        <v>6982139.0999999996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0.52941176470588402</v>
      </c>
      <c r="Q485">
        <f t="shared" si="980"/>
        <v>3696426.5823529526</v>
      </c>
      <c r="R485">
        <f t="shared" si="981"/>
        <v>635399344.42457235</v>
      </c>
      <c r="S485">
        <f t="shared" si="982"/>
        <v>6353.9934442457234</v>
      </c>
      <c r="T485">
        <f t="shared" si="983"/>
        <v>6.3539934442457238</v>
      </c>
    </row>
    <row r="486" spans="1:20" x14ac:dyDescent="0.25">
      <c r="A486" s="5">
        <v>44107</v>
      </c>
      <c r="B486">
        <v>3.0439999999999998E-2</v>
      </c>
      <c r="C486">
        <v>3.1189999999999999E-2</v>
      </c>
      <c r="D486">
        <v>0.03</v>
      </c>
      <c r="E486">
        <v>3.0769999999999999E-2</v>
      </c>
      <c r="F486">
        <v>7588242.0999999996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0.29411764705882321</v>
      </c>
      <c r="Q486">
        <f t="shared" si="980"/>
        <v>2231835.9117647032</v>
      </c>
      <c r="R486">
        <f t="shared" si="981"/>
        <v>631702917.84221935</v>
      </c>
      <c r="S486">
        <f t="shared" si="982"/>
        <v>6317.0291784221936</v>
      </c>
      <c r="T486">
        <f t="shared" si="983"/>
        <v>6.3170291784221932</v>
      </c>
    </row>
    <row r="487" spans="1:20" x14ac:dyDescent="0.25">
      <c r="A487" s="5">
        <v>44106</v>
      </c>
      <c r="B487">
        <v>3.092E-2</v>
      </c>
      <c r="C487">
        <v>3.1449999999999999E-2</v>
      </c>
      <c r="D487">
        <v>2.9000000000000001E-2</v>
      </c>
      <c r="E487">
        <v>3.0439999999999998E-2</v>
      </c>
      <c r="F487">
        <v>12417412.9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0.17551020408163137</v>
      </c>
      <c r="Q487">
        <f t="shared" si="980"/>
        <v>2179382.6722448822</v>
      </c>
      <c r="R487">
        <f t="shared" si="981"/>
        <v>629471081.93045461</v>
      </c>
      <c r="S487">
        <f t="shared" si="982"/>
        <v>6294.710819304546</v>
      </c>
      <c r="T487">
        <f t="shared" si="983"/>
        <v>6.2947108193045462</v>
      </c>
    </row>
    <row r="488" spans="1:20" x14ac:dyDescent="0.25">
      <c r="A488" s="5">
        <v>44105</v>
      </c>
      <c r="B488">
        <v>3.1800000000000002E-2</v>
      </c>
      <c r="C488">
        <v>3.2399999999999998E-2</v>
      </c>
      <c r="D488">
        <v>2.9850000000000002E-2</v>
      </c>
      <c r="E488">
        <v>3.1029999999999999E-2</v>
      </c>
      <c r="F488">
        <v>13905304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-7.4509803921569764E-2</v>
      </c>
      <c r="Q488">
        <f t="shared" si="980"/>
        <v>-1036081.4745098198</v>
      </c>
      <c r="R488">
        <f t="shared" si="981"/>
        <v>627291699.25820971</v>
      </c>
      <c r="S488">
        <f t="shared" si="982"/>
        <v>6272.916992582097</v>
      </c>
      <c r="T488">
        <f t="shared" si="983"/>
        <v>6.2729169925820969</v>
      </c>
    </row>
    <row r="489" spans="1:20" x14ac:dyDescent="0.25">
      <c r="A489" s="5">
        <v>44104</v>
      </c>
      <c r="B489">
        <v>3.2000000000000001E-2</v>
      </c>
      <c r="C489">
        <v>3.2169999999999997E-2</v>
      </c>
      <c r="D489">
        <v>3.0960000000000001E-2</v>
      </c>
      <c r="E489">
        <v>3.168E-2</v>
      </c>
      <c r="F489">
        <v>10699411.9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0.19008264462810068</v>
      </c>
      <c r="Q489">
        <f t="shared" si="980"/>
        <v>2033772.5099173714</v>
      </c>
      <c r="R489">
        <f t="shared" si="981"/>
        <v>628327780.73271954</v>
      </c>
      <c r="S489">
        <f t="shared" si="982"/>
        <v>6283.2778073271957</v>
      </c>
      <c r="T489">
        <f t="shared" si="983"/>
        <v>6.2832778073271953</v>
      </c>
    </row>
    <row r="490" spans="1:20" x14ac:dyDescent="0.25">
      <c r="A490" s="5">
        <v>44103</v>
      </c>
      <c r="B490">
        <v>3.1789999999999999E-2</v>
      </c>
      <c r="C490">
        <v>3.372E-2</v>
      </c>
      <c r="D490">
        <v>3.1320000000000001E-2</v>
      </c>
      <c r="E490">
        <v>3.193E-2</v>
      </c>
      <c r="F490">
        <v>10368751.4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-0.49166666666666703</v>
      </c>
      <c r="Q490">
        <f t="shared" si="980"/>
        <v>-5097969.4383333372</v>
      </c>
      <c r="R490">
        <f t="shared" si="981"/>
        <v>626294008.22280216</v>
      </c>
      <c r="S490">
        <f t="shared" si="982"/>
        <v>6262.9400822280213</v>
      </c>
      <c r="T490">
        <f t="shared" si="983"/>
        <v>6.2629400822280212</v>
      </c>
    </row>
    <row r="491" spans="1:20" x14ac:dyDescent="0.25">
      <c r="A491" s="5">
        <v>44102</v>
      </c>
      <c r="B491">
        <v>3.1649999999999998E-2</v>
      </c>
      <c r="C491">
        <v>3.4200000000000001E-2</v>
      </c>
      <c r="D491">
        <v>3.143E-2</v>
      </c>
      <c r="E491">
        <v>3.1800000000000002E-2</v>
      </c>
      <c r="F491">
        <v>18038304.800000001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-0.73285198555956532</v>
      </c>
      <c r="Q491">
        <f t="shared" si="980"/>
        <v>-13219407.488808637</v>
      </c>
      <c r="R491">
        <f t="shared" si="981"/>
        <v>631391977.66113555</v>
      </c>
      <c r="S491">
        <f t="shared" si="982"/>
        <v>6313.9197766113557</v>
      </c>
      <c r="T491">
        <f t="shared" si="983"/>
        <v>6.3139197766113559</v>
      </c>
    </row>
    <row r="492" spans="1:20" x14ac:dyDescent="0.25">
      <c r="A492" s="5">
        <v>44101</v>
      </c>
      <c r="B492">
        <v>3.2349999999999997E-2</v>
      </c>
      <c r="C492">
        <v>3.2649999999999998E-2</v>
      </c>
      <c r="D492">
        <v>3.1E-2</v>
      </c>
      <c r="E492">
        <v>3.1449999999999999E-2</v>
      </c>
      <c r="F492">
        <v>11260485.699999999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-0.45454545454545531</v>
      </c>
      <c r="Q492">
        <f t="shared" si="980"/>
        <v>-5118402.5909090992</v>
      </c>
      <c r="R492">
        <f t="shared" si="981"/>
        <v>644611385.14994419</v>
      </c>
      <c r="S492">
        <f t="shared" si="982"/>
        <v>6446.1138514994418</v>
      </c>
      <c r="T492">
        <f t="shared" si="983"/>
        <v>6.446113851499442</v>
      </c>
    </row>
    <row r="493" spans="1:20" x14ac:dyDescent="0.25">
      <c r="A493" s="5">
        <v>44100</v>
      </c>
      <c r="B493">
        <v>3.2340000000000001E-2</v>
      </c>
      <c r="C493">
        <v>3.4720000000000001E-2</v>
      </c>
      <c r="D493">
        <v>3.1919999999999997E-2</v>
      </c>
      <c r="E493">
        <v>3.2349999999999997E-2</v>
      </c>
      <c r="F493">
        <v>11950501.300000001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-0.69285714285714339</v>
      </c>
      <c r="Q493">
        <f t="shared" si="980"/>
        <v>-8279990.1864285786</v>
      </c>
      <c r="R493">
        <f t="shared" si="981"/>
        <v>649729787.74085331</v>
      </c>
      <c r="S493">
        <f t="shared" si="982"/>
        <v>6497.2978774085332</v>
      </c>
      <c r="T493">
        <f t="shared" si="983"/>
        <v>6.497297877408533</v>
      </c>
    </row>
    <row r="494" spans="1:20" x14ac:dyDescent="0.25">
      <c r="A494" s="5">
        <v>44099</v>
      </c>
      <c r="B494">
        <v>3.2190000000000003E-2</v>
      </c>
      <c r="C494">
        <v>3.322E-2</v>
      </c>
      <c r="D494">
        <v>3.1300000000000001E-2</v>
      </c>
      <c r="E494">
        <v>3.2419999999999997E-2</v>
      </c>
      <c r="F494">
        <v>10365175.699999999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0.16666666666666366</v>
      </c>
      <c r="Q494">
        <f t="shared" si="980"/>
        <v>1727529.283333302</v>
      </c>
      <c r="R494">
        <f t="shared" si="981"/>
        <v>658009777.92728186</v>
      </c>
      <c r="S494">
        <f t="shared" si="982"/>
        <v>6580.0977792728181</v>
      </c>
      <c r="T494">
        <f t="shared" si="983"/>
        <v>6.5800977792728181</v>
      </c>
    </row>
    <row r="495" spans="1:20" x14ac:dyDescent="0.25">
      <c r="A495" s="5">
        <v>44098</v>
      </c>
      <c r="B495">
        <v>2.9569999999999999E-2</v>
      </c>
      <c r="C495">
        <v>3.2809999999999999E-2</v>
      </c>
      <c r="D495">
        <v>2.9499999999999998E-2</v>
      </c>
      <c r="E495">
        <v>3.2230000000000002E-2</v>
      </c>
      <c r="F495">
        <v>12600375.699999999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0.64954682779456363</v>
      </c>
      <c r="Q495">
        <f t="shared" si="980"/>
        <v>8184534.0649547037</v>
      </c>
      <c r="R495">
        <f t="shared" si="981"/>
        <v>656282248.64394855</v>
      </c>
      <c r="S495">
        <f t="shared" si="982"/>
        <v>6562.8224864394851</v>
      </c>
      <c r="T495">
        <f t="shared" si="983"/>
        <v>6.5628224864394848</v>
      </c>
    </row>
    <row r="496" spans="1:20" x14ac:dyDescent="0.25">
      <c r="A496" s="5">
        <v>44097</v>
      </c>
      <c r="B496">
        <v>3.2059999999999998E-2</v>
      </c>
      <c r="C496">
        <v>3.2070000000000001E-2</v>
      </c>
      <c r="D496">
        <v>2.9499999999999998E-2</v>
      </c>
      <c r="E496">
        <v>2.9649999999999999E-2</v>
      </c>
      <c r="F496">
        <v>16965161.5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-0.8832684824902719</v>
      </c>
      <c r="Q496">
        <f t="shared" si="980"/>
        <v>-14984792.453307385</v>
      </c>
      <c r="R496">
        <f t="shared" si="981"/>
        <v>648097714.5789938</v>
      </c>
      <c r="S496">
        <f t="shared" si="982"/>
        <v>6480.9771457899378</v>
      </c>
      <c r="T496">
        <f t="shared" si="983"/>
        <v>6.4809771457899377</v>
      </c>
    </row>
    <row r="497" spans="1:20" x14ac:dyDescent="0.25">
      <c r="A497" s="5">
        <v>44096</v>
      </c>
      <c r="B497">
        <v>3.1289999999999998E-2</v>
      </c>
      <c r="C497">
        <v>3.322E-2</v>
      </c>
      <c r="D497">
        <v>3.0589999999999999E-2</v>
      </c>
      <c r="E497">
        <v>3.2059999999999998E-2</v>
      </c>
      <c r="F497">
        <v>14807648.9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0.11787072243345921</v>
      </c>
      <c r="Q497">
        <f t="shared" si="980"/>
        <v>1745388.2733840176</v>
      </c>
      <c r="R497">
        <f t="shared" si="981"/>
        <v>663082507.03230119</v>
      </c>
      <c r="S497">
        <f t="shared" si="982"/>
        <v>6630.8250703230115</v>
      </c>
      <c r="T497">
        <f t="shared" si="983"/>
        <v>6.6308250703230112</v>
      </c>
    </row>
    <row r="498" spans="1:20" x14ac:dyDescent="0.25">
      <c r="A498" s="5">
        <v>44095</v>
      </c>
      <c r="B498">
        <v>3.347E-2</v>
      </c>
      <c r="C498">
        <v>3.3820000000000003E-2</v>
      </c>
      <c r="D498">
        <v>0.03</v>
      </c>
      <c r="E498">
        <v>3.1309999999999998E-2</v>
      </c>
      <c r="F498">
        <v>21090813.600000001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-0.31413612565445165</v>
      </c>
      <c r="Q498">
        <f t="shared" si="980"/>
        <v>-6625386.4712042185</v>
      </c>
      <c r="R498">
        <f t="shared" si="981"/>
        <v>661337118.75891721</v>
      </c>
      <c r="S498">
        <f t="shared" si="982"/>
        <v>6613.3711875891722</v>
      </c>
      <c r="T498">
        <f t="shared" si="983"/>
        <v>6.6133711875891725</v>
      </c>
    </row>
    <row r="499" spans="1:20" x14ac:dyDescent="0.25">
      <c r="A499" s="5">
        <v>44094</v>
      </c>
      <c r="B499">
        <v>3.44E-2</v>
      </c>
      <c r="C499">
        <v>3.4610000000000002E-2</v>
      </c>
      <c r="D499">
        <v>3.3140000000000003E-2</v>
      </c>
      <c r="E499">
        <v>3.3610000000000001E-2</v>
      </c>
      <c r="F499">
        <v>10446179.699999999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-0.3605442176870769</v>
      </c>
      <c r="Q499">
        <f t="shared" si="980"/>
        <v>-3766309.6877551232</v>
      </c>
      <c r="R499">
        <f t="shared" si="981"/>
        <v>667962505.23012137</v>
      </c>
      <c r="S499">
        <f t="shared" si="982"/>
        <v>6679.6250523012141</v>
      </c>
      <c r="T499">
        <f t="shared" si="983"/>
        <v>6.6796250523012137</v>
      </c>
    </row>
    <row r="500" spans="1:20" x14ac:dyDescent="0.25">
      <c r="A500" s="5">
        <v>44093</v>
      </c>
      <c r="B500">
        <v>3.4360000000000002E-2</v>
      </c>
      <c r="C500">
        <v>3.4759999999999999E-2</v>
      </c>
      <c r="D500">
        <v>3.4000000000000002E-2</v>
      </c>
      <c r="E500">
        <v>3.44E-2</v>
      </c>
      <c r="F500">
        <v>7972808.0999999996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5.2631578947366496E-2</v>
      </c>
      <c r="Q500">
        <f t="shared" si="980"/>
        <v>419621.47894735303</v>
      </c>
      <c r="R500">
        <f t="shared" si="981"/>
        <v>671728814.91787648</v>
      </c>
      <c r="S500">
        <f t="shared" si="982"/>
        <v>6717.2881491787648</v>
      </c>
      <c r="T500">
        <f t="shared" si="983"/>
        <v>6.7172881491787644</v>
      </c>
    </row>
    <row r="501" spans="1:20" x14ac:dyDescent="0.25">
      <c r="A501" s="5">
        <v>44092</v>
      </c>
      <c r="B501">
        <v>3.4529999999999998E-2</v>
      </c>
      <c r="C501">
        <v>3.542E-2</v>
      </c>
      <c r="D501">
        <v>3.4040000000000001E-2</v>
      </c>
      <c r="E501">
        <v>3.449E-2</v>
      </c>
      <c r="F501">
        <v>15602727.300000001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-0.34782608695652284</v>
      </c>
      <c r="Q501">
        <f t="shared" si="980"/>
        <v>-5427035.5826087128</v>
      </c>
      <c r="R501">
        <f t="shared" si="981"/>
        <v>671309193.43892908</v>
      </c>
      <c r="S501">
        <f t="shared" si="982"/>
        <v>6713.0919343892911</v>
      </c>
      <c r="T501">
        <f t="shared" si="983"/>
        <v>6.7130919343892907</v>
      </c>
    </row>
    <row r="502" spans="1:20" x14ac:dyDescent="0.25">
      <c r="A502" s="5">
        <v>44091</v>
      </c>
      <c r="B502">
        <v>3.619E-2</v>
      </c>
      <c r="C502">
        <v>3.7109999999999997E-2</v>
      </c>
      <c r="D502">
        <v>3.3459999999999997E-2</v>
      </c>
      <c r="E502">
        <v>3.4660000000000003E-2</v>
      </c>
      <c r="F502">
        <v>55863212.100000001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-0.34246575342465402</v>
      </c>
      <c r="Q502">
        <f t="shared" si="980"/>
        <v>-19131237.020547748</v>
      </c>
      <c r="R502">
        <f t="shared" si="981"/>
        <v>676736229.02153778</v>
      </c>
      <c r="S502">
        <f t="shared" si="982"/>
        <v>6767.3622902153775</v>
      </c>
      <c r="T502">
        <f t="shared" si="983"/>
        <v>6.7673622902153774</v>
      </c>
    </row>
    <row r="503" spans="1:20" x14ac:dyDescent="0.25">
      <c r="A503" s="5">
        <v>44090</v>
      </c>
      <c r="B503">
        <v>3.576E-2</v>
      </c>
      <c r="C503">
        <v>3.7179999999999998E-2</v>
      </c>
      <c r="D503">
        <v>3.4340000000000002E-2</v>
      </c>
      <c r="E503">
        <v>3.619E-2</v>
      </c>
      <c r="F503">
        <v>14002576.199999999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0.30281690140845108</v>
      </c>
      <c r="Q503">
        <f t="shared" si="980"/>
        <v>4240216.736619723</v>
      </c>
      <c r="R503">
        <f t="shared" si="981"/>
        <v>695867466.04208553</v>
      </c>
      <c r="S503">
        <f t="shared" si="982"/>
        <v>6958.6746604208556</v>
      </c>
      <c r="T503">
        <f t="shared" si="983"/>
        <v>6.958674660420856</v>
      </c>
    </row>
    <row r="504" spans="1:20" x14ac:dyDescent="0.25">
      <c r="A504" s="5">
        <v>44089</v>
      </c>
      <c r="B504">
        <v>3.7429999999999998E-2</v>
      </c>
      <c r="C504">
        <v>3.7470000000000003E-2</v>
      </c>
      <c r="D504">
        <v>3.5150000000000001E-2</v>
      </c>
      <c r="E504">
        <v>3.5999999999999997E-2</v>
      </c>
      <c r="F504">
        <v>14372893.1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-0.26724137931034858</v>
      </c>
      <c r="Q504">
        <f t="shared" si="980"/>
        <v>-3841031.7767241918</v>
      </c>
      <c r="R504">
        <f t="shared" si="981"/>
        <v>691627249.30546582</v>
      </c>
      <c r="S504">
        <f t="shared" si="982"/>
        <v>6916.2724930546583</v>
      </c>
      <c r="T504">
        <f t="shared" si="983"/>
        <v>6.9162724930546586</v>
      </c>
    </row>
    <row r="505" spans="1:20" x14ac:dyDescent="0.25">
      <c r="A505" s="5">
        <v>44088</v>
      </c>
      <c r="B505">
        <v>3.6859999999999997E-2</v>
      </c>
      <c r="C505">
        <v>3.7539999999999997E-2</v>
      </c>
      <c r="D505">
        <v>3.5909999999999997E-2</v>
      </c>
      <c r="E505">
        <v>3.7409999999999999E-2</v>
      </c>
      <c r="F505">
        <v>12242884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0.84049079754601441</v>
      </c>
      <c r="Q505">
        <f t="shared" si="980"/>
        <v>10290031.337423339</v>
      </c>
      <c r="R505">
        <f t="shared" si="981"/>
        <v>695468281.08219004</v>
      </c>
      <c r="S505">
        <f t="shared" si="982"/>
        <v>6954.6828108219006</v>
      </c>
      <c r="T505">
        <f t="shared" si="983"/>
        <v>6.9546828108219003</v>
      </c>
    </row>
    <row r="506" spans="1:20" x14ac:dyDescent="0.25">
      <c r="A506" s="5">
        <v>44087</v>
      </c>
      <c r="B506">
        <v>3.8550000000000001E-2</v>
      </c>
      <c r="C506">
        <v>3.8760000000000003E-2</v>
      </c>
      <c r="D506">
        <v>3.5900000000000001E-2</v>
      </c>
      <c r="E506">
        <v>3.7019999999999997E-2</v>
      </c>
      <c r="F506">
        <v>11484793.300000001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-0.21678321678321996</v>
      </c>
      <c r="Q506">
        <f t="shared" si="980"/>
        <v>-2489710.4356643725</v>
      </c>
      <c r="R506">
        <f t="shared" si="981"/>
        <v>685178249.74476671</v>
      </c>
      <c r="S506">
        <f t="shared" si="982"/>
        <v>6851.7824974476671</v>
      </c>
      <c r="T506">
        <f t="shared" si="983"/>
        <v>6.8517824974476671</v>
      </c>
    </row>
    <row r="507" spans="1:20" x14ac:dyDescent="0.25">
      <c r="A507" s="5">
        <v>44086</v>
      </c>
      <c r="B507">
        <v>3.8420000000000003E-2</v>
      </c>
      <c r="C507">
        <v>3.8690000000000002E-2</v>
      </c>
      <c r="D507">
        <v>3.78E-2</v>
      </c>
      <c r="E507">
        <v>3.8580000000000003E-2</v>
      </c>
      <c r="F507">
        <v>10837882.300000001</v>
      </c>
      <c r="G507">
        <v>0</v>
      </c>
      <c r="L507" t="s">
        <v>7</v>
      </c>
      <c r="M507" t="s">
        <v>7</v>
      </c>
      <c r="N507" t="s">
        <v>7</v>
      </c>
      <c r="P507">
        <f t="shared" si="979"/>
        <v>0.75280898876404778</v>
      </c>
      <c r="Q507">
        <f t="shared" si="980"/>
        <v>8158855.2146067731</v>
      </c>
      <c r="R507">
        <f t="shared" si="981"/>
        <v>687667960.18043113</v>
      </c>
      <c r="S507">
        <f t="shared" si="982"/>
        <v>6876.6796018043115</v>
      </c>
      <c r="T507">
        <f t="shared" si="983"/>
        <v>6.8766796018043115</v>
      </c>
    </row>
    <row r="508" spans="1:20" x14ac:dyDescent="0.25">
      <c r="A508" s="5">
        <v>44085</v>
      </c>
      <c r="B508">
        <v>3.8789999999999998E-2</v>
      </c>
      <c r="C508">
        <v>3.9059999999999997E-2</v>
      </c>
      <c r="D508">
        <v>3.721E-2</v>
      </c>
      <c r="E508">
        <v>3.8519999999999999E-2</v>
      </c>
      <c r="F508">
        <v>12717327.1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0.41621621621621668</v>
      </c>
      <c r="Q508">
        <f t="shared" si="980"/>
        <v>5293157.7659459515</v>
      </c>
      <c r="R508">
        <f t="shared" si="981"/>
        <v>679509104.96582437</v>
      </c>
      <c r="S508">
        <f t="shared" si="982"/>
        <v>6795.0910496582437</v>
      </c>
      <c r="T508">
        <f t="shared" si="983"/>
        <v>6.795091049658244</v>
      </c>
    </row>
    <row r="509" spans="1:20" x14ac:dyDescent="0.25">
      <c r="A509" s="5">
        <v>44084</v>
      </c>
      <c r="B509">
        <v>3.7159999999999999E-2</v>
      </c>
      <c r="C509">
        <v>3.9809999999999998E-2</v>
      </c>
      <c r="D509">
        <v>3.705E-2</v>
      </c>
      <c r="E509">
        <v>3.8789999999999998E-2</v>
      </c>
      <c r="F509">
        <v>22882537.600000001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0.26086956521739085</v>
      </c>
      <c r="Q509">
        <f t="shared" si="980"/>
        <v>5969357.6347825984</v>
      </c>
      <c r="R509">
        <f t="shared" si="981"/>
        <v>674215947.19987845</v>
      </c>
      <c r="S509">
        <f t="shared" si="982"/>
        <v>6742.1594719987843</v>
      </c>
      <c r="T509">
        <f t="shared" si="983"/>
        <v>6.7421594719987841</v>
      </c>
    </row>
    <row r="510" spans="1:20" x14ac:dyDescent="0.25">
      <c r="A510" s="5">
        <v>44083</v>
      </c>
      <c r="B510">
        <v>3.6299999999999999E-2</v>
      </c>
      <c r="C510">
        <v>3.7900000000000003E-2</v>
      </c>
      <c r="D510">
        <v>3.5709999999999999E-2</v>
      </c>
      <c r="E510">
        <v>3.7139999999999999E-2</v>
      </c>
      <c r="F510">
        <v>11925442.5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0.30593607305935872</v>
      </c>
      <c r="Q510">
        <f t="shared" si="980"/>
        <v>3648423.0479451814</v>
      </c>
      <c r="R510">
        <f t="shared" si="981"/>
        <v>668246589.5650959</v>
      </c>
      <c r="S510">
        <f t="shared" si="982"/>
        <v>6682.4658956509593</v>
      </c>
      <c r="T510">
        <f t="shared" si="983"/>
        <v>6.6824658956509593</v>
      </c>
    </row>
    <row r="511" spans="1:20" x14ac:dyDescent="0.25">
      <c r="A511" s="5">
        <v>44082</v>
      </c>
      <c r="B511">
        <v>3.678E-2</v>
      </c>
      <c r="C511">
        <v>3.848E-2</v>
      </c>
      <c r="D511">
        <v>3.5299999999999998E-2</v>
      </c>
      <c r="E511">
        <v>3.6290000000000003E-2</v>
      </c>
      <c r="F511">
        <v>26659784.5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-0.37735849056603521</v>
      </c>
      <c r="Q511">
        <f t="shared" si="980"/>
        <v>-10060296.037735783</v>
      </c>
      <c r="R511">
        <f t="shared" si="981"/>
        <v>664598166.51715076</v>
      </c>
      <c r="S511">
        <f t="shared" si="982"/>
        <v>6645.9816651715073</v>
      </c>
      <c r="T511">
        <f t="shared" si="983"/>
        <v>6.6459816651715071</v>
      </c>
    </row>
    <row r="512" spans="1:20" x14ac:dyDescent="0.25">
      <c r="A512" s="5">
        <v>44081</v>
      </c>
      <c r="B512">
        <v>3.6450000000000003E-2</v>
      </c>
      <c r="C512">
        <v>3.7019999999999997E-2</v>
      </c>
      <c r="D512">
        <v>3.3410000000000002E-2</v>
      </c>
      <c r="E512">
        <v>3.6700000000000003E-2</v>
      </c>
      <c r="F512">
        <v>23844028.399999999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0.82271468144044635</v>
      </c>
      <c r="Q512">
        <f t="shared" si="980"/>
        <v>19616832.229362953</v>
      </c>
      <c r="R512">
        <f t="shared" si="981"/>
        <v>674658462.55488658</v>
      </c>
      <c r="S512">
        <f t="shared" si="982"/>
        <v>6746.5846255488659</v>
      </c>
      <c r="T512">
        <f t="shared" si="983"/>
        <v>6.7465846255488655</v>
      </c>
    </row>
    <row r="513" spans="1:20" x14ac:dyDescent="0.25">
      <c r="A513" s="5">
        <v>44080</v>
      </c>
      <c r="B513">
        <v>3.6089999999999997E-2</v>
      </c>
      <c r="C513">
        <v>3.7479999999999999E-2</v>
      </c>
      <c r="D513">
        <v>3.4750000000000003E-2</v>
      </c>
      <c r="E513">
        <v>3.6470000000000002E-2</v>
      </c>
      <c r="F513">
        <v>21592425.199999999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0.26007326007326126</v>
      </c>
      <c r="Q513">
        <f t="shared" si="980"/>
        <v>5615612.4146520402</v>
      </c>
      <c r="R513">
        <f t="shared" si="981"/>
        <v>655041630.32552361</v>
      </c>
      <c r="S513">
        <f t="shared" si="982"/>
        <v>6550.416303255236</v>
      </c>
      <c r="T513">
        <f t="shared" si="983"/>
        <v>6.5504163032552363</v>
      </c>
    </row>
    <row r="514" spans="1:20" x14ac:dyDescent="0.25">
      <c r="A514" s="5">
        <v>44079</v>
      </c>
      <c r="B514">
        <v>3.8890000000000001E-2</v>
      </c>
      <c r="C514">
        <v>3.9570000000000001E-2</v>
      </c>
      <c r="D514">
        <v>3.4610000000000002E-2</v>
      </c>
      <c r="E514">
        <v>3.6150000000000002E-2</v>
      </c>
      <c r="F514">
        <v>35503677.5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-0.37903225806451613</v>
      </c>
      <c r="Q514">
        <f t="shared" si="980"/>
        <v>-13457039.052419355</v>
      </c>
      <c r="R514">
        <f t="shared" si="981"/>
        <v>649426017.91087162</v>
      </c>
      <c r="S514">
        <f t="shared" si="982"/>
        <v>6494.2601791087163</v>
      </c>
      <c r="T514">
        <f t="shared" si="983"/>
        <v>6.494260179108716</v>
      </c>
    </row>
    <row r="515" spans="1:20" x14ac:dyDescent="0.25">
      <c r="A515" s="5">
        <v>44078</v>
      </c>
      <c r="B515">
        <v>3.8699999999999998E-2</v>
      </c>
      <c r="C515">
        <v>4.0099999999999997E-2</v>
      </c>
      <c r="D515">
        <v>3.7229999999999999E-2</v>
      </c>
      <c r="E515">
        <v>3.8780000000000002E-2</v>
      </c>
      <c r="F515">
        <v>39442579.100000001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8.0139372822302504E-2</v>
      </c>
      <c r="Q515">
        <f t="shared" si="980"/>
        <v>3160903.5515680569</v>
      </c>
      <c r="R515">
        <f t="shared" si="981"/>
        <v>662883056.96329093</v>
      </c>
      <c r="S515">
        <f t="shared" si="982"/>
        <v>6628.8305696329089</v>
      </c>
      <c r="T515">
        <f t="shared" si="983"/>
        <v>6.6288305696329086</v>
      </c>
    </row>
    <row r="516" spans="1:20" x14ac:dyDescent="0.25">
      <c r="A516" s="5">
        <v>44077</v>
      </c>
      <c r="B516">
        <v>4.2610000000000002E-2</v>
      </c>
      <c r="C516">
        <v>4.2869999999999998E-2</v>
      </c>
      <c r="D516">
        <v>3.8519999999999999E-2</v>
      </c>
      <c r="E516">
        <v>3.8679999999999999E-2</v>
      </c>
      <c r="F516">
        <v>44800195.5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-0.92643678160919518</v>
      </c>
      <c r="Q516">
        <f t="shared" si="980"/>
        <v>-41504548.934482746</v>
      </c>
      <c r="R516">
        <f t="shared" si="981"/>
        <v>659722153.4117229</v>
      </c>
      <c r="S516">
        <f t="shared" si="982"/>
        <v>6597.2215341172287</v>
      </c>
      <c r="T516">
        <f t="shared" si="983"/>
        <v>6.5972215341172289</v>
      </c>
    </row>
    <row r="517" spans="1:20" x14ac:dyDescent="0.25">
      <c r="A517" s="5">
        <v>44076</v>
      </c>
      <c r="B517">
        <v>4.5330000000000002E-2</v>
      </c>
      <c r="C517">
        <v>4.5420000000000002E-2</v>
      </c>
      <c r="D517">
        <v>4.1939999999999998E-2</v>
      </c>
      <c r="E517">
        <v>4.2590000000000003E-2</v>
      </c>
      <c r="F517">
        <v>30387140.800000001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-0.62643678160919314</v>
      </c>
      <c r="Q517">
        <f t="shared" si="980"/>
        <v>-19035622.685057402</v>
      </c>
      <c r="R517">
        <f t="shared" si="981"/>
        <v>701226702.34620559</v>
      </c>
      <c r="S517">
        <f t="shared" si="982"/>
        <v>7012.2670234620555</v>
      </c>
      <c r="T517">
        <f t="shared" si="983"/>
        <v>7.0122670234620559</v>
      </c>
    </row>
    <row r="518" spans="1:20" x14ac:dyDescent="0.25">
      <c r="A518" s="5">
        <v>44075</v>
      </c>
      <c r="B518">
        <v>4.5670000000000002E-2</v>
      </c>
      <c r="C518">
        <v>4.6179999999999999E-2</v>
      </c>
      <c r="D518">
        <v>4.3740000000000001E-2</v>
      </c>
      <c r="E518">
        <v>4.5409999999999999E-2</v>
      </c>
      <c r="F518">
        <v>32451838.399999999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0.36885245901639296</v>
      </c>
      <c r="Q518">
        <f t="shared" ref="Q518:Q581" si="985">F518*P518</f>
        <v>11969940.393442607</v>
      </c>
      <c r="R518">
        <f t="shared" ref="R518:R581" si="986">R519+Q518</f>
        <v>720262325.03126299</v>
      </c>
      <c r="S518">
        <f t="shared" ref="S518:S581" si="987">R518/100000</f>
        <v>7202.6232503126303</v>
      </c>
      <c r="T518">
        <f t="shared" ref="T518:T581" si="988">S518/1000</f>
        <v>7.2026232503126302</v>
      </c>
    </row>
    <row r="519" spans="1:20" x14ac:dyDescent="0.25">
      <c r="A519" s="5">
        <v>44074</v>
      </c>
      <c r="B519">
        <v>4.7E-2</v>
      </c>
      <c r="C519">
        <v>4.7390000000000002E-2</v>
      </c>
      <c r="D519">
        <v>4.5109999999999997E-2</v>
      </c>
      <c r="E519">
        <v>4.5600000000000002E-2</v>
      </c>
      <c r="F519">
        <v>25372184.899999999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-0.57017543859648823</v>
      </c>
      <c r="Q519">
        <f t="shared" si="985"/>
        <v>-14466596.653508695</v>
      </c>
      <c r="R519">
        <f t="shared" si="986"/>
        <v>708292384.63782036</v>
      </c>
      <c r="S519">
        <f t="shared" si="987"/>
        <v>7082.923846378204</v>
      </c>
      <c r="T519">
        <f t="shared" si="988"/>
        <v>7.082923846378204</v>
      </c>
    </row>
    <row r="520" spans="1:20" x14ac:dyDescent="0.25">
      <c r="A520" s="5">
        <v>44073</v>
      </c>
      <c r="B520">
        <v>4.5350000000000001E-2</v>
      </c>
      <c r="C520">
        <v>4.7469999999999998E-2</v>
      </c>
      <c r="D520">
        <v>4.4979999999999999E-2</v>
      </c>
      <c r="E520">
        <v>4.6969999999999998E-2</v>
      </c>
      <c r="F520">
        <v>23024612.5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0.59839357429718831</v>
      </c>
      <c r="Q520">
        <f t="shared" si="985"/>
        <v>13777780.170682721</v>
      </c>
      <c r="R520">
        <f t="shared" si="986"/>
        <v>722758981.29132903</v>
      </c>
      <c r="S520">
        <f t="shared" si="987"/>
        <v>7227.5898129132902</v>
      </c>
      <c r="T520">
        <f t="shared" si="988"/>
        <v>7.2275898129132905</v>
      </c>
    </row>
    <row r="521" spans="1:20" x14ac:dyDescent="0.25">
      <c r="A521" s="5">
        <v>44072</v>
      </c>
      <c r="B521">
        <v>4.4999999999999998E-2</v>
      </c>
      <c r="C521">
        <v>4.6100000000000002E-2</v>
      </c>
      <c r="D521">
        <v>4.4499999999999998E-2</v>
      </c>
      <c r="E521">
        <v>4.5370000000000001E-2</v>
      </c>
      <c r="F521">
        <v>22186215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8.7500000000000536E-2</v>
      </c>
      <c r="Q521">
        <f t="shared" si="985"/>
        <v>1941293.8125000119</v>
      </c>
      <c r="R521">
        <f t="shared" si="986"/>
        <v>708981201.12064636</v>
      </c>
      <c r="S521">
        <f t="shared" si="987"/>
        <v>7089.8120112064635</v>
      </c>
      <c r="T521">
        <f t="shared" si="988"/>
        <v>7.0898120112064635</v>
      </c>
    </row>
    <row r="522" spans="1:20" x14ac:dyDescent="0.25">
      <c r="A522" s="5">
        <v>44071</v>
      </c>
      <c r="B522">
        <v>4.4019999999999997E-2</v>
      </c>
      <c r="C522">
        <v>4.5060000000000003E-2</v>
      </c>
      <c r="D522">
        <v>4.36E-2</v>
      </c>
      <c r="E522">
        <v>4.4819999999999999E-2</v>
      </c>
      <c r="F522">
        <v>20824872.100000001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0.67123287671232379</v>
      </c>
      <c r="Q522">
        <f t="shared" si="985"/>
        <v>13978338.806849213</v>
      </c>
      <c r="R522">
        <f t="shared" si="986"/>
        <v>707039907.30814636</v>
      </c>
      <c r="S522">
        <f t="shared" si="987"/>
        <v>7070.3990730814639</v>
      </c>
      <c r="T522">
        <f t="shared" si="988"/>
        <v>7.0703990730814636</v>
      </c>
    </row>
    <row r="523" spans="1:20" x14ac:dyDescent="0.25">
      <c r="A523" s="5">
        <v>44070</v>
      </c>
      <c r="B523">
        <v>4.657E-2</v>
      </c>
      <c r="C523">
        <v>4.6789999999999998E-2</v>
      </c>
      <c r="D523">
        <v>4.299E-2</v>
      </c>
      <c r="E523">
        <v>4.3990000000000001E-2</v>
      </c>
      <c r="F523">
        <v>35837380.700000003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-0.47368421052631504</v>
      </c>
      <c r="Q523">
        <f t="shared" si="985"/>
        <v>-16975601.384210501</v>
      </c>
      <c r="R523">
        <f t="shared" si="986"/>
        <v>693061568.50129712</v>
      </c>
      <c r="S523">
        <f t="shared" si="987"/>
        <v>6930.615685012971</v>
      </c>
      <c r="T523">
        <f t="shared" si="988"/>
        <v>6.9306156850129712</v>
      </c>
    </row>
    <row r="524" spans="1:20" x14ac:dyDescent="0.25">
      <c r="A524" s="5">
        <v>44069</v>
      </c>
      <c r="B524">
        <v>4.6199999999999998E-2</v>
      </c>
      <c r="C524">
        <v>4.7E-2</v>
      </c>
      <c r="D524">
        <v>4.5199999999999997E-2</v>
      </c>
      <c r="E524">
        <v>4.657E-2</v>
      </c>
      <c r="F524">
        <v>42108403.700000003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0.52222222222222325</v>
      </c>
      <c r="Q524">
        <f t="shared" si="985"/>
        <v>21989944.15444449</v>
      </c>
      <c r="R524">
        <f t="shared" si="986"/>
        <v>710037169.88550758</v>
      </c>
      <c r="S524">
        <f t="shared" si="987"/>
        <v>7100.3716988550759</v>
      </c>
      <c r="T524">
        <f t="shared" si="988"/>
        <v>7.100371698855076</v>
      </c>
    </row>
    <row r="525" spans="1:20" x14ac:dyDescent="0.25">
      <c r="A525" s="5">
        <v>44068</v>
      </c>
      <c r="B525">
        <v>4.9680000000000002E-2</v>
      </c>
      <c r="C525">
        <v>4.9959999999999997E-2</v>
      </c>
      <c r="D525">
        <v>4.5499999999999999E-2</v>
      </c>
      <c r="E525">
        <v>4.623E-2</v>
      </c>
      <c r="F525">
        <v>35308455.200000003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-0.67264573991031318</v>
      </c>
      <c r="Q525">
        <f t="shared" si="985"/>
        <v>-23750081.973094147</v>
      </c>
      <c r="R525">
        <f t="shared" si="986"/>
        <v>688047225.73106313</v>
      </c>
      <c r="S525">
        <f t="shared" si="987"/>
        <v>6880.472257310631</v>
      </c>
      <c r="T525">
        <f t="shared" si="988"/>
        <v>6.8804722573106307</v>
      </c>
    </row>
    <row r="526" spans="1:20" x14ac:dyDescent="0.25">
      <c r="A526" s="5">
        <v>44067</v>
      </c>
      <c r="B526">
        <v>4.8739999999999999E-2</v>
      </c>
      <c r="C526">
        <v>4.99E-2</v>
      </c>
      <c r="D526">
        <v>4.7690000000000003E-2</v>
      </c>
      <c r="E526">
        <v>4.9489999999999999E-2</v>
      </c>
      <c r="F526">
        <v>40690165.399999999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0.62895927601809842</v>
      </c>
      <c r="Q526">
        <f t="shared" si="985"/>
        <v>25592456.971040677</v>
      </c>
      <c r="R526">
        <f t="shared" si="986"/>
        <v>711797307.70415723</v>
      </c>
      <c r="S526">
        <f t="shared" si="987"/>
        <v>7117.9730770415727</v>
      </c>
      <c r="T526">
        <f t="shared" si="988"/>
        <v>7.1179730770415723</v>
      </c>
    </row>
    <row r="527" spans="1:20" x14ac:dyDescent="0.25">
      <c r="A527" s="5">
        <v>44066</v>
      </c>
      <c r="B527">
        <v>5.0020000000000002E-2</v>
      </c>
      <c r="C527">
        <v>5.0020000000000002E-2</v>
      </c>
      <c r="D527">
        <v>4.7699999999999999E-2</v>
      </c>
      <c r="E527">
        <v>4.8779999999999997E-2</v>
      </c>
      <c r="F527">
        <v>27395307.300000001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-6.8965517241382404E-2</v>
      </c>
      <c r="Q527">
        <f t="shared" si="985"/>
        <v>-1889331.5379311193</v>
      </c>
      <c r="R527">
        <f t="shared" si="986"/>
        <v>686204850.73311651</v>
      </c>
      <c r="S527">
        <f t="shared" si="987"/>
        <v>6862.0485073311647</v>
      </c>
      <c r="T527">
        <f t="shared" si="988"/>
        <v>6.8620485073311643</v>
      </c>
    </row>
    <row r="528" spans="1:20" x14ac:dyDescent="0.25">
      <c r="A528" s="5">
        <v>44065</v>
      </c>
      <c r="B528">
        <v>4.8689999999999997E-2</v>
      </c>
      <c r="C528">
        <v>5.0410000000000003E-2</v>
      </c>
      <c r="D528">
        <v>4.6580000000000003E-2</v>
      </c>
      <c r="E528">
        <v>5.0020000000000002E-2</v>
      </c>
      <c r="F528">
        <v>39625115.600000001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0.79634464751958145</v>
      </c>
      <c r="Q528">
        <f t="shared" si="985"/>
        <v>31555248.715404671</v>
      </c>
      <c r="R528">
        <f t="shared" si="986"/>
        <v>688094182.27104759</v>
      </c>
      <c r="S528">
        <f t="shared" si="987"/>
        <v>6880.9418227104761</v>
      </c>
      <c r="T528">
        <f t="shared" si="988"/>
        <v>6.8809418227104757</v>
      </c>
    </row>
    <row r="529" spans="1:20" x14ac:dyDescent="0.25">
      <c r="A529" s="5">
        <v>44064</v>
      </c>
      <c r="B529">
        <v>5.21E-2</v>
      </c>
      <c r="C529">
        <v>5.2389999999999999E-2</v>
      </c>
      <c r="D529">
        <v>4.8570000000000002E-2</v>
      </c>
      <c r="E529">
        <v>4.8860000000000001E-2</v>
      </c>
      <c r="F529">
        <v>59656847.399999999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-0.84816753926701638</v>
      </c>
      <c r="Q529">
        <f t="shared" si="985"/>
        <v>-50599001.459685899</v>
      </c>
      <c r="R529">
        <f t="shared" si="986"/>
        <v>656538933.55564296</v>
      </c>
      <c r="S529">
        <f t="shared" si="987"/>
        <v>6565.3893355564296</v>
      </c>
      <c r="T529">
        <f t="shared" si="988"/>
        <v>6.5653893355564295</v>
      </c>
    </row>
    <row r="530" spans="1:20" x14ac:dyDescent="0.25">
      <c r="A530" s="5">
        <v>44063</v>
      </c>
      <c r="B530">
        <v>4.999E-2</v>
      </c>
      <c r="C530">
        <v>5.2350000000000001E-2</v>
      </c>
      <c r="D530">
        <v>4.888E-2</v>
      </c>
      <c r="E530">
        <v>5.2220000000000003E-2</v>
      </c>
      <c r="F530">
        <v>42336668.100000001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0.9250720461095111</v>
      </c>
      <c r="Q530">
        <f t="shared" si="985"/>
        <v>39164468.184726268</v>
      </c>
      <c r="R530">
        <f t="shared" si="986"/>
        <v>707137935.01532888</v>
      </c>
      <c r="S530">
        <f t="shared" si="987"/>
        <v>7071.3793501532891</v>
      </c>
      <c r="T530">
        <f t="shared" si="988"/>
        <v>7.0713793501532889</v>
      </c>
    </row>
    <row r="531" spans="1:20" x14ac:dyDescent="0.25">
      <c r="A531" s="5">
        <v>44062</v>
      </c>
      <c r="B531">
        <v>5.2909999999999999E-2</v>
      </c>
      <c r="C531">
        <v>5.3600000000000002E-2</v>
      </c>
      <c r="D531">
        <v>4.8550000000000003E-2</v>
      </c>
      <c r="E531">
        <v>5.006E-2</v>
      </c>
      <c r="F531">
        <v>55276748.200000003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-0.40198019801980284</v>
      </c>
      <c r="Q531">
        <f t="shared" si="985"/>
        <v>-22220158.187326781</v>
      </c>
      <c r="R531">
        <f t="shared" si="986"/>
        <v>667973466.83060265</v>
      </c>
      <c r="S531">
        <f t="shared" si="987"/>
        <v>6679.7346683060268</v>
      </c>
      <c r="T531">
        <f t="shared" si="988"/>
        <v>6.6797346683060272</v>
      </c>
    </row>
    <row r="532" spans="1:20" x14ac:dyDescent="0.25">
      <c r="A532" s="5">
        <v>44061</v>
      </c>
      <c r="B532">
        <v>5.6779999999999997E-2</v>
      </c>
      <c r="C532">
        <v>5.953E-2</v>
      </c>
      <c r="D532">
        <v>5.0999999999999997E-2</v>
      </c>
      <c r="E532">
        <v>5.3019999999999998E-2</v>
      </c>
      <c r="F532">
        <v>113579078.3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-0.52637749120750288</v>
      </c>
      <c r="Q532">
        <f t="shared" si="985"/>
        <v>-59785470.289214529</v>
      </c>
      <c r="R532">
        <f t="shared" si="986"/>
        <v>690193625.01792943</v>
      </c>
      <c r="S532">
        <f t="shared" si="987"/>
        <v>6901.9362501792948</v>
      </c>
      <c r="T532">
        <f t="shared" si="988"/>
        <v>6.9019362501792951</v>
      </c>
    </row>
    <row r="533" spans="1:20" x14ac:dyDescent="0.25">
      <c r="A533" s="5">
        <v>44060</v>
      </c>
      <c r="B533">
        <v>5.3690000000000002E-2</v>
      </c>
      <c r="C533">
        <v>6.1760000000000002E-2</v>
      </c>
      <c r="D533">
        <v>5.0360000000000002E-2</v>
      </c>
      <c r="E533">
        <v>5.6779999999999997E-2</v>
      </c>
      <c r="F533">
        <v>140129119.40000001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0.12631578947368333</v>
      </c>
      <c r="Q533">
        <f t="shared" si="985"/>
        <v>17700520.345263034</v>
      </c>
      <c r="R533">
        <f t="shared" si="986"/>
        <v>749979095.30714393</v>
      </c>
      <c r="S533">
        <f t="shared" si="987"/>
        <v>7499.7909530714396</v>
      </c>
      <c r="T533">
        <f t="shared" si="988"/>
        <v>7.4997909530714395</v>
      </c>
    </row>
    <row r="534" spans="1:20" x14ac:dyDescent="0.25">
      <c r="A534" s="5">
        <v>44059</v>
      </c>
      <c r="B534">
        <v>5.2679999999999998E-2</v>
      </c>
      <c r="C534">
        <v>5.4089999999999999E-2</v>
      </c>
      <c r="D534">
        <v>5.117E-2</v>
      </c>
      <c r="E534">
        <v>5.3800000000000001E-2</v>
      </c>
      <c r="F534">
        <v>51972664.899999999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0.8013698630136995</v>
      </c>
      <c r="Q534">
        <f t="shared" si="985"/>
        <v>41649327.35136991</v>
      </c>
      <c r="R534">
        <f t="shared" si="986"/>
        <v>732278574.96188092</v>
      </c>
      <c r="S534">
        <f t="shared" si="987"/>
        <v>7322.7857496188089</v>
      </c>
      <c r="T534">
        <f t="shared" si="988"/>
        <v>7.3227857496188093</v>
      </c>
    </row>
    <row r="535" spans="1:20" x14ac:dyDescent="0.25">
      <c r="A535" s="5">
        <v>44058</v>
      </c>
      <c r="B535">
        <v>5.3990000000000003E-2</v>
      </c>
      <c r="C535">
        <v>5.4890000000000001E-2</v>
      </c>
      <c r="D535">
        <v>5.1490000000000001E-2</v>
      </c>
      <c r="E535">
        <v>5.2679999999999998E-2</v>
      </c>
      <c r="F535">
        <v>64339653.5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-0.30000000000000204</v>
      </c>
      <c r="Q535">
        <f t="shared" si="985"/>
        <v>-19301896.050000131</v>
      </c>
      <c r="R535">
        <f t="shared" si="986"/>
        <v>690629247.61051106</v>
      </c>
      <c r="S535">
        <f t="shared" si="987"/>
        <v>6906.2924761051108</v>
      </c>
      <c r="T535">
        <f t="shared" si="988"/>
        <v>6.9062924761051105</v>
      </c>
    </row>
    <row r="536" spans="1:20" x14ac:dyDescent="0.25">
      <c r="A536" s="5">
        <v>44057</v>
      </c>
      <c r="B536">
        <v>5.0959999999999998E-2</v>
      </c>
      <c r="C536">
        <v>5.5800000000000002E-2</v>
      </c>
      <c r="D536">
        <v>4.9489999999999999E-2</v>
      </c>
      <c r="E536">
        <v>5.3809999999999997E-2</v>
      </c>
      <c r="F536">
        <v>82448090.400000006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0.36925515055467362</v>
      </c>
      <c r="Q536">
        <f t="shared" si="985"/>
        <v>30444382.033597343</v>
      </c>
      <c r="R536">
        <f t="shared" si="986"/>
        <v>709931143.66051114</v>
      </c>
      <c r="S536">
        <f t="shared" si="987"/>
        <v>7099.3114366051113</v>
      </c>
      <c r="T536">
        <f t="shared" si="988"/>
        <v>7.0993114366051113</v>
      </c>
    </row>
    <row r="537" spans="1:20" x14ac:dyDescent="0.25">
      <c r="A537" s="5">
        <v>44056</v>
      </c>
      <c r="B537">
        <v>5.1900000000000002E-2</v>
      </c>
      <c r="C537">
        <v>5.2569999999999999E-2</v>
      </c>
      <c r="D537">
        <v>4.7509999999999997E-2</v>
      </c>
      <c r="E537">
        <v>5.0869999999999999E-2</v>
      </c>
      <c r="F537">
        <v>78936261.599999994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0.32806324110671958</v>
      </c>
      <c r="Q537">
        <f t="shared" si="985"/>
        <v>25896085.821343888</v>
      </c>
      <c r="R537">
        <f t="shared" si="986"/>
        <v>679486761.62691379</v>
      </c>
      <c r="S537">
        <f t="shared" si="987"/>
        <v>6794.8676162691381</v>
      </c>
      <c r="T537">
        <f t="shared" si="988"/>
        <v>6.7948676162691379</v>
      </c>
    </row>
    <row r="538" spans="1:20" x14ac:dyDescent="0.25">
      <c r="A538" s="5">
        <v>44055</v>
      </c>
      <c r="B538">
        <v>5.1400000000000001E-2</v>
      </c>
      <c r="C538">
        <v>5.2380000000000003E-2</v>
      </c>
      <c r="D538">
        <v>4.7300000000000002E-2</v>
      </c>
      <c r="E538">
        <v>5.1950000000000003E-2</v>
      </c>
      <c r="F538">
        <v>84359754.5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0.83070866141732291</v>
      </c>
      <c r="Q538">
        <f t="shared" si="985"/>
        <v>70078378.738188982</v>
      </c>
      <c r="R538">
        <f t="shared" si="986"/>
        <v>653590675.80556989</v>
      </c>
      <c r="S538">
        <f t="shared" si="987"/>
        <v>6535.9067580556984</v>
      </c>
      <c r="T538">
        <f t="shared" si="988"/>
        <v>6.5359067580556989</v>
      </c>
    </row>
    <row r="539" spans="1:20" x14ac:dyDescent="0.25">
      <c r="A539" s="5">
        <v>44054</v>
      </c>
      <c r="B539">
        <v>5.2859999999999997E-2</v>
      </c>
      <c r="C539">
        <v>5.9499999999999997E-2</v>
      </c>
      <c r="D539">
        <v>4.7100000000000003E-2</v>
      </c>
      <c r="E539">
        <v>5.1499999999999997E-2</v>
      </c>
      <c r="F539">
        <v>231586805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-0.29032258064516192</v>
      </c>
      <c r="Q539">
        <f t="shared" si="985"/>
        <v>-67234878.870967895</v>
      </c>
      <c r="R539">
        <f t="shared" si="986"/>
        <v>583512297.06738091</v>
      </c>
      <c r="S539">
        <f t="shared" si="987"/>
        <v>5835.1229706738095</v>
      </c>
      <c r="T539">
        <f t="shared" si="988"/>
        <v>5.8351229706738099</v>
      </c>
    </row>
    <row r="540" spans="1:20" x14ac:dyDescent="0.25">
      <c r="A540" s="5">
        <v>44053</v>
      </c>
      <c r="B540">
        <v>4.4999999999999998E-2</v>
      </c>
      <c r="C540">
        <v>5.3900000000000003E-2</v>
      </c>
      <c r="D540">
        <v>4.4970000000000003E-2</v>
      </c>
      <c r="E540">
        <v>5.2859999999999997E-2</v>
      </c>
      <c r="F540">
        <v>186248764.69999999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0.76707726763717665</v>
      </c>
      <c r="Q540">
        <f t="shared" si="985"/>
        <v>142867193.52687544</v>
      </c>
      <c r="R540">
        <f t="shared" si="986"/>
        <v>650747175.93834877</v>
      </c>
      <c r="S540">
        <f t="shared" si="987"/>
        <v>6507.4717593834876</v>
      </c>
      <c r="T540">
        <f t="shared" si="988"/>
        <v>6.5074717593834874</v>
      </c>
    </row>
    <row r="541" spans="1:20" x14ac:dyDescent="0.25">
      <c r="A541" s="5">
        <v>44052</v>
      </c>
      <c r="B541">
        <v>4.5069999999999999E-2</v>
      </c>
      <c r="C541">
        <v>4.6010000000000002E-2</v>
      </c>
      <c r="D541">
        <v>4.3720000000000002E-2</v>
      </c>
      <c r="E541">
        <v>4.5130000000000003E-2</v>
      </c>
      <c r="F541">
        <v>48849104.399999999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0.23144104803493565</v>
      </c>
      <c r="Q541">
        <f t="shared" si="985"/>
        <v>11305687.917903986</v>
      </c>
      <c r="R541">
        <f t="shared" si="986"/>
        <v>507879982.41147333</v>
      </c>
      <c r="S541">
        <f t="shared" si="987"/>
        <v>5078.7998241147334</v>
      </c>
      <c r="T541">
        <f t="shared" si="988"/>
        <v>5.078799824114733</v>
      </c>
    </row>
    <row r="542" spans="1:20" x14ac:dyDescent="0.25">
      <c r="A542" s="5">
        <v>44051</v>
      </c>
      <c r="B542">
        <v>4.369E-2</v>
      </c>
      <c r="C542">
        <v>4.5150000000000003E-2</v>
      </c>
      <c r="D542">
        <v>4.292E-2</v>
      </c>
      <c r="E542">
        <v>4.5100000000000001E-2</v>
      </c>
      <c r="F542">
        <v>34085742.799999997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0.9551569506726445</v>
      </c>
      <c r="Q542">
        <f t="shared" si="985"/>
        <v>32557234.154260043</v>
      </c>
      <c r="R542">
        <f t="shared" si="986"/>
        <v>496574294.49356937</v>
      </c>
      <c r="S542">
        <f t="shared" si="987"/>
        <v>4965.7429449356941</v>
      </c>
      <c r="T542">
        <f t="shared" si="988"/>
        <v>4.9657429449356938</v>
      </c>
    </row>
    <row r="543" spans="1:20" x14ac:dyDescent="0.25">
      <c r="A543" s="5">
        <v>44050</v>
      </c>
      <c r="B543">
        <v>4.4330000000000001E-2</v>
      </c>
      <c r="C543">
        <v>4.6100000000000002E-2</v>
      </c>
      <c r="D543">
        <v>4.215E-2</v>
      </c>
      <c r="E543">
        <v>4.3790000000000003E-2</v>
      </c>
      <c r="F543">
        <v>51773618.899999999</v>
      </c>
      <c r="G543">
        <v>0</v>
      </c>
      <c r="L543" t="s">
        <v>8</v>
      </c>
      <c r="M543" t="s">
        <v>7</v>
      </c>
      <c r="N543" t="s">
        <v>8</v>
      </c>
      <c r="P543">
        <f t="shared" si="984"/>
        <v>-0.16962025316455612</v>
      </c>
      <c r="Q543">
        <f t="shared" si="985"/>
        <v>-8781854.3450632468</v>
      </c>
      <c r="R543">
        <f t="shared" si="986"/>
        <v>464017060.33930933</v>
      </c>
      <c r="S543">
        <f t="shared" si="987"/>
        <v>4640.1706033930932</v>
      </c>
      <c r="T543">
        <f t="shared" si="988"/>
        <v>4.6401706033930932</v>
      </c>
    </row>
    <row r="544" spans="1:20" x14ac:dyDescent="0.25">
      <c r="A544" s="5">
        <v>44049</v>
      </c>
      <c r="B544">
        <v>4.3459999999999999E-2</v>
      </c>
      <c r="C544">
        <v>4.4999999999999998E-2</v>
      </c>
      <c r="D544">
        <v>4.2520000000000002E-2</v>
      </c>
      <c r="E544">
        <v>4.4339999999999997E-2</v>
      </c>
      <c r="F544">
        <v>46287488.700000003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0.46774193548386944</v>
      </c>
      <c r="Q544">
        <f t="shared" si="985"/>
        <v>21650599.553225737</v>
      </c>
      <c r="R544">
        <f t="shared" si="986"/>
        <v>472798914.6843726</v>
      </c>
      <c r="S544">
        <f t="shared" si="987"/>
        <v>4727.9891468437263</v>
      </c>
      <c r="T544">
        <f t="shared" si="988"/>
        <v>4.7279891468437265</v>
      </c>
    </row>
    <row r="545" spans="1:20" x14ac:dyDescent="0.25">
      <c r="A545" s="5">
        <v>44048</v>
      </c>
      <c r="B545">
        <v>4.317E-2</v>
      </c>
      <c r="C545">
        <v>4.3659999999999997E-2</v>
      </c>
      <c r="D545">
        <v>4.2349999999999999E-2</v>
      </c>
      <c r="E545">
        <v>4.3459999999999999E-2</v>
      </c>
      <c r="F545">
        <v>32127829.100000001</v>
      </c>
      <c r="G545">
        <v>0</v>
      </c>
      <c r="L545" t="s">
        <v>7</v>
      </c>
      <c r="M545" t="s">
        <v>7</v>
      </c>
      <c r="N545" t="s">
        <v>8</v>
      </c>
      <c r="P545">
        <f t="shared" si="984"/>
        <v>0.69465648854961981</v>
      </c>
      <c r="Q545">
        <f t="shared" si="985"/>
        <v>22317804.947328292</v>
      </c>
      <c r="R545">
        <f t="shared" si="986"/>
        <v>451148315.13114685</v>
      </c>
      <c r="S545">
        <f t="shared" si="987"/>
        <v>4511.4831513114686</v>
      </c>
      <c r="T545">
        <f t="shared" si="988"/>
        <v>4.5114831513114684</v>
      </c>
    </row>
    <row r="546" spans="1:20" x14ac:dyDescent="0.25">
      <c r="A546" s="5">
        <v>44047</v>
      </c>
      <c r="B546">
        <v>4.41E-2</v>
      </c>
      <c r="C546">
        <v>4.4409999999999998E-2</v>
      </c>
      <c r="D546">
        <v>4.1329999999999999E-2</v>
      </c>
      <c r="E546">
        <v>4.317E-2</v>
      </c>
      <c r="F546">
        <v>41081669.700000003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0.19480519480519592</v>
      </c>
      <c r="Q546">
        <f t="shared" si="985"/>
        <v>8002922.6688312152</v>
      </c>
      <c r="R546">
        <f t="shared" si="986"/>
        <v>428830510.18381858</v>
      </c>
      <c r="S546">
        <f t="shared" si="987"/>
        <v>4288.3051018381857</v>
      </c>
      <c r="T546">
        <f t="shared" si="988"/>
        <v>4.2883051018381853</v>
      </c>
    </row>
    <row r="547" spans="1:20" x14ac:dyDescent="0.25">
      <c r="A547" s="5">
        <v>44046</v>
      </c>
      <c r="B547">
        <v>4.3650000000000001E-2</v>
      </c>
      <c r="C547">
        <v>4.4819999999999999E-2</v>
      </c>
      <c r="D547">
        <v>4.3409999999999997E-2</v>
      </c>
      <c r="E547">
        <v>4.4080000000000001E-2</v>
      </c>
      <c r="F547">
        <v>25825105.300000001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-4.964539007091745E-2</v>
      </c>
      <c r="Q547">
        <f t="shared" si="985"/>
        <v>-1282097.4262410176</v>
      </c>
      <c r="R547">
        <f t="shared" si="986"/>
        <v>420827587.51498735</v>
      </c>
      <c r="S547">
        <f t="shared" si="987"/>
        <v>4208.2758751498732</v>
      </c>
      <c r="T547">
        <f t="shared" si="988"/>
        <v>4.208275875149873</v>
      </c>
    </row>
    <row r="548" spans="1:20" x14ac:dyDescent="0.25">
      <c r="A548" s="5">
        <v>44045</v>
      </c>
      <c r="B548">
        <v>4.5760000000000002E-2</v>
      </c>
      <c r="C548">
        <v>4.9200000000000001E-2</v>
      </c>
      <c r="D548">
        <v>4.1939999999999998E-2</v>
      </c>
      <c r="E548">
        <v>4.3659999999999997E-2</v>
      </c>
      <c r="F548">
        <v>65550911.799999997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-0.52617079889807195</v>
      </c>
      <c r="Q548">
        <f t="shared" si="985"/>
        <v>-34490975.630303048</v>
      </c>
      <c r="R548">
        <f t="shared" si="986"/>
        <v>422109684.94122839</v>
      </c>
      <c r="S548">
        <f t="shared" si="987"/>
        <v>4221.0968494122835</v>
      </c>
      <c r="T548">
        <f t="shared" si="988"/>
        <v>4.2210968494122838</v>
      </c>
    </row>
    <row r="549" spans="1:20" x14ac:dyDescent="0.25">
      <c r="A549" s="5">
        <v>44044</v>
      </c>
      <c r="B549">
        <v>4.4679999999999997E-2</v>
      </c>
      <c r="C549">
        <v>4.7579999999999997E-2</v>
      </c>
      <c r="D549">
        <v>4.3499999999999997E-2</v>
      </c>
      <c r="E549">
        <v>4.5870000000000001E-2</v>
      </c>
      <c r="F549">
        <v>49699447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0.16176470588235484</v>
      </c>
      <c r="Q549">
        <f t="shared" si="985"/>
        <v>8039616.426470682</v>
      </c>
      <c r="R549">
        <f t="shared" si="986"/>
        <v>456600660.57153141</v>
      </c>
      <c r="S549">
        <f t="shared" si="987"/>
        <v>4566.0066057153144</v>
      </c>
      <c r="T549">
        <f t="shared" si="988"/>
        <v>4.5660066057153141</v>
      </c>
    </row>
    <row r="550" spans="1:20" x14ac:dyDescent="0.25">
      <c r="A550" s="5">
        <v>44043</v>
      </c>
      <c r="B550">
        <v>4.2689999999999999E-2</v>
      </c>
      <c r="C550">
        <v>4.4999999999999998E-2</v>
      </c>
      <c r="D550">
        <v>4.2200000000000001E-2</v>
      </c>
      <c r="E550">
        <v>4.4549999999999999E-2</v>
      </c>
      <c r="F550">
        <v>54765808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0.67857142857142894</v>
      </c>
      <c r="Q550">
        <f t="shared" si="985"/>
        <v>37162512.57142859</v>
      </c>
      <c r="R550">
        <f t="shared" si="986"/>
        <v>448561044.14506072</v>
      </c>
      <c r="S550">
        <f t="shared" si="987"/>
        <v>4485.6104414506071</v>
      </c>
      <c r="T550">
        <f t="shared" si="988"/>
        <v>4.4856104414506071</v>
      </c>
    </row>
    <row r="551" spans="1:20" x14ac:dyDescent="0.25">
      <c r="A551" s="5">
        <v>44042</v>
      </c>
      <c r="B551">
        <v>4.3679999999999997E-2</v>
      </c>
      <c r="C551">
        <v>4.564E-2</v>
      </c>
      <c r="D551">
        <v>4.2419999999999999E-2</v>
      </c>
      <c r="E551">
        <v>4.258E-2</v>
      </c>
      <c r="F551">
        <v>53467755.600000001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-0.90062111801242217</v>
      </c>
      <c r="Q551">
        <f t="shared" si="985"/>
        <v>-48154189.826086946</v>
      </c>
      <c r="R551">
        <f t="shared" si="986"/>
        <v>411398531.57363212</v>
      </c>
      <c r="S551">
        <f t="shared" si="987"/>
        <v>4113.9853157363214</v>
      </c>
      <c r="T551">
        <f t="shared" si="988"/>
        <v>4.1139853157363211</v>
      </c>
    </row>
    <row r="552" spans="1:20" x14ac:dyDescent="0.25">
      <c r="A552" s="5">
        <v>44041</v>
      </c>
      <c r="B552">
        <v>4.2950000000000002E-2</v>
      </c>
      <c r="C552">
        <v>4.521E-2</v>
      </c>
      <c r="D552">
        <v>4.2099999999999999E-2</v>
      </c>
      <c r="E552">
        <v>4.3810000000000002E-2</v>
      </c>
      <c r="F552">
        <v>51539022.899999999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9.9678456591641332E-2</v>
      </c>
      <c r="Q552">
        <f t="shared" si="985"/>
        <v>5137330.2569132587</v>
      </c>
      <c r="R552">
        <f t="shared" si="986"/>
        <v>459552721.39971906</v>
      </c>
      <c r="S552">
        <f t="shared" si="987"/>
        <v>4595.5272139971903</v>
      </c>
      <c r="T552">
        <f t="shared" si="988"/>
        <v>4.5955272139971903</v>
      </c>
    </row>
    <row r="553" spans="1:20" x14ac:dyDescent="0.25">
      <c r="A553" s="5">
        <v>44040</v>
      </c>
      <c r="B553">
        <v>3.9870000000000003E-2</v>
      </c>
      <c r="C553">
        <v>4.3499999999999997E-2</v>
      </c>
      <c r="D553">
        <v>3.9510000000000003E-2</v>
      </c>
      <c r="E553">
        <v>4.2950000000000002E-2</v>
      </c>
      <c r="F553">
        <v>57016999.200000003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0.72431077694235801</v>
      </c>
      <c r="Q553">
        <f t="shared" si="985"/>
        <v>41298026.989473805</v>
      </c>
      <c r="R553">
        <f t="shared" si="986"/>
        <v>454415391.14280581</v>
      </c>
      <c r="S553">
        <f t="shared" si="987"/>
        <v>4544.1539114280586</v>
      </c>
      <c r="T553">
        <f t="shared" si="988"/>
        <v>4.5441539114280589</v>
      </c>
    </row>
    <row r="554" spans="1:20" x14ac:dyDescent="0.25">
      <c r="A554" s="5">
        <v>44039</v>
      </c>
      <c r="B554">
        <v>4.1070000000000002E-2</v>
      </c>
      <c r="C554">
        <v>4.2049999999999997E-2</v>
      </c>
      <c r="D554">
        <v>3.8719999999999997E-2</v>
      </c>
      <c r="E554">
        <v>3.9809999999999998E-2</v>
      </c>
      <c r="F554">
        <v>48275147.100000001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-0.34534534534534483</v>
      </c>
      <c r="Q554">
        <f t="shared" si="985"/>
        <v>-16671597.346846823</v>
      </c>
      <c r="R554">
        <f t="shared" si="986"/>
        <v>413117364.153332</v>
      </c>
      <c r="S554">
        <f t="shared" si="987"/>
        <v>4131.1736415333198</v>
      </c>
      <c r="T554">
        <f t="shared" si="988"/>
        <v>4.1311736415333202</v>
      </c>
    </row>
    <row r="555" spans="1:20" x14ac:dyDescent="0.25">
      <c r="A555" s="5">
        <v>44038</v>
      </c>
      <c r="B555">
        <v>4.2889999999999998E-2</v>
      </c>
      <c r="C555">
        <v>4.3139999999999998E-2</v>
      </c>
      <c r="D555">
        <v>4.0300000000000002E-2</v>
      </c>
      <c r="E555">
        <v>4.1160000000000002E-2</v>
      </c>
      <c r="F555">
        <v>40627152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-0.39436619718309784</v>
      </c>
      <c r="Q555">
        <f t="shared" si="985"/>
        <v>-16021975.436619688</v>
      </c>
      <c r="R555">
        <f t="shared" si="986"/>
        <v>429788961.50017881</v>
      </c>
      <c r="S555">
        <f t="shared" si="987"/>
        <v>4297.8896150017881</v>
      </c>
      <c r="T555">
        <f t="shared" si="988"/>
        <v>4.2978896150017878</v>
      </c>
    </row>
    <row r="556" spans="1:20" x14ac:dyDescent="0.25">
      <c r="A556" s="5">
        <v>44037</v>
      </c>
      <c r="B556">
        <v>4.2860000000000002E-2</v>
      </c>
      <c r="C556">
        <v>4.3430000000000003E-2</v>
      </c>
      <c r="D556">
        <v>4.24E-2</v>
      </c>
      <c r="E556">
        <v>4.299E-2</v>
      </c>
      <c r="F556">
        <v>32921953.800000001</v>
      </c>
      <c r="G556">
        <v>0</v>
      </c>
      <c r="L556" t="s">
        <v>8</v>
      </c>
      <c r="M556" t="s">
        <v>7</v>
      </c>
      <c r="N556" t="s">
        <v>8</v>
      </c>
      <c r="P556">
        <f t="shared" si="984"/>
        <v>0.14563106796116204</v>
      </c>
      <c r="Q556">
        <f t="shared" si="985"/>
        <v>4794459.2912620371</v>
      </c>
      <c r="R556">
        <f t="shared" si="986"/>
        <v>445810936.93679851</v>
      </c>
      <c r="S556">
        <f t="shared" si="987"/>
        <v>4458.109369367985</v>
      </c>
      <c r="T556">
        <f t="shared" si="988"/>
        <v>4.4581093693679854</v>
      </c>
    </row>
    <row r="557" spans="1:20" x14ac:dyDescent="0.25">
      <c r="A557" s="5">
        <v>44036</v>
      </c>
      <c r="B557">
        <v>4.249E-2</v>
      </c>
      <c r="C557">
        <v>4.2880000000000001E-2</v>
      </c>
      <c r="D557">
        <v>4.1599999999999998E-2</v>
      </c>
      <c r="E557">
        <v>4.2860000000000002E-2</v>
      </c>
      <c r="F557">
        <v>35750791.799999997</v>
      </c>
      <c r="G557">
        <v>0</v>
      </c>
      <c r="L557" t="s">
        <v>8</v>
      </c>
      <c r="M557" t="s">
        <v>7</v>
      </c>
      <c r="N557" t="s">
        <v>8</v>
      </c>
      <c r="P557">
        <f t="shared" si="984"/>
        <v>0.96875000000000133</v>
      </c>
      <c r="Q557">
        <f t="shared" si="985"/>
        <v>34633579.556250043</v>
      </c>
      <c r="R557">
        <f t="shared" si="986"/>
        <v>441016477.64553648</v>
      </c>
      <c r="S557">
        <f t="shared" si="987"/>
        <v>4410.1647764553645</v>
      </c>
      <c r="T557">
        <f t="shared" si="988"/>
        <v>4.4101647764553649</v>
      </c>
    </row>
    <row r="558" spans="1:20" x14ac:dyDescent="0.25">
      <c r="A558" s="5">
        <v>44035</v>
      </c>
      <c r="B558">
        <v>4.2250000000000003E-2</v>
      </c>
      <c r="C558">
        <v>4.3720000000000002E-2</v>
      </c>
      <c r="D558">
        <v>4.1799999999999997E-2</v>
      </c>
      <c r="E558">
        <v>4.249E-2</v>
      </c>
      <c r="F558">
        <v>55912075.5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-0.28124999999999867</v>
      </c>
      <c r="Q558">
        <f t="shared" si="985"/>
        <v>-15725271.234374925</v>
      </c>
      <c r="R558">
        <f t="shared" si="986"/>
        <v>406382898.08928645</v>
      </c>
      <c r="S558">
        <f t="shared" si="987"/>
        <v>4063.8289808928644</v>
      </c>
      <c r="T558">
        <f t="shared" si="988"/>
        <v>4.0638289808928647</v>
      </c>
    </row>
    <row r="559" spans="1:20" x14ac:dyDescent="0.25">
      <c r="A559" s="5">
        <v>44034</v>
      </c>
      <c r="B559">
        <v>4.1509999999999998E-2</v>
      </c>
      <c r="C559">
        <v>4.3700000000000003E-2</v>
      </c>
      <c r="D559">
        <v>4.0800000000000003E-2</v>
      </c>
      <c r="E559">
        <v>4.2259999999999999E-2</v>
      </c>
      <c r="F559">
        <v>51098437.799999997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6.8965517241352577E-3</v>
      </c>
      <c r="Q559">
        <f t="shared" si="985"/>
        <v>352403.01931020821</v>
      </c>
      <c r="R559">
        <f t="shared" si="986"/>
        <v>422108169.32366139</v>
      </c>
      <c r="S559">
        <f t="shared" si="987"/>
        <v>4221.0816932366142</v>
      </c>
      <c r="T559">
        <f t="shared" si="988"/>
        <v>4.2210816932366146</v>
      </c>
    </row>
    <row r="560" spans="1:20" x14ac:dyDescent="0.25">
      <c r="A560" s="5">
        <v>44033</v>
      </c>
      <c r="B560">
        <v>4.0770000000000001E-2</v>
      </c>
      <c r="C560">
        <v>4.1799999999999997E-2</v>
      </c>
      <c r="D560">
        <v>4.0500000000000001E-2</v>
      </c>
      <c r="E560">
        <v>4.165E-2</v>
      </c>
      <c r="F560">
        <v>32752468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0.76923076923077249</v>
      </c>
      <c r="Q560">
        <f t="shared" si="985"/>
        <v>25194206.15384626</v>
      </c>
      <c r="R560">
        <f t="shared" si="986"/>
        <v>421755766.30435115</v>
      </c>
      <c r="S560">
        <f t="shared" si="987"/>
        <v>4217.5576630435116</v>
      </c>
      <c r="T560">
        <f t="shared" si="988"/>
        <v>4.2175576630435119</v>
      </c>
    </row>
    <row r="561" spans="1:104" x14ac:dyDescent="0.25">
      <c r="A561" s="5">
        <v>44032</v>
      </c>
      <c r="B561">
        <v>4.0140000000000002E-2</v>
      </c>
      <c r="C561">
        <v>4.2020000000000002E-2</v>
      </c>
      <c r="D561">
        <v>3.9980000000000002E-2</v>
      </c>
      <c r="E561">
        <v>4.0660000000000002E-2</v>
      </c>
      <c r="F561">
        <v>36180639.299999997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-0.33333333333333331</v>
      </c>
      <c r="Q561">
        <f t="shared" si="985"/>
        <v>-12060213.099999998</v>
      </c>
      <c r="R561">
        <f t="shared" si="986"/>
        <v>396561560.15050489</v>
      </c>
      <c r="S561">
        <f t="shared" si="987"/>
        <v>3965.6156015050487</v>
      </c>
      <c r="T561">
        <f t="shared" si="988"/>
        <v>3.9656156015050485</v>
      </c>
      <c r="CZ561" t="s">
        <v>7</v>
      </c>
    </row>
    <row r="562" spans="1:104" x14ac:dyDescent="0.25">
      <c r="A562" s="5">
        <v>44031</v>
      </c>
      <c r="B562">
        <v>4.0050000000000002E-2</v>
      </c>
      <c r="C562">
        <v>4.0500000000000001E-2</v>
      </c>
      <c r="D562">
        <v>3.934E-2</v>
      </c>
      <c r="E562">
        <v>4.018E-2</v>
      </c>
      <c r="F562">
        <v>14767909.6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0.44827586206896469</v>
      </c>
      <c r="Q562">
        <f t="shared" si="985"/>
        <v>6620097.406896539</v>
      </c>
      <c r="R562">
        <f t="shared" si="986"/>
        <v>408621773.25050491</v>
      </c>
      <c r="S562">
        <f t="shared" si="987"/>
        <v>4086.2177325050493</v>
      </c>
      <c r="T562">
        <f t="shared" si="988"/>
        <v>4.086217732505049</v>
      </c>
      <c r="CZ562" t="s">
        <v>7</v>
      </c>
    </row>
    <row r="563" spans="1:104" x14ac:dyDescent="0.25">
      <c r="A563" s="5">
        <v>44030</v>
      </c>
      <c r="B563">
        <v>3.9440000000000003E-2</v>
      </c>
      <c r="C563">
        <v>4.018E-2</v>
      </c>
      <c r="D563">
        <v>3.9039999999999998E-2</v>
      </c>
      <c r="E563">
        <v>4.0050000000000002E-2</v>
      </c>
      <c r="F563">
        <v>11119673.699999999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0.77192982456140713</v>
      </c>
      <c r="Q563">
        <f t="shared" si="985"/>
        <v>8583607.768421093</v>
      </c>
      <c r="R563">
        <f t="shared" si="986"/>
        <v>402001675.84360838</v>
      </c>
      <c r="S563">
        <f t="shared" si="987"/>
        <v>4020.0167584360838</v>
      </c>
      <c r="T563">
        <f t="shared" si="988"/>
        <v>4.0200167584360837</v>
      </c>
      <c r="CZ563" t="s">
        <v>7</v>
      </c>
    </row>
    <row r="564" spans="1:104" x14ac:dyDescent="0.25">
      <c r="A564" s="5">
        <v>44029</v>
      </c>
      <c r="B564">
        <v>3.8969999999999998E-2</v>
      </c>
      <c r="C564">
        <v>3.9820000000000001E-2</v>
      </c>
      <c r="D564">
        <v>3.85E-2</v>
      </c>
      <c r="E564">
        <v>3.9329999999999997E-2</v>
      </c>
      <c r="F564">
        <v>11770271.199999999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0.25757575757575202</v>
      </c>
      <c r="Q564">
        <f t="shared" si="985"/>
        <v>3031736.5212120558</v>
      </c>
      <c r="R564">
        <f t="shared" si="986"/>
        <v>393418068.07518727</v>
      </c>
      <c r="S564">
        <f t="shared" si="987"/>
        <v>3934.1806807518728</v>
      </c>
      <c r="T564">
        <f t="shared" si="988"/>
        <v>3.9341806807518727</v>
      </c>
    </row>
    <row r="565" spans="1:104" x14ac:dyDescent="0.25">
      <c r="A565" s="5">
        <v>44028</v>
      </c>
      <c r="B565">
        <v>4.0489999999999998E-2</v>
      </c>
      <c r="C565">
        <v>4.0640000000000003E-2</v>
      </c>
      <c r="D565">
        <v>3.7569999999999999E-2</v>
      </c>
      <c r="E565">
        <v>3.8960000000000002E-2</v>
      </c>
      <c r="F565">
        <v>30345395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-9.4462540716611823E-2</v>
      </c>
      <c r="Q565">
        <f t="shared" si="985"/>
        <v>-2866503.1107491688</v>
      </c>
      <c r="R565">
        <f t="shared" si="986"/>
        <v>390386331.55397522</v>
      </c>
      <c r="S565">
        <f t="shared" si="987"/>
        <v>3903.8633155397524</v>
      </c>
      <c r="T565">
        <f t="shared" si="988"/>
        <v>3.9038633155397524</v>
      </c>
    </row>
    <row r="566" spans="1:104" x14ac:dyDescent="0.25">
      <c r="A566" s="5">
        <v>44027</v>
      </c>
      <c r="B566">
        <v>4.086E-2</v>
      </c>
      <c r="C566">
        <v>4.1300000000000003E-2</v>
      </c>
      <c r="D566">
        <v>4.0039999999999999E-2</v>
      </c>
      <c r="E566">
        <v>4.0620000000000003E-2</v>
      </c>
      <c r="F566">
        <v>23464932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-7.9365079365075863E-2</v>
      </c>
      <c r="Q566">
        <f t="shared" si="985"/>
        <v>-1862296.1904761083</v>
      </c>
      <c r="R566">
        <f t="shared" si="986"/>
        <v>393252834.66472441</v>
      </c>
      <c r="S566">
        <f t="shared" si="987"/>
        <v>3932.5283466472442</v>
      </c>
      <c r="T566">
        <f t="shared" si="988"/>
        <v>3.9325283466472443</v>
      </c>
    </row>
    <row r="567" spans="1:104" x14ac:dyDescent="0.25">
      <c r="A567" s="5">
        <v>44026</v>
      </c>
      <c r="B567">
        <v>4.1149999999999999E-2</v>
      </c>
      <c r="C567">
        <v>4.1300000000000003E-2</v>
      </c>
      <c r="D567">
        <v>4.0149999999999998E-2</v>
      </c>
      <c r="E567">
        <v>4.086E-2</v>
      </c>
      <c r="F567">
        <v>20121717.100000001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0.2347826086956506</v>
      </c>
      <c r="Q567">
        <f t="shared" si="985"/>
        <v>4724229.2321738815</v>
      </c>
      <c r="R567">
        <f t="shared" si="986"/>
        <v>395115130.85520053</v>
      </c>
      <c r="S567">
        <f t="shared" si="987"/>
        <v>3951.1513085520055</v>
      </c>
      <c r="T567">
        <f t="shared" si="988"/>
        <v>3.9511513085520056</v>
      </c>
    </row>
    <row r="568" spans="1:104" x14ac:dyDescent="0.25">
      <c r="A568" s="5">
        <v>44025</v>
      </c>
      <c r="B568">
        <v>4.2779999999999999E-2</v>
      </c>
      <c r="C568">
        <v>4.4699999999999997E-2</v>
      </c>
      <c r="D568">
        <v>4.052E-2</v>
      </c>
      <c r="E568">
        <v>4.1309999999999999E-2</v>
      </c>
      <c r="F568">
        <v>63314113.100000001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-0.62200956937799057</v>
      </c>
      <c r="Q568">
        <f t="shared" si="985"/>
        <v>-39381984.22488039</v>
      </c>
      <c r="R568">
        <f t="shared" si="986"/>
        <v>390390901.62302667</v>
      </c>
      <c r="S568">
        <f t="shared" si="987"/>
        <v>3903.9090162302668</v>
      </c>
      <c r="T568">
        <f t="shared" si="988"/>
        <v>3.903909016230267</v>
      </c>
    </row>
    <row r="569" spans="1:104" x14ac:dyDescent="0.25">
      <c r="A569" s="5">
        <v>44024</v>
      </c>
      <c r="B569">
        <v>4.1549999999999997E-2</v>
      </c>
      <c r="C569">
        <v>4.3270000000000003E-2</v>
      </c>
      <c r="D569">
        <v>4.0379999999999999E-2</v>
      </c>
      <c r="E569">
        <v>4.2860000000000002E-2</v>
      </c>
      <c r="F569">
        <v>37270845.299999997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0.71626297577854658</v>
      </c>
      <c r="Q569">
        <f t="shared" si="985"/>
        <v>26695726.564359855</v>
      </c>
      <c r="R569">
        <f t="shared" si="986"/>
        <v>429772885.84790707</v>
      </c>
      <c r="S569">
        <f t="shared" si="987"/>
        <v>4297.7288584790704</v>
      </c>
      <c r="T569">
        <f t="shared" si="988"/>
        <v>4.2977288584790703</v>
      </c>
    </row>
    <row r="570" spans="1:104" x14ac:dyDescent="0.25">
      <c r="A570" s="5">
        <v>44023</v>
      </c>
      <c r="B570">
        <v>4.1309999999999999E-2</v>
      </c>
      <c r="C570">
        <v>4.1700000000000001E-2</v>
      </c>
      <c r="D570">
        <v>4.0629999999999999E-2</v>
      </c>
      <c r="E570">
        <v>4.1549999999999997E-2</v>
      </c>
      <c r="F570">
        <v>18610540.399999999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0.71962616822429137</v>
      </c>
      <c r="Q570">
        <f t="shared" si="985"/>
        <v>13392631.876635369</v>
      </c>
      <c r="R570">
        <f t="shared" si="986"/>
        <v>403077159.28354722</v>
      </c>
      <c r="S570">
        <f t="shared" si="987"/>
        <v>4030.7715928354723</v>
      </c>
      <c r="T570">
        <f t="shared" si="988"/>
        <v>4.0307715928354719</v>
      </c>
    </row>
    <row r="571" spans="1:104" x14ac:dyDescent="0.25">
      <c r="A571" s="5">
        <v>44022</v>
      </c>
      <c r="B571">
        <v>4.0719999999999999E-2</v>
      </c>
      <c r="C571">
        <v>4.2000000000000003E-2</v>
      </c>
      <c r="D571">
        <v>4.0099999999999997E-2</v>
      </c>
      <c r="E571">
        <v>4.1309999999999999E-2</v>
      </c>
      <c r="F571">
        <v>21280201.5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0.27368421052631475</v>
      </c>
      <c r="Q571">
        <f t="shared" si="985"/>
        <v>5824055.1473683994</v>
      </c>
      <c r="R571">
        <f t="shared" si="986"/>
        <v>389684527.40691185</v>
      </c>
      <c r="S571">
        <f t="shared" si="987"/>
        <v>3896.8452740691187</v>
      </c>
      <c r="T571">
        <f t="shared" si="988"/>
        <v>3.8968452740691188</v>
      </c>
    </row>
    <row r="572" spans="1:104" x14ac:dyDescent="0.25">
      <c r="A572" s="5">
        <v>44021</v>
      </c>
      <c r="B572">
        <v>4.1950000000000001E-2</v>
      </c>
      <c r="C572">
        <v>4.24E-2</v>
      </c>
      <c r="D572">
        <v>3.8969999999999998E-2</v>
      </c>
      <c r="E572">
        <v>4.0840000000000001E-2</v>
      </c>
      <c r="F572">
        <v>38163770.600000001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9.0379008746357001E-2</v>
      </c>
      <c r="Q572">
        <f t="shared" si="985"/>
        <v>3449203.7568513625</v>
      </c>
      <c r="R572">
        <f t="shared" si="986"/>
        <v>383860472.25954348</v>
      </c>
      <c r="S572">
        <f t="shared" si="987"/>
        <v>3838.6047225954349</v>
      </c>
      <c r="T572">
        <f t="shared" si="988"/>
        <v>3.8386047225954347</v>
      </c>
    </row>
    <row r="573" spans="1:104" x14ac:dyDescent="0.25">
      <c r="A573" s="5">
        <v>44020</v>
      </c>
      <c r="B573">
        <v>4.0750000000000001E-2</v>
      </c>
      <c r="C573">
        <v>4.2000000000000003E-2</v>
      </c>
      <c r="D573">
        <v>3.9989999999999998E-2</v>
      </c>
      <c r="E573">
        <v>4.2000000000000003E-2</v>
      </c>
      <c r="F573">
        <v>33398858.600000001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1</v>
      </c>
      <c r="Q573">
        <f t="shared" si="985"/>
        <v>33398858.600000001</v>
      </c>
      <c r="R573">
        <f t="shared" si="986"/>
        <v>380411268.5026921</v>
      </c>
      <c r="S573">
        <f t="shared" si="987"/>
        <v>3804.1126850269211</v>
      </c>
      <c r="T573">
        <f t="shared" si="988"/>
        <v>3.8041126850269209</v>
      </c>
    </row>
    <row r="574" spans="1:104" x14ac:dyDescent="0.25">
      <c r="A574" s="5">
        <v>44019</v>
      </c>
      <c r="B574">
        <v>4.054E-2</v>
      </c>
      <c r="C574">
        <v>4.1450000000000001E-2</v>
      </c>
      <c r="D574">
        <v>3.9570000000000001E-2</v>
      </c>
      <c r="E574">
        <v>4.0739999999999998E-2</v>
      </c>
      <c r="F574">
        <v>33381895.5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0.24468085106382723</v>
      </c>
      <c r="Q574">
        <f t="shared" si="985"/>
        <v>8167910.6010637442</v>
      </c>
      <c r="R574">
        <f t="shared" si="986"/>
        <v>347012409.90269208</v>
      </c>
      <c r="S574">
        <f t="shared" si="987"/>
        <v>3470.1240990269207</v>
      </c>
      <c r="T574">
        <f t="shared" si="988"/>
        <v>3.4701240990269206</v>
      </c>
    </row>
    <row r="575" spans="1:104" x14ac:dyDescent="0.25">
      <c r="A575" s="5">
        <v>44018</v>
      </c>
      <c r="B575">
        <v>3.9620000000000002E-2</v>
      </c>
      <c r="C575">
        <v>4.1000000000000002E-2</v>
      </c>
      <c r="D575">
        <v>3.9269999999999999E-2</v>
      </c>
      <c r="E575">
        <v>4.0550000000000003E-2</v>
      </c>
      <c r="F575">
        <v>35604234.299999997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0.4797687861271695</v>
      </c>
      <c r="Q575">
        <f t="shared" si="985"/>
        <v>17081800.271098331</v>
      </c>
      <c r="R575">
        <f t="shared" si="986"/>
        <v>338844499.30162835</v>
      </c>
      <c r="S575">
        <f t="shared" si="987"/>
        <v>3388.4449930162837</v>
      </c>
      <c r="T575">
        <f t="shared" si="988"/>
        <v>3.3884449930162837</v>
      </c>
    </row>
    <row r="576" spans="1:104" x14ac:dyDescent="0.25">
      <c r="A576" s="5">
        <v>44017</v>
      </c>
      <c r="B576">
        <v>4.1259999999999998E-2</v>
      </c>
      <c r="C576">
        <v>4.165E-2</v>
      </c>
      <c r="D576">
        <v>3.8609999999999998E-2</v>
      </c>
      <c r="E576">
        <v>3.9620000000000002E-2</v>
      </c>
      <c r="F576">
        <v>29198479.399999999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-0.33552631578947129</v>
      </c>
      <c r="Q576">
        <f t="shared" si="985"/>
        <v>-9796858.2197367717</v>
      </c>
      <c r="R576">
        <f t="shared" si="986"/>
        <v>321762699.03053004</v>
      </c>
      <c r="S576">
        <f t="shared" si="987"/>
        <v>3217.6269903053003</v>
      </c>
      <c r="T576">
        <f t="shared" si="988"/>
        <v>3.2176269903053001</v>
      </c>
    </row>
    <row r="577" spans="1:20" x14ac:dyDescent="0.25">
      <c r="A577" s="5">
        <v>44016</v>
      </c>
      <c r="B577">
        <v>3.9660000000000001E-2</v>
      </c>
      <c r="C577">
        <v>4.1300000000000003E-2</v>
      </c>
      <c r="D577">
        <v>3.9320000000000001E-2</v>
      </c>
      <c r="E577">
        <v>4.1169999999999998E-2</v>
      </c>
      <c r="F577">
        <v>29597435.800000001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0.86868686868686373</v>
      </c>
      <c r="Q577">
        <f t="shared" si="985"/>
        <v>25710903.826262482</v>
      </c>
      <c r="R577">
        <f t="shared" si="986"/>
        <v>331559557.25026679</v>
      </c>
      <c r="S577">
        <f t="shared" si="987"/>
        <v>3315.5955725026679</v>
      </c>
      <c r="T577">
        <f t="shared" si="988"/>
        <v>3.315595572502668</v>
      </c>
    </row>
    <row r="578" spans="1:20" x14ac:dyDescent="0.25">
      <c r="A578" s="5">
        <v>44015</v>
      </c>
      <c r="B578">
        <v>3.8080000000000003E-2</v>
      </c>
      <c r="C578">
        <v>4.1000000000000002E-2</v>
      </c>
      <c r="D578">
        <v>3.7760000000000002E-2</v>
      </c>
      <c r="E578">
        <v>3.9789999999999999E-2</v>
      </c>
      <c r="F578">
        <v>31076083.399999999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0.25308641975308471</v>
      </c>
      <c r="Q578">
        <f t="shared" si="985"/>
        <v>7864934.687654268</v>
      </c>
      <c r="R578">
        <f t="shared" si="986"/>
        <v>305848653.42400432</v>
      </c>
      <c r="S578">
        <f t="shared" si="987"/>
        <v>3058.4865342400431</v>
      </c>
      <c r="T578">
        <f t="shared" si="988"/>
        <v>3.0584865342400431</v>
      </c>
    </row>
    <row r="579" spans="1:20" x14ac:dyDescent="0.25">
      <c r="A579" s="5">
        <v>44014</v>
      </c>
      <c r="B579">
        <v>3.8920000000000003E-2</v>
      </c>
      <c r="C579">
        <v>3.9050000000000001E-2</v>
      </c>
      <c r="D579">
        <v>3.712E-2</v>
      </c>
      <c r="E579">
        <v>3.8120000000000001E-2</v>
      </c>
      <c r="F579">
        <v>24558169.199999999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3.6269430051813767E-2</v>
      </c>
      <c r="Q579">
        <f t="shared" si="985"/>
        <v>890710.80000000726</v>
      </c>
      <c r="R579">
        <f t="shared" si="986"/>
        <v>297983718.73635006</v>
      </c>
      <c r="S579">
        <f t="shared" si="987"/>
        <v>2979.8371873635006</v>
      </c>
      <c r="T579">
        <f t="shared" si="988"/>
        <v>2.9798371873635006</v>
      </c>
    </row>
    <row r="580" spans="1:20" x14ac:dyDescent="0.25">
      <c r="A580" s="5">
        <v>44013</v>
      </c>
      <c r="B580">
        <v>3.848E-2</v>
      </c>
      <c r="C580">
        <v>3.9370000000000002E-2</v>
      </c>
      <c r="D580">
        <v>3.8039999999999997E-2</v>
      </c>
      <c r="E580">
        <v>3.8800000000000001E-2</v>
      </c>
      <c r="F580">
        <v>17709312.600000001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0.14285714285714435</v>
      </c>
      <c r="Q580">
        <f t="shared" si="985"/>
        <v>2529901.8000000268</v>
      </c>
      <c r="R580">
        <f t="shared" si="986"/>
        <v>297093007.93635005</v>
      </c>
      <c r="S580">
        <f t="shared" si="987"/>
        <v>2970.9300793635007</v>
      </c>
      <c r="T580">
        <f t="shared" si="988"/>
        <v>2.9709300793635007</v>
      </c>
    </row>
    <row r="581" spans="1:20" x14ac:dyDescent="0.25">
      <c r="A581" s="5">
        <v>44012</v>
      </c>
      <c r="B581">
        <v>3.8589999999999999E-2</v>
      </c>
      <c r="C581">
        <v>3.9039999999999998E-2</v>
      </c>
      <c r="D581">
        <v>3.7629999999999997E-2</v>
      </c>
      <c r="E581">
        <v>3.8449999999999998E-2</v>
      </c>
      <c r="F581">
        <v>18692022.899999999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0.16312056737588709</v>
      </c>
      <c r="Q581">
        <f t="shared" si="985"/>
        <v>3049053.3808510741</v>
      </c>
      <c r="R581">
        <f t="shared" si="986"/>
        <v>294563106.13635004</v>
      </c>
      <c r="S581">
        <f t="shared" si="987"/>
        <v>2945.6310613635005</v>
      </c>
      <c r="T581">
        <f t="shared" si="988"/>
        <v>2.9456310613635006</v>
      </c>
    </row>
    <row r="582" spans="1:20" x14ac:dyDescent="0.25">
      <c r="A582" s="5">
        <v>44011</v>
      </c>
      <c r="B582">
        <v>3.8280000000000002E-2</v>
      </c>
      <c r="C582">
        <v>3.8800000000000001E-2</v>
      </c>
      <c r="D582">
        <v>3.712E-2</v>
      </c>
      <c r="E582">
        <v>3.8550000000000001E-2</v>
      </c>
      <c r="F582">
        <v>16717065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0.70238095238095233</v>
      </c>
      <c r="Q582">
        <f t="shared" ref="Q582:Q645" si="990">F582*P582</f>
        <v>11741748.035714285</v>
      </c>
      <c r="R582">
        <f t="shared" ref="R582:R645" si="991">R583+Q582</f>
        <v>291514052.75549895</v>
      </c>
      <c r="S582">
        <f t="shared" ref="S582:S645" si="992">R582/100000</f>
        <v>2915.1405275549896</v>
      </c>
      <c r="T582">
        <f t="shared" ref="T582:T645" si="993">S582/1000</f>
        <v>2.9151405275549895</v>
      </c>
    </row>
    <row r="583" spans="1:20" x14ac:dyDescent="0.25">
      <c r="A583" s="5">
        <v>44010</v>
      </c>
      <c r="B583">
        <v>3.7260000000000001E-2</v>
      </c>
      <c r="C583">
        <v>3.9960000000000002E-2</v>
      </c>
      <c r="D583">
        <v>3.6049999999999999E-2</v>
      </c>
      <c r="E583">
        <v>3.8170000000000003E-2</v>
      </c>
      <c r="F583">
        <v>35682627.700000003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8.4398976982098098E-2</v>
      </c>
      <c r="Q583">
        <f t="shared" si="990"/>
        <v>3011577.2739130761</v>
      </c>
      <c r="R583">
        <f t="shared" si="991"/>
        <v>279772304.71978468</v>
      </c>
      <c r="S583">
        <f t="shared" si="992"/>
        <v>2797.7230471978469</v>
      </c>
      <c r="T583">
        <f t="shared" si="993"/>
        <v>2.7977230471978469</v>
      </c>
    </row>
    <row r="584" spans="1:20" x14ac:dyDescent="0.25">
      <c r="A584" s="5">
        <v>44009</v>
      </c>
      <c r="B584">
        <v>3.943E-2</v>
      </c>
      <c r="C584">
        <v>3.9469999999999998E-2</v>
      </c>
      <c r="D584">
        <v>3.6549999999999999E-2</v>
      </c>
      <c r="E584">
        <v>3.7069999999999999E-2</v>
      </c>
      <c r="F584">
        <v>24425051.399999999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-0.6438356164383563</v>
      </c>
      <c r="Q584">
        <f t="shared" si="990"/>
        <v>-15725718.024657536</v>
      </c>
      <c r="R584">
        <f t="shared" si="991"/>
        <v>276760727.44587159</v>
      </c>
      <c r="S584">
        <f t="shared" si="992"/>
        <v>2767.6072744587159</v>
      </c>
      <c r="T584">
        <f t="shared" si="993"/>
        <v>2.7676072744587157</v>
      </c>
    </row>
    <row r="585" spans="1:20" x14ac:dyDescent="0.25">
      <c r="A585" s="5">
        <v>44008</v>
      </c>
      <c r="B585">
        <v>4.0629999999999999E-2</v>
      </c>
      <c r="C585">
        <v>4.0750000000000001E-2</v>
      </c>
      <c r="D585">
        <v>3.8739999999999997E-2</v>
      </c>
      <c r="E585">
        <v>3.943E-2</v>
      </c>
      <c r="F585">
        <v>32339214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-0.3134328358208941</v>
      </c>
      <c r="Q585">
        <f t="shared" si="990"/>
        <v>-10136171.552238761</v>
      </c>
      <c r="R585">
        <f t="shared" si="991"/>
        <v>292486445.47052914</v>
      </c>
      <c r="S585">
        <f t="shared" si="992"/>
        <v>2924.8644547052913</v>
      </c>
      <c r="T585">
        <f t="shared" si="993"/>
        <v>2.9248644547052915</v>
      </c>
    </row>
    <row r="586" spans="1:20" x14ac:dyDescent="0.25">
      <c r="A586" s="5">
        <v>44007</v>
      </c>
      <c r="B586">
        <v>4.1660000000000003E-2</v>
      </c>
      <c r="C586">
        <v>4.1660000000000003E-2</v>
      </c>
      <c r="D586">
        <v>3.9579999999999997E-2</v>
      </c>
      <c r="E586">
        <v>4.0750000000000001E-2</v>
      </c>
      <c r="F586">
        <v>18675545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0.12500000000000125</v>
      </c>
      <c r="Q586">
        <f t="shared" si="990"/>
        <v>2334443.1250000233</v>
      </c>
      <c r="R586">
        <f t="shared" si="991"/>
        <v>302622617.0227679</v>
      </c>
      <c r="S586">
        <f t="shared" si="992"/>
        <v>3026.2261702276792</v>
      </c>
      <c r="T586">
        <f t="shared" si="993"/>
        <v>3.0262261702276794</v>
      </c>
    </row>
    <row r="587" spans="1:20" x14ac:dyDescent="0.25">
      <c r="A587" s="5">
        <v>44006</v>
      </c>
      <c r="B587">
        <v>4.233E-2</v>
      </c>
      <c r="C587">
        <v>4.283E-2</v>
      </c>
      <c r="D587">
        <v>4.0599999999999997E-2</v>
      </c>
      <c r="E587">
        <v>4.1660000000000003E-2</v>
      </c>
      <c r="F587">
        <v>21799722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-4.9327354260086061E-2</v>
      </c>
      <c r="Q587">
        <f t="shared" si="990"/>
        <v>-1075322.6098653919</v>
      </c>
      <c r="R587">
        <f t="shared" si="991"/>
        <v>300288173.8977679</v>
      </c>
      <c r="S587">
        <f t="shared" si="992"/>
        <v>3002.8817389776791</v>
      </c>
      <c r="T587">
        <f t="shared" si="993"/>
        <v>3.002881738977679</v>
      </c>
    </row>
    <row r="588" spans="1:20" x14ac:dyDescent="0.25">
      <c r="A588" s="5">
        <v>44005</v>
      </c>
      <c r="B588">
        <v>4.3990000000000001E-2</v>
      </c>
      <c r="C588">
        <v>4.4069999999999998E-2</v>
      </c>
      <c r="D588">
        <v>4.0989999999999999E-2</v>
      </c>
      <c r="E588">
        <v>4.2389999999999997E-2</v>
      </c>
      <c r="F588">
        <v>45771666.799999997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-9.090909090909173E-2</v>
      </c>
      <c r="Q588">
        <f t="shared" si="990"/>
        <v>-4161060.6181818554</v>
      </c>
      <c r="R588">
        <f t="shared" si="991"/>
        <v>301363496.50763327</v>
      </c>
      <c r="S588">
        <f t="shared" si="992"/>
        <v>3013.6349650763327</v>
      </c>
      <c r="T588">
        <f t="shared" si="993"/>
        <v>3.0136349650763328</v>
      </c>
    </row>
    <row r="589" spans="1:20" x14ac:dyDescent="0.25">
      <c r="A589" s="5">
        <v>44004</v>
      </c>
      <c r="B589">
        <v>4.3479999999999998E-2</v>
      </c>
      <c r="C589">
        <v>4.4119999999999999E-2</v>
      </c>
      <c r="D589">
        <v>4.3159999999999997E-2</v>
      </c>
      <c r="E589">
        <v>4.4040000000000003E-2</v>
      </c>
      <c r="F589">
        <v>18749524.399999999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0.83333333333334059</v>
      </c>
      <c r="Q589">
        <f t="shared" si="990"/>
        <v>15624603.666666802</v>
      </c>
      <c r="R589">
        <f t="shared" si="991"/>
        <v>305524557.12581515</v>
      </c>
      <c r="S589">
        <f t="shared" si="992"/>
        <v>3055.2455712581514</v>
      </c>
      <c r="T589">
        <f t="shared" si="993"/>
        <v>3.0552455712581512</v>
      </c>
    </row>
    <row r="590" spans="1:20" x14ac:dyDescent="0.25">
      <c r="A590" s="5">
        <v>44003</v>
      </c>
      <c r="B590">
        <v>4.3799999999999999E-2</v>
      </c>
      <c r="C590">
        <v>4.4380000000000003E-2</v>
      </c>
      <c r="D590">
        <v>4.3389999999999998E-2</v>
      </c>
      <c r="E590">
        <v>4.3560000000000001E-2</v>
      </c>
      <c r="F590">
        <v>11908183.5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-0.65656565656565113</v>
      </c>
      <c r="Q590">
        <f t="shared" si="990"/>
        <v>-7818504.3181817532</v>
      </c>
      <c r="R590">
        <f t="shared" si="991"/>
        <v>289899953.45914835</v>
      </c>
      <c r="S590">
        <f t="shared" si="992"/>
        <v>2898.9995345914836</v>
      </c>
      <c r="T590">
        <f t="shared" si="993"/>
        <v>2.8989995345914834</v>
      </c>
    </row>
    <row r="591" spans="1:20" x14ac:dyDescent="0.25">
      <c r="A591" s="5">
        <v>44002</v>
      </c>
      <c r="B591">
        <v>4.4240000000000002E-2</v>
      </c>
      <c r="C591">
        <v>4.48E-2</v>
      </c>
      <c r="D591">
        <v>4.2200000000000001E-2</v>
      </c>
      <c r="E591">
        <v>4.3799999999999999E-2</v>
      </c>
      <c r="F591">
        <v>24779086.5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0.23076923076922953</v>
      </c>
      <c r="Q591">
        <f t="shared" si="990"/>
        <v>5718250.7307692003</v>
      </c>
      <c r="R591">
        <f t="shared" si="991"/>
        <v>297718457.7773301</v>
      </c>
      <c r="S591">
        <f t="shared" si="992"/>
        <v>2977.184577773301</v>
      </c>
      <c r="T591">
        <f t="shared" si="993"/>
        <v>2.977184577773301</v>
      </c>
    </row>
    <row r="592" spans="1:20" x14ac:dyDescent="0.25">
      <c r="A592" s="5">
        <v>44001</v>
      </c>
      <c r="B592">
        <v>4.5530000000000001E-2</v>
      </c>
      <c r="C592">
        <v>4.6429999999999999E-2</v>
      </c>
      <c r="D592">
        <v>4.308E-2</v>
      </c>
      <c r="E592">
        <v>4.4240000000000002E-2</v>
      </c>
      <c r="F592">
        <v>36945016.299999997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-0.30746268656716313</v>
      </c>
      <c r="Q592">
        <f t="shared" si="990"/>
        <v>-11359213.966865633</v>
      </c>
      <c r="R592">
        <f t="shared" si="991"/>
        <v>292000207.04656088</v>
      </c>
      <c r="S592">
        <f t="shared" si="992"/>
        <v>2920.002070465609</v>
      </c>
      <c r="T592">
        <f t="shared" si="993"/>
        <v>2.9200020704656091</v>
      </c>
    </row>
    <row r="593" spans="1:20" x14ac:dyDescent="0.25">
      <c r="A593" s="5">
        <v>44000</v>
      </c>
      <c r="B593">
        <v>4.2560000000000001E-2</v>
      </c>
      <c r="C593">
        <v>4.9979999999999997E-2</v>
      </c>
      <c r="D593">
        <v>4.2130000000000001E-2</v>
      </c>
      <c r="E593">
        <v>4.5580000000000002E-2</v>
      </c>
      <c r="F593">
        <v>165259216.19999999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-0.12101910828025389</v>
      </c>
      <c r="Q593">
        <f t="shared" si="990"/>
        <v>-19999522.979617685</v>
      </c>
      <c r="R593">
        <f t="shared" si="991"/>
        <v>303359421.01342654</v>
      </c>
      <c r="S593">
        <f t="shared" si="992"/>
        <v>3033.5942101342653</v>
      </c>
      <c r="T593">
        <f t="shared" si="993"/>
        <v>3.0335942101342654</v>
      </c>
    </row>
    <row r="594" spans="1:20" x14ac:dyDescent="0.25">
      <c r="A594" s="5">
        <v>43999</v>
      </c>
      <c r="B594">
        <v>4.181E-2</v>
      </c>
      <c r="C594">
        <v>4.3020000000000003E-2</v>
      </c>
      <c r="D594">
        <v>4.1009999999999998E-2</v>
      </c>
      <c r="E594">
        <v>4.2639999999999997E-2</v>
      </c>
      <c r="F594">
        <v>24759108.600000001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0.62189054726367721</v>
      </c>
      <c r="Q594">
        <f t="shared" si="990"/>
        <v>15397455.597014818</v>
      </c>
      <c r="R594">
        <f t="shared" si="991"/>
        <v>323358943.99304426</v>
      </c>
      <c r="S594">
        <f t="shared" si="992"/>
        <v>3233.5894399304425</v>
      </c>
      <c r="T594">
        <f t="shared" si="993"/>
        <v>3.2335894399304426</v>
      </c>
    </row>
    <row r="595" spans="1:20" x14ac:dyDescent="0.25">
      <c r="A595" s="5">
        <v>43998</v>
      </c>
      <c r="B595">
        <v>4.1259999999999998E-2</v>
      </c>
      <c r="C595">
        <v>4.3299999999999998E-2</v>
      </c>
      <c r="D595">
        <v>4.0410000000000001E-2</v>
      </c>
      <c r="E595">
        <v>4.181E-2</v>
      </c>
      <c r="F595">
        <v>22386104.699999999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-3.1141868512110694E-2</v>
      </c>
      <c r="Q595">
        <f t="shared" si="990"/>
        <v>-697145.12906574318</v>
      </c>
      <c r="R595">
        <f t="shared" si="991"/>
        <v>307961488.39602941</v>
      </c>
      <c r="S595">
        <f t="shared" si="992"/>
        <v>3079.6148839602943</v>
      </c>
      <c r="T595">
        <f t="shared" si="993"/>
        <v>3.0796148839602941</v>
      </c>
    </row>
    <row r="596" spans="1:20" x14ac:dyDescent="0.25">
      <c r="A596" s="5">
        <v>43997</v>
      </c>
      <c r="B596">
        <v>4.1020000000000001E-2</v>
      </c>
      <c r="C596">
        <v>4.1439999999999998E-2</v>
      </c>
      <c r="D596">
        <v>3.8190000000000002E-2</v>
      </c>
      <c r="E596">
        <v>4.1259999999999998E-2</v>
      </c>
      <c r="F596">
        <v>24285272.300000001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0.88923076923076938</v>
      </c>
      <c r="Q596">
        <f t="shared" si="990"/>
        <v>21595211.368307695</v>
      </c>
      <c r="R596">
        <f t="shared" si="991"/>
        <v>308658633.52509516</v>
      </c>
      <c r="S596">
        <f t="shared" si="992"/>
        <v>3086.5863352509518</v>
      </c>
      <c r="T596">
        <f t="shared" si="993"/>
        <v>3.0865863352509519</v>
      </c>
    </row>
    <row r="597" spans="1:20" x14ac:dyDescent="0.25">
      <c r="A597" s="5">
        <v>43996</v>
      </c>
      <c r="B597">
        <v>4.2389999999999997E-2</v>
      </c>
      <c r="C597">
        <v>4.3130000000000002E-2</v>
      </c>
      <c r="D597">
        <v>4.0529999999999997E-2</v>
      </c>
      <c r="E597">
        <v>4.0980000000000003E-2</v>
      </c>
      <c r="F597">
        <v>14680626.1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-0.65384615384614997</v>
      </c>
      <c r="Q597">
        <f t="shared" si="990"/>
        <v>-9598870.9115384035</v>
      </c>
      <c r="R597">
        <f t="shared" si="991"/>
        <v>287063422.15678746</v>
      </c>
      <c r="S597">
        <f t="shared" si="992"/>
        <v>2870.6342215678746</v>
      </c>
      <c r="T597">
        <f t="shared" si="993"/>
        <v>2.8706342215678746</v>
      </c>
    </row>
    <row r="598" spans="1:20" x14ac:dyDescent="0.25">
      <c r="A598" s="5">
        <v>43995</v>
      </c>
      <c r="B598">
        <v>4.2200000000000001E-2</v>
      </c>
      <c r="C598">
        <v>4.274E-2</v>
      </c>
      <c r="D598">
        <v>4.0939999999999997E-2</v>
      </c>
      <c r="E598">
        <v>4.24E-2</v>
      </c>
      <c r="F598">
        <v>18172987.800000001</v>
      </c>
      <c r="G598">
        <v>0</v>
      </c>
      <c r="L598" t="s">
        <v>7</v>
      </c>
      <c r="M598" t="s">
        <v>7</v>
      </c>
      <c r="N598" t="s">
        <v>8</v>
      </c>
      <c r="P598">
        <f t="shared" si="989"/>
        <v>0.62222222222222279</v>
      </c>
      <c r="Q598">
        <f t="shared" si="990"/>
        <v>11307636.853333345</v>
      </c>
      <c r="R598">
        <f t="shared" si="991"/>
        <v>296662293.06832588</v>
      </c>
      <c r="S598">
        <f t="shared" si="992"/>
        <v>2966.6229306832588</v>
      </c>
      <c r="T598">
        <f t="shared" si="993"/>
        <v>2.966622930683259</v>
      </c>
    </row>
    <row r="599" spans="1:20" x14ac:dyDescent="0.25">
      <c r="A599" s="5">
        <v>43994</v>
      </c>
      <c r="B599">
        <v>4.0210000000000003E-2</v>
      </c>
      <c r="C599">
        <v>4.3150000000000001E-2</v>
      </c>
      <c r="D599">
        <v>3.9940000000000003E-2</v>
      </c>
      <c r="E599">
        <v>4.2200000000000001E-2</v>
      </c>
      <c r="F599">
        <v>24515973.800000001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0.40809968847352013</v>
      </c>
      <c r="Q599">
        <f t="shared" si="990"/>
        <v>10004961.270404981</v>
      </c>
      <c r="R599">
        <f t="shared" si="991"/>
        <v>285354656.21499252</v>
      </c>
      <c r="S599">
        <f t="shared" si="992"/>
        <v>2853.5465621499252</v>
      </c>
      <c r="T599">
        <f t="shared" si="993"/>
        <v>2.8535465621499254</v>
      </c>
    </row>
    <row r="600" spans="1:20" x14ac:dyDescent="0.25">
      <c r="A600" s="5">
        <v>43993</v>
      </c>
      <c r="B600">
        <v>4.5229999999999999E-2</v>
      </c>
      <c r="C600">
        <v>4.573E-2</v>
      </c>
      <c r="D600">
        <v>4.02E-2</v>
      </c>
      <c r="E600">
        <v>4.0320000000000002E-2</v>
      </c>
      <c r="F600">
        <v>38710973.700000003</v>
      </c>
      <c r="G600">
        <v>0</v>
      </c>
      <c r="L600" t="s">
        <v>8</v>
      </c>
      <c r="M600" t="s">
        <v>7</v>
      </c>
      <c r="N600" t="s">
        <v>8</v>
      </c>
      <c r="P600">
        <f t="shared" si="989"/>
        <v>-0.95660036166365203</v>
      </c>
      <c r="Q600">
        <f t="shared" si="990"/>
        <v>-37030931.441772126</v>
      </c>
      <c r="R600">
        <f t="shared" si="991"/>
        <v>275349694.94458753</v>
      </c>
      <c r="S600">
        <f t="shared" si="992"/>
        <v>2753.4969494458751</v>
      </c>
      <c r="T600">
        <f t="shared" si="993"/>
        <v>2.753496949445875</v>
      </c>
    </row>
    <row r="601" spans="1:20" x14ac:dyDescent="0.25">
      <c r="A601" s="5">
        <v>43992</v>
      </c>
      <c r="B601">
        <v>4.3479999999999998E-2</v>
      </c>
      <c r="C601">
        <v>4.5240000000000002E-2</v>
      </c>
      <c r="D601">
        <v>4.3279999999999999E-2</v>
      </c>
      <c r="E601">
        <v>4.5240000000000002E-2</v>
      </c>
      <c r="F601">
        <v>20758048.100000001</v>
      </c>
      <c r="G601">
        <v>0</v>
      </c>
      <c r="L601" t="s">
        <v>8</v>
      </c>
      <c r="M601" t="s">
        <v>7</v>
      </c>
      <c r="N601" t="s">
        <v>8</v>
      </c>
      <c r="P601">
        <f t="shared" si="989"/>
        <v>1</v>
      </c>
      <c r="Q601">
        <f t="shared" si="990"/>
        <v>20758048.100000001</v>
      </c>
      <c r="R601">
        <f t="shared" si="991"/>
        <v>312380626.38635963</v>
      </c>
      <c r="S601">
        <f t="shared" si="992"/>
        <v>3123.8062638635965</v>
      </c>
      <c r="T601">
        <f t="shared" si="993"/>
        <v>3.1238062638635964</v>
      </c>
    </row>
    <row r="602" spans="1:20" x14ac:dyDescent="0.25">
      <c r="A602" s="5">
        <v>43991</v>
      </c>
      <c r="B602">
        <v>4.4200000000000003E-2</v>
      </c>
      <c r="C602">
        <v>4.4470000000000003E-2</v>
      </c>
      <c r="D602">
        <v>4.2790000000000002E-2</v>
      </c>
      <c r="E602">
        <v>4.3470000000000002E-2</v>
      </c>
      <c r="F602">
        <v>15564123.5</v>
      </c>
      <c r="G602">
        <v>0</v>
      </c>
      <c r="L602" t="s">
        <v>7</v>
      </c>
      <c r="M602" t="s">
        <v>7</v>
      </c>
      <c r="N602" t="s">
        <v>8</v>
      </c>
      <c r="P602">
        <f t="shared" si="989"/>
        <v>-0.19047619047619088</v>
      </c>
      <c r="Q602">
        <f t="shared" si="990"/>
        <v>-2964594.9523809585</v>
      </c>
      <c r="R602">
        <f t="shared" si="991"/>
        <v>291622578.28635961</v>
      </c>
      <c r="S602">
        <f t="shared" si="992"/>
        <v>2916.2257828635961</v>
      </c>
      <c r="T602">
        <f t="shared" si="993"/>
        <v>2.916225782863596</v>
      </c>
    </row>
    <row r="603" spans="1:20" x14ac:dyDescent="0.25">
      <c r="A603" s="5">
        <v>43990</v>
      </c>
      <c r="B603">
        <v>4.394E-2</v>
      </c>
      <c r="C603">
        <v>4.4200000000000003E-2</v>
      </c>
      <c r="D603">
        <v>4.3119999999999999E-2</v>
      </c>
      <c r="E603">
        <v>4.4139999999999999E-2</v>
      </c>
      <c r="F603">
        <v>13088207.9</v>
      </c>
      <c r="G603">
        <v>0</v>
      </c>
      <c r="L603" t="s">
        <v>7</v>
      </c>
      <c r="M603" t="s">
        <v>7</v>
      </c>
      <c r="N603" t="s">
        <v>8</v>
      </c>
      <c r="P603">
        <f t="shared" si="989"/>
        <v>0.88888888888888107</v>
      </c>
      <c r="Q603">
        <f t="shared" si="990"/>
        <v>11633962.577777676</v>
      </c>
      <c r="R603">
        <f t="shared" si="991"/>
        <v>294587173.23874056</v>
      </c>
      <c r="S603">
        <f t="shared" si="992"/>
        <v>2945.8717323874057</v>
      </c>
      <c r="T603">
        <f t="shared" si="993"/>
        <v>2.9458717323874057</v>
      </c>
    </row>
    <row r="604" spans="1:20" x14ac:dyDescent="0.25">
      <c r="A604" s="5">
        <v>43989</v>
      </c>
      <c r="B604">
        <v>4.4019999999999997E-2</v>
      </c>
      <c r="C604">
        <v>4.4200000000000003E-2</v>
      </c>
      <c r="D604">
        <v>4.1689999999999998E-2</v>
      </c>
      <c r="E604">
        <v>4.3819999999999998E-2</v>
      </c>
      <c r="F604">
        <v>22601940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0.69721115537848244</v>
      </c>
      <c r="Q604">
        <f t="shared" si="990"/>
        <v>15758324.701195138</v>
      </c>
      <c r="R604">
        <f t="shared" si="991"/>
        <v>282953210.66096288</v>
      </c>
      <c r="S604">
        <f t="shared" si="992"/>
        <v>2829.532106609629</v>
      </c>
      <c r="T604">
        <f t="shared" si="993"/>
        <v>2.8295321066096291</v>
      </c>
    </row>
    <row r="605" spans="1:20" x14ac:dyDescent="0.25">
      <c r="A605" s="5">
        <v>43988</v>
      </c>
      <c r="B605">
        <v>4.4179999999999997E-2</v>
      </c>
      <c r="C605">
        <v>4.4499999999999998E-2</v>
      </c>
      <c r="D605">
        <v>4.3119999999999999E-2</v>
      </c>
      <c r="E605">
        <v>4.4119999999999999E-2</v>
      </c>
      <c r="F605">
        <v>13107304.699999999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0.44927536231884263</v>
      </c>
      <c r="Q605">
        <f t="shared" si="990"/>
        <v>5888789.0681159683</v>
      </c>
      <c r="R605">
        <f t="shared" si="991"/>
        <v>267194885.95976773</v>
      </c>
      <c r="S605">
        <f t="shared" si="992"/>
        <v>2671.9488595976773</v>
      </c>
      <c r="T605">
        <f t="shared" si="993"/>
        <v>2.6719488595976775</v>
      </c>
    </row>
    <row r="606" spans="1:20" x14ac:dyDescent="0.25">
      <c r="A606" s="5">
        <v>43987</v>
      </c>
      <c r="B606">
        <v>4.4880000000000003E-2</v>
      </c>
      <c r="C606">
        <v>4.5420000000000002E-2</v>
      </c>
      <c r="D606">
        <v>4.3380000000000002E-2</v>
      </c>
      <c r="E606">
        <v>4.4179999999999997E-2</v>
      </c>
      <c r="F606">
        <v>20116358.199999999</v>
      </c>
      <c r="G606">
        <v>0</v>
      </c>
      <c r="L606" t="s">
        <v>8</v>
      </c>
      <c r="M606" t="s">
        <v>7</v>
      </c>
      <c r="N606" t="s">
        <v>8</v>
      </c>
      <c r="P606">
        <f t="shared" si="989"/>
        <v>-0.21568627450980873</v>
      </c>
      <c r="Q606">
        <f t="shared" si="990"/>
        <v>-4338822.3568628421</v>
      </c>
      <c r="R606">
        <f t="shared" si="991"/>
        <v>261306096.89165175</v>
      </c>
      <c r="S606">
        <f t="shared" si="992"/>
        <v>2613.0609689165176</v>
      </c>
      <c r="T606">
        <f t="shared" si="993"/>
        <v>2.6130609689165176</v>
      </c>
    </row>
    <row r="607" spans="1:20" x14ac:dyDescent="0.25">
      <c r="A607" s="5">
        <v>43986</v>
      </c>
      <c r="B607">
        <v>4.3450000000000003E-2</v>
      </c>
      <c r="C607">
        <v>4.5249999999999999E-2</v>
      </c>
      <c r="D607">
        <v>4.2220000000000001E-2</v>
      </c>
      <c r="E607">
        <v>4.4819999999999999E-2</v>
      </c>
      <c r="F607">
        <v>36353867</v>
      </c>
      <c r="G607">
        <v>0</v>
      </c>
      <c r="L607" t="s">
        <v>8</v>
      </c>
      <c r="M607" t="s">
        <v>7</v>
      </c>
      <c r="N607" t="s">
        <v>8</v>
      </c>
      <c r="P607">
        <f t="shared" si="989"/>
        <v>0.71617161716171607</v>
      </c>
      <c r="Q607">
        <f t="shared" si="990"/>
        <v>26035607.719471943</v>
      </c>
      <c r="R607">
        <f t="shared" si="991"/>
        <v>265644919.24851459</v>
      </c>
      <c r="S607">
        <f t="shared" si="992"/>
        <v>2656.4491924851459</v>
      </c>
      <c r="T607">
        <f t="shared" si="993"/>
        <v>2.6564491924851459</v>
      </c>
    </row>
    <row r="608" spans="1:20" x14ac:dyDescent="0.25">
      <c r="A608" s="5">
        <v>43985</v>
      </c>
      <c r="B608">
        <v>4.2619999999999998E-2</v>
      </c>
      <c r="C608">
        <v>4.4600000000000001E-2</v>
      </c>
      <c r="D608">
        <v>4.1309999999999999E-2</v>
      </c>
      <c r="E608">
        <v>4.342E-2</v>
      </c>
      <c r="F608">
        <v>41929069.799999997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0.28267477203647412</v>
      </c>
      <c r="Q608">
        <f t="shared" si="990"/>
        <v>11852290.247416411</v>
      </c>
      <c r="R608">
        <f t="shared" si="991"/>
        <v>239609311.52904266</v>
      </c>
      <c r="S608">
        <f t="shared" si="992"/>
        <v>2396.0931152904268</v>
      </c>
      <c r="T608">
        <f t="shared" si="993"/>
        <v>2.396093115290427</v>
      </c>
    </row>
    <row r="609" spans="1:20" x14ac:dyDescent="0.25">
      <c r="A609" s="5">
        <v>43984</v>
      </c>
      <c r="B609">
        <v>4.4209999999999999E-2</v>
      </c>
      <c r="C609">
        <v>4.4609999999999997E-2</v>
      </c>
      <c r="D609">
        <v>4.07E-2</v>
      </c>
      <c r="E609">
        <v>4.274E-2</v>
      </c>
      <c r="F609">
        <v>34041063.399999999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4.3478260869566146E-2</v>
      </c>
      <c r="Q609">
        <f t="shared" si="990"/>
        <v>1480046.2347826404</v>
      </c>
      <c r="R609">
        <f t="shared" si="991"/>
        <v>227757021.28162625</v>
      </c>
      <c r="S609">
        <f t="shared" si="992"/>
        <v>2277.5702128162625</v>
      </c>
      <c r="T609">
        <f t="shared" si="993"/>
        <v>2.2775702128162623</v>
      </c>
    </row>
    <row r="610" spans="1:20" x14ac:dyDescent="0.25">
      <c r="A610" s="5">
        <v>43983</v>
      </c>
      <c r="B610">
        <v>4.3819999999999998E-2</v>
      </c>
      <c r="C610">
        <v>4.5350000000000001E-2</v>
      </c>
      <c r="D610">
        <v>4.1700000000000001E-2</v>
      </c>
      <c r="E610">
        <v>4.4170000000000001E-2</v>
      </c>
      <c r="F610">
        <v>50147327.200000003</v>
      </c>
      <c r="G610">
        <v>0</v>
      </c>
      <c r="L610" t="s">
        <v>7</v>
      </c>
      <c r="M610" t="s">
        <v>7</v>
      </c>
      <c r="N610" t="s">
        <v>8</v>
      </c>
      <c r="P610">
        <f t="shared" si="989"/>
        <v>0.3534246575342464</v>
      </c>
      <c r="Q610">
        <f t="shared" si="990"/>
        <v>17723301.941917799</v>
      </c>
      <c r="R610">
        <f t="shared" si="991"/>
        <v>226276975.04684362</v>
      </c>
      <c r="S610">
        <f t="shared" si="992"/>
        <v>2262.7697504684361</v>
      </c>
      <c r="T610">
        <f t="shared" si="993"/>
        <v>2.2627697504684359</v>
      </c>
    </row>
    <row r="611" spans="1:20" x14ac:dyDescent="0.25">
      <c r="A611" s="5">
        <v>43982</v>
      </c>
      <c r="B611">
        <v>4.5809999999999997E-2</v>
      </c>
      <c r="C611">
        <v>4.589E-2</v>
      </c>
      <c r="D611">
        <v>4.2849999999999999E-2</v>
      </c>
      <c r="E611">
        <v>4.3839999999999997E-2</v>
      </c>
      <c r="F611">
        <v>48681486.799999997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-0.34868421052631743</v>
      </c>
      <c r="Q611">
        <f t="shared" si="990"/>
        <v>-16974465.792105343</v>
      </c>
      <c r="R611">
        <f t="shared" si="991"/>
        <v>208553673.10492581</v>
      </c>
      <c r="S611">
        <f t="shared" si="992"/>
        <v>2085.5367310492579</v>
      </c>
      <c r="T611">
        <f t="shared" si="993"/>
        <v>2.0855367310492579</v>
      </c>
    </row>
    <row r="612" spans="1:20" x14ac:dyDescent="0.25">
      <c r="A612" s="5">
        <v>43981</v>
      </c>
      <c r="B612">
        <v>4.5249999999999999E-2</v>
      </c>
      <c r="C612">
        <v>4.5999999999999999E-2</v>
      </c>
      <c r="D612">
        <v>4.4010000000000001E-2</v>
      </c>
      <c r="E612">
        <v>4.5809999999999997E-2</v>
      </c>
      <c r="F612">
        <v>37856657.700000003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0.80904522613065044</v>
      </c>
      <c r="Q612">
        <f t="shared" si="990"/>
        <v>30627748.189447131</v>
      </c>
      <c r="R612">
        <f t="shared" si="991"/>
        <v>225528138.89703116</v>
      </c>
      <c r="S612">
        <f t="shared" si="992"/>
        <v>2255.2813889703116</v>
      </c>
      <c r="T612">
        <f t="shared" si="993"/>
        <v>2.2552813889703116</v>
      </c>
    </row>
    <row r="613" spans="1:20" x14ac:dyDescent="0.25">
      <c r="A613" s="5">
        <v>43980</v>
      </c>
      <c r="B613">
        <v>4.5600000000000002E-2</v>
      </c>
      <c r="C613">
        <v>4.5990000000000003E-2</v>
      </c>
      <c r="D613">
        <v>4.3459999999999999E-2</v>
      </c>
      <c r="E613">
        <v>4.5260000000000002E-2</v>
      </c>
      <c r="F613">
        <v>59671963.200000003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0.42292490118577059</v>
      </c>
      <c r="Q613">
        <f t="shared" si="990"/>
        <v>25236759.139920939</v>
      </c>
      <c r="R613">
        <f t="shared" si="991"/>
        <v>194900390.70758402</v>
      </c>
      <c r="S613">
        <f t="shared" si="992"/>
        <v>1949.0039070758403</v>
      </c>
      <c r="T613">
        <f t="shared" si="993"/>
        <v>1.9490039070758403</v>
      </c>
    </row>
    <row r="614" spans="1:20" x14ac:dyDescent="0.25">
      <c r="A614" s="5">
        <v>43979</v>
      </c>
      <c r="B614">
        <v>4.9820000000000003E-2</v>
      </c>
      <c r="C614">
        <v>5.1229999999999998E-2</v>
      </c>
      <c r="D614">
        <v>4.4580000000000002E-2</v>
      </c>
      <c r="E614">
        <v>4.5560000000000003E-2</v>
      </c>
      <c r="F614">
        <v>120815257.8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-0.70526315789473615</v>
      </c>
      <c r="Q614">
        <f t="shared" si="990"/>
        <v>-85206550.237894654</v>
      </c>
      <c r="R614">
        <f t="shared" si="991"/>
        <v>169663631.56766307</v>
      </c>
      <c r="S614">
        <f t="shared" si="992"/>
        <v>1696.6363156766308</v>
      </c>
      <c r="T614">
        <f t="shared" si="993"/>
        <v>1.6966363156766309</v>
      </c>
    </row>
    <row r="615" spans="1:20" x14ac:dyDescent="0.25">
      <c r="A615" s="5">
        <v>43978</v>
      </c>
      <c r="B615">
        <v>4.4990000000000002E-2</v>
      </c>
      <c r="C615">
        <v>4.9829999999999999E-2</v>
      </c>
      <c r="D615">
        <v>4.0140000000000002E-2</v>
      </c>
      <c r="E615">
        <v>4.9770000000000002E-2</v>
      </c>
      <c r="F615">
        <v>132851300.7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0.98761609907120795</v>
      </c>
      <c r="Q615">
        <f t="shared" si="990"/>
        <v>131206083.35387003</v>
      </c>
      <c r="R615">
        <f t="shared" si="991"/>
        <v>254870181.80555773</v>
      </c>
      <c r="S615">
        <f t="shared" si="992"/>
        <v>2548.7018180555774</v>
      </c>
      <c r="T615">
        <f t="shared" si="993"/>
        <v>2.5487018180555774</v>
      </c>
    </row>
    <row r="616" spans="1:20" x14ac:dyDescent="0.25">
      <c r="A616" s="5">
        <v>43977</v>
      </c>
      <c r="B616">
        <v>3.9780000000000003E-2</v>
      </c>
      <c r="C616">
        <v>4.8210000000000003E-2</v>
      </c>
      <c r="D616">
        <v>3.9780000000000003E-2</v>
      </c>
      <c r="E616">
        <v>4.4949999999999997E-2</v>
      </c>
      <c r="F616">
        <v>202067184.90000001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0.22657176749703298</v>
      </c>
      <c r="Q616">
        <f t="shared" si="990"/>
        <v>45782719.235942774</v>
      </c>
      <c r="R616">
        <f t="shared" si="991"/>
        <v>123664098.45168769</v>
      </c>
      <c r="S616">
        <f t="shared" si="992"/>
        <v>1236.6409845168769</v>
      </c>
      <c r="T616">
        <f t="shared" si="993"/>
        <v>1.2366409845168769</v>
      </c>
    </row>
    <row r="617" spans="1:20" x14ac:dyDescent="0.25">
      <c r="A617" s="5">
        <v>43976</v>
      </c>
      <c r="B617">
        <v>3.6880000000000003E-2</v>
      </c>
      <c r="C617">
        <v>4.0750000000000001E-2</v>
      </c>
      <c r="D617">
        <v>3.6609999999999997E-2</v>
      </c>
      <c r="E617">
        <v>3.9780000000000003E-2</v>
      </c>
      <c r="F617">
        <v>57723446.899999999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0.53140096618357613</v>
      </c>
      <c r="Q617">
        <f t="shared" si="990"/>
        <v>30674295.454106353</v>
      </c>
      <c r="R617">
        <f t="shared" si="991"/>
        <v>77881379.215744913</v>
      </c>
      <c r="S617">
        <f t="shared" si="992"/>
        <v>778.81379215744914</v>
      </c>
      <c r="T617">
        <f t="shared" si="993"/>
        <v>0.77881379215744917</v>
      </c>
    </row>
    <row r="618" spans="1:20" x14ac:dyDescent="0.25">
      <c r="A618" s="5">
        <v>43975</v>
      </c>
      <c r="B618">
        <v>3.6940000000000001E-2</v>
      </c>
      <c r="C618">
        <v>3.9239999999999997E-2</v>
      </c>
      <c r="D618">
        <v>3.6060000000000002E-2</v>
      </c>
      <c r="E618">
        <v>3.6830000000000002E-2</v>
      </c>
      <c r="F618">
        <v>44940864.299999997</v>
      </c>
      <c r="G618">
        <v>0</v>
      </c>
      <c r="L618" t="s">
        <v>8</v>
      </c>
      <c r="M618" t="s">
        <v>8</v>
      </c>
      <c r="N618" t="s">
        <v>7</v>
      </c>
      <c r="P618">
        <f t="shared" si="989"/>
        <v>-0.5157232704402509</v>
      </c>
      <c r="Q618">
        <f t="shared" si="990"/>
        <v>-23177049.513207514</v>
      </c>
      <c r="R618">
        <f t="shared" si="991"/>
        <v>47207083.761638552</v>
      </c>
      <c r="S618">
        <f t="shared" si="992"/>
        <v>472.07083761638552</v>
      </c>
      <c r="T618">
        <f t="shared" si="993"/>
        <v>0.47207083761638552</v>
      </c>
    </row>
    <row r="619" spans="1:20" x14ac:dyDescent="0.25">
      <c r="A619" s="5">
        <v>43974</v>
      </c>
      <c r="B619">
        <v>3.7589999999999998E-2</v>
      </c>
      <c r="C619">
        <v>3.8649999999999997E-2</v>
      </c>
      <c r="D619">
        <v>3.6220000000000002E-2</v>
      </c>
      <c r="E619">
        <v>3.6929999999999998E-2</v>
      </c>
      <c r="F619">
        <v>32846788.800000001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-0.41563786008230708</v>
      </c>
      <c r="Q619">
        <f t="shared" si="990"/>
        <v>-13652369.007407492</v>
      </c>
      <c r="R619">
        <f t="shared" si="991"/>
        <v>70384133.274846062</v>
      </c>
      <c r="S619">
        <f t="shared" si="992"/>
        <v>703.84133274846067</v>
      </c>
      <c r="T619">
        <f t="shared" si="993"/>
        <v>0.70384133274846072</v>
      </c>
    </row>
    <row r="620" spans="1:20" x14ac:dyDescent="0.25">
      <c r="A620" s="5">
        <v>43973</v>
      </c>
      <c r="B620">
        <v>3.6060000000000002E-2</v>
      </c>
      <c r="C620">
        <v>3.8289999999999998E-2</v>
      </c>
      <c r="D620">
        <v>3.5610000000000003E-2</v>
      </c>
      <c r="E620">
        <v>3.7589999999999998E-2</v>
      </c>
      <c r="F620">
        <v>35057696.299999997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0.47761194029850706</v>
      </c>
      <c r="Q620">
        <f t="shared" si="990"/>
        <v>16743974.352238791</v>
      </c>
      <c r="R620">
        <f t="shared" si="991"/>
        <v>84036502.282253549</v>
      </c>
      <c r="S620">
        <f t="shared" si="992"/>
        <v>840.36502282253548</v>
      </c>
      <c r="T620">
        <f t="shared" si="993"/>
        <v>0.84036502282253545</v>
      </c>
    </row>
    <row r="621" spans="1:20" x14ac:dyDescent="0.25">
      <c r="A621" s="5">
        <v>43972</v>
      </c>
      <c r="B621">
        <v>3.8440000000000002E-2</v>
      </c>
      <c r="C621">
        <v>3.8449999999999998E-2</v>
      </c>
      <c r="D621">
        <v>3.5090000000000003E-2</v>
      </c>
      <c r="E621">
        <v>3.6060000000000002E-2</v>
      </c>
      <c r="F621">
        <v>31618244.899999999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-0.42261904761904756</v>
      </c>
      <c r="Q621">
        <f t="shared" si="990"/>
        <v>-13362472.547023807</v>
      </c>
      <c r="R621">
        <f t="shared" si="991"/>
        <v>67292527.930014759</v>
      </c>
      <c r="S621">
        <f t="shared" si="992"/>
        <v>672.92527930014762</v>
      </c>
      <c r="T621">
        <f t="shared" si="993"/>
        <v>0.67292527930014767</v>
      </c>
    </row>
    <row r="622" spans="1:20" x14ac:dyDescent="0.25">
      <c r="A622" s="5">
        <v>43971</v>
      </c>
      <c r="B622">
        <v>3.6299999999999999E-2</v>
      </c>
      <c r="C622">
        <v>3.9570000000000001E-2</v>
      </c>
      <c r="D622">
        <v>3.6150000000000002E-2</v>
      </c>
      <c r="E622">
        <v>3.8449999999999998E-2</v>
      </c>
      <c r="F622">
        <v>63000064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0.34502923976608002</v>
      </c>
      <c r="Q622">
        <f t="shared" si="990"/>
        <v>21736864.187134385</v>
      </c>
      <c r="R622">
        <f t="shared" si="991"/>
        <v>80655000.477038562</v>
      </c>
      <c r="S622">
        <f t="shared" si="992"/>
        <v>806.55000477038561</v>
      </c>
      <c r="T622">
        <f t="shared" si="993"/>
        <v>0.80655000477038563</v>
      </c>
    </row>
    <row r="623" spans="1:20" x14ac:dyDescent="0.25">
      <c r="A623" s="5">
        <v>43970</v>
      </c>
      <c r="B623">
        <v>3.6420000000000001E-2</v>
      </c>
      <c r="C623">
        <v>3.6999999999999998E-2</v>
      </c>
      <c r="D623">
        <v>3.5540000000000002E-2</v>
      </c>
      <c r="E623">
        <v>3.6380000000000003E-2</v>
      </c>
      <c r="F623">
        <v>18448510.699999999</v>
      </c>
      <c r="G623">
        <v>0</v>
      </c>
      <c r="L623" t="s">
        <v>7</v>
      </c>
      <c r="M623" t="s">
        <v>8</v>
      </c>
      <c r="N623" t="s">
        <v>7</v>
      </c>
      <c r="P623">
        <f t="shared" si="989"/>
        <v>0.15068493150685308</v>
      </c>
      <c r="Q623">
        <f t="shared" si="990"/>
        <v>2779912.5712329461</v>
      </c>
      <c r="R623">
        <f t="shared" si="991"/>
        <v>58918136.289904185</v>
      </c>
      <c r="S623">
        <f t="shared" si="992"/>
        <v>589.1813628990418</v>
      </c>
      <c r="T623">
        <f t="shared" si="993"/>
        <v>0.58918136289904177</v>
      </c>
    </row>
    <row r="624" spans="1:20" x14ac:dyDescent="0.25">
      <c r="A624" s="5">
        <v>43969</v>
      </c>
      <c r="B624">
        <v>3.6089999999999997E-2</v>
      </c>
      <c r="C624">
        <v>3.7139999999999999E-2</v>
      </c>
      <c r="D624">
        <v>3.5349999999999999E-2</v>
      </c>
      <c r="E624">
        <v>3.6409999999999998E-2</v>
      </c>
      <c r="F624">
        <v>23843947.800000001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0.18435754189943965</v>
      </c>
      <c r="Q624">
        <f t="shared" si="990"/>
        <v>4395811.6055865521</v>
      </c>
      <c r="R624">
        <f t="shared" si="991"/>
        <v>56138223.71867124</v>
      </c>
      <c r="S624">
        <f t="shared" si="992"/>
        <v>561.38223718671236</v>
      </c>
      <c r="T624">
        <f t="shared" si="993"/>
        <v>0.56138223718671232</v>
      </c>
    </row>
    <row r="625" spans="1:20" x14ac:dyDescent="0.25">
      <c r="A625" s="5">
        <v>43968</v>
      </c>
      <c r="B625">
        <v>3.6060000000000002E-2</v>
      </c>
      <c r="C625">
        <v>3.6549999999999999E-2</v>
      </c>
      <c r="D625">
        <v>3.56E-2</v>
      </c>
      <c r="E625">
        <v>3.6139999999999999E-2</v>
      </c>
      <c r="F625">
        <v>15402279.4</v>
      </c>
      <c r="G625">
        <v>0</v>
      </c>
      <c r="L625" t="s">
        <v>7</v>
      </c>
      <c r="M625" t="s">
        <v>8</v>
      </c>
      <c r="N625" t="s">
        <v>7</v>
      </c>
      <c r="P625">
        <f t="shared" si="989"/>
        <v>0.13684210526315604</v>
      </c>
      <c r="Q625">
        <f t="shared" si="990"/>
        <v>2107680.3389473399</v>
      </c>
      <c r="R625">
        <f t="shared" si="991"/>
        <v>51742412.113084689</v>
      </c>
      <c r="S625">
        <f t="shared" si="992"/>
        <v>517.42412113084686</v>
      </c>
      <c r="T625">
        <f t="shared" si="993"/>
        <v>0.5174241211308469</v>
      </c>
    </row>
    <row r="626" spans="1:20" x14ac:dyDescent="0.25">
      <c r="A626" s="5">
        <v>43967</v>
      </c>
      <c r="B626">
        <v>3.5720000000000002E-2</v>
      </c>
      <c r="C626">
        <v>3.7100000000000001E-2</v>
      </c>
      <c r="D626">
        <v>3.5619999999999999E-2</v>
      </c>
      <c r="E626">
        <v>3.6060000000000002E-2</v>
      </c>
      <c r="F626">
        <v>15093486.300000001</v>
      </c>
      <c r="G626">
        <v>0</v>
      </c>
      <c r="L626" t="s">
        <v>7</v>
      </c>
      <c r="M626" t="s">
        <v>8</v>
      </c>
      <c r="N626" t="s">
        <v>7</v>
      </c>
      <c r="P626">
        <f t="shared" si="989"/>
        <v>-0.40540540540540237</v>
      </c>
      <c r="Q626">
        <f t="shared" si="990"/>
        <v>-6118980.932432387</v>
      </c>
      <c r="R626">
        <f t="shared" si="991"/>
        <v>49634731.774137348</v>
      </c>
      <c r="S626">
        <f t="shared" si="992"/>
        <v>496.3473177413735</v>
      </c>
      <c r="T626">
        <f t="shared" si="993"/>
        <v>0.49634731774137353</v>
      </c>
    </row>
    <row r="627" spans="1:20" x14ac:dyDescent="0.25">
      <c r="A627" s="5">
        <v>43966</v>
      </c>
      <c r="B627">
        <v>3.7999999999999999E-2</v>
      </c>
      <c r="C627">
        <v>3.8390000000000001E-2</v>
      </c>
      <c r="D627">
        <v>3.517E-2</v>
      </c>
      <c r="E627">
        <v>3.5830000000000001E-2</v>
      </c>
      <c r="F627">
        <v>50193140</v>
      </c>
      <c r="G627">
        <v>0</v>
      </c>
      <c r="L627" t="s">
        <v>7</v>
      </c>
      <c r="M627" t="s">
        <v>8</v>
      </c>
      <c r="N627" t="s">
        <v>7</v>
      </c>
      <c r="P627">
        <f t="shared" si="989"/>
        <v>-0.5900621118012418</v>
      </c>
      <c r="Q627">
        <f t="shared" si="990"/>
        <v>-29617070.186335381</v>
      </c>
      <c r="R627">
        <f t="shared" si="991"/>
        <v>55753712.706569731</v>
      </c>
      <c r="S627">
        <f t="shared" si="992"/>
        <v>557.53712706569729</v>
      </c>
      <c r="T627">
        <f t="shared" si="993"/>
        <v>0.55753712706569725</v>
      </c>
    </row>
    <row r="628" spans="1:20" x14ac:dyDescent="0.25">
      <c r="A628" s="5">
        <v>43965</v>
      </c>
      <c r="B628">
        <v>3.576E-2</v>
      </c>
      <c r="C628">
        <v>3.9699999999999999E-2</v>
      </c>
      <c r="D628">
        <v>3.4970000000000001E-2</v>
      </c>
      <c r="E628">
        <v>3.7900000000000003E-2</v>
      </c>
      <c r="F628">
        <v>47314034.799999997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0.23890063424947283</v>
      </c>
      <c r="Q628">
        <f t="shared" si="990"/>
        <v>11303352.922621628</v>
      </c>
      <c r="R628">
        <f t="shared" si="991"/>
        <v>85370782.892905116</v>
      </c>
      <c r="S628">
        <f t="shared" si="992"/>
        <v>853.70782892905117</v>
      </c>
      <c r="T628">
        <f t="shared" si="993"/>
        <v>0.85370782892905117</v>
      </c>
    </row>
    <row r="629" spans="1:20" x14ac:dyDescent="0.25">
      <c r="A629" s="5">
        <v>43964</v>
      </c>
      <c r="B629">
        <v>3.5490000000000001E-2</v>
      </c>
      <c r="C629">
        <v>3.5869999999999999E-2</v>
      </c>
      <c r="D629">
        <v>3.483E-2</v>
      </c>
      <c r="E629">
        <v>3.5639999999999998E-2</v>
      </c>
      <c r="F629">
        <v>22516361.699999999</v>
      </c>
      <c r="G629">
        <v>0</v>
      </c>
      <c r="L629" t="s">
        <v>8</v>
      </c>
      <c r="M629" t="s">
        <v>8</v>
      </c>
      <c r="N629" t="s">
        <v>7</v>
      </c>
      <c r="P629">
        <f t="shared" si="989"/>
        <v>0.55769230769230538</v>
      </c>
      <c r="Q629">
        <f t="shared" si="990"/>
        <v>12557201.71730764</v>
      </c>
      <c r="R629">
        <f t="shared" si="991"/>
        <v>74067429.970283493</v>
      </c>
      <c r="S629">
        <f t="shared" si="992"/>
        <v>740.6742997028349</v>
      </c>
      <c r="T629">
        <f t="shared" si="993"/>
        <v>0.74067429970283494</v>
      </c>
    </row>
    <row r="630" spans="1:20" x14ac:dyDescent="0.25">
      <c r="A630" s="5">
        <v>43963</v>
      </c>
      <c r="B630">
        <v>3.3649999999999999E-2</v>
      </c>
      <c r="C630">
        <v>3.6240000000000001E-2</v>
      </c>
      <c r="D630">
        <v>3.3349999999999998E-2</v>
      </c>
      <c r="E630">
        <v>3.5589999999999997E-2</v>
      </c>
      <c r="F630">
        <v>31389887.5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0.55017301038062016</v>
      </c>
      <c r="Q630">
        <f t="shared" si="990"/>
        <v>17269868.901384</v>
      </c>
      <c r="R630">
        <f t="shared" si="991"/>
        <v>61510228.252975851</v>
      </c>
      <c r="S630">
        <f t="shared" si="992"/>
        <v>615.10228252975855</v>
      </c>
      <c r="T630">
        <f t="shared" si="993"/>
        <v>0.61510228252975852</v>
      </c>
    </row>
    <row r="631" spans="1:20" x14ac:dyDescent="0.25">
      <c r="A631" s="5">
        <v>43962</v>
      </c>
      <c r="B631">
        <v>3.4380000000000001E-2</v>
      </c>
      <c r="C631">
        <v>3.5799999999999998E-2</v>
      </c>
      <c r="D631">
        <v>3.1260000000000003E-2</v>
      </c>
      <c r="E631">
        <v>3.3779999999999998E-2</v>
      </c>
      <c r="F631">
        <v>42385208.600000001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0.11013215859030705</v>
      </c>
      <c r="Q631">
        <f t="shared" si="990"/>
        <v>4667974.5154184466</v>
      </c>
      <c r="R631">
        <f t="shared" si="991"/>
        <v>44240359.351591848</v>
      </c>
      <c r="S631">
        <f t="shared" si="992"/>
        <v>442.40359351591849</v>
      </c>
      <c r="T631">
        <f t="shared" si="993"/>
        <v>0.44240359351591851</v>
      </c>
    </row>
    <row r="632" spans="1:20" x14ac:dyDescent="0.25">
      <c r="A632" s="5">
        <v>43961</v>
      </c>
      <c r="B632">
        <v>3.8940000000000002E-2</v>
      </c>
      <c r="C632">
        <v>3.9070000000000001E-2</v>
      </c>
      <c r="D632">
        <v>3.2509999999999997E-2</v>
      </c>
      <c r="E632">
        <v>3.4380000000000001E-2</v>
      </c>
      <c r="F632">
        <v>64954797.799999997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-0.42987804878048702</v>
      </c>
      <c r="Q632">
        <f t="shared" si="990"/>
        <v>-27922641.737195071</v>
      </c>
      <c r="R632">
        <f t="shared" si="991"/>
        <v>39572384.8361734</v>
      </c>
      <c r="S632">
        <f t="shared" si="992"/>
        <v>395.72384836173399</v>
      </c>
      <c r="T632">
        <f t="shared" si="993"/>
        <v>0.39572384836173397</v>
      </c>
    </row>
    <row r="633" spans="1:20" x14ac:dyDescent="0.25">
      <c r="A633" s="5">
        <v>43960</v>
      </c>
      <c r="B633">
        <v>3.9410000000000001E-2</v>
      </c>
      <c r="C633">
        <v>4.0500000000000001E-2</v>
      </c>
      <c r="D633">
        <v>3.8719999999999997E-2</v>
      </c>
      <c r="E633">
        <v>3.9219999999999998E-2</v>
      </c>
      <c r="F633">
        <v>31529789.600000001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-0.43820224719101192</v>
      </c>
      <c r="Q633">
        <f t="shared" si="990"/>
        <v>-13816424.656179797</v>
      </c>
      <c r="R633">
        <f t="shared" si="991"/>
        <v>67495026.573368475</v>
      </c>
      <c r="S633">
        <f t="shared" si="992"/>
        <v>674.95026573368477</v>
      </c>
      <c r="T633">
        <f t="shared" si="993"/>
        <v>0.67495026573368477</v>
      </c>
    </row>
    <row r="634" spans="1:20" x14ac:dyDescent="0.25">
      <c r="A634" s="5">
        <v>43959</v>
      </c>
      <c r="B634">
        <v>3.9870000000000003E-2</v>
      </c>
      <c r="C634">
        <v>4.1160000000000002E-2</v>
      </c>
      <c r="D634">
        <v>3.8350000000000002E-2</v>
      </c>
      <c r="E634">
        <v>3.943E-2</v>
      </c>
      <c r="F634">
        <v>37530333.5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-0.23131672597864938</v>
      </c>
      <c r="Q634">
        <f t="shared" si="990"/>
        <v>-8681393.8701068256</v>
      </c>
      <c r="R634">
        <f t="shared" si="991"/>
        <v>81311451.229548275</v>
      </c>
      <c r="S634">
        <f t="shared" si="992"/>
        <v>813.11451229548277</v>
      </c>
      <c r="T634">
        <f t="shared" si="993"/>
        <v>0.81311451229548282</v>
      </c>
    </row>
    <row r="635" spans="1:20" x14ac:dyDescent="0.25">
      <c r="A635" s="5">
        <v>43958</v>
      </c>
      <c r="B635">
        <v>3.8530000000000002E-2</v>
      </c>
      <c r="C635">
        <v>0.04</v>
      </c>
      <c r="D635">
        <v>3.7499999999999999E-2</v>
      </c>
      <c r="E635">
        <v>3.9800000000000002E-2</v>
      </c>
      <c r="F635">
        <v>32816706.699999999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0.84000000000000108</v>
      </c>
      <c r="Q635">
        <f t="shared" si="990"/>
        <v>27566033.628000036</v>
      </c>
      <c r="R635">
        <f t="shared" si="991"/>
        <v>89992845.099655107</v>
      </c>
      <c r="S635">
        <f t="shared" si="992"/>
        <v>899.92845099655108</v>
      </c>
      <c r="T635">
        <f t="shared" si="993"/>
        <v>0.89992845099655105</v>
      </c>
    </row>
    <row r="636" spans="1:20" x14ac:dyDescent="0.25">
      <c r="A636" s="5">
        <v>43957</v>
      </c>
      <c r="B636">
        <v>3.9960000000000002E-2</v>
      </c>
      <c r="C636">
        <v>4.1279999999999997E-2</v>
      </c>
      <c r="D636">
        <v>3.7780000000000001E-2</v>
      </c>
      <c r="E636">
        <v>3.8519999999999999E-2</v>
      </c>
      <c r="F636">
        <v>45576818.200000003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-0.57714285714285807</v>
      </c>
      <c r="Q636">
        <f t="shared" si="990"/>
        <v>-26304335.075428616</v>
      </c>
      <c r="R636">
        <f t="shared" si="991"/>
        <v>62426811.471655071</v>
      </c>
      <c r="S636">
        <f t="shared" si="992"/>
        <v>624.26811471655071</v>
      </c>
      <c r="T636">
        <f t="shared" si="993"/>
        <v>0.62426811471655075</v>
      </c>
    </row>
    <row r="637" spans="1:20" x14ac:dyDescent="0.25">
      <c r="A637" s="5">
        <v>43956</v>
      </c>
      <c r="B637">
        <v>4.163E-2</v>
      </c>
      <c r="C637">
        <v>4.2810000000000001E-2</v>
      </c>
      <c r="D637">
        <v>3.8199999999999998E-2</v>
      </c>
      <c r="E637">
        <v>4.0050000000000002E-2</v>
      </c>
      <c r="F637">
        <v>64318634.200000003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-0.19739696312364285</v>
      </c>
      <c r="Q637">
        <f t="shared" si="990"/>
        <v>-12696303.063340474</v>
      </c>
      <c r="R637">
        <f t="shared" si="991"/>
        <v>88731146.547083691</v>
      </c>
      <c r="S637">
        <f t="shared" si="992"/>
        <v>887.31146547083688</v>
      </c>
      <c r="T637">
        <f t="shared" si="993"/>
        <v>0.88731146547083684</v>
      </c>
    </row>
    <row r="638" spans="1:20" x14ac:dyDescent="0.25">
      <c r="A638" s="5">
        <v>43955</v>
      </c>
      <c r="B638">
        <v>3.9440000000000003E-2</v>
      </c>
      <c r="C638">
        <v>4.1700000000000001E-2</v>
      </c>
      <c r="D638">
        <v>3.5909999999999997E-2</v>
      </c>
      <c r="E638">
        <v>4.1640000000000003E-2</v>
      </c>
      <c r="F638">
        <v>82779814.700000003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0.97927461139896455</v>
      </c>
      <c r="Q638">
        <f t="shared" si="990"/>
        <v>81064170.872020796</v>
      </c>
      <c r="R638">
        <f t="shared" si="991"/>
        <v>101427449.61042416</v>
      </c>
      <c r="S638">
        <f t="shared" si="992"/>
        <v>1014.2744961042416</v>
      </c>
      <c r="T638">
        <f t="shared" si="993"/>
        <v>1.0142744961042416</v>
      </c>
    </row>
    <row r="639" spans="1:20" x14ac:dyDescent="0.25">
      <c r="A639" s="5">
        <v>43954</v>
      </c>
      <c r="B639">
        <v>4.3959999999999999E-2</v>
      </c>
      <c r="C639">
        <v>4.3959999999999999E-2</v>
      </c>
      <c r="D639">
        <v>3.8039999999999997E-2</v>
      </c>
      <c r="E639">
        <v>3.9269999999999999E-2</v>
      </c>
      <c r="F639">
        <v>91974047.099999994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-0.58445945945945887</v>
      </c>
      <c r="Q639">
        <f t="shared" si="990"/>
        <v>-53755101.852364808</v>
      </c>
      <c r="R639">
        <f t="shared" si="991"/>
        <v>20363278.738403365</v>
      </c>
      <c r="S639">
        <f t="shared" si="992"/>
        <v>203.63278738403366</v>
      </c>
      <c r="T639">
        <f t="shared" si="993"/>
        <v>0.20363278738403368</v>
      </c>
    </row>
    <row r="640" spans="1:20" x14ac:dyDescent="0.25">
      <c r="A640" s="5">
        <v>43953</v>
      </c>
      <c r="B640">
        <v>4.2009999999999999E-2</v>
      </c>
      <c r="C640">
        <v>4.7500000000000001E-2</v>
      </c>
      <c r="D640">
        <v>4.1500000000000002E-2</v>
      </c>
      <c r="E640">
        <v>4.3869999999999999E-2</v>
      </c>
      <c r="F640">
        <v>177404214.59999999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-0.21000000000000074</v>
      </c>
      <c r="Q640">
        <f t="shared" si="990"/>
        <v>-37254885.066000134</v>
      </c>
      <c r="R640">
        <f t="shared" si="991"/>
        <v>74118380.590768173</v>
      </c>
      <c r="S640">
        <f t="shared" si="992"/>
        <v>741.18380590768174</v>
      </c>
      <c r="T640">
        <f t="shared" si="993"/>
        <v>0.74118380590768174</v>
      </c>
    </row>
    <row r="641" spans="1:20" x14ac:dyDescent="0.25">
      <c r="A641" s="5">
        <v>43952</v>
      </c>
      <c r="B641">
        <v>3.5310000000000001E-2</v>
      </c>
      <c r="C641">
        <v>4.3310000000000001E-2</v>
      </c>
      <c r="D641">
        <v>3.526E-2</v>
      </c>
      <c r="E641">
        <v>4.224E-2</v>
      </c>
      <c r="F641">
        <v>212695206.90000001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0.73416149068322945</v>
      </c>
      <c r="Q641">
        <f t="shared" si="990"/>
        <v>156152630.1588819</v>
      </c>
      <c r="R641">
        <f t="shared" si="991"/>
        <v>111373265.65676831</v>
      </c>
      <c r="S641">
        <f t="shared" si="992"/>
        <v>1113.7326565676831</v>
      </c>
      <c r="T641">
        <f t="shared" si="993"/>
        <v>1.1137326565676831</v>
      </c>
    </row>
    <row r="642" spans="1:20" x14ac:dyDescent="0.25">
      <c r="A642" s="5">
        <v>43951</v>
      </c>
      <c r="B642">
        <v>3.5139999999999998E-2</v>
      </c>
      <c r="C642">
        <v>3.7650000000000003E-2</v>
      </c>
      <c r="D642">
        <v>3.3459999999999997E-2</v>
      </c>
      <c r="E642">
        <v>3.5290000000000002E-2</v>
      </c>
      <c r="F642">
        <v>54349259.299999997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-0.12649164677804176</v>
      </c>
      <c r="Q642">
        <f t="shared" si="990"/>
        <v>-6874727.3100238005</v>
      </c>
      <c r="R642">
        <f t="shared" si="991"/>
        <v>-44779364.502113596</v>
      </c>
      <c r="S642">
        <f t="shared" si="992"/>
        <v>-447.79364502113594</v>
      </c>
      <c r="T642">
        <f t="shared" si="993"/>
        <v>-0.44779364502113594</v>
      </c>
    </row>
    <row r="643" spans="1:20" x14ac:dyDescent="0.25">
      <c r="A643" s="5">
        <v>43950</v>
      </c>
      <c r="B643">
        <v>3.3669999999999999E-2</v>
      </c>
      <c r="C643">
        <v>3.5380000000000002E-2</v>
      </c>
      <c r="D643">
        <v>3.3369999999999997E-2</v>
      </c>
      <c r="E643">
        <v>3.508E-2</v>
      </c>
      <c r="F643">
        <v>51496460.200000003</v>
      </c>
      <c r="G643">
        <v>0</v>
      </c>
      <c r="L643" t="s">
        <v>8</v>
      </c>
      <c r="M643" t="s">
        <v>7</v>
      </c>
      <c r="N643" t="s">
        <v>7</v>
      </c>
      <c r="P643">
        <f t="shared" si="989"/>
        <v>0.70149253731343186</v>
      </c>
      <c r="Q643">
        <f t="shared" si="990"/>
        <v>36124382.528358161</v>
      </c>
      <c r="R643">
        <f t="shared" si="991"/>
        <v>-37904637.192089796</v>
      </c>
      <c r="S643">
        <f t="shared" si="992"/>
        <v>-379.04637192089797</v>
      </c>
      <c r="T643">
        <f t="shared" si="993"/>
        <v>-0.37904637192089796</v>
      </c>
    </row>
    <row r="644" spans="1:20" x14ac:dyDescent="0.25">
      <c r="A644" s="5">
        <v>43949</v>
      </c>
      <c r="B644">
        <v>3.388E-2</v>
      </c>
      <c r="C644">
        <v>3.4049999999999997E-2</v>
      </c>
      <c r="D644">
        <v>3.3399999999999999E-2</v>
      </c>
      <c r="E644">
        <v>3.3610000000000001E-2</v>
      </c>
      <c r="F644">
        <v>15649871.5</v>
      </c>
      <c r="G644">
        <v>0</v>
      </c>
      <c r="L644" t="s">
        <v>8</v>
      </c>
      <c r="M644" t="s">
        <v>7</v>
      </c>
      <c r="N644" t="s">
        <v>7</v>
      </c>
      <c r="P644">
        <f t="shared" si="989"/>
        <v>-0.35384615384614598</v>
      </c>
      <c r="Q644">
        <f t="shared" si="990"/>
        <v>-5537646.8384614158</v>
      </c>
      <c r="R644">
        <f t="shared" si="991"/>
        <v>-74029019.720447958</v>
      </c>
      <c r="S644">
        <f t="shared" si="992"/>
        <v>-740.29019720447957</v>
      </c>
      <c r="T644">
        <f t="shared" si="993"/>
        <v>-0.74029019720447953</v>
      </c>
    </row>
    <row r="645" spans="1:20" x14ac:dyDescent="0.25">
      <c r="A645" s="5">
        <v>43948</v>
      </c>
      <c r="B645">
        <v>3.4299999999999997E-2</v>
      </c>
      <c r="C645">
        <v>3.4709999999999998E-2</v>
      </c>
      <c r="D645">
        <v>3.3300000000000003E-2</v>
      </c>
      <c r="E645">
        <v>3.3939999999999998E-2</v>
      </c>
      <c r="F645">
        <v>29855212.800000001</v>
      </c>
      <c r="G645">
        <v>0</v>
      </c>
      <c r="L645" t="s">
        <v>8</v>
      </c>
      <c r="M645" t="s">
        <v>7</v>
      </c>
      <c r="N645" t="s">
        <v>7</v>
      </c>
      <c r="P645">
        <f t="shared" si="989"/>
        <v>-9.2198581560287665E-2</v>
      </c>
      <c r="Q645">
        <f t="shared" si="990"/>
        <v>-2752608.2723405445</v>
      </c>
      <c r="R645">
        <f t="shared" si="991"/>
        <v>-68491372.881986544</v>
      </c>
      <c r="S645">
        <f t="shared" si="992"/>
        <v>-684.91372881986547</v>
      </c>
      <c r="T645">
        <f t="shared" si="993"/>
        <v>-0.68491372881986545</v>
      </c>
    </row>
    <row r="646" spans="1:20" x14ac:dyDescent="0.25">
      <c r="A646" s="5">
        <v>43947</v>
      </c>
      <c r="B646">
        <v>3.3110000000000001E-2</v>
      </c>
      <c r="C646">
        <v>3.5060000000000001E-2</v>
      </c>
      <c r="D646">
        <v>3.3099999999999997E-2</v>
      </c>
      <c r="E646">
        <v>3.4290000000000001E-2</v>
      </c>
      <c r="F646">
        <v>39234979.899999999</v>
      </c>
      <c r="G646">
        <v>0</v>
      </c>
      <c r="L646" t="s">
        <v>8</v>
      </c>
      <c r="M646" t="s">
        <v>7</v>
      </c>
      <c r="N646" t="s">
        <v>7</v>
      </c>
      <c r="P646">
        <f t="shared" ref="P646:P709" si="994">IF(C646=D646,0,((E646-D646)-(C646-E646))/(C646-D646))</f>
        <v>0.2142857142857158</v>
      </c>
      <c r="Q646">
        <f t="shared" ref="Q646:Q709" si="995">F646*P646</f>
        <v>8407495.6928572021</v>
      </c>
      <c r="R646">
        <f t="shared" ref="R646:R709" si="996">R647+Q646</f>
        <v>-65738764.609645993</v>
      </c>
      <c r="S646">
        <f t="shared" ref="S646:S709" si="997">R646/100000</f>
        <v>-657.38764609645989</v>
      </c>
      <c r="T646">
        <f t="shared" ref="T646:T709" si="998">S646/1000</f>
        <v>-0.65738764609645994</v>
      </c>
    </row>
    <row r="647" spans="1:20" x14ac:dyDescent="0.25">
      <c r="A647" s="5">
        <v>43946</v>
      </c>
      <c r="B647">
        <v>3.3090000000000001E-2</v>
      </c>
      <c r="C647">
        <v>3.4000000000000002E-2</v>
      </c>
      <c r="D647">
        <v>3.2770000000000001E-2</v>
      </c>
      <c r="E647">
        <v>3.3189999999999997E-2</v>
      </c>
      <c r="F647">
        <v>28262487.399999999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-0.31707317073171365</v>
      </c>
      <c r="Q647">
        <f t="shared" si="995"/>
        <v>-8961276.4926831052</v>
      </c>
      <c r="R647">
        <f t="shared" si="996"/>
        <v>-74146260.302503198</v>
      </c>
      <c r="S647">
        <f t="shared" si="997"/>
        <v>-741.46260302503197</v>
      </c>
      <c r="T647">
        <f t="shared" si="998"/>
        <v>-0.74146260302503197</v>
      </c>
    </row>
    <row r="648" spans="1:20" x14ac:dyDescent="0.25">
      <c r="A648" s="5">
        <v>43945</v>
      </c>
      <c r="B648">
        <v>3.2759999999999997E-2</v>
      </c>
      <c r="C648">
        <v>3.4040000000000001E-2</v>
      </c>
      <c r="D648">
        <v>3.2660000000000002E-2</v>
      </c>
      <c r="E648">
        <v>3.3079999999999998E-2</v>
      </c>
      <c r="F648">
        <v>31189559.399999999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-0.3913043478260913</v>
      </c>
      <c r="Q648">
        <f t="shared" si="995"/>
        <v>-12204610.200000135</v>
      </c>
      <c r="R648">
        <f t="shared" si="996"/>
        <v>-65184983.809820101</v>
      </c>
      <c r="S648">
        <f t="shared" si="997"/>
        <v>-651.84983809820096</v>
      </c>
      <c r="T648">
        <f t="shared" si="998"/>
        <v>-0.65184983809820096</v>
      </c>
    </row>
    <row r="649" spans="1:20" x14ac:dyDescent="0.25">
      <c r="A649" s="5">
        <v>43944</v>
      </c>
      <c r="B649">
        <v>3.2689999999999997E-2</v>
      </c>
      <c r="C649">
        <v>3.3750000000000002E-2</v>
      </c>
      <c r="D649">
        <v>3.1300000000000001E-2</v>
      </c>
      <c r="E649">
        <v>3.2820000000000002E-2</v>
      </c>
      <c r="F649">
        <v>38213726.399999999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0.24081632653061227</v>
      </c>
      <c r="Q649">
        <f t="shared" si="995"/>
        <v>9202489.2146938778</v>
      </c>
      <c r="R649">
        <f t="shared" si="996"/>
        <v>-52980373.609819964</v>
      </c>
      <c r="S649">
        <f t="shared" si="997"/>
        <v>-529.80373609819958</v>
      </c>
      <c r="T649">
        <f t="shared" si="998"/>
        <v>-0.52980373609819953</v>
      </c>
    </row>
    <row r="650" spans="1:20" x14ac:dyDescent="0.25">
      <c r="A650" s="5">
        <v>43943</v>
      </c>
      <c r="B650">
        <v>3.0929999999999999E-2</v>
      </c>
      <c r="C650">
        <v>3.3599999999999998E-2</v>
      </c>
      <c r="D650">
        <v>3.0599999999999999E-2</v>
      </c>
      <c r="E650">
        <v>3.279E-2</v>
      </c>
      <c r="F650">
        <v>28788754.800000001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0.46000000000000102</v>
      </c>
      <c r="Q650">
        <f t="shared" si="995"/>
        <v>13242827.20800003</v>
      </c>
      <c r="R650">
        <f t="shared" si="996"/>
        <v>-62182862.824513838</v>
      </c>
      <c r="S650">
        <f t="shared" si="997"/>
        <v>-621.82862824513836</v>
      </c>
      <c r="T650">
        <f t="shared" si="998"/>
        <v>-0.6218286282451384</v>
      </c>
    </row>
    <row r="651" spans="1:20" x14ac:dyDescent="0.25">
      <c r="A651" s="5">
        <v>43942</v>
      </c>
      <c r="B651">
        <v>3.0849999999999999E-2</v>
      </c>
      <c r="C651">
        <v>3.1550000000000002E-2</v>
      </c>
      <c r="D651">
        <v>3.04E-2</v>
      </c>
      <c r="E651">
        <v>3.107E-2</v>
      </c>
      <c r="F651">
        <v>18393082.899999999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0.16521739130434687</v>
      </c>
      <c r="Q651">
        <f t="shared" si="995"/>
        <v>3038857.1747825909</v>
      </c>
      <c r="R651">
        <f t="shared" si="996"/>
        <v>-75425690.032513872</v>
      </c>
      <c r="S651">
        <f t="shared" si="997"/>
        <v>-754.25690032513876</v>
      </c>
      <c r="T651">
        <f t="shared" si="998"/>
        <v>-0.75425690032513881</v>
      </c>
    </row>
    <row r="652" spans="1:20" x14ac:dyDescent="0.25">
      <c r="A652" s="5">
        <v>43941</v>
      </c>
      <c r="B652">
        <v>3.2829999999999998E-2</v>
      </c>
      <c r="C652">
        <v>3.3680000000000002E-2</v>
      </c>
      <c r="D652">
        <v>3.024E-2</v>
      </c>
      <c r="E652">
        <v>3.0839999999999999E-2</v>
      </c>
      <c r="F652">
        <v>28866495.899999999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-0.65116279069767469</v>
      </c>
      <c r="Q652">
        <f t="shared" si="995"/>
        <v>-18796788.027906984</v>
      </c>
      <c r="R652">
        <f t="shared" si="996"/>
        <v>-78464547.207296461</v>
      </c>
      <c r="S652">
        <f t="shared" si="997"/>
        <v>-784.64547207296459</v>
      </c>
      <c r="T652">
        <f t="shared" si="998"/>
        <v>-0.78464547207296464</v>
      </c>
    </row>
    <row r="653" spans="1:20" x14ac:dyDescent="0.25">
      <c r="A653" s="5">
        <v>43940</v>
      </c>
      <c r="B653">
        <v>3.4130000000000001E-2</v>
      </c>
      <c r="C653">
        <v>3.4270000000000002E-2</v>
      </c>
      <c r="D653">
        <v>3.2439999999999997E-2</v>
      </c>
      <c r="E653">
        <v>3.2969999999999999E-2</v>
      </c>
      <c r="F653">
        <v>19550538.600000001</v>
      </c>
      <c r="G653">
        <v>0</v>
      </c>
      <c r="L653" t="s">
        <v>7</v>
      </c>
      <c r="M653" t="s">
        <v>7</v>
      </c>
      <c r="N653" t="s">
        <v>7</v>
      </c>
      <c r="P653">
        <f t="shared" si="994"/>
        <v>-0.42076502732240306</v>
      </c>
      <c r="Q653">
        <f t="shared" si="995"/>
        <v>-8226182.9081966961</v>
      </c>
      <c r="R653">
        <f t="shared" si="996"/>
        <v>-59667759.179389477</v>
      </c>
      <c r="S653">
        <f t="shared" si="997"/>
        <v>-596.67759179389475</v>
      </c>
      <c r="T653">
        <f t="shared" si="998"/>
        <v>-0.59667759179389479</v>
      </c>
    </row>
    <row r="654" spans="1:20" x14ac:dyDescent="0.25">
      <c r="A654" s="5">
        <v>43939</v>
      </c>
      <c r="B654">
        <v>3.2500000000000001E-2</v>
      </c>
      <c r="C654">
        <v>3.4520000000000002E-2</v>
      </c>
      <c r="D654">
        <v>3.2489999999999998E-2</v>
      </c>
      <c r="E654">
        <v>3.4130000000000001E-2</v>
      </c>
      <c r="F654">
        <v>30554476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0.61576354679802892</v>
      </c>
      <c r="Q654">
        <f t="shared" si="995"/>
        <v>18814332.512315251</v>
      </c>
      <c r="R654">
        <f t="shared" si="996"/>
        <v>-51441576.271192782</v>
      </c>
      <c r="S654">
        <f t="shared" si="997"/>
        <v>-514.41576271192787</v>
      </c>
      <c r="T654">
        <f t="shared" si="998"/>
        <v>-0.5144157627119279</v>
      </c>
    </row>
    <row r="655" spans="1:20" x14ac:dyDescent="0.25">
      <c r="A655" s="5">
        <v>43938</v>
      </c>
      <c r="B655">
        <v>3.3050000000000003E-2</v>
      </c>
      <c r="C655">
        <v>3.3050000000000003E-2</v>
      </c>
      <c r="D655">
        <v>3.2000000000000001E-2</v>
      </c>
      <c r="E655">
        <v>3.2629999999999999E-2</v>
      </c>
      <c r="F655">
        <v>17159279.5</v>
      </c>
      <c r="G655">
        <v>0</v>
      </c>
      <c r="L655" t="s">
        <v>7</v>
      </c>
      <c r="M655" t="s">
        <v>7</v>
      </c>
      <c r="N655" t="s">
        <v>7</v>
      </c>
      <c r="P655">
        <f t="shared" si="994"/>
        <v>0.19999999999999471</v>
      </c>
      <c r="Q655">
        <f t="shared" si="995"/>
        <v>3431855.8999999091</v>
      </c>
      <c r="R655">
        <f t="shared" si="996"/>
        <v>-70255908.783508033</v>
      </c>
      <c r="S655">
        <f t="shared" si="997"/>
        <v>-702.55908783508028</v>
      </c>
      <c r="T655">
        <f t="shared" si="998"/>
        <v>-0.70255908783508025</v>
      </c>
    </row>
    <row r="656" spans="1:20" x14ac:dyDescent="0.25">
      <c r="A656" s="5">
        <v>43937</v>
      </c>
      <c r="B656">
        <v>3.1980000000000001E-2</v>
      </c>
      <c r="C656">
        <v>3.3500000000000002E-2</v>
      </c>
      <c r="D656">
        <v>3.0759999999999999E-2</v>
      </c>
      <c r="E656">
        <v>3.2890000000000003E-2</v>
      </c>
      <c r="F656">
        <v>26364770.100000001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0.55474452554744613</v>
      </c>
      <c r="Q656">
        <f t="shared" si="995"/>
        <v>14625711.880291995</v>
      </c>
      <c r="R656">
        <f t="shared" si="996"/>
        <v>-73687764.683507949</v>
      </c>
      <c r="S656">
        <f t="shared" si="997"/>
        <v>-736.87764683507953</v>
      </c>
      <c r="T656">
        <f t="shared" si="998"/>
        <v>-0.7368776468350795</v>
      </c>
    </row>
    <row r="657" spans="1:20" x14ac:dyDescent="0.25">
      <c r="A657" s="5">
        <v>43936</v>
      </c>
      <c r="B657">
        <v>3.3009999999999998E-2</v>
      </c>
      <c r="C657">
        <v>3.3489999999999999E-2</v>
      </c>
      <c r="D657">
        <v>3.1800000000000002E-2</v>
      </c>
      <c r="E657">
        <v>3.209E-2</v>
      </c>
      <c r="F657">
        <v>12920157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-0.65680473372781167</v>
      </c>
      <c r="Q657">
        <f t="shared" si="995"/>
        <v>-8486020.2781065218</v>
      </c>
      <c r="R657">
        <f t="shared" si="996"/>
        <v>-88313476.563799948</v>
      </c>
      <c r="S657">
        <f t="shared" si="997"/>
        <v>-883.13476563799952</v>
      </c>
      <c r="T657">
        <f t="shared" si="998"/>
        <v>-0.88313476563799953</v>
      </c>
    </row>
    <row r="658" spans="1:20" x14ac:dyDescent="0.25">
      <c r="A658" s="5">
        <v>43935</v>
      </c>
      <c r="B658">
        <v>3.243E-2</v>
      </c>
      <c r="C658">
        <v>3.3270000000000001E-2</v>
      </c>
      <c r="D658">
        <v>3.1960000000000002E-2</v>
      </c>
      <c r="E658">
        <v>3.3050000000000003E-2</v>
      </c>
      <c r="F658">
        <v>13609370.1</v>
      </c>
      <c r="G658">
        <v>0</v>
      </c>
      <c r="L658" t="s">
        <v>7</v>
      </c>
      <c r="M658" t="s">
        <v>7</v>
      </c>
      <c r="N658" t="s">
        <v>7</v>
      </c>
      <c r="P658">
        <f t="shared" si="994"/>
        <v>0.66412213740458292</v>
      </c>
      <c r="Q658">
        <f t="shared" si="995"/>
        <v>9038283.959542023</v>
      </c>
      <c r="R658">
        <f t="shared" si="996"/>
        <v>-79827456.285693422</v>
      </c>
      <c r="S658">
        <f t="shared" si="997"/>
        <v>-798.27456285693427</v>
      </c>
      <c r="T658">
        <f t="shared" si="998"/>
        <v>-0.79827456285693432</v>
      </c>
    </row>
    <row r="659" spans="1:20" x14ac:dyDescent="0.25">
      <c r="A659" s="5">
        <v>43934</v>
      </c>
      <c r="B659">
        <v>3.3189999999999997E-2</v>
      </c>
      <c r="C659">
        <v>3.3239999999999999E-2</v>
      </c>
      <c r="D659">
        <v>3.1449999999999999E-2</v>
      </c>
      <c r="E659">
        <v>3.243E-2</v>
      </c>
      <c r="F659">
        <v>24357575.699999999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9.4972067039108099E-2</v>
      </c>
      <c r="Q659">
        <f t="shared" si="995"/>
        <v>2313289.3122905502</v>
      </c>
      <c r="R659">
        <f t="shared" si="996"/>
        <v>-88865740.245235443</v>
      </c>
      <c r="S659">
        <f t="shared" si="997"/>
        <v>-888.6574024523544</v>
      </c>
      <c r="T659">
        <f t="shared" si="998"/>
        <v>-0.88865740245235436</v>
      </c>
    </row>
    <row r="660" spans="1:20" x14ac:dyDescent="0.25">
      <c r="A660" s="5">
        <v>43933</v>
      </c>
      <c r="B660">
        <v>3.2730000000000002E-2</v>
      </c>
      <c r="C660">
        <v>3.4869999999999998E-2</v>
      </c>
      <c r="D660">
        <v>3.2129999999999999E-2</v>
      </c>
      <c r="E660">
        <v>3.3110000000000001E-2</v>
      </c>
      <c r="F660">
        <v>28257698.5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-0.28467153284671393</v>
      </c>
      <c r="Q660">
        <f t="shared" si="995"/>
        <v>-8044162.3467152892</v>
      </c>
      <c r="R660">
        <f t="shared" si="996"/>
        <v>-91179029.557525992</v>
      </c>
      <c r="S660">
        <f t="shared" si="997"/>
        <v>-911.79029557525996</v>
      </c>
      <c r="T660">
        <f t="shared" si="998"/>
        <v>-0.91179029557525992</v>
      </c>
    </row>
    <row r="661" spans="1:20" x14ac:dyDescent="0.25">
      <c r="A661" s="5">
        <v>43932</v>
      </c>
      <c r="B661">
        <v>3.27E-2</v>
      </c>
      <c r="C661">
        <v>3.5090000000000003E-2</v>
      </c>
      <c r="D661">
        <v>3.1870000000000002E-2</v>
      </c>
      <c r="E661">
        <v>3.2800000000000003E-2</v>
      </c>
      <c r="F661">
        <v>24964172.199999999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-0.42236024844720493</v>
      </c>
      <c r="Q661">
        <f t="shared" si="995"/>
        <v>-10543873.972670807</v>
      </c>
      <c r="R661">
        <f t="shared" si="996"/>
        <v>-83134867.210810706</v>
      </c>
      <c r="S661">
        <f t="shared" si="997"/>
        <v>-831.34867210810705</v>
      </c>
      <c r="T661">
        <f t="shared" si="998"/>
        <v>-0.83134867210810703</v>
      </c>
    </row>
    <row r="662" spans="1:20" x14ac:dyDescent="0.25">
      <c r="A662" s="5">
        <v>43931</v>
      </c>
      <c r="B662">
        <v>3.6679999999999997E-2</v>
      </c>
      <c r="C662">
        <v>3.8080000000000003E-2</v>
      </c>
      <c r="D662">
        <v>3.1620000000000002E-2</v>
      </c>
      <c r="E662">
        <v>3.2689999999999997E-2</v>
      </c>
      <c r="F662">
        <v>91616112.599999994</v>
      </c>
      <c r="G662">
        <v>0</v>
      </c>
      <c r="L662" t="s">
        <v>8</v>
      </c>
      <c r="M662" t="s">
        <v>8</v>
      </c>
      <c r="N662" t="s">
        <v>7</v>
      </c>
      <c r="P662">
        <f t="shared" si="994"/>
        <v>-0.66873065015480049</v>
      </c>
      <c r="Q662">
        <f t="shared" si="995"/>
        <v>-61266502.543653406</v>
      </c>
      <c r="R662">
        <f t="shared" si="996"/>
        <v>-72590993.238139898</v>
      </c>
      <c r="S662">
        <f t="shared" si="997"/>
        <v>-725.90993238139902</v>
      </c>
      <c r="T662">
        <f t="shared" si="998"/>
        <v>-0.725909932381399</v>
      </c>
    </row>
    <row r="663" spans="1:20" x14ac:dyDescent="0.25">
      <c r="A663" s="5">
        <v>43930</v>
      </c>
      <c r="B663">
        <v>3.3849999999999998E-2</v>
      </c>
      <c r="C663">
        <v>3.6769999999999997E-2</v>
      </c>
      <c r="D663">
        <v>3.27E-2</v>
      </c>
      <c r="E663">
        <v>3.6679999999999997E-2</v>
      </c>
      <c r="F663">
        <v>57362565.5</v>
      </c>
      <c r="G663">
        <v>0</v>
      </c>
      <c r="L663" t="s">
        <v>8</v>
      </c>
      <c r="M663" t="s">
        <v>8</v>
      </c>
      <c r="N663" t="s">
        <v>7</v>
      </c>
      <c r="P663">
        <f t="shared" si="994"/>
        <v>0.95577395577395585</v>
      </c>
      <c r="Q663">
        <f t="shared" si="995"/>
        <v>54825646.141277649</v>
      </c>
      <c r="R663">
        <f t="shared" si="996"/>
        <v>-11324490.694486484</v>
      </c>
      <c r="S663">
        <f t="shared" si="997"/>
        <v>-113.24490694486484</v>
      </c>
      <c r="T663">
        <f t="shared" si="998"/>
        <v>-0.11324490694486483</v>
      </c>
    </row>
    <row r="664" spans="1:20" x14ac:dyDescent="0.25">
      <c r="A664" s="5">
        <v>43929</v>
      </c>
      <c r="B664">
        <v>3.3500000000000002E-2</v>
      </c>
      <c r="C664">
        <v>3.4500000000000003E-2</v>
      </c>
      <c r="D664">
        <v>3.3239999999999999E-2</v>
      </c>
      <c r="E664">
        <v>3.3790000000000001E-2</v>
      </c>
      <c r="F664">
        <v>30156167.600000001</v>
      </c>
      <c r="G664">
        <v>0</v>
      </c>
      <c r="L664" t="s">
        <v>8</v>
      </c>
      <c r="M664" t="s">
        <v>8</v>
      </c>
      <c r="N664" t="s">
        <v>7</v>
      </c>
      <c r="P664">
        <f t="shared" si="994"/>
        <v>-0.12698412698412689</v>
      </c>
      <c r="Q664">
        <f t="shared" si="995"/>
        <v>-3829354.6158730132</v>
      </c>
      <c r="R664">
        <f t="shared" si="996"/>
        <v>-66150136.835764132</v>
      </c>
      <c r="S664">
        <f t="shared" si="997"/>
        <v>-661.50136835764135</v>
      </c>
      <c r="T664">
        <f t="shared" si="998"/>
        <v>-0.66150136835764139</v>
      </c>
    </row>
    <row r="665" spans="1:20" x14ac:dyDescent="0.25">
      <c r="A665" s="5">
        <v>43928</v>
      </c>
      <c r="B665">
        <v>3.5009999999999999E-2</v>
      </c>
      <c r="C665">
        <v>3.5770000000000003E-2</v>
      </c>
      <c r="D665">
        <v>3.3119999999999997E-2</v>
      </c>
      <c r="E665">
        <v>3.3550000000000003E-2</v>
      </c>
      <c r="F665">
        <v>52501184.100000001</v>
      </c>
      <c r="G665">
        <v>0</v>
      </c>
      <c r="L665" t="s">
        <v>8</v>
      </c>
      <c r="M665" t="s">
        <v>8</v>
      </c>
      <c r="N665" t="s">
        <v>7</v>
      </c>
      <c r="P665">
        <f t="shared" si="994"/>
        <v>-0.67547169811320329</v>
      </c>
      <c r="Q665">
        <f t="shared" si="995"/>
        <v>-35463063.97698091</v>
      </c>
      <c r="R665">
        <f t="shared" si="996"/>
        <v>-62320782.219891116</v>
      </c>
      <c r="S665">
        <f t="shared" si="997"/>
        <v>-623.20782219891112</v>
      </c>
      <c r="T665">
        <f t="shared" si="998"/>
        <v>-0.62320782219891113</v>
      </c>
    </row>
    <row r="666" spans="1:20" x14ac:dyDescent="0.25">
      <c r="A666" s="5">
        <v>43927</v>
      </c>
      <c r="B666">
        <v>3.2910000000000002E-2</v>
      </c>
      <c r="C666">
        <v>3.5150000000000001E-2</v>
      </c>
      <c r="D666">
        <v>3.261E-2</v>
      </c>
      <c r="E666">
        <v>3.5000000000000003E-2</v>
      </c>
      <c r="F666">
        <v>48228710.299999997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0.88188976377952966</v>
      </c>
      <c r="Q666">
        <f t="shared" si="995"/>
        <v>42532405.933858365</v>
      </c>
      <c r="R666">
        <f t="shared" si="996"/>
        <v>-26857718.242910206</v>
      </c>
      <c r="S666">
        <f t="shared" si="997"/>
        <v>-268.57718242910204</v>
      </c>
      <c r="T666">
        <f t="shared" si="998"/>
        <v>-0.26857718242910206</v>
      </c>
    </row>
    <row r="667" spans="1:20" x14ac:dyDescent="0.25">
      <c r="A667" s="5">
        <v>43926</v>
      </c>
      <c r="B667">
        <v>3.3570000000000003E-2</v>
      </c>
      <c r="C667">
        <v>3.3700000000000001E-2</v>
      </c>
      <c r="D667">
        <v>3.2399999999999998E-2</v>
      </c>
      <c r="E667">
        <v>3.2910000000000002E-2</v>
      </c>
      <c r="F667">
        <v>12436464.6</v>
      </c>
      <c r="G667">
        <v>0</v>
      </c>
      <c r="L667" t="s">
        <v>7</v>
      </c>
      <c r="M667" t="s">
        <v>8</v>
      </c>
      <c r="N667" t="s">
        <v>7</v>
      </c>
      <c r="P667">
        <f t="shared" si="994"/>
        <v>-0.21538461538461154</v>
      </c>
      <c r="Q667">
        <f t="shared" si="995"/>
        <v>-2678623.1446153368</v>
      </c>
      <c r="R667">
        <f t="shared" si="996"/>
        <v>-69390124.176768571</v>
      </c>
      <c r="S667">
        <f t="shared" si="997"/>
        <v>-693.90124176768575</v>
      </c>
      <c r="T667">
        <f t="shared" si="998"/>
        <v>-0.69390124176768575</v>
      </c>
    </row>
    <row r="668" spans="1:20" x14ac:dyDescent="0.25">
      <c r="A668" s="5">
        <v>43925</v>
      </c>
      <c r="B668">
        <v>3.3890000000000003E-2</v>
      </c>
      <c r="C668">
        <v>3.3890000000000003E-2</v>
      </c>
      <c r="D668">
        <v>3.27E-2</v>
      </c>
      <c r="E668">
        <v>3.3570000000000003E-2</v>
      </c>
      <c r="F668">
        <v>27736832</v>
      </c>
      <c r="G668">
        <v>0</v>
      </c>
      <c r="L668" t="s">
        <v>8</v>
      </c>
      <c r="M668" t="s">
        <v>8</v>
      </c>
      <c r="N668" t="s">
        <v>7</v>
      </c>
      <c r="P668">
        <f t="shared" si="994"/>
        <v>0.46218487394958002</v>
      </c>
      <c r="Q668">
        <f t="shared" si="995"/>
        <v>12819544.201680677</v>
      </c>
      <c r="R668">
        <f t="shared" si="996"/>
        <v>-66711501.032153234</v>
      </c>
      <c r="S668">
        <f t="shared" si="997"/>
        <v>-667.1150103215324</v>
      </c>
      <c r="T668">
        <f t="shared" si="998"/>
        <v>-0.66711501032153242</v>
      </c>
    </row>
    <row r="669" spans="1:20" x14ac:dyDescent="0.25">
      <c r="A669" s="5">
        <v>43924</v>
      </c>
      <c r="B669">
        <v>3.3419999999999998E-2</v>
      </c>
      <c r="C669">
        <v>3.4889999999999997E-2</v>
      </c>
      <c r="D669">
        <v>3.2210000000000003E-2</v>
      </c>
      <c r="E669">
        <v>3.3890000000000003E-2</v>
      </c>
      <c r="F669">
        <v>49772530.799999997</v>
      </c>
      <c r="G669">
        <v>0</v>
      </c>
      <c r="L669" t="s">
        <v>8</v>
      </c>
      <c r="M669" t="s">
        <v>8</v>
      </c>
      <c r="N669" t="s">
        <v>7</v>
      </c>
      <c r="P669">
        <f t="shared" si="994"/>
        <v>0.25373134328358515</v>
      </c>
      <c r="Q669">
        <f t="shared" si="995"/>
        <v>12628851.098507615</v>
      </c>
      <c r="R669">
        <f t="shared" si="996"/>
        <v>-79531045.233833909</v>
      </c>
      <c r="S669">
        <f t="shared" si="997"/>
        <v>-795.31045233833913</v>
      </c>
      <c r="T669">
        <f t="shared" si="998"/>
        <v>-0.79531045233833908</v>
      </c>
    </row>
    <row r="670" spans="1:20" x14ac:dyDescent="0.25">
      <c r="A670" s="5">
        <v>43923</v>
      </c>
      <c r="B670">
        <v>3.2550000000000003E-2</v>
      </c>
      <c r="C670">
        <v>3.4509999999999999E-2</v>
      </c>
      <c r="D670">
        <v>3.175E-2</v>
      </c>
      <c r="E670">
        <v>3.3419999999999998E-2</v>
      </c>
      <c r="F670">
        <v>60813952.299999997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0.21014492753623099</v>
      </c>
      <c r="Q670">
        <f t="shared" si="995"/>
        <v>12779743.599275308</v>
      </c>
      <c r="R670">
        <f t="shared" si="996"/>
        <v>-92159896.332341522</v>
      </c>
      <c r="S670">
        <f t="shared" si="997"/>
        <v>-921.59896332341521</v>
      </c>
      <c r="T670">
        <f t="shared" si="998"/>
        <v>-0.92159896332341518</v>
      </c>
    </row>
    <row r="671" spans="1:20" x14ac:dyDescent="0.25">
      <c r="A671" s="5">
        <v>43922</v>
      </c>
      <c r="B671">
        <v>3.1829999999999997E-2</v>
      </c>
      <c r="C671">
        <v>3.3369999999999997E-2</v>
      </c>
      <c r="D671">
        <v>3.0870000000000002E-2</v>
      </c>
      <c r="E671">
        <v>3.2469999999999999E-2</v>
      </c>
      <c r="F671">
        <v>44013576.5</v>
      </c>
      <c r="G671">
        <v>0</v>
      </c>
      <c r="L671" t="s">
        <v>8</v>
      </c>
      <c r="M671" t="s">
        <v>7</v>
      </c>
      <c r="N671" t="s">
        <v>7</v>
      </c>
      <c r="P671">
        <f t="shared" si="994"/>
        <v>0.28000000000000025</v>
      </c>
      <c r="Q671">
        <f t="shared" si="995"/>
        <v>12323801.420000011</v>
      </c>
      <c r="R671">
        <f t="shared" si="996"/>
        <v>-104939639.93161683</v>
      </c>
      <c r="S671">
        <f t="shared" si="997"/>
        <v>-1049.3963993161683</v>
      </c>
      <c r="T671">
        <f t="shared" si="998"/>
        <v>-1.0493963993161683</v>
      </c>
    </row>
    <row r="672" spans="1:20" x14ac:dyDescent="0.25">
      <c r="A672" s="5">
        <v>43921</v>
      </c>
      <c r="B672">
        <v>3.177E-2</v>
      </c>
      <c r="C672">
        <v>3.261E-2</v>
      </c>
      <c r="D672">
        <v>3.092E-2</v>
      </c>
      <c r="E672">
        <v>3.1829999999999997E-2</v>
      </c>
      <c r="F672">
        <v>28356430</v>
      </c>
      <c r="G672">
        <v>0</v>
      </c>
      <c r="L672" t="s">
        <v>8</v>
      </c>
      <c r="M672" t="s">
        <v>7</v>
      </c>
      <c r="N672" t="s">
        <v>7</v>
      </c>
      <c r="P672">
        <f t="shared" si="994"/>
        <v>7.6923076923073763E-2</v>
      </c>
      <c r="Q672">
        <f t="shared" si="995"/>
        <v>2181263.8461537566</v>
      </c>
      <c r="R672">
        <f t="shared" si="996"/>
        <v>-117263441.35161684</v>
      </c>
      <c r="S672">
        <f t="shared" si="997"/>
        <v>-1172.6344135161685</v>
      </c>
      <c r="T672">
        <f t="shared" si="998"/>
        <v>-1.1726344135161684</v>
      </c>
    </row>
    <row r="673" spans="1:20" x14ac:dyDescent="0.25">
      <c r="A673" s="5">
        <v>43920</v>
      </c>
      <c r="B673">
        <v>3.0599999999999999E-2</v>
      </c>
      <c r="C673">
        <v>3.2390000000000002E-2</v>
      </c>
      <c r="D673">
        <v>3.04E-2</v>
      </c>
      <c r="E673">
        <v>3.177E-2</v>
      </c>
      <c r="F673">
        <v>38568346.100000001</v>
      </c>
      <c r="G673">
        <v>0</v>
      </c>
      <c r="L673" t="s">
        <v>7</v>
      </c>
      <c r="M673" t="s">
        <v>7</v>
      </c>
      <c r="N673" t="s">
        <v>7</v>
      </c>
      <c r="P673">
        <f t="shared" si="994"/>
        <v>0.37688442211055095</v>
      </c>
      <c r="Q673">
        <f t="shared" si="995"/>
        <v>14535808.831658222</v>
      </c>
      <c r="R673">
        <f t="shared" si="996"/>
        <v>-119444705.1977706</v>
      </c>
      <c r="S673">
        <f t="shared" si="997"/>
        <v>-1194.447051977706</v>
      </c>
      <c r="T673">
        <f t="shared" si="998"/>
        <v>-1.194447051977706</v>
      </c>
    </row>
    <row r="674" spans="1:20" x14ac:dyDescent="0.25">
      <c r="A674" s="5">
        <v>43919</v>
      </c>
      <c r="B674">
        <v>3.1099999999999999E-2</v>
      </c>
      <c r="C674">
        <v>3.3189999999999997E-2</v>
      </c>
      <c r="D674">
        <v>2.998E-2</v>
      </c>
      <c r="E674">
        <v>3.0499999999999999E-2</v>
      </c>
      <c r="F674">
        <v>48732619.100000001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-0.67601246105919</v>
      </c>
      <c r="Q674">
        <f t="shared" si="995"/>
        <v>-32943857.771651089</v>
      </c>
      <c r="R674">
        <f t="shared" si="996"/>
        <v>-133980514.02942881</v>
      </c>
      <c r="S674">
        <f t="shared" si="997"/>
        <v>-1339.8051402942881</v>
      </c>
      <c r="T674">
        <f t="shared" si="998"/>
        <v>-1.3398051402942881</v>
      </c>
    </row>
    <row r="675" spans="1:20" x14ac:dyDescent="0.25">
      <c r="A675" s="5">
        <v>43918</v>
      </c>
      <c r="B675">
        <v>3.1579999999999997E-2</v>
      </c>
      <c r="C675">
        <v>3.2750000000000001E-2</v>
      </c>
      <c r="D675">
        <v>2.9180000000000001E-2</v>
      </c>
      <c r="E675">
        <v>3.0949999999999998E-2</v>
      </c>
      <c r="F675">
        <v>43140212.700000003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-8.4033613445394159E-3</v>
      </c>
      <c r="Q675">
        <f t="shared" si="995"/>
        <v>-362522.79579838843</v>
      </c>
      <c r="R675">
        <f t="shared" si="996"/>
        <v>-101036656.25777772</v>
      </c>
      <c r="S675">
        <f t="shared" si="997"/>
        <v>-1010.3665625777772</v>
      </c>
      <c r="T675">
        <f t="shared" si="998"/>
        <v>-1.0103665625777773</v>
      </c>
    </row>
    <row r="676" spans="1:20" x14ac:dyDescent="0.25">
      <c r="A676" s="5">
        <v>43917</v>
      </c>
      <c r="B676">
        <v>3.3950000000000001E-2</v>
      </c>
      <c r="C676">
        <v>3.44E-2</v>
      </c>
      <c r="D676">
        <v>3.1269999999999999E-2</v>
      </c>
      <c r="E676">
        <v>3.177E-2</v>
      </c>
      <c r="F676">
        <v>41529820.200000003</v>
      </c>
      <c r="G676">
        <v>0</v>
      </c>
      <c r="L676" t="s">
        <v>7</v>
      </c>
      <c r="M676" t="s">
        <v>8</v>
      </c>
      <c r="N676" t="s">
        <v>7</v>
      </c>
      <c r="P676">
        <f t="shared" si="994"/>
        <v>-0.68051118210862604</v>
      </c>
      <c r="Q676">
        <f t="shared" si="995"/>
        <v>-28261507.0370607</v>
      </c>
      <c r="R676">
        <f t="shared" si="996"/>
        <v>-100674133.46197933</v>
      </c>
      <c r="S676">
        <f t="shared" si="997"/>
        <v>-1006.7413346197933</v>
      </c>
      <c r="T676">
        <f t="shared" si="998"/>
        <v>-1.0067413346197933</v>
      </c>
    </row>
    <row r="677" spans="1:20" x14ac:dyDescent="0.25">
      <c r="A677" s="5">
        <v>43916</v>
      </c>
      <c r="B677">
        <v>3.2890000000000003E-2</v>
      </c>
      <c r="C677">
        <v>3.4430000000000002E-2</v>
      </c>
      <c r="D677">
        <v>3.1820000000000001E-2</v>
      </c>
      <c r="E677">
        <v>3.3860000000000001E-2</v>
      </c>
      <c r="F677">
        <v>26493967.300000001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0.56321839080459712</v>
      </c>
      <c r="Q677">
        <f t="shared" si="995"/>
        <v>14921889.628735617</v>
      </c>
      <c r="R677">
        <f t="shared" si="996"/>
        <v>-72412626.424918637</v>
      </c>
      <c r="S677">
        <f t="shared" si="997"/>
        <v>-724.12626424918642</v>
      </c>
      <c r="T677">
        <f t="shared" si="998"/>
        <v>-0.72412626424918647</v>
      </c>
    </row>
    <row r="678" spans="1:20" x14ac:dyDescent="0.25">
      <c r="A678" s="5">
        <v>43915</v>
      </c>
      <c r="B678">
        <v>3.3480000000000003E-2</v>
      </c>
      <c r="C678">
        <v>3.499E-2</v>
      </c>
      <c r="D678">
        <v>3.1699999999999999E-2</v>
      </c>
      <c r="E678">
        <v>3.2930000000000001E-2</v>
      </c>
      <c r="F678">
        <v>42215542.299999997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-0.25227963525835778</v>
      </c>
      <c r="Q678">
        <f t="shared" si="995"/>
        <v>-10650121.613677774</v>
      </c>
      <c r="R678">
        <f t="shared" si="996"/>
        <v>-87334516.053654253</v>
      </c>
      <c r="S678">
        <f t="shared" si="997"/>
        <v>-873.34516053654249</v>
      </c>
      <c r="T678">
        <f t="shared" si="998"/>
        <v>-0.87334516053654254</v>
      </c>
    </row>
    <row r="679" spans="1:20" x14ac:dyDescent="0.25">
      <c r="A679" s="5">
        <v>43914</v>
      </c>
      <c r="B679">
        <v>3.4340000000000002E-2</v>
      </c>
      <c r="C679">
        <v>3.5979999999999998E-2</v>
      </c>
      <c r="D679">
        <v>3.175E-2</v>
      </c>
      <c r="E679">
        <v>3.347E-2</v>
      </c>
      <c r="F679">
        <v>58892118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-0.18676122931442068</v>
      </c>
      <c r="Q679">
        <f t="shared" si="995"/>
        <v>-10998764.354609922</v>
      </c>
      <c r="R679">
        <f t="shared" si="996"/>
        <v>-76684394.439976484</v>
      </c>
      <c r="S679">
        <f t="shared" si="997"/>
        <v>-766.84394439976484</v>
      </c>
      <c r="T679">
        <f t="shared" si="998"/>
        <v>-0.76684394439976489</v>
      </c>
    </row>
    <row r="680" spans="1:20" x14ac:dyDescent="0.25">
      <c r="A680" s="5">
        <v>43913</v>
      </c>
      <c r="B680">
        <v>3.3180000000000001E-2</v>
      </c>
      <c r="C680">
        <v>3.4930000000000003E-2</v>
      </c>
      <c r="D680">
        <v>2.9579999999999999E-2</v>
      </c>
      <c r="E680">
        <v>3.4340000000000002E-2</v>
      </c>
      <c r="F680">
        <v>142307474.80000001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0.77943925233644862</v>
      </c>
      <c r="Q680">
        <f t="shared" si="995"/>
        <v>110920031.76000001</v>
      </c>
      <c r="R680">
        <f t="shared" si="996"/>
        <v>-65685630.085366562</v>
      </c>
      <c r="S680">
        <f t="shared" si="997"/>
        <v>-656.85630085366563</v>
      </c>
      <c r="T680">
        <f t="shared" si="998"/>
        <v>-0.65685630085366564</v>
      </c>
    </row>
    <row r="681" spans="1:20" x14ac:dyDescent="0.25">
      <c r="A681" s="5">
        <v>43912</v>
      </c>
      <c r="B681">
        <v>3.7350000000000001E-2</v>
      </c>
      <c r="C681">
        <v>3.8760000000000003E-2</v>
      </c>
      <c r="D681">
        <v>3.3079999999999998E-2</v>
      </c>
      <c r="E681">
        <v>3.3439999999999998E-2</v>
      </c>
      <c r="F681">
        <v>38673623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-0.8732394366197187</v>
      </c>
      <c r="Q681">
        <f t="shared" si="995"/>
        <v>-33771332.760563396</v>
      </c>
      <c r="R681">
        <f t="shared" si="996"/>
        <v>-176605661.84536657</v>
      </c>
      <c r="S681">
        <f t="shared" si="997"/>
        <v>-1766.0566184536656</v>
      </c>
      <c r="T681">
        <f t="shared" si="998"/>
        <v>-1.7660566184536657</v>
      </c>
    </row>
    <row r="682" spans="1:20" x14ac:dyDescent="0.25">
      <c r="A682" s="5">
        <v>43911</v>
      </c>
      <c r="B682">
        <v>3.8109999999999998E-2</v>
      </c>
      <c r="C682">
        <v>3.9449999999999999E-2</v>
      </c>
      <c r="D682">
        <v>3.4729999999999997E-2</v>
      </c>
      <c r="E682">
        <v>3.7199999999999997E-2</v>
      </c>
      <c r="F682">
        <v>38970531.700000003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4.6610169491524973E-2</v>
      </c>
      <c r="Q682">
        <f t="shared" si="995"/>
        <v>1816423.0877118469</v>
      </c>
      <c r="R682">
        <f t="shared" si="996"/>
        <v>-142834329.08480316</v>
      </c>
      <c r="S682">
        <f t="shared" si="997"/>
        <v>-1428.3432908480315</v>
      </c>
      <c r="T682">
        <f t="shared" si="998"/>
        <v>-1.4283432908480316</v>
      </c>
    </row>
    <row r="683" spans="1:20" x14ac:dyDescent="0.25">
      <c r="A683" s="5">
        <v>43910</v>
      </c>
      <c r="B683">
        <v>4.079E-2</v>
      </c>
      <c r="C683">
        <v>4.3880000000000002E-2</v>
      </c>
      <c r="D683">
        <v>3.5709999999999999E-2</v>
      </c>
      <c r="E683">
        <v>3.8109999999999998E-2</v>
      </c>
      <c r="F683">
        <v>89911191.799999997</v>
      </c>
      <c r="G683">
        <v>0</v>
      </c>
      <c r="L683" t="s">
        <v>8</v>
      </c>
      <c r="M683" t="s">
        <v>7</v>
      </c>
      <c r="N683" t="s">
        <v>8</v>
      </c>
      <c r="P683">
        <f t="shared" si="994"/>
        <v>-0.41248470012239946</v>
      </c>
      <c r="Q683">
        <f t="shared" si="995"/>
        <v>-37086990.987270541</v>
      </c>
      <c r="R683">
        <f t="shared" si="996"/>
        <v>-144650752.172515</v>
      </c>
      <c r="S683">
        <f t="shared" si="997"/>
        <v>-1446.5075217251501</v>
      </c>
      <c r="T683">
        <f t="shared" si="998"/>
        <v>-1.4465075217251502</v>
      </c>
    </row>
    <row r="684" spans="1:20" x14ac:dyDescent="0.25">
      <c r="A684" s="5">
        <v>43909</v>
      </c>
      <c r="B684">
        <v>3.6740000000000002E-2</v>
      </c>
      <c r="C684">
        <v>4.2790000000000002E-2</v>
      </c>
      <c r="D684">
        <v>3.415E-2</v>
      </c>
      <c r="E684">
        <v>4.0779999999999997E-2</v>
      </c>
      <c r="F684">
        <v>160918800.69999999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0.53472222222222121</v>
      </c>
      <c r="Q684">
        <f t="shared" si="995"/>
        <v>86046858.707638726</v>
      </c>
      <c r="R684">
        <f t="shared" si="996"/>
        <v>-107563761.18524446</v>
      </c>
      <c r="S684">
        <f t="shared" si="997"/>
        <v>-1075.6376118524445</v>
      </c>
      <c r="T684">
        <f t="shared" si="998"/>
        <v>-1.0756376118524444</v>
      </c>
    </row>
    <row r="685" spans="1:20" x14ac:dyDescent="0.25">
      <c r="A685" s="5">
        <v>43908</v>
      </c>
      <c r="B685">
        <v>3.7080000000000002E-2</v>
      </c>
      <c r="C685">
        <v>3.8390000000000001E-2</v>
      </c>
      <c r="D685">
        <v>3.3119999999999997E-2</v>
      </c>
      <c r="E685">
        <v>3.669E-2</v>
      </c>
      <c r="F685">
        <v>97932512.099999994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0.35483870967741976</v>
      </c>
      <c r="Q685">
        <f t="shared" si="995"/>
        <v>34750246.229032293</v>
      </c>
      <c r="R685">
        <f t="shared" si="996"/>
        <v>-193610619.89288318</v>
      </c>
      <c r="S685">
        <f t="shared" si="997"/>
        <v>-1936.1061989288319</v>
      </c>
      <c r="T685">
        <f t="shared" si="998"/>
        <v>-1.936106198928832</v>
      </c>
    </row>
    <row r="686" spans="1:20" x14ac:dyDescent="0.25">
      <c r="A686" s="5">
        <v>43907</v>
      </c>
      <c r="B686">
        <v>3.5860000000000003E-2</v>
      </c>
      <c r="C686">
        <v>3.9359999999999999E-2</v>
      </c>
      <c r="D686">
        <v>3.3860000000000001E-2</v>
      </c>
      <c r="E686">
        <v>3.6830000000000002E-2</v>
      </c>
      <c r="F686">
        <v>99608682.5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8.0000000000000557E-2</v>
      </c>
      <c r="Q686">
        <f t="shared" si="995"/>
        <v>7968694.6000000555</v>
      </c>
      <c r="R686">
        <f t="shared" si="996"/>
        <v>-228360866.12191549</v>
      </c>
      <c r="S686">
        <f t="shared" si="997"/>
        <v>-2283.6086612191548</v>
      </c>
      <c r="T686">
        <f t="shared" si="998"/>
        <v>-2.2836086612191546</v>
      </c>
    </row>
    <row r="687" spans="1:20" x14ac:dyDescent="0.25">
      <c r="A687" s="5">
        <v>43906</v>
      </c>
      <c r="B687">
        <v>3.9899999999999998E-2</v>
      </c>
      <c r="C687">
        <v>4.1160000000000002E-2</v>
      </c>
      <c r="D687">
        <v>2.9049999999999999E-2</v>
      </c>
      <c r="E687">
        <v>3.5959999999999999E-2</v>
      </c>
      <c r="F687">
        <v>152872697.40000001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0.14120561519405417</v>
      </c>
      <c r="Q687">
        <f t="shared" si="995"/>
        <v>21586483.282741487</v>
      </c>
      <c r="R687">
        <f t="shared" si="996"/>
        <v>-236329560.72191554</v>
      </c>
      <c r="S687">
        <f t="shared" si="997"/>
        <v>-2363.2956072191555</v>
      </c>
      <c r="T687">
        <f t="shared" si="998"/>
        <v>-2.3632956072191553</v>
      </c>
    </row>
    <row r="688" spans="1:20" x14ac:dyDescent="0.25">
      <c r="A688" s="5">
        <v>43905</v>
      </c>
      <c r="B688">
        <v>3.9980000000000002E-2</v>
      </c>
      <c r="C688">
        <v>4.4769999999999997E-2</v>
      </c>
      <c r="D688">
        <v>3.8339999999999999E-2</v>
      </c>
      <c r="E688">
        <v>3.984E-2</v>
      </c>
      <c r="F688">
        <v>156386699.19999999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-0.53343701399688903</v>
      </c>
      <c r="Q688">
        <f t="shared" si="995"/>
        <v>-83422453.850077674</v>
      </c>
      <c r="R688">
        <f t="shared" si="996"/>
        <v>-257916044.00465703</v>
      </c>
      <c r="S688">
        <f t="shared" si="997"/>
        <v>-2579.1604400465703</v>
      </c>
      <c r="T688">
        <f t="shared" si="998"/>
        <v>-2.5791604400465702</v>
      </c>
    </row>
    <row r="689" spans="1:20" x14ac:dyDescent="0.25">
      <c r="A689" s="5">
        <v>43904</v>
      </c>
      <c r="B689">
        <v>3.5000000000000003E-2</v>
      </c>
      <c r="C689">
        <v>4.6859999999999999E-2</v>
      </c>
      <c r="D689">
        <v>3.4250000000000003E-2</v>
      </c>
      <c r="E689">
        <v>4.02E-2</v>
      </c>
      <c r="F689">
        <v>269045336.69999999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-5.6304520222046198E-2</v>
      </c>
      <c r="Q689">
        <f t="shared" si="995"/>
        <v>-15148468.600872377</v>
      </c>
      <c r="R689">
        <f t="shared" si="996"/>
        <v>-174493590.15457934</v>
      </c>
      <c r="S689">
        <f t="shared" si="997"/>
        <v>-1744.9359015457935</v>
      </c>
      <c r="T689">
        <f t="shared" si="998"/>
        <v>-1.7449359015457935</v>
      </c>
    </row>
    <row r="690" spans="1:20" x14ac:dyDescent="0.25">
      <c r="A690" s="5">
        <v>43903</v>
      </c>
      <c r="B690">
        <v>2.5669999999999998E-2</v>
      </c>
      <c r="C690">
        <v>3.5580000000000001E-2</v>
      </c>
      <c r="D690">
        <v>1.7610000000000001E-2</v>
      </c>
      <c r="E690">
        <v>3.5000000000000003E-2</v>
      </c>
      <c r="F690">
        <v>213326497.19999999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0.93544796883695081</v>
      </c>
      <c r="Q690">
        <f t="shared" si="995"/>
        <v>199555838.50484148</v>
      </c>
      <c r="R690">
        <f t="shared" si="996"/>
        <v>-159345121.55370697</v>
      </c>
      <c r="S690">
        <f t="shared" si="997"/>
        <v>-1593.4512155370696</v>
      </c>
      <c r="T690">
        <f t="shared" si="998"/>
        <v>-1.5934512155370697</v>
      </c>
    </row>
    <row r="691" spans="1:20" x14ac:dyDescent="0.25">
      <c r="A691" s="5">
        <v>43902</v>
      </c>
      <c r="B691">
        <v>4.8070000000000002E-2</v>
      </c>
      <c r="C691">
        <v>4.8189999999999997E-2</v>
      </c>
      <c r="D691">
        <v>2.3140000000000001E-2</v>
      </c>
      <c r="E691">
        <v>2.5760000000000002E-2</v>
      </c>
      <c r="F691">
        <v>219703453.30000001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-0.79081836327345301</v>
      </c>
      <c r="Q691">
        <f t="shared" si="995"/>
        <v>-173745525.34423152</v>
      </c>
      <c r="R691">
        <f t="shared" si="996"/>
        <v>-358900960.05854845</v>
      </c>
      <c r="S691">
        <f t="shared" si="997"/>
        <v>-3589.0096005854843</v>
      </c>
      <c r="T691">
        <f t="shared" si="998"/>
        <v>-3.5890096005854843</v>
      </c>
    </row>
    <row r="692" spans="1:20" x14ac:dyDescent="0.25">
      <c r="A692" s="5">
        <v>43901</v>
      </c>
      <c r="B692">
        <v>4.4810000000000003E-2</v>
      </c>
      <c r="C692">
        <v>5.3440000000000001E-2</v>
      </c>
      <c r="D692">
        <v>4.3999999999999997E-2</v>
      </c>
      <c r="E692">
        <v>4.8070000000000002E-2</v>
      </c>
      <c r="F692">
        <v>265308271.40000001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-0.13771186440677913</v>
      </c>
      <c r="Q692">
        <f t="shared" si="995"/>
        <v>-36536096.697033755</v>
      </c>
      <c r="R692">
        <f t="shared" si="996"/>
        <v>-185155434.7143169</v>
      </c>
      <c r="S692">
        <f t="shared" si="997"/>
        <v>-1851.554347143169</v>
      </c>
      <c r="T692">
        <f t="shared" si="998"/>
        <v>-1.851554347143169</v>
      </c>
    </row>
    <row r="693" spans="1:20" x14ac:dyDescent="0.25">
      <c r="A693" s="5">
        <v>43900</v>
      </c>
      <c r="B693">
        <v>4.5170000000000002E-2</v>
      </c>
      <c r="C693">
        <v>4.9779999999999998E-2</v>
      </c>
      <c r="D693">
        <v>4.3400000000000001E-2</v>
      </c>
      <c r="E693">
        <v>4.4639999999999999E-2</v>
      </c>
      <c r="F693">
        <v>180704305.30000001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-0.61128526645768066</v>
      </c>
      <c r="Q693">
        <f t="shared" si="995"/>
        <v>-110461879.41536058</v>
      </c>
      <c r="R693">
        <f t="shared" si="996"/>
        <v>-148619338.01728314</v>
      </c>
      <c r="S693">
        <f t="shared" si="997"/>
        <v>-1486.1933801728314</v>
      </c>
      <c r="T693">
        <f t="shared" si="998"/>
        <v>-1.4861933801728315</v>
      </c>
    </row>
    <row r="694" spans="1:20" x14ac:dyDescent="0.25">
      <c r="A694" s="5">
        <v>43899</v>
      </c>
      <c r="B694">
        <v>5.0410000000000003E-2</v>
      </c>
      <c r="C694">
        <v>5.525E-2</v>
      </c>
      <c r="D694">
        <v>4.3139999999999998E-2</v>
      </c>
      <c r="E694">
        <v>4.5179999999999998E-2</v>
      </c>
      <c r="F694">
        <v>181404413.90000001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-0.66308835672997524</v>
      </c>
      <c r="Q694">
        <f t="shared" si="995"/>
        <v>-120287154.71651529</v>
      </c>
      <c r="R694">
        <f t="shared" si="996"/>
        <v>-38157458.601922557</v>
      </c>
      <c r="S694">
        <f t="shared" si="997"/>
        <v>-381.57458601922559</v>
      </c>
      <c r="T694">
        <f t="shared" si="998"/>
        <v>-0.38157458601922561</v>
      </c>
    </row>
    <row r="695" spans="1:20" x14ac:dyDescent="0.25">
      <c r="A695" s="5">
        <v>43898</v>
      </c>
      <c r="B695">
        <v>5.611E-2</v>
      </c>
      <c r="C695">
        <v>6.3420000000000004E-2</v>
      </c>
      <c r="D695">
        <v>4.9000000000000002E-2</v>
      </c>
      <c r="E695">
        <v>5.0599999999999999E-2</v>
      </c>
      <c r="F695">
        <v>185806255.90000001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-0.77808599167822512</v>
      </c>
      <c r="Q695">
        <f t="shared" si="995"/>
        <v>-144573244.88196957</v>
      </c>
      <c r="R695">
        <f t="shared" si="996"/>
        <v>82129696.114592731</v>
      </c>
      <c r="S695">
        <f t="shared" si="997"/>
        <v>821.2969611459273</v>
      </c>
      <c r="T695">
        <f t="shared" si="998"/>
        <v>0.82129696114592732</v>
      </c>
    </row>
    <row r="696" spans="1:20" x14ac:dyDescent="0.25">
      <c r="A696" s="5">
        <v>43897</v>
      </c>
      <c r="B696">
        <v>5.892E-2</v>
      </c>
      <c r="C696">
        <v>6.4699999999999994E-2</v>
      </c>
      <c r="D696">
        <v>5.3379999999999997E-2</v>
      </c>
      <c r="E696">
        <v>5.611E-2</v>
      </c>
      <c r="F696">
        <v>197798672.09999999</v>
      </c>
      <c r="G696">
        <v>0</v>
      </c>
      <c r="L696" t="s">
        <v>8</v>
      </c>
      <c r="M696" t="s">
        <v>7</v>
      </c>
      <c r="N696" t="s">
        <v>8</v>
      </c>
      <c r="P696">
        <f t="shared" si="994"/>
        <v>-0.51766784452296744</v>
      </c>
      <c r="Q696">
        <f t="shared" si="995"/>
        <v>-102394012.23551221</v>
      </c>
      <c r="R696">
        <f t="shared" si="996"/>
        <v>226702940.9965623</v>
      </c>
      <c r="S696">
        <f t="shared" si="997"/>
        <v>2267.029409965623</v>
      </c>
      <c r="T696">
        <f t="shared" si="998"/>
        <v>2.2670294099656232</v>
      </c>
    </row>
    <row r="697" spans="1:20" x14ac:dyDescent="0.25">
      <c r="A697" s="5">
        <v>43896</v>
      </c>
      <c r="B697">
        <v>4.5670000000000002E-2</v>
      </c>
      <c r="C697">
        <v>6.2770000000000006E-2</v>
      </c>
      <c r="D697">
        <v>4.5409999999999999E-2</v>
      </c>
      <c r="E697">
        <v>5.8840000000000003E-2</v>
      </c>
      <c r="F697">
        <v>215712164.09999999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0.54723502304147453</v>
      </c>
      <c r="Q697">
        <f t="shared" si="995"/>
        <v>118045251.09158984</v>
      </c>
      <c r="R697">
        <f t="shared" si="996"/>
        <v>329096953.2320745</v>
      </c>
      <c r="S697">
        <f t="shared" si="997"/>
        <v>3290.9695323207452</v>
      </c>
      <c r="T697">
        <f t="shared" si="998"/>
        <v>3.2909695323207453</v>
      </c>
    </row>
    <row r="698" spans="1:20" x14ac:dyDescent="0.25">
      <c r="A698" s="5">
        <v>43895</v>
      </c>
      <c r="B698">
        <v>4.1320000000000003E-2</v>
      </c>
      <c r="C698">
        <v>4.8619999999999997E-2</v>
      </c>
      <c r="D698">
        <v>4.1209999999999997E-2</v>
      </c>
      <c r="E698">
        <v>4.5769999999999998E-2</v>
      </c>
      <c r="F698">
        <v>74516821.700000003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0.2307692307692312</v>
      </c>
      <c r="Q698">
        <f t="shared" si="995"/>
        <v>17196189.623076957</v>
      </c>
      <c r="R698">
        <f t="shared" si="996"/>
        <v>211051702.14048466</v>
      </c>
      <c r="S698">
        <f t="shared" si="997"/>
        <v>2110.5170214048467</v>
      </c>
      <c r="T698">
        <f t="shared" si="998"/>
        <v>2.1105170214048465</v>
      </c>
    </row>
    <row r="699" spans="1:20" x14ac:dyDescent="0.25">
      <c r="A699" s="5">
        <v>43894</v>
      </c>
      <c r="B699">
        <v>4.1450000000000001E-2</v>
      </c>
      <c r="C699">
        <v>4.5850000000000002E-2</v>
      </c>
      <c r="D699">
        <v>4.052E-2</v>
      </c>
      <c r="E699">
        <v>4.1320000000000003E-2</v>
      </c>
      <c r="F699">
        <v>80615517.200000003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-0.69981238273921131</v>
      </c>
      <c r="Q699">
        <f t="shared" si="995"/>
        <v>-56415737.177485876</v>
      </c>
      <c r="R699">
        <f t="shared" si="996"/>
        <v>193855512.51740772</v>
      </c>
      <c r="S699">
        <f t="shared" si="997"/>
        <v>1938.5551251740771</v>
      </c>
      <c r="T699">
        <f t="shared" si="998"/>
        <v>1.9385551251740771</v>
      </c>
    </row>
    <row r="700" spans="1:20" x14ac:dyDescent="0.25">
      <c r="A700" s="5">
        <v>43893</v>
      </c>
      <c r="B700">
        <v>3.8589999999999999E-2</v>
      </c>
      <c r="C700">
        <v>4.1459999999999997E-2</v>
      </c>
      <c r="D700">
        <v>3.7199999999999997E-2</v>
      </c>
      <c r="E700">
        <v>4.1450000000000001E-2</v>
      </c>
      <c r="F700">
        <v>61433800.399999999</v>
      </c>
      <c r="G700">
        <v>0</v>
      </c>
      <c r="L700" t="s">
        <v>8</v>
      </c>
      <c r="M700" t="s">
        <v>8</v>
      </c>
      <c r="N700" t="s">
        <v>8</v>
      </c>
      <c r="P700">
        <f t="shared" si="994"/>
        <v>0.99530516431925065</v>
      </c>
      <c r="Q700">
        <f t="shared" si="995"/>
        <v>61145378.801878043</v>
      </c>
      <c r="R700">
        <f t="shared" si="996"/>
        <v>250271249.6948936</v>
      </c>
      <c r="S700">
        <f t="shared" si="997"/>
        <v>2502.712496948936</v>
      </c>
      <c r="T700">
        <f t="shared" si="998"/>
        <v>2.502712496948936</v>
      </c>
    </row>
    <row r="701" spans="1:20" x14ac:dyDescent="0.25">
      <c r="A701" s="5">
        <v>43892</v>
      </c>
      <c r="B701">
        <v>3.4189999999999998E-2</v>
      </c>
      <c r="C701">
        <v>4.0800000000000003E-2</v>
      </c>
      <c r="D701">
        <v>3.3529999999999997E-2</v>
      </c>
      <c r="E701">
        <v>3.8519999999999999E-2</v>
      </c>
      <c r="F701">
        <v>81766664.700000003</v>
      </c>
      <c r="G701">
        <v>0</v>
      </c>
      <c r="L701" t="s">
        <v>8</v>
      </c>
      <c r="M701" t="s">
        <v>8</v>
      </c>
      <c r="N701" t="s">
        <v>8</v>
      </c>
      <c r="P701">
        <f t="shared" si="994"/>
        <v>0.37276478679504749</v>
      </c>
      <c r="Q701">
        <f t="shared" si="995"/>
        <v>30479733.333837636</v>
      </c>
      <c r="R701">
        <f t="shared" si="996"/>
        <v>189125870.89301556</v>
      </c>
      <c r="S701">
        <f t="shared" si="997"/>
        <v>1891.2587089301555</v>
      </c>
      <c r="T701">
        <f t="shared" si="998"/>
        <v>1.8912587089301556</v>
      </c>
    </row>
    <row r="702" spans="1:20" x14ac:dyDescent="0.25">
      <c r="A702" s="5">
        <v>43891</v>
      </c>
      <c r="B702">
        <v>3.3860000000000001E-2</v>
      </c>
      <c r="C702">
        <v>3.6170000000000001E-2</v>
      </c>
      <c r="D702">
        <v>3.3169999999999998E-2</v>
      </c>
      <c r="E702">
        <v>3.4380000000000001E-2</v>
      </c>
      <c r="F702">
        <v>37212286.5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-0.19333333333333222</v>
      </c>
      <c r="Q702">
        <f t="shared" si="995"/>
        <v>-7194375.3899999587</v>
      </c>
      <c r="R702">
        <f t="shared" si="996"/>
        <v>158646137.55917794</v>
      </c>
      <c r="S702">
        <f t="shared" si="997"/>
        <v>1586.4613755917794</v>
      </c>
      <c r="T702">
        <f t="shared" si="998"/>
        <v>1.5864613755917794</v>
      </c>
    </row>
    <row r="703" spans="1:20" x14ac:dyDescent="0.25">
      <c r="A703" s="5">
        <v>43890</v>
      </c>
      <c r="B703">
        <v>3.5270000000000003E-2</v>
      </c>
      <c r="C703">
        <v>3.7900000000000003E-2</v>
      </c>
      <c r="D703">
        <v>3.3799999999999997E-2</v>
      </c>
      <c r="E703">
        <v>3.4099999999999998E-2</v>
      </c>
      <c r="F703">
        <v>53910283.200000003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-0.85365853658536528</v>
      </c>
      <c r="Q703">
        <f t="shared" si="995"/>
        <v>-46020973.463414609</v>
      </c>
      <c r="R703">
        <f t="shared" si="996"/>
        <v>165840512.94917789</v>
      </c>
      <c r="S703">
        <f t="shared" si="997"/>
        <v>1658.405129491779</v>
      </c>
      <c r="T703">
        <f t="shared" si="998"/>
        <v>1.658405129491779</v>
      </c>
    </row>
    <row r="704" spans="1:20" x14ac:dyDescent="0.25">
      <c r="A704" s="5">
        <v>43889</v>
      </c>
      <c r="B704">
        <v>3.6310000000000002E-2</v>
      </c>
      <c r="C704">
        <v>3.755E-2</v>
      </c>
      <c r="D704">
        <v>3.2099999999999997E-2</v>
      </c>
      <c r="E704">
        <v>3.5340000000000003E-2</v>
      </c>
      <c r="F704">
        <v>78286642.900000006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0.18899082568807513</v>
      </c>
      <c r="Q704">
        <f t="shared" si="995"/>
        <v>14795457.282018485</v>
      </c>
      <c r="R704">
        <f t="shared" si="996"/>
        <v>211861486.4125925</v>
      </c>
      <c r="S704">
        <f t="shared" si="997"/>
        <v>2118.6148641259251</v>
      </c>
      <c r="T704">
        <f t="shared" si="998"/>
        <v>2.118614864125925</v>
      </c>
    </row>
    <row r="705" spans="1:20" x14ac:dyDescent="0.25">
      <c r="A705" s="5">
        <v>43888</v>
      </c>
      <c r="B705">
        <v>3.2419999999999997E-2</v>
      </c>
      <c r="C705">
        <v>3.9030000000000002E-2</v>
      </c>
      <c r="D705">
        <v>3.0419999999999999E-2</v>
      </c>
      <c r="E705">
        <v>3.6249999999999998E-2</v>
      </c>
      <c r="F705">
        <v>100907133.3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0.35423925667828021</v>
      </c>
      <c r="Q705">
        <f t="shared" si="995"/>
        <v>35745267.893728137</v>
      </c>
      <c r="R705">
        <f t="shared" si="996"/>
        <v>197066029.13057402</v>
      </c>
      <c r="S705">
        <f t="shared" si="997"/>
        <v>1970.6602913057402</v>
      </c>
      <c r="T705">
        <f t="shared" si="998"/>
        <v>1.9706602913057403</v>
      </c>
    </row>
    <row r="706" spans="1:20" x14ac:dyDescent="0.25">
      <c r="A706" s="5">
        <v>43887</v>
      </c>
      <c r="B706">
        <v>3.5360000000000003E-2</v>
      </c>
      <c r="C706">
        <v>3.7969999999999997E-2</v>
      </c>
      <c r="D706">
        <v>2.9100000000000001E-2</v>
      </c>
      <c r="E706">
        <v>3.2500000000000001E-2</v>
      </c>
      <c r="F706">
        <v>68040494.200000003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-0.23337091319052947</v>
      </c>
      <c r="Q706">
        <f t="shared" si="995"/>
        <v>-15878672.265388925</v>
      </c>
      <c r="R706">
        <f t="shared" si="996"/>
        <v>161320761.23684588</v>
      </c>
      <c r="S706">
        <f t="shared" si="997"/>
        <v>1613.2076123684587</v>
      </c>
      <c r="T706">
        <f t="shared" si="998"/>
        <v>1.6132076123684587</v>
      </c>
    </row>
    <row r="707" spans="1:20" x14ac:dyDescent="0.25">
      <c r="A707" s="5">
        <v>43886</v>
      </c>
      <c r="B707">
        <v>3.7670000000000002E-2</v>
      </c>
      <c r="C707">
        <v>3.9539999999999999E-2</v>
      </c>
      <c r="D707">
        <v>3.3489999999999999E-2</v>
      </c>
      <c r="E707">
        <v>3.5430000000000003E-2</v>
      </c>
      <c r="F707">
        <v>67162483.299999997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-0.35867768595041183</v>
      </c>
      <c r="Q707">
        <f t="shared" si="995"/>
        <v>-24089684.092727177</v>
      </c>
      <c r="R707">
        <f t="shared" si="996"/>
        <v>177199433.50223482</v>
      </c>
      <c r="S707">
        <f t="shared" si="997"/>
        <v>1771.9943350223482</v>
      </c>
      <c r="T707">
        <f t="shared" si="998"/>
        <v>1.7719943350223482</v>
      </c>
    </row>
    <row r="708" spans="1:20" x14ac:dyDescent="0.25">
      <c r="A708" s="5">
        <v>43885</v>
      </c>
      <c r="B708">
        <v>4.2799999999999998E-2</v>
      </c>
      <c r="C708">
        <v>4.3470000000000002E-2</v>
      </c>
      <c r="D708">
        <v>3.5920000000000001E-2</v>
      </c>
      <c r="E708">
        <v>3.7699999999999997E-2</v>
      </c>
      <c r="F708">
        <v>64281608.5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-0.52847682119205386</v>
      </c>
      <c r="Q708">
        <f t="shared" si="995"/>
        <v>-33971340.121192113</v>
      </c>
      <c r="R708">
        <f t="shared" si="996"/>
        <v>201289117.594962</v>
      </c>
      <c r="S708">
        <f t="shared" si="997"/>
        <v>2012.89117594962</v>
      </c>
      <c r="T708">
        <f t="shared" si="998"/>
        <v>2.01289117594962</v>
      </c>
    </row>
    <row r="709" spans="1:20" x14ac:dyDescent="0.25">
      <c r="A709" s="5">
        <v>43884</v>
      </c>
      <c r="B709">
        <v>4.5269999999999998E-2</v>
      </c>
      <c r="C709">
        <v>4.5409999999999999E-2</v>
      </c>
      <c r="D709">
        <v>4.1700000000000001E-2</v>
      </c>
      <c r="E709">
        <v>4.2939999999999999E-2</v>
      </c>
      <c r="F709">
        <v>55949705.299999997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-0.3315363881401624</v>
      </c>
      <c r="Q709">
        <f t="shared" si="995"/>
        <v>-18549363.212668501</v>
      </c>
      <c r="R709">
        <f t="shared" si="996"/>
        <v>235260457.7161541</v>
      </c>
      <c r="S709">
        <f t="shared" si="997"/>
        <v>2352.6045771615409</v>
      </c>
      <c r="T709">
        <f t="shared" si="998"/>
        <v>2.3526045771615407</v>
      </c>
    </row>
    <row r="710" spans="1:20" x14ac:dyDescent="0.25">
      <c r="A710" s="5">
        <v>43883</v>
      </c>
      <c r="B710">
        <v>4.6289999999999998E-2</v>
      </c>
      <c r="C710">
        <v>4.8849999999999998E-2</v>
      </c>
      <c r="D710">
        <v>4.48E-2</v>
      </c>
      <c r="E710">
        <v>4.5220000000000003E-2</v>
      </c>
      <c r="F710">
        <v>38255370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-0.79259259259259063</v>
      </c>
      <c r="Q710">
        <f t="shared" ref="Q710:Q766" si="1000">F710*P710</f>
        <v>-30320922.888888814</v>
      </c>
      <c r="R710">
        <f t="shared" ref="R710:R766" si="1001">R711+Q710</f>
        <v>253809820.92882261</v>
      </c>
      <c r="S710">
        <f t="shared" ref="S710:S766" si="1002">R710/100000</f>
        <v>2538.0982092882259</v>
      </c>
      <c r="T710">
        <f t="shared" ref="T710:T766" si="1003">S710/1000</f>
        <v>2.538098209288226</v>
      </c>
    </row>
    <row r="711" spans="1:20" x14ac:dyDescent="0.25">
      <c r="A711" s="5">
        <v>43882</v>
      </c>
      <c r="B711">
        <v>4.6350000000000002E-2</v>
      </c>
      <c r="C711">
        <v>4.9790000000000001E-2</v>
      </c>
      <c r="D711">
        <v>4.4729999999999999E-2</v>
      </c>
      <c r="E711">
        <v>4.6010000000000002E-2</v>
      </c>
      <c r="F711">
        <v>55229662.399999999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-0.49407114624505816</v>
      </c>
      <c r="Q711">
        <f t="shared" si="1000"/>
        <v>-27287382.608695589</v>
      </c>
      <c r="R711">
        <f t="shared" si="1001"/>
        <v>284130743.81771141</v>
      </c>
      <c r="S711">
        <f t="shared" si="1002"/>
        <v>2841.3074381771139</v>
      </c>
      <c r="T711">
        <f t="shared" si="1003"/>
        <v>2.8413074381771137</v>
      </c>
    </row>
    <row r="712" spans="1:20" x14ac:dyDescent="0.25">
      <c r="A712" s="5">
        <v>43881</v>
      </c>
      <c r="B712">
        <v>4.6300000000000001E-2</v>
      </c>
      <c r="C712">
        <v>4.8899999999999999E-2</v>
      </c>
      <c r="D712">
        <v>4.2970000000000001E-2</v>
      </c>
      <c r="E712">
        <v>4.614E-2</v>
      </c>
      <c r="F712">
        <v>50574204.100000001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6.9139966273187317E-2</v>
      </c>
      <c r="Q712">
        <f t="shared" si="1000"/>
        <v>3496698.7657672917</v>
      </c>
      <c r="R712">
        <f t="shared" si="1001"/>
        <v>311418126.42640698</v>
      </c>
      <c r="S712">
        <f t="shared" si="1002"/>
        <v>3114.1812642640698</v>
      </c>
      <c r="T712">
        <f t="shared" si="1003"/>
        <v>3.1141812642640696</v>
      </c>
    </row>
    <row r="713" spans="1:20" x14ac:dyDescent="0.25">
      <c r="A713" s="5">
        <v>43880</v>
      </c>
      <c r="B713">
        <v>5.0990000000000001E-2</v>
      </c>
      <c r="C713">
        <v>5.3999999999999999E-2</v>
      </c>
      <c r="D713">
        <v>4.4089999999999997E-2</v>
      </c>
      <c r="E713">
        <v>4.6300000000000001E-2</v>
      </c>
      <c r="F713">
        <v>73334830.099999994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-0.55398587285570067</v>
      </c>
      <c r="Q713">
        <f t="shared" si="1000"/>
        <v>-40626459.863673009</v>
      </c>
      <c r="R713">
        <f t="shared" si="1001"/>
        <v>307921427.6606397</v>
      </c>
      <c r="S713">
        <f t="shared" si="1002"/>
        <v>3079.2142766063971</v>
      </c>
      <c r="T713">
        <f t="shared" si="1003"/>
        <v>3.0792142766063972</v>
      </c>
    </row>
    <row r="714" spans="1:20" x14ac:dyDescent="0.25">
      <c r="A714" s="5">
        <v>43879</v>
      </c>
      <c r="B714">
        <v>5.1540000000000002E-2</v>
      </c>
      <c r="C714">
        <v>5.3999999999999999E-2</v>
      </c>
      <c r="D714">
        <v>4.7600000000000003E-2</v>
      </c>
      <c r="E714">
        <v>5.0810000000000001E-2</v>
      </c>
      <c r="F714">
        <v>90458771.900000006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3.1249999999998748E-3</v>
      </c>
      <c r="Q714">
        <f t="shared" si="1000"/>
        <v>282683.66218748869</v>
      </c>
      <c r="R714">
        <f t="shared" si="1001"/>
        <v>348547887.52431273</v>
      </c>
      <c r="S714">
        <f t="shared" si="1002"/>
        <v>3485.4788752431273</v>
      </c>
      <c r="T714">
        <f t="shared" si="1003"/>
        <v>3.4854788752431274</v>
      </c>
    </row>
    <row r="715" spans="1:20" x14ac:dyDescent="0.25">
      <c r="A715" s="5">
        <v>43878</v>
      </c>
      <c r="B715">
        <v>5.1920000000000001E-2</v>
      </c>
      <c r="C715">
        <v>6.071E-2</v>
      </c>
      <c r="D715">
        <v>4.3999999999999997E-2</v>
      </c>
      <c r="E715">
        <v>5.1569999999999998E-2</v>
      </c>
      <c r="F715">
        <v>299054513.80000001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-9.3955715140634458E-2</v>
      </c>
      <c r="Q715">
        <f t="shared" si="1000"/>
        <v>-28097880.710113738</v>
      </c>
      <c r="R715">
        <f t="shared" si="1001"/>
        <v>348265203.86212522</v>
      </c>
      <c r="S715">
        <f t="shared" si="1002"/>
        <v>3482.6520386212524</v>
      </c>
      <c r="T715">
        <f t="shared" si="1003"/>
        <v>3.4826520386212523</v>
      </c>
    </row>
    <row r="716" spans="1:20" x14ac:dyDescent="0.25">
      <c r="A716" s="5">
        <v>43877</v>
      </c>
      <c r="B716">
        <v>4.8030000000000003E-2</v>
      </c>
      <c r="C716">
        <v>5.6000000000000001E-2</v>
      </c>
      <c r="D716">
        <v>3.8949999999999999E-2</v>
      </c>
      <c r="E716">
        <v>5.1920000000000001E-2</v>
      </c>
      <c r="F716">
        <v>169923525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0.52140762463343115</v>
      </c>
      <c r="Q716">
        <f t="shared" si="1000"/>
        <v>88599421.53958945</v>
      </c>
      <c r="R716">
        <f t="shared" si="1001"/>
        <v>376363084.57223898</v>
      </c>
      <c r="S716">
        <f t="shared" si="1002"/>
        <v>3763.6308457223899</v>
      </c>
      <c r="T716">
        <f t="shared" si="1003"/>
        <v>3.7636308457223899</v>
      </c>
    </row>
    <row r="717" spans="1:20" x14ac:dyDescent="0.25">
      <c r="A717" s="5">
        <v>43876</v>
      </c>
      <c r="B717">
        <v>5.4530000000000002E-2</v>
      </c>
      <c r="C717">
        <v>5.6259999999999998E-2</v>
      </c>
      <c r="D717">
        <v>4.6609999999999999E-2</v>
      </c>
      <c r="E717">
        <v>4.8009999999999997E-2</v>
      </c>
      <c r="F717">
        <v>121619449.09999999</v>
      </c>
      <c r="G717">
        <v>0</v>
      </c>
      <c r="L717" t="s">
        <v>7</v>
      </c>
      <c r="M717" t="s">
        <v>8</v>
      </c>
      <c r="N717" t="s">
        <v>7</v>
      </c>
      <c r="P717">
        <f t="shared" si="999"/>
        <v>-0.70984455958549253</v>
      </c>
      <c r="Q717">
        <f t="shared" si="1000"/>
        <v>-86330904.283419728</v>
      </c>
      <c r="R717">
        <f t="shared" si="1001"/>
        <v>287763663.03264952</v>
      </c>
      <c r="S717">
        <f t="shared" si="1002"/>
        <v>2877.6366303264954</v>
      </c>
      <c r="T717">
        <f t="shared" si="1003"/>
        <v>2.8776366303264953</v>
      </c>
    </row>
    <row r="718" spans="1:20" x14ac:dyDescent="0.25">
      <c r="A718" s="5">
        <v>43875</v>
      </c>
      <c r="B718">
        <v>5.5390000000000002E-2</v>
      </c>
      <c r="C718">
        <v>6.0179999999999997E-2</v>
      </c>
      <c r="D718">
        <v>4.8129999999999999E-2</v>
      </c>
      <c r="E718">
        <v>5.4530000000000002E-2</v>
      </c>
      <c r="F718">
        <v>388090752.39999998</v>
      </c>
      <c r="G718">
        <v>0</v>
      </c>
      <c r="L718" t="s">
        <v>7</v>
      </c>
      <c r="M718" t="s">
        <v>7</v>
      </c>
      <c r="N718" t="s">
        <v>7</v>
      </c>
      <c r="P718">
        <f t="shared" si="999"/>
        <v>6.2240663900415577E-2</v>
      </c>
      <c r="Q718">
        <f t="shared" si="1000"/>
        <v>24155026.0829878</v>
      </c>
      <c r="R718">
        <f t="shared" si="1001"/>
        <v>374094567.31606925</v>
      </c>
      <c r="S718">
        <f t="shared" si="1002"/>
        <v>3740.9456731606924</v>
      </c>
      <c r="T718">
        <f t="shared" si="1003"/>
        <v>3.7409456731606925</v>
      </c>
    </row>
    <row r="719" spans="1:20" x14ac:dyDescent="0.25">
      <c r="A719" s="5">
        <v>43874</v>
      </c>
      <c r="B719">
        <v>6.8769999999999998E-2</v>
      </c>
      <c r="C719">
        <v>7.7689999999999995E-2</v>
      </c>
      <c r="D719">
        <v>5.1540000000000002E-2</v>
      </c>
      <c r="E719">
        <v>5.5480000000000002E-2</v>
      </c>
      <c r="F719">
        <v>503644539.69999999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-0.69866156787762901</v>
      </c>
      <c r="Q719">
        <f t="shared" si="1000"/>
        <v>-351877083.75980878</v>
      </c>
      <c r="R719">
        <f t="shared" si="1001"/>
        <v>349939541.23308146</v>
      </c>
      <c r="S719">
        <f t="shared" si="1002"/>
        <v>3499.3954123308145</v>
      </c>
      <c r="T719">
        <f t="shared" si="1003"/>
        <v>3.4993954123308146</v>
      </c>
    </row>
    <row r="720" spans="1:20" x14ac:dyDescent="0.25">
      <c r="A720" s="5">
        <v>43873</v>
      </c>
      <c r="B720">
        <v>3.3890000000000003E-2</v>
      </c>
      <c r="C720">
        <v>8.3000000000000004E-2</v>
      </c>
      <c r="D720">
        <v>3.3500000000000002E-2</v>
      </c>
      <c r="E720">
        <v>6.8510000000000001E-2</v>
      </c>
      <c r="F720">
        <v>1156353055.2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0.41454545454545444</v>
      </c>
      <c r="Q720">
        <f t="shared" si="1000"/>
        <v>479360902.882909</v>
      </c>
      <c r="R720">
        <f t="shared" si="1001"/>
        <v>701816624.99289024</v>
      </c>
      <c r="S720">
        <f t="shared" si="1002"/>
        <v>7018.1662499289023</v>
      </c>
      <c r="T720">
        <f t="shared" si="1003"/>
        <v>7.0181662499289024</v>
      </c>
    </row>
    <row r="721" spans="1:20" x14ac:dyDescent="0.25">
      <c r="A721" s="5">
        <v>43872</v>
      </c>
      <c r="B721">
        <v>1.891E-2</v>
      </c>
      <c r="C721">
        <v>3.5790000000000002E-2</v>
      </c>
      <c r="D721">
        <v>1.8759999999999999E-2</v>
      </c>
      <c r="E721">
        <v>3.397E-2</v>
      </c>
      <c r="F721">
        <v>410570641.80000001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0.78625954198473258</v>
      </c>
      <c r="Q721">
        <f t="shared" si="1000"/>
        <v>322815084.77404571</v>
      </c>
      <c r="R721">
        <f t="shared" si="1001"/>
        <v>222455722.10998124</v>
      </c>
      <c r="S721">
        <f t="shared" si="1002"/>
        <v>2224.5572210998125</v>
      </c>
      <c r="T721">
        <f t="shared" si="1003"/>
        <v>2.2245572210998126</v>
      </c>
    </row>
    <row r="722" spans="1:20" x14ac:dyDescent="0.25">
      <c r="A722" s="5">
        <v>43871</v>
      </c>
      <c r="B722">
        <v>1.9800000000000002E-2</v>
      </c>
      <c r="C722">
        <v>2.0279999999999999E-2</v>
      </c>
      <c r="D722">
        <v>1.8599999999999998E-2</v>
      </c>
      <c r="E722">
        <v>1.8950000000000002E-2</v>
      </c>
      <c r="F722">
        <v>24052512.199999999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-0.58333333333332993</v>
      </c>
      <c r="Q722">
        <f t="shared" si="1000"/>
        <v>-14030632.116666585</v>
      </c>
      <c r="R722">
        <f t="shared" si="1001"/>
        <v>-100359362.66406445</v>
      </c>
      <c r="S722">
        <f t="shared" si="1002"/>
        <v>-1003.5936266406445</v>
      </c>
      <c r="T722">
        <f t="shared" si="1003"/>
        <v>-1.0035936266406444</v>
      </c>
    </row>
    <row r="723" spans="1:20" x14ac:dyDescent="0.25">
      <c r="A723" s="5">
        <v>43870</v>
      </c>
      <c r="B723">
        <v>1.8669999999999999E-2</v>
      </c>
      <c r="C723">
        <v>2.1309999999999999E-2</v>
      </c>
      <c r="D723">
        <v>1.796E-2</v>
      </c>
      <c r="E723">
        <v>1.9800000000000002E-2</v>
      </c>
      <c r="F723">
        <v>44508327.200000003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9.8507462686568362E-2</v>
      </c>
      <c r="Q723">
        <f t="shared" si="1000"/>
        <v>4384402.3808955764</v>
      </c>
      <c r="R723">
        <f t="shared" si="1001"/>
        <v>-86328730.547397867</v>
      </c>
      <c r="S723">
        <f t="shared" si="1002"/>
        <v>-863.28730547397868</v>
      </c>
      <c r="T723">
        <f t="shared" si="1003"/>
        <v>-0.86328730547397869</v>
      </c>
    </row>
    <row r="724" spans="1:20" x14ac:dyDescent="0.25">
      <c r="A724" s="5">
        <v>43869</v>
      </c>
      <c r="B724">
        <v>2.0449999999999999E-2</v>
      </c>
      <c r="C724">
        <v>2.061E-2</v>
      </c>
      <c r="D724">
        <v>1.7899999999999999E-2</v>
      </c>
      <c r="E724">
        <v>1.8509999999999999E-2</v>
      </c>
      <c r="F724">
        <v>42087001.200000003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-0.5498154981549821</v>
      </c>
      <c r="Q724">
        <f t="shared" si="1000"/>
        <v>-23140085.530627333</v>
      </c>
      <c r="R724">
        <f t="shared" si="1001"/>
        <v>-90713132.928293437</v>
      </c>
      <c r="S724">
        <f t="shared" si="1002"/>
        <v>-907.13132928293442</v>
      </c>
      <c r="T724">
        <f t="shared" si="1003"/>
        <v>-0.90713132928293438</v>
      </c>
    </row>
    <row r="725" spans="1:20" x14ac:dyDescent="0.25">
      <c r="A725" s="5">
        <v>43868</v>
      </c>
      <c r="B725">
        <v>2.086E-2</v>
      </c>
      <c r="C725">
        <v>2.137E-2</v>
      </c>
      <c r="D725">
        <v>1.9630000000000002E-2</v>
      </c>
      <c r="E725">
        <v>2.043E-2</v>
      </c>
      <c r="F725">
        <v>48811355.700000003</v>
      </c>
      <c r="G725">
        <v>0</v>
      </c>
      <c r="L725" t="s">
        <v>7</v>
      </c>
      <c r="M725" t="s">
        <v>7</v>
      </c>
      <c r="N725" t="s">
        <v>8</v>
      </c>
      <c r="P725">
        <f t="shared" si="999"/>
        <v>-8.0459770114943305E-2</v>
      </c>
      <c r="Q725">
        <f t="shared" si="1000"/>
        <v>-3927350.458620728</v>
      </c>
      <c r="R725">
        <f t="shared" si="1001"/>
        <v>-67573047.397666112</v>
      </c>
      <c r="S725">
        <f t="shared" si="1002"/>
        <v>-675.73047397666107</v>
      </c>
      <c r="T725">
        <f t="shared" si="1003"/>
        <v>-0.67573047397666108</v>
      </c>
    </row>
    <row r="726" spans="1:20" x14ac:dyDescent="0.25">
      <c r="A726" s="5">
        <v>43867</v>
      </c>
      <c r="B726">
        <v>2.2440000000000002E-2</v>
      </c>
      <c r="C726">
        <v>2.3810000000000001E-2</v>
      </c>
      <c r="D726">
        <v>2.0209999999999999E-2</v>
      </c>
      <c r="E726">
        <v>2.0760000000000001E-2</v>
      </c>
      <c r="F726">
        <v>73809283.299999997</v>
      </c>
      <c r="G726">
        <v>0</v>
      </c>
      <c r="L726" t="s">
        <v>7</v>
      </c>
      <c r="M726" t="s">
        <v>8</v>
      </c>
      <c r="N726" t="s">
        <v>8</v>
      </c>
      <c r="P726">
        <f t="shared" si="999"/>
        <v>-0.69444444444444364</v>
      </c>
      <c r="Q726">
        <f t="shared" si="1000"/>
        <v>-51256446.736111052</v>
      </c>
      <c r="R726">
        <f t="shared" si="1001"/>
        <v>-63645696.939045385</v>
      </c>
      <c r="S726">
        <f t="shared" si="1002"/>
        <v>-636.45696939045388</v>
      </c>
      <c r="T726">
        <f t="shared" si="1003"/>
        <v>-0.63645696939045393</v>
      </c>
    </row>
    <row r="727" spans="1:20" x14ac:dyDescent="0.25">
      <c r="A727" s="5">
        <v>43866</v>
      </c>
      <c r="B727">
        <v>1.8089999999999998E-2</v>
      </c>
      <c r="C727">
        <v>2.375E-2</v>
      </c>
      <c r="D727">
        <v>1.6809999999999999E-2</v>
      </c>
      <c r="E727">
        <v>2.2440000000000002E-2</v>
      </c>
      <c r="F727">
        <v>86194569.900000006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0.62247838616714746</v>
      </c>
      <c r="Q727">
        <f t="shared" si="1000"/>
        <v>53654256.767723389</v>
      </c>
      <c r="R727">
        <f t="shared" si="1001"/>
        <v>-12389250.202934332</v>
      </c>
      <c r="S727">
        <f t="shared" si="1002"/>
        <v>-123.89250202934332</v>
      </c>
      <c r="T727">
        <f t="shared" si="1003"/>
        <v>-0.12389250202934332</v>
      </c>
    </row>
    <row r="728" spans="1:20" x14ac:dyDescent="0.25">
      <c r="A728" s="5">
        <v>43865</v>
      </c>
      <c r="B728">
        <v>1.602E-2</v>
      </c>
      <c r="C728">
        <v>1.9400000000000001E-2</v>
      </c>
      <c r="D728">
        <v>1.4999999999999999E-2</v>
      </c>
      <c r="E728">
        <v>1.8089999999999998E-2</v>
      </c>
      <c r="F728">
        <v>124840472.59999999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0.40454545454545371</v>
      </c>
      <c r="Q728">
        <f t="shared" si="1000"/>
        <v>50503645.73363626</v>
      </c>
      <c r="R728">
        <f t="shared" si="1001"/>
        <v>-66043506.970657721</v>
      </c>
      <c r="S728">
        <f t="shared" si="1002"/>
        <v>-660.43506970657722</v>
      </c>
      <c r="T728">
        <f t="shared" si="1003"/>
        <v>-0.66043506970657717</v>
      </c>
    </row>
    <row r="729" spans="1:20" x14ac:dyDescent="0.25">
      <c r="A729" s="5">
        <v>43864</v>
      </c>
      <c r="B729">
        <v>1.3089999999999999E-2</v>
      </c>
      <c r="C729">
        <v>1.6049999999999998E-2</v>
      </c>
      <c r="D729">
        <v>1.272E-2</v>
      </c>
      <c r="E729">
        <v>1.5990000000000001E-2</v>
      </c>
      <c r="F729">
        <v>59838670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0.96396396396396544</v>
      </c>
      <c r="Q729">
        <f t="shared" si="1000"/>
        <v>57682321.531531617</v>
      </c>
      <c r="R729">
        <f t="shared" si="1001"/>
        <v>-116547152.70429398</v>
      </c>
      <c r="S729">
        <f t="shared" si="1002"/>
        <v>-1165.4715270429399</v>
      </c>
      <c r="T729">
        <f t="shared" si="1003"/>
        <v>-1.1654715270429399</v>
      </c>
    </row>
    <row r="730" spans="1:20" x14ac:dyDescent="0.25">
      <c r="A730" s="5">
        <v>43863</v>
      </c>
      <c r="B730">
        <v>1.3390000000000001E-2</v>
      </c>
      <c r="C730">
        <v>1.359E-2</v>
      </c>
      <c r="D730">
        <v>1.304E-2</v>
      </c>
      <c r="E730">
        <v>1.3089999999999999E-2</v>
      </c>
      <c r="F730">
        <v>17562505.600000001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-0.81818181818181934</v>
      </c>
      <c r="Q730">
        <f t="shared" si="1000"/>
        <v>-14369322.763636386</v>
      </c>
      <c r="R730">
        <f t="shared" si="1001"/>
        <v>-174229474.2358256</v>
      </c>
      <c r="S730">
        <f t="shared" si="1002"/>
        <v>-1742.2947423582559</v>
      </c>
      <c r="T730">
        <f t="shared" si="1003"/>
        <v>-1.742294742358256</v>
      </c>
    </row>
    <row r="731" spans="1:20" x14ac:dyDescent="0.25">
      <c r="A731" s="5">
        <v>43862</v>
      </c>
      <c r="B731">
        <v>1.316E-2</v>
      </c>
      <c r="C731">
        <v>1.38E-2</v>
      </c>
      <c r="D731">
        <v>1.2919999999999999E-2</v>
      </c>
      <c r="E731">
        <v>1.3390000000000001E-2</v>
      </c>
      <c r="F731">
        <v>22393620.399999999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6.8181818181821272E-2</v>
      </c>
      <c r="Q731">
        <f t="shared" si="1000"/>
        <v>1526837.7545455236</v>
      </c>
      <c r="R731">
        <f t="shared" si="1001"/>
        <v>-159860151.47218922</v>
      </c>
      <c r="S731">
        <f t="shared" si="1002"/>
        <v>-1598.6015147218923</v>
      </c>
      <c r="T731">
        <f t="shared" si="1003"/>
        <v>-1.5986015147218924</v>
      </c>
    </row>
    <row r="732" spans="1:20" x14ac:dyDescent="0.25">
      <c r="A732" s="5">
        <v>43861</v>
      </c>
      <c r="B732">
        <v>1.193E-2</v>
      </c>
      <c r="C732">
        <v>1.34E-2</v>
      </c>
      <c r="D732">
        <v>1.193E-2</v>
      </c>
      <c r="E732">
        <v>1.311E-2</v>
      </c>
      <c r="F732">
        <v>28376660</v>
      </c>
      <c r="G732">
        <v>0</v>
      </c>
      <c r="L732" t="s">
        <v>8</v>
      </c>
      <c r="M732" t="s">
        <v>8</v>
      </c>
      <c r="N732" t="s">
        <v>7</v>
      </c>
      <c r="P732">
        <f t="shared" si="999"/>
        <v>0.60544217687074808</v>
      </c>
      <c r="Q732">
        <f t="shared" si="1000"/>
        <v>17180426.802721083</v>
      </c>
      <c r="R732">
        <f t="shared" si="1001"/>
        <v>-161386989.22673473</v>
      </c>
      <c r="S732">
        <f t="shared" si="1002"/>
        <v>-1613.8698922673473</v>
      </c>
      <c r="T732">
        <f t="shared" si="1003"/>
        <v>-1.6138698922673473</v>
      </c>
    </row>
    <row r="733" spans="1:20" x14ac:dyDescent="0.25">
      <c r="A733" s="5">
        <v>43860</v>
      </c>
      <c r="B733">
        <v>1.157E-2</v>
      </c>
      <c r="C733">
        <v>1.24E-2</v>
      </c>
      <c r="D733">
        <v>1.133E-2</v>
      </c>
      <c r="E733">
        <v>1.193E-2</v>
      </c>
      <c r="F733">
        <v>16150211.1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0.12149532710280368</v>
      </c>
      <c r="Q733">
        <f t="shared" si="1000"/>
        <v>1962175.1803738307</v>
      </c>
      <c r="R733">
        <f t="shared" si="1001"/>
        <v>-178567416.02945581</v>
      </c>
      <c r="S733">
        <f t="shared" si="1002"/>
        <v>-1785.6741602945581</v>
      </c>
      <c r="T733">
        <f t="shared" si="1003"/>
        <v>-1.7856741602945581</v>
      </c>
    </row>
    <row r="734" spans="1:20" x14ac:dyDescent="0.25">
      <c r="A734" s="5">
        <v>43859</v>
      </c>
      <c r="B734">
        <v>1.149E-2</v>
      </c>
      <c r="C734">
        <v>1.18E-2</v>
      </c>
      <c r="D734">
        <v>1.1209999999999999E-2</v>
      </c>
      <c r="E734">
        <v>1.157E-2</v>
      </c>
      <c r="F734">
        <v>16637940.5</v>
      </c>
      <c r="G734">
        <v>0</v>
      </c>
      <c r="L734" t="s">
        <v>7</v>
      </c>
      <c r="M734" t="s">
        <v>8</v>
      </c>
      <c r="N734" t="s">
        <v>7</v>
      </c>
      <c r="P734">
        <f t="shared" si="999"/>
        <v>0.22033898305085015</v>
      </c>
      <c r="Q734">
        <f t="shared" si="1000"/>
        <v>3665986.889830553</v>
      </c>
      <c r="R734">
        <f t="shared" si="1001"/>
        <v>-180529591.20982963</v>
      </c>
      <c r="S734">
        <f t="shared" si="1002"/>
        <v>-1805.2959120982962</v>
      </c>
      <c r="T734">
        <f t="shared" si="1003"/>
        <v>-1.8052959120982961</v>
      </c>
    </row>
    <row r="735" spans="1:20" x14ac:dyDescent="0.25">
      <c r="A735" s="5">
        <v>43858</v>
      </c>
      <c r="B735">
        <v>1.1310000000000001E-2</v>
      </c>
      <c r="C735">
        <v>1.1900000000000001E-2</v>
      </c>
      <c r="D735">
        <v>1.119E-2</v>
      </c>
      <c r="E735">
        <v>1.149E-2</v>
      </c>
      <c r="F735">
        <v>21206152.5</v>
      </c>
      <c r="G735">
        <v>0</v>
      </c>
      <c r="L735" t="s">
        <v>7</v>
      </c>
      <c r="M735" t="s">
        <v>8</v>
      </c>
      <c r="N735" t="s">
        <v>7</v>
      </c>
      <c r="P735">
        <f t="shared" si="999"/>
        <v>-0.15492957746478964</v>
      </c>
      <c r="Q735">
        <f t="shared" si="1000"/>
        <v>-3285460.2464788924</v>
      </c>
      <c r="R735">
        <f t="shared" si="1001"/>
        <v>-184195578.09966019</v>
      </c>
      <c r="S735">
        <f t="shared" si="1002"/>
        <v>-1841.9557809966018</v>
      </c>
      <c r="T735">
        <f t="shared" si="1003"/>
        <v>-1.8419557809966018</v>
      </c>
    </row>
    <row r="736" spans="1:20" x14ac:dyDescent="0.25">
      <c r="A736" s="5">
        <v>43857</v>
      </c>
      <c r="B736">
        <v>1.166E-2</v>
      </c>
      <c r="C736">
        <v>1.2460000000000001E-2</v>
      </c>
      <c r="D736">
        <v>1.1259999999999999E-2</v>
      </c>
      <c r="E736">
        <v>1.1310000000000001E-2</v>
      </c>
      <c r="F736">
        <v>25688663.300000001</v>
      </c>
      <c r="G736">
        <v>0</v>
      </c>
      <c r="L736" t="s">
        <v>7</v>
      </c>
      <c r="M736" t="s">
        <v>8</v>
      </c>
      <c r="N736" t="s">
        <v>7</v>
      </c>
      <c r="P736">
        <f t="shared" si="999"/>
        <v>-0.91666666666666441</v>
      </c>
      <c r="Q736">
        <f t="shared" si="1000"/>
        <v>-23547941.358333275</v>
      </c>
      <c r="R736">
        <f t="shared" si="1001"/>
        <v>-180910117.8531813</v>
      </c>
      <c r="S736">
        <f t="shared" si="1002"/>
        <v>-1809.101178531813</v>
      </c>
      <c r="T736">
        <f t="shared" si="1003"/>
        <v>-1.809101178531813</v>
      </c>
    </row>
    <row r="737" spans="1:20" x14ac:dyDescent="0.25">
      <c r="A737" s="5">
        <v>43856</v>
      </c>
      <c r="B737">
        <v>1.205E-2</v>
      </c>
      <c r="C737">
        <v>1.247E-2</v>
      </c>
      <c r="D737">
        <v>1.155E-2</v>
      </c>
      <c r="E737">
        <v>1.1639999999999999E-2</v>
      </c>
      <c r="F737">
        <v>29428129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-0.8043478260869571</v>
      </c>
      <c r="Q737">
        <f t="shared" si="1000"/>
        <v>-23670451.586956538</v>
      </c>
      <c r="R737">
        <f t="shared" si="1001"/>
        <v>-157362176.49484801</v>
      </c>
      <c r="S737">
        <f t="shared" si="1002"/>
        <v>-1573.6217649484802</v>
      </c>
      <c r="T737">
        <f t="shared" si="1003"/>
        <v>-1.5736217649484803</v>
      </c>
    </row>
    <row r="738" spans="1:20" x14ac:dyDescent="0.25">
      <c r="A738" s="5">
        <v>43855</v>
      </c>
      <c r="B738">
        <v>1.1140000000000001E-2</v>
      </c>
      <c r="C738">
        <v>1.2630000000000001E-2</v>
      </c>
      <c r="D738">
        <v>1.06E-2</v>
      </c>
      <c r="E738">
        <v>1.208E-2</v>
      </c>
      <c r="F738">
        <v>50521696.600000001</v>
      </c>
      <c r="G738">
        <v>0</v>
      </c>
      <c r="L738" t="s">
        <v>8</v>
      </c>
      <c r="M738" t="s">
        <v>8</v>
      </c>
      <c r="N738" t="s">
        <v>7</v>
      </c>
      <c r="P738">
        <f t="shared" si="999"/>
        <v>0.45812807881773399</v>
      </c>
      <c r="Q738">
        <f t="shared" si="1000"/>
        <v>23145407.801970445</v>
      </c>
      <c r="R738">
        <f t="shared" si="1001"/>
        <v>-133691724.90789148</v>
      </c>
      <c r="S738">
        <f t="shared" si="1002"/>
        <v>-1336.9172490789149</v>
      </c>
      <c r="T738">
        <f t="shared" si="1003"/>
        <v>-1.336917249078915</v>
      </c>
    </row>
    <row r="739" spans="1:20" x14ac:dyDescent="0.25">
      <c r="A739" s="5">
        <v>43854</v>
      </c>
      <c r="B739">
        <v>1.023E-2</v>
      </c>
      <c r="C739">
        <v>1.123E-2</v>
      </c>
      <c r="D739">
        <v>1.0160000000000001E-2</v>
      </c>
      <c r="E739">
        <v>1.123E-2</v>
      </c>
      <c r="F739">
        <v>22634566.5</v>
      </c>
      <c r="G739">
        <v>0</v>
      </c>
      <c r="L739" t="s">
        <v>8</v>
      </c>
      <c r="M739" t="s">
        <v>7</v>
      </c>
      <c r="N739" t="s">
        <v>7</v>
      </c>
      <c r="P739">
        <f t="shared" si="999"/>
        <v>1</v>
      </c>
      <c r="Q739">
        <f t="shared" si="1000"/>
        <v>22634566.5</v>
      </c>
      <c r="R739">
        <f t="shared" si="1001"/>
        <v>-156837132.70986193</v>
      </c>
      <c r="S739">
        <f t="shared" si="1002"/>
        <v>-1568.3713270986193</v>
      </c>
      <c r="T739">
        <f t="shared" si="1003"/>
        <v>-1.5683713270986193</v>
      </c>
    </row>
    <row r="740" spans="1:20" x14ac:dyDescent="0.25">
      <c r="A740" s="5">
        <v>43853</v>
      </c>
      <c r="B740">
        <v>1.082E-2</v>
      </c>
      <c r="C740">
        <v>1.085E-2</v>
      </c>
      <c r="D740">
        <v>1.0149999999999999E-2</v>
      </c>
      <c r="E740">
        <v>1.017E-2</v>
      </c>
      <c r="F740">
        <v>15587829.9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-0.94285714285714028</v>
      </c>
      <c r="Q740">
        <f t="shared" si="1000"/>
        <v>-14697096.762857104</v>
      </c>
      <c r="R740">
        <f t="shared" si="1001"/>
        <v>-179471699.20986193</v>
      </c>
      <c r="S740">
        <f t="shared" si="1002"/>
        <v>-1794.7169920986194</v>
      </c>
      <c r="T740">
        <f t="shared" si="1003"/>
        <v>-1.7947169920986195</v>
      </c>
    </row>
    <row r="741" spans="1:20" x14ac:dyDescent="0.25">
      <c r="A741" s="5">
        <v>43852</v>
      </c>
      <c r="B741">
        <v>1.0449999999999999E-2</v>
      </c>
      <c r="C741">
        <v>1.094E-2</v>
      </c>
      <c r="D741">
        <v>1.039E-2</v>
      </c>
      <c r="E741">
        <v>1.082E-2</v>
      </c>
      <c r="F741">
        <v>24447893.300000001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0.5636363636363626</v>
      </c>
      <c r="Q741">
        <f t="shared" si="1000"/>
        <v>13779721.678181794</v>
      </c>
      <c r="R741">
        <f t="shared" si="1001"/>
        <v>-164774602.44700482</v>
      </c>
      <c r="S741">
        <f t="shared" si="1002"/>
        <v>-1647.7460244700483</v>
      </c>
      <c r="T741">
        <f t="shared" si="1003"/>
        <v>-1.6477460244700484</v>
      </c>
    </row>
    <row r="742" spans="1:20" x14ac:dyDescent="0.25">
      <c r="A742" s="5">
        <v>43851</v>
      </c>
      <c r="B742">
        <v>1.055E-2</v>
      </c>
      <c r="C742">
        <v>1.0670000000000001E-2</v>
      </c>
      <c r="D742">
        <v>1.0120000000000001E-2</v>
      </c>
      <c r="E742">
        <v>1.0449999999999999E-2</v>
      </c>
      <c r="F742">
        <v>19013164.699999999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0.19999999999999496</v>
      </c>
      <c r="Q742">
        <f t="shared" si="1000"/>
        <v>3802632.939999904</v>
      </c>
      <c r="R742">
        <f t="shared" si="1001"/>
        <v>-178554324.12518662</v>
      </c>
      <c r="S742">
        <f t="shared" si="1002"/>
        <v>-1785.5432412518662</v>
      </c>
      <c r="T742">
        <f t="shared" si="1003"/>
        <v>-1.7855432412518661</v>
      </c>
    </row>
    <row r="743" spans="1:20" x14ac:dyDescent="0.25">
      <c r="A743" s="5">
        <v>43850</v>
      </c>
      <c r="B743">
        <v>1.085E-2</v>
      </c>
      <c r="C743">
        <v>1.0999999999999999E-2</v>
      </c>
      <c r="D743">
        <v>1.051E-2</v>
      </c>
      <c r="E743">
        <v>1.0529999999999999E-2</v>
      </c>
      <c r="F743">
        <v>8740360.0999999996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-0.91836734693877864</v>
      </c>
      <c r="Q743">
        <f t="shared" si="1000"/>
        <v>-8026861.3163265577</v>
      </c>
      <c r="R743">
        <f t="shared" si="1001"/>
        <v>-182356957.06518653</v>
      </c>
      <c r="S743">
        <f t="shared" si="1002"/>
        <v>-1823.5695706518652</v>
      </c>
      <c r="T743">
        <f t="shared" si="1003"/>
        <v>-1.8235695706518653</v>
      </c>
    </row>
    <row r="744" spans="1:20" x14ac:dyDescent="0.25">
      <c r="A744" s="5">
        <v>43849</v>
      </c>
      <c r="B744">
        <v>1.1900000000000001E-2</v>
      </c>
      <c r="C744">
        <v>1.2019999999999999E-2</v>
      </c>
      <c r="D744">
        <v>1.0449999999999999E-2</v>
      </c>
      <c r="E744">
        <v>1.085E-2</v>
      </c>
      <c r="F744">
        <v>33780358.799999997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-0.49044585987261019</v>
      </c>
      <c r="Q744">
        <f t="shared" si="1000"/>
        <v>-16567437.118471293</v>
      </c>
      <c r="R744">
        <f t="shared" si="1001"/>
        <v>-174330095.74885997</v>
      </c>
      <c r="S744">
        <f t="shared" si="1002"/>
        <v>-1743.3009574885998</v>
      </c>
      <c r="T744">
        <f t="shared" si="1003"/>
        <v>-1.7433009574885998</v>
      </c>
    </row>
    <row r="745" spans="1:20" x14ac:dyDescent="0.25">
      <c r="A745" s="5">
        <v>43848</v>
      </c>
      <c r="B745">
        <v>1.1650000000000001E-2</v>
      </c>
      <c r="C745">
        <v>1.217E-2</v>
      </c>
      <c r="D745">
        <v>1.132E-2</v>
      </c>
      <c r="E745">
        <v>1.1900000000000001E-2</v>
      </c>
      <c r="F745">
        <v>22427552.800000001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0.3647058823529426</v>
      </c>
      <c r="Q745">
        <f t="shared" si="1000"/>
        <v>8179460.4329412086</v>
      </c>
      <c r="R745">
        <f t="shared" si="1001"/>
        <v>-157762658.63038868</v>
      </c>
      <c r="S745">
        <f t="shared" si="1002"/>
        <v>-1577.6265863038868</v>
      </c>
      <c r="T745">
        <f t="shared" si="1003"/>
        <v>-1.5776265863038867</v>
      </c>
    </row>
    <row r="746" spans="1:20" x14ac:dyDescent="0.25">
      <c r="A746" s="5">
        <v>43847</v>
      </c>
      <c r="B746">
        <v>1.154E-2</v>
      </c>
      <c r="C746">
        <v>1.191E-2</v>
      </c>
      <c r="D746">
        <v>1.089E-2</v>
      </c>
      <c r="E746">
        <v>1.1730000000000001E-2</v>
      </c>
      <c r="F746">
        <v>45065444.399999999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0.64705882352941257</v>
      </c>
      <c r="Q746">
        <f t="shared" si="1000"/>
        <v>29159993.435294155</v>
      </c>
      <c r="R746">
        <f t="shared" si="1001"/>
        <v>-165942119.06332988</v>
      </c>
      <c r="S746">
        <f t="shared" si="1002"/>
        <v>-1659.4211906332987</v>
      </c>
      <c r="T746">
        <f t="shared" si="1003"/>
        <v>-1.6594211906332987</v>
      </c>
    </row>
    <row r="747" spans="1:20" x14ac:dyDescent="0.25">
      <c r="A747" s="5">
        <v>43846</v>
      </c>
      <c r="B747">
        <v>1.042E-2</v>
      </c>
      <c r="C747">
        <v>1.1769999999999999E-2</v>
      </c>
      <c r="D747">
        <v>1.031E-2</v>
      </c>
      <c r="E747">
        <v>1.1599999999999999E-2</v>
      </c>
      <c r="F747">
        <v>41345041.200000003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0.76712328767123283</v>
      </c>
      <c r="Q747">
        <f t="shared" si="1000"/>
        <v>31716743.934246577</v>
      </c>
      <c r="R747">
        <f t="shared" si="1001"/>
        <v>-195102112.49862403</v>
      </c>
      <c r="S747">
        <f t="shared" si="1002"/>
        <v>-1951.0211249862402</v>
      </c>
      <c r="T747">
        <f t="shared" si="1003"/>
        <v>-1.9510211249862401</v>
      </c>
    </row>
    <row r="748" spans="1:20" x14ac:dyDescent="0.25">
      <c r="A748" s="5">
        <v>43845</v>
      </c>
      <c r="B748">
        <v>1.022E-2</v>
      </c>
      <c r="C748">
        <v>1.201E-2</v>
      </c>
      <c r="D748">
        <v>1.009E-2</v>
      </c>
      <c r="E748">
        <v>1.042E-2</v>
      </c>
      <c r="F748">
        <v>45102745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-0.65624999999999956</v>
      </c>
      <c r="Q748">
        <f t="shared" si="1000"/>
        <v>-29598676.406249981</v>
      </c>
      <c r="R748">
        <f t="shared" si="1001"/>
        <v>-226818856.4328706</v>
      </c>
      <c r="S748">
        <f t="shared" si="1002"/>
        <v>-2268.188564328706</v>
      </c>
      <c r="T748">
        <f t="shared" si="1003"/>
        <v>-2.2681885643287059</v>
      </c>
    </row>
    <row r="749" spans="1:20" x14ac:dyDescent="0.25">
      <c r="A749" s="5">
        <v>43844</v>
      </c>
      <c r="B749">
        <v>1.0540000000000001E-2</v>
      </c>
      <c r="C749">
        <v>1.0800000000000001E-2</v>
      </c>
      <c r="D749">
        <v>1.0070000000000001E-2</v>
      </c>
      <c r="E749">
        <v>1.0279999999999999E-2</v>
      </c>
      <c r="F749">
        <v>48070719.700000003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-0.42465753424657959</v>
      </c>
      <c r="Q749">
        <f t="shared" si="1000"/>
        <v>-20413593.297260478</v>
      </c>
      <c r="R749">
        <f t="shared" si="1001"/>
        <v>-197220180.02662063</v>
      </c>
      <c r="S749">
        <f t="shared" si="1002"/>
        <v>-1972.2018002662062</v>
      </c>
      <c r="T749">
        <f t="shared" si="1003"/>
        <v>-1.9722018002662063</v>
      </c>
    </row>
    <row r="750" spans="1:20" x14ac:dyDescent="0.25">
      <c r="A750" s="5">
        <v>43843</v>
      </c>
      <c r="B750">
        <v>1.095E-2</v>
      </c>
      <c r="C750">
        <v>1.102E-2</v>
      </c>
      <c r="D750">
        <v>1.042E-2</v>
      </c>
      <c r="E750">
        <v>1.052E-2</v>
      </c>
      <c r="F750">
        <v>18886801.899999999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-0.66666666666666863</v>
      </c>
      <c r="Q750">
        <f t="shared" si="1000"/>
        <v>-12591201.266666703</v>
      </c>
      <c r="R750">
        <f t="shared" si="1001"/>
        <v>-176806586.72936016</v>
      </c>
      <c r="S750">
        <f t="shared" si="1002"/>
        <v>-1768.0658672936017</v>
      </c>
      <c r="T750">
        <f t="shared" si="1003"/>
        <v>-1.7680658672936018</v>
      </c>
    </row>
    <row r="751" spans="1:20" x14ac:dyDescent="0.25">
      <c r="A751" s="5">
        <v>43842</v>
      </c>
      <c r="B751">
        <v>1.1310000000000001E-2</v>
      </c>
      <c r="C751">
        <v>1.1429999999999999E-2</v>
      </c>
      <c r="D751">
        <v>1.081E-2</v>
      </c>
      <c r="E751">
        <v>1.095E-2</v>
      </c>
      <c r="F751">
        <v>13889687.300000001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-0.5483870967741945</v>
      </c>
      <c r="Q751">
        <f t="shared" si="1000"/>
        <v>-7616925.2935484005</v>
      </c>
      <c r="R751">
        <f t="shared" si="1001"/>
        <v>-164215385.46269345</v>
      </c>
      <c r="S751">
        <f t="shared" si="1002"/>
        <v>-1642.1538546269346</v>
      </c>
      <c r="T751">
        <f t="shared" si="1003"/>
        <v>-1.6421538546269345</v>
      </c>
    </row>
    <row r="752" spans="1:20" x14ac:dyDescent="0.25">
      <c r="A752" s="5">
        <v>43841</v>
      </c>
      <c r="B752">
        <v>1.052E-2</v>
      </c>
      <c r="C752">
        <v>1.158E-2</v>
      </c>
      <c r="D752">
        <v>1.039E-2</v>
      </c>
      <c r="E752">
        <v>1.1310000000000001E-2</v>
      </c>
      <c r="F752">
        <v>29605551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0.54621848739495904</v>
      </c>
      <c r="Q752">
        <f t="shared" si="1000"/>
        <v>16171099.285714317</v>
      </c>
      <c r="R752">
        <f t="shared" si="1001"/>
        <v>-156598460.16914505</v>
      </c>
      <c r="S752">
        <f t="shared" si="1002"/>
        <v>-1565.9846016914505</v>
      </c>
      <c r="T752">
        <f t="shared" si="1003"/>
        <v>-1.5659846016914505</v>
      </c>
    </row>
    <row r="753" spans="1:20" x14ac:dyDescent="0.25">
      <c r="A753" s="5">
        <v>43840</v>
      </c>
      <c r="B753">
        <v>1.008E-2</v>
      </c>
      <c r="C753">
        <v>1.1180000000000001E-2</v>
      </c>
      <c r="D753">
        <v>1.0059999999999999E-2</v>
      </c>
      <c r="E753">
        <v>1.052E-2</v>
      </c>
      <c r="F753">
        <v>36281022.799999997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-0.17857142857142885</v>
      </c>
      <c r="Q753">
        <f t="shared" si="1000"/>
        <v>-6478754.0714285811</v>
      </c>
      <c r="R753">
        <f t="shared" si="1001"/>
        <v>-172769559.45485938</v>
      </c>
      <c r="S753">
        <f t="shared" si="1002"/>
        <v>-1727.6955945485938</v>
      </c>
      <c r="T753">
        <f t="shared" si="1003"/>
        <v>-1.7276955945485939</v>
      </c>
    </row>
    <row r="754" spans="1:20" x14ac:dyDescent="0.25">
      <c r="A754" s="5">
        <v>43839</v>
      </c>
      <c r="B754">
        <v>1.022E-2</v>
      </c>
      <c r="C754">
        <v>1.068E-2</v>
      </c>
      <c r="D754">
        <v>0.01</v>
      </c>
      <c r="E754">
        <v>1.009E-2</v>
      </c>
      <c r="F754">
        <v>24194928.800000001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-0.73529411764705943</v>
      </c>
      <c r="Q754">
        <f t="shared" si="1000"/>
        <v>-17790388.823529426</v>
      </c>
      <c r="R754">
        <f t="shared" si="1001"/>
        <v>-166290805.38343081</v>
      </c>
      <c r="S754">
        <f t="shared" si="1002"/>
        <v>-1662.908053834308</v>
      </c>
      <c r="T754">
        <f t="shared" si="1003"/>
        <v>-1.662908053834308</v>
      </c>
    </row>
    <row r="755" spans="1:20" x14ac:dyDescent="0.25">
      <c r="A755" s="5">
        <v>43838</v>
      </c>
      <c r="B755">
        <v>1.059E-2</v>
      </c>
      <c r="C755">
        <v>1.0789999999999999E-2</v>
      </c>
      <c r="D755">
        <v>0.01</v>
      </c>
      <c r="E755">
        <v>1.022E-2</v>
      </c>
      <c r="F755">
        <v>26925500.600000001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-0.44303797468354433</v>
      </c>
      <c r="Q755">
        <f t="shared" si="1000"/>
        <v>-11929019.253164558</v>
      </c>
      <c r="R755">
        <f t="shared" si="1001"/>
        <v>-148500416.55990139</v>
      </c>
      <c r="S755">
        <f t="shared" si="1002"/>
        <v>-1485.004165599014</v>
      </c>
      <c r="T755">
        <f t="shared" si="1003"/>
        <v>-1.485004165599014</v>
      </c>
    </row>
    <row r="756" spans="1:20" x14ac:dyDescent="0.25">
      <c r="A756" s="5">
        <v>43837</v>
      </c>
      <c r="B756">
        <v>1.11E-2</v>
      </c>
      <c r="C756">
        <v>1.115E-2</v>
      </c>
      <c r="D756">
        <v>1.06E-2</v>
      </c>
      <c r="E756">
        <v>1.06E-2</v>
      </c>
      <c r="F756">
        <v>36898985.299999997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-1</v>
      </c>
      <c r="Q756">
        <f t="shared" si="1000"/>
        <v>-36898985.299999997</v>
      </c>
      <c r="R756">
        <f t="shared" si="1001"/>
        <v>-136571397.30673683</v>
      </c>
      <c r="S756">
        <f t="shared" si="1002"/>
        <v>-1365.7139730673682</v>
      </c>
      <c r="T756">
        <f t="shared" si="1003"/>
        <v>-1.3657139730673682</v>
      </c>
    </row>
    <row r="757" spans="1:20" x14ac:dyDescent="0.25">
      <c r="A757" s="5">
        <v>43836</v>
      </c>
      <c r="B757">
        <v>1.15E-2</v>
      </c>
      <c r="C757">
        <v>1.163E-2</v>
      </c>
      <c r="D757">
        <v>1.0869999999999999E-2</v>
      </c>
      <c r="E757">
        <v>1.103E-2</v>
      </c>
      <c r="F757">
        <v>42379279.5</v>
      </c>
      <c r="G757">
        <v>0</v>
      </c>
      <c r="L757" t="s">
        <v>7</v>
      </c>
      <c r="M757" t="s">
        <v>8</v>
      </c>
      <c r="N757" t="s">
        <v>7</v>
      </c>
      <c r="P757">
        <f t="shared" si="999"/>
        <v>-0.57894736842105166</v>
      </c>
      <c r="Q757">
        <f t="shared" si="1000"/>
        <v>-24535372.342105221</v>
      </c>
      <c r="R757">
        <f t="shared" si="1001"/>
        <v>-99672412.006736815</v>
      </c>
      <c r="S757">
        <f t="shared" si="1002"/>
        <v>-996.72412006736818</v>
      </c>
      <c r="T757">
        <f t="shared" si="1003"/>
        <v>-0.99672412006736821</v>
      </c>
    </row>
    <row r="758" spans="1:20" x14ac:dyDescent="0.25">
      <c r="A758" s="5">
        <v>43835</v>
      </c>
      <c r="B758">
        <v>1.1089999999999999E-2</v>
      </c>
      <c r="C758">
        <v>1.2749999999999999E-2</v>
      </c>
      <c r="D758">
        <v>1.103E-2</v>
      </c>
      <c r="E758">
        <v>1.157E-2</v>
      </c>
      <c r="F758">
        <v>76532066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-0.37209302325581306</v>
      </c>
      <c r="Q758">
        <f t="shared" si="1000"/>
        <v>-28477047.813953418</v>
      </c>
      <c r="R758">
        <f t="shared" si="1001"/>
        <v>-75137039.66463159</v>
      </c>
      <c r="S758">
        <f t="shared" si="1002"/>
        <v>-751.37039664631595</v>
      </c>
      <c r="T758">
        <f t="shared" si="1003"/>
        <v>-0.751370396646316</v>
      </c>
    </row>
    <row r="759" spans="1:20" x14ac:dyDescent="0.25">
      <c r="A759" s="5">
        <v>43834</v>
      </c>
      <c r="B759">
        <v>1.0410000000000001E-2</v>
      </c>
      <c r="C759">
        <v>1.2149999999999999E-2</v>
      </c>
      <c r="D759">
        <v>1.009E-2</v>
      </c>
      <c r="E759">
        <v>1.111E-2</v>
      </c>
      <c r="F759">
        <v>53558254.5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-9.708737864077277E-3</v>
      </c>
      <c r="Q759">
        <f t="shared" si="1000"/>
        <v>-519983.05339803721</v>
      </c>
      <c r="R759">
        <f t="shared" si="1001"/>
        <v>-46659991.850678168</v>
      </c>
      <c r="S759">
        <f t="shared" si="1002"/>
        <v>-466.59991850678171</v>
      </c>
      <c r="T759">
        <f t="shared" si="1003"/>
        <v>-0.46659991850678173</v>
      </c>
    </row>
    <row r="760" spans="1:20" x14ac:dyDescent="0.25">
      <c r="A760" s="5">
        <v>43833</v>
      </c>
      <c r="B760">
        <v>1.0070000000000001E-2</v>
      </c>
      <c r="C760">
        <v>1.074E-2</v>
      </c>
      <c r="D760">
        <v>1.0059999999999999E-2</v>
      </c>
      <c r="E760">
        <v>1.035E-2</v>
      </c>
      <c r="F760">
        <v>19085697.600000001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-0.14705882352941085</v>
      </c>
      <c r="Q760">
        <f t="shared" si="1000"/>
        <v>-2806720.2352941004</v>
      </c>
      <c r="R760">
        <f t="shared" si="1001"/>
        <v>-46140008.797280133</v>
      </c>
      <c r="S760">
        <f t="shared" si="1002"/>
        <v>-461.40008797280132</v>
      </c>
      <c r="T760">
        <f t="shared" si="1003"/>
        <v>-0.4614000879728013</v>
      </c>
    </row>
    <row r="761" spans="1:20" x14ac:dyDescent="0.25">
      <c r="A761" s="5">
        <v>43832</v>
      </c>
      <c r="B761">
        <v>1.0330000000000001E-2</v>
      </c>
      <c r="C761">
        <v>1.078E-2</v>
      </c>
      <c r="D761">
        <v>9.8499999999999994E-3</v>
      </c>
      <c r="E761">
        <v>1.001E-2</v>
      </c>
      <c r="F761">
        <v>38795477.799999997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-0.65591397849462285</v>
      </c>
      <c r="Q761">
        <f t="shared" si="1000"/>
        <v>-25446496.191397816</v>
      </c>
      <c r="R761">
        <f t="shared" si="1001"/>
        <v>-43333288.561986029</v>
      </c>
      <c r="S761">
        <f t="shared" si="1002"/>
        <v>-433.33288561986029</v>
      </c>
      <c r="T761">
        <f t="shared" si="1003"/>
        <v>-0.43333288561986028</v>
      </c>
    </row>
    <row r="762" spans="1:20" x14ac:dyDescent="0.25">
      <c r="A762" s="5">
        <v>43831</v>
      </c>
      <c r="B762">
        <v>1.022E-2</v>
      </c>
      <c r="C762">
        <v>1.095E-2</v>
      </c>
      <c r="D762">
        <v>1.01E-2</v>
      </c>
      <c r="E762">
        <v>1.035E-2</v>
      </c>
      <c r="F762">
        <v>43439352.899999999</v>
      </c>
      <c r="G762">
        <v>0</v>
      </c>
      <c r="P762">
        <f t="shared" si="999"/>
        <v>-0.41176470588235248</v>
      </c>
      <c r="Q762">
        <f t="shared" si="1000"/>
        <v>-17886792.370588213</v>
      </c>
      <c r="R762">
        <f t="shared" si="1001"/>
        <v>-17886792.370588213</v>
      </c>
      <c r="S762">
        <f t="shared" si="1002"/>
        <v>-178.86792370588213</v>
      </c>
      <c r="T762">
        <f t="shared" si="1003"/>
        <v>-0.17886792370588214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N666" sqref="MN66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$A$665</v>
      </c>
      <c r="D111" s="1" t="str">
        <f>ADDRESS(C121-1,D121,1,1)</f>
        <v>$MN$665</v>
      </c>
      <c r="E111"/>
    </row>
    <row r="112" spans="1:5" x14ac:dyDescent="0.25">
      <c r="A112" s="7">
        <v>12164.144957890772</v>
      </c>
      <c r="C112" s="1" t="str">
        <f>ADDRESS(C121,1,1,1)</f>
        <v>$A$666</v>
      </c>
      <c r="D112" s="1" t="str">
        <f>ADDRESS(C121,D121-1,1,1)</f>
        <v>$MM$666</v>
      </c>
      <c r="E112"/>
    </row>
    <row r="113" spans="1:5" x14ac:dyDescent="0.25">
      <c r="A113" s="7">
        <v>11925.63231165762</v>
      </c>
      <c r="C113" s="1" t="str">
        <f>ADDRESS(C121+1,1,1,1)</f>
        <v>$A$667</v>
      </c>
      <c r="D113" s="1" t="str">
        <f>ADDRESS(C121-1,D121+1,1,1)</f>
        <v>$MO$665</v>
      </c>
    </row>
    <row r="114" spans="1:5" x14ac:dyDescent="0.25">
      <c r="A114" s="7">
        <v>11691.796383978059</v>
      </c>
      <c r="C114" s="1" t="str">
        <f>ADDRESS(C121,D121,1,1)</f>
        <v>$MN$666</v>
      </c>
      <c r="D114" s="1" t="str">
        <f>ADDRESS(C121+1,D121+1,1,1)</f>
        <v>$MO$667</v>
      </c>
    </row>
    <row r="115" spans="1:5" x14ac:dyDescent="0.25">
      <c r="A115" s="7">
        <v>11462.545474488292</v>
      </c>
      <c r="C115" s="1" t="str">
        <f>ADDRESS(C121+1,D121,1,1)</f>
        <v>$MN$667</v>
      </c>
    </row>
    <row r="116" spans="1:5" x14ac:dyDescent="0.25">
      <c r="A116" s="7">
        <v>11237.789680870874</v>
      </c>
      <c r="C116" s="1">
        <f>C117-1</f>
        <v>665</v>
      </c>
    </row>
    <row r="117" spans="1:5" x14ac:dyDescent="0.25">
      <c r="A117" s="7">
        <v>11017.440863598895</v>
      </c>
      <c r="C117" s="1">
        <f>C121</f>
        <v>666</v>
      </c>
      <c r="D117" s="1">
        <f>D121</f>
        <v>352</v>
      </c>
    </row>
    <row r="118" spans="1:5" x14ac:dyDescent="0.25">
      <c r="A118" s="7">
        <v>10801.412611371465</v>
      </c>
      <c r="C118" s="1">
        <f>C117+1</f>
        <v>667</v>
      </c>
      <c r="D118" s="1">
        <f>D117+1</f>
        <v>353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666</v>
      </c>
      <c r="D121" s="19">
        <v>352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R666</v>
      </c>
      <c r="D123" s="1" t="str">
        <f>"C"&amp;D121</f>
        <v>C352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0.20921192272998904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286" x14ac:dyDescent="0.25">
      <c r="A609" s="7">
        <v>0.64683903605157422</v>
      </c>
      <c r="B609"/>
      <c r="C609"/>
      <c r="D609"/>
      <c r="E609"/>
      <c r="F609" s="27" t="s">
        <v>7</v>
      </c>
    </row>
    <row r="610" spans="1:286" x14ac:dyDescent="0.25">
      <c r="A610" s="7">
        <v>0.63415591769762181</v>
      </c>
      <c r="B610"/>
      <c r="C610"/>
      <c r="D610"/>
      <c r="E610"/>
      <c r="F610" s="27" t="s">
        <v>7</v>
      </c>
    </row>
    <row r="611" spans="1:286" x14ac:dyDescent="0.25">
      <c r="A611" s="7">
        <v>0.62172148793884496</v>
      </c>
      <c r="B611"/>
      <c r="C611"/>
      <c r="D611"/>
      <c r="E611"/>
      <c r="F611" s="27" t="s">
        <v>7</v>
      </c>
    </row>
    <row r="612" spans="1:286" x14ac:dyDescent="0.25">
      <c r="A612" s="7">
        <v>0.60953087052827937</v>
      </c>
      <c r="B612"/>
      <c r="C612"/>
      <c r="D612"/>
      <c r="E612"/>
      <c r="F612" s="27" t="s">
        <v>7</v>
      </c>
    </row>
    <row r="613" spans="1:286" x14ac:dyDescent="0.25">
      <c r="A613" s="7">
        <v>0.59757928483164646</v>
      </c>
      <c r="B613"/>
      <c r="C613"/>
      <c r="D613"/>
      <c r="E613"/>
      <c r="F613" s="27" t="s">
        <v>7</v>
      </c>
    </row>
    <row r="614" spans="1:286" x14ac:dyDescent="0.25">
      <c r="A614" s="7">
        <v>0.58586204395259456</v>
      </c>
      <c r="B614"/>
      <c r="C614"/>
      <c r="D614"/>
      <c r="E614"/>
      <c r="F614" s="27" t="s">
        <v>7</v>
      </c>
    </row>
    <row r="615" spans="1:286" x14ac:dyDescent="0.25">
      <c r="A615" s="7">
        <v>0.57437455289470052</v>
      </c>
      <c r="B615"/>
      <c r="C615"/>
      <c r="D615"/>
      <c r="E615"/>
      <c r="F615" s="27" t="s">
        <v>7</v>
      </c>
      <c r="JY615" s="27" t="s">
        <v>8</v>
      </c>
    </row>
    <row r="616" spans="1:286" x14ac:dyDescent="0.25">
      <c r="A616" s="7">
        <v>0.56311230675951029</v>
      </c>
      <c r="B616"/>
      <c r="C616"/>
      <c r="D616"/>
      <c r="E616"/>
      <c r="F616" s="27" t="s">
        <v>7</v>
      </c>
      <c r="JY616" s="27" t="s">
        <v>8</v>
      </c>
      <c r="JZ616" s="27" t="s">
        <v>7</v>
      </c>
    </row>
    <row r="617" spans="1:286" x14ac:dyDescent="0.25">
      <c r="A617" s="7">
        <v>0.55207088897991208</v>
      </c>
      <c r="B617"/>
      <c r="C617"/>
      <c r="D617"/>
      <c r="E617"/>
      <c r="F617" s="27" t="s">
        <v>7</v>
      </c>
      <c r="JY617" s="27" t="s">
        <v>8</v>
      </c>
      <c r="JZ617" s="27" t="s">
        <v>7</v>
      </c>
    </row>
    <row r="618" spans="1:286" x14ac:dyDescent="0.25">
      <c r="A618" s="7">
        <v>0.54124596958814908</v>
      </c>
      <c r="B618"/>
      <c r="C618"/>
      <c r="D618"/>
      <c r="E618"/>
      <c r="F618" s="27" t="s">
        <v>7</v>
      </c>
      <c r="JY618" s="27" t="s">
        <v>8</v>
      </c>
      <c r="JZ618" s="27" t="s">
        <v>7</v>
      </c>
    </row>
    <row r="619" spans="1:286" x14ac:dyDescent="0.25">
      <c r="A619" s="7">
        <v>0.53063330351779314</v>
      </c>
      <c r="B619"/>
      <c r="C619"/>
      <c r="D619"/>
      <c r="E619"/>
      <c r="F619" s="27" t="s">
        <v>7</v>
      </c>
      <c r="JY619" s="27" t="s">
        <v>8</v>
      </c>
      <c r="JZ619" s="27" t="s">
        <v>7</v>
      </c>
    </row>
    <row r="620" spans="1:286" x14ac:dyDescent="0.25">
      <c r="A620" s="7">
        <v>0.52022872893901284</v>
      </c>
      <c r="B620"/>
      <c r="C620"/>
      <c r="D620"/>
      <c r="E620"/>
      <c r="F620" s="27" t="s">
        <v>7</v>
      </c>
      <c r="JY620" s="27" t="s">
        <v>8</v>
      </c>
      <c r="JZ620" s="27" t="s">
        <v>7</v>
      </c>
    </row>
    <row r="621" spans="1:286" x14ac:dyDescent="0.25">
      <c r="A621" s="7">
        <v>0.51002816562648323</v>
      </c>
      <c r="B621"/>
      <c r="C621"/>
      <c r="D621"/>
      <c r="E621"/>
      <c r="F621" s="27" t="s">
        <v>7</v>
      </c>
      <c r="JY621" s="27" t="s">
        <v>8</v>
      </c>
      <c r="JZ621" s="27" t="s">
        <v>7</v>
      </c>
    </row>
    <row r="622" spans="1:286" x14ac:dyDescent="0.25">
      <c r="A622" s="7">
        <v>0.50002761335929735</v>
      </c>
      <c r="B622"/>
      <c r="C622"/>
      <c r="D622"/>
      <c r="E622"/>
      <c r="F622" s="27" t="s">
        <v>7</v>
      </c>
      <c r="JY622" s="27" t="s">
        <v>8</v>
      </c>
      <c r="JZ622" s="27" t="s">
        <v>7</v>
      </c>
    </row>
    <row r="623" spans="1:286" x14ac:dyDescent="0.25">
      <c r="A623" s="7">
        <v>0.49022315035225228</v>
      </c>
      <c r="B623"/>
      <c r="C623"/>
      <c r="D623"/>
      <c r="E623"/>
      <c r="F623" s="27" t="s">
        <v>7</v>
      </c>
      <c r="JY623" s="27" t="s">
        <v>8</v>
      </c>
      <c r="JZ623" s="27" t="s">
        <v>7</v>
      </c>
    </row>
    <row r="624" spans="1:286" x14ac:dyDescent="0.25">
      <c r="A624" s="7">
        <v>0.48061093171789437</v>
      </c>
      <c r="B624"/>
      <c r="C624"/>
      <c r="D624"/>
      <c r="E624"/>
      <c r="F624" s="27" t="s">
        <v>7</v>
      </c>
      <c r="JY624" s="27" t="s">
        <v>8</v>
      </c>
      <c r="JZ624" s="27" t="s">
        <v>7</v>
      </c>
    </row>
    <row r="625" spans="1:320" x14ac:dyDescent="0.25">
      <c r="A625" s="7">
        <v>0.47118718795871994</v>
      </c>
      <c r="B625"/>
      <c r="C625"/>
      <c r="D625"/>
      <c r="E625"/>
      <c r="F625" s="27" t="s">
        <v>7</v>
      </c>
      <c r="JY625" s="27" t="s">
        <v>8</v>
      </c>
      <c r="JZ625" s="27" t="s">
        <v>7</v>
      </c>
      <c r="KY625" s="27" t="s">
        <v>8</v>
      </c>
    </row>
    <row r="626" spans="1:320" x14ac:dyDescent="0.25">
      <c r="A626" s="7">
        <v>0.46194822348894116</v>
      </c>
      <c r="B626"/>
      <c r="C626"/>
      <c r="D626"/>
      <c r="E626"/>
      <c r="F626" s="27" t="s">
        <v>7</v>
      </c>
      <c r="JY626" s="27" t="s">
        <v>8</v>
      </c>
      <c r="JZ626" s="27" t="s">
        <v>7</v>
      </c>
      <c r="KS626" s="27" t="s">
        <v>8</v>
      </c>
      <c r="KY626" s="27" t="s">
        <v>8</v>
      </c>
      <c r="KZ626" s="27" t="s">
        <v>7</v>
      </c>
    </row>
    <row r="627" spans="1:320" x14ac:dyDescent="0.25">
      <c r="A627" s="7">
        <v>0.45289041518523643</v>
      </c>
      <c r="B627"/>
      <c r="C627"/>
      <c r="D627"/>
      <c r="E627"/>
      <c r="F627" s="27" t="s">
        <v>7</v>
      </c>
      <c r="GC627" s="27" t="s">
        <v>8</v>
      </c>
      <c r="JY627" s="27" t="s">
        <v>8</v>
      </c>
      <c r="JZ627" s="27" t="s">
        <v>7</v>
      </c>
      <c r="KS627" s="27" t="s">
        <v>8</v>
      </c>
      <c r="KT627" s="27" t="s">
        <v>7</v>
      </c>
      <c r="KY627" s="27" t="s">
        <v>8</v>
      </c>
      <c r="KZ627" s="27" t="s">
        <v>7</v>
      </c>
    </row>
    <row r="628" spans="1:320" x14ac:dyDescent="0.25">
      <c r="A628" s="7">
        <v>0.44401021096591808</v>
      </c>
      <c r="B628"/>
      <c r="C628"/>
      <c r="D628"/>
      <c r="E628"/>
      <c r="F628" s="27" t="s">
        <v>7</v>
      </c>
      <c r="GC628" s="27" t="s">
        <v>8</v>
      </c>
      <c r="GD628" s="27" t="s">
        <v>7</v>
      </c>
      <c r="JY628" s="27" t="s">
        <v>8</v>
      </c>
      <c r="JZ628" s="27" t="s">
        <v>7</v>
      </c>
      <c r="KS628" s="27" t="s">
        <v>8</v>
      </c>
      <c r="KT628" s="27" t="s">
        <v>7</v>
      </c>
      <c r="KW628" s="27" t="s">
        <v>8</v>
      </c>
      <c r="KY628" s="27" t="s">
        <v>8</v>
      </c>
      <c r="KZ628" s="27" t="s">
        <v>7</v>
      </c>
    </row>
    <row r="629" spans="1:320" x14ac:dyDescent="0.25">
      <c r="A629" s="7">
        <v>0.4353041283979589</v>
      </c>
      <c r="B629"/>
      <c r="C629"/>
      <c r="D629"/>
      <c r="E629"/>
      <c r="F629" s="27" t="s">
        <v>7</v>
      </c>
      <c r="GC629" s="27" t="s">
        <v>8</v>
      </c>
      <c r="GD629" s="27" t="s">
        <v>7</v>
      </c>
      <c r="GK629" s="27" t="s">
        <v>8</v>
      </c>
      <c r="JY629" s="27" t="s">
        <v>8</v>
      </c>
      <c r="JZ629" s="27" t="s">
        <v>7</v>
      </c>
      <c r="KS629" s="27" t="s">
        <v>8</v>
      </c>
      <c r="KT629" s="27" t="s">
        <v>7</v>
      </c>
      <c r="KW629" s="27" t="s">
        <v>8</v>
      </c>
      <c r="KX629" s="27" t="s">
        <v>7</v>
      </c>
      <c r="KY629" s="27" t="s">
        <v>8</v>
      </c>
      <c r="KZ629" s="27" t="s">
        <v>7</v>
      </c>
    </row>
    <row r="630" spans="1:320" x14ac:dyDescent="0.25">
      <c r="A630" s="7">
        <v>0.4267687533313323</v>
      </c>
      <c r="B630"/>
      <c r="C630"/>
      <c r="D630"/>
      <c r="E630"/>
      <c r="F630" s="27" t="s">
        <v>7</v>
      </c>
      <c r="GC630" s="27" t="s">
        <v>8</v>
      </c>
      <c r="GD630" s="27" t="s">
        <v>7</v>
      </c>
      <c r="GK630" s="27" t="s">
        <v>8</v>
      </c>
      <c r="GL630" s="27" t="s">
        <v>7</v>
      </c>
      <c r="JY630" s="27" t="s">
        <v>8</v>
      </c>
      <c r="JZ630" s="27" t="s">
        <v>7</v>
      </c>
      <c r="KG630" s="27" t="s">
        <v>8</v>
      </c>
      <c r="KS630" s="27" t="s">
        <v>8</v>
      </c>
      <c r="KT630" s="27" t="s">
        <v>7</v>
      </c>
      <c r="KW630" s="27" t="s">
        <v>8</v>
      </c>
      <c r="KX630" s="27" t="s">
        <v>7</v>
      </c>
      <c r="KY630" s="27" t="s">
        <v>8</v>
      </c>
      <c r="KZ630" s="27" t="s">
        <v>7</v>
      </c>
    </row>
    <row r="631" spans="1:320" x14ac:dyDescent="0.25">
      <c r="A631" s="7">
        <v>0.41840073856012971</v>
      </c>
      <c r="B631"/>
      <c r="C631"/>
      <c r="D631"/>
      <c r="E631"/>
      <c r="F631" s="27" t="s">
        <v>7</v>
      </c>
      <c r="GC631" s="27" t="s">
        <v>8</v>
      </c>
      <c r="GD631" s="27" t="s">
        <v>7</v>
      </c>
      <c r="GK631" s="27" t="s">
        <v>8</v>
      </c>
      <c r="GL631" s="27" t="s">
        <v>7</v>
      </c>
      <c r="JY631" s="27" t="s">
        <v>8</v>
      </c>
      <c r="JZ631" s="27" t="s">
        <v>7</v>
      </c>
      <c r="KG631" s="27" t="s">
        <v>8</v>
      </c>
      <c r="KH631" s="27" t="s">
        <v>7</v>
      </c>
      <c r="KS631" s="27" t="s">
        <v>8</v>
      </c>
      <c r="KT631" s="27" t="s">
        <v>7</v>
      </c>
      <c r="KW631" s="27" t="s">
        <v>8</v>
      </c>
      <c r="KX631" s="27" t="s">
        <v>7</v>
      </c>
      <c r="KY631" s="27" t="s">
        <v>8</v>
      </c>
      <c r="KZ631" s="27" t="s">
        <v>7</v>
      </c>
      <c r="LA631" s="27" t="s">
        <v>8</v>
      </c>
      <c r="LC631" s="27" t="s">
        <v>8</v>
      </c>
    </row>
    <row r="632" spans="1:320" x14ac:dyDescent="0.25">
      <c r="A632" s="7">
        <v>0.41019680250993112</v>
      </c>
      <c r="B632"/>
      <c r="C632"/>
      <c r="D632"/>
      <c r="E632"/>
      <c r="F632" s="27" t="s">
        <v>7</v>
      </c>
      <c r="GC632" s="27" t="s">
        <v>8</v>
      </c>
      <c r="GD632" s="27" t="s">
        <v>7</v>
      </c>
      <c r="GK632" s="27" t="s">
        <v>8</v>
      </c>
      <c r="GL632" s="27" t="s">
        <v>7</v>
      </c>
      <c r="GU632" s="27" t="s">
        <v>8</v>
      </c>
      <c r="JY632" s="27" t="s">
        <v>8</v>
      </c>
      <c r="JZ632" s="27" t="s">
        <v>7</v>
      </c>
      <c r="KG632" s="27" t="s">
        <v>8</v>
      </c>
      <c r="KH632" s="27" t="s">
        <v>7</v>
      </c>
      <c r="KQ632" s="27" t="s">
        <v>8</v>
      </c>
      <c r="KS632" s="27" t="s">
        <v>8</v>
      </c>
      <c r="KT632" s="27" t="s">
        <v>7</v>
      </c>
      <c r="KW632" s="27" t="s">
        <v>8</v>
      </c>
      <c r="KX632" s="27" t="s">
        <v>7</v>
      </c>
      <c r="KZ632" s="27" t="s">
        <v>7</v>
      </c>
      <c r="LA632" s="27" t="s">
        <v>8</v>
      </c>
      <c r="LB632" s="27" t="s">
        <v>7</v>
      </c>
      <c r="LC632" s="27" t="s">
        <v>8</v>
      </c>
      <c r="LD632" s="27" t="s">
        <v>7</v>
      </c>
    </row>
    <row r="633" spans="1:320" x14ac:dyDescent="0.25">
      <c r="A633" s="7">
        <v>0.40215372795091286</v>
      </c>
      <c r="B633"/>
      <c r="C633"/>
      <c r="D633"/>
      <c r="E633"/>
      <c r="F633" s="27" t="s">
        <v>7</v>
      </c>
      <c r="GC633" s="27" t="s">
        <v>8</v>
      </c>
      <c r="GD633" s="27" t="s">
        <v>7</v>
      </c>
      <c r="GK633" s="27" t="s">
        <v>8</v>
      </c>
      <c r="GL633" s="27" t="s">
        <v>7</v>
      </c>
      <c r="GU633" s="27" t="s">
        <v>8</v>
      </c>
      <c r="GV633" s="27" t="s">
        <v>7</v>
      </c>
      <c r="JY633" s="27" t="s">
        <v>8</v>
      </c>
      <c r="JZ633" s="27" t="s">
        <v>7</v>
      </c>
      <c r="KG633" s="27" t="s">
        <v>8</v>
      </c>
      <c r="KH633" s="27" t="s">
        <v>7</v>
      </c>
      <c r="KO633" s="27" t="s">
        <v>8</v>
      </c>
      <c r="KQ633" s="27" t="s">
        <v>8</v>
      </c>
      <c r="KR633" s="27" t="s">
        <v>7</v>
      </c>
      <c r="KS633" s="27" t="s">
        <v>8</v>
      </c>
      <c r="KT633" s="27" t="s">
        <v>7</v>
      </c>
      <c r="KU633" s="27" t="s">
        <v>8</v>
      </c>
      <c r="KW633" s="27" t="s">
        <v>8</v>
      </c>
      <c r="KZ633" s="27" t="s">
        <v>7</v>
      </c>
      <c r="LA633" s="27" t="s">
        <v>8</v>
      </c>
      <c r="LB633" s="27" t="s">
        <v>7</v>
      </c>
      <c r="LC633" s="27" t="s">
        <v>8</v>
      </c>
      <c r="LD633" s="27" t="s">
        <v>7</v>
      </c>
    </row>
    <row r="634" spans="1:320" x14ac:dyDescent="0.25">
      <c r="A634" s="7">
        <v>0.39426836073618904</v>
      </c>
      <c r="B634"/>
      <c r="C634"/>
      <c r="D634"/>
      <c r="E634"/>
      <c r="F634" s="27" t="s">
        <v>7</v>
      </c>
      <c r="GC634" s="27" t="s">
        <v>8</v>
      </c>
      <c r="GD634" s="27" t="s">
        <v>7</v>
      </c>
      <c r="GK634" s="27" t="s">
        <v>8</v>
      </c>
      <c r="GL634" s="27" t="s">
        <v>7</v>
      </c>
      <c r="GU634" s="27" t="s">
        <v>8</v>
      </c>
      <c r="GV634" s="27" t="s">
        <v>7</v>
      </c>
      <c r="JY634" s="27" t="s">
        <v>8</v>
      </c>
      <c r="JZ634" s="27" t="s">
        <v>7</v>
      </c>
      <c r="KG634" s="27" t="s">
        <v>8</v>
      </c>
      <c r="KH634" s="27" t="s">
        <v>7</v>
      </c>
      <c r="KI634" s="27" t="s">
        <v>8</v>
      </c>
      <c r="KM634" s="27" t="s">
        <v>8</v>
      </c>
      <c r="KO634" s="27" t="s">
        <v>8</v>
      </c>
      <c r="KP634" s="27" t="s">
        <v>7</v>
      </c>
      <c r="KQ634" s="27" t="s">
        <v>8</v>
      </c>
      <c r="KR634" s="27" t="s">
        <v>7</v>
      </c>
      <c r="KS634" s="27" t="s">
        <v>8</v>
      </c>
      <c r="KT634" s="27" t="s">
        <v>7</v>
      </c>
      <c r="KU634" s="27" t="s">
        <v>8</v>
      </c>
      <c r="KV634" s="27" t="s">
        <v>7</v>
      </c>
      <c r="KW634" s="27" t="s">
        <v>8</v>
      </c>
      <c r="KZ634" s="27" t="s">
        <v>7</v>
      </c>
      <c r="LA634" s="27" t="s">
        <v>8</v>
      </c>
      <c r="LB634" s="27" t="s">
        <v>7</v>
      </c>
      <c r="LC634" s="27" t="s">
        <v>8</v>
      </c>
      <c r="LD634" s="27" t="s">
        <v>7</v>
      </c>
    </row>
    <row r="635" spans="1:320" x14ac:dyDescent="0.25">
      <c r="A635" s="7">
        <v>0.38653760856489122</v>
      </c>
      <c r="B635"/>
      <c r="C635"/>
      <c r="D635"/>
      <c r="E635"/>
      <c r="F635" s="27" t="s">
        <v>7</v>
      </c>
      <c r="GC635" s="27" t="s">
        <v>8</v>
      </c>
      <c r="GD635" s="27" t="s">
        <v>7</v>
      </c>
      <c r="GK635" s="27" t="s">
        <v>8</v>
      </c>
      <c r="GL635" s="27" t="s">
        <v>7</v>
      </c>
      <c r="GU635" s="27" t="s">
        <v>8</v>
      </c>
      <c r="GV635" s="27" t="s">
        <v>7</v>
      </c>
      <c r="HO635" s="27" t="s">
        <v>8</v>
      </c>
      <c r="JY635" s="27" t="s">
        <v>8</v>
      </c>
      <c r="JZ635" s="27" t="s">
        <v>7</v>
      </c>
      <c r="KA635" s="27" t="s">
        <v>8</v>
      </c>
      <c r="KG635" s="27" t="s">
        <v>8</v>
      </c>
      <c r="KH635" s="27" t="s">
        <v>7</v>
      </c>
      <c r="KI635" s="27" t="s">
        <v>8</v>
      </c>
      <c r="KJ635" s="27" t="s">
        <v>7</v>
      </c>
      <c r="KM635" s="27" t="s">
        <v>8</v>
      </c>
      <c r="KN635" s="27" t="s">
        <v>7</v>
      </c>
      <c r="KO635" s="27" t="s">
        <v>8</v>
      </c>
      <c r="KP635" s="27" t="s">
        <v>7</v>
      </c>
      <c r="KQ635" s="27" t="s">
        <v>8</v>
      </c>
      <c r="KR635" s="27" t="s">
        <v>7</v>
      </c>
      <c r="KS635" s="27" t="s">
        <v>8</v>
      </c>
      <c r="KT635" s="27" t="s">
        <v>7</v>
      </c>
      <c r="KU635" s="27" t="s">
        <v>8</v>
      </c>
      <c r="KV635" s="27" t="s">
        <v>7</v>
      </c>
      <c r="KW635" s="27" t="s">
        <v>8</v>
      </c>
      <c r="KZ635" s="27" t="s">
        <v>7</v>
      </c>
      <c r="LA635" s="27" t="s">
        <v>8</v>
      </c>
      <c r="LB635" s="27" t="s">
        <v>7</v>
      </c>
      <c r="LC635" s="27" t="s">
        <v>8</v>
      </c>
      <c r="LD635" s="27" t="s">
        <v>7</v>
      </c>
    </row>
    <row r="636" spans="1:320" x14ac:dyDescent="0.25">
      <c r="A636" s="7">
        <v>0.37895843976950117</v>
      </c>
      <c r="B636"/>
      <c r="C636"/>
      <c r="D636"/>
      <c r="E636"/>
      <c r="F636" s="27" t="s">
        <v>7</v>
      </c>
      <c r="GC636" s="27" t="s">
        <v>8</v>
      </c>
      <c r="GD636" s="27" t="s">
        <v>7</v>
      </c>
      <c r="GK636" s="27" t="s">
        <v>8</v>
      </c>
      <c r="GL636" s="27" t="s">
        <v>7</v>
      </c>
      <c r="GS636" s="27" t="s">
        <v>8</v>
      </c>
      <c r="GU636" s="27" t="s">
        <v>8</v>
      </c>
      <c r="GV636" s="27" t="s">
        <v>7</v>
      </c>
      <c r="HO636" s="27" t="s">
        <v>8</v>
      </c>
      <c r="HP636" s="27" t="s">
        <v>7</v>
      </c>
      <c r="JY636" s="27" t="s">
        <v>8</v>
      </c>
      <c r="JZ636" s="27" t="s">
        <v>7</v>
      </c>
      <c r="KA636" s="27" t="s">
        <v>8</v>
      </c>
      <c r="KB636" s="27" t="s">
        <v>7</v>
      </c>
      <c r="KG636" s="27" t="s">
        <v>8</v>
      </c>
      <c r="KH636" s="27" t="s">
        <v>7</v>
      </c>
      <c r="KI636" s="27" t="s">
        <v>8</v>
      </c>
      <c r="KJ636" s="27" t="s">
        <v>7</v>
      </c>
      <c r="KM636" s="27" t="s">
        <v>8</v>
      </c>
      <c r="KN636" s="27" t="s">
        <v>7</v>
      </c>
      <c r="KO636" s="27" t="s">
        <v>8</v>
      </c>
      <c r="KP636" s="27" t="s">
        <v>7</v>
      </c>
      <c r="KQ636" s="27" t="s">
        <v>8</v>
      </c>
      <c r="KR636" s="27" t="s">
        <v>7</v>
      </c>
      <c r="KS636" s="27" t="s">
        <v>8</v>
      </c>
      <c r="KT636" s="27" t="s">
        <v>7</v>
      </c>
      <c r="KV636" s="27" t="s">
        <v>7</v>
      </c>
      <c r="KW636" s="27" t="s">
        <v>8</v>
      </c>
      <c r="KZ636" s="27" t="s">
        <v>7</v>
      </c>
      <c r="LA636" s="27" t="s">
        <v>8</v>
      </c>
      <c r="LB636" s="27" t="s">
        <v>7</v>
      </c>
      <c r="LC636" s="27" t="s">
        <v>8</v>
      </c>
      <c r="LD636" s="27" t="s">
        <v>7</v>
      </c>
    </row>
    <row r="637" spans="1:320" x14ac:dyDescent="0.25">
      <c r="A637" s="7">
        <v>0.37152788212696197</v>
      </c>
      <c r="B637"/>
      <c r="C637"/>
      <c r="D637"/>
      <c r="E637"/>
      <c r="F637" s="27" t="s">
        <v>7</v>
      </c>
      <c r="GC637" s="27" t="s">
        <v>8</v>
      </c>
      <c r="GD637" s="27" t="s">
        <v>7</v>
      </c>
      <c r="GE637" s="27" t="s">
        <v>8</v>
      </c>
      <c r="GK637" s="27" t="s">
        <v>8</v>
      </c>
      <c r="GL637" s="27" t="s">
        <v>7</v>
      </c>
      <c r="GS637" s="27" t="s">
        <v>8</v>
      </c>
      <c r="GT637" s="27" t="s">
        <v>7</v>
      </c>
      <c r="GU637" s="27" t="s">
        <v>8</v>
      </c>
      <c r="GV637" s="27" t="s">
        <v>7</v>
      </c>
      <c r="GW637" s="27" t="s">
        <v>8</v>
      </c>
      <c r="HO637" s="27" t="s">
        <v>8</v>
      </c>
      <c r="HP637" s="27" t="s">
        <v>7</v>
      </c>
      <c r="JY637" s="27" t="s">
        <v>8</v>
      </c>
      <c r="JZ637" s="27" t="s">
        <v>7</v>
      </c>
      <c r="KA637" s="27" t="s">
        <v>8</v>
      </c>
      <c r="KB637" s="27" t="s">
        <v>7</v>
      </c>
      <c r="KE637" s="27" t="s">
        <v>8</v>
      </c>
      <c r="KG637" s="27" t="s">
        <v>8</v>
      </c>
      <c r="KH637" s="27" t="s">
        <v>7</v>
      </c>
      <c r="KI637" s="27" t="s">
        <v>8</v>
      </c>
      <c r="KJ637" s="27" t="s">
        <v>7</v>
      </c>
      <c r="KM637" s="27" t="s">
        <v>8</v>
      </c>
      <c r="KN637" s="27" t="s">
        <v>7</v>
      </c>
      <c r="KO637" s="27" t="s">
        <v>8</v>
      </c>
      <c r="KP637" s="27" t="s">
        <v>7</v>
      </c>
      <c r="KQ637" s="27" t="s">
        <v>8</v>
      </c>
      <c r="KR637" s="27" t="s">
        <v>7</v>
      </c>
      <c r="KS637" s="27" t="s">
        <v>8</v>
      </c>
      <c r="KV637" s="27" t="s">
        <v>7</v>
      </c>
      <c r="KZ637" s="27" t="s">
        <v>7</v>
      </c>
      <c r="LB637" s="27" t="s">
        <v>7</v>
      </c>
      <c r="LC637" s="27" t="s">
        <v>8</v>
      </c>
      <c r="LD637" s="27" t="s">
        <v>7</v>
      </c>
    </row>
    <row r="638" spans="1:320" x14ac:dyDescent="0.25">
      <c r="A638" s="7">
        <v>0.36424302169310002</v>
      </c>
      <c r="B638"/>
      <c r="C638"/>
      <c r="D638"/>
      <c r="E638"/>
      <c r="F638" s="27" t="s">
        <v>7</v>
      </c>
      <c r="GC638" s="27" t="s">
        <v>8</v>
      </c>
      <c r="GD638" s="27" t="s">
        <v>7</v>
      </c>
      <c r="GE638" s="27" t="s">
        <v>8</v>
      </c>
      <c r="GF638" s="27" t="s">
        <v>7</v>
      </c>
      <c r="GK638" s="27" t="s">
        <v>8</v>
      </c>
      <c r="GL638" s="27" t="s">
        <v>7</v>
      </c>
      <c r="GQ638" s="27" t="s">
        <v>8</v>
      </c>
      <c r="GS638" s="27" t="s">
        <v>8</v>
      </c>
      <c r="GT638" s="27" t="s">
        <v>7</v>
      </c>
      <c r="GU638" s="27" t="s">
        <v>8</v>
      </c>
      <c r="GV638" s="27" t="s">
        <v>7</v>
      </c>
      <c r="GW638" s="27" t="s">
        <v>8</v>
      </c>
      <c r="GX638" s="27" t="s">
        <v>7</v>
      </c>
      <c r="HO638" s="27" t="s">
        <v>8</v>
      </c>
      <c r="HP638" s="27" t="s">
        <v>7</v>
      </c>
      <c r="JY638" s="27" t="s">
        <v>8</v>
      </c>
      <c r="JZ638" s="27" t="s">
        <v>7</v>
      </c>
      <c r="KA638" s="27" t="s">
        <v>8</v>
      </c>
      <c r="KB638" s="27" t="s">
        <v>7</v>
      </c>
      <c r="KE638" s="27" t="s">
        <v>8</v>
      </c>
      <c r="KF638" s="27" t="s">
        <v>7</v>
      </c>
      <c r="KG638" s="27" t="s">
        <v>8</v>
      </c>
      <c r="KH638" s="27" t="s">
        <v>7</v>
      </c>
      <c r="KJ638" s="27" t="s">
        <v>7</v>
      </c>
      <c r="KM638" s="27" t="s">
        <v>8</v>
      </c>
      <c r="KN638" s="27" t="s">
        <v>7</v>
      </c>
      <c r="KO638" s="27" t="s">
        <v>8</v>
      </c>
      <c r="KP638" s="27" t="s">
        <v>7</v>
      </c>
      <c r="KQ638" s="27" t="s">
        <v>8</v>
      </c>
      <c r="KR638" s="27" t="s">
        <v>7</v>
      </c>
      <c r="KS638" s="27" t="s">
        <v>8</v>
      </c>
      <c r="LB638" s="27" t="s">
        <v>7</v>
      </c>
      <c r="LC638" s="27" t="s">
        <v>8</v>
      </c>
      <c r="LD638" s="27" t="s">
        <v>7</v>
      </c>
      <c r="LG638" s="27" t="s">
        <v>8</v>
      </c>
    </row>
    <row r="639" spans="1:320" x14ac:dyDescent="0.25">
      <c r="A639" s="7">
        <v>0.35710100165990194</v>
      </c>
      <c r="B639"/>
      <c r="C639"/>
      <c r="D639"/>
      <c r="E639"/>
      <c r="F639" s="27" t="s">
        <v>7</v>
      </c>
      <c r="GC639" s="27" t="s">
        <v>8</v>
      </c>
      <c r="GD639" s="27" t="s">
        <v>7</v>
      </c>
      <c r="GE639" s="27" t="s">
        <v>8</v>
      </c>
      <c r="GF639" s="27" t="s">
        <v>7</v>
      </c>
      <c r="GK639" s="27" t="s">
        <v>8</v>
      </c>
      <c r="GL639" s="27" t="s">
        <v>7</v>
      </c>
      <c r="GQ639" s="27" t="s">
        <v>8</v>
      </c>
      <c r="GR639" s="27" t="s">
        <v>7</v>
      </c>
      <c r="GS639" s="27" t="s">
        <v>8</v>
      </c>
      <c r="GT639" s="27" t="s">
        <v>7</v>
      </c>
      <c r="GU639" s="27" t="s">
        <v>8</v>
      </c>
      <c r="GV639" s="27" t="s">
        <v>7</v>
      </c>
      <c r="GW639" s="27" t="s">
        <v>8</v>
      </c>
      <c r="GX639" s="27" t="s">
        <v>7</v>
      </c>
      <c r="HO639" s="27" t="s">
        <v>8</v>
      </c>
      <c r="HP639" s="27" t="s">
        <v>7</v>
      </c>
      <c r="HQ639" s="27" t="s">
        <v>8</v>
      </c>
      <c r="JW639" s="27" t="s">
        <v>8</v>
      </c>
      <c r="JY639" s="27" t="s">
        <v>8</v>
      </c>
      <c r="JZ639" s="27" t="s">
        <v>7</v>
      </c>
      <c r="KA639" s="27" t="s">
        <v>8</v>
      </c>
      <c r="KB639" s="27" t="s">
        <v>7</v>
      </c>
      <c r="KC639" s="27" t="s">
        <v>8</v>
      </c>
      <c r="KE639" s="27" t="s">
        <v>8</v>
      </c>
      <c r="KF639" s="27" t="s">
        <v>7</v>
      </c>
      <c r="KG639" s="27" t="s">
        <v>8</v>
      </c>
      <c r="KJ639" s="27" t="s">
        <v>7</v>
      </c>
      <c r="KK639" s="27" t="s">
        <v>8</v>
      </c>
      <c r="KM639" s="27" t="s">
        <v>8</v>
      </c>
      <c r="KN639" s="27" t="s">
        <v>7</v>
      </c>
      <c r="KO639" s="27" t="s">
        <v>8</v>
      </c>
      <c r="KP639" s="27" t="s">
        <v>7</v>
      </c>
      <c r="KR639" s="27" t="s">
        <v>7</v>
      </c>
      <c r="KS639" s="27" t="s">
        <v>8</v>
      </c>
      <c r="LB639" s="27" t="s">
        <v>7</v>
      </c>
      <c r="LC639" s="27" t="s">
        <v>8</v>
      </c>
      <c r="LD639" s="27" t="s">
        <v>7</v>
      </c>
      <c r="LG639" s="27" t="s">
        <v>8</v>
      </c>
      <c r="LH639" s="27" t="s">
        <v>7</v>
      </c>
    </row>
    <row r="640" spans="1:320" x14ac:dyDescent="0.25">
      <c r="A640" s="7">
        <v>0.35009902123519804</v>
      </c>
      <c r="B640"/>
      <c r="C640"/>
      <c r="D640"/>
      <c r="E640"/>
      <c r="F640" s="27" t="s">
        <v>7</v>
      </c>
      <c r="GC640" s="27" t="s">
        <v>8</v>
      </c>
      <c r="GD640" s="27" t="s">
        <v>7</v>
      </c>
      <c r="GE640" s="27" t="s">
        <v>8</v>
      </c>
      <c r="GF640" s="27" t="s">
        <v>7</v>
      </c>
      <c r="GG640" s="27" t="s">
        <v>8</v>
      </c>
      <c r="GI640" s="27" t="s">
        <v>8</v>
      </c>
      <c r="GK640" s="27" t="s">
        <v>8</v>
      </c>
      <c r="GL640" s="27" t="s">
        <v>7</v>
      </c>
      <c r="GQ640" s="27" t="s">
        <v>8</v>
      </c>
      <c r="GR640" s="27" t="s">
        <v>7</v>
      </c>
      <c r="GS640" s="27" t="s">
        <v>8</v>
      </c>
      <c r="GT640" s="27" t="s">
        <v>7</v>
      </c>
      <c r="GU640" s="27" t="s">
        <v>8</v>
      </c>
      <c r="GV640" s="27" t="s">
        <v>7</v>
      </c>
      <c r="GW640" s="27" t="s">
        <v>8</v>
      </c>
      <c r="GX640" s="27" t="s">
        <v>7</v>
      </c>
      <c r="HO640" s="27" t="s">
        <v>8</v>
      </c>
      <c r="HP640" s="27" t="s">
        <v>7</v>
      </c>
      <c r="HQ640" s="27" t="s">
        <v>8</v>
      </c>
      <c r="HR640" s="27" t="s">
        <v>7</v>
      </c>
      <c r="JW640" s="27" t="s">
        <v>8</v>
      </c>
      <c r="JX640" s="27" t="s">
        <v>7</v>
      </c>
      <c r="JY640" s="27" t="s">
        <v>8</v>
      </c>
      <c r="JZ640" s="27" t="s">
        <v>7</v>
      </c>
      <c r="KA640" s="27" t="s">
        <v>8</v>
      </c>
      <c r="KB640" s="27" t="s">
        <v>7</v>
      </c>
      <c r="KC640" s="27" t="s">
        <v>8</v>
      </c>
      <c r="KD640" s="27" t="s">
        <v>7</v>
      </c>
      <c r="KE640" s="27" t="s">
        <v>8</v>
      </c>
      <c r="KF640" s="27" t="s">
        <v>7</v>
      </c>
      <c r="KG640" s="27" t="s">
        <v>8</v>
      </c>
      <c r="KJ640" s="27" t="s">
        <v>7</v>
      </c>
      <c r="KK640" s="27" t="s">
        <v>8</v>
      </c>
      <c r="KL640" s="27" t="s">
        <v>7</v>
      </c>
      <c r="KM640" s="27" t="s">
        <v>8</v>
      </c>
      <c r="KN640" s="27" t="s">
        <v>7</v>
      </c>
      <c r="KO640" s="27" t="s">
        <v>8</v>
      </c>
      <c r="KR640" s="27" t="s">
        <v>7</v>
      </c>
      <c r="KS640" s="27" t="s">
        <v>8</v>
      </c>
      <c r="LB640" s="27" t="s">
        <v>7</v>
      </c>
      <c r="LD640" s="27" t="s">
        <v>7</v>
      </c>
      <c r="LG640" s="27" t="s">
        <v>8</v>
      </c>
      <c r="LH640" s="27" t="s">
        <v>7</v>
      </c>
    </row>
    <row r="641" spans="1:348" x14ac:dyDescent="0.25">
      <c r="A641" s="7">
        <v>0.34323433454431179</v>
      </c>
      <c r="B641"/>
      <c r="C641"/>
      <c r="D641"/>
      <c r="E641"/>
      <c r="F641" s="27" t="s">
        <v>7</v>
      </c>
      <c r="GC641" s="27" t="s">
        <v>8</v>
      </c>
      <c r="GD641" s="27" t="s">
        <v>7</v>
      </c>
      <c r="GE641" s="27" t="s">
        <v>8</v>
      </c>
      <c r="GF641" s="27" t="s">
        <v>7</v>
      </c>
      <c r="GG641" s="27" t="s">
        <v>8</v>
      </c>
      <c r="GH641" s="27" t="s">
        <v>7</v>
      </c>
      <c r="GI641" s="27" t="s">
        <v>8</v>
      </c>
      <c r="GJ641" s="27" t="s">
        <v>7</v>
      </c>
      <c r="GK641" s="27" t="s">
        <v>8</v>
      </c>
      <c r="GL641" s="27" t="s">
        <v>7</v>
      </c>
      <c r="GQ641" s="27" t="s">
        <v>8</v>
      </c>
      <c r="GR641" s="27" t="s">
        <v>7</v>
      </c>
      <c r="GS641" s="27" t="s">
        <v>8</v>
      </c>
      <c r="GT641" s="27" t="s">
        <v>7</v>
      </c>
      <c r="GU641" s="27" t="s">
        <v>8</v>
      </c>
      <c r="GV641" s="27" t="s">
        <v>7</v>
      </c>
      <c r="GW641" s="27" t="s">
        <v>8</v>
      </c>
      <c r="GX641" s="27" t="s">
        <v>7</v>
      </c>
      <c r="GY641" s="27" t="s">
        <v>8</v>
      </c>
      <c r="HG641" s="27" t="s">
        <v>8</v>
      </c>
      <c r="HO641" s="27" t="s">
        <v>8</v>
      </c>
      <c r="HP641" s="27" t="s">
        <v>7</v>
      </c>
      <c r="HQ641" s="27" t="s">
        <v>8</v>
      </c>
      <c r="HR641" s="27" t="s">
        <v>7</v>
      </c>
      <c r="HS641" s="27" t="s">
        <v>8</v>
      </c>
      <c r="JU641" s="27" t="s">
        <v>8</v>
      </c>
      <c r="JW641" s="27" t="s">
        <v>8</v>
      </c>
      <c r="JX641" s="27" t="s">
        <v>7</v>
      </c>
      <c r="JY641" s="27" t="s">
        <v>8</v>
      </c>
      <c r="JZ641" s="27" t="s">
        <v>7</v>
      </c>
      <c r="KA641" s="27" t="s">
        <v>8</v>
      </c>
      <c r="KB641" s="27" t="s">
        <v>7</v>
      </c>
      <c r="KC641" s="27" t="s">
        <v>8</v>
      </c>
      <c r="KD641" s="27" t="s">
        <v>7</v>
      </c>
      <c r="KE641" s="27" t="s">
        <v>8</v>
      </c>
      <c r="KF641" s="27" t="s">
        <v>7</v>
      </c>
      <c r="KG641" s="27" t="s">
        <v>8</v>
      </c>
      <c r="KJ641" s="27" t="s">
        <v>7</v>
      </c>
      <c r="KK641" s="27" t="s">
        <v>8</v>
      </c>
      <c r="KL641" s="27" t="s">
        <v>7</v>
      </c>
      <c r="KM641" s="27" t="s">
        <v>8</v>
      </c>
      <c r="KN641" s="27" t="s">
        <v>7</v>
      </c>
      <c r="KR641" s="27" t="s">
        <v>7</v>
      </c>
      <c r="KS641" s="27" t="s">
        <v>8</v>
      </c>
      <c r="LD641" s="27" t="s">
        <v>7</v>
      </c>
      <c r="LG641" s="27" t="s">
        <v>8</v>
      </c>
      <c r="LH641" s="27" t="s">
        <v>7</v>
      </c>
      <c r="LS641" s="27" t="s">
        <v>8</v>
      </c>
    </row>
    <row r="642" spans="1:348" x14ac:dyDescent="0.25">
      <c r="A642" s="7">
        <v>0.33650424955324681</v>
      </c>
      <c r="B642"/>
      <c r="C642"/>
      <c r="D642"/>
      <c r="E642"/>
      <c r="F642" s="27" t="s">
        <v>7</v>
      </c>
      <c r="GC642" s="27" t="s">
        <v>8</v>
      </c>
      <c r="GD642" s="27" t="s">
        <v>7</v>
      </c>
      <c r="GE642" s="27" t="s">
        <v>8</v>
      </c>
      <c r="GF642" s="27" t="s">
        <v>7</v>
      </c>
      <c r="GG642" s="27" t="s">
        <v>8</v>
      </c>
      <c r="GH642" s="27" t="s">
        <v>7</v>
      </c>
      <c r="GI642" s="27" t="s">
        <v>8</v>
      </c>
      <c r="GJ642" s="27" t="s">
        <v>7</v>
      </c>
      <c r="GK642" s="27" t="s">
        <v>8</v>
      </c>
      <c r="GL642" s="27" t="s">
        <v>7</v>
      </c>
      <c r="GM642" s="27" t="s">
        <v>8</v>
      </c>
      <c r="GO642" s="27" t="s">
        <v>8</v>
      </c>
      <c r="GQ642" s="27" t="s">
        <v>8</v>
      </c>
      <c r="GR642" s="27" t="s">
        <v>7</v>
      </c>
      <c r="GS642" s="27" t="s">
        <v>8</v>
      </c>
      <c r="GT642" s="27" t="s">
        <v>7</v>
      </c>
      <c r="GV642" s="27" t="s">
        <v>7</v>
      </c>
      <c r="GW642" s="27" t="s">
        <v>8</v>
      </c>
      <c r="GX642" s="27" t="s">
        <v>7</v>
      </c>
      <c r="GY642" s="27" t="s">
        <v>8</v>
      </c>
      <c r="GZ642" s="27" t="s">
        <v>7</v>
      </c>
      <c r="HG642" s="27" t="s">
        <v>8</v>
      </c>
      <c r="HH642" s="27" t="s">
        <v>7</v>
      </c>
      <c r="HO642" s="27" t="s">
        <v>8</v>
      </c>
      <c r="HP642" s="27" t="s">
        <v>7</v>
      </c>
      <c r="HQ642" s="27" t="s">
        <v>8</v>
      </c>
      <c r="HR642" s="27" t="s">
        <v>7</v>
      </c>
      <c r="HS642" s="27" t="s">
        <v>8</v>
      </c>
      <c r="HT642" s="27" t="s">
        <v>7</v>
      </c>
      <c r="JU642" s="27" t="s">
        <v>8</v>
      </c>
      <c r="JV642" s="27" t="s">
        <v>7</v>
      </c>
      <c r="JW642" s="27" t="s">
        <v>8</v>
      </c>
      <c r="JX642" s="27" t="s">
        <v>7</v>
      </c>
      <c r="JY642" s="27" t="s">
        <v>8</v>
      </c>
      <c r="JZ642" s="27" t="s">
        <v>7</v>
      </c>
      <c r="KA642" s="27" t="s">
        <v>8</v>
      </c>
      <c r="KB642" s="27" t="s">
        <v>7</v>
      </c>
      <c r="KC642" s="27" t="s">
        <v>8</v>
      </c>
      <c r="KD642" s="27" t="s">
        <v>7</v>
      </c>
      <c r="KE642" s="27" t="s">
        <v>8</v>
      </c>
      <c r="KF642" s="27" t="s">
        <v>7</v>
      </c>
      <c r="KG642" s="27" t="s">
        <v>8</v>
      </c>
      <c r="KJ642" s="27" t="s">
        <v>7</v>
      </c>
      <c r="KL642" s="27" t="s">
        <v>7</v>
      </c>
      <c r="KM642" s="27" t="s">
        <v>8</v>
      </c>
      <c r="KR642" s="27" t="s">
        <v>7</v>
      </c>
      <c r="KS642" s="27" t="s">
        <v>8</v>
      </c>
      <c r="LD642" s="27" t="s">
        <v>7</v>
      </c>
      <c r="LE642" s="27" t="s">
        <v>8</v>
      </c>
      <c r="LG642" s="27" t="s">
        <v>8</v>
      </c>
      <c r="LH642" s="27" t="s">
        <v>7</v>
      </c>
      <c r="LS642" s="27" t="s">
        <v>8</v>
      </c>
      <c r="LT642" s="27" t="s">
        <v>7</v>
      </c>
      <c r="MA642" s="27" t="s">
        <v>8</v>
      </c>
    </row>
    <row r="643" spans="1:348" x14ac:dyDescent="0.25">
      <c r="A643" s="7">
        <v>0.3299061270129871</v>
      </c>
      <c r="B643"/>
      <c r="C643"/>
      <c r="D643"/>
      <c r="E643"/>
      <c r="F643" s="27" t="s">
        <v>7</v>
      </c>
      <c r="GC643" s="27" t="s">
        <v>8</v>
      </c>
      <c r="GD643" s="27" t="s">
        <v>7</v>
      </c>
      <c r="GE643" s="27" t="s">
        <v>8</v>
      </c>
      <c r="GF643" s="27" t="s">
        <v>7</v>
      </c>
      <c r="GG643" s="27" t="s">
        <v>8</v>
      </c>
      <c r="GH643" s="27" t="s">
        <v>7</v>
      </c>
      <c r="GI643" s="27" t="s">
        <v>8</v>
      </c>
      <c r="GJ643" s="27" t="s">
        <v>7</v>
      </c>
      <c r="GL643" s="27" t="s">
        <v>7</v>
      </c>
      <c r="GM643" s="27" t="s">
        <v>8</v>
      </c>
      <c r="GN643" s="27" t="s">
        <v>7</v>
      </c>
      <c r="GO643" s="27" t="s">
        <v>8</v>
      </c>
      <c r="GP643" s="27" t="s">
        <v>7</v>
      </c>
      <c r="GQ643" s="27" t="s">
        <v>8</v>
      </c>
      <c r="GR643" s="27" t="s">
        <v>7</v>
      </c>
      <c r="GS643" s="27" t="s">
        <v>8</v>
      </c>
      <c r="GV643" s="27" t="s">
        <v>7</v>
      </c>
      <c r="GX643" s="27" t="s">
        <v>7</v>
      </c>
      <c r="GY643" s="27" t="s">
        <v>8</v>
      </c>
      <c r="GZ643" s="27" t="s">
        <v>7</v>
      </c>
      <c r="HG643" s="27" t="s">
        <v>8</v>
      </c>
      <c r="HH643" s="27" t="s">
        <v>7</v>
      </c>
      <c r="HO643" s="27" t="s">
        <v>8</v>
      </c>
      <c r="HP643" s="27" t="s">
        <v>7</v>
      </c>
      <c r="HQ643" s="27" t="s">
        <v>8</v>
      </c>
      <c r="HR643" s="27" t="s">
        <v>7</v>
      </c>
      <c r="HS643" s="27" t="s">
        <v>8</v>
      </c>
      <c r="HT643" s="27" t="s">
        <v>7</v>
      </c>
      <c r="JU643" s="27" t="s">
        <v>8</v>
      </c>
      <c r="JV643" s="27" t="s">
        <v>7</v>
      </c>
      <c r="JW643" s="27" t="s">
        <v>8</v>
      </c>
      <c r="JX643" s="27" t="s">
        <v>7</v>
      </c>
      <c r="JY643" s="27" t="s">
        <v>8</v>
      </c>
      <c r="JZ643" s="27" t="s">
        <v>7</v>
      </c>
      <c r="KA643" s="27" t="s">
        <v>8</v>
      </c>
      <c r="KB643" s="27" t="s">
        <v>7</v>
      </c>
      <c r="KC643" s="27" t="s">
        <v>8</v>
      </c>
      <c r="KD643" s="27" t="s">
        <v>7</v>
      </c>
      <c r="KE643" s="27" t="s">
        <v>8</v>
      </c>
      <c r="KF643" s="27" t="s">
        <v>7</v>
      </c>
      <c r="KG643" s="27" t="s">
        <v>8</v>
      </c>
      <c r="KL643" s="27" t="s">
        <v>7</v>
      </c>
      <c r="KM643" s="27" t="s">
        <v>8</v>
      </c>
      <c r="KR643" s="27" t="s">
        <v>7</v>
      </c>
      <c r="LD643" s="27" t="s">
        <v>7</v>
      </c>
      <c r="LE643" s="27" t="s">
        <v>8</v>
      </c>
      <c r="LF643" s="27" t="s">
        <v>7</v>
      </c>
      <c r="LG643" s="27" t="s">
        <v>8</v>
      </c>
      <c r="LH643" s="27" t="s">
        <v>7</v>
      </c>
      <c r="LQ643" s="27" t="s">
        <v>8</v>
      </c>
      <c r="LS643" s="27" t="s">
        <v>8</v>
      </c>
      <c r="LT643" s="27" t="s">
        <v>7</v>
      </c>
      <c r="MA643" s="27" t="s">
        <v>8</v>
      </c>
      <c r="MB643" s="27" t="s">
        <v>7</v>
      </c>
    </row>
    <row r="644" spans="1:348" x14ac:dyDescent="0.25">
      <c r="A644" s="7">
        <v>0.32343737942449713</v>
      </c>
      <c r="B644"/>
      <c r="C644"/>
      <c r="D644"/>
      <c r="E644"/>
      <c r="F644" s="27" t="s">
        <v>7</v>
      </c>
      <c r="GC644" s="27" t="s">
        <v>8</v>
      </c>
      <c r="GD644" s="27" t="s">
        <v>7</v>
      </c>
      <c r="GE644" s="27" t="s">
        <v>8</v>
      </c>
      <c r="GF644" s="27" t="s">
        <v>7</v>
      </c>
      <c r="GG644" s="27" t="s">
        <v>8</v>
      </c>
      <c r="GH644" s="27" t="s">
        <v>7</v>
      </c>
      <c r="GI644" s="27" t="s">
        <v>8</v>
      </c>
      <c r="GL644" s="27" t="s">
        <v>7</v>
      </c>
      <c r="GM644" s="27" t="s">
        <v>8</v>
      </c>
      <c r="GN644" s="27" t="s">
        <v>7</v>
      </c>
      <c r="GO644" s="27" t="s">
        <v>8</v>
      </c>
      <c r="GP644" s="27" t="s">
        <v>7</v>
      </c>
      <c r="GQ644" s="27" t="s">
        <v>8</v>
      </c>
      <c r="GR644" s="27" t="s">
        <v>7</v>
      </c>
      <c r="GX644" s="27" t="s">
        <v>7</v>
      </c>
      <c r="GY644" s="27" t="s">
        <v>8</v>
      </c>
      <c r="GZ644" s="27" t="s">
        <v>7</v>
      </c>
      <c r="HG644" s="27" t="s">
        <v>8</v>
      </c>
      <c r="HH644" s="27" t="s">
        <v>7</v>
      </c>
      <c r="HO644" s="27" t="s">
        <v>8</v>
      </c>
      <c r="HP644" s="27" t="s">
        <v>7</v>
      </c>
      <c r="HQ644" s="27" t="s">
        <v>8</v>
      </c>
      <c r="HR644" s="27" t="s">
        <v>7</v>
      </c>
      <c r="HS644" s="27" t="s">
        <v>8</v>
      </c>
      <c r="HT644" s="27" t="s">
        <v>7</v>
      </c>
      <c r="JU644" s="27" t="s">
        <v>8</v>
      </c>
      <c r="JV644" s="27" t="s">
        <v>7</v>
      </c>
      <c r="JW644" s="27" t="s">
        <v>8</v>
      </c>
      <c r="JX644" s="27" t="s">
        <v>7</v>
      </c>
      <c r="JY644" s="27" t="s">
        <v>8</v>
      </c>
      <c r="JZ644" s="27" t="s">
        <v>7</v>
      </c>
      <c r="KA644" s="27" t="s">
        <v>8</v>
      </c>
      <c r="KB644" s="27" t="s">
        <v>7</v>
      </c>
      <c r="KC644" s="27" t="s">
        <v>8</v>
      </c>
      <c r="KD644" s="27" t="s">
        <v>7</v>
      </c>
      <c r="KE644" s="27" t="s">
        <v>8</v>
      </c>
      <c r="KF644" s="27" t="s">
        <v>7</v>
      </c>
      <c r="KG644" s="27" t="s">
        <v>8</v>
      </c>
      <c r="KL644" s="27" t="s">
        <v>7</v>
      </c>
      <c r="LD644" s="27" t="s">
        <v>7</v>
      </c>
      <c r="LE644" s="27" t="s">
        <v>8</v>
      </c>
      <c r="LF644" s="27" t="s">
        <v>7</v>
      </c>
      <c r="LG644" s="27" t="s">
        <v>8</v>
      </c>
      <c r="LH644" s="27" t="s">
        <v>7</v>
      </c>
      <c r="LQ644" s="27" t="s">
        <v>8</v>
      </c>
      <c r="LR644" s="27" t="s">
        <v>7</v>
      </c>
      <c r="LS644" s="27" t="s">
        <v>8</v>
      </c>
      <c r="LT644" s="27" t="s">
        <v>7</v>
      </c>
      <c r="LU644" s="27" t="s">
        <v>8</v>
      </c>
      <c r="MA644" s="27" t="s">
        <v>8</v>
      </c>
      <c r="MB644" s="27" t="s">
        <v>7</v>
      </c>
    </row>
    <row r="645" spans="1:348" x14ac:dyDescent="0.25">
      <c r="A645" s="7">
        <v>0.31709547002401678</v>
      </c>
      <c r="B645"/>
      <c r="C645"/>
      <c r="D645"/>
      <c r="E645"/>
      <c r="F645" s="27" t="s">
        <v>7</v>
      </c>
      <c r="GC645" s="27" t="s">
        <v>8</v>
      </c>
      <c r="GD645" s="27" t="s">
        <v>7</v>
      </c>
      <c r="GE645" s="27" t="s">
        <v>8</v>
      </c>
      <c r="GF645" s="27" t="s">
        <v>7</v>
      </c>
      <c r="GG645" s="27" t="s">
        <v>8</v>
      </c>
      <c r="GH645" s="27" t="s">
        <v>7</v>
      </c>
      <c r="GI645" s="27" t="s">
        <v>8</v>
      </c>
      <c r="GL645" s="27" t="s">
        <v>7</v>
      </c>
      <c r="GM645" s="27" t="s">
        <v>8</v>
      </c>
      <c r="GN645" s="27" t="s">
        <v>7</v>
      </c>
      <c r="GO645" s="27" t="s">
        <v>8</v>
      </c>
      <c r="GP645" s="27" t="s">
        <v>7</v>
      </c>
      <c r="GQ645" s="27" t="s">
        <v>8</v>
      </c>
      <c r="GX645" s="27" t="s">
        <v>7</v>
      </c>
      <c r="GY645" s="27" t="s">
        <v>8</v>
      </c>
      <c r="GZ645" s="27" t="s">
        <v>7</v>
      </c>
      <c r="HG645" s="27" t="s">
        <v>8</v>
      </c>
      <c r="HH645" s="27" t="s">
        <v>7</v>
      </c>
      <c r="HI645" s="27" t="s">
        <v>8</v>
      </c>
      <c r="HO645" s="27" t="s">
        <v>8</v>
      </c>
      <c r="HP645" s="27" t="s">
        <v>7</v>
      </c>
      <c r="HQ645" s="27" t="s">
        <v>8</v>
      </c>
      <c r="HR645" s="27" t="s">
        <v>7</v>
      </c>
      <c r="HS645" s="27" t="s">
        <v>8</v>
      </c>
      <c r="HT645" s="27" t="s">
        <v>7</v>
      </c>
      <c r="JS645" s="27" t="s">
        <v>8</v>
      </c>
      <c r="JU645" s="27" t="s">
        <v>8</v>
      </c>
      <c r="JV645" s="27" t="s">
        <v>7</v>
      </c>
      <c r="JW645" s="27" t="s">
        <v>8</v>
      </c>
      <c r="JX645" s="27" t="s">
        <v>7</v>
      </c>
      <c r="JY645" s="27" t="s">
        <v>8</v>
      </c>
      <c r="JZ645" s="27" t="s">
        <v>7</v>
      </c>
      <c r="KA645" s="27" t="s">
        <v>8</v>
      </c>
      <c r="KB645" s="27" t="s">
        <v>7</v>
      </c>
      <c r="KC645" s="27" t="s">
        <v>8</v>
      </c>
      <c r="KD645" s="27" t="s">
        <v>7</v>
      </c>
      <c r="KE645" s="27" t="s">
        <v>8</v>
      </c>
      <c r="KF645" s="27" t="s">
        <v>7</v>
      </c>
      <c r="KG645" s="27" t="s">
        <v>8</v>
      </c>
      <c r="LD645" s="27" t="s">
        <v>7</v>
      </c>
      <c r="LF645" s="27" t="s">
        <v>7</v>
      </c>
      <c r="LG645" s="27" t="s">
        <v>8</v>
      </c>
      <c r="LH645" s="27" t="s">
        <v>7</v>
      </c>
      <c r="LQ645" s="27" t="s">
        <v>8</v>
      </c>
      <c r="LR645" s="27" t="s">
        <v>7</v>
      </c>
      <c r="LS645" s="27" t="s">
        <v>8</v>
      </c>
      <c r="LT645" s="27" t="s">
        <v>7</v>
      </c>
      <c r="LU645" s="27" t="s">
        <v>8</v>
      </c>
      <c r="LV645" s="27" t="s">
        <v>7</v>
      </c>
      <c r="LY645" s="27" t="s">
        <v>8</v>
      </c>
      <c r="MA645" s="27" t="s">
        <v>8</v>
      </c>
      <c r="MB645" s="27" t="s">
        <v>7</v>
      </c>
    </row>
    <row r="646" spans="1:348" x14ac:dyDescent="0.25">
      <c r="A646" s="7">
        <v>0.31087791178825175</v>
      </c>
      <c r="B646"/>
      <c r="C646"/>
      <c r="D646"/>
      <c r="E646"/>
      <c r="F646" s="27" t="s">
        <v>7</v>
      </c>
      <c r="GC646" s="27" t="s">
        <v>8</v>
      </c>
      <c r="GD646" s="27" t="s">
        <v>7</v>
      </c>
      <c r="GE646" s="27" t="s">
        <v>8</v>
      </c>
      <c r="GF646" s="27" t="s">
        <v>7</v>
      </c>
      <c r="GH646" s="27" t="s">
        <v>7</v>
      </c>
      <c r="GI646" s="27" t="s">
        <v>8</v>
      </c>
      <c r="GL646" s="27" t="s">
        <v>7</v>
      </c>
      <c r="GN646" s="27" t="s">
        <v>7</v>
      </c>
      <c r="GO646" s="27" t="s">
        <v>8</v>
      </c>
      <c r="GP646" s="27" t="s">
        <v>7</v>
      </c>
      <c r="GQ646" s="27" t="s">
        <v>8</v>
      </c>
      <c r="GX646" s="27" t="s">
        <v>7</v>
      </c>
      <c r="GY646" s="27" t="s">
        <v>8</v>
      </c>
      <c r="GZ646" s="27" t="s">
        <v>7</v>
      </c>
      <c r="HC646" s="27" t="s">
        <v>8</v>
      </c>
      <c r="HE646" s="27" t="s">
        <v>8</v>
      </c>
      <c r="HG646" s="27" t="s">
        <v>8</v>
      </c>
      <c r="HH646" s="27" t="s">
        <v>7</v>
      </c>
      <c r="HI646" s="27" t="s">
        <v>8</v>
      </c>
      <c r="HJ646" s="27" t="s">
        <v>7</v>
      </c>
      <c r="HO646" s="27" t="s">
        <v>8</v>
      </c>
      <c r="HP646" s="27" t="s">
        <v>7</v>
      </c>
      <c r="HQ646" s="27" t="s">
        <v>8</v>
      </c>
      <c r="HR646" s="27" t="s">
        <v>7</v>
      </c>
      <c r="HS646" s="27" t="s">
        <v>8</v>
      </c>
      <c r="HT646" s="27" t="s">
        <v>7</v>
      </c>
      <c r="JS646" s="27" t="s">
        <v>8</v>
      </c>
      <c r="JT646" s="27" t="s">
        <v>7</v>
      </c>
      <c r="JU646" s="27" t="s">
        <v>8</v>
      </c>
      <c r="JV646" s="27" t="s">
        <v>7</v>
      </c>
      <c r="JW646" s="27" t="s">
        <v>8</v>
      </c>
      <c r="JX646" s="27" t="s">
        <v>7</v>
      </c>
      <c r="JY646" s="27" t="s">
        <v>8</v>
      </c>
      <c r="JZ646" s="27" t="s">
        <v>7</v>
      </c>
      <c r="KA646" s="27" t="s">
        <v>8</v>
      </c>
      <c r="KB646" s="27" t="s">
        <v>7</v>
      </c>
      <c r="KD646" s="27" t="s">
        <v>7</v>
      </c>
      <c r="KF646" s="27" t="s">
        <v>7</v>
      </c>
      <c r="KG646" s="27" t="s">
        <v>8</v>
      </c>
      <c r="LF646" s="27" t="s">
        <v>7</v>
      </c>
      <c r="LG646" s="27" t="s">
        <v>8</v>
      </c>
      <c r="LH646" s="27" t="s">
        <v>7</v>
      </c>
      <c r="LQ646" s="27" t="s">
        <v>8</v>
      </c>
      <c r="LR646" s="27" t="s">
        <v>7</v>
      </c>
      <c r="LS646" s="27" t="s">
        <v>8</v>
      </c>
      <c r="LT646" s="27" t="s">
        <v>7</v>
      </c>
      <c r="LU646" s="27" t="s">
        <v>8</v>
      </c>
      <c r="LV646" s="27" t="s">
        <v>7</v>
      </c>
      <c r="LY646" s="27" t="s">
        <v>8</v>
      </c>
      <c r="LZ646" s="27" t="s">
        <v>7</v>
      </c>
      <c r="MA646" s="27" t="s">
        <v>8</v>
      </c>
      <c r="MB646" s="27" t="s">
        <v>7</v>
      </c>
    </row>
    <row r="647" spans="1:348" x14ac:dyDescent="0.25">
      <c r="A647" s="7">
        <v>0.30478226645907036</v>
      </c>
      <c r="B647"/>
      <c r="C647"/>
      <c r="D647"/>
      <c r="E647"/>
      <c r="F647" s="27" t="s">
        <v>7</v>
      </c>
      <c r="GC647" s="27" t="s">
        <v>8</v>
      </c>
      <c r="GD647" s="27" t="s">
        <v>7</v>
      </c>
      <c r="GE647" s="27" t="s">
        <v>8</v>
      </c>
      <c r="GH647" s="27" t="s">
        <v>7</v>
      </c>
      <c r="GI647" s="27" t="s">
        <v>8</v>
      </c>
      <c r="GN647" s="27" t="s">
        <v>7</v>
      </c>
      <c r="GP647" s="27" t="s">
        <v>7</v>
      </c>
      <c r="GQ647" s="27" t="s">
        <v>8</v>
      </c>
      <c r="GX647" s="27" t="s">
        <v>7</v>
      </c>
      <c r="GY647" s="27" t="s">
        <v>8</v>
      </c>
      <c r="GZ647" s="27" t="s">
        <v>7</v>
      </c>
      <c r="HC647" s="27" t="s">
        <v>8</v>
      </c>
      <c r="HD647" s="27" t="s">
        <v>7</v>
      </c>
      <c r="HE647" s="27" t="s">
        <v>8</v>
      </c>
      <c r="HF647" s="27" t="s">
        <v>7</v>
      </c>
      <c r="HG647" s="27" t="s">
        <v>8</v>
      </c>
      <c r="HH647" s="27" t="s">
        <v>7</v>
      </c>
      <c r="HI647" s="27" t="s">
        <v>8</v>
      </c>
      <c r="HJ647" s="27" t="s">
        <v>7</v>
      </c>
      <c r="HK647" s="27" t="s">
        <v>8</v>
      </c>
      <c r="HO647" s="27" t="s">
        <v>8</v>
      </c>
      <c r="HP647" s="27" t="s">
        <v>7</v>
      </c>
      <c r="HQ647" s="27" t="s">
        <v>8</v>
      </c>
      <c r="HR647" s="27" t="s">
        <v>7</v>
      </c>
      <c r="HS647" s="27" t="s">
        <v>8</v>
      </c>
      <c r="HT647" s="27" t="s">
        <v>7</v>
      </c>
      <c r="JS647" s="27" t="s">
        <v>8</v>
      </c>
      <c r="JT647" s="27" t="s">
        <v>7</v>
      </c>
      <c r="JU647" s="27" t="s">
        <v>8</v>
      </c>
      <c r="JV647" s="27" t="s">
        <v>7</v>
      </c>
      <c r="JW647" s="27" t="s">
        <v>8</v>
      </c>
      <c r="JX647" s="27" t="s">
        <v>7</v>
      </c>
      <c r="JY647" s="27" t="s">
        <v>8</v>
      </c>
      <c r="JZ647" s="27" t="s">
        <v>7</v>
      </c>
      <c r="KA647" s="27" t="s">
        <v>8</v>
      </c>
      <c r="KF647" s="27" t="s">
        <v>7</v>
      </c>
      <c r="LF647" s="27" t="s">
        <v>7</v>
      </c>
      <c r="LH647" s="27" t="s">
        <v>7</v>
      </c>
      <c r="LQ647" s="27" t="s">
        <v>8</v>
      </c>
      <c r="LR647" s="27" t="s">
        <v>7</v>
      </c>
      <c r="LS647" s="27" t="s">
        <v>8</v>
      </c>
      <c r="LT647" s="27" t="s">
        <v>7</v>
      </c>
      <c r="LV647" s="27" t="s">
        <v>7</v>
      </c>
      <c r="LW647" s="27" t="s">
        <v>8</v>
      </c>
      <c r="LY647" s="27" t="s">
        <v>8</v>
      </c>
      <c r="LZ647" s="27" t="s">
        <v>7</v>
      </c>
      <c r="MA647" s="27" t="s">
        <v>8</v>
      </c>
      <c r="MB647" s="27" t="s">
        <v>7</v>
      </c>
    </row>
    <row r="648" spans="1:348" x14ac:dyDescent="0.25">
      <c r="A648" s="7">
        <v>0.29880614358732388</v>
      </c>
      <c r="B648"/>
      <c r="C648"/>
      <c r="D648"/>
      <c r="E648"/>
      <c r="F648" s="27" t="s">
        <v>7</v>
      </c>
      <c r="GC648" s="27" t="s">
        <v>8</v>
      </c>
      <c r="GD648" s="27" t="s">
        <v>7</v>
      </c>
      <c r="GH648" s="27" t="s">
        <v>7</v>
      </c>
      <c r="GI648" s="27" t="s">
        <v>8</v>
      </c>
      <c r="GP648" s="27" t="s">
        <v>7</v>
      </c>
      <c r="GQ648" s="27" t="s">
        <v>8</v>
      </c>
      <c r="GX648" s="27" t="s">
        <v>7</v>
      </c>
      <c r="GY648" s="27" t="s">
        <v>8</v>
      </c>
      <c r="GZ648" s="27" t="s">
        <v>7</v>
      </c>
      <c r="HC648" s="27" t="s">
        <v>8</v>
      </c>
      <c r="HD648" s="27" t="s">
        <v>7</v>
      </c>
      <c r="HE648" s="27" t="s">
        <v>8</v>
      </c>
      <c r="HF648" s="27" t="s">
        <v>7</v>
      </c>
      <c r="HG648" s="27" t="s">
        <v>8</v>
      </c>
      <c r="HH648" s="27" t="s">
        <v>7</v>
      </c>
      <c r="HI648" s="27" t="s">
        <v>8</v>
      </c>
      <c r="HJ648" s="27" t="s">
        <v>7</v>
      </c>
      <c r="HK648" s="27" t="s">
        <v>8</v>
      </c>
      <c r="HL648" s="27" t="s">
        <v>7</v>
      </c>
      <c r="HO648" s="27" t="s">
        <v>8</v>
      </c>
      <c r="HP648" s="27" t="s">
        <v>7</v>
      </c>
      <c r="HQ648" s="27" t="s">
        <v>8</v>
      </c>
      <c r="HR648" s="27" t="s">
        <v>7</v>
      </c>
      <c r="HS648" s="27" t="s">
        <v>8</v>
      </c>
      <c r="HT648" s="27" t="s">
        <v>7</v>
      </c>
      <c r="JS648" s="27" t="s">
        <v>8</v>
      </c>
      <c r="JT648" s="27" t="s">
        <v>7</v>
      </c>
      <c r="JV648" s="27" t="s">
        <v>7</v>
      </c>
      <c r="JW648" s="27" t="s">
        <v>8</v>
      </c>
      <c r="JX648" s="27" t="s">
        <v>7</v>
      </c>
      <c r="JY648" s="27" t="s">
        <v>8</v>
      </c>
      <c r="JZ648" s="27" t="s">
        <v>7</v>
      </c>
      <c r="KA648" s="27" t="s">
        <v>8</v>
      </c>
      <c r="LH648" s="27" t="s">
        <v>7</v>
      </c>
      <c r="LQ648" s="27" t="s">
        <v>8</v>
      </c>
      <c r="LR648" s="27" t="s">
        <v>7</v>
      </c>
      <c r="LV648" s="27" t="s">
        <v>7</v>
      </c>
      <c r="LW648" s="27" t="s">
        <v>8</v>
      </c>
      <c r="LX648" s="27" t="s">
        <v>7</v>
      </c>
      <c r="LY648" s="27" t="s">
        <v>8</v>
      </c>
      <c r="LZ648" s="27" t="s">
        <v>7</v>
      </c>
      <c r="MB648" s="27" t="s">
        <v>7</v>
      </c>
      <c r="MC648" s="27" t="s">
        <v>8</v>
      </c>
    </row>
    <row r="649" spans="1:348" x14ac:dyDescent="0.25">
      <c r="A649" s="7">
        <v>0.2929471995954156</v>
      </c>
      <c r="B649"/>
      <c r="C649"/>
      <c r="D649"/>
      <c r="E649"/>
      <c r="F649" s="27" t="s">
        <v>7</v>
      </c>
      <c r="GC649" s="27" t="s">
        <v>8</v>
      </c>
      <c r="GH649" s="27" t="s">
        <v>7</v>
      </c>
      <c r="GI649" s="27" t="s">
        <v>8</v>
      </c>
      <c r="GP649" s="27" t="s">
        <v>7</v>
      </c>
      <c r="GQ649" s="27" t="s">
        <v>8</v>
      </c>
      <c r="GX649" s="27" t="s">
        <v>7</v>
      </c>
      <c r="GY649" s="27" t="s">
        <v>8</v>
      </c>
      <c r="GZ649" s="27" t="s">
        <v>7</v>
      </c>
      <c r="HC649" s="27" t="s">
        <v>8</v>
      </c>
      <c r="HD649" s="27" t="s">
        <v>7</v>
      </c>
      <c r="HE649" s="27" t="s">
        <v>8</v>
      </c>
      <c r="HF649" s="27" t="s">
        <v>7</v>
      </c>
      <c r="HG649" s="27" t="s">
        <v>8</v>
      </c>
      <c r="HH649" s="27" t="s">
        <v>7</v>
      </c>
      <c r="HI649" s="27" t="s">
        <v>8</v>
      </c>
      <c r="HJ649" s="27" t="s">
        <v>7</v>
      </c>
      <c r="HK649" s="27" t="s">
        <v>8</v>
      </c>
      <c r="HL649" s="27" t="s">
        <v>7</v>
      </c>
      <c r="HO649" s="27" t="s">
        <v>8</v>
      </c>
      <c r="HP649" s="27" t="s">
        <v>7</v>
      </c>
      <c r="HR649" s="27" t="s">
        <v>7</v>
      </c>
      <c r="HS649" s="27" t="s">
        <v>8</v>
      </c>
      <c r="HT649" s="27" t="s">
        <v>7</v>
      </c>
      <c r="HU649" s="27" t="s">
        <v>8</v>
      </c>
      <c r="JS649" s="27" t="s">
        <v>8</v>
      </c>
      <c r="JV649" s="27" t="s">
        <v>7</v>
      </c>
      <c r="JW649" s="27" t="s">
        <v>8</v>
      </c>
      <c r="JX649" s="27" t="s">
        <v>7</v>
      </c>
      <c r="JZ649" s="27" t="s">
        <v>7</v>
      </c>
      <c r="LH649" s="27" t="s">
        <v>7</v>
      </c>
      <c r="LQ649" s="27" t="s">
        <v>8</v>
      </c>
      <c r="LV649" s="27" t="s">
        <v>7</v>
      </c>
      <c r="LW649" s="27" t="s">
        <v>8</v>
      </c>
      <c r="LX649" s="27" t="s">
        <v>7</v>
      </c>
      <c r="LY649" s="27" t="s">
        <v>8</v>
      </c>
      <c r="MB649" s="27" t="s">
        <v>7</v>
      </c>
      <c r="MC649" s="27" t="s">
        <v>8</v>
      </c>
      <c r="MD649" s="27" t="s">
        <v>7</v>
      </c>
      <c r="MG649" s="27" t="s">
        <v>8</v>
      </c>
    </row>
    <row r="650" spans="1:348" x14ac:dyDescent="0.25">
      <c r="A650" s="7">
        <v>0.28720313685825055</v>
      </c>
      <c r="B650"/>
      <c r="C650"/>
      <c r="D650"/>
      <c r="E650"/>
      <c r="F650" s="27" t="s">
        <v>7</v>
      </c>
      <c r="GC650" s="27" t="s">
        <v>8</v>
      </c>
      <c r="GH650" s="27" t="s">
        <v>7</v>
      </c>
      <c r="GI650" s="27" t="s">
        <v>8</v>
      </c>
      <c r="GP650" s="27" t="s">
        <v>7</v>
      </c>
      <c r="GQ650" s="27" t="s">
        <v>8</v>
      </c>
      <c r="GX650" s="27" t="s">
        <v>7</v>
      </c>
      <c r="GY650" s="27" t="s">
        <v>8</v>
      </c>
      <c r="GZ650" s="27" t="s">
        <v>7</v>
      </c>
      <c r="HC650" s="27" t="s">
        <v>8</v>
      </c>
      <c r="HD650" s="27" t="s">
        <v>7</v>
      </c>
      <c r="HE650" s="27" t="s">
        <v>8</v>
      </c>
      <c r="HF650" s="27" t="s">
        <v>7</v>
      </c>
      <c r="HG650" s="27" t="s">
        <v>8</v>
      </c>
      <c r="HH650" s="27" t="s">
        <v>7</v>
      </c>
      <c r="HI650" s="27" t="s">
        <v>8</v>
      </c>
      <c r="HJ650" s="27" t="s">
        <v>7</v>
      </c>
      <c r="HL650" s="27" t="s">
        <v>7</v>
      </c>
      <c r="HO650" s="27" t="s">
        <v>8</v>
      </c>
      <c r="HR650" s="27" t="s">
        <v>7</v>
      </c>
      <c r="HT650" s="27" t="s">
        <v>7</v>
      </c>
      <c r="HU650" s="27" t="s">
        <v>8</v>
      </c>
      <c r="HV650" s="27" t="s">
        <v>7</v>
      </c>
      <c r="JO650" s="27" t="s">
        <v>8</v>
      </c>
      <c r="JS650" s="27" t="s">
        <v>8</v>
      </c>
      <c r="JV650" s="27" t="s">
        <v>7</v>
      </c>
      <c r="JW650" s="27" t="s">
        <v>8</v>
      </c>
      <c r="LH650" s="27" t="s">
        <v>7</v>
      </c>
      <c r="LI650" s="27" t="s">
        <v>8</v>
      </c>
      <c r="LK650" s="27" t="s">
        <v>8</v>
      </c>
      <c r="LO650" s="27" t="s">
        <v>8</v>
      </c>
      <c r="LQ650" s="27" t="s">
        <v>8</v>
      </c>
      <c r="LV650" s="27" t="s">
        <v>7</v>
      </c>
      <c r="LW650" s="27" t="s">
        <v>8</v>
      </c>
      <c r="LX650" s="27" t="s">
        <v>7</v>
      </c>
      <c r="MB650" s="27" t="s">
        <v>7</v>
      </c>
      <c r="MC650" s="27" t="s">
        <v>8</v>
      </c>
      <c r="MD650" s="27" t="s">
        <v>7</v>
      </c>
      <c r="MG650" s="27" t="s">
        <v>8</v>
      </c>
      <c r="MH650" s="27" t="s">
        <v>7</v>
      </c>
    </row>
    <row r="651" spans="1:348" x14ac:dyDescent="0.25">
      <c r="A651" s="7">
        <v>0.28157170280220645</v>
      </c>
      <c r="B651"/>
      <c r="C651"/>
      <c r="D651"/>
      <c r="E651"/>
      <c r="F651" s="27" t="s">
        <v>7</v>
      </c>
      <c r="GC651" s="27" t="s">
        <v>8</v>
      </c>
      <c r="GH651" s="27" t="s">
        <v>7</v>
      </c>
      <c r="GP651" s="27" t="s">
        <v>7</v>
      </c>
      <c r="GX651" s="27" t="s">
        <v>7</v>
      </c>
      <c r="GY651" s="27" t="s">
        <v>8</v>
      </c>
      <c r="GZ651" s="27" t="s">
        <v>7</v>
      </c>
      <c r="HC651" s="27" t="s">
        <v>8</v>
      </c>
      <c r="HD651" s="27" t="s">
        <v>7</v>
      </c>
      <c r="HE651" s="27" t="s">
        <v>8</v>
      </c>
      <c r="HF651" s="27" t="s">
        <v>7</v>
      </c>
      <c r="HH651" s="27" t="s">
        <v>7</v>
      </c>
      <c r="HI651" s="27" t="s">
        <v>8</v>
      </c>
      <c r="HL651" s="27" t="s">
        <v>7</v>
      </c>
      <c r="HM651" s="27" t="s">
        <v>8</v>
      </c>
      <c r="HO651" s="27" t="s">
        <v>8</v>
      </c>
      <c r="HT651" s="27" t="s">
        <v>7</v>
      </c>
      <c r="HU651" s="27" t="s">
        <v>8</v>
      </c>
      <c r="HV651" s="27" t="s">
        <v>7</v>
      </c>
      <c r="JO651" s="27" t="s">
        <v>8</v>
      </c>
      <c r="JP651" s="27" t="s">
        <v>7</v>
      </c>
      <c r="JS651" s="27" t="s">
        <v>8</v>
      </c>
      <c r="JV651" s="27" t="s">
        <v>7</v>
      </c>
      <c r="JW651" s="27" t="s">
        <v>8</v>
      </c>
      <c r="LH651" s="27" t="s">
        <v>7</v>
      </c>
      <c r="LI651" s="27" t="s">
        <v>8</v>
      </c>
      <c r="LJ651" s="27" t="s">
        <v>7</v>
      </c>
      <c r="LK651" s="27" t="s">
        <v>8</v>
      </c>
      <c r="LL651" s="27" t="s">
        <v>7</v>
      </c>
      <c r="LO651" s="27" t="s">
        <v>8</v>
      </c>
      <c r="LP651" s="27" t="s">
        <v>7</v>
      </c>
      <c r="LQ651" s="27" t="s">
        <v>8</v>
      </c>
      <c r="LV651" s="27" t="s">
        <v>7</v>
      </c>
      <c r="LW651" s="27" t="s">
        <v>8</v>
      </c>
      <c r="MB651" s="27" t="s">
        <v>7</v>
      </c>
      <c r="MC651" s="27" t="s">
        <v>8</v>
      </c>
      <c r="MD651" s="27" t="s">
        <v>7</v>
      </c>
      <c r="MG651" s="27" t="s">
        <v>8</v>
      </c>
      <c r="MH651" s="27" t="s">
        <v>7</v>
      </c>
      <c r="MI651" s="27" t="s">
        <v>8</v>
      </c>
    </row>
    <row r="652" spans="1:348" x14ac:dyDescent="0.25">
      <c r="A652" s="7">
        <v>0.27605068902177105</v>
      </c>
      <c r="B652"/>
      <c r="C652"/>
      <c r="D652"/>
      <c r="E652"/>
      <c r="F652" s="27" t="s">
        <v>7</v>
      </c>
      <c r="GA652" s="27" t="s">
        <v>8</v>
      </c>
      <c r="GC652" s="27" t="s">
        <v>8</v>
      </c>
      <c r="GX652" s="27" t="s">
        <v>7</v>
      </c>
      <c r="GY652" s="27" t="s">
        <v>8</v>
      </c>
      <c r="GZ652" s="27" t="s">
        <v>7</v>
      </c>
      <c r="HC652" s="27" t="s">
        <v>8</v>
      </c>
      <c r="HD652" s="27" t="s">
        <v>7</v>
      </c>
      <c r="HH652" s="27" t="s">
        <v>7</v>
      </c>
      <c r="HL652" s="27" t="s">
        <v>7</v>
      </c>
      <c r="HM652" s="27" t="s">
        <v>8</v>
      </c>
      <c r="HN652" s="27" t="s">
        <v>7</v>
      </c>
      <c r="HO652" s="27" t="s">
        <v>8</v>
      </c>
      <c r="HT652" s="27" t="s">
        <v>7</v>
      </c>
      <c r="HU652" s="27" t="s">
        <v>8</v>
      </c>
      <c r="HV652" s="27" t="s">
        <v>7</v>
      </c>
      <c r="HY652" s="27" t="s">
        <v>8</v>
      </c>
      <c r="JK652" s="27" t="s">
        <v>8</v>
      </c>
      <c r="JO652" s="27" t="s">
        <v>8</v>
      </c>
      <c r="JP652" s="27" t="s">
        <v>7</v>
      </c>
      <c r="JS652" s="27" t="s">
        <v>8</v>
      </c>
      <c r="JV652" s="27" t="s">
        <v>7</v>
      </c>
      <c r="JW652" s="27" t="s">
        <v>8</v>
      </c>
      <c r="LH652" s="27" t="s">
        <v>7</v>
      </c>
      <c r="LI652" s="27" t="s">
        <v>8</v>
      </c>
      <c r="LJ652" s="27" t="s">
        <v>7</v>
      </c>
      <c r="LK652" s="27" t="s">
        <v>8</v>
      </c>
      <c r="LL652" s="27" t="s">
        <v>7</v>
      </c>
      <c r="LO652" s="27" t="s">
        <v>8</v>
      </c>
      <c r="LP652" s="27" t="s">
        <v>7</v>
      </c>
      <c r="LQ652" s="27" t="s">
        <v>8</v>
      </c>
      <c r="LV652" s="27" t="s">
        <v>7</v>
      </c>
      <c r="MB652" s="27" t="s">
        <v>7</v>
      </c>
      <c r="MC652" s="27" t="s">
        <v>8</v>
      </c>
      <c r="MD652" s="27" t="s">
        <v>7</v>
      </c>
      <c r="ME652" s="27" t="s">
        <v>8</v>
      </c>
      <c r="MG652" s="27" t="s">
        <v>8</v>
      </c>
      <c r="MH652" s="27" t="s">
        <v>7</v>
      </c>
      <c r="MI652" s="27" t="s">
        <v>8</v>
      </c>
      <c r="MJ652" s="27" t="s">
        <v>7</v>
      </c>
    </row>
    <row r="653" spans="1:348" x14ac:dyDescent="0.25">
      <c r="A653" s="7">
        <v>0.27063793041350104</v>
      </c>
      <c r="B653"/>
      <c r="C653"/>
      <c r="D653"/>
      <c r="E653"/>
      <c r="F653" s="27" t="s">
        <v>7</v>
      </c>
      <c r="GA653" s="27" t="s">
        <v>8</v>
      </c>
      <c r="GB653" s="27" t="s">
        <v>7</v>
      </c>
      <c r="GC653" s="27" t="s">
        <v>8</v>
      </c>
      <c r="GX653" s="27" t="s">
        <v>7</v>
      </c>
      <c r="GY653" s="27" t="s">
        <v>8</v>
      </c>
      <c r="GZ653" s="27" t="s">
        <v>7</v>
      </c>
      <c r="HC653" s="27" t="s">
        <v>8</v>
      </c>
      <c r="HL653" s="27" t="s">
        <v>7</v>
      </c>
      <c r="HM653" s="27" t="s">
        <v>8</v>
      </c>
      <c r="HN653" s="27" t="s">
        <v>7</v>
      </c>
      <c r="HO653" s="27" t="s">
        <v>8</v>
      </c>
      <c r="HT653" s="27" t="s">
        <v>7</v>
      </c>
      <c r="HU653" s="27" t="s">
        <v>8</v>
      </c>
      <c r="HV653" s="27" t="s">
        <v>7</v>
      </c>
      <c r="HY653" s="27" t="s">
        <v>8</v>
      </c>
      <c r="HZ653" s="27" t="s">
        <v>7</v>
      </c>
      <c r="JK653" s="27" t="s">
        <v>8</v>
      </c>
      <c r="JL653" s="27" t="s">
        <v>7</v>
      </c>
      <c r="JO653" s="27" t="s">
        <v>8</v>
      </c>
      <c r="JP653" s="27" t="s">
        <v>7</v>
      </c>
      <c r="JS653" s="27" t="s">
        <v>8</v>
      </c>
      <c r="JV653" s="27" t="s">
        <v>7</v>
      </c>
      <c r="JW653" s="27" t="s">
        <v>8</v>
      </c>
      <c r="LH653" s="27" t="s">
        <v>7</v>
      </c>
      <c r="LI653" s="27" t="s">
        <v>8</v>
      </c>
      <c r="LJ653" s="27" t="s">
        <v>7</v>
      </c>
      <c r="LK653" s="27" t="s">
        <v>8</v>
      </c>
      <c r="LL653" s="27" t="s">
        <v>7</v>
      </c>
      <c r="LO653" s="27" t="s">
        <v>8</v>
      </c>
      <c r="LP653" s="27" t="s">
        <v>7</v>
      </c>
      <c r="LQ653" s="27" t="s">
        <v>8</v>
      </c>
      <c r="MB653" s="27" t="s">
        <v>7</v>
      </c>
      <c r="MD653" s="27" t="s">
        <v>7</v>
      </c>
      <c r="ME653" s="27" t="s">
        <v>8</v>
      </c>
      <c r="MF653" s="27" t="s">
        <v>7</v>
      </c>
      <c r="MG653" s="27" t="s">
        <v>8</v>
      </c>
      <c r="MH653" s="27" t="s">
        <v>7</v>
      </c>
      <c r="MI653" s="27" t="s">
        <v>8</v>
      </c>
      <c r="MJ653" s="27" t="s">
        <v>7</v>
      </c>
    </row>
    <row r="654" spans="1:348" x14ac:dyDescent="0.25">
      <c r="A654" s="7">
        <v>0.26533130432696184</v>
      </c>
      <c r="B654"/>
      <c r="C654"/>
      <c r="D654"/>
      <c r="E654"/>
      <c r="F654" s="27" t="s">
        <v>7</v>
      </c>
      <c r="GA654" s="27" t="s">
        <v>8</v>
      </c>
      <c r="GB654" s="27" t="s">
        <v>7</v>
      </c>
      <c r="GC654" s="27" t="s">
        <v>8</v>
      </c>
      <c r="GX654" s="27" t="s">
        <v>7</v>
      </c>
      <c r="GY654" s="27" t="s">
        <v>8</v>
      </c>
      <c r="GZ654" s="27" t="s">
        <v>7</v>
      </c>
      <c r="HA654" s="27" t="s">
        <v>8</v>
      </c>
      <c r="HC654" s="27" t="s">
        <v>8</v>
      </c>
      <c r="HL654" s="27" t="s">
        <v>7</v>
      </c>
      <c r="HM654" s="27" t="s">
        <v>8</v>
      </c>
      <c r="HN654" s="27" t="s">
        <v>7</v>
      </c>
      <c r="HO654" s="27" t="s">
        <v>8</v>
      </c>
      <c r="HT654" s="27" t="s">
        <v>7</v>
      </c>
      <c r="HU654" s="27" t="s">
        <v>8</v>
      </c>
      <c r="HV654" s="27" t="s">
        <v>7</v>
      </c>
      <c r="HW654" s="27" t="s">
        <v>8</v>
      </c>
      <c r="HY654" s="27" t="s">
        <v>8</v>
      </c>
      <c r="HZ654" s="27" t="s">
        <v>7</v>
      </c>
      <c r="IA654" s="27" t="s">
        <v>8</v>
      </c>
      <c r="JK654" s="27" t="s">
        <v>8</v>
      </c>
      <c r="JL654" s="27" t="s">
        <v>7</v>
      </c>
      <c r="JM654" s="27" t="s">
        <v>8</v>
      </c>
      <c r="JO654" s="27" t="s">
        <v>8</v>
      </c>
      <c r="JP654" s="27" t="s">
        <v>7</v>
      </c>
      <c r="JQ654" s="27" t="s">
        <v>8</v>
      </c>
      <c r="JS654" s="27" t="s">
        <v>8</v>
      </c>
      <c r="JV654" s="27" t="s">
        <v>7</v>
      </c>
      <c r="JW654" s="27" t="s">
        <v>8</v>
      </c>
      <c r="LH654" s="27" t="s">
        <v>7</v>
      </c>
      <c r="LI654" s="27" t="s">
        <v>8</v>
      </c>
      <c r="LJ654" s="27" t="s">
        <v>7</v>
      </c>
      <c r="LK654" s="27" t="s">
        <v>8</v>
      </c>
      <c r="LL654" s="27" t="s">
        <v>7</v>
      </c>
      <c r="LO654" s="27" t="s">
        <v>8</v>
      </c>
      <c r="LP654" s="27" t="s">
        <v>7</v>
      </c>
      <c r="LQ654" s="27" t="s">
        <v>8</v>
      </c>
      <c r="MD654" s="27" t="s">
        <v>7</v>
      </c>
      <c r="ME654" s="27" t="s">
        <v>8</v>
      </c>
      <c r="MF654" s="27" t="s">
        <v>7</v>
      </c>
      <c r="MG654" s="27" t="s">
        <v>8</v>
      </c>
      <c r="MH654" s="27" t="s">
        <v>7</v>
      </c>
      <c r="MI654" s="27" t="s">
        <v>8</v>
      </c>
      <c r="MJ654" s="27" t="s">
        <v>7</v>
      </c>
    </row>
    <row r="655" spans="1:348" x14ac:dyDescent="0.25">
      <c r="A655" s="7">
        <v>0.26012872973231554</v>
      </c>
      <c r="B655"/>
      <c r="C655"/>
      <c r="D655"/>
      <c r="E655"/>
      <c r="F655" s="27" t="s">
        <v>7</v>
      </c>
      <c r="GA655" s="27" t="s">
        <v>8</v>
      </c>
      <c r="GB655" s="27" t="s">
        <v>7</v>
      </c>
      <c r="GC655" s="27" t="s">
        <v>8</v>
      </c>
      <c r="GX655" s="27" t="s">
        <v>7</v>
      </c>
      <c r="GY655" s="27" t="s">
        <v>8</v>
      </c>
      <c r="GZ655" s="27" t="s">
        <v>7</v>
      </c>
      <c r="HA655" s="27" t="s">
        <v>8</v>
      </c>
      <c r="HB655" s="27" t="s">
        <v>7</v>
      </c>
      <c r="HC655" s="27" t="s">
        <v>8</v>
      </c>
      <c r="HL655" s="27" t="s">
        <v>7</v>
      </c>
      <c r="HM655" s="27" t="s">
        <v>8</v>
      </c>
      <c r="HN655" s="27" t="s">
        <v>7</v>
      </c>
      <c r="HO655" s="27" t="s">
        <v>8</v>
      </c>
      <c r="HT655" s="27" t="s">
        <v>7</v>
      </c>
      <c r="HU655" s="27" t="s">
        <v>8</v>
      </c>
      <c r="HV655" s="27" t="s">
        <v>7</v>
      </c>
      <c r="HW655" s="27" t="s">
        <v>8</v>
      </c>
      <c r="HX655" s="27" t="s">
        <v>7</v>
      </c>
      <c r="HY655" s="27" t="s">
        <v>8</v>
      </c>
      <c r="HZ655" s="27" t="s">
        <v>7</v>
      </c>
      <c r="IA655" s="27" t="s">
        <v>8</v>
      </c>
      <c r="IB655" s="27" t="s">
        <v>7</v>
      </c>
      <c r="JK655" s="27" t="s">
        <v>8</v>
      </c>
      <c r="JL655" s="27" t="s">
        <v>7</v>
      </c>
      <c r="JM655" s="27" t="s">
        <v>8</v>
      </c>
      <c r="JN655" s="27" t="s">
        <v>7</v>
      </c>
      <c r="JO655" s="27" t="s">
        <v>8</v>
      </c>
      <c r="JP655" s="27" t="s">
        <v>7</v>
      </c>
      <c r="JQ655" s="27" t="s">
        <v>8</v>
      </c>
      <c r="JR655" s="27" t="s">
        <v>7</v>
      </c>
      <c r="JS655" s="27" t="s">
        <v>8</v>
      </c>
      <c r="JV655" s="27" t="s">
        <v>7</v>
      </c>
      <c r="JW655" s="27" t="s">
        <v>8</v>
      </c>
      <c r="LH655" s="27" t="s">
        <v>7</v>
      </c>
      <c r="LI655" s="27" t="s">
        <v>8</v>
      </c>
      <c r="LJ655" s="27" t="s">
        <v>7</v>
      </c>
      <c r="LK655" s="27" t="s">
        <v>8</v>
      </c>
      <c r="LL655" s="27" t="s">
        <v>7</v>
      </c>
      <c r="LO655" s="27" t="s">
        <v>8</v>
      </c>
      <c r="LP655" s="27" t="s">
        <v>7</v>
      </c>
      <c r="LQ655" s="27" t="s">
        <v>8</v>
      </c>
      <c r="MD655" s="27" t="s">
        <v>7</v>
      </c>
      <c r="ME655" s="27" t="s">
        <v>8</v>
      </c>
      <c r="MF655" s="27" t="s">
        <v>7</v>
      </c>
      <c r="MG655" s="27" t="s">
        <v>8</v>
      </c>
      <c r="MH655" s="27" t="s">
        <v>7</v>
      </c>
      <c r="MI655" s="27" t="s">
        <v>8</v>
      </c>
      <c r="MJ655" s="27" t="s">
        <v>7</v>
      </c>
    </row>
    <row r="656" spans="1:348" x14ac:dyDescent="0.25">
      <c r="A656" s="7">
        <v>0.25502816640423093</v>
      </c>
      <c r="B656"/>
      <c r="C656"/>
      <c r="D656"/>
      <c r="E656"/>
      <c r="F656" s="27" t="s">
        <v>7</v>
      </c>
      <c r="GA656" s="27" t="s">
        <v>8</v>
      </c>
      <c r="GB656" s="27" t="s">
        <v>7</v>
      </c>
      <c r="GC656" s="27" t="s">
        <v>8</v>
      </c>
      <c r="GX656" s="27" t="s">
        <v>7</v>
      </c>
      <c r="GY656" s="27" t="s">
        <v>8</v>
      </c>
      <c r="GZ656" s="27" t="s">
        <v>7</v>
      </c>
      <c r="HA656" s="27" t="s">
        <v>8</v>
      </c>
      <c r="HB656" s="27" t="s">
        <v>7</v>
      </c>
      <c r="HC656" s="27" t="s">
        <v>8</v>
      </c>
      <c r="HL656" s="27" t="s">
        <v>7</v>
      </c>
      <c r="HM656" s="27" t="s">
        <v>8</v>
      </c>
      <c r="HN656" s="27" t="s">
        <v>7</v>
      </c>
      <c r="HO656" s="27" t="s">
        <v>8</v>
      </c>
      <c r="HT656" s="27" t="s">
        <v>7</v>
      </c>
      <c r="HU656" s="27" t="s">
        <v>8</v>
      </c>
      <c r="HV656" s="27" t="s">
        <v>7</v>
      </c>
      <c r="HW656" s="27" t="s">
        <v>8</v>
      </c>
      <c r="HX656" s="27" t="s">
        <v>7</v>
      </c>
      <c r="HY656" s="27" t="s">
        <v>8</v>
      </c>
      <c r="HZ656" s="27" t="s">
        <v>7</v>
      </c>
      <c r="IA656" s="27" t="s">
        <v>8</v>
      </c>
      <c r="IB656" s="27" t="s">
        <v>7</v>
      </c>
      <c r="JK656" s="27" t="s">
        <v>8</v>
      </c>
      <c r="JL656" s="27" t="s">
        <v>7</v>
      </c>
      <c r="JM656" s="27" t="s">
        <v>8</v>
      </c>
      <c r="JN656" s="27" t="s">
        <v>7</v>
      </c>
      <c r="JO656" s="27" t="s">
        <v>8</v>
      </c>
      <c r="JP656" s="27" t="s">
        <v>7</v>
      </c>
      <c r="JQ656" s="27" t="s">
        <v>8</v>
      </c>
      <c r="JR656" s="27" t="s">
        <v>7</v>
      </c>
      <c r="JS656" s="27" t="s">
        <v>8</v>
      </c>
      <c r="JV656" s="27" t="s">
        <v>7</v>
      </c>
      <c r="JW656" s="27" t="s">
        <v>8</v>
      </c>
      <c r="LH656" s="27" t="s">
        <v>7</v>
      </c>
      <c r="LI656" s="27" t="s">
        <v>8</v>
      </c>
      <c r="LJ656" s="27" t="s">
        <v>7</v>
      </c>
      <c r="LK656" s="27" t="s">
        <v>8</v>
      </c>
      <c r="LL656" s="27" t="s">
        <v>7</v>
      </c>
      <c r="LM656" s="27" t="s">
        <v>8</v>
      </c>
      <c r="LO656" s="27" t="s">
        <v>8</v>
      </c>
      <c r="LP656" s="27" t="s">
        <v>7</v>
      </c>
      <c r="LQ656" s="27" t="s">
        <v>8</v>
      </c>
      <c r="MD656" s="27" t="s">
        <v>7</v>
      </c>
      <c r="MF656" s="27" t="s">
        <v>7</v>
      </c>
      <c r="MG656" s="27" t="s">
        <v>8</v>
      </c>
      <c r="MH656" s="27" t="s">
        <v>7</v>
      </c>
      <c r="MI656" s="27" t="s">
        <v>8</v>
      </c>
      <c r="MJ656" s="27" t="s">
        <v>7</v>
      </c>
    </row>
    <row r="657" spans="1:352" x14ac:dyDescent="0.25">
      <c r="A657" s="7">
        <v>0.25002761412179503</v>
      </c>
      <c r="B657"/>
      <c r="C657"/>
      <c r="D657"/>
      <c r="E657"/>
      <c r="F657" s="27" t="s">
        <v>7</v>
      </c>
      <c r="GA657" s="27" t="s">
        <v>8</v>
      </c>
      <c r="GB657" s="27" t="s">
        <v>7</v>
      </c>
      <c r="GC657" s="27" t="s">
        <v>8</v>
      </c>
      <c r="GX657" s="27" t="s">
        <v>7</v>
      </c>
      <c r="GY657" s="27" t="s">
        <v>8</v>
      </c>
      <c r="GZ657" s="27" t="s">
        <v>7</v>
      </c>
      <c r="HA657" s="27" t="s">
        <v>8</v>
      </c>
      <c r="HB657" s="27" t="s">
        <v>7</v>
      </c>
      <c r="HC657" s="27" t="s">
        <v>8</v>
      </c>
      <c r="HL657" s="27" t="s">
        <v>7</v>
      </c>
      <c r="HN657" s="27" t="s">
        <v>7</v>
      </c>
      <c r="HO657" s="27" t="s">
        <v>8</v>
      </c>
      <c r="HT657" s="27" t="s">
        <v>7</v>
      </c>
      <c r="HU657" s="27" t="s">
        <v>8</v>
      </c>
      <c r="HV657" s="27" t="s">
        <v>7</v>
      </c>
      <c r="HW657" s="27" t="s">
        <v>8</v>
      </c>
      <c r="HX657" s="27" t="s">
        <v>7</v>
      </c>
      <c r="HY657" s="27" t="s">
        <v>8</v>
      </c>
      <c r="HZ657" s="27" t="s">
        <v>7</v>
      </c>
      <c r="IA657" s="27" t="s">
        <v>8</v>
      </c>
      <c r="IB657" s="27" t="s">
        <v>7</v>
      </c>
      <c r="JK657" s="27" t="s">
        <v>8</v>
      </c>
      <c r="JL657" s="27" t="s">
        <v>7</v>
      </c>
      <c r="JM657" s="27" t="s">
        <v>8</v>
      </c>
      <c r="JN657" s="27" t="s">
        <v>7</v>
      </c>
      <c r="JO657" s="27" t="s">
        <v>8</v>
      </c>
      <c r="JP657" s="27" t="s">
        <v>7</v>
      </c>
      <c r="JQ657" s="27" t="s">
        <v>8</v>
      </c>
      <c r="JR657" s="27" t="s">
        <v>7</v>
      </c>
      <c r="JS657" s="27" t="s">
        <v>8</v>
      </c>
      <c r="JV657" s="27" t="s">
        <v>7</v>
      </c>
      <c r="JW657" s="27" t="s">
        <v>8</v>
      </c>
      <c r="LH657" s="27" t="s">
        <v>7</v>
      </c>
      <c r="LI657" s="27" t="s">
        <v>8</v>
      </c>
      <c r="LJ657" s="27" t="s">
        <v>7</v>
      </c>
      <c r="LK657" s="27" t="s">
        <v>8</v>
      </c>
      <c r="LL657" s="27" t="s">
        <v>7</v>
      </c>
      <c r="LM657" s="27" t="s">
        <v>8</v>
      </c>
      <c r="LN657" s="27" t="s">
        <v>7</v>
      </c>
      <c r="LO657" s="27" t="s">
        <v>8</v>
      </c>
      <c r="LP657" s="27" t="s">
        <v>7</v>
      </c>
      <c r="LQ657" s="27" t="s">
        <v>8</v>
      </c>
      <c r="MF657" s="27" t="s">
        <v>7</v>
      </c>
      <c r="MH657" s="27" t="s">
        <v>7</v>
      </c>
      <c r="MJ657" s="27" t="s">
        <v>7</v>
      </c>
    </row>
    <row r="658" spans="1:352" x14ac:dyDescent="0.25">
      <c r="A658" s="7">
        <v>0.24512511188411276</v>
      </c>
      <c r="B658"/>
      <c r="C658"/>
      <c r="D658"/>
      <c r="E658"/>
      <c r="F658" s="27" t="s">
        <v>7</v>
      </c>
      <c r="GA658" s="27" t="s">
        <v>8</v>
      </c>
      <c r="GB658" s="27" t="s">
        <v>7</v>
      </c>
      <c r="GX658" s="27" t="s">
        <v>7</v>
      </c>
      <c r="GZ658" s="27" t="s">
        <v>7</v>
      </c>
      <c r="HA658" s="27" t="s">
        <v>8</v>
      </c>
      <c r="HB658" s="27" t="s">
        <v>7</v>
      </c>
      <c r="HC658" s="27" t="s">
        <v>8</v>
      </c>
      <c r="HN658" s="27" t="s">
        <v>7</v>
      </c>
      <c r="HO658" s="27" t="s">
        <v>8</v>
      </c>
      <c r="HT658" s="27" t="s">
        <v>7</v>
      </c>
      <c r="HU658" s="27" t="s">
        <v>8</v>
      </c>
      <c r="HV658" s="27" t="s">
        <v>7</v>
      </c>
      <c r="HW658" s="27" t="s">
        <v>8</v>
      </c>
      <c r="HX658" s="27" t="s">
        <v>7</v>
      </c>
      <c r="HY658" s="27" t="s">
        <v>8</v>
      </c>
      <c r="HZ658" s="27" t="s">
        <v>7</v>
      </c>
      <c r="IA658" s="27" t="s">
        <v>8</v>
      </c>
      <c r="IB658" s="27" t="s">
        <v>7</v>
      </c>
      <c r="JK658" s="27" t="s">
        <v>8</v>
      </c>
      <c r="JL658" s="27" t="s">
        <v>7</v>
      </c>
      <c r="JM658" s="27" t="s">
        <v>8</v>
      </c>
      <c r="JN658" s="27" t="s">
        <v>7</v>
      </c>
      <c r="JO658" s="27" t="s">
        <v>8</v>
      </c>
      <c r="JP658" s="27" t="s">
        <v>7</v>
      </c>
      <c r="JQ658" s="27" t="s">
        <v>8</v>
      </c>
      <c r="JR658" s="27" t="s">
        <v>7</v>
      </c>
      <c r="JS658" s="27" t="s">
        <v>8</v>
      </c>
      <c r="JV658" s="27" t="s">
        <v>7</v>
      </c>
      <c r="LH658" s="27" t="s">
        <v>7</v>
      </c>
      <c r="LI658" s="27" t="s">
        <v>8</v>
      </c>
      <c r="LJ658" s="27" t="s">
        <v>7</v>
      </c>
      <c r="LK658" s="27" t="s">
        <v>8</v>
      </c>
      <c r="LL658" s="27" t="s">
        <v>7</v>
      </c>
      <c r="LM658" s="27" t="s">
        <v>8</v>
      </c>
      <c r="LN658" s="27" t="s">
        <v>7</v>
      </c>
      <c r="LO658" s="27" t="s">
        <v>8</v>
      </c>
      <c r="LP658" s="27" t="s">
        <v>7</v>
      </c>
      <c r="MJ658" s="27" t="s">
        <v>7</v>
      </c>
    </row>
    <row r="659" spans="1:352" x14ac:dyDescent="0.25">
      <c r="A659" s="7">
        <v>0.24031873714128701</v>
      </c>
      <c r="B659"/>
      <c r="C659"/>
      <c r="D659"/>
      <c r="E659"/>
      <c r="F659" s="27" t="s">
        <v>7</v>
      </c>
      <c r="GA659" s="27" t="s">
        <v>8</v>
      </c>
      <c r="GZ659" s="27" t="s">
        <v>7</v>
      </c>
      <c r="HA659" s="27" t="s">
        <v>8</v>
      </c>
      <c r="HB659" s="27" t="s">
        <v>7</v>
      </c>
      <c r="HC659" s="27" t="s">
        <v>8</v>
      </c>
      <c r="HN659" s="27" t="s">
        <v>7</v>
      </c>
      <c r="HO659" s="27" t="s">
        <v>8</v>
      </c>
      <c r="HT659" s="27" t="s">
        <v>7</v>
      </c>
      <c r="HU659" s="27" t="s">
        <v>8</v>
      </c>
      <c r="HV659" s="27" t="s">
        <v>7</v>
      </c>
      <c r="HW659" s="27" t="s">
        <v>8</v>
      </c>
      <c r="HX659" s="27" t="s">
        <v>7</v>
      </c>
      <c r="HY659" s="27" t="s">
        <v>8</v>
      </c>
      <c r="HZ659" s="27" t="s">
        <v>7</v>
      </c>
      <c r="IA659" s="27" t="s">
        <v>8</v>
      </c>
      <c r="IB659" s="27" t="s">
        <v>7</v>
      </c>
      <c r="JI659" s="27" t="s">
        <v>8</v>
      </c>
      <c r="JK659" s="27" t="s">
        <v>8</v>
      </c>
      <c r="JL659" s="27" t="s">
        <v>7</v>
      </c>
      <c r="JN659" s="27" t="s">
        <v>7</v>
      </c>
      <c r="JO659" s="27" t="s">
        <v>8</v>
      </c>
      <c r="JP659" s="27" t="s">
        <v>7</v>
      </c>
      <c r="JQ659" s="27" t="s">
        <v>8</v>
      </c>
      <c r="JR659" s="27" t="s">
        <v>7</v>
      </c>
      <c r="LH659" s="27" t="s">
        <v>7</v>
      </c>
      <c r="LI659" s="27" t="s">
        <v>8</v>
      </c>
      <c r="LJ659" s="27" t="s">
        <v>7</v>
      </c>
      <c r="LL659" s="27" t="s">
        <v>7</v>
      </c>
      <c r="LM659" s="27" t="s">
        <v>8</v>
      </c>
      <c r="LN659" s="27" t="s">
        <v>7</v>
      </c>
      <c r="LO659" s="27" t="s">
        <v>8</v>
      </c>
      <c r="MJ659" s="27" t="s">
        <v>7</v>
      </c>
    </row>
    <row r="660" spans="1:352" x14ac:dyDescent="0.25">
      <c r="A660" s="7">
        <v>0.23560660504047748</v>
      </c>
      <c r="B660"/>
      <c r="C660"/>
      <c r="D660"/>
      <c r="E660"/>
      <c r="F660" s="27" t="s">
        <v>7</v>
      </c>
      <c r="GA660" s="27" t="s">
        <v>8</v>
      </c>
      <c r="GZ660" s="27" t="s">
        <v>7</v>
      </c>
      <c r="HA660" s="27" t="s">
        <v>8</v>
      </c>
      <c r="HB660" s="27" t="s">
        <v>7</v>
      </c>
      <c r="HN660" s="27" t="s">
        <v>7</v>
      </c>
      <c r="HO660" s="27" t="s">
        <v>8</v>
      </c>
      <c r="HT660" s="27" t="s">
        <v>7</v>
      </c>
      <c r="HU660" s="27" t="s">
        <v>8</v>
      </c>
      <c r="HV660" s="27" t="s">
        <v>7</v>
      </c>
      <c r="HW660" s="27" t="s">
        <v>8</v>
      </c>
      <c r="HX660" s="27" t="s">
        <v>7</v>
      </c>
      <c r="HY660" s="27" t="s">
        <v>8</v>
      </c>
      <c r="HZ660" s="27" t="s">
        <v>7</v>
      </c>
      <c r="IA660" s="27" t="s">
        <v>8</v>
      </c>
      <c r="IB660" s="27" t="s">
        <v>7</v>
      </c>
      <c r="JI660" s="27" t="s">
        <v>8</v>
      </c>
      <c r="JJ660" s="27" t="s">
        <v>7</v>
      </c>
      <c r="JK660" s="27" t="s">
        <v>8</v>
      </c>
      <c r="JN660" s="27" t="s">
        <v>7</v>
      </c>
      <c r="JO660" s="27" t="s">
        <v>8</v>
      </c>
      <c r="JP660" s="27" t="s">
        <v>7</v>
      </c>
      <c r="JQ660" s="27" t="s">
        <v>8</v>
      </c>
      <c r="LH660" s="27" t="s">
        <v>7</v>
      </c>
      <c r="LI660" s="27" t="s">
        <v>8</v>
      </c>
      <c r="LL660" s="27" t="s">
        <v>7</v>
      </c>
      <c r="LN660" s="27" t="s">
        <v>7</v>
      </c>
      <c r="LO660" s="27" t="s">
        <v>8</v>
      </c>
      <c r="MJ660" s="27" t="s">
        <v>7</v>
      </c>
    </row>
    <row r="661" spans="1:352" x14ac:dyDescent="0.25">
      <c r="A661" s="7">
        <v>0.23098686768674265</v>
      </c>
      <c r="B661"/>
      <c r="C661"/>
      <c r="D661"/>
      <c r="E661"/>
      <c r="F661" s="27" t="s">
        <v>7</v>
      </c>
      <c r="GA661" s="27" t="s">
        <v>8</v>
      </c>
      <c r="GZ661" s="27" t="s">
        <v>7</v>
      </c>
      <c r="HA661" s="27" t="s">
        <v>8</v>
      </c>
      <c r="HN661" s="27" t="s">
        <v>7</v>
      </c>
      <c r="HO661" s="27" t="s">
        <v>8</v>
      </c>
      <c r="HT661" s="27" t="s">
        <v>7</v>
      </c>
      <c r="HU661" s="27" t="s">
        <v>8</v>
      </c>
      <c r="HV661" s="27" t="s">
        <v>7</v>
      </c>
      <c r="HW661" s="27" t="s">
        <v>8</v>
      </c>
      <c r="HX661" s="27" t="s">
        <v>7</v>
      </c>
      <c r="HZ661" s="27" t="s">
        <v>7</v>
      </c>
      <c r="IA661" s="27" t="s">
        <v>8</v>
      </c>
      <c r="IB661" s="27" t="s">
        <v>7</v>
      </c>
      <c r="IC661" s="27" t="s">
        <v>8</v>
      </c>
      <c r="JI661" s="27" t="s">
        <v>8</v>
      </c>
      <c r="JJ661" s="27" t="s">
        <v>7</v>
      </c>
      <c r="JK661" s="27" t="s">
        <v>8</v>
      </c>
      <c r="JN661" s="27" t="s">
        <v>7</v>
      </c>
      <c r="JO661" s="27" t="s">
        <v>8</v>
      </c>
      <c r="JP661" s="27" t="s">
        <v>7</v>
      </c>
      <c r="LH661" s="27" t="s">
        <v>7</v>
      </c>
      <c r="LI661" s="27" t="s">
        <v>8</v>
      </c>
      <c r="LN661" s="27" t="s">
        <v>7</v>
      </c>
      <c r="LO661" s="27" t="s">
        <v>8</v>
      </c>
      <c r="MJ661" s="27" t="s">
        <v>7</v>
      </c>
      <c r="MK661" s="27" t="s">
        <v>8</v>
      </c>
    </row>
    <row r="662" spans="1:352" x14ac:dyDescent="0.25">
      <c r="A662" s="7">
        <v>0.22645771341837515</v>
      </c>
      <c r="B662"/>
      <c r="C662"/>
      <c r="D662"/>
      <c r="E662"/>
      <c r="F662" s="27" t="s">
        <v>7</v>
      </c>
      <c r="GA662" s="27" t="s">
        <v>8</v>
      </c>
      <c r="GZ662" s="27" t="s">
        <v>7</v>
      </c>
      <c r="HA662" s="27" t="s">
        <v>8</v>
      </c>
      <c r="HN662" s="27" t="s">
        <v>7</v>
      </c>
      <c r="HT662" s="27" t="s">
        <v>7</v>
      </c>
      <c r="HU662" s="27" t="s">
        <v>8</v>
      </c>
      <c r="HV662" s="27" t="s">
        <v>7</v>
      </c>
      <c r="HW662" s="27" t="s">
        <v>8</v>
      </c>
      <c r="HZ662" s="27" t="s">
        <v>7</v>
      </c>
      <c r="IA662" s="27" t="s">
        <v>8</v>
      </c>
      <c r="IB662" s="27" t="s">
        <v>7</v>
      </c>
      <c r="IC662" s="27" t="s">
        <v>8</v>
      </c>
      <c r="ID662" s="27" t="s">
        <v>7</v>
      </c>
      <c r="II662" s="27" t="s">
        <v>8</v>
      </c>
      <c r="JE662" s="27" t="s">
        <v>8</v>
      </c>
      <c r="JG662" s="27" t="s">
        <v>8</v>
      </c>
      <c r="JI662" s="27" t="s">
        <v>8</v>
      </c>
      <c r="JJ662" s="27" t="s">
        <v>7</v>
      </c>
      <c r="JK662" s="27" t="s">
        <v>8</v>
      </c>
      <c r="JN662" s="27" t="s">
        <v>7</v>
      </c>
      <c r="JO662" s="27" t="s">
        <v>8</v>
      </c>
      <c r="LH662" s="27" t="s">
        <v>7</v>
      </c>
      <c r="LI662" s="27" t="s">
        <v>8</v>
      </c>
      <c r="LN662" s="27" t="s">
        <v>7</v>
      </c>
      <c r="LO662" s="27" t="s">
        <v>8</v>
      </c>
      <c r="MJ662" s="27" t="s">
        <v>7</v>
      </c>
      <c r="MK662" s="27" t="s">
        <v>8</v>
      </c>
      <c r="ML662" s="27" t="s">
        <v>7</v>
      </c>
    </row>
    <row r="663" spans="1:352" x14ac:dyDescent="0.25">
      <c r="A663" s="7">
        <v>0.22201736609644623</v>
      </c>
      <c r="B663"/>
      <c r="C663"/>
      <c r="D663"/>
      <c r="E663"/>
      <c r="F663" s="27" t="s">
        <v>7</v>
      </c>
      <c r="GA663" s="27" t="s">
        <v>8</v>
      </c>
      <c r="GZ663" s="27" t="s">
        <v>7</v>
      </c>
      <c r="HA663" s="27" t="s">
        <v>8</v>
      </c>
      <c r="HT663" s="27" t="s">
        <v>7</v>
      </c>
      <c r="HU663" s="27" t="s">
        <v>8</v>
      </c>
      <c r="HV663" s="27" t="s">
        <v>7</v>
      </c>
      <c r="HW663" s="27" t="s">
        <v>8</v>
      </c>
      <c r="HZ663" s="27" t="s">
        <v>7</v>
      </c>
      <c r="IA663" s="27" t="s">
        <v>8</v>
      </c>
      <c r="IB663" s="27" t="s">
        <v>7</v>
      </c>
      <c r="IC663" s="27" t="s">
        <v>8</v>
      </c>
      <c r="ID663" s="27" t="s">
        <v>7</v>
      </c>
      <c r="II663" s="27" t="s">
        <v>8</v>
      </c>
      <c r="IJ663" s="27" t="s">
        <v>7</v>
      </c>
      <c r="JE663" s="27" t="s">
        <v>8</v>
      </c>
      <c r="JF663" s="27" t="s">
        <v>7</v>
      </c>
      <c r="JG663" s="27" t="s">
        <v>8</v>
      </c>
      <c r="JH663" s="27" t="s">
        <v>7</v>
      </c>
      <c r="JI663" s="27" t="s">
        <v>8</v>
      </c>
      <c r="JJ663" s="27" t="s">
        <v>7</v>
      </c>
      <c r="JK663" s="27" t="s">
        <v>8</v>
      </c>
      <c r="JN663" s="27" t="s">
        <v>7</v>
      </c>
      <c r="JO663" s="27" t="s">
        <v>8</v>
      </c>
      <c r="LH663" s="27" t="s">
        <v>7</v>
      </c>
      <c r="LI663" s="27" t="s">
        <v>8</v>
      </c>
      <c r="LN663" s="27" t="s">
        <v>7</v>
      </c>
      <c r="LO663" s="27" t="s">
        <v>8</v>
      </c>
      <c r="MJ663" s="27" t="s">
        <v>7</v>
      </c>
      <c r="MK663" s="27" t="s">
        <v>8</v>
      </c>
      <c r="ML663" s="27" t="s">
        <v>7</v>
      </c>
      <c r="MM663" s="27" t="s">
        <v>8</v>
      </c>
    </row>
    <row r="664" spans="1:352" x14ac:dyDescent="0.25">
      <c r="A664" s="7">
        <v>0.21766408440828061</v>
      </c>
      <c r="B664"/>
      <c r="C664"/>
      <c r="D664"/>
      <c r="E664"/>
      <c r="F664" s="27" t="s">
        <v>7</v>
      </c>
      <c r="GA664" s="27" t="s">
        <v>8</v>
      </c>
      <c r="GZ664" s="27" t="s">
        <v>7</v>
      </c>
      <c r="HA664" s="27" t="s">
        <v>8</v>
      </c>
      <c r="HT664" s="27" t="s">
        <v>7</v>
      </c>
      <c r="HU664" s="27" t="s">
        <v>8</v>
      </c>
      <c r="HV664" s="27" t="s">
        <v>7</v>
      </c>
      <c r="HW664" s="27" t="s">
        <v>8</v>
      </c>
      <c r="HZ664" s="27" t="s">
        <v>7</v>
      </c>
      <c r="IA664" s="27" t="s">
        <v>8</v>
      </c>
      <c r="IB664" s="27" t="s">
        <v>7</v>
      </c>
      <c r="IC664" s="27" t="s">
        <v>8</v>
      </c>
      <c r="ID664" s="27" t="s">
        <v>7</v>
      </c>
      <c r="IE664" s="27" t="s">
        <v>8</v>
      </c>
      <c r="IG664" s="27" t="s">
        <v>8</v>
      </c>
      <c r="II664" s="27" t="s">
        <v>8</v>
      </c>
      <c r="IJ664" s="27" t="s">
        <v>7</v>
      </c>
      <c r="JC664" s="27" t="s">
        <v>8</v>
      </c>
      <c r="JE664" s="27" t="s">
        <v>8</v>
      </c>
      <c r="JF664" s="27" t="s">
        <v>7</v>
      </c>
      <c r="JG664" s="27" t="s">
        <v>8</v>
      </c>
      <c r="JH664" s="27" t="s">
        <v>7</v>
      </c>
      <c r="JI664" s="27" t="s">
        <v>8</v>
      </c>
      <c r="JJ664" s="27" t="s">
        <v>7</v>
      </c>
      <c r="JK664" s="27" t="s">
        <v>8</v>
      </c>
      <c r="JN664" s="27" t="s">
        <v>7</v>
      </c>
      <c r="JO664" s="27" t="s">
        <v>8</v>
      </c>
      <c r="LH664" s="27" t="s">
        <v>7</v>
      </c>
      <c r="LI664" s="27" t="s">
        <v>8</v>
      </c>
      <c r="LN664" s="27" t="s">
        <v>7</v>
      </c>
      <c r="MJ664" s="27" t="s">
        <v>7</v>
      </c>
      <c r="MK664" s="27" t="s">
        <v>8</v>
      </c>
      <c r="ML664" s="27" t="s">
        <v>7</v>
      </c>
      <c r="MM664" s="27" t="s">
        <v>8</v>
      </c>
      <c r="MN664" s="27" t="s">
        <v>7</v>
      </c>
    </row>
    <row r="665" spans="1:352" x14ac:dyDescent="0.25">
      <c r="A665" s="7">
        <v>0.21339616118458882</v>
      </c>
      <c r="B665"/>
      <c r="C665"/>
      <c r="D665"/>
      <c r="E665"/>
      <c r="F665" s="27" t="s">
        <v>7</v>
      </c>
      <c r="GA665" s="27" t="s">
        <v>8</v>
      </c>
      <c r="GZ665" s="27" t="s">
        <v>7</v>
      </c>
      <c r="HA665" s="27" t="s">
        <v>8</v>
      </c>
      <c r="HT665" s="27" t="s">
        <v>7</v>
      </c>
      <c r="HU665" s="27" t="s">
        <v>8</v>
      </c>
      <c r="HV665" s="27" t="s">
        <v>7</v>
      </c>
      <c r="HW665" s="27" t="s">
        <v>8</v>
      </c>
      <c r="HZ665" s="27" t="s">
        <v>7</v>
      </c>
      <c r="IA665" s="27" t="s">
        <v>8</v>
      </c>
      <c r="IB665" s="27" t="s">
        <v>7</v>
      </c>
      <c r="ID665" s="27" t="s">
        <v>7</v>
      </c>
      <c r="IE665" s="27" t="s">
        <v>8</v>
      </c>
      <c r="IF665" s="27" t="s">
        <v>7</v>
      </c>
      <c r="IG665" s="27" t="s">
        <v>8</v>
      </c>
      <c r="IH665" s="27" t="s">
        <v>7</v>
      </c>
      <c r="II665" s="27" t="s">
        <v>8</v>
      </c>
      <c r="IJ665" s="27" t="s">
        <v>7</v>
      </c>
      <c r="IQ665" s="27" t="s">
        <v>8</v>
      </c>
      <c r="JC665" s="27" t="s">
        <v>8</v>
      </c>
      <c r="JD665" s="27" t="s">
        <v>7</v>
      </c>
      <c r="JE665" s="27" t="s">
        <v>8</v>
      </c>
      <c r="JF665" s="27" t="s">
        <v>7</v>
      </c>
      <c r="JG665" s="27" t="s">
        <v>8</v>
      </c>
      <c r="JH665" s="27" t="s">
        <v>7</v>
      </c>
      <c r="JI665" s="27" t="s">
        <v>8</v>
      </c>
      <c r="JJ665" s="27" t="s">
        <v>7</v>
      </c>
      <c r="JN665" s="27" t="s">
        <v>7</v>
      </c>
      <c r="LH665" s="27" t="s">
        <v>7</v>
      </c>
      <c r="MJ665" s="27" t="s">
        <v>7</v>
      </c>
      <c r="MK665" s="27" t="s">
        <v>8</v>
      </c>
      <c r="ML665" s="27" t="s">
        <v>7</v>
      </c>
      <c r="MM665" s="27" t="s">
        <v>8</v>
      </c>
      <c r="MN665" s="27" t="s">
        <v>7</v>
      </c>
    </row>
    <row r="666" spans="1:352" x14ac:dyDescent="0.25">
      <c r="A666" s="7">
        <v>0.20921192272998904</v>
      </c>
      <c r="B666"/>
      <c r="C666"/>
      <c r="D666"/>
      <c r="E666"/>
      <c r="F666" s="27" t="s">
        <v>7</v>
      </c>
      <c r="GA666" s="27" t="s">
        <v>8</v>
      </c>
      <c r="GZ666" s="27" t="s">
        <v>7</v>
      </c>
      <c r="HA666" s="27" t="s">
        <v>8</v>
      </c>
      <c r="HT666" s="27" t="s">
        <v>7</v>
      </c>
      <c r="HU666" s="27" t="s">
        <v>8</v>
      </c>
      <c r="HV666" s="27" t="s">
        <v>7</v>
      </c>
      <c r="HW666" s="27" t="s">
        <v>8</v>
      </c>
      <c r="HZ666" s="27" t="s">
        <v>7</v>
      </c>
      <c r="IA666" s="27" t="s">
        <v>8</v>
      </c>
      <c r="ID666" s="27" t="s">
        <v>7</v>
      </c>
      <c r="IE666" s="27" t="s">
        <v>8</v>
      </c>
      <c r="IF666" s="27" t="s">
        <v>7</v>
      </c>
      <c r="IG666" s="27" t="s">
        <v>8</v>
      </c>
      <c r="IH666" s="27" t="s">
        <v>7</v>
      </c>
      <c r="II666" s="27" t="s">
        <v>8</v>
      </c>
      <c r="IJ666" s="27" t="s">
        <v>7</v>
      </c>
      <c r="IQ666" s="27" t="s">
        <v>8</v>
      </c>
      <c r="IR666" s="27" t="s">
        <v>7</v>
      </c>
      <c r="JA666" s="27" t="s">
        <v>8</v>
      </c>
      <c r="JC666" s="27" t="s">
        <v>8</v>
      </c>
      <c r="JD666" s="27" t="s">
        <v>7</v>
      </c>
      <c r="JE666" s="27" t="s">
        <v>8</v>
      </c>
      <c r="JF666" s="27" t="s">
        <v>7</v>
      </c>
      <c r="JH666" s="27" t="s">
        <v>7</v>
      </c>
      <c r="MJ666" s="27" t="s">
        <v>7</v>
      </c>
      <c r="MK666" s="27" t="s">
        <v>8</v>
      </c>
      <c r="ML666" s="27" t="s">
        <v>7</v>
      </c>
      <c r="MM666" s="27" t="s">
        <v>8</v>
      </c>
      <c r="MN666" s="27" t="s">
        <v>7</v>
      </c>
    </row>
    <row r="667" spans="1:352" x14ac:dyDescent="0.25">
      <c r="A667" s="7">
        <v>0.20510972816665593</v>
      </c>
      <c r="B667"/>
      <c r="C667"/>
      <c r="D667"/>
      <c r="E667"/>
      <c r="F667" s="27" t="s">
        <v>7</v>
      </c>
      <c r="GA667" s="27" t="s">
        <v>8</v>
      </c>
      <c r="GZ667" s="27" t="s">
        <v>7</v>
      </c>
      <c r="HA667" s="27" t="s">
        <v>8</v>
      </c>
      <c r="HT667" s="27" t="s">
        <v>7</v>
      </c>
      <c r="HU667" s="27" t="s">
        <v>8</v>
      </c>
      <c r="HV667" s="27" t="s">
        <v>7</v>
      </c>
      <c r="HW667" s="27" t="s">
        <v>8</v>
      </c>
      <c r="HZ667" s="27" t="s">
        <v>7</v>
      </c>
      <c r="IA667" s="27" t="s">
        <v>8</v>
      </c>
      <c r="ID667" s="27" t="s">
        <v>7</v>
      </c>
      <c r="IE667" s="27" t="s">
        <v>8</v>
      </c>
      <c r="IF667" s="27" t="s">
        <v>7</v>
      </c>
      <c r="IG667" s="27" t="s">
        <v>8</v>
      </c>
      <c r="IH667" s="27" t="s">
        <v>7</v>
      </c>
      <c r="II667" s="27" t="s">
        <v>8</v>
      </c>
      <c r="IJ667" s="27" t="s">
        <v>7</v>
      </c>
      <c r="IQ667" s="27" t="s">
        <v>8</v>
      </c>
      <c r="IR667" s="27" t="s">
        <v>7</v>
      </c>
      <c r="JA667" s="27" t="s">
        <v>8</v>
      </c>
      <c r="JB667" s="27" t="s">
        <v>7</v>
      </c>
      <c r="JC667" s="27" t="s">
        <v>8</v>
      </c>
      <c r="JD667" s="27" t="s">
        <v>7</v>
      </c>
      <c r="MJ667" s="27" t="s">
        <v>7</v>
      </c>
      <c r="ML667" s="27" t="s">
        <v>7</v>
      </c>
      <c r="MM667" s="27" t="s">
        <v>8</v>
      </c>
    </row>
    <row r="668" spans="1:352" x14ac:dyDescent="0.25">
      <c r="A668" s="7">
        <v>0.20108796879083912</v>
      </c>
      <c r="B668"/>
      <c r="C668"/>
      <c r="D668"/>
      <c r="E668"/>
      <c r="F668" s="27" t="s">
        <v>7</v>
      </c>
      <c r="GA668" s="27" t="s">
        <v>8</v>
      </c>
      <c r="GZ668" s="27" t="s">
        <v>7</v>
      </c>
      <c r="HA668" s="27" t="s">
        <v>8</v>
      </c>
      <c r="HT668" s="27" t="s">
        <v>7</v>
      </c>
      <c r="HU668" s="27" t="s">
        <v>8</v>
      </c>
      <c r="HV668" s="27" t="s">
        <v>7</v>
      </c>
      <c r="HW668" s="27" t="s">
        <v>8</v>
      </c>
      <c r="HZ668" s="27" t="s">
        <v>7</v>
      </c>
      <c r="ID668" s="27" t="s">
        <v>7</v>
      </c>
      <c r="IE668" s="27" t="s">
        <v>8</v>
      </c>
      <c r="IF668" s="27" t="s">
        <v>7</v>
      </c>
      <c r="IG668" s="27" t="s">
        <v>8</v>
      </c>
      <c r="IH668" s="27" t="s">
        <v>7</v>
      </c>
      <c r="II668" s="27" t="s">
        <v>8</v>
      </c>
      <c r="IJ668" s="27" t="s">
        <v>7</v>
      </c>
      <c r="IQ668" s="27" t="s">
        <v>8</v>
      </c>
      <c r="IR668" s="27" t="s">
        <v>7</v>
      </c>
      <c r="JA668" s="27" t="s">
        <v>8</v>
      </c>
      <c r="JB668" s="27" t="s">
        <v>7</v>
      </c>
      <c r="JC668" s="27" t="s">
        <v>8</v>
      </c>
      <c r="ML668" s="27" t="s">
        <v>7</v>
      </c>
      <c r="MM668" s="27" t="s">
        <v>8</v>
      </c>
    </row>
    <row r="669" spans="1:352" x14ac:dyDescent="0.25">
      <c r="A669" s="7">
        <v>0.19714506744199917</v>
      </c>
      <c r="B669"/>
      <c r="C669"/>
      <c r="D669"/>
      <c r="E669"/>
      <c r="F669" s="27" t="s">
        <v>7</v>
      </c>
      <c r="GA669" s="27" t="s">
        <v>8</v>
      </c>
      <c r="GZ669" s="27" t="s">
        <v>7</v>
      </c>
      <c r="HA669" s="27" t="s">
        <v>8</v>
      </c>
      <c r="HT669" s="27" t="s">
        <v>7</v>
      </c>
      <c r="HU669" s="27" t="s">
        <v>8</v>
      </c>
      <c r="HV669" s="27" t="s">
        <v>7</v>
      </c>
      <c r="HW669" s="27" t="s">
        <v>8</v>
      </c>
      <c r="ID669" s="27" t="s">
        <v>7</v>
      </c>
      <c r="IE669" s="27" t="s">
        <v>8</v>
      </c>
      <c r="IF669" s="27" t="s">
        <v>7</v>
      </c>
      <c r="IG669" s="27" t="s">
        <v>8</v>
      </c>
      <c r="IH669" s="27" t="s">
        <v>7</v>
      </c>
      <c r="IJ669" s="27" t="s">
        <v>7</v>
      </c>
      <c r="IQ669" s="27" t="s">
        <v>8</v>
      </c>
      <c r="IR669" s="27" t="s">
        <v>7</v>
      </c>
      <c r="IW669" s="27" t="s">
        <v>8</v>
      </c>
      <c r="JA669" s="27" t="s">
        <v>8</v>
      </c>
      <c r="JB669" s="27" t="s">
        <v>7</v>
      </c>
      <c r="JC669" s="27" t="s">
        <v>8</v>
      </c>
      <c r="ML669" s="27" t="s">
        <v>7</v>
      </c>
      <c r="MM669" s="27" t="s">
        <v>8</v>
      </c>
    </row>
    <row r="670" spans="1:352" x14ac:dyDescent="0.25">
      <c r="A670" s="7">
        <v>0.19327947788431293</v>
      </c>
      <c r="B670"/>
      <c r="C670"/>
      <c r="D670"/>
      <c r="E670"/>
      <c r="F670" s="27" t="s">
        <v>7</v>
      </c>
      <c r="GA670" s="27" t="s">
        <v>8</v>
      </c>
      <c r="GZ670" s="27" t="s">
        <v>7</v>
      </c>
      <c r="HT670" s="27" t="s">
        <v>7</v>
      </c>
      <c r="HU670" s="27" t="s">
        <v>8</v>
      </c>
      <c r="HV670" s="27" t="s">
        <v>7</v>
      </c>
      <c r="HW670" s="27" t="s">
        <v>8</v>
      </c>
      <c r="ID670" s="27" t="s">
        <v>7</v>
      </c>
      <c r="IF670" s="27" t="s">
        <v>7</v>
      </c>
      <c r="IG670" s="27" t="s">
        <v>8</v>
      </c>
      <c r="IJ670" s="27" t="s">
        <v>7</v>
      </c>
      <c r="IK670" s="27" t="s">
        <v>8</v>
      </c>
      <c r="IO670" s="27" t="s">
        <v>8</v>
      </c>
      <c r="IQ670" s="27" t="s">
        <v>8</v>
      </c>
      <c r="IR670" s="27" t="s">
        <v>7</v>
      </c>
      <c r="IW670" s="27" t="s">
        <v>8</v>
      </c>
      <c r="IX670" s="27" t="s">
        <v>7</v>
      </c>
      <c r="IY670" s="27" t="s">
        <v>8</v>
      </c>
      <c r="JA670" s="27" t="s">
        <v>8</v>
      </c>
      <c r="JB670" s="27" t="s">
        <v>7</v>
      </c>
      <c r="JC670" s="27" t="s">
        <v>8</v>
      </c>
      <c r="ML670" s="27" t="s">
        <v>7</v>
      </c>
      <c r="MM670" s="27" t="s">
        <v>8</v>
      </c>
    </row>
    <row r="671" spans="1:352" x14ac:dyDescent="0.25">
      <c r="A671" s="7">
        <v>0.18948968420030682</v>
      </c>
      <c r="B671"/>
      <c r="C671"/>
      <c r="D671"/>
      <c r="E671"/>
      <c r="F671" s="27" t="s">
        <v>7</v>
      </c>
      <c r="GA671" s="27" t="s">
        <v>8</v>
      </c>
      <c r="HT671" s="27" t="s">
        <v>7</v>
      </c>
      <c r="HU671" s="27" t="s">
        <v>8</v>
      </c>
      <c r="HV671" s="27" t="s">
        <v>7</v>
      </c>
      <c r="IF671" s="27" t="s">
        <v>7</v>
      </c>
      <c r="IG671" s="27" t="s">
        <v>8</v>
      </c>
      <c r="IJ671" s="27" t="s">
        <v>7</v>
      </c>
      <c r="IK671" s="27" t="s">
        <v>8</v>
      </c>
      <c r="IL671" s="27" t="s">
        <v>7</v>
      </c>
      <c r="IM671" s="27" t="s">
        <v>8</v>
      </c>
      <c r="IO671" s="27" t="s">
        <v>8</v>
      </c>
      <c r="IP671" s="27" t="s">
        <v>7</v>
      </c>
      <c r="IQ671" s="27" t="s">
        <v>8</v>
      </c>
      <c r="IR671" s="27" t="s">
        <v>7</v>
      </c>
      <c r="IW671" s="27" t="s">
        <v>8</v>
      </c>
      <c r="IX671" s="27" t="s">
        <v>7</v>
      </c>
      <c r="IY671" s="27" t="s">
        <v>8</v>
      </c>
      <c r="IZ671" s="27" t="s">
        <v>7</v>
      </c>
      <c r="JA671" s="27" t="s">
        <v>8</v>
      </c>
      <c r="JB671" s="27" t="s">
        <v>7</v>
      </c>
      <c r="JC671" s="27" t="s">
        <v>8</v>
      </c>
      <c r="ML671" s="27" t="s">
        <v>7</v>
      </c>
    </row>
    <row r="672" spans="1:352" x14ac:dyDescent="0.25">
      <c r="A672" s="7">
        <v>0.18577420019637925</v>
      </c>
      <c r="B672"/>
      <c r="C672"/>
      <c r="D672"/>
      <c r="E672"/>
      <c r="F672" s="27" t="s">
        <v>7</v>
      </c>
      <c r="GA672" s="27" t="s">
        <v>8</v>
      </c>
      <c r="HT672" s="27" t="s">
        <v>7</v>
      </c>
      <c r="HU672" s="27" t="s">
        <v>8</v>
      </c>
      <c r="IF672" s="27" t="s">
        <v>7</v>
      </c>
      <c r="IG672" s="27" t="s">
        <v>8</v>
      </c>
      <c r="IJ672" s="27" t="s">
        <v>7</v>
      </c>
      <c r="IK672" s="27" t="s">
        <v>8</v>
      </c>
      <c r="IL672" s="27" t="s">
        <v>7</v>
      </c>
      <c r="IM672" s="27" t="s">
        <v>8</v>
      </c>
      <c r="IN672" s="27" t="s">
        <v>7</v>
      </c>
      <c r="IO672" s="27" t="s">
        <v>8</v>
      </c>
      <c r="IP672" s="27" t="s">
        <v>7</v>
      </c>
      <c r="IQ672" s="27" t="s">
        <v>8</v>
      </c>
      <c r="IR672" s="27" t="s">
        <v>7</v>
      </c>
      <c r="IW672" s="27" t="s">
        <v>8</v>
      </c>
      <c r="IX672" s="27" t="s">
        <v>7</v>
      </c>
      <c r="IY672" s="27" t="s">
        <v>8</v>
      </c>
      <c r="IZ672" s="27" t="s">
        <v>7</v>
      </c>
      <c r="JA672" s="27" t="s">
        <v>8</v>
      </c>
      <c r="JB672" s="27" t="s">
        <v>7</v>
      </c>
      <c r="JC672" s="27" t="s">
        <v>8</v>
      </c>
    </row>
    <row r="673" spans="1:262" x14ac:dyDescent="0.25">
      <c r="A673" s="7">
        <v>0.18213156881997963</v>
      </c>
      <c r="B673"/>
      <c r="C673"/>
      <c r="D673"/>
      <c r="E673"/>
      <c r="F673" s="27" t="s">
        <v>7</v>
      </c>
      <c r="GA673" s="27" t="s">
        <v>8</v>
      </c>
      <c r="HT673" s="27" t="s">
        <v>7</v>
      </c>
      <c r="HU673" s="27" t="s">
        <v>8</v>
      </c>
      <c r="IF673" s="27" t="s">
        <v>7</v>
      </c>
      <c r="IG673" s="27" t="s">
        <v>8</v>
      </c>
      <c r="IJ673" s="27" t="s">
        <v>7</v>
      </c>
      <c r="IK673" s="27" t="s">
        <v>8</v>
      </c>
      <c r="IL673" s="27" t="s">
        <v>7</v>
      </c>
      <c r="IM673" s="27" t="s">
        <v>8</v>
      </c>
      <c r="IN673" s="27" t="s">
        <v>7</v>
      </c>
      <c r="IO673" s="27" t="s">
        <v>8</v>
      </c>
      <c r="IP673" s="27" t="s">
        <v>7</v>
      </c>
      <c r="IQ673" s="27" t="s">
        <v>8</v>
      </c>
      <c r="IR673" s="27" t="s">
        <v>7</v>
      </c>
      <c r="IU673" s="27" t="s">
        <v>8</v>
      </c>
      <c r="IW673" s="27" t="s">
        <v>8</v>
      </c>
      <c r="IX673" s="27" t="s">
        <v>7</v>
      </c>
      <c r="IY673" s="27" t="s">
        <v>8</v>
      </c>
      <c r="IZ673" s="27" t="s">
        <v>7</v>
      </c>
      <c r="JA673" s="27" t="s">
        <v>8</v>
      </c>
      <c r="JB673" s="27" t="s">
        <v>7</v>
      </c>
    </row>
    <row r="674" spans="1:262" x14ac:dyDescent="0.25">
      <c r="A674" s="7">
        <v>0.17856036158821534</v>
      </c>
      <c r="B674"/>
      <c r="C674"/>
      <c r="D674"/>
      <c r="E674"/>
      <c r="F674" s="27" t="s">
        <v>7</v>
      </c>
      <c r="GA674" s="27" t="s">
        <v>8</v>
      </c>
      <c r="HT674" s="27" t="s">
        <v>7</v>
      </c>
      <c r="HU674" s="27" t="s">
        <v>8</v>
      </c>
      <c r="IF674" s="27" t="s">
        <v>7</v>
      </c>
      <c r="IJ674" s="27" t="s">
        <v>7</v>
      </c>
      <c r="IK674" s="27" t="s">
        <v>8</v>
      </c>
      <c r="IL674" s="27" t="s">
        <v>7</v>
      </c>
      <c r="IM674" s="27" t="s">
        <v>8</v>
      </c>
      <c r="IN674" s="27" t="s">
        <v>7</v>
      </c>
      <c r="IO674" s="27" t="s">
        <v>8</v>
      </c>
      <c r="IP674" s="27" t="s">
        <v>7</v>
      </c>
      <c r="IR674" s="27" t="s">
        <v>7</v>
      </c>
      <c r="IU674" s="27" t="s">
        <v>8</v>
      </c>
      <c r="IV674" s="27" t="s">
        <v>7</v>
      </c>
      <c r="IW674" s="27" t="s">
        <v>8</v>
      </c>
      <c r="IX674" s="27" t="s">
        <v>7</v>
      </c>
      <c r="IZ674" s="27" t="s">
        <v>7</v>
      </c>
      <c r="JA674" s="27" t="s">
        <v>8</v>
      </c>
    </row>
    <row r="675" spans="1:262" x14ac:dyDescent="0.25">
      <c r="A675" s="7">
        <v>0.17505917802766208</v>
      </c>
      <c r="B675"/>
      <c r="C675"/>
      <c r="D675"/>
      <c r="E675"/>
      <c r="F675" s="27" t="s">
        <v>7</v>
      </c>
      <c r="FY675" s="27" t="s">
        <v>8</v>
      </c>
      <c r="GA675" s="27" t="s">
        <v>8</v>
      </c>
      <c r="HT675" s="27" t="s">
        <v>7</v>
      </c>
      <c r="HU675" s="27" t="s">
        <v>8</v>
      </c>
      <c r="IJ675" s="27" t="s">
        <v>7</v>
      </c>
      <c r="IK675" s="27" t="s">
        <v>8</v>
      </c>
      <c r="IL675" s="27" t="s">
        <v>7</v>
      </c>
      <c r="IM675" s="27" t="s">
        <v>8</v>
      </c>
      <c r="IN675" s="27" t="s">
        <v>7</v>
      </c>
      <c r="IO675" s="27" t="s">
        <v>8</v>
      </c>
      <c r="IR675" s="27" t="s">
        <v>7</v>
      </c>
      <c r="IS675" s="27" t="s">
        <v>8</v>
      </c>
      <c r="IU675" s="27" t="s">
        <v>8</v>
      </c>
      <c r="IV675" s="27" t="s">
        <v>7</v>
      </c>
      <c r="IW675" s="27" t="s">
        <v>8</v>
      </c>
      <c r="IZ675" s="27" t="s">
        <v>7</v>
      </c>
      <c r="JA675" s="27" t="s">
        <v>8</v>
      </c>
    </row>
    <row r="676" spans="1:262" x14ac:dyDescent="0.25">
      <c r="A676" s="7">
        <v>0.17162664512515888</v>
      </c>
      <c r="B676"/>
      <c r="C676"/>
      <c r="D676"/>
      <c r="E676"/>
      <c r="F676" s="27" t="s">
        <v>7</v>
      </c>
      <c r="FY676" s="27" t="s">
        <v>8</v>
      </c>
      <c r="FZ676" s="27" t="s">
        <v>7</v>
      </c>
      <c r="GA676" s="27" t="s">
        <v>8</v>
      </c>
      <c r="HT676" s="27" t="s">
        <v>7</v>
      </c>
      <c r="HU676" s="27" t="s">
        <v>8</v>
      </c>
      <c r="IJ676" s="27" t="s">
        <v>7</v>
      </c>
      <c r="IK676" s="27" t="s">
        <v>8</v>
      </c>
      <c r="IL676" s="27" t="s">
        <v>7</v>
      </c>
      <c r="IM676" s="27" t="s">
        <v>8</v>
      </c>
      <c r="IN676" s="27" t="s">
        <v>7</v>
      </c>
      <c r="IR676" s="27" t="s">
        <v>7</v>
      </c>
      <c r="IS676" s="27" t="s">
        <v>8</v>
      </c>
      <c r="IT676" s="27" t="s">
        <v>7</v>
      </c>
      <c r="IU676" s="27" t="s">
        <v>8</v>
      </c>
      <c r="IV676" s="27" t="s">
        <v>7</v>
      </c>
      <c r="IW676" s="27" t="s">
        <v>8</v>
      </c>
      <c r="IZ676" s="18" t="s">
        <v>7</v>
      </c>
      <c r="JA676" s="27" t="s">
        <v>8</v>
      </c>
    </row>
    <row r="677" spans="1:262" x14ac:dyDescent="0.25">
      <c r="A677" s="7">
        <v>0.16826141678937145</v>
      </c>
      <c r="B677"/>
      <c r="C677"/>
      <c r="D677"/>
      <c r="E677"/>
      <c r="F677" s="27" t="s">
        <v>7</v>
      </c>
      <c r="FY677" s="27" t="s">
        <v>8</v>
      </c>
      <c r="FZ677" s="27" t="s">
        <v>7</v>
      </c>
      <c r="GA677" s="27" t="s">
        <v>8</v>
      </c>
      <c r="HT677" s="27" t="s">
        <v>7</v>
      </c>
      <c r="HU677" s="27" t="s">
        <v>8</v>
      </c>
      <c r="IJ677" s="27" t="s">
        <v>7</v>
      </c>
      <c r="IK677" s="27" t="s">
        <v>8</v>
      </c>
      <c r="IL677" s="27" t="s">
        <v>7</v>
      </c>
      <c r="IM677" s="27" t="s">
        <v>8</v>
      </c>
      <c r="IR677" s="27" t="s">
        <v>7</v>
      </c>
      <c r="IS677" s="27" t="s">
        <v>8</v>
      </c>
      <c r="IT677" s="27" t="s">
        <v>7</v>
      </c>
      <c r="IU677" s="27" t="s">
        <v>8</v>
      </c>
      <c r="IV677" s="27" t="s">
        <v>7</v>
      </c>
      <c r="IW677" s="27" t="s">
        <v>8</v>
      </c>
      <c r="IZ677" s="27" t="s">
        <v>7</v>
      </c>
      <c r="JA677" s="27" t="s">
        <v>8</v>
      </c>
    </row>
    <row r="678" spans="1:262" x14ac:dyDescent="0.25">
      <c r="A678" s="7">
        <v>0.16496217332291319</v>
      </c>
      <c r="B678"/>
      <c r="C678"/>
      <c r="D678"/>
      <c r="E678"/>
      <c r="F678" s="27" t="s">
        <v>7</v>
      </c>
      <c r="FY678" s="27" t="s">
        <v>8</v>
      </c>
      <c r="FZ678" s="27" t="s">
        <v>7</v>
      </c>
      <c r="GA678" s="27" t="s">
        <v>8</v>
      </c>
      <c r="HT678" s="27" t="s">
        <v>7</v>
      </c>
      <c r="HU678" s="27" t="s">
        <v>8</v>
      </c>
      <c r="IJ678" s="27" t="s">
        <v>7</v>
      </c>
      <c r="IK678" s="27" t="s">
        <v>8</v>
      </c>
      <c r="IL678" s="27" t="s">
        <v>7</v>
      </c>
      <c r="IR678" s="27" t="s">
        <v>7</v>
      </c>
      <c r="IT678" s="27" t="s">
        <v>7</v>
      </c>
      <c r="IV678" s="27" t="s">
        <v>7</v>
      </c>
      <c r="IZ678" s="27" t="s">
        <v>7</v>
      </c>
      <c r="JA678" s="27" t="s">
        <v>8</v>
      </c>
    </row>
    <row r="679" spans="1:262" x14ac:dyDescent="0.25">
      <c r="A679" s="7">
        <v>0.16172762090481685</v>
      </c>
      <c r="B679"/>
      <c r="C679"/>
      <c r="D679"/>
      <c r="E679"/>
      <c r="F679" s="27" t="s">
        <v>7</v>
      </c>
      <c r="FY679" s="27" t="s">
        <v>8</v>
      </c>
      <c r="FZ679" s="27" t="s">
        <v>7</v>
      </c>
      <c r="GA679" s="27" t="s">
        <v>8</v>
      </c>
      <c r="HT679" s="27" t="s">
        <v>7</v>
      </c>
      <c r="IJ679" s="27" t="s">
        <v>7</v>
      </c>
      <c r="IK679" s="27" t="s">
        <v>8</v>
      </c>
      <c r="IZ679" s="27" t="s">
        <v>7</v>
      </c>
      <c r="JA679" s="27" t="s">
        <v>8</v>
      </c>
    </row>
    <row r="680" spans="1:262" x14ac:dyDescent="0.25">
      <c r="A680" s="7">
        <v>0.15855649108315376</v>
      </c>
      <c r="B680"/>
      <c r="C680"/>
      <c r="D680"/>
      <c r="E680"/>
      <c r="F680" s="27" t="s">
        <v>7</v>
      </c>
      <c r="FO680" s="27" t="s">
        <v>8</v>
      </c>
      <c r="FY680" s="27" t="s">
        <v>8</v>
      </c>
      <c r="FZ680" s="27" t="s">
        <v>7</v>
      </c>
      <c r="GA680" s="27" t="s">
        <v>8</v>
      </c>
      <c r="IJ680" s="27" t="s">
        <v>7</v>
      </c>
      <c r="IK680" s="27" t="s">
        <v>8</v>
      </c>
      <c r="IZ680" s="27" t="s">
        <v>7</v>
      </c>
      <c r="JA680" s="27" t="s">
        <v>8</v>
      </c>
    </row>
    <row r="681" spans="1:262" x14ac:dyDescent="0.25">
      <c r="A681" s="7">
        <v>0.15544754027760171</v>
      </c>
      <c r="B681"/>
      <c r="C681"/>
      <c r="D681"/>
      <c r="E681"/>
      <c r="F681" s="27" t="s">
        <v>7</v>
      </c>
      <c r="FO681" s="27" t="s">
        <v>8</v>
      </c>
      <c r="FP681" s="27" t="s">
        <v>7</v>
      </c>
      <c r="FY681" s="27" t="s">
        <v>8</v>
      </c>
      <c r="FZ681" s="27" t="s">
        <v>7</v>
      </c>
      <c r="GA681" s="27" t="s">
        <v>8</v>
      </c>
      <c r="IJ681" s="27" t="s">
        <v>7</v>
      </c>
      <c r="IK681" s="27" t="s">
        <v>8</v>
      </c>
      <c r="IZ681" s="27" t="s">
        <v>7</v>
      </c>
    </row>
    <row r="682" spans="1:262" x14ac:dyDescent="0.25">
      <c r="A682" s="7">
        <v>0.15239954929176638</v>
      </c>
      <c r="B682"/>
      <c r="C682"/>
      <c r="D682"/>
      <c r="E682"/>
      <c r="F682" s="27" t="s">
        <v>7</v>
      </c>
      <c r="FO682" s="27" t="s">
        <v>8</v>
      </c>
      <c r="FP682" s="27" t="s">
        <v>7</v>
      </c>
      <c r="FY682" s="27" t="s">
        <v>8</v>
      </c>
      <c r="FZ682" s="27" t="s">
        <v>7</v>
      </c>
      <c r="GA682" s="27" t="s">
        <v>8</v>
      </c>
      <c r="IJ682" s="27" t="s">
        <v>7</v>
      </c>
      <c r="IK682" s="27" t="s">
        <v>8</v>
      </c>
    </row>
    <row r="683" spans="1:262" x14ac:dyDescent="0.25">
      <c r="A683" s="7">
        <v>0.14941132283506509</v>
      </c>
      <c r="B683"/>
      <c r="C683"/>
      <c r="D683"/>
      <c r="E683"/>
      <c r="F683" s="27" t="s">
        <v>7</v>
      </c>
      <c r="FO683" s="27" t="s">
        <v>8</v>
      </c>
      <c r="FP683" s="27" t="s">
        <v>7</v>
      </c>
      <c r="FQ683" s="27" t="s">
        <v>8</v>
      </c>
      <c r="FY683" s="27" t="s">
        <v>8</v>
      </c>
      <c r="FZ683" s="27" t="s">
        <v>7</v>
      </c>
      <c r="GA683" s="27" t="s">
        <v>8</v>
      </c>
      <c r="IJ683" s="27" t="s">
        <v>7</v>
      </c>
      <c r="IK683" s="27" t="s">
        <v>8</v>
      </c>
    </row>
    <row r="684" spans="1:262" x14ac:dyDescent="0.25">
      <c r="A684" s="7">
        <v>0.14648168905398537</v>
      </c>
      <c r="B684"/>
      <c r="C684"/>
      <c r="D684"/>
      <c r="E684"/>
      <c r="F684" s="27" t="s">
        <v>7</v>
      </c>
      <c r="FK684" s="27" t="s">
        <v>8</v>
      </c>
      <c r="FM684" s="27" t="s">
        <v>8</v>
      </c>
      <c r="FO684" s="27" t="s">
        <v>8</v>
      </c>
      <c r="FP684" s="27" t="s">
        <v>7</v>
      </c>
      <c r="FQ684" s="27" t="s">
        <v>8</v>
      </c>
      <c r="FR684" s="27" t="s">
        <v>7</v>
      </c>
      <c r="FY684" s="27" t="s">
        <v>8</v>
      </c>
      <c r="FZ684" s="27" t="s">
        <v>7</v>
      </c>
      <c r="GA684" s="27" t="s">
        <v>8</v>
      </c>
      <c r="IJ684" s="27" t="s">
        <v>7</v>
      </c>
      <c r="IK684" s="27" t="s">
        <v>8</v>
      </c>
    </row>
    <row r="685" spans="1:262" x14ac:dyDescent="0.25">
      <c r="A685" s="7">
        <v>0.14360949907253467</v>
      </c>
      <c r="B685"/>
      <c r="C685"/>
      <c r="D685"/>
      <c r="E685"/>
      <c r="F685" s="27" t="s">
        <v>7</v>
      </c>
      <c r="FK685" s="27" t="s">
        <v>8</v>
      </c>
      <c r="FL685" s="27" t="s">
        <v>7</v>
      </c>
      <c r="FM685" s="27" t="s">
        <v>8</v>
      </c>
      <c r="FN685" s="27" t="s">
        <v>7</v>
      </c>
      <c r="FO685" s="27" t="s">
        <v>8</v>
      </c>
      <c r="FP685" s="27" t="s">
        <v>7</v>
      </c>
      <c r="FQ685" s="27" t="s">
        <v>8</v>
      </c>
      <c r="FR685" s="27" t="s">
        <v>7</v>
      </c>
      <c r="FS685" s="27" t="s">
        <v>8</v>
      </c>
      <c r="FY685" s="27" t="s">
        <v>8</v>
      </c>
      <c r="FZ685" s="27" t="s">
        <v>7</v>
      </c>
      <c r="GA685" s="27" t="s">
        <v>8</v>
      </c>
      <c r="IJ685" s="27" t="s">
        <v>7</v>
      </c>
      <c r="IK685" s="27" t="s">
        <v>8</v>
      </c>
    </row>
    <row r="686" spans="1:262" x14ac:dyDescent="0.25">
      <c r="A686" s="7">
        <v>0.14079362654170066</v>
      </c>
      <c r="B686"/>
      <c r="C686"/>
      <c r="D686"/>
      <c r="E686"/>
      <c r="F686" s="27" t="s">
        <v>7</v>
      </c>
      <c r="FI686" s="27" t="s">
        <v>8</v>
      </c>
      <c r="FK686" s="27" t="s">
        <v>8</v>
      </c>
      <c r="FL686" s="27" t="s">
        <v>7</v>
      </c>
      <c r="FM686" s="27" t="s">
        <v>8</v>
      </c>
      <c r="FN686" s="27" t="s">
        <v>7</v>
      </c>
      <c r="FO686" s="27" t="s">
        <v>8</v>
      </c>
      <c r="FP686" s="27" t="s">
        <v>7</v>
      </c>
      <c r="FQ686" s="27" t="s">
        <v>8</v>
      </c>
      <c r="FR686" s="27" t="s">
        <v>7</v>
      </c>
      <c r="FS686" s="27" t="s">
        <v>8</v>
      </c>
      <c r="FT686" s="27" t="s">
        <v>7</v>
      </c>
      <c r="FY686" s="27" t="s">
        <v>8</v>
      </c>
      <c r="FZ686" s="27" t="s">
        <v>7</v>
      </c>
      <c r="GA686" s="27" t="s">
        <v>8</v>
      </c>
      <c r="IJ686" s="27" t="s">
        <v>7</v>
      </c>
    </row>
    <row r="687" spans="1:262" x14ac:dyDescent="0.25">
      <c r="A687" s="7">
        <v>0.13803296719774574</v>
      </c>
      <c r="B687"/>
      <c r="C687"/>
      <c r="D687"/>
      <c r="E687"/>
      <c r="F687" s="27" t="s">
        <v>7</v>
      </c>
      <c r="FI687" s="27" t="s">
        <v>8</v>
      </c>
      <c r="FJ687" s="27" t="s">
        <v>7</v>
      </c>
      <c r="FK687" s="27" t="s">
        <v>8</v>
      </c>
      <c r="FL687" s="27" t="s">
        <v>7</v>
      </c>
      <c r="FM687" s="27" t="s">
        <v>8</v>
      </c>
      <c r="FN687" s="27" t="s">
        <v>7</v>
      </c>
      <c r="FO687" s="27" t="s">
        <v>8</v>
      </c>
      <c r="FP687" s="27" t="s">
        <v>7</v>
      </c>
      <c r="FR687" s="27" t="s">
        <v>7</v>
      </c>
      <c r="FS687" s="27" t="s">
        <v>8</v>
      </c>
      <c r="FT687" s="27" t="s">
        <v>7</v>
      </c>
      <c r="FY687" s="27" t="s">
        <v>8</v>
      </c>
      <c r="FZ687" s="27" t="s">
        <v>7</v>
      </c>
    </row>
    <row r="688" spans="1:262" x14ac:dyDescent="0.25">
      <c r="A688" s="7">
        <v>0.1353264384291625</v>
      </c>
      <c r="B688"/>
      <c r="C688"/>
      <c r="D688"/>
      <c r="E688"/>
      <c r="F688" s="27" t="s">
        <v>7</v>
      </c>
      <c r="FI688" s="27" t="s">
        <v>8</v>
      </c>
      <c r="FJ688" s="27" t="s">
        <v>7</v>
      </c>
      <c r="FK688" s="27" t="s">
        <v>8</v>
      </c>
      <c r="FL688" s="27" t="s">
        <v>7</v>
      </c>
      <c r="FM688" s="27" t="s">
        <v>8</v>
      </c>
      <c r="FN688" s="27" t="s">
        <v>7</v>
      </c>
      <c r="FO688" s="27" t="s">
        <v>8</v>
      </c>
      <c r="FR688" s="27" t="s">
        <v>7</v>
      </c>
      <c r="FS688" s="27" t="s">
        <v>8</v>
      </c>
      <c r="FT688" s="27" t="s">
        <v>7</v>
      </c>
      <c r="FY688" s="27" t="s">
        <v>8</v>
      </c>
    </row>
    <row r="689" spans="1:181" x14ac:dyDescent="0.25">
      <c r="A689" s="7">
        <v>0.13267297885212009</v>
      </c>
      <c r="B689"/>
      <c r="C689"/>
      <c r="D689"/>
      <c r="E689"/>
      <c r="F689" s="27" t="s">
        <v>7</v>
      </c>
      <c r="FI689" s="27" t="s">
        <v>8</v>
      </c>
      <c r="FJ689" s="27" t="s">
        <v>7</v>
      </c>
      <c r="FK689" s="27" t="s">
        <v>8</v>
      </c>
      <c r="FL689" s="27" t="s">
        <v>7</v>
      </c>
      <c r="FM689" s="27" t="s">
        <v>8</v>
      </c>
      <c r="FN689" s="27" t="s">
        <v>7</v>
      </c>
      <c r="FO689" s="27" t="s">
        <v>8</v>
      </c>
      <c r="FR689" s="27" t="s">
        <v>7</v>
      </c>
      <c r="FS689" s="27" t="s">
        <v>8</v>
      </c>
      <c r="FT689" s="27" t="s">
        <v>7</v>
      </c>
      <c r="FY689" s="27" t="s">
        <v>8</v>
      </c>
    </row>
    <row r="690" spans="1:181" x14ac:dyDescent="0.25">
      <c r="A690" s="7">
        <v>0.13007154789423539</v>
      </c>
      <c r="B690"/>
      <c r="C690"/>
      <c r="D690"/>
      <c r="E690"/>
      <c r="F690" s="27" t="s">
        <v>7</v>
      </c>
      <c r="FI690" s="27" t="s">
        <v>8</v>
      </c>
      <c r="FJ690" s="27" t="s">
        <v>7</v>
      </c>
      <c r="FK690" s="27" t="s">
        <v>8</v>
      </c>
      <c r="FL690" s="27" t="s">
        <v>7</v>
      </c>
      <c r="FM690" s="27" t="s">
        <v>8</v>
      </c>
      <c r="FN690" s="27" t="s">
        <v>7</v>
      </c>
      <c r="FO690" s="27" t="s">
        <v>8</v>
      </c>
      <c r="FR690" s="27" t="s">
        <v>7</v>
      </c>
      <c r="FS690" s="27" t="s">
        <v>8</v>
      </c>
      <c r="FT690" s="27" t="s">
        <v>7</v>
      </c>
      <c r="FY690" s="27" t="s">
        <v>8</v>
      </c>
    </row>
    <row r="691" spans="1:181" x14ac:dyDescent="0.25">
      <c r="A691" s="7">
        <v>0.12752112538650529</v>
      </c>
      <c r="B691"/>
      <c r="C691"/>
      <c r="D691"/>
      <c r="E691"/>
      <c r="F691" s="27" t="s">
        <v>7</v>
      </c>
      <c r="FI691" s="27" t="s">
        <v>8</v>
      </c>
      <c r="FJ691" s="27" t="s">
        <v>7</v>
      </c>
      <c r="FL691" s="27" t="s">
        <v>7</v>
      </c>
      <c r="FM691" s="27" t="s">
        <v>8</v>
      </c>
      <c r="FN691" s="27" t="s">
        <v>7</v>
      </c>
      <c r="FR691" s="27" t="s">
        <v>7</v>
      </c>
      <c r="FS691" s="27" t="s">
        <v>8</v>
      </c>
      <c r="FT691" s="27" t="s">
        <v>7</v>
      </c>
      <c r="FY691" s="27" t="s">
        <v>8</v>
      </c>
    </row>
    <row r="692" spans="1:181" x14ac:dyDescent="0.25">
      <c r="A692" s="7">
        <v>0.12502071116324048</v>
      </c>
      <c r="B692"/>
      <c r="C692"/>
      <c r="D692"/>
      <c r="E692"/>
      <c r="F692" s="27" t="s">
        <v>7</v>
      </c>
      <c r="FI692" s="27" t="s">
        <v>8</v>
      </c>
      <c r="FL692" s="27" t="s">
        <v>7</v>
      </c>
      <c r="FM692" s="27" t="s">
        <v>8</v>
      </c>
      <c r="FR692" s="27" t="s">
        <v>7</v>
      </c>
      <c r="FS692" s="27" t="s">
        <v>8</v>
      </c>
      <c r="FT692" s="27" t="s">
        <v>7</v>
      </c>
      <c r="FW692" s="27" t="s">
        <v>8</v>
      </c>
      <c r="FY692" s="27" t="s">
        <v>8</v>
      </c>
    </row>
    <row r="693" spans="1:181" x14ac:dyDescent="0.25">
      <c r="A693" s="7">
        <v>0.1225693246698436</v>
      </c>
      <c r="B693"/>
      <c r="C693"/>
      <c r="D693"/>
      <c r="E693"/>
      <c r="F693" s="27" t="s">
        <v>7</v>
      </c>
      <c r="EW693" s="27" t="s">
        <v>8</v>
      </c>
      <c r="FI693" s="27" t="s">
        <v>8</v>
      </c>
      <c r="FL693" s="27" t="s">
        <v>7</v>
      </c>
      <c r="FM693" s="27" t="s">
        <v>8</v>
      </c>
      <c r="FR693" s="27" t="s">
        <v>7</v>
      </c>
      <c r="FS693" s="27" t="s">
        <v>8</v>
      </c>
      <c r="FT693" s="27" t="s">
        <v>7</v>
      </c>
      <c r="FU693" s="27" t="s">
        <v>8</v>
      </c>
      <c r="FW693" s="27" t="s">
        <v>8</v>
      </c>
      <c r="FX693" s="27" t="s">
        <v>7</v>
      </c>
      <c r="FY693" s="27" t="s">
        <v>8</v>
      </c>
    </row>
    <row r="694" spans="1:181" x14ac:dyDescent="0.25">
      <c r="A694" s="7">
        <v>0.12016600457827803</v>
      </c>
      <c r="B694"/>
      <c r="C694"/>
      <c r="D694"/>
      <c r="E694"/>
      <c r="F694" s="27" t="s">
        <v>7</v>
      </c>
      <c r="EW694" s="27" t="s">
        <v>8</v>
      </c>
      <c r="EX694" s="27" t="s">
        <v>7</v>
      </c>
      <c r="FI694" s="27" t="s">
        <v>8</v>
      </c>
      <c r="FL694" s="27" t="s">
        <v>7</v>
      </c>
      <c r="FM694" s="27" t="s">
        <v>8</v>
      </c>
      <c r="FR694" s="27" t="s">
        <v>7</v>
      </c>
      <c r="FS694" s="27" t="s">
        <v>8</v>
      </c>
      <c r="FT694" s="27" t="s">
        <v>7</v>
      </c>
      <c r="FU694" s="27" t="s">
        <v>8</v>
      </c>
      <c r="FV694" s="27" t="s">
        <v>7</v>
      </c>
      <c r="FW694" s="27" t="s">
        <v>8</v>
      </c>
      <c r="FX694" s="27" t="s">
        <v>7</v>
      </c>
      <c r="FY694" s="27" t="s">
        <v>8</v>
      </c>
    </row>
    <row r="695" spans="1:181" x14ac:dyDescent="0.25">
      <c r="A695" s="7">
        <v>0.1178098084100765</v>
      </c>
      <c r="B695"/>
      <c r="C695"/>
      <c r="D695"/>
      <c r="E695"/>
      <c r="F695" s="27" t="s">
        <v>7</v>
      </c>
      <c r="EW695" s="27" t="s">
        <v>8</v>
      </c>
      <c r="EX695" s="27" t="s">
        <v>7</v>
      </c>
      <c r="FI695" s="27" t="s">
        <v>8</v>
      </c>
      <c r="FL695" s="27" t="s">
        <v>7</v>
      </c>
      <c r="FM695" s="27" t="s">
        <v>8</v>
      </c>
      <c r="FR695" s="27" t="s">
        <v>7</v>
      </c>
      <c r="FS695" s="27" t="s">
        <v>8</v>
      </c>
      <c r="FT695" s="27" t="s">
        <v>7</v>
      </c>
      <c r="FU695" s="27" t="s">
        <v>8</v>
      </c>
      <c r="FV695" s="27" t="s">
        <v>7</v>
      </c>
      <c r="FW695" s="27" t="s">
        <v>8</v>
      </c>
      <c r="FX695" s="27" t="s">
        <v>7</v>
      </c>
    </row>
    <row r="696" spans="1:181" x14ac:dyDescent="0.25">
      <c r="A696" s="7">
        <v>0.11549981216674166</v>
      </c>
      <c r="B696"/>
      <c r="C696"/>
      <c r="D696"/>
      <c r="E696"/>
      <c r="F696" s="27" t="s">
        <v>7</v>
      </c>
      <c r="EW696" s="27" t="s">
        <v>8</v>
      </c>
      <c r="EX696" s="27" t="s">
        <v>7</v>
      </c>
      <c r="FI696" s="27" t="s">
        <v>8</v>
      </c>
      <c r="FL696" s="27" t="s">
        <v>7</v>
      </c>
      <c r="FM696" s="27" t="s">
        <v>8</v>
      </c>
      <c r="FR696" s="27" t="s">
        <v>7</v>
      </c>
      <c r="FS696" s="27" t="s">
        <v>8</v>
      </c>
      <c r="FT696" s="27" t="s">
        <v>7</v>
      </c>
      <c r="FU696" s="27" t="s">
        <v>8</v>
      </c>
      <c r="FV696" s="27" t="s">
        <v>7</v>
      </c>
      <c r="FW696" s="27" t="s">
        <v>8</v>
      </c>
    </row>
    <row r="697" spans="1:181" x14ac:dyDescent="0.25">
      <c r="A697" s="7">
        <v>0.11323510996739378</v>
      </c>
      <c r="B697"/>
      <c r="C697"/>
      <c r="D697"/>
      <c r="E697"/>
      <c r="F697" s="27" t="s">
        <v>7</v>
      </c>
      <c r="EW697" s="27" t="s">
        <v>8</v>
      </c>
      <c r="EX697" s="27" t="s">
        <v>7</v>
      </c>
      <c r="FG697" s="27" t="s">
        <v>8</v>
      </c>
      <c r="FI697" s="27" t="s">
        <v>8</v>
      </c>
      <c r="FL697" s="27" t="s">
        <v>7</v>
      </c>
      <c r="FM697" s="27" t="s">
        <v>8</v>
      </c>
      <c r="FR697" s="27" t="s">
        <v>7</v>
      </c>
      <c r="FS697" s="27" t="s">
        <v>8</v>
      </c>
      <c r="FT697" s="27" t="s">
        <v>7</v>
      </c>
      <c r="FU697" s="27" t="s">
        <v>8</v>
      </c>
      <c r="FV697" s="27" t="s">
        <v>7</v>
      </c>
      <c r="FW697" s="27" t="s">
        <v>8</v>
      </c>
    </row>
    <row r="698" spans="1:181" x14ac:dyDescent="0.25">
      <c r="A698" s="7">
        <v>0.11101481369352331</v>
      </c>
      <c r="B698"/>
      <c r="C698"/>
      <c r="D698"/>
      <c r="E698"/>
      <c r="F698" s="27" t="s">
        <v>7</v>
      </c>
      <c r="EW698" s="27" t="s">
        <v>8</v>
      </c>
      <c r="EX698" s="27" t="s">
        <v>7</v>
      </c>
      <c r="FG698" s="27" t="s">
        <v>8</v>
      </c>
      <c r="FH698" s="27" t="s">
        <v>7</v>
      </c>
      <c r="FI698" s="27" t="s">
        <v>8</v>
      </c>
      <c r="FL698" s="27" t="s">
        <v>7</v>
      </c>
      <c r="FR698" s="27" t="s">
        <v>7</v>
      </c>
      <c r="FS698" s="27" t="s">
        <v>8</v>
      </c>
      <c r="FT698" s="27" t="s">
        <v>7</v>
      </c>
      <c r="FV698" s="27" t="s">
        <v>7</v>
      </c>
      <c r="FW698" s="27" t="s">
        <v>8</v>
      </c>
    </row>
    <row r="699" spans="1:181" x14ac:dyDescent="0.25">
      <c r="A699" s="7">
        <v>0.10883805264070913</v>
      </c>
      <c r="B699"/>
      <c r="C699"/>
      <c r="D699"/>
      <c r="E699"/>
      <c r="F699" s="27" t="s">
        <v>7</v>
      </c>
      <c r="EW699" s="27" t="s">
        <v>8</v>
      </c>
      <c r="EX699" s="27" t="s">
        <v>7</v>
      </c>
      <c r="FG699" s="27" t="s">
        <v>8</v>
      </c>
      <c r="FH699" s="27" t="s">
        <v>7</v>
      </c>
      <c r="FI699" s="27" t="s">
        <v>8</v>
      </c>
      <c r="FR699" s="27" t="s">
        <v>7</v>
      </c>
      <c r="FS699" s="27" t="s">
        <v>8</v>
      </c>
      <c r="FV699" s="27" t="s">
        <v>7</v>
      </c>
      <c r="FW699" s="27" t="s">
        <v>8</v>
      </c>
    </row>
    <row r="700" spans="1:181" x14ac:dyDescent="0.25">
      <c r="A700" s="7">
        <v>0.10670397317716582</v>
      </c>
      <c r="B700"/>
      <c r="C700"/>
      <c r="D700"/>
      <c r="E700"/>
      <c r="F700" s="27" t="s">
        <v>7</v>
      </c>
      <c r="EW700" s="27" t="s">
        <v>8</v>
      </c>
      <c r="EX700" s="27" t="s">
        <v>7</v>
      </c>
      <c r="FG700" s="27" t="s">
        <v>8</v>
      </c>
      <c r="FH700" s="27" t="s">
        <v>7</v>
      </c>
      <c r="FI700" s="27" t="s">
        <v>8</v>
      </c>
      <c r="FR700" s="27" t="s">
        <v>7</v>
      </c>
      <c r="FS700" s="27" t="s">
        <v>8</v>
      </c>
      <c r="FV700" s="27" t="s">
        <v>7</v>
      </c>
      <c r="FW700" s="27" t="s">
        <v>8</v>
      </c>
    </row>
    <row r="701" spans="1:181" x14ac:dyDescent="0.25">
      <c r="A701" s="7">
        <v>0.1046117384089861</v>
      </c>
      <c r="B701"/>
      <c r="C701"/>
      <c r="D701"/>
      <c r="E701"/>
      <c r="F701" s="27" t="s">
        <v>7</v>
      </c>
      <c r="EW701" s="27" t="s">
        <v>8</v>
      </c>
      <c r="EX701" s="27" t="s">
        <v>7</v>
      </c>
      <c r="FG701" s="27" t="s">
        <v>8</v>
      </c>
      <c r="FH701" s="27" t="s">
        <v>7</v>
      </c>
      <c r="FI701" s="27" t="s">
        <v>8</v>
      </c>
      <c r="FR701" s="27" t="s">
        <v>7</v>
      </c>
      <c r="FS701" s="27" t="s">
        <v>8</v>
      </c>
      <c r="FV701" s="27" t="s">
        <v>7</v>
      </c>
    </row>
    <row r="702" spans="1:181" x14ac:dyDescent="0.25">
      <c r="A702" s="7">
        <v>0.10256052785194716</v>
      </c>
      <c r="B702"/>
      <c r="C702"/>
      <c r="D702"/>
      <c r="E702"/>
      <c r="F702" s="27" t="s">
        <v>7</v>
      </c>
      <c r="EW702" s="27" t="s">
        <v>8</v>
      </c>
      <c r="EX702" s="27" t="s">
        <v>7</v>
      </c>
      <c r="FG702" s="27" t="s">
        <v>8</v>
      </c>
      <c r="FH702" s="27" t="s">
        <v>7</v>
      </c>
      <c r="FI702" s="27" t="s">
        <v>8</v>
      </c>
      <c r="FR702" s="27" t="s">
        <v>7</v>
      </c>
      <c r="FS702" s="27" t="s">
        <v>8</v>
      </c>
    </row>
    <row r="703" spans="1:181" x14ac:dyDescent="0.25">
      <c r="A703" s="7">
        <v>0.10054953710975212</v>
      </c>
      <c r="B703"/>
      <c r="C703"/>
      <c r="D703"/>
      <c r="E703"/>
      <c r="F703" s="27" t="s">
        <v>7</v>
      </c>
      <c r="EW703" s="27" t="s">
        <v>8</v>
      </c>
      <c r="EX703" s="27" t="s">
        <v>7</v>
      </c>
      <c r="EY703" s="27" t="s">
        <v>8</v>
      </c>
      <c r="FG703" s="27" t="s">
        <v>8</v>
      </c>
      <c r="FH703" s="27" t="s">
        <v>7</v>
      </c>
      <c r="FI703" s="27" t="s">
        <v>8</v>
      </c>
      <c r="FR703" s="27" t="s">
        <v>7</v>
      </c>
      <c r="FS703" s="27" t="s">
        <v>8</v>
      </c>
    </row>
    <row r="704" spans="1:181" x14ac:dyDescent="0.25">
      <c r="A704" s="7">
        <v>9.8577977558580512E-2</v>
      </c>
      <c r="B704"/>
      <c r="C704"/>
      <c r="D704"/>
      <c r="E704"/>
      <c r="F704" s="27" t="s">
        <v>7</v>
      </c>
      <c r="EW704" s="27" t="s">
        <v>8</v>
      </c>
      <c r="EX704" s="27" t="s">
        <v>7</v>
      </c>
      <c r="EY704" s="27" t="s">
        <v>8</v>
      </c>
      <c r="EZ704" s="27" t="s">
        <v>7</v>
      </c>
      <c r="FE704" s="27" t="s">
        <v>8</v>
      </c>
      <c r="FG704" s="27" t="s">
        <v>8</v>
      </c>
      <c r="FH704" s="27" t="s">
        <v>7</v>
      </c>
      <c r="FI704" s="27" t="s">
        <v>8</v>
      </c>
      <c r="FR704" s="27" t="s">
        <v>7</v>
      </c>
      <c r="FS704" s="27" t="s">
        <v>8</v>
      </c>
    </row>
    <row r="705" spans="1:175" x14ac:dyDescent="0.25">
      <c r="A705" s="7">
        <v>9.6645076037824032E-2</v>
      </c>
      <c r="B705"/>
      <c r="C705"/>
      <c r="D705"/>
      <c r="E705"/>
      <c r="F705" s="27" t="s">
        <v>7</v>
      </c>
      <c r="EW705" s="27" t="s">
        <v>8</v>
      </c>
      <c r="EX705" s="27" t="s">
        <v>7</v>
      </c>
      <c r="EY705" s="27" t="s">
        <v>8</v>
      </c>
      <c r="EZ705" s="27" t="s">
        <v>7</v>
      </c>
      <c r="FA705" s="27" t="s">
        <v>8</v>
      </c>
      <c r="FE705" s="27" t="s">
        <v>8</v>
      </c>
      <c r="FF705" s="27" t="s">
        <v>7</v>
      </c>
      <c r="FG705" s="27" t="s">
        <v>8</v>
      </c>
      <c r="FH705" s="27" t="s">
        <v>7</v>
      </c>
      <c r="FI705" s="27" t="s">
        <v>8</v>
      </c>
      <c r="FR705" s="27" t="s">
        <v>7</v>
      </c>
      <c r="FS705" s="27" t="s">
        <v>8</v>
      </c>
    </row>
    <row r="706" spans="1:175" x14ac:dyDescent="0.25">
      <c r="A706" s="7">
        <v>9.4750074546886304E-2</v>
      </c>
      <c r="B706"/>
      <c r="C706"/>
      <c r="D706"/>
      <c r="E706"/>
      <c r="F706" s="27" t="s">
        <v>7</v>
      </c>
      <c r="EW706" s="27" t="s">
        <v>8</v>
      </c>
      <c r="EX706" s="27" t="s">
        <v>7</v>
      </c>
      <c r="EY706" s="27" t="s">
        <v>8</v>
      </c>
      <c r="EZ706" s="27" t="s">
        <v>7</v>
      </c>
      <c r="FA706" s="27" t="s">
        <v>8</v>
      </c>
      <c r="FB706" s="27" t="s">
        <v>7</v>
      </c>
      <c r="FC706" s="27" t="s">
        <v>8</v>
      </c>
      <c r="FE706" s="27" t="s">
        <v>8</v>
      </c>
      <c r="FF706" s="27" t="s">
        <v>7</v>
      </c>
      <c r="FG706" s="27" t="s">
        <v>8</v>
      </c>
      <c r="FH706" s="27" t="s">
        <v>7</v>
      </c>
      <c r="FI706" s="27" t="s">
        <v>8</v>
      </c>
      <c r="FR706" s="27" t="s">
        <v>7</v>
      </c>
      <c r="FS706" s="27" t="s">
        <v>8</v>
      </c>
    </row>
    <row r="707" spans="1:175" x14ac:dyDescent="0.25">
      <c r="A707" s="7">
        <v>9.2892229947927743E-2</v>
      </c>
      <c r="B707"/>
      <c r="C707"/>
      <c r="D707"/>
      <c r="E707"/>
      <c r="F707" s="27" t="s">
        <v>7</v>
      </c>
      <c r="EW707" s="27" t="s">
        <v>8</v>
      </c>
      <c r="EX707" s="27" t="s">
        <v>7</v>
      </c>
      <c r="EY707" s="27" t="s">
        <v>8</v>
      </c>
      <c r="EZ707" s="27" t="s">
        <v>7</v>
      </c>
      <c r="FA707" s="27" t="s">
        <v>8</v>
      </c>
      <c r="FB707" s="27" t="s">
        <v>7</v>
      </c>
      <c r="FC707" s="27" t="s">
        <v>8</v>
      </c>
      <c r="FD707" s="27" t="s">
        <v>7</v>
      </c>
      <c r="FE707" s="27" t="s">
        <v>8</v>
      </c>
      <c r="FF707" s="27" t="s">
        <v>7</v>
      </c>
      <c r="FG707" s="27" t="s">
        <v>8</v>
      </c>
      <c r="FH707" s="27" t="s">
        <v>7</v>
      </c>
      <c r="FI707" s="27" t="s">
        <v>8</v>
      </c>
      <c r="FR707" s="27" t="s">
        <v>7</v>
      </c>
      <c r="FS707" s="27" t="s">
        <v>8</v>
      </c>
    </row>
    <row r="708" spans="1:175" x14ac:dyDescent="0.25">
      <c r="A708" s="7">
        <v>9.1070813674438963E-2</v>
      </c>
      <c r="B708"/>
      <c r="C708"/>
      <c r="D708"/>
      <c r="E708"/>
      <c r="F708" s="27" t="s">
        <v>7</v>
      </c>
      <c r="EW708" s="27" t="s">
        <v>8</v>
      </c>
      <c r="EX708" s="27" t="s">
        <v>7</v>
      </c>
      <c r="EY708" s="27" t="s">
        <v>8</v>
      </c>
      <c r="EZ708" s="27" t="s">
        <v>7</v>
      </c>
      <c r="FB708" s="27" t="s">
        <v>7</v>
      </c>
      <c r="FC708" s="27" t="s">
        <v>8</v>
      </c>
      <c r="FD708" s="27" t="s">
        <v>7</v>
      </c>
      <c r="FE708" s="27" t="s">
        <v>8</v>
      </c>
      <c r="FF708" s="27" t="s">
        <v>7</v>
      </c>
      <c r="FG708" s="27" t="s">
        <v>8</v>
      </c>
      <c r="FH708" s="27" t="s">
        <v>7</v>
      </c>
      <c r="FR708" s="27" t="s">
        <v>7</v>
      </c>
    </row>
    <row r="709" spans="1:175" x14ac:dyDescent="0.25">
      <c r="A709" s="7">
        <v>8.9285111445528392E-2</v>
      </c>
      <c r="B709"/>
      <c r="C709"/>
      <c r="D709"/>
      <c r="E709"/>
      <c r="F709" s="27" t="s">
        <v>7</v>
      </c>
      <c r="EW709" s="27" t="s">
        <v>8</v>
      </c>
      <c r="EX709" s="27" t="s">
        <v>7</v>
      </c>
      <c r="EY709" s="27" t="s">
        <v>8</v>
      </c>
      <c r="FB709" s="27" t="s">
        <v>7</v>
      </c>
      <c r="FC709" s="27" t="s">
        <v>8</v>
      </c>
      <c r="FD709" s="27" t="s">
        <v>7</v>
      </c>
      <c r="FE709" s="27" t="s">
        <v>8</v>
      </c>
      <c r="FF709" s="27" t="s">
        <v>7</v>
      </c>
      <c r="FG709" s="27" t="s">
        <v>8</v>
      </c>
    </row>
    <row r="710" spans="1:175" x14ac:dyDescent="0.25">
      <c r="A710" s="7">
        <v>8.7534422985812155E-2</v>
      </c>
      <c r="B710"/>
      <c r="C710"/>
      <c r="D710"/>
      <c r="E710"/>
      <c r="F710" s="27" t="s">
        <v>7</v>
      </c>
      <c r="EW710" s="27" t="s">
        <v>8</v>
      </c>
      <c r="EX710" s="27" t="s">
        <v>7</v>
      </c>
      <c r="EY710" s="27" t="s">
        <v>8</v>
      </c>
      <c r="FB710" s="27" t="s">
        <v>7</v>
      </c>
      <c r="FC710" s="27" t="s">
        <v>8</v>
      </c>
      <c r="FD710" s="27" t="s">
        <v>7</v>
      </c>
      <c r="FE710" s="27" t="s">
        <v>8</v>
      </c>
      <c r="FF710" s="27" t="s">
        <v>7</v>
      </c>
    </row>
    <row r="711" spans="1:175" x14ac:dyDescent="0.25">
      <c r="A711" s="7">
        <v>8.5818061750796232E-2</v>
      </c>
      <c r="B711"/>
      <c r="C711"/>
      <c r="D711"/>
      <c r="E711"/>
      <c r="F711" s="27" t="s">
        <v>7</v>
      </c>
      <c r="EW711" s="27" t="s">
        <v>8</v>
      </c>
      <c r="EX711" s="27" t="s">
        <v>7</v>
      </c>
      <c r="EY711" s="27" t="s">
        <v>8</v>
      </c>
      <c r="FB711" s="27" t="s">
        <v>7</v>
      </c>
      <c r="FC711" s="27" t="s">
        <v>8</v>
      </c>
      <c r="FD711" s="27" t="s">
        <v>7</v>
      </c>
      <c r="FE711" s="27" t="s">
        <v>8</v>
      </c>
    </row>
    <row r="712" spans="1:175" x14ac:dyDescent="0.25">
      <c r="A712" s="7">
        <v>8.4135354657643366E-2</v>
      </c>
      <c r="B712"/>
      <c r="C712"/>
      <c r="D712"/>
      <c r="E712"/>
      <c r="F712" s="27" t="s">
        <v>7</v>
      </c>
      <c r="EW712" s="27" t="s">
        <v>8</v>
      </c>
      <c r="EX712" s="27" t="s">
        <v>7</v>
      </c>
      <c r="EY712" s="27" t="s">
        <v>8</v>
      </c>
      <c r="FB712" s="27" t="s">
        <v>7</v>
      </c>
      <c r="FC712" s="27" t="s">
        <v>8</v>
      </c>
      <c r="FD712" s="27" t="s">
        <v>7</v>
      </c>
      <c r="FE712" s="27" t="s">
        <v>8</v>
      </c>
    </row>
    <row r="713" spans="1:175" x14ac:dyDescent="0.25">
      <c r="A713" s="7">
        <v>8.248564182121898E-2</v>
      </c>
      <c r="B713"/>
      <c r="C713"/>
      <c r="D713"/>
      <c r="E713"/>
      <c r="F713" s="27" t="s">
        <v>7</v>
      </c>
      <c r="U713" s="27" t="s">
        <v>8</v>
      </c>
      <c r="EW713" s="27" t="s">
        <v>8</v>
      </c>
      <c r="EX713" s="27" t="s">
        <v>7</v>
      </c>
      <c r="EY713" s="27" t="s">
        <v>8</v>
      </c>
      <c r="FB713" s="27" t="s">
        <v>7</v>
      </c>
      <c r="FC713" s="27" t="s">
        <v>8</v>
      </c>
      <c r="FD713" s="27" t="s">
        <v>7</v>
      </c>
      <c r="FE713" s="27" t="s">
        <v>8</v>
      </c>
    </row>
    <row r="714" spans="1:175" x14ac:dyDescent="0.25">
      <c r="A714" s="7">
        <v>8.0868276295312735E-2</v>
      </c>
      <c r="B714"/>
      <c r="C714"/>
      <c r="D714"/>
      <c r="E714"/>
      <c r="F714" s="27" t="s">
        <v>7</v>
      </c>
      <c r="U714" s="27" t="s">
        <v>8</v>
      </c>
      <c r="V714" s="27" t="s">
        <v>7</v>
      </c>
      <c r="EW714" s="27" t="s">
        <v>8</v>
      </c>
      <c r="EX714" s="27" t="s">
        <v>7</v>
      </c>
      <c r="EY714" s="27" t="s">
        <v>8</v>
      </c>
      <c r="FB714" s="27" t="s">
        <v>7</v>
      </c>
      <c r="FC714" s="27" t="s">
        <v>8</v>
      </c>
      <c r="FD714" s="27" t="s">
        <v>7</v>
      </c>
      <c r="FE714" s="27" t="s">
        <v>8</v>
      </c>
    </row>
    <row r="715" spans="1:175" x14ac:dyDescent="0.25">
      <c r="A715" s="7">
        <v>7.9282623818934056E-2</v>
      </c>
      <c r="B715"/>
      <c r="C715"/>
      <c r="D715"/>
      <c r="E715"/>
      <c r="F715" s="27" t="s">
        <v>7</v>
      </c>
      <c r="U715" s="27" t="s">
        <v>8</v>
      </c>
      <c r="V715" s="27" t="s">
        <v>7</v>
      </c>
      <c r="EW715" s="27" t="s">
        <v>8</v>
      </c>
      <c r="EX715" s="27" t="s">
        <v>7</v>
      </c>
      <c r="EY715" s="27" t="s">
        <v>8</v>
      </c>
      <c r="FB715" s="27" t="s">
        <v>7</v>
      </c>
      <c r="FC715" s="27" t="s">
        <v>8</v>
      </c>
      <c r="FD715" s="27" t="s">
        <v>7</v>
      </c>
      <c r="FE715" s="27" t="s">
        <v>8</v>
      </c>
    </row>
    <row r="716" spans="1:175" x14ac:dyDescent="0.25">
      <c r="A716" s="7">
        <v>7.7728062567582412E-2</v>
      </c>
      <c r="B716"/>
      <c r="C716"/>
      <c r="D716"/>
      <c r="E716"/>
      <c r="F716" s="27" t="s">
        <v>7</v>
      </c>
      <c r="U716" s="27" t="s">
        <v>8</v>
      </c>
      <c r="V716" s="27" t="s">
        <v>7</v>
      </c>
      <c r="EW716" s="27" t="s">
        <v>8</v>
      </c>
      <c r="EX716" s="27" t="s">
        <v>7</v>
      </c>
      <c r="FB716" s="27" t="s">
        <v>7</v>
      </c>
      <c r="FC716" s="27" t="s">
        <v>8</v>
      </c>
      <c r="FD716" s="27" t="s">
        <v>7</v>
      </c>
    </row>
    <row r="717" spans="1:175" x14ac:dyDescent="0.25">
      <c r="A717" s="7">
        <v>7.6203982909394521E-2</v>
      </c>
      <c r="B717"/>
      <c r="C717"/>
      <c r="D717"/>
      <c r="E717"/>
      <c r="F717" s="27" t="s">
        <v>7</v>
      </c>
      <c r="U717" s="27" t="s">
        <v>8</v>
      </c>
      <c r="V717" s="27" t="s">
        <v>7</v>
      </c>
      <c r="EW717" s="27" t="s">
        <v>8</v>
      </c>
      <c r="FB717" s="27" t="s">
        <v>7</v>
      </c>
    </row>
    <row r="718" spans="1:175" x14ac:dyDescent="0.25">
      <c r="A718" s="7">
        <v>7.4709787166073058E-2</v>
      </c>
      <c r="B718"/>
      <c r="C718"/>
      <c r="D718"/>
      <c r="E718"/>
      <c r="F718" s="27" t="s">
        <v>7</v>
      </c>
      <c r="U718" s="27" t="s">
        <v>8</v>
      </c>
      <c r="V718" s="27" t="s">
        <v>7</v>
      </c>
      <c r="EW718" s="27" t="s">
        <v>8</v>
      </c>
    </row>
    <row r="719" spans="1:175" x14ac:dyDescent="0.25">
      <c r="A719" s="7">
        <v>7.3244889378503E-2</v>
      </c>
      <c r="B719"/>
      <c r="C719"/>
      <c r="D719"/>
      <c r="E719"/>
      <c r="F719" s="27" t="s">
        <v>7</v>
      </c>
      <c r="U719" s="27" t="s">
        <v>8</v>
      </c>
      <c r="V719" s="27" t="s">
        <v>7</v>
      </c>
      <c r="EW719" s="27" t="s">
        <v>8</v>
      </c>
    </row>
    <row r="720" spans="1:175" x14ac:dyDescent="0.25">
      <c r="A720" s="7">
        <v>7.1808715076963722E-2</v>
      </c>
      <c r="B720"/>
      <c r="C720"/>
      <c r="D720"/>
      <c r="E720"/>
      <c r="F720" s="27" t="s">
        <v>7</v>
      </c>
      <c r="U720" s="27" t="s">
        <v>8</v>
      </c>
      <c r="V720" s="27" t="s">
        <v>7</v>
      </c>
      <c r="EW720" s="27" t="s">
        <v>8</v>
      </c>
    </row>
    <row r="721" spans="1:153" x14ac:dyDescent="0.25">
      <c r="A721" s="7">
        <v>7.0400701055846782E-2</v>
      </c>
      <c r="B721"/>
      <c r="C721"/>
      <c r="D721"/>
      <c r="E721"/>
      <c r="F721" s="27" t="s">
        <v>7</v>
      </c>
      <c r="U721" s="27" t="s">
        <v>8</v>
      </c>
      <c r="V721" s="27" t="s">
        <v>7</v>
      </c>
      <c r="EW721" s="27" t="s">
        <v>8</v>
      </c>
    </row>
    <row r="722" spans="1:153" x14ac:dyDescent="0.25">
      <c r="A722" s="7">
        <v>6.9020295152790956E-2</v>
      </c>
      <c r="B722"/>
      <c r="C722"/>
      <c r="D722"/>
      <c r="E722"/>
      <c r="F722" s="27" t="s">
        <v>7</v>
      </c>
      <c r="U722" s="27" t="s">
        <v>8</v>
      </c>
      <c r="V722" s="27" t="s">
        <v>7</v>
      </c>
      <c r="EW722" s="27" t="s">
        <v>8</v>
      </c>
    </row>
    <row r="723" spans="1:153" x14ac:dyDescent="0.25">
      <c r="A723" s="7">
        <v>6.7666956032147993E-2</v>
      </c>
      <c r="B723"/>
      <c r="C723"/>
      <c r="D723"/>
      <c r="E723"/>
      <c r="F723" s="27" t="s">
        <v>7</v>
      </c>
      <c r="U723" s="27" t="s">
        <v>8</v>
      </c>
      <c r="V723" s="27" t="s">
        <v>7</v>
      </c>
      <c r="EU723" s="27" t="s">
        <v>8</v>
      </c>
      <c r="EW723" s="27" t="s">
        <v>8</v>
      </c>
    </row>
    <row r="724" spans="1:153" x14ac:dyDescent="0.25">
      <c r="A724" s="7">
        <v>6.6340152972694105E-2</v>
      </c>
      <c r="B724"/>
      <c r="C724"/>
      <c r="D724"/>
      <c r="E724"/>
      <c r="F724" s="27" t="s">
        <v>7</v>
      </c>
      <c r="U724" s="27" t="s">
        <v>8</v>
      </c>
      <c r="V724" s="27" t="s">
        <v>7</v>
      </c>
      <c r="EQ724" s="27" t="s">
        <v>8</v>
      </c>
      <c r="EU724" s="27" t="s">
        <v>8</v>
      </c>
      <c r="EV724" s="27" t="s">
        <v>7</v>
      </c>
      <c r="EW724" s="27" t="s">
        <v>8</v>
      </c>
    </row>
    <row r="725" spans="1:153" x14ac:dyDescent="0.25">
      <c r="A725" s="7">
        <v>6.5039365659504023E-2</v>
      </c>
      <c r="B725"/>
      <c r="C725"/>
      <c r="D725"/>
      <c r="E725"/>
      <c r="F725" s="27" t="s">
        <v>7</v>
      </c>
      <c r="U725" s="27" t="s">
        <v>8</v>
      </c>
      <c r="V725" s="27" t="s">
        <v>7</v>
      </c>
      <c r="EQ725" s="27" t="s">
        <v>8</v>
      </c>
      <c r="ER725" s="27" t="s">
        <v>7</v>
      </c>
      <c r="EU725" s="27" t="s">
        <v>8</v>
      </c>
      <c r="EV725" s="27" t="s">
        <v>7</v>
      </c>
      <c r="EW725" s="27" t="s">
        <v>8</v>
      </c>
    </row>
    <row r="726" spans="1:153" x14ac:dyDescent="0.25">
      <c r="A726" s="7">
        <v>6.3764083979905906E-2</v>
      </c>
      <c r="B726"/>
      <c r="C726"/>
      <c r="D726"/>
      <c r="E726"/>
      <c r="F726" s="27" t="s">
        <v>7</v>
      </c>
      <c r="U726" s="27" t="s">
        <v>8</v>
      </c>
      <c r="V726" s="27" t="s">
        <v>7</v>
      </c>
      <c r="AE726" s="27" t="s">
        <v>8</v>
      </c>
      <c r="EQ726" s="27" t="s">
        <v>8</v>
      </c>
      <c r="ER726" s="27" t="s">
        <v>7</v>
      </c>
      <c r="EU726" s="27" t="s">
        <v>8</v>
      </c>
      <c r="EV726" s="27" t="s">
        <v>7</v>
      </c>
      <c r="EW726" s="27" t="s">
        <v>8</v>
      </c>
    </row>
    <row r="727" spans="1:153" x14ac:dyDescent="0.25">
      <c r="A727" s="7">
        <v>6.251380782343717E-2</v>
      </c>
      <c r="B727"/>
      <c r="C727"/>
      <c r="D727"/>
      <c r="E727"/>
      <c r="F727" s="27" t="s">
        <v>7</v>
      </c>
      <c r="U727" s="27" t="s">
        <v>8</v>
      </c>
      <c r="V727" s="27" t="s">
        <v>7</v>
      </c>
      <c r="AE727" s="27" t="s">
        <v>8</v>
      </c>
      <c r="AF727" s="27" t="s">
        <v>7</v>
      </c>
      <c r="EQ727" s="27" t="s">
        <v>8</v>
      </c>
      <c r="ER727" s="27" t="s">
        <v>7</v>
      </c>
      <c r="EU727" s="27" t="s">
        <v>8</v>
      </c>
      <c r="EV727" s="27" t="s">
        <v>7</v>
      </c>
      <c r="EW727" s="27" t="s">
        <v>8</v>
      </c>
    </row>
    <row r="728" spans="1:153" x14ac:dyDescent="0.25">
      <c r="A728" s="7">
        <v>6.1288046885722716E-2</v>
      </c>
      <c r="B728"/>
      <c r="C728"/>
      <c r="D728"/>
      <c r="E728"/>
      <c r="F728" s="27" t="s">
        <v>7</v>
      </c>
      <c r="U728" s="27" t="s">
        <v>8</v>
      </c>
      <c r="V728" s="27" t="s">
        <v>7</v>
      </c>
      <c r="AE728" s="27" t="s">
        <v>8</v>
      </c>
      <c r="AF728" s="27" t="s">
        <v>7</v>
      </c>
      <c r="CM728" s="27" t="s">
        <v>8</v>
      </c>
      <c r="EQ728" s="27" t="s">
        <v>8</v>
      </c>
      <c r="ER728" s="27" t="s">
        <v>7</v>
      </c>
      <c r="ES728" s="27" t="s">
        <v>8</v>
      </c>
      <c r="EU728" s="27" t="s">
        <v>8</v>
      </c>
      <c r="EV728" s="27" t="s">
        <v>7</v>
      </c>
      <c r="EW728" s="27" t="s">
        <v>8</v>
      </c>
    </row>
    <row r="729" spans="1:153" x14ac:dyDescent="0.25">
      <c r="A729" s="7">
        <v>6.0086320476198739E-2</v>
      </c>
      <c r="B729"/>
      <c r="C729"/>
      <c r="D729"/>
      <c r="E729"/>
      <c r="F729" s="27" t="s">
        <v>7</v>
      </c>
      <c r="U729" s="27" t="s">
        <v>8</v>
      </c>
      <c r="V729" s="27" t="s">
        <v>7</v>
      </c>
      <c r="W729" s="27" t="s">
        <v>8</v>
      </c>
      <c r="AE729" s="27" t="s">
        <v>8</v>
      </c>
      <c r="AF729" s="27" t="s">
        <v>7</v>
      </c>
      <c r="CM729" s="27" t="s">
        <v>8</v>
      </c>
      <c r="CN729" s="27" t="s">
        <v>7</v>
      </c>
      <c r="EQ729" s="27" t="s">
        <v>8</v>
      </c>
      <c r="ER729" s="27" t="s">
        <v>7</v>
      </c>
      <c r="ES729" s="27" t="s">
        <v>8</v>
      </c>
      <c r="ET729" s="27" t="s">
        <v>7</v>
      </c>
      <c r="EU729" s="27" t="s">
        <v>8</v>
      </c>
      <c r="EV729" s="27" t="s">
        <v>7</v>
      </c>
      <c r="EW729" s="27" t="s">
        <v>8</v>
      </c>
    </row>
    <row r="730" spans="1:153" x14ac:dyDescent="0.25">
      <c r="A730" s="7">
        <v>5.8908157329606609E-2</v>
      </c>
      <c r="B730"/>
      <c r="C730"/>
      <c r="D730"/>
      <c r="E730"/>
      <c r="F730" s="27" t="s">
        <v>7</v>
      </c>
      <c r="U730" s="27" t="s">
        <v>8</v>
      </c>
      <c r="V730" s="27" t="s">
        <v>7</v>
      </c>
      <c r="W730" s="27" t="s">
        <v>8</v>
      </c>
      <c r="X730" s="27" t="s">
        <v>7</v>
      </c>
      <c r="AE730" s="27" t="s">
        <v>8</v>
      </c>
      <c r="AF730" s="27" t="s">
        <v>7</v>
      </c>
      <c r="CI730" s="27" t="s">
        <v>8</v>
      </c>
      <c r="CM730" s="27" t="s">
        <v>8</v>
      </c>
      <c r="CN730" s="27" t="s">
        <v>7</v>
      </c>
      <c r="EQ730" s="27" t="s">
        <v>8</v>
      </c>
      <c r="ER730" s="27" t="s">
        <v>7</v>
      </c>
      <c r="ES730" s="27" t="s">
        <v>8</v>
      </c>
      <c r="ET730" s="27" t="s">
        <v>7</v>
      </c>
      <c r="EU730" s="27" t="s">
        <v>8</v>
      </c>
      <c r="EV730" s="27" t="s">
        <v>7</v>
      </c>
      <c r="EW730" s="27" t="s">
        <v>8</v>
      </c>
    </row>
    <row r="731" spans="1:153" x14ac:dyDescent="0.25">
      <c r="A731" s="7">
        <v>5.7753095421182947E-2</v>
      </c>
      <c r="B731"/>
      <c r="C731"/>
      <c r="D731"/>
      <c r="E731"/>
      <c r="F731" s="27" t="s">
        <v>7</v>
      </c>
      <c r="U731" s="27" t="s">
        <v>8</v>
      </c>
      <c r="V731" s="27" t="s">
        <v>7</v>
      </c>
      <c r="W731" s="27" t="s">
        <v>8</v>
      </c>
      <c r="X731" s="27" t="s">
        <v>7</v>
      </c>
      <c r="AE731" s="27" t="s">
        <v>8</v>
      </c>
      <c r="AF731" s="27" t="s">
        <v>7</v>
      </c>
      <c r="CI731" s="27" t="s">
        <v>8</v>
      </c>
      <c r="CJ731" s="27" t="s">
        <v>7</v>
      </c>
      <c r="CM731" s="27" t="s">
        <v>8</v>
      </c>
      <c r="CN731" s="27" t="s">
        <v>7</v>
      </c>
      <c r="EQ731" s="27" t="s">
        <v>8</v>
      </c>
      <c r="ER731" s="27" t="s">
        <v>7</v>
      </c>
      <c r="ES731" s="27" t="s">
        <v>8</v>
      </c>
      <c r="ET731" s="27" t="s">
        <v>7</v>
      </c>
      <c r="EU731" s="27" t="s">
        <v>8</v>
      </c>
      <c r="EV731" s="27" t="s">
        <v>7</v>
      </c>
    </row>
    <row r="732" spans="1:153" x14ac:dyDescent="0.25">
      <c r="A732" s="7">
        <v>5.6620681785473484E-2</v>
      </c>
      <c r="B732"/>
      <c r="C732"/>
      <c r="D732"/>
      <c r="E732"/>
      <c r="F732" s="27" t="s">
        <v>7</v>
      </c>
      <c r="U732" s="27" t="s">
        <v>8</v>
      </c>
      <c r="V732" s="27" t="s">
        <v>7</v>
      </c>
      <c r="W732" s="27" t="s">
        <v>8</v>
      </c>
      <c r="X732" s="27" t="s">
        <v>7</v>
      </c>
      <c r="AE732" s="27" t="s">
        <v>8</v>
      </c>
      <c r="AF732" s="27" t="s">
        <v>7</v>
      </c>
      <c r="CI732" s="27" t="s">
        <v>8</v>
      </c>
      <c r="CJ732" s="27" t="s">
        <v>7</v>
      </c>
      <c r="CM732" s="27" t="s">
        <v>8</v>
      </c>
      <c r="CN732" s="27" t="s">
        <v>7</v>
      </c>
      <c r="EQ732" s="27" t="s">
        <v>8</v>
      </c>
      <c r="ER732" s="27" t="s">
        <v>7</v>
      </c>
      <c r="ES732" s="27" t="s">
        <v>8</v>
      </c>
      <c r="ET732" s="27" t="s">
        <v>7</v>
      </c>
      <c r="EU732" s="27" t="s">
        <v>8</v>
      </c>
    </row>
    <row r="733" spans="1:153" x14ac:dyDescent="0.25">
      <c r="A733" s="7">
        <v>5.5510472338699497E-2</v>
      </c>
      <c r="B733"/>
      <c r="C733"/>
      <c r="D733"/>
      <c r="E733"/>
      <c r="F733" s="27" t="s">
        <v>7</v>
      </c>
      <c r="U733" s="27" t="s">
        <v>8</v>
      </c>
      <c r="V733" s="27" t="s">
        <v>7</v>
      </c>
      <c r="W733" s="27" t="s">
        <v>8</v>
      </c>
      <c r="X733" s="27" t="s">
        <v>7</v>
      </c>
      <c r="AE733" s="27" t="s">
        <v>8</v>
      </c>
      <c r="AF733" s="27" t="s">
        <v>7</v>
      </c>
      <c r="CI733" s="27" t="s">
        <v>8</v>
      </c>
      <c r="CJ733" s="27" t="s">
        <v>7</v>
      </c>
      <c r="CK733" s="27" t="s">
        <v>8</v>
      </c>
      <c r="CM733" s="27" t="s">
        <v>8</v>
      </c>
      <c r="CN733" s="27" t="s">
        <v>7</v>
      </c>
      <c r="EQ733" s="27" t="s">
        <v>8</v>
      </c>
      <c r="ER733" s="27" t="s">
        <v>7</v>
      </c>
      <c r="ES733" s="27" t="s">
        <v>8</v>
      </c>
      <c r="ET733" s="27" t="s">
        <v>7</v>
      </c>
      <c r="EU733" s="27" t="s">
        <v>8</v>
      </c>
    </row>
    <row r="734" spans="1:153" x14ac:dyDescent="0.25">
      <c r="A734" s="7">
        <v>5.4422031704607354E-2</v>
      </c>
      <c r="B734"/>
      <c r="C734"/>
      <c r="D734"/>
      <c r="E734"/>
      <c r="F734" s="27" t="s">
        <v>7</v>
      </c>
      <c r="U734" s="27" t="s">
        <v>8</v>
      </c>
      <c r="V734" s="27" t="s">
        <v>7</v>
      </c>
      <c r="W734" s="27" t="s">
        <v>8</v>
      </c>
      <c r="X734" s="27" t="s">
        <v>7</v>
      </c>
      <c r="AE734" s="27" t="s">
        <v>8</v>
      </c>
      <c r="AF734" s="27" t="s">
        <v>7</v>
      </c>
      <c r="CI734" s="27" t="s">
        <v>8</v>
      </c>
      <c r="CJ734" s="27" t="s">
        <v>7</v>
      </c>
      <c r="CK734" s="27" t="s">
        <v>8</v>
      </c>
      <c r="CL734" s="27" t="s">
        <v>7</v>
      </c>
      <c r="CM734" s="27" t="s">
        <v>8</v>
      </c>
      <c r="CN734" s="27" t="s">
        <v>7</v>
      </c>
      <c r="EQ734" s="27" t="s">
        <v>8</v>
      </c>
      <c r="ER734" s="27" t="s">
        <v>7</v>
      </c>
      <c r="ES734" s="27" t="s">
        <v>8</v>
      </c>
      <c r="ET734" s="27" t="s">
        <v>7</v>
      </c>
      <c r="EU734" s="27" t="s">
        <v>8</v>
      </c>
    </row>
    <row r="735" spans="1:153" x14ac:dyDescent="0.25">
      <c r="A735" s="7">
        <v>5.3354933043732705E-2</v>
      </c>
      <c r="B735"/>
      <c r="C735"/>
      <c r="D735"/>
      <c r="E735"/>
      <c r="F735" s="27" t="s">
        <v>7</v>
      </c>
      <c r="U735" s="27" t="s">
        <v>8</v>
      </c>
      <c r="V735" s="27" t="s">
        <v>7</v>
      </c>
      <c r="W735" s="27" t="s">
        <v>8</v>
      </c>
      <c r="X735" s="27" t="s">
        <v>7</v>
      </c>
      <c r="AE735" s="27" t="s">
        <v>8</v>
      </c>
      <c r="AF735" s="27" t="s">
        <v>7</v>
      </c>
      <c r="AG735" s="27" t="s">
        <v>8</v>
      </c>
      <c r="CI735" s="27" t="s">
        <v>8</v>
      </c>
      <c r="CJ735" s="27" t="s">
        <v>7</v>
      </c>
      <c r="CK735" s="27" t="s">
        <v>8</v>
      </c>
      <c r="CL735" s="27" t="s">
        <v>7</v>
      </c>
      <c r="CM735" s="27" t="s">
        <v>8</v>
      </c>
      <c r="CN735" s="27" t="s">
        <v>7</v>
      </c>
      <c r="EQ735" s="27" t="s">
        <v>8</v>
      </c>
      <c r="ER735" s="27" t="s">
        <v>7</v>
      </c>
      <c r="ES735" s="27" t="s">
        <v>8</v>
      </c>
      <c r="ET735" s="27" t="s">
        <v>7</v>
      </c>
      <c r="EU735" s="27" t="s">
        <v>8</v>
      </c>
    </row>
    <row r="736" spans="1:153" x14ac:dyDescent="0.25">
      <c r="A736" s="7">
        <v>5.2308757886012455E-2</v>
      </c>
      <c r="B736"/>
      <c r="C736"/>
      <c r="D736"/>
      <c r="E736"/>
      <c r="F736" s="27" t="s">
        <v>7</v>
      </c>
      <c r="U736" s="27" t="s">
        <v>8</v>
      </c>
      <c r="V736" s="27" t="s">
        <v>7</v>
      </c>
      <c r="W736" s="27" t="s">
        <v>8</v>
      </c>
      <c r="X736" s="27" t="s">
        <v>7</v>
      </c>
      <c r="AE736" s="27" t="s">
        <v>8</v>
      </c>
      <c r="AF736" s="27" t="s">
        <v>7</v>
      </c>
      <c r="AG736" s="27" t="s">
        <v>8</v>
      </c>
      <c r="AH736" s="27" t="s">
        <v>7</v>
      </c>
      <c r="CI736" s="27" t="s">
        <v>8</v>
      </c>
      <c r="CJ736" s="27" t="s">
        <v>7</v>
      </c>
      <c r="CK736" s="27" t="s">
        <v>8</v>
      </c>
      <c r="CL736" s="27" t="s">
        <v>7</v>
      </c>
      <c r="CM736" s="27" t="s">
        <v>8</v>
      </c>
      <c r="CN736" s="27" t="s">
        <v>7</v>
      </c>
      <c r="CO736" s="27" t="s">
        <v>8</v>
      </c>
      <c r="EQ736" s="27" t="s">
        <v>8</v>
      </c>
      <c r="ER736" s="27" t="s">
        <v>7</v>
      </c>
      <c r="ES736" s="27" t="s">
        <v>8</v>
      </c>
      <c r="ET736" s="27" t="s">
        <v>7</v>
      </c>
      <c r="EU736" s="27" t="s">
        <v>8</v>
      </c>
    </row>
    <row r="737" spans="1:151" x14ac:dyDescent="0.25">
      <c r="A737" s="7">
        <v>5.1283095966678877E-2</v>
      </c>
      <c r="B737"/>
      <c r="C737"/>
      <c r="D737"/>
      <c r="E737"/>
      <c r="F737" s="27" t="s">
        <v>7</v>
      </c>
      <c r="U737" s="27" t="s">
        <v>8</v>
      </c>
      <c r="V737" s="27" t="s">
        <v>7</v>
      </c>
      <c r="W737" s="27" t="s">
        <v>8</v>
      </c>
      <c r="X737" s="27" t="s">
        <v>7</v>
      </c>
      <c r="AE737" s="27" t="s">
        <v>8</v>
      </c>
      <c r="AF737" s="27" t="s">
        <v>7</v>
      </c>
      <c r="AG737" s="27" t="s">
        <v>8</v>
      </c>
      <c r="AH737" s="27" t="s">
        <v>7</v>
      </c>
      <c r="CI737" s="27" t="s">
        <v>8</v>
      </c>
      <c r="CJ737" s="27" t="s">
        <v>7</v>
      </c>
      <c r="CK737" s="27" t="s">
        <v>8</v>
      </c>
      <c r="CL737" s="27" t="s">
        <v>7</v>
      </c>
      <c r="CN737" s="27" t="s">
        <v>7</v>
      </c>
      <c r="CO737" s="27" t="s">
        <v>8</v>
      </c>
      <c r="CP737" s="27" t="s">
        <v>7</v>
      </c>
      <c r="EQ737" s="27" t="s">
        <v>8</v>
      </c>
      <c r="ER737" s="27" t="s">
        <v>7</v>
      </c>
      <c r="ES737" s="27" t="s">
        <v>8</v>
      </c>
      <c r="ET737" s="27" t="s">
        <v>7</v>
      </c>
      <c r="EU737" s="27" t="s">
        <v>8</v>
      </c>
    </row>
    <row r="738" spans="1:151" x14ac:dyDescent="0.25">
      <c r="A738" s="7">
        <v>5.0277545065371444E-2</v>
      </c>
      <c r="B738"/>
      <c r="C738"/>
      <c r="D738"/>
      <c r="E738"/>
      <c r="F738" s="27" t="s">
        <v>7</v>
      </c>
      <c r="U738" s="27" t="s">
        <v>8</v>
      </c>
      <c r="V738" s="27" t="s">
        <v>7</v>
      </c>
      <c r="W738" s="27" t="s">
        <v>8</v>
      </c>
      <c r="X738" s="27" t="s">
        <v>7</v>
      </c>
      <c r="AE738" s="27" t="s">
        <v>8</v>
      </c>
      <c r="AF738" s="27" t="s">
        <v>7</v>
      </c>
      <c r="AG738" s="27" t="s">
        <v>8</v>
      </c>
      <c r="AH738" s="27" t="s">
        <v>7</v>
      </c>
      <c r="BM738" s="27" t="s">
        <v>8</v>
      </c>
      <c r="CI738" s="27" t="s">
        <v>8</v>
      </c>
      <c r="CJ738" s="27" t="s">
        <v>7</v>
      </c>
      <c r="CK738" s="27" t="s">
        <v>8</v>
      </c>
      <c r="CN738" s="27" t="s">
        <v>7</v>
      </c>
      <c r="CO738" s="27" t="s">
        <v>8</v>
      </c>
      <c r="CP738" s="27" t="s">
        <v>7</v>
      </c>
      <c r="EQ738" s="27" t="s">
        <v>8</v>
      </c>
      <c r="ER738" s="27" t="s">
        <v>7</v>
      </c>
      <c r="ES738" s="27" t="s">
        <v>8</v>
      </c>
      <c r="ET738" s="27" t="s">
        <v>7</v>
      </c>
      <c r="EU738" s="27" t="s">
        <v>8</v>
      </c>
    </row>
    <row r="739" spans="1:151" x14ac:dyDescent="0.25">
      <c r="A739" s="7">
        <v>4.9291710848403378E-2</v>
      </c>
      <c r="B739"/>
      <c r="C739"/>
      <c r="D739"/>
      <c r="E739"/>
      <c r="F739" s="27" t="s">
        <v>7</v>
      </c>
      <c r="U739" s="27" t="s">
        <v>8</v>
      </c>
      <c r="V739" s="27" t="s">
        <v>7</v>
      </c>
      <c r="W739" s="27" t="s">
        <v>8</v>
      </c>
      <c r="X739" s="27" t="s">
        <v>7</v>
      </c>
      <c r="Y739" s="27" t="s">
        <v>8</v>
      </c>
      <c r="AE739" s="27" t="s">
        <v>8</v>
      </c>
      <c r="AF739" s="27" t="s">
        <v>7</v>
      </c>
      <c r="AG739" s="27" t="s">
        <v>8</v>
      </c>
      <c r="AH739" s="27" t="s">
        <v>7</v>
      </c>
      <c r="BM739" s="27" t="s">
        <v>8</v>
      </c>
      <c r="BN739" s="27" t="s">
        <v>7</v>
      </c>
      <c r="BU739" s="27" t="s">
        <v>8</v>
      </c>
      <c r="CI739" s="27" t="s">
        <v>8</v>
      </c>
      <c r="CJ739" s="27" t="s">
        <v>7</v>
      </c>
      <c r="CK739" s="27" t="s">
        <v>8</v>
      </c>
      <c r="CN739" s="27" t="s">
        <v>7</v>
      </c>
      <c r="CP739" s="27" t="s">
        <v>7</v>
      </c>
      <c r="EQ739" s="27" t="s">
        <v>8</v>
      </c>
      <c r="ER739" s="27" t="s">
        <v>7</v>
      </c>
      <c r="ES739" s="27" t="s">
        <v>8</v>
      </c>
      <c r="ET739" s="27" t="s">
        <v>7</v>
      </c>
    </row>
    <row r="740" spans="1:151" x14ac:dyDescent="0.25">
      <c r="A740" s="7">
        <v>4.8325206714120959E-2</v>
      </c>
      <c r="B740"/>
      <c r="C740"/>
      <c r="D740"/>
      <c r="E740"/>
      <c r="F740" s="27" t="s">
        <v>7</v>
      </c>
      <c r="U740" s="27" t="s">
        <v>8</v>
      </c>
      <c r="V740" s="27" t="s">
        <v>7</v>
      </c>
      <c r="W740" s="27" t="s">
        <v>8</v>
      </c>
      <c r="X740" s="27" t="s">
        <v>7</v>
      </c>
      <c r="Y740" s="27" t="s">
        <v>8</v>
      </c>
      <c r="Z740" s="27" t="s">
        <v>7</v>
      </c>
      <c r="AE740" s="27" t="s">
        <v>8</v>
      </c>
      <c r="AF740" s="27" t="s">
        <v>7</v>
      </c>
      <c r="AG740" s="27" t="s">
        <v>8</v>
      </c>
      <c r="AH740" s="27" t="s">
        <v>7</v>
      </c>
      <c r="BM740" s="27" t="s">
        <v>8</v>
      </c>
      <c r="BN740" s="27" t="s">
        <v>7</v>
      </c>
      <c r="BU740" s="27" t="s">
        <v>8</v>
      </c>
      <c r="BV740" s="27" t="s">
        <v>7</v>
      </c>
      <c r="CG740" s="27" t="s">
        <v>8</v>
      </c>
      <c r="CI740" s="27" t="s">
        <v>8</v>
      </c>
      <c r="CJ740" s="27" t="s">
        <v>7</v>
      </c>
      <c r="CK740" s="27" t="s">
        <v>8</v>
      </c>
      <c r="CP740" s="27" t="s">
        <v>7</v>
      </c>
      <c r="EQ740" s="27" t="s">
        <v>8</v>
      </c>
      <c r="ER740" s="27" t="s">
        <v>7</v>
      </c>
      <c r="ES740" s="27" t="s">
        <v>8</v>
      </c>
    </row>
    <row r="741" spans="1:151" x14ac:dyDescent="0.25">
      <c r="A741" s="7">
        <v>4.7377653641295057E-2</v>
      </c>
      <c r="B741"/>
      <c r="C741"/>
      <c r="D741"/>
      <c r="E741"/>
      <c r="F741" s="27" t="s">
        <v>7</v>
      </c>
      <c r="U741" s="27" t="s">
        <v>8</v>
      </c>
      <c r="V741" s="27" t="s">
        <v>7</v>
      </c>
      <c r="W741" s="27" t="s">
        <v>8</v>
      </c>
      <c r="X741" s="27" t="s">
        <v>7</v>
      </c>
      <c r="Y741" s="27" t="s">
        <v>8</v>
      </c>
      <c r="Z741" s="27" t="s">
        <v>7</v>
      </c>
      <c r="AE741" s="27" t="s">
        <v>8</v>
      </c>
      <c r="AF741" s="27" t="s">
        <v>7</v>
      </c>
      <c r="AG741" s="27" t="s">
        <v>8</v>
      </c>
      <c r="AH741" s="27" t="s">
        <v>7</v>
      </c>
      <c r="BC741" s="27" t="s">
        <v>8</v>
      </c>
      <c r="BM741" s="27" t="s">
        <v>8</v>
      </c>
      <c r="BN741" s="27" t="s">
        <v>7</v>
      </c>
      <c r="BU741" s="27" t="s">
        <v>8</v>
      </c>
      <c r="BV741" s="27" t="s">
        <v>7</v>
      </c>
      <c r="CG741" s="27" t="s">
        <v>8</v>
      </c>
      <c r="CH741" s="27" t="s">
        <v>7</v>
      </c>
      <c r="CI741" s="27" t="s">
        <v>8</v>
      </c>
      <c r="CJ741" s="27" t="s">
        <v>7</v>
      </c>
      <c r="CP741" s="27" t="s">
        <v>7</v>
      </c>
      <c r="CQ741" s="27" t="s">
        <v>8</v>
      </c>
      <c r="EQ741" s="27" t="s">
        <v>8</v>
      </c>
      <c r="ER741" s="27" t="s">
        <v>7</v>
      </c>
      <c r="ES741" s="27" t="s">
        <v>8</v>
      </c>
    </row>
    <row r="742" spans="1:151" x14ac:dyDescent="0.25">
      <c r="A742" s="7">
        <v>4.644868004048535E-2</v>
      </c>
      <c r="B742"/>
      <c r="C742"/>
      <c r="D742"/>
      <c r="E742"/>
      <c r="F742" s="27" t="s">
        <v>7</v>
      </c>
      <c r="U742" s="27" t="s">
        <v>8</v>
      </c>
      <c r="V742" s="27" t="s">
        <v>7</v>
      </c>
      <c r="W742" s="27" t="s">
        <v>8</v>
      </c>
      <c r="X742" s="27" t="s">
        <v>7</v>
      </c>
      <c r="Y742" s="27" t="s">
        <v>8</v>
      </c>
      <c r="Z742" s="27" t="s">
        <v>7</v>
      </c>
      <c r="AE742" s="27" t="s">
        <v>8</v>
      </c>
      <c r="AF742" s="27" t="s">
        <v>7</v>
      </c>
      <c r="AG742" s="27" t="s">
        <v>8</v>
      </c>
      <c r="AH742" s="27" t="s">
        <v>7</v>
      </c>
      <c r="AI742" s="27" t="s">
        <v>8</v>
      </c>
      <c r="BC742" s="27" t="s">
        <v>8</v>
      </c>
      <c r="BD742" s="27" t="s">
        <v>7</v>
      </c>
      <c r="BM742" s="27" t="s">
        <v>8</v>
      </c>
      <c r="BN742" s="27" t="s">
        <v>7</v>
      </c>
      <c r="BU742" s="27" t="s">
        <v>8</v>
      </c>
      <c r="BV742" s="27" t="s">
        <v>7</v>
      </c>
      <c r="CG742" s="27" t="s">
        <v>8</v>
      </c>
      <c r="CH742" s="27" t="s">
        <v>7</v>
      </c>
      <c r="CI742" s="27" t="s">
        <v>8</v>
      </c>
      <c r="CP742" s="27" t="s">
        <v>7</v>
      </c>
      <c r="CQ742" s="27" t="s">
        <v>8</v>
      </c>
      <c r="CR742" s="27" t="s">
        <v>7</v>
      </c>
      <c r="EQ742" s="27" t="s">
        <v>8</v>
      </c>
      <c r="ER742" s="27" t="s">
        <v>7</v>
      </c>
      <c r="ES742" s="27" t="s">
        <v>8</v>
      </c>
    </row>
    <row r="743" spans="1:151" x14ac:dyDescent="0.25">
      <c r="A743" s="7">
        <v>4.5537921608318974E-2</v>
      </c>
      <c r="B743"/>
      <c r="C743"/>
      <c r="D743"/>
      <c r="E743"/>
      <c r="F743" s="27" t="s">
        <v>7</v>
      </c>
      <c r="U743" s="27" t="s">
        <v>8</v>
      </c>
      <c r="V743" s="27" t="s">
        <v>7</v>
      </c>
      <c r="W743" s="27" t="s">
        <v>8</v>
      </c>
      <c r="X743" s="27" t="s">
        <v>7</v>
      </c>
      <c r="Y743" s="27" t="s">
        <v>8</v>
      </c>
      <c r="Z743" s="27" t="s">
        <v>7</v>
      </c>
      <c r="AE743" s="27" t="s">
        <v>8</v>
      </c>
      <c r="AF743" s="27" t="s">
        <v>7</v>
      </c>
      <c r="AG743" s="27" t="s">
        <v>8</v>
      </c>
      <c r="AH743" s="27" t="s">
        <v>7</v>
      </c>
      <c r="AI743" s="27" t="s">
        <v>8</v>
      </c>
      <c r="AJ743" s="27" t="s">
        <v>7</v>
      </c>
      <c r="BC743" s="27" t="s">
        <v>8</v>
      </c>
      <c r="BD743" s="27" t="s">
        <v>7</v>
      </c>
      <c r="BM743" s="27" t="s">
        <v>8</v>
      </c>
      <c r="BN743" s="27" t="s">
        <v>7</v>
      </c>
      <c r="BQ743" s="27" t="s">
        <v>8</v>
      </c>
      <c r="BU743" s="27" t="s">
        <v>8</v>
      </c>
      <c r="BV743" s="27" t="s">
        <v>7</v>
      </c>
      <c r="CE743" s="27" t="s">
        <v>8</v>
      </c>
      <c r="CG743" s="27" t="s">
        <v>8</v>
      </c>
      <c r="CH743" s="27" t="s">
        <v>7</v>
      </c>
      <c r="CI743" s="27" t="s">
        <v>8</v>
      </c>
      <c r="CP743" s="27" t="s">
        <v>7</v>
      </c>
      <c r="CQ743" s="27" t="s">
        <v>8</v>
      </c>
      <c r="CR743" s="27" t="s">
        <v>7</v>
      </c>
      <c r="EQ743" s="27" t="s">
        <v>8</v>
      </c>
      <c r="ER743" s="27" t="s">
        <v>7</v>
      </c>
      <c r="ES743" s="27" t="s">
        <v>8</v>
      </c>
    </row>
    <row r="744" spans="1:151" x14ac:dyDescent="0.25">
      <c r="A744" s="7">
        <v>4.4645021184626446E-2</v>
      </c>
      <c r="B744"/>
      <c r="C744"/>
      <c r="D744"/>
      <c r="E744"/>
      <c r="F744" s="27" t="s">
        <v>7</v>
      </c>
      <c r="U744" s="27" t="s">
        <v>8</v>
      </c>
      <c r="V744" s="27" t="s">
        <v>7</v>
      </c>
      <c r="W744" s="27" t="s">
        <v>8</v>
      </c>
      <c r="X744" s="27" t="s">
        <v>7</v>
      </c>
      <c r="Y744" s="27" t="s">
        <v>8</v>
      </c>
      <c r="Z744" s="27" t="s">
        <v>7</v>
      </c>
      <c r="AE744" s="27" t="s">
        <v>8</v>
      </c>
      <c r="AF744" s="27" t="s">
        <v>7</v>
      </c>
      <c r="AG744" s="27" t="s">
        <v>8</v>
      </c>
      <c r="AH744" s="27" t="s">
        <v>7</v>
      </c>
      <c r="AI744" s="27" t="s">
        <v>8</v>
      </c>
      <c r="AJ744" s="27" t="s">
        <v>7</v>
      </c>
      <c r="BC744" s="27" t="s">
        <v>8</v>
      </c>
      <c r="BD744" s="27" t="s">
        <v>7</v>
      </c>
      <c r="BM744" s="27" t="s">
        <v>8</v>
      </c>
      <c r="BN744" s="27" t="s">
        <v>7</v>
      </c>
      <c r="BO744" s="27" t="s">
        <v>8</v>
      </c>
      <c r="BQ744" s="27" t="s">
        <v>8</v>
      </c>
      <c r="BR744" s="27" t="s">
        <v>7</v>
      </c>
      <c r="BU744" s="27" t="s">
        <v>8</v>
      </c>
      <c r="BV744" s="27" t="s">
        <v>7</v>
      </c>
      <c r="CA744" s="27" t="s">
        <v>8</v>
      </c>
      <c r="CE744" s="27" t="s">
        <v>8</v>
      </c>
      <c r="CF744" s="27" t="s">
        <v>7</v>
      </c>
      <c r="CG744" s="27" t="s">
        <v>8</v>
      </c>
      <c r="CH744" s="27" t="s">
        <v>7</v>
      </c>
      <c r="CI744" s="27" t="s">
        <v>8</v>
      </c>
      <c r="CP744" s="27" t="s">
        <v>7</v>
      </c>
      <c r="CQ744" s="27" t="s">
        <v>8</v>
      </c>
      <c r="CR744" s="27" t="s">
        <v>7</v>
      </c>
      <c r="EQ744" s="27" t="s">
        <v>8</v>
      </c>
      <c r="ER744" s="27" t="s">
        <v>7</v>
      </c>
      <c r="ES744" s="27" t="s">
        <v>8</v>
      </c>
    </row>
    <row r="745" spans="1:151" x14ac:dyDescent="0.25">
      <c r="A745" s="7">
        <v>4.3769628612378868E-2</v>
      </c>
      <c r="B745"/>
      <c r="C745"/>
      <c r="D745"/>
      <c r="E745"/>
      <c r="F745" s="27" t="s">
        <v>7</v>
      </c>
      <c r="U745" s="27" t="s">
        <v>8</v>
      </c>
      <c r="V745" s="27" t="s">
        <v>7</v>
      </c>
      <c r="W745" s="27" t="s">
        <v>8</v>
      </c>
      <c r="X745" s="27" t="s">
        <v>7</v>
      </c>
      <c r="Z745" s="27" t="s">
        <v>7</v>
      </c>
      <c r="AE745" s="27" t="s">
        <v>8</v>
      </c>
      <c r="AF745" s="27" t="s">
        <v>7</v>
      </c>
      <c r="AH745" s="27" t="s">
        <v>7</v>
      </c>
      <c r="AI745" s="27" t="s">
        <v>8</v>
      </c>
      <c r="AJ745" s="27" t="s">
        <v>7</v>
      </c>
      <c r="AM745" s="27" t="s">
        <v>8</v>
      </c>
      <c r="BC745" s="27" t="s">
        <v>8</v>
      </c>
      <c r="BD745" s="27" t="s">
        <v>7</v>
      </c>
      <c r="BM745" s="27" t="s">
        <v>8</v>
      </c>
      <c r="BN745" s="27" t="s">
        <v>7</v>
      </c>
      <c r="BO745" s="27" t="s">
        <v>8</v>
      </c>
      <c r="BP745" s="27" t="s">
        <v>7</v>
      </c>
      <c r="BQ745" s="27" t="s">
        <v>8</v>
      </c>
      <c r="BR745" s="27" t="s">
        <v>7</v>
      </c>
      <c r="BU745" s="27" t="s">
        <v>8</v>
      </c>
      <c r="BV745" s="27" t="s">
        <v>7</v>
      </c>
      <c r="CA745" s="27" t="s">
        <v>8</v>
      </c>
      <c r="CB745" s="27" t="s">
        <v>7</v>
      </c>
      <c r="CE745" s="27" t="s">
        <v>8</v>
      </c>
      <c r="CF745" s="27" t="s">
        <v>7</v>
      </c>
      <c r="CG745" s="27" t="s">
        <v>8</v>
      </c>
      <c r="CH745" s="27" t="s">
        <v>7</v>
      </c>
      <c r="CI745" s="27" t="s">
        <v>8</v>
      </c>
      <c r="CP745" s="27" t="s">
        <v>7</v>
      </c>
      <c r="CR745" s="27" t="s">
        <v>7</v>
      </c>
      <c r="EQ745" s="27" t="s">
        <v>8</v>
      </c>
      <c r="ER745" s="27" t="s">
        <v>7</v>
      </c>
      <c r="ES745" s="27" t="s">
        <v>8</v>
      </c>
    </row>
    <row r="746" spans="1:151" x14ac:dyDescent="0.25">
      <c r="A746" s="7">
        <v>4.2911400600371442E-2</v>
      </c>
      <c r="B746"/>
      <c r="C746"/>
      <c r="D746"/>
      <c r="E746"/>
      <c r="F746" s="27" t="s">
        <v>7</v>
      </c>
      <c r="U746" s="27" t="s">
        <v>8</v>
      </c>
      <c r="V746" s="27" t="s">
        <v>7</v>
      </c>
      <c r="W746" s="27" t="s">
        <v>8</v>
      </c>
      <c r="Z746" s="27" t="s">
        <v>7</v>
      </c>
      <c r="AE746" s="27" t="s">
        <v>8</v>
      </c>
      <c r="AH746" s="27" t="s">
        <v>7</v>
      </c>
      <c r="AI746" s="27" t="s">
        <v>8</v>
      </c>
      <c r="AJ746" s="27" t="s">
        <v>7</v>
      </c>
      <c r="AM746" s="27" t="s">
        <v>8</v>
      </c>
      <c r="AN746" s="27" t="s">
        <v>7</v>
      </c>
      <c r="BC746" s="27" t="s">
        <v>8</v>
      </c>
      <c r="BD746" s="27" t="s">
        <v>7</v>
      </c>
      <c r="BM746" s="27" t="s">
        <v>8</v>
      </c>
      <c r="BN746" s="27" t="s">
        <v>7</v>
      </c>
      <c r="BO746" s="27" t="s">
        <v>8</v>
      </c>
      <c r="BP746" s="27" t="s">
        <v>7</v>
      </c>
      <c r="BQ746" s="27" t="s">
        <v>8</v>
      </c>
      <c r="BR746" s="27" t="s">
        <v>7</v>
      </c>
      <c r="BS746" s="27" t="s">
        <v>8</v>
      </c>
      <c r="BU746" s="27" t="s">
        <v>8</v>
      </c>
      <c r="BV746" s="27" t="s">
        <v>7</v>
      </c>
      <c r="CA746" s="27" t="s">
        <v>8</v>
      </c>
      <c r="CB746" s="27" t="s">
        <v>7</v>
      </c>
      <c r="CC746" s="27" t="s">
        <v>8</v>
      </c>
      <c r="CE746" s="27" t="s">
        <v>8</v>
      </c>
      <c r="CF746" s="27" t="s">
        <v>7</v>
      </c>
      <c r="CH746" s="27" t="s">
        <v>7</v>
      </c>
      <c r="CI746" s="27" t="s">
        <v>8</v>
      </c>
      <c r="CR746" s="27" t="s">
        <v>7</v>
      </c>
      <c r="EQ746" s="27" t="s">
        <v>8</v>
      </c>
      <c r="ER746" s="27" t="s">
        <v>7</v>
      </c>
      <c r="ES746" s="27" t="s">
        <v>8</v>
      </c>
    </row>
    <row r="747" spans="1:151" x14ac:dyDescent="0.25">
      <c r="A747" s="7">
        <v>4.2070000588599457E-2</v>
      </c>
      <c r="B747"/>
      <c r="C747"/>
      <c r="D747"/>
      <c r="E747"/>
      <c r="F747" s="27" t="s">
        <v>7</v>
      </c>
      <c r="U747" s="27" t="s">
        <v>8</v>
      </c>
      <c r="V747" s="27" t="s">
        <v>7</v>
      </c>
      <c r="W747" s="27" t="s">
        <v>8</v>
      </c>
      <c r="Z747" s="27" t="s">
        <v>7</v>
      </c>
      <c r="AE747" s="27" t="s">
        <v>8</v>
      </c>
      <c r="AH747" s="27" t="s">
        <v>7</v>
      </c>
      <c r="AI747" s="27" t="s">
        <v>8</v>
      </c>
      <c r="AJ747" s="27" t="s">
        <v>7</v>
      </c>
      <c r="AM747" s="27" t="s">
        <v>8</v>
      </c>
      <c r="AN747" s="27" t="s">
        <v>7</v>
      </c>
      <c r="BC747" s="27" t="s">
        <v>8</v>
      </c>
      <c r="BD747" s="27" t="s">
        <v>7</v>
      </c>
      <c r="BE747" s="27" t="s">
        <v>8</v>
      </c>
      <c r="BM747" s="27" t="s">
        <v>8</v>
      </c>
      <c r="BN747" s="27" t="s">
        <v>7</v>
      </c>
      <c r="BO747" s="27" t="s">
        <v>8</v>
      </c>
      <c r="BP747" s="27" t="s">
        <v>7</v>
      </c>
      <c r="BR747" s="27" t="s">
        <v>7</v>
      </c>
      <c r="BS747" s="27" t="s">
        <v>8</v>
      </c>
      <c r="BT747" s="27" t="s">
        <v>7</v>
      </c>
      <c r="BU747" s="27" t="s">
        <v>8</v>
      </c>
      <c r="BV747" s="27" t="s">
        <v>7</v>
      </c>
      <c r="CA747" s="27" t="s">
        <v>8</v>
      </c>
      <c r="CB747" s="27" t="s">
        <v>7</v>
      </c>
      <c r="CC747" s="27" t="s">
        <v>8</v>
      </c>
      <c r="CD747" s="27" t="s">
        <v>7</v>
      </c>
      <c r="CE747" s="27" t="s">
        <v>8</v>
      </c>
      <c r="CH747" s="27" t="s">
        <v>7</v>
      </c>
      <c r="CR747" s="27" t="s">
        <v>7</v>
      </c>
      <c r="EQ747" s="27" t="s">
        <v>8</v>
      </c>
      <c r="ER747" s="27" t="s">
        <v>7</v>
      </c>
      <c r="ES747" s="27" t="s">
        <v>8</v>
      </c>
    </row>
    <row r="748" spans="1:151" x14ac:dyDescent="0.25">
      <c r="A748" s="7">
        <v>4.1245098616273977E-2</v>
      </c>
      <c r="B748"/>
      <c r="C748"/>
      <c r="D748"/>
      <c r="E748"/>
      <c r="F748" s="27" t="s">
        <v>7</v>
      </c>
      <c r="U748" s="27" t="s">
        <v>8</v>
      </c>
      <c r="V748" s="27" t="s">
        <v>7</v>
      </c>
      <c r="W748" s="27" t="s">
        <v>8</v>
      </c>
      <c r="Z748" s="27" t="s">
        <v>7</v>
      </c>
      <c r="AE748" s="27" t="s">
        <v>8</v>
      </c>
      <c r="AH748" s="27" t="s">
        <v>7</v>
      </c>
      <c r="AI748" s="27" t="s">
        <v>8</v>
      </c>
      <c r="AJ748" s="27" t="s">
        <v>7</v>
      </c>
      <c r="AM748" s="27" t="s">
        <v>8</v>
      </c>
      <c r="AN748" s="27" t="s">
        <v>7</v>
      </c>
      <c r="BC748" s="27" t="s">
        <v>8</v>
      </c>
      <c r="BD748" s="27" t="s">
        <v>7</v>
      </c>
      <c r="BE748" s="27" t="s">
        <v>8</v>
      </c>
      <c r="BF748" s="27" t="s">
        <v>7</v>
      </c>
      <c r="BM748" s="27" t="s">
        <v>8</v>
      </c>
      <c r="BN748" s="27" t="s">
        <v>7</v>
      </c>
      <c r="BR748" s="27" t="s">
        <v>7</v>
      </c>
      <c r="BS748" s="27" t="s">
        <v>8</v>
      </c>
      <c r="BT748" s="27" t="s">
        <v>7</v>
      </c>
      <c r="BU748" s="27" t="s">
        <v>8</v>
      </c>
      <c r="BV748" s="27" t="s">
        <v>7</v>
      </c>
      <c r="BY748" s="27" t="s">
        <v>8</v>
      </c>
      <c r="CA748" s="27" t="s">
        <v>8</v>
      </c>
      <c r="CB748" s="27" t="s">
        <v>7</v>
      </c>
      <c r="CC748" s="27" t="s">
        <v>8</v>
      </c>
      <c r="CD748" s="27" t="s">
        <v>7</v>
      </c>
      <c r="CE748" s="27" t="s">
        <v>8</v>
      </c>
      <c r="CR748" s="27" t="s">
        <v>7</v>
      </c>
      <c r="DY748" s="27" t="s">
        <v>8</v>
      </c>
      <c r="EA748" s="27" t="s">
        <v>8</v>
      </c>
      <c r="EQ748" s="27" t="s">
        <v>8</v>
      </c>
      <c r="ER748" s="27" t="s">
        <v>7</v>
      </c>
      <c r="ES748" s="27" t="s">
        <v>8</v>
      </c>
    </row>
    <row r="749" spans="1:151" x14ac:dyDescent="0.25">
      <c r="A749" s="7">
        <v>4.043637119242547E-2</v>
      </c>
      <c r="B749"/>
      <c r="C749"/>
      <c r="D749"/>
      <c r="E749"/>
      <c r="F749" s="27" t="s">
        <v>7</v>
      </c>
      <c r="U749" s="27" t="s">
        <v>8</v>
      </c>
      <c r="V749" s="27" t="s">
        <v>7</v>
      </c>
      <c r="W749" s="27" t="s">
        <v>8</v>
      </c>
      <c r="Z749" s="27" t="s">
        <v>7</v>
      </c>
      <c r="AE749" s="27" t="s">
        <v>8</v>
      </c>
      <c r="AH749" s="27" t="s">
        <v>7</v>
      </c>
      <c r="AI749" s="27" t="s">
        <v>8</v>
      </c>
      <c r="AJ749" s="27" t="s">
        <v>7</v>
      </c>
      <c r="AM749" s="27" t="s">
        <v>8</v>
      </c>
      <c r="AN749" s="27" t="s">
        <v>7</v>
      </c>
      <c r="BC749" s="27" t="s">
        <v>8</v>
      </c>
      <c r="BD749" s="27" t="s">
        <v>7</v>
      </c>
      <c r="BE749" s="27" t="s">
        <v>8</v>
      </c>
      <c r="BF749" s="27" t="s">
        <v>7</v>
      </c>
      <c r="BG749" s="27" t="s">
        <v>8</v>
      </c>
      <c r="BM749" s="27" t="s">
        <v>8</v>
      </c>
      <c r="BR749" s="27" t="s">
        <v>7</v>
      </c>
      <c r="BT749" s="27" t="s">
        <v>7</v>
      </c>
      <c r="BU749" s="27" t="s">
        <v>8</v>
      </c>
      <c r="BV749" s="27" t="s">
        <v>7</v>
      </c>
      <c r="BY749" s="27" t="s">
        <v>8</v>
      </c>
      <c r="BZ749" s="27" t="s">
        <v>7</v>
      </c>
      <c r="CA749" s="27" t="s">
        <v>8</v>
      </c>
      <c r="CB749" s="27" t="s">
        <v>7</v>
      </c>
      <c r="CC749" s="27" t="s">
        <v>8</v>
      </c>
      <c r="CD749" s="27" t="s">
        <v>7</v>
      </c>
      <c r="CE749" s="27" t="s">
        <v>8</v>
      </c>
      <c r="CR749" s="27" t="s">
        <v>7</v>
      </c>
      <c r="DY749" s="27" t="s">
        <v>8</v>
      </c>
      <c r="DZ749" s="27" t="s">
        <v>7</v>
      </c>
      <c r="EA749" s="27" t="s">
        <v>8</v>
      </c>
      <c r="EB749" s="27" t="s">
        <v>7</v>
      </c>
      <c r="EQ749" s="27" t="s">
        <v>8</v>
      </c>
      <c r="ER749" s="27" t="s">
        <v>7</v>
      </c>
      <c r="ES749" s="27" t="s">
        <v>8</v>
      </c>
    </row>
    <row r="750" spans="1:151" x14ac:dyDescent="0.25">
      <c r="A750" s="7">
        <v>3.9643501169044582E-2</v>
      </c>
      <c r="B750"/>
      <c r="C750"/>
      <c r="D750"/>
      <c r="E750"/>
      <c r="F750" s="27" t="s">
        <v>7</v>
      </c>
      <c r="U750" s="27" t="s">
        <v>8</v>
      </c>
      <c r="V750" s="27" t="s">
        <v>7</v>
      </c>
      <c r="Z750" s="27" t="s">
        <v>7</v>
      </c>
      <c r="AE750" s="27" t="s">
        <v>8</v>
      </c>
      <c r="AH750" s="27" t="s">
        <v>7</v>
      </c>
      <c r="AI750" s="27" t="s">
        <v>8</v>
      </c>
      <c r="AJ750" s="27" t="s">
        <v>7</v>
      </c>
      <c r="AM750" s="27" t="s">
        <v>8</v>
      </c>
      <c r="AN750" s="27" t="s">
        <v>7</v>
      </c>
      <c r="BC750" s="27" t="s">
        <v>8</v>
      </c>
      <c r="BD750" s="27" t="s">
        <v>7</v>
      </c>
      <c r="BE750" s="27" t="s">
        <v>8</v>
      </c>
      <c r="BF750" s="27" t="s">
        <v>7</v>
      </c>
      <c r="BG750" s="27" t="s">
        <v>8</v>
      </c>
      <c r="BH750" s="27" t="s">
        <v>7</v>
      </c>
      <c r="BI750" s="27" t="s">
        <v>8</v>
      </c>
      <c r="BM750" s="27" t="s">
        <v>8</v>
      </c>
      <c r="BT750" s="27" t="s">
        <v>7</v>
      </c>
      <c r="BU750" s="27" t="s">
        <v>8</v>
      </c>
      <c r="BV750" s="27" t="s">
        <v>7</v>
      </c>
      <c r="BW750" s="27" t="s">
        <v>8</v>
      </c>
      <c r="BY750" s="27" t="s">
        <v>8</v>
      </c>
      <c r="BZ750" s="27" t="s">
        <v>7</v>
      </c>
      <c r="CA750" s="27" t="s">
        <v>8</v>
      </c>
      <c r="CB750" s="27" t="s">
        <v>7</v>
      </c>
      <c r="CC750" s="27" t="s">
        <v>8</v>
      </c>
      <c r="CD750" s="27" t="s">
        <v>7</v>
      </c>
      <c r="CE750" s="27" t="s">
        <v>8</v>
      </c>
      <c r="CR750" s="27" t="s">
        <v>7</v>
      </c>
      <c r="CW750" s="27" t="s">
        <v>8</v>
      </c>
      <c r="DY750" s="27" t="s">
        <v>8</v>
      </c>
      <c r="DZ750" s="27" t="s">
        <v>7</v>
      </c>
      <c r="EA750" s="27" t="s">
        <v>8</v>
      </c>
      <c r="EB750" s="27" t="s">
        <v>7</v>
      </c>
      <c r="EO750" s="27" t="s">
        <v>8</v>
      </c>
      <c r="EQ750" s="27" t="s">
        <v>8</v>
      </c>
      <c r="ER750" s="27" t="s">
        <v>7</v>
      </c>
      <c r="ES750" s="27" t="s">
        <v>8</v>
      </c>
    </row>
    <row r="751" spans="1:151" x14ac:dyDescent="0.25">
      <c r="A751" s="7">
        <v>3.8866177616710372E-2</v>
      </c>
      <c r="B751"/>
      <c r="C751"/>
      <c r="D751"/>
      <c r="E751"/>
      <c r="F751" s="27" t="s">
        <v>7</v>
      </c>
      <c r="U751" s="27" t="s">
        <v>8</v>
      </c>
      <c r="Z751" s="27" t="s">
        <v>7</v>
      </c>
      <c r="AA751" s="27" t="s">
        <v>8</v>
      </c>
      <c r="AE751" s="27" t="s">
        <v>8</v>
      </c>
      <c r="AH751" s="27" t="s">
        <v>7</v>
      </c>
      <c r="AI751" s="27" t="s">
        <v>8</v>
      </c>
      <c r="AJ751" s="27" t="s">
        <v>7</v>
      </c>
      <c r="AK751" s="27" t="s">
        <v>8</v>
      </c>
      <c r="AM751" s="27" t="s">
        <v>8</v>
      </c>
      <c r="AN751" s="27" t="s">
        <v>7</v>
      </c>
      <c r="BC751" s="27" t="s">
        <v>8</v>
      </c>
      <c r="BD751" s="27" t="s">
        <v>7</v>
      </c>
      <c r="BE751" s="27" t="s">
        <v>8</v>
      </c>
      <c r="BF751" s="27" t="s">
        <v>7</v>
      </c>
      <c r="BG751" s="27" t="s">
        <v>8</v>
      </c>
      <c r="BH751" s="27" t="s">
        <v>7</v>
      </c>
      <c r="BI751" s="27" t="s">
        <v>8</v>
      </c>
      <c r="BJ751" s="27" t="s">
        <v>7</v>
      </c>
      <c r="BK751" s="27" t="s">
        <v>8</v>
      </c>
      <c r="BM751" s="27" t="s">
        <v>8</v>
      </c>
      <c r="BT751" s="27" t="s">
        <v>7</v>
      </c>
      <c r="BV751" s="27" t="s">
        <v>7</v>
      </c>
      <c r="BW751" s="27" t="s">
        <v>8</v>
      </c>
      <c r="BX751" s="27" t="s">
        <v>7</v>
      </c>
      <c r="BY751" s="27" t="s">
        <v>8</v>
      </c>
      <c r="BZ751" s="27" t="s">
        <v>7</v>
      </c>
      <c r="CB751" s="27" t="s">
        <v>7</v>
      </c>
      <c r="CC751" s="27" t="s">
        <v>8</v>
      </c>
      <c r="CD751" s="27" t="s">
        <v>7</v>
      </c>
      <c r="CR751" s="27" t="s">
        <v>7</v>
      </c>
      <c r="CW751" s="27" t="s">
        <v>8</v>
      </c>
      <c r="CX751" s="27" t="s">
        <v>7</v>
      </c>
      <c r="DW751" s="27" t="s">
        <v>8</v>
      </c>
      <c r="DY751" s="27" t="s">
        <v>8</v>
      </c>
      <c r="DZ751" s="27" t="s">
        <v>7</v>
      </c>
      <c r="EA751" s="27" t="s">
        <v>8</v>
      </c>
      <c r="EB751" s="27" t="s">
        <v>7</v>
      </c>
      <c r="EO751" s="27" t="s">
        <v>8</v>
      </c>
      <c r="EP751" s="27" t="s">
        <v>7</v>
      </c>
      <c r="EQ751" s="27" t="s">
        <v>8</v>
      </c>
      <c r="ER751" s="27" t="s">
        <v>7</v>
      </c>
      <c r="ES751" s="27" t="s">
        <v>8</v>
      </c>
    </row>
    <row r="752" spans="1:151" x14ac:dyDescent="0.25">
      <c r="A752" s="7">
        <v>3.8104095702657229E-2</v>
      </c>
      <c r="B752"/>
      <c r="C752"/>
      <c r="D752"/>
      <c r="E752"/>
      <c r="F752" s="27" t="s">
        <v>7</v>
      </c>
      <c r="U752" s="27" t="s">
        <v>8</v>
      </c>
      <c r="Z752" s="27" t="s">
        <v>7</v>
      </c>
      <c r="AA752" s="27" t="s">
        <v>8</v>
      </c>
      <c r="AB752" s="27" t="s">
        <v>7</v>
      </c>
      <c r="AE752" s="27" t="s">
        <v>8</v>
      </c>
      <c r="AH752" s="27" t="s">
        <v>7</v>
      </c>
      <c r="AI752" s="27" t="s">
        <v>8</v>
      </c>
      <c r="AJ752" s="27" t="s">
        <v>7</v>
      </c>
      <c r="AK752" s="27" t="s">
        <v>8</v>
      </c>
      <c r="AL752" s="27" t="s">
        <v>7</v>
      </c>
      <c r="AM752" s="27" t="s">
        <v>8</v>
      </c>
      <c r="AN752" s="27" t="s">
        <v>7</v>
      </c>
      <c r="BC752" s="27" t="s">
        <v>8</v>
      </c>
      <c r="BD752" s="27" t="s">
        <v>7</v>
      </c>
      <c r="BE752" s="27" t="s">
        <v>8</v>
      </c>
      <c r="BF752" s="27" t="s">
        <v>7</v>
      </c>
      <c r="BH752" s="27" t="s">
        <v>7</v>
      </c>
      <c r="BI752" s="27" t="s">
        <v>8</v>
      </c>
      <c r="BJ752" s="27" t="s">
        <v>7</v>
      </c>
      <c r="BK752" s="27" t="s">
        <v>8</v>
      </c>
      <c r="BL752" s="27" t="s">
        <v>7</v>
      </c>
      <c r="BM752" s="27" t="s">
        <v>8</v>
      </c>
      <c r="BV752" s="27" t="s">
        <v>7</v>
      </c>
      <c r="BW752" s="27" t="s">
        <v>8</v>
      </c>
      <c r="BX752" s="27" t="s">
        <v>7</v>
      </c>
      <c r="BY752" s="27" t="s">
        <v>8</v>
      </c>
      <c r="CB752" s="27" t="s">
        <v>7</v>
      </c>
      <c r="CR752" s="27" t="s">
        <v>7</v>
      </c>
      <c r="CU752" s="27" t="s">
        <v>8</v>
      </c>
      <c r="CW752" s="27" t="s">
        <v>8</v>
      </c>
      <c r="CX752" s="27" t="s">
        <v>7</v>
      </c>
      <c r="DW752" s="27" t="s">
        <v>8</v>
      </c>
      <c r="DX752" s="27" t="s">
        <v>7</v>
      </c>
      <c r="DY752" s="27" t="s">
        <v>8</v>
      </c>
      <c r="DZ752" s="27" t="s">
        <v>7</v>
      </c>
      <c r="EA752" s="27" t="s">
        <v>8</v>
      </c>
      <c r="EB752" s="27" t="s">
        <v>7</v>
      </c>
      <c r="EE752" s="27" t="s">
        <v>8</v>
      </c>
      <c r="EO752" s="27" t="s">
        <v>8</v>
      </c>
      <c r="EP752" s="27" t="s">
        <v>7</v>
      </c>
      <c r="EQ752" s="27" t="s">
        <v>8</v>
      </c>
      <c r="ER752" s="27" t="s">
        <v>7</v>
      </c>
      <c r="ES752" s="27" t="s">
        <v>8</v>
      </c>
    </row>
    <row r="753" spans="1:148" x14ac:dyDescent="0.25">
      <c r="A753" s="7">
        <v>3.7356956571232579E-2</v>
      </c>
      <c r="B753"/>
      <c r="C753"/>
      <c r="D753"/>
      <c r="E753"/>
      <c r="F753" s="27" t="s">
        <v>7</v>
      </c>
      <c r="U753" s="27" t="s">
        <v>8</v>
      </c>
      <c r="Z753" s="27" t="s">
        <v>7</v>
      </c>
      <c r="AA753" s="27" t="s">
        <v>8</v>
      </c>
      <c r="AB753" s="27" t="s">
        <v>7</v>
      </c>
      <c r="AC753" s="27" t="s">
        <v>8</v>
      </c>
      <c r="AE753" s="27" t="s">
        <v>8</v>
      </c>
      <c r="AH753" s="27" t="s">
        <v>7</v>
      </c>
      <c r="AI753" s="27" t="s">
        <v>8</v>
      </c>
      <c r="AJ753" s="27" t="s">
        <v>7</v>
      </c>
      <c r="AK753" s="27" t="s">
        <v>8</v>
      </c>
      <c r="AL753" s="27" t="s">
        <v>7</v>
      </c>
      <c r="AM753" s="27" t="s">
        <v>8</v>
      </c>
      <c r="AN753" s="27" t="s">
        <v>7</v>
      </c>
      <c r="AW753" s="27" t="s">
        <v>8</v>
      </c>
      <c r="BC753" s="27" t="s">
        <v>8</v>
      </c>
      <c r="BD753" s="27" t="s">
        <v>7</v>
      </c>
      <c r="BE753" s="27" t="s">
        <v>8</v>
      </c>
      <c r="BH753" s="27" t="s">
        <v>7</v>
      </c>
      <c r="BI753" s="27" t="s">
        <v>8</v>
      </c>
      <c r="BJ753" s="27" t="s">
        <v>7</v>
      </c>
      <c r="BK753" s="27" t="s">
        <v>8</v>
      </c>
      <c r="BL753" s="27" t="s">
        <v>7</v>
      </c>
      <c r="BM753" s="27" t="s">
        <v>8</v>
      </c>
      <c r="BV753" s="27" t="s">
        <v>7</v>
      </c>
      <c r="BW753" s="27" t="s">
        <v>8</v>
      </c>
      <c r="BX753" s="27" t="s">
        <v>7</v>
      </c>
      <c r="CR753" s="27" t="s">
        <v>7</v>
      </c>
      <c r="CS753" s="27" t="s">
        <v>8</v>
      </c>
      <c r="CU753" s="27" t="s">
        <v>8</v>
      </c>
      <c r="CV753" s="27" t="s">
        <v>7</v>
      </c>
      <c r="CW753" s="27" t="s">
        <v>8</v>
      </c>
      <c r="CX753" s="27" t="s">
        <v>7</v>
      </c>
      <c r="DW753" s="27" t="s">
        <v>8</v>
      </c>
      <c r="DX753" s="27" t="s">
        <v>7</v>
      </c>
      <c r="DY753" s="27" t="s">
        <v>8</v>
      </c>
      <c r="DZ753" s="27" t="s">
        <v>7</v>
      </c>
      <c r="EA753" s="27" t="s">
        <v>8</v>
      </c>
      <c r="EB753" s="27" t="s">
        <v>7</v>
      </c>
      <c r="EE753" s="27" t="s">
        <v>8</v>
      </c>
      <c r="EF753" s="27" t="s">
        <v>7</v>
      </c>
      <c r="EO753" s="27" t="s">
        <v>8</v>
      </c>
      <c r="EP753" s="27" t="s">
        <v>7</v>
      </c>
      <c r="EQ753" s="27" t="s">
        <v>8</v>
      </c>
      <c r="ER753" s="27" t="s">
        <v>7</v>
      </c>
    </row>
    <row r="754" spans="1:148" x14ac:dyDescent="0.25">
      <c r="A754" s="7">
        <v>3.6624467226698605E-2</v>
      </c>
      <c r="B754"/>
      <c r="C754"/>
      <c r="D754"/>
      <c r="E754"/>
      <c r="F754" s="27" t="s">
        <v>7</v>
      </c>
      <c r="U754" s="27" t="s">
        <v>8</v>
      </c>
      <c r="Z754" s="27" t="s">
        <v>7</v>
      </c>
      <c r="AA754" s="27" t="s">
        <v>8</v>
      </c>
      <c r="AB754" s="27" t="s">
        <v>7</v>
      </c>
      <c r="AC754" s="27" t="s">
        <v>8</v>
      </c>
      <c r="AD754" s="27" t="s">
        <v>7</v>
      </c>
      <c r="AE754" s="27" t="s">
        <v>8</v>
      </c>
      <c r="AH754" s="27" t="s">
        <v>7</v>
      </c>
      <c r="AI754" s="27" t="s">
        <v>8</v>
      </c>
      <c r="AJ754" s="27" t="s">
        <v>7</v>
      </c>
      <c r="AK754" s="27" t="s">
        <v>8</v>
      </c>
      <c r="AL754" s="27" t="s">
        <v>7</v>
      </c>
      <c r="AM754" s="27" t="s">
        <v>8</v>
      </c>
      <c r="AN754" s="27" t="s">
        <v>7</v>
      </c>
      <c r="AW754" s="27" t="s">
        <v>8</v>
      </c>
      <c r="AX754" s="27" t="s">
        <v>7</v>
      </c>
      <c r="BC754" s="27" t="s">
        <v>8</v>
      </c>
      <c r="BD754" s="27" t="s">
        <v>7</v>
      </c>
      <c r="BH754" s="27" t="s">
        <v>7</v>
      </c>
      <c r="BI754" s="27" t="s">
        <v>8</v>
      </c>
      <c r="BJ754" s="27" t="s">
        <v>7</v>
      </c>
      <c r="BK754" s="27" t="s">
        <v>8</v>
      </c>
      <c r="BL754" s="27" t="s">
        <v>7</v>
      </c>
      <c r="BM754" s="27" t="s">
        <v>8</v>
      </c>
      <c r="BV754" s="27" t="s">
        <v>7</v>
      </c>
      <c r="CR754" s="27" t="s">
        <v>7</v>
      </c>
      <c r="CS754" s="27" t="s">
        <v>8</v>
      </c>
      <c r="CT754" s="27" t="s">
        <v>7</v>
      </c>
      <c r="CU754" s="27" t="s">
        <v>8</v>
      </c>
      <c r="CV754" s="27" t="s">
        <v>7</v>
      </c>
      <c r="CW754" s="27" t="s">
        <v>8</v>
      </c>
      <c r="CX754" s="27" t="s">
        <v>7</v>
      </c>
      <c r="DG754" s="27" t="s">
        <v>8</v>
      </c>
      <c r="DW754" s="27" t="s">
        <v>8</v>
      </c>
      <c r="DX754" s="27" t="s">
        <v>7</v>
      </c>
      <c r="DY754" s="27" t="s">
        <v>8</v>
      </c>
      <c r="DZ754" s="27" t="s">
        <v>7</v>
      </c>
      <c r="EA754" s="27" t="s">
        <v>8</v>
      </c>
      <c r="EB754" s="27" t="s">
        <v>7</v>
      </c>
      <c r="EC754" s="27" t="s">
        <v>8</v>
      </c>
      <c r="EE754" s="27" t="s">
        <v>8</v>
      </c>
      <c r="EF754" s="27" t="s">
        <v>7</v>
      </c>
      <c r="EO754" s="27" t="s">
        <v>8</v>
      </c>
      <c r="EP754" s="27" t="s">
        <v>7</v>
      </c>
      <c r="EQ754" s="27" t="s">
        <v>8</v>
      </c>
    </row>
    <row r="755" spans="1:148" x14ac:dyDescent="0.25">
      <c r="A755" s="7">
        <v>3.5906340418331961E-2</v>
      </c>
      <c r="B755"/>
      <c r="C755"/>
      <c r="D755"/>
      <c r="E755"/>
      <c r="F755" s="27" t="s">
        <v>7</v>
      </c>
      <c r="U755" s="27" t="s">
        <v>8</v>
      </c>
      <c r="Z755" s="27" t="s">
        <v>7</v>
      </c>
      <c r="AA755" s="27" t="s">
        <v>8</v>
      </c>
      <c r="AB755" s="27" t="s">
        <v>7</v>
      </c>
      <c r="AC755" s="27" t="s">
        <v>8</v>
      </c>
      <c r="AD755" s="27" t="s">
        <v>7</v>
      </c>
      <c r="AE755" s="27" t="s">
        <v>8</v>
      </c>
      <c r="AH755" s="27" t="s">
        <v>7</v>
      </c>
      <c r="AI755" s="27" t="s">
        <v>8</v>
      </c>
      <c r="AJ755" s="27" t="s">
        <v>7</v>
      </c>
      <c r="AK755" s="27" t="s">
        <v>8</v>
      </c>
      <c r="AL755" s="27" t="s">
        <v>7</v>
      </c>
      <c r="AM755" s="27" t="s">
        <v>8</v>
      </c>
      <c r="AN755" s="27" t="s">
        <v>7</v>
      </c>
      <c r="AO755" s="27" t="s">
        <v>8</v>
      </c>
      <c r="AW755" s="27" t="s">
        <v>8</v>
      </c>
      <c r="AX755" s="27" t="s">
        <v>7</v>
      </c>
      <c r="BC755" s="27" t="s">
        <v>8</v>
      </c>
      <c r="BH755" s="27" t="s">
        <v>7</v>
      </c>
      <c r="BI755" s="27" t="s">
        <v>8</v>
      </c>
      <c r="BJ755" s="27" t="s">
        <v>7</v>
      </c>
      <c r="BK755" s="27" t="s">
        <v>8</v>
      </c>
      <c r="BL755" s="27" t="s">
        <v>7</v>
      </c>
      <c r="BM755" s="27" t="s">
        <v>8</v>
      </c>
      <c r="CR755" s="27" t="s">
        <v>7</v>
      </c>
      <c r="CS755" s="27" t="s">
        <v>8</v>
      </c>
      <c r="CT755" s="27" t="s">
        <v>7</v>
      </c>
      <c r="CU755" s="27" t="s">
        <v>8</v>
      </c>
      <c r="CV755" s="27" t="s">
        <v>7</v>
      </c>
      <c r="CX755" s="27" t="s">
        <v>7</v>
      </c>
      <c r="DG755" s="27" t="s">
        <v>8</v>
      </c>
      <c r="DH755" s="27" t="s">
        <v>7</v>
      </c>
      <c r="DW755" s="27" t="s">
        <v>8</v>
      </c>
      <c r="DX755" s="27" t="s">
        <v>7</v>
      </c>
      <c r="DY755" s="27" t="s">
        <v>8</v>
      </c>
      <c r="DZ755" s="27" t="s">
        <v>7</v>
      </c>
      <c r="EA755" s="27" t="s">
        <v>8</v>
      </c>
      <c r="EB755" s="27" t="s">
        <v>7</v>
      </c>
      <c r="EC755" s="27" t="s">
        <v>8</v>
      </c>
      <c r="ED755" s="27" t="s">
        <v>7</v>
      </c>
      <c r="EE755" s="27" t="s">
        <v>8</v>
      </c>
      <c r="EF755" s="27" t="s">
        <v>7</v>
      </c>
      <c r="EO755" s="27" t="s">
        <v>8</v>
      </c>
      <c r="EP755" s="27" t="s">
        <v>7</v>
      </c>
      <c r="EQ755" s="27" t="s">
        <v>8</v>
      </c>
    </row>
    <row r="756" spans="1:148" x14ac:dyDescent="0.25">
      <c r="A756" s="7">
        <v>3.5202294527776436E-2</v>
      </c>
      <c r="B756"/>
      <c r="C756"/>
      <c r="D756"/>
      <c r="E756"/>
      <c r="F756" s="27" t="s">
        <v>7</v>
      </c>
      <c r="U756" s="27" t="s">
        <v>8</v>
      </c>
      <c r="Z756" s="27" t="s">
        <v>7</v>
      </c>
      <c r="AA756" s="27" t="s">
        <v>8</v>
      </c>
      <c r="AB756" s="27" t="s">
        <v>7</v>
      </c>
      <c r="AC756" s="27" t="s">
        <v>8</v>
      </c>
      <c r="AD756" s="27" t="s">
        <v>7</v>
      </c>
      <c r="AE756" s="27" t="s">
        <v>8</v>
      </c>
      <c r="AH756" s="27" t="s">
        <v>7</v>
      </c>
      <c r="AI756" s="27" t="s">
        <v>8</v>
      </c>
      <c r="AJ756" s="27" t="s">
        <v>7</v>
      </c>
      <c r="AK756" s="27" t="s">
        <v>8</v>
      </c>
      <c r="AL756" s="27" t="s">
        <v>7</v>
      </c>
      <c r="AM756" s="27" t="s">
        <v>8</v>
      </c>
      <c r="AN756" s="27" t="s">
        <v>7</v>
      </c>
      <c r="AO756" s="27" t="s">
        <v>8</v>
      </c>
      <c r="AP756" s="27" t="s">
        <v>7</v>
      </c>
      <c r="AW756" s="27" t="s">
        <v>8</v>
      </c>
      <c r="AX756" s="27" t="s">
        <v>7</v>
      </c>
      <c r="BC756" s="27" t="s">
        <v>8</v>
      </c>
      <c r="BH756" s="27" t="s">
        <v>7</v>
      </c>
      <c r="BI756" s="27" t="s">
        <v>8</v>
      </c>
      <c r="BJ756" s="27" t="s">
        <v>7</v>
      </c>
      <c r="BL756" s="27" t="s">
        <v>7</v>
      </c>
      <c r="CR756" s="27" t="s">
        <v>7</v>
      </c>
      <c r="CT756" s="27" t="s">
        <v>7</v>
      </c>
      <c r="CU756" s="27" t="s">
        <v>8</v>
      </c>
      <c r="CX756" s="27" t="s">
        <v>7</v>
      </c>
      <c r="DG756" s="27" t="s">
        <v>8</v>
      </c>
      <c r="DH756" s="27" t="s">
        <v>7</v>
      </c>
      <c r="DI756" s="27" t="s">
        <v>8</v>
      </c>
      <c r="DS756" s="27" t="s">
        <v>8</v>
      </c>
      <c r="DW756" s="27" t="s">
        <v>8</v>
      </c>
      <c r="DX756" s="27" t="s">
        <v>7</v>
      </c>
      <c r="DY756" s="27" t="s">
        <v>8</v>
      </c>
      <c r="DZ756" s="27" t="s">
        <v>7</v>
      </c>
      <c r="EB756" s="27" t="s">
        <v>7</v>
      </c>
      <c r="EC756" s="27" t="s">
        <v>8</v>
      </c>
      <c r="ED756" s="27" t="s">
        <v>7</v>
      </c>
      <c r="EE756" s="27" t="s">
        <v>8</v>
      </c>
      <c r="EF756" s="27" t="s">
        <v>7</v>
      </c>
      <c r="EI756" s="27" t="s">
        <v>8</v>
      </c>
      <c r="EM756" s="27" t="s">
        <v>8</v>
      </c>
      <c r="EO756" s="27" t="s">
        <v>8</v>
      </c>
      <c r="EP756" s="27" t="s">
        <v>7</v>
      </c>
    </row>
    <row r="757" spans="1:148" x14ac:dyDescent="0.25">
      <c r="A757" s="7">
        <v>3.451205345860435E-2</v>
      </c>
      <c r="B757"/>
      <c r="C757"/>
      <c r="D757"/>
      <c r="E757"/>
      <c r="F757" s="27" t="s">
        <v>7</v>
      </c>
      <c r="U757" s="27" t="s">
        <v>8</v>
      </c>
      <c r="Z757" s="27" t="s">
        <v>7</v>
      </c>
      <c r="AA757" s="27" t="s">
        <v>8</v>
      </c>
      <c r="AB757" s="27" t="s">
        <v>7</v>
      </c>
      <c r="AC757" s="27" t="s">
        <v>8</v>
      </c>
      <c r="AD757" s="27" t="s">
        <v>7</v>
      </c>
      <c r="AE757" s="27" t="s">
        <v>8</v>
      </c>
      <c r="AH757" s="27" t="s">
        <v>7</v>
      </c>
      <c r="AI757" s="27" t="s">
        <v>8</v>
      </c>
      <c r="AJ757" s="27" t="s">
        <v>7</v>
      </c>
      <c r="AK757" s="27" t="s">
        <v>8</v>
      </c>
      <c r="AL757" s="27" t="s">
        <v>7</v>
      </c>
      <c r="AM757" s="27" t="s">
        <v>8</v>
      </c>
      <c r="AN757" s="27" t="s">
        <v>7</v>
      </c>
      <c r="AO757" s="27" t="s">
        <v>8</v>
      </c>
      <c r="AP757" s="27" t="s">
        <v>7</v>
      </c>
      <c r="AU757" s="27" t="s">
        <v>8</v>
      </c>
      <c r="AW757" s="27" t="s">
        <v>8</v>
      </c>
      <c r="AX757" s="27" t="s">
        <v>7</v>
      </c>
      <c r="AY757" s="27" t="s">
        <v>8</v>
      </c>
      <c r="BA757" s="27" t="s">
        <v>8</v>
      </c>
      <c r="BC757" s="27" t="s">
        <v>8</v>
      </c>
      <c r="BH757" s="27" t="s">
        <v>7</v>
      </c>
      <c r="BI757" s="27" t="s">
        <v>8</v>
      </c>
      <c r="CT757" s="27" t="s">
        <v>7</v>
      </c>
      <c r="CU757" s="27" t="s">
        <v>8</v>
      </c>
      <c r="CX757" s="27" t="s">
        <v>7</v>
      </c>
      <c r="DA757" s="27" t="s">
        <v>8</v>
      </c>
      <c r="DG757" s="27" t="s">
        <v>8</v>
      </c>
      <c r="DH757" s="27" t="s">
        <v>7</v>
      </c>
      <c r="DI757" s="27" t="s">
        <v>8</v>
      </c>
      <c r="DJ757" s="27" t="s">
        <v>7</v>
      </c>
      <c r="DK757" s="27" t="s">
        <v>8</v>
      </c>
      <c r="DS757" s="27" t="s">
        <v>8</v>
      </c>
      <c r="DT757" s="27" t="s">
        <v>7</v>
      </c>
      <c r="DW757" s="27" t="s">
        <v>8</v>
      </c>
      <c r="DX757" s="27" t="s">
        <v>7</v>
      </c>
      <c r="DY757" s="27" t="s">
        <v>8</v>
      </c>
      <c r="EB757" s="27" t="s">
        <v>7</v>
      </c>
      <c r="EC757" s="27" t="s">
        <v>8</v>
      </c>
      <c r="ED757" s="27" t="s">
        <v>7</v>
      </c>
      <c r="EE757" s="27" t="s">
        <v>8</v>
      </c>
      <c r="EF757" s="27" t="s">
        <v>7</v>
      </c>
      <c r="EI757" s="27" t="s">
        <v>8</v>
      </c>
      <c r="EJ757" s="27" t="s">
        <v>7</v>
      </c>
      <c r="EM757" s="27" t="s">
        <v>8</v>
      </c>
      <c r="EN757" s="27" t="s">
        <v>7</v>
      </c>
      <c r="EO757" s="27" t="s">
        <v>8</v>
      </c>
    </row>
    <row r="758" spans="1:148" x14ac:dyDescent="0.25">
      <c r="A758" s="7">
        <v>3.3835346528043479E-2</v>
      </c>
      <c r="B758"/>
      <c r="C758"/>
      <c r="D758"/>
      <c r="E758"/>
      <c r="F758" s="27" t="s">
        <v>7</v>
      </c>
      <c r="U758" s="27" t="s">
        <v>8</v>
      </c>
      <c r="Z758" s="27" t="s">
        <v>7</v>
      </c>
      <c r="AA758" s="27" t="s">
        <v>8</v>
      </c>
      <c r="AB758" s="27" t="s">
        <v>7</v>
      </c>
      <c r="AC758" s="27" t="s">
        <v>8</v>
      </c>
      <c r="AD758" s="27" t="s">
        <v>7</v>
      </c>
      <c r="AE758" s="27" t="s">
        <v>8</v>
      </c>
      <c r="AH758" s="27" t="s">
        <v>7</v>
      </c>
      <c r="AI758" s="27" t="s">
        <v>8</v>
      </c>
      <c r="AJ758" s="27" t="s">
        <v>7</v>
      </c>
      <c r="AK758" s="27" t="s">
        <v>8</v>
      </c>
      <c r="AL758" s="27" t="s">
        <v>7</v>
      </c>
      <c r="AM758" s="27" t="s">
        <v>8</v>
      </c>
      <c r="AN758" s="27" t="s">
        <v>7</v>
      </c>
      <c r="AO758" s="27" t="s">
        <v>8</v>
      </c>
      <c r="AP758" s="27" t="s">
        <v>7</v>
      </c>
      <c r="AQ758" s="27" t="s">
        <v>8</v>
      </c>
      <c r="AU758" s="27" t="s">
        <v>8</v>
      </c>
      <c r="AV758" s="27" t="s">
        <v>7</v>
      </c>
      <c r="AW758" s="27" t="s">
        <v>8</v>
      </c>
      <c r="AX758" s="27" t="s">
        <v>7</v>
      </c>
      <c r="AY758" s="27" t="s">
        <v>8</v>
      </c>
      <c r="AZ758" s="27" t="s">
        <v>7</v>
      </c>
      <c r="BA758" s="27" t="s">
        <v>8</v>
      </c>
      <c r="BB758" s="27" t="s">
        <v>7</v>
      </c>
      <c r="BC758" s="27" t="s">
        <v>8</v>
      </c>
      <c r="BH758" s="27" t="s">
        <v>7</v>
      </c>
      <c r="BI758" s="27" t="s">
        <v>8</v>
      </c>
      <c r="CT758" s="27" t="s">
        <v>7</v>
      </c>
      <c r="CX758" s="27" t="s">
        <v>7</v>
      </c>
      <c r="DA758" s="27" t="s">
        <v>8</v>
      </c>
      <c r="DB758" s="27" t="s">
        <v>7</v>
      </c>
      <c r="DC758" s="27" t="s">
        <v>8</v>
      </c>
      <c r="DG758" s="27" t="s">
        <v>8</v>
      </c>
      <c r="DH758" s="27" t="s">
        <v>7</v>
      </c>
      <c r="DI758" s="27" t="s">
        <v>8</v>
      </c>
      <c r="DJ758" s="27" t="s">
        <v>7</v>
      </c>
      <c r="DK758" s="27" t="s">
        <v>8</v>
      </c>
      <c r="DL758" s="27" t="s">
        <v>7</v>
      </c>
      <c r="DM758" s="27" t="s">
        <v>8</v>
      </c>
      <c r="DS758" s="27" t="s">
        <v>8</v>
      </c>
      <c r="DT758" s="27" t="s">
        <v>7</v>
      </c>
      <c r="DW758" s="27" t="s">
        <v>8</v>
      </c>
      <c r="DX758" s="27" t="s">
        <v>7</v>
      </c>
      <c r="DY758" s="27" t="s">
        <v>8</v>
      </c>
      <c r="EB758" s="27" t="s">
        <v>7</v>
      </c>
      <c r="ED758" s="27" t="s">
        <v>7</v>
      </c>
      <c r="EE758" s="27" t="s">
        <v>8</v>
      </c>
      <c r="EF758" s="27" t="s">
        <v>7</v>
      </c>
      <c r="EG758" s="27" t="s">
        <v>8</v>
      </c>
      <c r="EI758" s="27" t="s">
        <v>8</v>
      </c>
      <c r="EJ758" s="27" t="s">
        <v>7</v>
      </c>
      <c r="EM758" s="27" t="s">
        <v>8</v>
      </c>
      <c r="EN758" s="27" t="s">
        <v>7</v>
      </c>
      <c r="EO758" s="27" t="s">
        <v>8</v>
      </c>
    </row>
    <row r="759" spans="1:148" x14ac:dyDescent="0.25">
      <c r="A759" s="7">
        <v>3.3171908360826938E-2</v>
      </c>
      <c r="B759"/>
      <c r="C759"/>
      <c r="D759"/>
      <c r="E759"/>
      <c r="F759" s="27" t="s">
        <v>7</v>
      </c>
      <c r="U759" s="27" t="s">
        <v>8</v>
      </c>
      <c r="Z759" s="27" t="s">
        <v>7</v>
      </c>
      <c r="AA759" s="27" t="s">
        <v>8</v>
      </c>
      <c r="AB759" s="27" t="s">
        <v>7</v>
      </c>
      <c r="AC759" s="27" t="s">
        <v>8</v>
      </c>
      <c r="AD759" s="27" t="s">
        <v>7</v>
      </c>
      <c r="AH759" s="27" t="s">
        <v>7</v>
      </c>
      <c r="AI759" s="27" t="s">
        <v>8</v>
      </c>
      <c r="AJ759" s="27" t="s">
        <v>7</v>
      </c>
      <c r="AK759" s="27" t="s">
        <v>8</v>
      </c>
      <c r="AL759" s="27" t="s">
        <v>7</v>
      </c>
      <c r="AN759" s="27" t="s">
        <v>7</v>
      </c>
      <c r="AO759" s="27" t="s">
        <v>8</v>
      </c>
      <c r="AP759" s="27" t="s">
        <v>7</v>
      </c>
      <c r="AQ759" s="27" t="s">
        <v>8</v>
      </c>
      <c r="AR759" s="27" t="s">
        <v>7</v>
      </c>
      <c r="AS759" s="27" t="s">
        <v>8</v>
      </c>
      <c r="AU759" s="27" t="s">
        <v>8</v>
      </c>
      <c r="AV759" s="27" t="s">
        <v>7</v>
      </c>
      <c r="AW759" s="27" t="s">
        <v>8</v>
      </c>
      <c r="AX759" s="27" t="s">
        <v>7</v>
      </c>
      <c r="AY759" s="27" t="s">
        <v>8</v>
      </c>
      <c r="AZ759" s="27" t="s">
        <v>7</v>
      </c>
      <c r="BA759" s="27" t="s">
        <v>8</v>
      </c>
      <c r="BB759" s="27" t="s">
        <v>7</v>
      </c>
      <c r="BC759" s="27" t="s">
        <v>8</v>
      </c>
      <c r="BH759" s="27" t="s">
        <v>7</v>
      </c>
      <c r="BI759" s="27" t="s">
        <v>8</v>
      </c>
      <c r="CX759" s="27" t="s">
        <v>7</v>
      </c>
      <c r="CY759" s="27" t="s">
        <v>8</v>
      </c>
      <c r="DA759" s="27" t="s">
        <v>8</v>
      </c>
      <c r="DB759" s="27" t="s">
        <v>7</v>
      </c>
      <c r="DC759" s="27" t="s">
        <v>8</v>
      </c>
      <c r="DD759" s="27" t="s">
        <v>7</v>
      </c>
      <c r="DG759" s="27" t="s">
        <v>8</v>
      </c>
      <c r="DH759" s="27" t="s">
        <v>7</v>
      </c>
      <c r="DJ759" s="27" t="s">
        <v>7</v>
      </c>
      <c r="DK759" s="27" t="s">
        <v>8</v>
      </c>
      <c r="DL759" s="27" t="s">
        <v>7</v>
      </c>
      <c r="DM759" s="27" t="s">
        <v>8</v>
      </c>
      <c r="DN759" s="27" t="s">
        <v>7</v>
      </c>
      <c r="DS759" s="27" t="s">
        <v>8</v>
      </c>
      <c r="DT759" s="27" t="s">
        <v>7</v>
      </c>
      <c r="DU759" s="27" t="s">
        <v>8</v>
      </c>
      <c r="DW759" s="27" t="s">
        <v>8</v>
      </c>
      <c r="DX759" s="27" t="s">
        <v>7</v>
      </c>
      <c r="DY759" s="27" t="s">
        <v>8</v>
      </c>
      <c r="ED759" s="27" t="s">
        <v>7</v>
      </c>
      <c r="EF759" s="27" t="s">
        <v>7</v>
      </c>
      <c r="EG759" s="27" t="s">
        <v>8</v>
      </c>
      <c r="EH759" s="27" t="s">
        <v>7</v>
      </c>
      <c r="EI759" s="27" t="s">
        <v>8</v>
      </c>
      <c r="EJ759" s="27" t="s">
        <v>7</v>
      </c>
      <c r="EK759" s="27" t="s">
        <v>8</v>
      </c>
      <c r="EM759" s="27" t="s">
        <v>8</v>
      </c>
      <c r="EN759" s="27" t="s">
        <v>7</v>
      </c>
      <c r="EO759" s="27" t="s">
        <v>8</v>
      </c>
    </row>
    <row r="760" spans="1:148" x14ac:dyDescent="0.25">
      <c r="A760" s="7">
        <v>3.2521478785124451E-2</v>
      </c>
      <c r="B760"/>
      <c r="C760"/>
      <c r="D760"/>
      <c r="E760"/>
      <c r="F760" s="27" t="s">
        <v>7</v>
      </c>
      <c r="U760" s="27" t="s">
        <v>8</v>
      </c>
      <c r="Z760" s="27" t="s">
        <v>7</v>
      </c>
      <c r="AA760" s="27" t="s">
        <v>8</v>
      </c>
      <c r="AB760" s="27" t="s">
        <v>7</v>
      </c>
      <c r="AH760" s="27" t="s">
        <v>7</v>
      </c>
      <c r="AI760" s="27" t="s">
        <v>8</v>
      </c>
      <c r="AJ760" s="27" t="s">
        <v>7</v>
      </c>
      <c r="AK760" s="27" t="s">
        <v>8</v>
      </c>
      <c r="AN760" s="27" t="s">
        <v>7</v>
      </c>
      <c r="AO760" s="27" t="s">
        <v>8</v>
      </c>
      <c r="AP760" s="27" t="s">
        <v>7</v>
      </c>
      <c r="AQ760" s="27" t="s">
        <v>8</v>
      </c>
      <c r="AR760" s="27" t="s">
        <v>7</v>
      </c>
      <c r="AS760" s="27" t="s">
        <v>8</v>
      </c>
      <c r="AT760" s="27" t="s">
        <v>7</v>
      </c>
      <c r="AU760" s="27" t="s">
        <v>8</v>
      </c>
      <c r="AV760" s="27" t="s">
        <v>7</v>
      </c>
      <c r="AX760" s="27" t="s">
        <v>7</v>
      </c>
      <c r="AY760" s="27" t="s">
        <v>8</v>
      </c>
      <c r="AZ760" s="27" t="s">
        <v>7</v>
      </c>
      <c r="BA760" s="27" t="s">
        <v>8</v>
      </c>
      <c r="BB760" s="27" t="s">
        <v>7</v>
      </c>
      <c r="BC760" s="27" t="s">
        <v>8</v>
      </c>
      <c r="BH760" s="27" t="s">
        <v>7</v>
      </c>
      <c r="BI760" s="27" t="s">
        <v>8</v>
      </c>
      <c r="CX760" s="27" t="s">
        <v>7</v>
      </c>
      <c r="CY760" s="27" t="s">
        <v>8</v>
      </c>
      <c r="CZ760" s="27" t="s">
        <v>7</v>
      </c>
      <c r="DA760" s="27" t="s">
        <v>8</v>
      </c>
      <c r="DB760" s="27" t="s">
        <v>7</v>
      </c>
      <c r="DC760" s="27" t="s">
        <v>8</v>
      </c>
      <c r="DD760" s="27" t="s">
        <v>7</v>
      </c>
      <c r="DG760" s="27" t="s">
        <v>8</v>
      </c>
      <c r="DJ760" s="27" t="s">
        <v>7</v>
      </c>
      <c r="DK760" s="27" t="s">
        <v>8</v>
      </c>
      <c r="DL760" s="27" t="s">
        <v>7</v>
      </c>
      <c r="DM760" s="27" t="s">
        <v>8</v>
      </c>
      <c r="DN760" s="27" t="s">
        <v>7</v>
      </c>
      <c r="DS760" s="27" t="s">
        <v>8</v>
      </c>
      <c r="DT760" s="27" t="s">
        <v>7</v>
      </c>
      <c r="DU760" s="27" t="s">
        <v>8</v>
      </c>
      <c r="DV760" s="27" t="s">
        <v>7</v>
      </c>
      <c r="DW760" s="27" t="s">
        <v>8</v>
      </c>
      <c r="DX760" s="27" t="s">
        <v>7</v>
      </c>
      <c r="DY760" s="27" t="s">
        <v>8</v>
      </c>
      <c r="EF760" s="27" t="s">
        <v>7</v>
      </c>
      <c r="EG760" s="27" t="s">
        <v>8</v>
      </c>
      <c r="EH760" s="27" t="s">
        <v>7</v>
      </c>
      <c r="EI760" s="27" t="s">
        <v>8</v>
      </c>
      <c r="EJ760" s="27" t="s">
        <v>7</v>
      </c>
      <c r="EK760" s="27" t="s">
        <v>8</v>
      </c>
      <c r="EL760" s="27" t="s">
        <v>7</v>
      </c>
      <c r="EM760" s="27" t="s">
        <v>8</v>
      </c>
      <c r="EN760" s="27" t="s">
        <v>7</v>
      </c>
      <c r="EO760" s="27" t="s">
        <v>8</v>
      </c>
    </row>
    <row r="761" spans="1:148" x14ac:dyDescent="0.25">
      <c r="A761" s="7">
        <v>3.1883802730514173E-2</v>
      </c>
      <c r="B761"/>
      <c r="C761"/>
      <c r="D761"/>
      <c r="E761"/>
      <c r="F761" s="27" t="s">
        <v>7</v>
      </c>
      <c r="U761" s="27" t="s">
        <v>8</v>
      </c>
      <c r="Z761" s="27" t="s">
        <v>7</v>
      </c>
      <c r="AA761" s="27" t="s">
        <v>8</v>
      </c>
      <c r="AH761" s="27" t="s">
        <v>7</v>
      </c>
      <c r="AI761" s="27" t="s">
        <v>8</v>
      </c>
      <c r="AJ761" s="27" t="s">
        <v>7</v>
      </c>
      <c r="AK761" s="27" t="s">
        <v>8</v>
      </c>
      <c r="AN761" s="27" t="s">
        <v>7</v>
      </c>
      <c r="AO761" s="27" t="s">
        <v>8</v>
      </c>
      <c r="AP761" s="27" t="s">
        <v>7</v>
      </c>
      <c r="AR761" s="27" t="s">
        <v>7</v>
      </c>
      <c r="AS761" s="27" t="s">
        <v>8</v>
      </c>
      <c r="AT761" s="27" t="s">
        <v>7</v>
      </c>
      <c r="AU761" s="27" t="s">
        <v>8</v>
      </c>
      <c r="AX761" s="27" t="s">
        <v>7</v>
      </c>
      <c r="AZ761" s="27" t="s">
        <v>7</v>
      </c>
      <c r="BA761" s="27" t="s">
        <v>8</v>
      </c>
      <c r="BB761" s="27" t="s">
        <v>7</v>
      </c>
      <c r="BC761" s="27" t="s">
        <v>8</v>
      </c>
      <c r="BH761" s="27" t="s">
        <v>7</v>
      </c>
      <c r="CX761" s="27" t="s">
        <v>7</v>
      </c>
      <c r="CY761" s="27" t="s">
        <v>8</v>
      </c>
      <c r="CZ761" s="27" t="s">
        <v>7</v>
      </c>
      <c r="DA761" s="27" t="s">
        <v>8</v>
      </c>
      <c r="DB761" s="27" t="s">
        <v>7</v>
      </c>
      <c r="DC761" s="27" t="s">
        <v>8</v>
      </c>
      <c r="DD761" s="27" t="s">
        <v>7</v>
      </c>
      <c r="DE761" s="27" t="s">
        <v>8</v>
      </c>
      <c r="DG761" s="27" t="s">
        <v>8</v>
      </c>
      <c r="DJ761" s="27" t="s">
        <v>7</v>
      </c>
      <c r="DK761" s="27" t="s">
        <v>8</v>
      </c>
      <c r="DL761" s="27" t="s">
        <v>7</v>
      </c>
      <c r="DN761" s="27" t="s">
        <v>7</v>
      </c>
      <c r="DQ761" s="27" t="s">
        <v>8</v>
      </c>
      <c r="DS761" s="27" t="s">
        <v>8</v>
      </c>
      <c r="DT761" s="27" t="s">
        <v>7</v>
      </c>
      <c r="DU761" s="27" t="s">
        <v>8</v>
      </c>
      <c r="DV761" s="27" t="s">
        <v>7</v>
      </c>
      <c r="DW761" s="27" t="s">
        <v>8</v>
      </c>
      <c r="DX761" s="27" t="s">
        <v>7</v>
      </c>
      <c r="DY761" s="27" t="s">
        <v>8</v>
      </c>
      <c r="EF761" s="27" t="s">
        <v>7</v>
      </c>
      <c r="EG761" s="27" t="s">
        <v>8</v>
      </c>
      <c r="EH761" s="27" t="s">
        <v>7</v>
      </c>
      <c r="EI761" s="27" t="s">
        <v>8</v>
      </c>
      <c r="EJ761" s="27" t="s">
        <v>7</v>
      </c>
      <c r="EK761" s="27" t="s">
        <v>8</v>
      </c>
      <c r="EL761" s="27" t="s">
        <v>7</v>
      </c>
      <c r="EM761" s="27" t="s">
        <v>8</v>
      </c>
      <c r="EN761" s="27" t="s">
        <v>7</v>
      </c>
      <c r="EO761" s="27" t="s">
        <v>8</v>
      </c>
    </row>
    <row r="762" spans="1:148" x14ac:dyDescent="0.25">
      <c r="A762" s="7">
        <v>3.1258630127955073E-2</v>
      </c>
      <c r="B762"/>
      <c r="C762"/>
      <c r="D762"/>
      <c r="E762"/>
      <c r="F762" s="27" t="s">
        <v>7</v>
      </c>
      <c r="U762" s="27" t="s">
        <v>8</v>
      </c>
      <c r="Z762" s="27" t="s">
        <v>7</v>
      </c>
      <c r="AA762" s="27" t="s">
        <v>8</v>
      </c>
      <c r="AH762" s="27" t="s">
        <v>7</v>
      </c>
      <c r="AI762" s="27" t="s">
        <v>8</v>
      </c>
      <c r="AJ762" s="27" t="s">
        <v>7</v>
      </c>
      <c r="AK762" s="27" t="s">
        <v>8</v>
      </c>
      <c r="AN762" s="27" t="s">
        <v>7</v>
      </c>
      <c r="AO762" s="27" t="s">
        <v>8</v>
      </c>
      <c r="AR762" s="27" t="s">
        <v>7</v>
      </c>
      <c r="AS762" s="27" t="s">
        <v>8</v>
      </c>
      <c r="AT762" s="27" t="s">
        <v>7</v>
      </c>
      <c r="AU762" s="27" t="s">
        <v>8</v>
      </c>
      <c r="AZ762" s="27" t="s">
        <v>7</v>
      </c>
      <c r="BB762" s="27" t="s">
        <v>7</v>
      </c>
      <c r="BC762" s="27" t="s">
        <v>8</v>
      </c>
      <c r="CX762" s="27" t="s">
        <v>7</v>
      </c>
      <c r="CY762" s="27" t="s">
        <v>8</v>
      </c>
      <c r="CZ762" s="27" t="s">
        <v>7</v>
      </c>
      <c r="DA762" s="27" t="s">
        <v>8</v>
      </c>
      <c r="DB762" s="27" t="s">
        <v>7</v>
      </c>
      <c r="DD762" s="27" t="s">
        <v>7</v>
      </c>
      <c r="DE762" s="27" t="s">
        <v>8</v>
      </c>
      <c r="DF762" s="27" t="s">
        <v>7</v>
      </c>
      <c r="DG762" s="27" t="s">
        <v>8</v>
      </c>
      <c r="DJ762" s="27" t="s">
        <v>7</v>
      </c>
      <c r="DK762" s="27" t="s">
        <v>8</v>
      </c>
      <c r="DN762" s="27" t="s">
        <v>7</v>
      </c>
      <c r="DO762" s="27" t="s">
        <v>8</v>
      </c>
      <c r="DQ762" s="27" t="s">
        <v>8</v>
      </c>
      <c r="DR762" s="27" t="s">
        <v>7</v>
      </c>
      <c r="DS762" s="27" t="s">
        <v>8</v>
      </c>
      <c r="DT762" s="27" t="s">
        <v>7</v>
      </c>
      <c r="DV762" s="27" t="s">
        <v>7</v>
      </c>
      <c r="DW762" s="27" t="s">
        <v>8</v>
      </c>
      <c r="DX762" s="27" t="s">
        <v>7</v>
      </c>
      <c r="DY762" s="27" t="s">
        <v>8</v>
      </c>
      <c r="EF762" s="27" t="s">
        <v>7</v>
      </c>
      <c r="EG762" s="27" t="s">
        <v>8</v>
      </c>
      <c r="EH762" s="27" t="s">
        <v>7</v>
      </c>
      <c r="EJ762" s="27" t="s">
        <v>7</v>
      </c>
      <c r="EL762" s="27" t="s">
        <v>7</v>
      </c>
      <c r="EM762" s="27" t="s">
        <v>8</v>
      </c>
      <c r="EN762" s="27" t="s">
        <v>7</v>
      </c>
      <c r="EO762" s="27" t="s">
        <v>8</v>
      </c>
    </row>
    <row r="763" spans="1:148" x14ac:dyDescent="0.25">
      <c r="A763" s="7">
        <v>3.064571581172066E-2</v>
      </c>
      <c r="B763"/>
      <c r="C763"/>
      <c r="D763"/>
      <c r="E763"/>
      <c r="F763" s="27" t="s">
        <v>7</v>
      </c>
      <c r="U763" s="27" t="s">
        <v>8</v>
      </c>
      <c r="Z763" s="27" t="s">
        <v>7</v>
      </c>
      <c r="AA763" s="27" t="s">
        <v>8</v>
      </c>
      <c r="AH763" s="27" t="s">
        <v>7</v>
      </c>
      <c r="AI763" s="27" t="s">
        <v>8</v>
      </c>
      <c r="AJ763" s="27" t="s">
        <v>7</v>
      </c>
      <c r="AK763" s="27" t="s">
        <v>8</v>
      </c>
      <c r="AN763" s="27" t="s">
        <v>7</v>
      </c>
      <c r="AO763" s="27" t="s">
        <v>8</v>
      </c>
      <c r="AR763" s="27" t="s">
        <v>7</v>
      </c>
      <c r="AS763" s="27" t="s">
        <v>8</v>
      </c>
      <c r="AT763" s="27" t="s">
        <v>7</v>
      </c>
      <c r="BB763" s="27" t="s">
        <v>7</v>
      </c>
      <c r="CX763" s="27" t="s">
        <v>7</v>
      </c>
      <c r="CY763" s="27" t="s">
        <v>8</v>
      </c>
      <c r="CZ763" s="27" t="s">
        <v>7</v>
      </c>
      <c r="DA763" s="27" t="s">
        <v>8</v>
      </c>
      <c r="DD763" s="27" t="s">
        <v>7</v>
      </c>
      <c r="DE763" s="27" t="s">
        <v>8</v>
      </c>
      <c r="DF763" s="27" t="s">
        <v>7</v>
      </c>
      <c r="DG763" s="27" t="s">
        <v>8</v>
      </c>
      <c r="DJ763" s="27" t="s">
        <v>7</v>
      </c>
      <c r="DK763" s="27" t="s">
        <v>8</v>
      </c>
      <c r="DN763" s="27" t="s">
        <v>7</v>
      </c>
      <c r="DO763" s="27" t="s">
        <v>8</v>
      </c>
      <c r="DP763" s="27" t="s">
        <v>7</v>
      </c>
      <c r="DQ763" s="27" t="s">
        <v>8</v>
      </c>
      <c r="DR763" s="27" t="s">
        <v>7</v>
      </c>
      <c r="DS763" s="27" t="s">
        <v>8</v>
      </c>
      <c r="DV763" s="27" t="s">
        <v>7</v>
      </c>
      <c r="DW763" s="27" t="s">
        <v>8</v>
      </c>
      <c r="DX763" s="27" t="s">
        <v>7</v>
      </c>
      <c r="EF763" s="27" t="s">
        <v>7</v>
      </c>
      <c r="EG763" s="27" t="s">
        <v>8</v>
      </c>
      <c r="EL763" s="27" t="s">
        <v>7</v>
      </c>
      <c r="EN763" s="27" t="s">
        <v>7</v>
      </c>
      <c r="EO763" s="27" t="s">
        <v>8</v>
      </c>
    </row>
    <row r="764" spans="1:148" x14ac:dyDescent="0.25">
      <c r="A764" s="7">
        <v>3.0044819423255549E-2</v>
      </c>
      <c r="B764"/>
      <c r="C764"/>
      <c r="D764"/>
      <c r="E764"/>
      <c r="F764" s="27" t="s">
        <v>7</v>
      </c>
      <c r="U764" s="27" t="s">
        <v>8</v>
      </c>
      <c r="Z764" s="27" t="s">
        <v>7</v>
      </c>
      <c r="AA764" s="27" t="s">
        <v>8</v>
      </c>
      <c r="AH764" s="27" t="s">
        <v>7</v>
      </c>
      <c r="AI764" s="27" t="s">
        <v>8</v>
      </c>
      <c r="AJ764" s="27" t="s">
        <v>7</v>
      </c>
      <c r="AK764" s="27" t="s">
        <v>8</v>
      </c>
      <c r="AN764" s="27" t="s">
        <v>7</v>
      </c>
      <c r="AR764" s="27" t="s">
        <v>7</v>
      </c>
      <c r="AS764" s="27" t="s">
        <v>8</v>
      </c>
      <c r="CX764" s="27" t="s">
        <v>7</v>
      </c>
      <c r="CZ764" s="27" t="s">
        <v>7</v>
      </c>
      <c r="DD764" s="27" t="s">
        <v>7</v>
      </c>
      <c r="DE764" s="27" t="s">
        <v>8</v>
      </c>
      <c r="DF764" s="27" t="s">
        <v>7</v>
      </c>
      <c r="DG764" s="27" t="s">
        <v>8</v>
      </c>
      <c r="DJ764" s="27" t="s">
        <v>7</v>
      </c>
      <c r="DN764" s="27" t="s">
        <v>7</v>
      </c>
      <c r="DO764" s="27" t="s">
        <v>8</v>
      </c>
      <c r="DP764" s="27" t="s">
        <v>7</v>
      </c>
      <c r="DQ764" s="27" t="s">
        <v>8</v>
      </c>
      <c r="DR764" s="27" t="s">
        <v>7</v>
      </c>
      <c r="DV764" s="27" t="s">
        <v>7</v>
      </c>
      <c r="EF764" s="27" t="s">
        <v>7</v>
      </c>
      <c r="EG764" s="27" t="s">
        <v>8</v>
      </c>
      <c r="EN764" s="27" t="s">
        <v>7</v>
      </c>
    </row>
    <row r="765" spans="1:148" x14ac:dyDescent="0.25">
      <c r="A765" s="7">
        <v>2.9455705316917203E-2</v>
      </c>
      <c r="B765"/>
      <c r="C765"/>
      <c r="D765"/>
      <c r="E765"/>
      <c r="F765" s="27" t="s">
        <v>7</v>
      </c>
      <c r="U765" s="27" t="s">
        <v>8</v>
      </c>
      <c r="Z765" s="27" t="s">
        <v>7</v>
      </c>
      <c r="AH765" s="27" t="s">
        <v>7</v>
      </c>
      <c r="AI765" s="27" t="s">
        <v>8</v>
      </c>
      <c r="AJ765" s="27" t="s">
        <v>7</v>
      </c>
      <c r="AR765" s="27" t="s">
        <v>7</v>
      </c>
      <c r="DD765" s="27" t="s">
        <v>7</v>
      </c>
      <c r="DF765" s="27" t="s">
        <v>7</v>
      </c>
      <c r="DN765" s="27" t="s">
        <v>7</v>
      </c>
      <c r="DO765" s="27" t="s">
        <v>8</v>
      </c>
      <c r="DP765" s="27" t="s">
        <v>7</v>
      </c>
      <c r="DQ765" s="27" t="s">
        <v>8</v>
      </c>
      <c r="EF765" s="27" t="s">
        <v>7</v>
      </c>
    </row>
    <row r="766" spans="1:148" x14ac:dyDescent="0.25">
      <c r="A766" s="7">
        <v>2.8878142467565884E-2</v>
      </c>
      <c r="B766"/>
      <c r="C766"/>
      <c r="D766"/>
      <c r="E766"/>
      <c r="F766" s="27" t="s">
        <v>7</v>
      </c>
      <c r="U766" s="27" t="s">
        <v>8</v>
      </c>
      <c r="AH766" s="27" t="s">
        <v>7</v>
      </c>
      <c r="AI766" s="27" t="s">
        <v>8</v>
      </c>
      <c r="DN766" s="27" t="s">
        <v>7</v>
      </c>
      <c r="DP766" s="27" t="s">
        <v>7</v>
      </c>
      <c r="DQ766" s="27" t="s">
        <v>8</v>
      </c>
    </row>
    <row r="767" spans="1:148" x14ac:dyDescent="0.25">
      <c r="A767" s="7">
        <v>2.8311904379966554E-2</v>
      </c>
      <c r="B767"/>
      <c r="C767"/>
      <c r="D767"/>
      <c r="E767"/>
      <c r="F767" s="27" t="s">
        <v>7</v>
      </c>
      <c r="U767" s="27" t="s">
        <v>8</v>
      </c>
      <c r="AH767" s="27" t="s">
        <v>7</v>
      </c>
      <c r="AI767" s="27" t="s">
        <v>8</v>
      </c>
      <c r="DP767" s="27" t="s">
        <v>7</v>
      </c>
      <c r="DQ767" s="27" t="s">
        <v>8</v>
      </c>
    </row>
    <row r="768" spans="1:148" x14ac:dyDescent="0.25">
      <c r="A768" s="7">
        <v>2.7756768999967207E-2</v>
      </c>
      <c r="B768"/>
      <c r="C768"/>
      <c r="D768"/>
      <c r="E768"/>
      <c r="F768" s="27" t="s">
        <v>7</v>
      </c>
      <c r="U768" s="27" t="s">
        <v>8</v>
      </c>
      <c r="AH768" s="27" t="s">
        <v>7</v>
      </c>
      <c r="AI768" s="27" t="s">
        <v>8</v>
      </c>
      <c r="DP768" s="27" t="s">
        <v>7</v>
      </c>
    </row>
    <row r="769" spans="1:35" x14ac:dyDescent="0.25">
      <c r="A769" s="7">
        <v>2.7212518627418834E-2</v>
      </c>
      <c r="B769"/>
      <c r="C769"/>
      <c r="D769"/>
      <c r="E769"/>
      <c r="F769" s="27" t="s">
        <v>7</v>
      </c>
      <c r="U769" s="27" t="s">
        <v>8</v>
      </c>
      <c r="AH769" s="27" t="s">
        <v>7</v>
      </c>
      <c r="AI769" s="27" t="s">
        <v>8</v>
      </c>
    </row>
    <row r="770" spans="1:35" x14ac:dyDescent="0.25">
      <c r="A770" s="7">
        <v>2.6678939830802779E-2</v>
      </c>
      <c r="B770"/>
      <c r="C770"/>
      <c r="D770"/>
      <c r="E770"/>
      <c r="F770" s="27" t="s">
        <v>7</v>
      </c>
      <c r="U770" s="27" t="s">
        <v>8</v>
      </c>
      <c r="AH770" s="27" t="s">
        <v>7</v>
      </c>
      <c r="AI770" s="27" t="s">
        <v>8</v>
      </c>
    </row>
    <row r="771" spans="1:35" x14ac:dyDescent="0.25">
      <c r="A771" s="7">
        <v>2.615582336353214E-2</v>
      </c>
      <c r="B771"/>
      <c r="C771"/>
      <c r="D771"/>
      <c r="E771"/>
      <c r="F771" s="27" t="s">
        <v>7</v>
      </c>
      <c r="U771" s="27" t="s">
        <v>8</v>
      </c>
      <c r="AH771" s="27" t="s">
        <v>7</v>
      </c>
      <c r="AI771" s="27" t="s">
        <v>8</v>
      </c>
    </row>
    <row r="772" spans="1:35" x14ac:dyDescent="0.25">
      <c r="A772" s="7">
        <v>2.5642964081894253E-2</v>
      </c>
      <c r="B772"/>
      <c r="C772"/>
      <c r="D772"/>
      <c r="E772"/>
      <c r="F772" s="27" t="s">
        <v>7</v>
      </c>
      <c r="U772" s="27" t="s">
        <v>8</v>
      </c>
      <c r="AH772" s="27" t="s">
        <v>7</v>
      </c>
      <c r="AI772" s="27" t="s">
        <v>8</v>
      </c>
    </row>
    <row r="773" spans="1:35" x14ac:dyDescent="0.25">
      <c r="A773" s="7">
        <v>2.5140160864602207E-2</v>
      </c>
      <c r="B773"/>
      <c r="C773"/>
      <c r="D773"/>
      <c r="E773"/>
      <c r="F773" s="27" t="s">
        <v>7</v>
      </c>
      <c r="U773" s="27" t="s">
        <v>8</v>
      </c>
      <c r="AH773" s="27" t="s">
        <v>7</v>
      </c>
      <c r="AI773" s="27" t="s">
        <v>8</v>
      </c>
    </row>
    <row r="774" spans="1:35" x14ac:dyDescent="0.25">
      <c r="A774" s="7">
        <v>2.4647216533923735E-2</v>
      </c>
      <c r="B774"/>
      <c r="C774"/>
      <c r="D774"/>
      <c r="E774"/>
      <c r="F774" s="27" t="s">
        <v>7</v>
      </c>
      <c r="U774" s="27" t="s">
        <v>8</v>
      </c>
      <c r="AH774" s="27" t="s">
        <v>7</v>
      </c>
      <c r="AI774" s="27" t="s">
        <v>8</v>
      </c>
    </row>
    <row r="775" spans="1:35" x14ac:dyDescent="0.25">
      <c r="A775" s="7">
        <v>2.4163937778356601E-2</v>
      </c>
      <c r="B775"/>
      <c r="C775"/>
      <c r="D775"/>
      <c r="E775"/>
      <c r="F775" s="27" t="s">
        <v>7</v>
      </c>
      <c r="U775" s="27" t="s">
        <v>8</v>
      </c>
      <c r="AH775" s="27" t="s">
        <v>7</v>
      </c>
      <c r="AI775" s="27" t="s">
        <v>8</v>
      </c>
    </row>
    <row r="776" spans="1:35" x14ac:dyDescent="0.25">
      <c r="A776" s="7">
        <v>2.3690135076820197E-2</v>
      </c>
      <c r="B776"/>
      <c r="C776"/>
      <c r="D776"/>
      <c r="E776"/>
      <c r="F776" s="27" t="s">
        <v>7</v>
      </c>
      <c r="Q776" s="27" t="s">
        <v>8</v>
      </c>
      <c r="U776" s="27" t="s">
        <v>8</v>
      </c>
      <c r="AH776" s="27" t="s">
        <v>7</v>
      </c>
      <c r="AI776" s="27" t="s">
        <v>8</v>
      </c>
    </row>
    <row r="777" spans="1:35" x14ac:dyDescent="0.25">
      <c r="A777" s="7">
        <v>2.3225622624333527E-2</v>
      </c>
      <c r="B777"/>
      <c r="C777"/>
      <c r="D777"/>
      <c r="E777"/>
      <c r="F777" s="27" t="s">
        <v>7</v>
      </c>
      <c r="Q777" s="27" t="s">
        <v>8</v>
      </c>
      <c r="R777" s="27" t="s">
        <v>7</v>
      </c>
      <c r="U777" s="27" t="s">
        <v>8</v>
      </c>
      <c r="AH777" s="27" t="s">
        <v>7</v>
      </c>
      <c r="AI777" s="27" t="s">
        <v>8</v>
      </c>
    </row>
    <row r="778" spans="1:35" x14ac:dyDescent="0.25">
      <c r="A778" s="7">
        <v>2.2770218259150519E-2</v>
      </c>
      <c r="B778"/>
      <c r="C778"/>
      <c r="D778"/>
      <c r="E778"/>
      <c r="F778" s="27" t="s">
        <v>7</v>
      </c>
      <c r="Q778" s="27" t="s">
        <v>8</v>
      </c>
      <c r="R778" s="27" t="s">
        <v>7</v>
      </c>
      <c r="U778" s="27" t="s">
        <v>8</v>
      </c>
      <c r="AH778" s="27" t="s">
        <v>7</v>
      </c>
      <c r="AI778" s="27" t="s">
        <v>8</v>
      </c>
    </row>
    <row r="779" spans="1:35" x14ac:dyDescent="0.25">
      <c r="A779" s="7">
        <v>2.2323743391324039E-2</v>
      </c>
      <c r="B779"/>
      <c r="C779"/>
      <c r="D779"/>
      <c r="E779"/>
      <c r="F779" s="27" t="s">
        <v>7</v>
      </c>
      <c r="Q779" s="27" t="s">
        <v>8</v>
      </c>
      <c r="R779" s="27" t="s">
        <v>7</v>
      </c>
      <c r="U779" s="27" t="s">
        <v>8</v>
      </c>
      <c r="AH779" s="27" t="s">
        <v>7</v>
      </c>
      <c r="AI779" s="27" t="s">
        <v>8</v>
      </c>
    </row>
    <row r="780" spans="1:35" x14ac:dyDescent="0.25">
      <c r="A780" s="7">
        <v>2.188602293267063E-2</v>
      </c>
      <c r="B780"/>
      <c r="C780"/>
      <c r="D780"/>
      <c r="E780"/>
      <c r="F780" s="27" t="s">
        <v>7</v>
      </c>
      <c r="Q780" s="27" t="s">
        <v>8</v>
      </c>
      <c r="R780" s="27" t="s">
        <v>7</v>
      </c>
      <c r="U780" s="27" t="s">
        <v>8</v>
      </c>
      <c r="AH780" s="27" t="s">
        <v>7</v>
      </c>
      <c r="AI780" s="27" t="s">
        <v>8</v>
      </c>
    </row>
    <row r="781" spans="1:35" x14ac:dyDescent="0.25">
      <c r="A781" s="7">
        <v>2.1456885228108461E-2</v>
      </c>
      <c r="B781"/>
      <c r="C781"/>
      <c r="D781"/>
      <c r="E781"/>
      <c r="F781" s="27" t="s">
        <v>7</v>
      </c>
      <c r="Q781" s="27" t="s">
        <v>8</v>
      </c>
      <c r="R781" s="27" t="s">
        <v>7</v>
      </c>
      <c r="U781" s="27" t="s">
        <v>8</v>
      </c>
      <c r="AH781" s="27" t="s">
        <v>7</v>
      </c>
      <c r="AI781" s="27" t="s">
        <v>8</v>
      </c>
    </row>
    <row r="782" spans="1:35" x14ac:dyDescent="0.25">
      <c r="A782" s="7">
        <v>2.1036161988341632E-2</v>
      </c>
      <c r="B782"/>
      <c r="C782"/>
      <c r="D782"/>
      <c r="E782"/>
      <c r="F782" s="27" t="s">
        <v>7</v>
      </c>
      <c r="Q782" s="27" t="s">
        <v>8</v>
      </c>
      <c r="R782" s="27" t="s">
        <v>7</v>
      </c>
      <c r="S782" s="27" t="s">
        <v>8</v>
      </c>
      <c r="U782" s="27" t="s">
        <v>8</v>
      </c>
      <c r="AH782" s="27" t="s">
        <v>7</v>
      </c>
      <c r="AI782" s="27" t="s">
        <v>8</v>
      </c>
    </row>
    <row r="783" spans="1:35" x14ac:dyDescent="0.25">
      <c r="A783" s="7">
        <v>2.0623688223864345E-2</v>
      </c>
      <c r="B783"/>
      <c r="C783"/>
      <c r="D783"/>
      <c r="E783"/>
      <c r="F783" s="27" t="s">
        <v>7</v>
      </c>
      <c r="Q783" s="27" t="s">
        <v>8</v>
      </c>
      <c r="R783" s="27" t="s">
        <v>7</v>
      </c>
      <c r="S783" s="27" t="s">
        <v>8</v>
      </c>
      <c r="T783" s="27" t="s">
        <v>7</v>
      </c>
      <c r="U783" s="27" t="s">
        <v>8</v>
      </c>
      <c r="AH783" s="27" t="s">
        <v>7</v>
      </c>
      <c r="AI783" s="27" t="s">
        <v>8</v>
      </c>
    </row>
    <row r="784" spans="1:35" x14ac:dyDescent="0.25">
      <c r="A784" s="7">
        <v>2.021930218025916E-2</v>
      </c>
      <c r="B784"/>
      <c r="C784"/>
      <c r="D784"/>
      <c r="E784"/>
      <c r="F784" s="27" t="s">
        <v>7</v>
      </c>
      <c r="Q784" s="27" t="s">
        <v>8</v>
      </c>
      <c r="R784" s="27" t="s">
        <v>7</v>
      </c>
      <c r="S784" s="27" t="s">
        <v>8</v>
      </c>
      <c r="T784" s="27" t="s">
        <v>7</v>
      </c>
      <c r="U784" s="27" t="s">
        <v>8</v>
      </c>
      <c r="AH784" s="27" t="s">
        <v>7</v>
      </c>
      <c r="AI784" s="27" t="s">
        <v>8</v>
      </c>
    </row>
    <row r="785" spans="1:35" x14ac:dyDescent="0.25">
      <c r="A785" s="7">
        <v>1.9822845274763884E-2</v>
      </c>
      <c r="B785"/>
      <c r="C785"/>
      <c r="D785"/>
      <c r="E785"/>
      <c r="F785" s="27" t="s">
        <v>7</v>
      </c>
      <c r="Q785" s="27" t="s">
        <v>8</v>
      </c>
      <c r="R785" s="27" t="s">
        <v>7</v>
      </c>
      <c r="S785" s="27" t="s">
        <v>8</v>
      </c>
      <c r="T785" s="27" t="s">
        <v>7</v>
      </c>
      <c r="U785" s="27" t="s">
        <v>8</v>
      </c>
      <c r="AH785" s="27" t="s">
        <v>7</v>
      </c>
      <c r="AI785" s="27" t="s">
        <v>8</v>
      </c>
    </row>
    <row r="786" spans="1:35" x14ac:dyDescent="0.25">
      <c r="A786" s="7">
        <v>1.9434162034082238E-2</v>
      </c>
      <c r="B786"/>
      <c r="C786"/>
      <c r="D786"/>
      <c r="E786"/>
      <c r="F786" s="27" t="s">
        <v>7</v>
      </c>
      <c r="Q786" s="27" t="s">
        <v>8</v>
      </c>
      <c r="R786" s="27" t="s">
        <v>7</v>
      </c>
      <c r="S786" s="27" t="s">
        <v>8</v>
      </c>
      <c r="T786" s="27" t="s">
        <v>7</v>
      </c>
      <c r="U786" s="27" t="s">
        <v>8</v>
      </c>
      <c r="AH786" s="27" t="s">
        <v>7</v>
      </c>
      <c r="AI786" s="27" t="s">
        <v>8</v>
      </c>
    </row>
    <row r="787" spans="1:35" x14ac:dyDescent="0.25">
      <c r="A787" s="7">
        <v>1.9053100033413959E-2</v>
      </c>
      <c r="B787"/>
      <c r="C787"/>
      <c r="D787"/>
      <c r="E787"/>
      <c r="F787" s="27" t="s">
        <v>7</v>
      </c>
      <c r="Q787" s="27" t="s">
        <v>8</v>
      </c>
      <c r="R787" s="27" t="s">
        <v>7</v>
      </c>
      <c r="S787" s="27" t="s">
        <v>8</v>
      </c>
      <c r="T787" s="27" t="s">
        <v>7</v>
      </c>
      <c r="U787" s="27" t="s">
        <v>8</v>
      </c>
      <c r="AH787" s="27" t="s">
        <v>7</v>
      </c>
      <c r="AI787" s="27" t="s">
        <v>8</v>
      </c>
    </row>
    <row r="788" spans="1:35" x14ac:dyDescent="0.25">
      <c r="A788" s="7">
        <v>1.867950983668035E-2</v>
      </c>
      <c r="B788"/>
      <c r="C788"/>
      <c r="D788"/>
      <c r="E788"/>
      <c r="F788" s="27" t="s">
        <v>7</v>
      </c>
      <c r="Q788" s="27" t="s">
        <v>8</v>
      </c>
      <c r="R788" s="27" t="s">
        <v>7</v>
      </c>
      <c r="S788" s="27" t="s">
        <v>8</v>
      </c>
      <c r="T788" s="27" t="s">
        <v>7</v>
      </c>
      <c r="AH788" s="27" t="s">
        <v>7</v>
      </c>
      <c r="AI788" s="27" t="s">
        <v>8</v>
      </c>
    </row>
    <row r="789" spans="1:35" x14ac:dyDescent="0.25">
      <c r="A789" s="7">
        <v>1.8313244937921913E-2</v>
      </c>
      <c r="B789"/>
      <c r="C789"/>
      <c r="D789"/>
      <c r="E789"/>
      <c r="F789" s="27" t="s">
        <v>7</v>
      </c>
      <c r="Q789" s="27" t="s">
        <v>8</v>
      </c>
      <c r="R789" s="27" t="s">
        <v>7</v>
      </c>
      <c r="S789" s="27" t="s">
        <v>8</v>
      </c>
      <c r="AH789" s="27" t="s">
        <v>7</v>
      </c>
      <c r="AI789" s="27" t="s">
        <v>8</v>
      </c>
    </row>
    <row r="790" spans="1:35" x14ac:dyDescent="0.25">
      <c r="A790" s="7">
        <v>1.7954161703845013E-2</v>
      </c>
      <c r="B790"/>
      <c r="C790"/>
      <c r="D790"/>
      <c r="E790"/>
      <c r="F790" s="27" t="s">
        <v>7</v>
      </c>
      <c r="Q790" s="27" t="s">
        <v>8</v>
      </c>
      <c r="R790" s="27" t="s">
        <v>7</v>
      </c>
      <c r="AH790" s="27" t="s">
        <v>7</v>
      </c>
    </row>
    <row r="791" spans="1:35" x14ac:dyDescent="0.25">
      <c r="A791" s="7">
        <v>1.7602119317495109E-2</v>
      </c>
      <c r="B791"/>
      <c r="C791"/>
      <c r="D791"/>
      <c r="E791"/>
      <c r="F791" s="27" t="s">
        <v>7</v>
      </c>
      <c r="Q791" s="27" t="s">
        <v>8</v>
      </c>
    </row>
    <row r="792" spans="1:35" x14ac:dyDescent="0.25">
      <c r="A792" s="7">
        <v>1.7256979723034419E-2</v>
      </c>
      <c r="B792"/>
      <c r="C792"/>
      <c r="D792"/>
      <c r="E792"/>
      <c r="F792" s="27" t="s">
        <v>7</v>
      </c>
      <c r="Q792" s="27" t="s">
        <v>8</v>
      </c>
    </row>
    <row r="793" spans="1:35" x14ac:dyDescent="0.25">
      <c r="A793" s="7">
        <v>1.6918607571602372E-2</v>
      </c>
      <c r="B793"/>
      <c r="C793"/>
      <c r="D793"/>
      <c r="E793"/>
      <c r="F793" s="27" t="s">
        <v>7</v>
      </c>
      <c r="Q793" s="27" t="s">
        <v>8</v>
      </c>
    </row>
    <row r="794" spans="1:35" x14ac:dyDescent="0.25">
      <c r="A794" s="7">
        <v>1.6586870168237622E-2</v>
      </c>
      <c r="B794"/>
      <c r="C794"/>
      <c r="D794"/>
      <c r="E794"/>
      <c r="F794" s="27" t="s">
        <v>7</v>
      </c>
      <c r="Q794" s="27" t="s">
        <v>8</v>
      </c>
    </row>
    <row r="795" spans="1:35" x14ac:dyDescent="0.25">
      <c r="A795" s="7">
        <v>1.6261637419840807E-2</v>
      </c>
      <c r="B795"/>
      <c r="C795"/>
      <c r="D795"/>
      <c r="E795"/>
      <c r="F795" s="27" t="s">
        <v>7</v>
      </c>
      <c r="Q795" s="27" t="s">
        <v>8</v>
      </c>
    </row>
    <row r="796" spans="1:35" x14ac:dyDescent="0.25">
      <c r="A796" s="7">
        <v>1.5942781784157655E-2</v>
      </c>
      <c r="B796"/>
      <c r="C796"/>
      <c r="D796"/>
      <c r="E796"/>
      <c r="F796" s="27" t="s">
        <v>7</v>
      </c>
      <c r="Q796" s="27" t="s">
        <v>8</v>
      </c>
    </row>
    <row r="797" spans="1:35" x14ac:dyDescent="0.25">
      <c r="A797" s="7">
        <v>1.5630178219762408E-2</v>
      </c>
      <c r="B797"/>
      <c r="C797"/>
      <c r="D797"/>
      <c r="E797"/>
      <c r="F797" s="27" t="s">
        <v>7</v>
      </c>
      <c r="Q797" s="27" t="s">
        <v>8</v>
      </c>
    </row>
    <row r="798" spans="1:35" x14ac:dyDescent="0.25">
      <c r="A798" s="7">
        <v>1.5323704137021967E-2</v>
      </c>
      <c r="B798"/>
      <c r="C798"/>
      <c r="D798"/>
      <c r="E798"/>
      <c r="F798" s="27" t="s">
        <v>7</v>
      </c>
      <c r="Q798" s="27" t="s">
        <v>8</v>
      </c>
    </row>
    <row r="799" spans="1:35" x14ac:dyDescent="0.25">
      <c r="A799" s="7">
        <v>1.5023239350021535E-2</v>
      </c>
      <c r="B799"/>
      <c r="C799"/>
      <c r="D799"/>
      <c r="E799"/>
      <c r="F799" s="27" t="s">
        <v>7</v>
      </c>
      <c r="Q799" s="27" t="s">
        <v>8</v>
      </c>
    </row>
    <row r="800" spans="1:35" x14ac:dyDescent="0.25">
      <c r="A800" s="7">
        <v>1.4728666029432878E-2</v>
      </c>
      <c r="B800"/>
      <c r="C800"/>
      <c r="D800"/>
      <c r="E800"/>
      <c r="F800" s="27" t="s">
        <v>7</v>
      </c>
      <c r="Q800" s="27" t="s">
        <v>8</v>
      </c>
    </row>
    <row r="801" spans="1:17" x14ac:dyDescent="0.25">
      <c r="A801" s="7">
        <v>1.4439868656306743E-2</v>
      </c>
      <c r="B801"/>
      <c r="C801"/>
      <c r="D801"/>
      <c r="E801"/>
      <c r="F801" s="27" t="s">
        <v>7</v>
      </c>
      <c r="Q801" s="27" t="s">
        <v>8</v>
      </c>
    </row>
    <row r="802" spans="1:17" x14ac:dyDescent="0.25">
      <c r="A802" s="7">
        <v>1.4156733976771318E-2</v>
      </c>
      <c r="B802"/>
      <c r="C802"/>
      <c r="D802"/>
      <c r="E802"/>
      <c r="F802" s="27" t="s">
        <v>7</v>
      </c>
      <c r="Q802" s="27" t="s">
        <v>8</v>
      </c>
    </row>
    <row r="803" spans="1:17" x14ac:dyDescent="0.25">
      <c r="A803" s="7">
        <v>1.3879150957618939E-2</v>
      </c>
      <c r="B803"/>
      <c r="C803"/>
      <c r="D803"/>
      <c r="E803"/>
      <c r="F803" s="27" t="s">
        <v>7</v>
      </c>
      <c r="Q803" s="27" t="s">
        <v>8</v>
      </c>
    </row>
    <row r="804" spans="1:17" x14ac:dyDescent="0.25">
      <c r="A804" s="7">
        <v>1.3607010742763666E-2</v>
      </c>
      <c r="B804"/>
      <c r="C804"/>
      <c r="D804"/>
      <c r="E804"/>
      <c r="F804" s="27" t="s">
        <v>7</v>
      </c>
      <c r="Q804" s="27" t="s">
        <v>8</v>
      </c>
    </row>
    <row r="805" spans="1:17" x14ac:dyDescent="0.25">
      <c r="A805" s="7">
        <v>1.3340206610552614E-2</v>
      </c>
      <c r="B805"/>
      <c r="C805"/>
      <c r="D805"/>
      <c r="E805"/>
      <c r="F805" s="27" t="s">
        <v>7</v>
      </c>
      <c r="Q805" s="27" t="s">
        <v>8</v>
      </c>
    </row>
    <row r="806" spans="1:17" x14ac:dyDescent="0.25">
      <c r="A806" s="7">
        <v>1.3078633931914328E-2</v>
      </c>
      <c r="B806"/>
      <c r="C806"/>
      <c r="D806"/>
      <c r="E806"/>
      <c r="F806" s="27" t="s">
        <v>7</v>
      </c>
      <c r="Q806" s="27" t="s">
        <v>8</v>
      </c>
    </row>
    <row r="807" spans="1:17" x14ac:dyDescent="0.25">
      <c r="A807" s="7">
        <v>1.2822190129327771E-2</v>
      </c>
      <c r="B807"/>
      <c r="C807"/>
      <c r="D807"/>
      <c r="E807"/>
      <c r="F807" s="27" t="s">
        <v>7</v>
      </c>
      <c r="Q807" s="27" t="s">
        <v>8</v>
      </c>
    </row>
    <row r="808" spans="1:17" x14ac:dyDescent="0.25">
      <c r="A808" s="7">
        <v>1.2570774636595854E-2</v>
      </c>
      <c r="B808"/>
      <c r="C808"/>
      <c r="D808"/>
      <c r="E808"/>
      <c r="F808" s="27" t="s">
        <v>7</v>
      </c>
      <c r="G808" s="27" t="s">
        <v>8</v>
      </c>
      <c r="O808" s="27" t="s">
        <v>8</v>
      </c>
      <c r="Q808" s="27" t="s">
        <v>8</v>
      </c>
    </row>
    <row r="809" spans="1:17" x14ac:dyDescent="0.25">
      <c r="A809" s="7">
        <v>1.23242888594077E-2</v>
      </c>
      <c r="B809"/>
      <c r="C809"/>
      <c r="D809"/>
      <c r="E809"/>
      <c r="F809" s="27" t="s">
        <v>7</v>
      </c>
      <c r="G809" s="27" t="s">
        <v>8</v>
      </c>
      <c r="H809" s="27" t="s">
        <v>7</v>
      </c>
      <c r="O809" s="27" t="s">
        <v>8</v>
      </c>
      <c r="P809" s="27" t="s">
        <v>7</v>
      </c>
      <c r="Q809" s="27" t="s">
        <v>8</v>
      </c>
    </row>
    <row r="810" spans="1:17" x14ac:dyDescent="0.25">
      <c r="A810" s="7">
        <v>1.2082636136674216E-2</v>
      </c>
      <c r="B810"/>
      <c r="C810"/>
      <c r="D810"/>
      <c r="E810"/>
      <c r="F810" s="27" t="s">
        <v>7</v>
      </c>
      <c r="G810" s="27" t="s">
        <v>8</v>
      </c>
      <c r="H810" s="27" t="s">
        <v>7</v>
      </c>
      <c r="M810" s="27" t="s">
        <v>8</v>
      </c>
      <c r="O810" s="27" t="s">
        <v>8</v>
      </c>
      <c r="P810" s="27" t="s">
        <v>7</v>
      </c>
      <c r="Q810" s="27" t="s">
        <v>8</v>
      </c>
    </row>
    <row r="811" spans="1:17" x14ac:dyDescent="0.25">
      <c r="A811" s="7">
        <v>1.184572170262178E-2</v>
      </c>
      <c r="B811"/>
      <c r="C811"/>
      <c r="D811"/>
      <c r="E811"/>
      <c r="F811" s="27" t="s">
        <v>7</v>
      </c>
      <c r="G811" s="27" t="s">
        <v>8</v>
      </c>
      <c r="H811" s="27" t="s">
        <v>7</v>
      </c>
      <c r="K811" s="27" t="s">
        <v>8</v>
      </c>
      <c r="M811" s="27" t="s">
        <v>8</v>
      </c>
      <c r="N811" s="27" t="s">
        <v>7</v>
      </c>
      <c r="O811" s="27" t="s">
        <v>8</v>
      </c>
      <c r="P811" s="27" t="s">
        <v>7</v>
      </c>
      <c r="Q811" s="27" t="s">
        <v>8</v>
      </c>
    </row>
    <row r="812" spans="1:17" x14ac:dyDescent="0.25">
      <c r="A812" s="7">
        <v>1.1613452649629196E-2</v>
      </c>
      <c r="B812"/>
      <c r="C812"/>
      <c r="D812"/>
      <c r="E812"/>
      <c r="F812" s="27" t="s">
        <v>7</v>
      </c>
      <c r="G812" s="27" t="s">
        <v>8</v>
      </c>
      <c r="H812" s="27" t="s">
        <v>7</v>
      </c>
      <c r="K812" s="27" t="s">
        <v>8</v>
      </c>
      <c r="L812" s="27" t="s">
        <v>7</v>
      </c>
      <c r="M812" s="27" t="s">
        <v>8</v>
      </c>
      <c r="N812" s="27" t="s">
        <v>7</v>
      </c>
      <c r="O812" s="27" t="s">
        <v>8</v>
      </c>
      <c r="P812" s="27" t="s">
        <v>7</v>
      </c>
      <c r="Q812" s="27" t="s">
        <v>8</v>
      </c>
    </row>
    <row r="813" spans="1:17" x14ac:dyDescent="0.25">
      <c r="A813" s="7">
        <v>1.138573789179333E-2</v>
      </c>
      <c r="B813"/>
      <c r="C813"/>
      <c r="D813"/>
      <c r="E813"/>
      <c r="F813" s="27" t="s">
        <v>7</v>
      </c>
      <c r="G813" s="27" t="s">
        <v>8</v>
      </c>
      <c r="H813" s="27" t="s">
        <v>7</v>
      </c>
      <c r="I813" s="27" t="s">
        <v>8</v>
      </c>
      <c r="K813" s="27" t="s">
        <v>8</v>
      </c>
      <c r="L813" s="27" t="s">
        <v>7</v>
      </c>
      <c r="M813" s="27" t="s">
        <v>8</v>
      </c>
      <c r="N813" s="27" t="s">
        <v>7</v>
      </c>
      <c r="O813" s="27" t="s">
        <v>8</v>
      </c>
      <c r="P813" s="27" t="s">
        <v>7</v>
      </c>
    </row>
    <row r="814" spans="1:17" x14ac:dyDescent="0.25">
      <c r="A814" s="7">
        <v>1.1162488129209149E-2</v>
      </c>
      <c r="B814"/>
      <c r="C814"/>
      <c r="D814"/>
      <c r="E814"/>
      <c r="F814" s="27" t="s">
        <v>7</v>
      </c>
      <c r="G814" s="27" t="s">
        <v>8</v>
      </c>
      <c r="H814" s="27" t="s">
        <v>7</v>
      </c>
      <c r="I814" s="27" t="s">
        <v>8</v>
      </c>
      <c r="J814" s="27" t="s">
        <v>7</v>
      </c>
      <c r="K814" s="27" t="s">
        <v>8</v>
      </c>
      <c r="L814" s="27" t="s">
        <v>7</v>
      </c>
      <c r="M814" s="27" t="s">
        <v>8</v>
      </c>
      <c r="N814" s="27" t="s">
        <v>7</v>
      </c>
      <c r="O814" s="27" t="s">
        <v>8</v>
      </c>
    </row>
    <row r="815" spans="1:17" x14ac:dyDescent="0.25">
      <c r="A815" s="7">
        <v>1.0943615812950145E-2</v>
      </c>
      <c r="B815"/>
      <c r="C815"/>
      <c r="D815"/>
      <c r="E815"/>
      <c r="F815" s="27" t="s">
        <v>7</v>
      </c>
      <c r="G815" s="27" t="s">
        <v>8</v>
      </c>
      <c r="H815" s="27" t="s">
        <v>7</v>
      </c>
      <c r="I815" s="27" t="s">
        <v>8</v>
      </c>
      <c r="J815" s="27" t="s">
        <v>7</v>
      </c>
      <c r="K815" s="27" t="s">
        <v>8</v>
      </c>
      <c r="L815" s="27" t="s">
        <v>7</v>
      </c>
      <c r="M815" s="27" t="s">
        <v>8</v>
      </c>
      <c r="N815" s="27" t="s">
        <v>7</v>
      </c>
      <c r="O815" s="27" t="s">
        <v>8</v>
      </c>
    </row>
    <row r="816" spans="1:17" x14ac:dyDescent="0.25">
      <c r="A816" s="7">
        <v>1.0729035110735436E-2</v>
      </c>
      <c r="B816"/>
      <c r="C816"/>
      <c r="D816"/>
      <c r="E816"/>
      <c r="F816" s="27" t="s">
        <v>7</v>
      </c>
      <c r="G816" s="27" t="s">
        <v>8</v>
      </c>
      <c r="H816" s="27" t="s">
        <v>7</v>
      </c>
      <c r="I816" s="27" t="s">
        <v>8</v>
      </c>
      <c r="J816" s="27" t="s">
        <v>7</v>
      </c>
      <c r="K816" s="27" t="s">
        <v>8</v>
      </c>
      <c r="L816" s="27" t="s">
        <v>7</v>
      </c>
      <c r="M816" s="27" t="s">
        <v>8</v>
      </c>
      <c r="N816" s="27" t="s">
        <v>7</v>
      </c>
      <c r="O816" s="27" t="s">
        <v>8</v>
      </c>
    </row>
    <row r="817" spans="1:15" x14ac:dyDescent="0.25">
      <c r="A817" s="7">
        <v>1.0518661873270036E-2</v>
      </c>
      <c r="B817"/>
      <c r="C817"/>
      <c r="D817"/>
      <c r="E817"/>
      <c r="F817" s="27" t="s">
        <v>7</v>
      </c>
      <c r="G817" s="27" t="s">
        <v>8</v>
      </c>
      <c r="H817" s="27" t="s">
        <v>7</v>
      </c>
      <c r="I817" s="27" t="s">
        <v>8</v>
      </c>
      <c r="J817" s="27" t="s">
        <v>7</v>
      </c>
      <c r="K817" s="27" t="s">
        <v>8</v>
      </c>
      <c r="L817" s="27" t="s">
        <v>7</v>
      </c>
      <c r="M817" s="27" t="s">
        <v>8</v>
      </c>
      <c r="N817" s="27" t="s">
        <v>7</v>
      </c>
      <c r="O817" s="27" t="s">
        <v>8</v>
      </c>
    </row>
    <row r="818" spans="1:15" x14ac:dyDescent="0.25">
      <c r="A818" s="7">
        <v>1.0312413601245135E-2</v>
      </c>
      <c r="B818"/>
      <c r="C818"/>
      <c r="D818"/>
      <c r="E818"/>
      <c r="F818" s="27" t="s">
        <v>7</v>
      </c>
      <c r="G818" s="27" t="s">
        <v>8</v>
      </c>
      <c r="H818" s="27" t="s">
        <v>7</v>
      </c>
      <c r="I818" s="27" t="s">
        <v>8</v>
      </c>
      <c r="J818" s="27" t="s">
        <v>7</v>
      </c>
      <c r="K818" s="27" t="s">
        <v>8</v>
      </c>
      <c r="L818" s="27" t="s">
        <v>7</v>
      </c>
      <c r="N818" s="27" t="s">
        <v>7</v>
      </c>
    </row>
    <row r="819" spans="1:15" x14ac:dyDescent="0.25">
      <c r="A819" s="7">
        <v>1.0110209412985426E-2</v>
      </c>
      <c r="B819"/>
      <c r="C819"/>
      <c r="D819"/>
      <c r="E819"/>
      <c r="F819" s="27" t="s">
        <v>7</v>
      </c>
      <c r="G819" s="27" t="s">
        <v>8</v>
      </c>
      <c r="H819" s="27" t="s">
        <v>7</v>
      </c>
      <c r="J819" s="27" t="s">
        <v>7</v>
      </c>
    </row>
    <row r="820" spans="1:15" x14ac:dyDescent="0.25">
      <c r="A820" s="7">
        <v>9.9119700127308103E-3</v>
      </c>
      <c r="B820"/>
      <c r="C820"/>
      <c r="D820"/>
      <c r="E820"/>
      <c r="F820" s="27" t="s">
        <v>7</v>
      </c>
    </row>
    <row r="821" spans="1:15" x14ac:dyDescent="0.25">
      <c r="A821" s="7">
        <v>9.717617659540009E-3</v>
      </c>
      <c r="B821"/>
      <c r="C821"/>
      <c r="D821"/>
      <c r="E821"/>
    </row>
    <row r="822" spans="1:15" x14ac:dyDescent="0.25">
      <c r="A822" s="7">
        <v>9.5270761368039299E-3</v>
      </c>
      <c r="B822"/>
      <c r="C822"/>
      <c r="D822"/>
      <c r="E822"/>
    </row>
    <row r="823" spans="1:15" x14ac:dyDescent="0.25">
      <c r="A823" s="7">
        <v>9.3402707223567936E-3</v>
      </c>
      <c r="B823"/>
      <c r="C823"/>
      <c r="D823"/>
      <c r="E823"/>
    </row>
    <row r="824" spans="1:15" x14ac:dyDescent="0.25">
      <c r="A824" s="7">
        <v>9.1571281591733261E-3</v>
      </c>
      <c r="B824"/>
      <c r="C824"/>
      <c r="D824"/>
      <c r="E824"/>
    </row>
    <row r="825" spans="1:15" x14ac:dyDescent="0.25">
      <c r="A825" s="7">
        <v>8.9775766266405148E-3</v>
      </c>
      <c r="B825"/>
      <c r="C825"/>
      <c r="D825"/>
      <c r="E825"/>
    </row>
    <row r="826" spans="1:15" x14ac:dyDescent="0.25">
      <c r="A826" s="7">
        <v>8.8015457123926614E-3</v>
      </c>
      <c r="B826"/>
      <c r="C826"/>
      <c r="D826"/>
      <c r="E826"/>
    </row>
    <row r="827" spans="1:15" x14ac:dyDescent="0.25">
      <c r="A827" s="7">
        <v>8.6289663846986879E-3</v>
      </c>
      <c r="B827"/>
      <c r="C827"/>
      <c r="D827"/>
      <c r="E827"/>
    </row>
    <row r="828" spans="1:15" x14ac:dyDescent="0.25">
      <c r="A828" s="7">
        <v>8.4597709653908715E-3</v>
      </c>
      <c r="B828"/>
      <c r="C828"/>
      <c r="D828"/>
      <c r="E828"/>
    </row>
    <row r="829" spans="1:15" x14ac:dyDescent="0.25">
      <c r="A829" s="7">
        <v>8.2938931033243839E-3</v>
      </c>
      <c r="B829"/>
      <c r="C829"/>
      <c r="D829"/>
      <c r="E829"/>
    </row>
    <row r="830" spans="1:15" x14ac:dyDescent="0.25">
      <c r="A830" s="7">
        <v>8.1312677483572383E-3</v>
      </c>
      <c r="B830"/>
      <c r="C830"/>
      <c r="D830"/>
      <c r="E830"/>
    </row>
    <row r="831" spans="1:15" x14ac:dyDescent="0.25">
      <c r="A831" s="7">
        <v>7.9718311258404305E-3</v>
      </c>
      <c r="B831"/>
      <c r="C831"/>
      <c r="D831"/>
      <c r="E831"/>
    </row>
    <row r="832" spans="1:1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3" zoomScale="90" zoomScaleNormal="90" workbookViewId="0">
      <pane xSplit="4" topLeftCell="CQ1" activePane="topRight" state="frozen"/>
      <selection activeCell="A109" sqref="A109"/>
      <selection pane="topRight" activeCell="FC271" sqref="FC27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$A$270</v>
      </c>
      <c r="D111" s="1" t="str">
        <f>ADDRESS(C121-1,D121,1,1)</f>
        <v>$FC$270</v>
      </c>
      <c r="E111"/>
    </row>
    <row r="112" spans="1:5" x14ac:dyDescent="0.25">
      <c r="A112" s="30">
        <v>515.50191262726139</v>
      </c>
      <c r="C112" s="1" t="str">
        <f>ADDRESS(C121,1,1,1)</f>
        <v>$A$271</v>
      </c>
      <c r="D112" s="1" t="str">
        <f>ADDRESS(C121,D121-1,1,1)</f>
        <v>$FB$271</v>
      </c>
      <c r="E112"/>
    </row>
    <row r="113" spans="1:5" x14ac:dyDescent="0.25">
      <c r="A113" s="30">
        <v>490.95420250215363</v>
      </c>
      <c r="C113" s="1" t="str">
        <f>ADDRESS(C121+1,1,1,1)</f>
        <v>$A$272</v>
      </c>
      <c r="D113" s="1" t="str">
        <f>ADDRESS(C121-1,D121+1,1,1)</f>
        <v>$FD$270</v>
      </c>
    </row>
    <row r="114" spans="1:5" x14ac:dyDescent="0.25">
      <c r="A114" s="30">
        <v>467.57543095443202</v>
      </c>
      <c r="C114" s="1" t="str">
        <f>ADDRESS(C121,D121,1,1)</f>
        <v>$FC$271</v>
      </c>
      <c r="D114" s="1" t="str">
        <f>ADDRESS(C121+1,D121+1,1,1)</f>
        <v>$FD$272</v>
      </c>
    </row>
    <row r="115" spans="1:5" x14ac:dyDescent="0.25">
      <c r="A115" s="30">
        <v>445.30993424231622</v>
      </c>
      <c r="C115" s="1" t="str">
        <f>ADDRESS(C121+1,D121,1,1)</f>
        <v>$FC$272</v>
      </c>
    </row>
    <row r="116" spans="1:5" x14ac:dyDescent="0.25">
      <c r="A116" s="30">
        <v>424.10469927839637</v>
      </c>
      <c r="C116" s="1">
        <f>C117-1</f>
        <v>270</v>
      </c>
    </row>
    <row r="117" spans="1:5" x14ac:dyDescent="0.25">
      <c r="A117" s="30">
        <v>403.9092374079965</v>
      </c>
      <c r="C117" s="1">
        <f>C121</f>
        <v>271</v>
      </c>
      <c r="D117" s="1">
        <f>D121</f>
        <v>159</v>
      </c>
    </row>
    <row r="118" spans="1:5" x14ac:dyDescent="0.25">
      <c r="A118" s="30">
        <v>384.6754641980919</v>
      </c>
      <c r="C118" s="1">
        <f>C117+1</f>
        <v>272</v>
      </c>
      <c r="D118" s="1">
        <f>D117+1</f>
        <v>160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271</v>
      </c>
      <c r="D121" s="19">
        <v>159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R271</v>
      </c>
      <c r="D123" s="1" t="str">
        <f>"C"&amp;D121</f>
        <v>C159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0.22035947491033836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41" x14ac:dyDescent="0.25">
      <c r="A241" s="30">
        <v>0.952380952380952</v>
      </c>
      <c r="B241"/>
      <c r="C241"/>
      <c r="D241"/>
      <c r="E241"/>
      <c r="F241" s="27" t="s">
        <v>7</v>
      </c>
    </row>
    <row r="242" spans="1:141" x14ac:dyDescent="0.25">
      <c r="A242" s="30">
        <v>0.90702947845804915</v>
      </c>
      <c r="B242"/>
      <c r="C242"/>
      <c r="D242"/>
      <c r="E242"/>
      <c r="F242" s="27" t="s">
        <v>7</v>
      </c>
    </row>
    <row r="243" spans="1:141" x14ac:dyDescent="0.25">
      <c r="A243" s="30">
        <v>0.86383759853147501</v>
      </c>
      <c r="B243"/>
      <c r="C243"/>
      <c r="D243"/>
      <c r="E243"/>
      <c r="F243" s="27" t="s">
        <v>7</v>
      </c>
    </row>
    <row r="244" spans="1:141" x14ac:dyDescent="0.25">
      <c r="A244" s="30">
        <v>0.82270247479188063</v>
      </c>
      <c r="B244"/>
      <c r="C244"/>
      <c r="D244"/>
      <c r="E244"/>
      <c r="F244" s="27" t="s">
        <v>7</v>
      </c>
    </row>
    <row r="245" spans="1:141" x14ac:dyDescent="0.25">
      <c r="A245" s="30">
        <v>0.78352616646845741</v>
      </c>
      <c r="B245"/>
      <c r="C245"/>
      <c r="D245"/>
      <c r="E245"/>
      <c r="F245" s="27" t="s">
        <v>7</v>
      </c>
    </row>
    <row r="246" spans="1:141" x14ac:dyDescent="0.25">
      <c r="A246" s="30">
        <v>0.74621539663662584</v>
      </c>
      <c r="B246"/>
      <c r="C246"/>
      <c r="D246"/>
      <c r="E246"/>
      <c r="F246" s="27" t="s">
        <v>7</v>
      </c>
    </row>
    <row r="247" spans="1:141" x14ac:dyDescent="0.25">
      <c r="A247" s="30">
        <v>0.71068133013011958</v>
      </c>
      <c r="B247"/>
      <c r="C247"/>
      <c r="D247"/>
      <c r="E247"/>
      <c r="F247" s="27" t="s">
        <v>7</v>
      </c>
    </row>
    <row r="248" spans="1:141" x14ac:dyDescent="0.25">
      <c r="A248" s="30">
        <v>0.676839362028685</v>
      </c>
      <c r="B248"/>
      <c r="C248"/>
      <c r="D248"/>
      <c r="E248"/>
      <c r="F248" s="27" t="s">
        <v>7</v>
      </c>
    </row>
    <row r="249" spans="1:141" x14ac:dyDescent="0.25">
      <c r="A249" s="30">
        <v>0.64460891621779492</v>
      </c>
      <c r="B249"/>
      <c r="C249"/>
      <c r="D249"/>
      <c r="E249"/>
      <c r="F249" s="27" t="s">
        <v>7</v>
      </c>
    </row>
    <row r="250" spans="1:141" x14ac:dyDescent="0.25">
      <c r="A250" s="30">
        <v>0.61391325354075688</v>
      </c>
      <c r="B250"/>
      <c r="C250"/>
      <c r="D250"/>
      <c r="E250"/>
      <c r="F250" s="27" t="s">
        <v>7</v>
      </c>
    </row>
    <row r="251" spans="1:141" x14ac:dyDescent="0.25">
      <c r="A251" s="30">
        <v>0.58467928908643485</v>
      </c>
      <c r="B251"/>
      <c r="C251"/>
      <c r="D251"/>
      <c r="E251"/>
      <c r="F251" s="27" t="s">
        <v>7</v>
      </c>
    </row>
    <row r="252" spans="1:141" x14ac:dyDescent="0.25">
      <c r="A252" s="30">
        <v>0.55683741817755672</v>
      </c>
      <c r="B252"/>
      <c r="C252"/>
      <c r="D252"/>
      <c r="E252"/>
      <c r="F252" s="27" t="s">
        <v>7</v>
      </c>
      <c r="DW252" s="31" t="s">
        <v>8</v>
      </c>
    </row>
    <row r="253" spans="1:141" x14ac:dyDescent="0.25">
      <c r="A253" s="30">
        <v>0.53032135064529184</v>
      </c>
      <c r="B253"/>
      <c r="C253"/>
      <c r="D253"/>
      <c r="E253"/>
      <c r="F253" s="27" t="s">
        <v>7</v>
      </c>
      <c r="DW253" s="27" t="s">
        <v>8</v>
      </c>
      <c r="DX253" s="31" t="s">
        <v>7</v>
      </c>
    </row>
    <row r="254" spans="1:141" x14ac:dyDescent="0.25">
      <c r="A254" s="30">
        <v>0.50506795299551588</v>
      </c>
      <c r="B254"/>
      <c r="C254"/>
      <c r="D254"/>
      <c r="E254"/>
      <c r="F254" s="27" t="s">
        <v>7</v>
      </c>
      <c r="DW254" s="27" t="s">
        <v>8</v>
      </c>
      <c r="DX254" s="27" t="s">
        <v>7</v>
      </c>
      <c r="DY254" s="31"/>
    </row>
    <row r="255" spans="1:141" x14ac:dyDescent="0.25">
      <c r="A255" s="30">
        <v>0.48101709809096732</v>
      </c>
      <c r="E255"/>
      <c r="F255" s="27" t="s">
        <v>7</v>
      </c>
      <c r="DW255" s="27" t="s">
        <v>8</v>
      </c>
      <c r="DX255" s="27" t="s">
        <v>7</v>
      </c>
      <c r="DZ255" s="31"/>
    </row>
    <row r="256" spans="1:141" x14ac:dyDescent="0.25">
      <c r="A256" s="30">
        <v>0.45811152199139726</v>
      </c>
      <c r="E256"/>
      <c r="F256" s="27" t="s">
        <v>7</v>
      </c>
      <c r="DW256" s="27" t="s">
        <v>8</v>
      </c>
      <c r="DX256" s="27" t="s">
        <v>7</v>
      </c>
      <c r="EA256" s="31"/>
      <c r="EI256" s="32" t="s">
        <v>8</v>
      </c>
      <c r="EK256" s="32" t="s">
        <v>8</v>
      </c>
    </row>
    <row r="257" spans="1:159" x14ac:dyDescent="0.25">
      <c r="A257" s="30">
        <v>0.43629668761085438</v>
      </c>
      <c r="B257"/>
      <c r="C257"/>
      <c r="D257"/>
      <c r="E257"/>
      <c r="F257" s="27" t="s">
        <v>7</v>
      </c>
      <c r="CC257" s="27" t="s">
        <v>8</v>
      </c>
      <c r="CG257" s="27" t="s">
        <v>8</v>
      </c>
      <c r="DW257" s="27" t="s">
        <v>8</v>
      </c>
      <c r="DX257" s="27" t="s">
        <v>7</v>
      </c>
      <c r="EB257" s="31"/>
      <c r="EI257" s="27" t="s">
        <v>8</v>
      </c>
      <c r="EJ257" s="27" t="s">
        <v>7</v>
      </c>
      <c r="EK257" s="27" t="s">
        <v>8</v>
      </c>
      <c r="EL257" s="31" t="s">
        <v>7</v>
      </c>
    </row>
    <row r="258" spans="1:159" x14ac:dyDescent="0.25">
      <c r="A258" s="30">
        <v>0.41552065486748019</v>
      </c>
      <c r="B258"/>
      <c r="C258"/>
      <c r="D258"/>
      <c r="E258"/>
      <c r="F258" s="27" t="s">
        <v>7</v>
      </c>
      <c r="CC258" s="27" t="s">
        <v>8</v>
      </c>
      <c r="CD258" s="27" t="s">
        <v>7</v>
      </c>
      <c r="CG258" s="27" t="s">
        <v>8</v>
      </c>
      <c r="CH258" s="27" t="s">
        <v>7</v>
      </c>
      <c r="DW258" s="27" t="s">
        <v>8</v>
      </c>
      <c r="DX258" s="27" t="s">
        <v>7</v>
      </c>
      <c r="EC258" s="31" t="s">
        <v>8</v>
      </c>
      <c r="EI258" s="27" t="s">
        <v>8</v>
      </c>
      <c r="EJ258" s="27" t="s">
        <v>7</v>
      </c>
      <c r="EK258" s="27" t="s">
        <v>8</v>
      </c>
      <c r="EL258" s="27" t="s">
        <v>7</v>
      </c>
      <c r="EM258" s="31" t="s">
        <v>8</v>
      </c>
    </row>
    <row r="259" spans="1:159" x14ac:dyDescent="0.25">
      <c r="A259" s="30">
        <v>0.39573395701664765</v>
      </c>
      <c r="B259"/>
      <c r="C259"/>
      <c r="D259"/>
      <c r="E259"/>
      <c r="F259" s="27" t="s">
        <v>7</v>
      </c>
      <c r="CC259" s="27" t="s">
        <v>8</v>
      </c>
      <c r="CD259" s="27" t="s">
        <v>7</v>
      </c>
      <c r="CG259" s="27" t="s">
        <v>8</v>
      </c>
      <c r="CH259" s="27" t="s">
        <v>7</v>
      </c>
      <c r="CI259" s="27" t="s">
        <v>8</v>
      </c>
      <c r="DW259" s="27" t="s">
        <v>8</v>
      </c>
      <c r="DX259" s="27" t="s">
        <v>7</v>
      </c>
      <c r="EC259" s="27" t="s">
        <v>8</v>
      </c>
      <c r="ED259" s="31" t="s">
        <v>7</v>
      </c>
      <c r="EE259" s="32" t="s">
        <v>8</v>
      </c>
      <c r="EG259" s="32" t="s">
        <v>8</v>
      </c>
      <c r="EI259" s="27" t="s">
        <v>8</v>
      </c>
      <c r="EJ259" s="27" t="s">
        <v>7</v>
      </c>
      <c r="EK259" s="27" t="s">
        <v>8</v>
      </c>
      <c r="EL259" s="27" t="s">
        <v>7</v>
      </c>
      <c r="EM259" s="27" t="s">
        <v>8</v>
      </c>
      <c r="EN259" s="31" t="s">
        <v>7</v>
      </c>
    </row>
    <row r="260" spans="1:159" x14ac:dyDescent="0.25">
      <c r="A260" s="30">
        <v>0.37688948287299762</v>
      </c>
      <c r="B260"/>
      <c r="C260"/>
      <c r="D260"/>
      <c r="E260"/>
      <c r="F260" s="27" t="s">
        <v>7</v>
      </c>
      <c r="CC260" s="27" t="s">
        <v>8</v>
      </c>
      <c r="CD260" s="27" t="s">
        <v>7</v>
      </c>
      <c r="CG260" s="27" t="s">
        <v>8</v>
      </c>
      <c r="CH260" s="27" t="s">
        <v>7</v>
      </c>
      <c r="CI260" s="27" t="s">
        <v>8</v>
      </c>
      <c r="CJ260" s="27" t="s">
        <v>7</v>
      </c>
      <c r="CO260" s="27" t="s">
        <v>8</v>
      </c>
      <c r="DW260" s="27" t="s">
        <v>8</v>
      </c>
      <c r="DX260" s="27" t="s">
        <v>7</v>
      </c>
      <c r="DY260" s="27" t="s">
        <v>8</v>
      </c>
      <c r="EC260" s="27" t="s">
        <v>8</v>
      </c>
      <c r="ED260" s="27" t="s">
        <v>7</v>
      </c>
      <c r="EE260" s="27" t="s">
        <v>8</v>
      </c>
      <c r="EF260" s="27" t="s">
        <v>7</v>
      </c>
      <c r="EG260" s="27" t="s">
        <v>8</v>
      </c>
      <c r="EH260" s="27" t="s">
        <v>7</v>
      </c>
      <c r="EI260" s="27" t="s">
        <v>8</v>
      </c>
      <c r="EJ260" s="27" t="s">
        <v>7</v>
      </c>
      <c r="EL260" s="27" t="s">
        <v>7</v>
      </c>
      <c r="EM260" s="27" t="s">
        <v>8</v>
      </c>
      <c r="EN260" s="27" t="s">
        <v>7</v>
      </c>
      <c r="EO260" s="31"/>
    </row>
    <row r="261" spans="1:159" x14ac:dyDescent="0.25">
      <c r="A261" s="30">
        <v>0.35894236464094997</v>
      </c>
      <c r="B261"/>
      <c r="C261"/>
      <c r="D261"/>
      <c r="E261"/>
      <c r="F261" s="27" t="s">
        <v>7</v>
      </c>
      <c r="CC261" s="27" t="s">
        <v>8</v>
      </c>
      <c r="CD261" s="27" t="s">
        <v>7</v>
      </c>
      <c r="CE261" s="27" t="s">
        <v>8</v>
      </c>
      <c r="CG261" s="27" t="s">
        <v>8</v>
      </c>
      <c r="CH261" s="27" t="s">
        <v>7</v>
      </c>
      <c r="CI261" s="27" t="s">
        <v>8</v>
      </c>
      <c r="CJ261" s="27" t="s">
        <v>7</v>
      </c>
      <c r="CO261" s="27" t="s">
        <v>8</v>
      </c>
      <c r="CP261" s="27" t="s">
        <v>7</v>
      </c>
      <c r="CQ261" s="27" t="s">
        <v>8</v>
      </c>
      <c r="DU261" s="27" t="s">
        <v>8</v>
      </c>
      <c r="DW261" s="27" t="s">
        <v>8</v>
      </c>
      <c r="DX261" s="27" t="s">
        <v>7</v>
      </c>
      <c r="DY261" s="27" t="s">
        <v>8</v>
      </c>
      <c r="DZ261" s="27" t="s">
        <v>7</v>
      </c>
      <c r="EA261" s="27" t="s">
        <v>8</v>
      </c>
      <c r="EC261" s="27" t="s">
        <v>8</v>
      </c>
      <c r="ED261" s="27" t="s">
        <v>7</v>
      </c>
      <c r="EE261" s="27" t="s">
        <v>8</v>
      </c>
      <c r="EF261" s="27" t="s">
        <v>7</v>
      </c>
      <c r="EG261" s="31" t="s">
        <v>8</v>
      </c>
      <c r="EH261" s="27" t="s">
        <v>7</v>
      </c>
      <c r="EI261" s="27" t="s">
        <v>8</v>
      </c>
      <c r="EL261" s="27" t="s">
        <v>7</v>
      </c>
      <c r="EN261" s="27" t="s">
        <v>7</v>
      </c>
      <c r="EO261" s="27" t="s">
        <v>8</v>
      </c>
      <c r="EP261" s="31"/>
    </row>
    <row r="262" spans="1:159" x14ac:dyDescent="0.25">
      <c r="A262" s="30">
        <v>0.34184987108661891</v>
      </c>
      <c r="B262"/>
      <c r="C262"/>
      <c r="D262"/>
      <c r="E262"/>
      <c r="F262" s="27" t="s">
        <v>7</v>
      </c>
      <c r="CC262" s="27" t="s">
        <v>8</v>
      </c>
      <c r="CD262" s="27" t="s">
        <v>7</v>
      </c>
      <c r="CE262" s="27" t="s">
        <v>8</v>
      </c>
      <c r="CF262" s="27" t="s">
        <v>7</v>
      </c>
      <c r="CG262" s="27" t="s">
        <v>8</v>
      </c>
      <c r="CH262" s="27" t="s">
        <v>7</v>
      </c>
      <c r="CI262" s="27" t="s">
        <v>8</v>
      </c>
      <c r="CJ262" s="27" t="s">
        <v>7</v>
      </c>
      <c r="CK262" s="27" t="s">
        <v>8</v>
      </c>
      <c r="CM262" s="27" t="s">
        <v>8</v>
      </c>
      <c r="CO262" s="27" t="s">
        <v>8</v>
      </c>
      <c r="CP262" s="27" t="s">
        <v>7</v>
      </c>
      <c r="CQ262" s="27" t="s">
        <v>8</v>
      </c>
      <c r="CR262" s="27" t="s">
        <v>7</v>
      </c>
      <c r="CS262" s="27" t="s">
        <v>8</v>
      </c>
      <c r="DS262" s="27" t="s">
        <v>8</v>
      </c>
      <c r="DU262" s="27" t="s">
        <v>8</v>
      </c>
      <c r="DV262" s="27" t="s">
        <v>7</v>
      </c>
      <c r="DW262" s="27" t="s">
        <v>8</v>
      </c>
      <c r="DX262" s="27" t="s">
        <v>7</v>
      </c>
      <c r="DY262" s="27" t="s">
        <v>8</v>
      </c>
      <c r="DZ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  <c r="EE262" s="27" t="s">
        <v>8</v>
      </c>
      <c r="EF262" s="31" t="s">
        <v>7</v>
      </c>
      <c r="EH262" s="27" t="s">
        <v>7</v>
      </c>
      <c r="EI262" s="27" t="s">
        <v>8</v>
      </c>
      <c r="EN262" s="27" t="s">
        <v>7</v>
      </c>
      <c r="EO262" s="27" t="s">
        <v>8</v>
      </c>
      <c r="EP262" s="27" t="s">
        <v>7</v>
      </c>
      <c r="EQ262" s="31"/>
      <c r="EW262" s="27" t="s">
        <v>8</v>
      </c>
    </row>
    <row r="263" spans="1:159" x14ac:dyDescent="0.25">
      <c r="A263" s="30">
        <v>0.32557130579677979</v>
      </c>
      <c r="B263"/>
      <c r="C263"/>
      <c r="D263"/>
      <c r="E263"/>
      <c r="F263" s="27" t="s">
        <v>7</v>
      </c>
      <c r="CC263" s="27" t="s">
        <v>8</v>
      </c>
      <c r="CD263" s="27" t="s">
        <v>7</v>
      </c>
      <c r="CE263" s="27" t="s">
        <v>8</v>
      </c>
      <c r="CF263" s="27" t="s">
        <v>7</v>
      </c>
      <c r="CG263" s="27" t="s">
        <v>8</v>
      </c>
      <c r="CH263" s="27" t="s">
        <v>7</v>
      </c>
      <c r="CI263" s="27" t="s">
        <v>8</v>
      </c>
      <c r="CJ263" s="27" t="s">
        <v>7</v>
      </c>
      <c r="CK263" s="27" t="s">
        <v>8</v>
      </c>
      <c r="CL263" s="27" t="s">
        <v>7</v>
      </c>
      <c r="CM263" s="27" t="s">
        <v>8</v>
      </c>
      <c r="CN263" s="27" t="s">
        <v>7</v>
      </c>
      <c r="CO263" s="27" t="s">
        <v>8</v>
      </c>
      <c r="CP263" s="27" t="s">
        <v>7</v>
      </c>
      <c r="CQ263" s="27" t="s">
        <v>8</v>
      </c>
      <c r="CR263" s="27" t="s">
        <v>7</v>
      </c>
      <c r="CS263" s="27" t="s">
        <v>8</v>
      </c>
      <c r="CT263" s="27" t="s">
        <v>7</v>
      </c>
      <c r="DS263" s="27" t="s">
        <v>8</v>
      </c>
      <c r="DT263" s="27" t="s">
        <v>7</v>
      </c>
      <c r="DU263" s="27" t="s">
        <v>8</v>
      </c>
      <c r="DV263" s="27" t="s">
        <v>7</v>
      </c>
      <c r="DW263" s="27" t="s">
        <v>8</v>
      </c>
      <c r="DX263" s="27" t="s">
        <v>7</v>
      </c>
      <c r="DY263" s="27" t="s">
        <v>8</v>
      </c>
      <c r="DZ263" s="27" t="s">
        <v>7</v>
      </c>
      <c r="EA263" s="31" t="s">
        <v>8</v>
      </c>
      <c r="EB263" s="27" t="s">
        <v>7</v>
      </c>
      <c r="EC263" s="27" t="s">
        <v>8</v>
      </c>
      <c r="ED263" s="27" t="s">
        <v>7</v>
      </c>
      <c r="EH263" s="27" t="s">
        <v>7</v>
      </c>
      <c r="EN263" s="27" t="s">
        <v>7</v>
      </c>
      <c r="EO263" s="27" t="s">
        <v>8</v>
      </c>
      <c r="EP263" s="27" t="s">
        <v>7</v>
      </c>
      <c r="ER263" s="31"/>
      <c r="EW263" s="27" t="s">
        <v>8</v>
      </c>
      <c r="EX263" s="27" t="s">
        <v>7</v>
      </c>
      <c r="EY263" s="27" t="s">
        <v>8</v>
      </c>
    </row>
    <row r="264" spans="1:159" x14ac:dyDescent="0.25">
      <c r="A264" s="30">
        <v>0.3100679102826473</v>
      </c>
      <c r="B264"/>
      <c r="C264"/>
      <c r="D264"/>
      <c r="E264"/>
      <c r="F264" s="27" t="s">
        <v>7</v>
      </c>
      <c r="CC264" s="27" t="s">
        <v>8</v>
      </c>
      <c r="CD264" s="27" t="s">
        <v>7</v>
      </c>
      <c r="CE264" s="27" t="s">
        <v>8</v>
      </c>
      <c r="CF264" s="27" t="s">
        <v>7</v>
      </c>
      <c r="CG264" s="27" t="s">
        <v>8</v>
      </c>
      <c r="CH264" s="27" t="s">
        <v>7</v>
      </c>
      <c r="CI264" s="27" t="s">
        <v>8</v>
      </c>
      <c r="CJ264" s="27" t="s">
        <v>7</v>
      </c>
      <c r="CK264" s="27" t="s">
        <v>8</v>
      </c>
      <c r="CL264" s="27" t="s">
        <v>7</v>
      </c>
      <c r="CM264" s="27" t="s">
        <v>8</v>
      </c>
      <c r="CN264" s="27" t="s">
        <v>7</v>
      </c>
      <c r="CO264" s="27" t="s">
        <v>8</v>
      </c>
      <c r="CP264" s="27" t="s">
        <v>7</v>
      </c>
      <c r="CQ264" s="27" t="s">
        <v>8</v>
      </c>
      <c r="CR264" s="27" t="s">
        <v>7</v>
      </c>
      <c r="CS264" s="27" t="s">
        <v>8</v>
      </c>
      <c r="CT264" s="27" t="s">
        <v>7</v>
      </c>
      <c r="DS264" s="27" t="s">
        <v>8</v>
      </c>
      <c r="DT264" s="27" t="s">
        <v>7</v>
      </c>
      <c r="DU264" s="27" t="s">
        <v>8</v>
      </c>
      <c r="DV264" s="27" t="s">
        <v>7</v>
      </c>
      <c r="DW264" s="27" t="s">
        <v>8</v>
      </c>
      <c r="DX264" s="27" t="s">
        <v>7</v>
      </c>
      <c r="DY264" s="27" t="s">
        <v>8</v>
      </c>
      <c r="DZ264" s="32" t="s">
        <v>7</v>
      </c>
      <c r="EB264" s="32" t="s">
        <v>7</v>
      </c>
      <c r="EN264" s="27" t="s">
        <v>7</v>
      </c>
      <c r="EP264" s="27" t="s">
        <v>7</v>
      </c>
      <c r="ES264" s="31"/>
      <c r="EW264" s="27" t="s">
        <v>8</v>
      </c>
      <c r="EX264" s="27" t="s">
        <v>7</v>
      </c>
      <c r="EY264" s="27" t="s">
        <v>8</v>
      </c>
      <c r="EZ264" s="27" t="s">
        <v>7</v>
      </c>
    </row>
    <row r="265" spans="1:159" x14ac:dyDescent="0.25">
      <c r="A265" s="30">
        <v>0.2953027716977592</v>
      </c>
      <c r="B265"/>
      <c r="C265"/>
      <c r="D265"/>
      <c r="E265"/>
      <c r="F265" s="27" t="s">
        <v>7</v>
      </c>
      <c r="CC265" s="27" t="s">
        <v>8</v>
      </c>
      <c r="CD265" s="27" t="s">
        <v>7</v>
      </c>
      <c r="CF265" s="27" t="s">
        <v>7</v>
      </c>
      <c r="CG265" s="27" t="s">
        <v>8</v>
      </c>
      <c r="CH265" s="27" t="s">
        <v>7</v>
      </c>
      <c r="CI265" s="27" t="s">
        <v>8</v>
      </c>
      <c r="CJ265" s="27" t="s">
        <v>7</v>
      </c>
      <c r="CK265" s="27" t="s">
        <v>8</v>
      </c>
      <c r="CL265" s="27" t="s">
        <v>7</v>
      </c>
      <c r="CM265" s="27" t="s">
        <v>8</v>
      </c>
      <c r="CN265" s="27" t="s">
        <v>7</v>
      </c>
      <c r="CO265" s="27" t="s">
        <v>8</v>
      </c>
      <c r="CP265" s="27" t="s">
        <v>7</v>
      </c>
      <c r="CR265" s="27" t="s">
        <v>7</v>
      </c>
      <c r="CT265" s="27" t="s">
        <v>7</v>
      </c>
      <c r="CW265" s="27" t="s">
        <v>8</v>
      </c>
      <c r="DS265" s="27" t="s">
        <v>8</v>
      </c>
      <c r="DT265" s="27" t="s">
        <v>7</v>
      </c>
      <c r="DU265" s="27" t="s">
        <v>8</v>
      </c>
      <c r="DV265" s="32" t="s">
        <v>7</v>
      </c>
      <c r="DX265" s="32" t="s">
        <v>7</v>
      </c>
      <c r="DY265" s="31"/>
      <c r="EP265" s="27" t="s">
        <v>7</v>
      </c>
      <c r="ET265" s="31"/>
      <c r="EW265" s="27" t="s">
        <v>8</v>
      </c>
      <c r="EX265" s="27" t="s">
        <v>7</v>
      </c>
      <c r="EY265" s="27" t="s">
        <v>8</v>
      </c>
      <c r="EZ265" s="31" t="s">
        <v>7</v>
      </c>
      <c r="FA265" s="27" t="s">
        <v>8</v>
      </c>
    </row>
    <row r="266" spans="1:159" x14ac:dyDescent="0.25">
      <c r="A266" s="30">
        <v>0.28124073495024676</v>
      </c>
      <c r="B266"/>
      <c r="C266"/>
      <c r="D266"/>
      <c r="E266"/>
      <c r="F266" s="27" t="s">
        <v>7</v>
      </c>
      <c r="CC266" s="27" t="s">
        <v>8</v>
      </c>
      <c r="CF266" s="27" t="s">
        <v>7</v>
      </c>
      <c r="CH266" s="27" t="s">
        <v>7</v>
      </c>
      <c r="CJ266" s="27" t="s">
        <v>7</v>
      </c>
      <c r="CK266" s="27" t="s">
        <v>8</v>
      </c>
      <c r="CL266" s="27" t="s">
        <v>7</v>
      </c>
      <c r="CM266" s="27" t="s">
        <v>8</v>
      </c>
      <c r="CN266" s="27" t="s">
        <v>7</v>
      </c>
      <c r="CO266" s="27" t="s">
        <v>8</v>
      </c>
      <c r="CT266" s="27" t="s">
        <v>7</v>
      </c>
      <c r="CU266" s="27" t="s">
        <v>8</v>
      </c>
      <c r="CW266" s="27" t="s">
        <v>8</v>
      </c>
      <c r="CX266" s="27" t="s">
        <v>7</v>
      </c>
      <c r="DQ266" s="27" t="s">
        <v>8</v>
      </c>
      <c r="DS266" s="27" t="s">
        <v>8</v>
      </c>
      <c r="DT266" s="27" t="s">
        <v>7</v>
      </c>
      <c r="DU266" s="27" t="s">
        <v>8</v>
      </c>
      <c r="DX266" s="31"/>
      <c r="EP266" s="27" t="s">
        <v>7</v>
      </c>
      <c r="EQ266" s="32" t="s">
        <v>8</v>
      </c>
      <c r="ES266" s="32" t="s">
        <v>8</v>
      </c>
      <c r="EU266" s="31" t="s">
        <v>8</v>
      </c>
      <c r="EW266" s="27" t="s">
        <v>8</v>
      </c>
      <c r="EX266" s="27" t="s">
        <v>7</v>
      </c>
      <c r="EY266" s="31"/>
      <c r="EZ266" s="27" t="s">
        <v>7</v>
      </c>
      <c r="FA266" s="27" t="s">
        <v>8</v>
      </c>
      <c r="FB266" s="27" t="s">
        <v>7</v>
      </c>
    </row>
    <row r="267" spans="1:159" x14ac:dyDescent="0.25">
      <c r="A267" s="30">
        <v>0.26784831900023492</v>
      </c>
      <c r="B267"/>
      <c r="C267"/>
      <c r="D267"/>
      <c r="E267"/>
      <c r="F267" s="27" t="s">
        <v>7</v>
      </c>
      <c r="CC267" s="27" t="s">
        <v>8</v>
      </c>
      <c r="CJ267" s="27" t="s">
        <v>7</v>
      </c>
      <c r="CK267" s="27" t="s">
        <v>8</v>
      </c>
      <c r="CL267" s="27" t="s">
        <v>7</v>
      </c>
      <c r="CM267" s="27" t="s">
        <v>8</v>
      </c>
      <c r="CN267" s="27" t="s">
        <v>7</v>
      </c>
      <c r="CO267" s="27" t="s">
        <v>8</v>
      </c>
      <c r="CT267" s="27" t="s">
        <v>7</v>
      </c>
      <c r="CU267" s="27" t="s">
        <v>8</v>
      </c>
      <c r="CV267" s="27" t="s">
        <v>7</v>
      </c>
      <c r="CW267" s="27" t="s">
        <v>8</v>
      </c>
      <c r="CX267" s="27" t="s">
        <v>7</v>
      </c>
      <c r="CY267" s="32" t="s">
        <v>8</v>
      </c>
      <c r="DA267" s="32" t="s">
        <v>8</v>
      </c>
      <c r="DO267" s="27" t="s">
        <v>8</v>
      </c>
      <c r="DQ267" s="27" t="s">
        <v>8</v>
      </c>
      <c r="DR267" s="27" t="s">
        <v>7</v>
      </c>
      <c r="DS267" s="27" t="s">
        <v>8</v>
      </c>
      <c r="DT267" s="27" t="s">
        <v>7</v>
      </c>
      <c r="DU267" s="27" t="s">
        <v>8</v>
      </c>
      <c r="DW267" s="31"/>
      <c r="EP267" s="27" t="s">
        <v>7</v>
      </c>
      <c r="EQ267" s="27" t="s">
        <v>8</v>
      </c>
      <c r="ER267" s="27" t="s">
        <v>7</v>
      </c>
      <c r="ES267" s="27" t="s">
        <v>8</v>
      </c>
      <c r="ET267" s="27" t="s">
        <v>7</v>
      </c>
      <c r="EU267" s="27" t="s">
        <v>8</v>
      </c>
      <c r="EV267" s="27" t="s">
        <v>7</v>
      </c>
      <c r="EW267" s="27" t="s">
        <v>8</v>
      </c>
      <c r="EX267" s="31"/>
      <c r="EZ267" s="27" t="s">
        <v>7</v>
      </c>
      <c r="FA267" s="27" t="s">
        <v>8</v>
      </c>
      <c r="FB267" s="27" t="s">
        <v>7</v>
      </c>
    </row>
    <row r="268" spans="1:159" x14ac:dyDescent="0.25">
      <c r="A268" s="30">
        <v>0.25509363714308075</v>
      </c>
      <c r="B268"/>
      <c r="C268"/>
      <c r="D268"/>
      <c r="E268"/>
      <c r="F268" s="27" t="s">
        <v>7</v>
      </c>
      <c r="CC268" s="27" t="s">
        <v>8</v>
      </c>
      <c r="CJ268" s="27" t="s">
        <v>7</v>
      </c>
      <c r="CK268" s="27" t="s">
        <v>8</v>
      </c>
      <c r="CL268" s="27" t="s">
        <v>7</v>
      </c>
      <c r="CM268" s="27" t="s">
        <v>8</v>
      </c>
      <c r="CN268" s="27" t="s">
        <v>7</v>
      </c>
      <c r="CO268" s="27" t="s">
        <v>8</v>
      </c>
      <c r="CT268" s="27" t="s">
        <v>7</v>
      </c>
      <c r="CU268" s="27" t="s">
        <v>8</v>
      </c>
      <c r="CV268" s="27" t="s">
        <v>7</v>
      </c>
      <c r="CW268" s="27" t="s">
        <v>8</v>
      </c>
      <c r="CX268" s="27" t="s">
        <v>7</v>
      </c>
      <c r="CY268" s="27" t="s">
        <v>8</v>
      </c>
      <c r="CZ268" s="27" t="s">
        <v>7</v>
      </c>
      <c r="DA268" s="27" t="s">
        <v>8</v>
      </c>
      <c r="DB268" s="27" t="s">
        <v>7</v>
      </c>
      <c r="DC268" s="27" t="s">
        <v>8</v>
      </c>
      <c r="DO268" s="27" t="s">
        <v>8</v>
      </c>
      <c r="DP268" s="27" t="s">
        <v>7</v>
      </c>
      <c r="DQ268" s="27" t="s">
        <v>8</v>
      </c>
      <c r="DR268" s="27" t="s">
        <v>7</v>
      </c>
      <c r="DS268" s="27" t="s">
        <v>8</v>
      </c>
      <c r="DT268" s="27" t="s">
        <v>7</v>
      </c>
      <c r="DV268" s="31"/>
      <c r="EP268" s="27" t="s">
        <v>7</v>
      </c>
      <c r="EQ268" s="27" t="s">
        <v>8</v>
      </c>
      <c r="ER268" s="27" t="s">
        <v>7</v>
      </c>
      <c r="ES268" s="27" t="s">
        <v>8</v>
      </c>
      <c r="ET268" s="27" t="s">
        <v>7</v>
      </c>
      <c r="EU268" s="27" t="s">
        <v>8</v>
      </c>
      <c r="EV268" s="27" t="s">
        <v>7</v>
      </c>
      <c r="EW268" s="31" t="s">
        <v>8</v>
      </c>
      <c r="EZ268" s="27" t="s">
        <v>7</v>
      </c>
      <c r="FB268" s="27" t="s">
        <v>7</v>
      </c>
    </row>
    <row r="269" spans="1:159" x14ac:dyDescent="0.25">
      <c r="A269" s="30">
        <v>0.24294632108864825</v>
      </c>
      <c r="B269"/>
      <c r="C269"/>
      <c r="D269"/>
      <c r="E269"/>
      <c r="F269" s="27" t="s">
        <v>7</v>
      </c>
      <c r="CC269" s="27" t="s">
        <v>8</v>
      </c>
      <c r="CJ269" s="27" t="s">
        <v>7</v>
      </c>
      <c r="CL269" s="27" t="s">
        <v>7</v>
      </c>
      <c r="CM269" s="27" t="s">
        <v>8</v>
      </c>
      <c r="CN269" s="27" t="s">
        <v>7</v>
      </c>
      <c r="CO269" s="27" t="s">
        <v>8</v>
      </c>
      <c r="CT269" s="27" t="s">
        <v>7</v>
      </c>
      <c r="CU269" s="27" t="s">
        <v>8</v>
      </c>
      <c r="CV269" s="27" t="s">
        <v>7</v>
      </c>
      <c r="CW269" s="27" t="s">
        <v>8</v>
      </c>
      <c r="CX269" s="27" t="s">
        <v>7</v>
      </c>
      <c r="CY269" s="27" t="s">
        <v>8</v>
      </c>
      <c r="CZ269" s="27" t="s">
        <v>7</v>
      </c>
      <c r="DA269" s="27" t="s">
        <v>8</v>
      </c>
      <c r="DB269" s="27" t="s">
        <v>7</v>
      </c>
      <c r="DC269" s="27" t="s">
        <v>8</v>
      </c>
      <c r="DD269" s="27" t="s">
        <v>7</v>
      </c>
      <c r="DO269" s="27" t="s">
        <v>8</v>
      </c>
      <c r="DP269" s="27" t="s">
        <v>7</v>
      </c>
      <c r="DQ269" s="27" t="s">
        <v>8</v>
      </c>
      <c r="DR269" s="27" t="s">
        <v>7</v>
      </c>
      <c r="DS269" s="27" t="s">
        <v>8</v>
      </c>
      <c r="DU269" s="31"/>
      <c r="EP269" s="27" t="s">
        <v>7</v>
      </c>
      <c r="EQ269" s="27" t="s">
        <v>8</v>
      </c>
      <c r="ER269" s="27" t="s">
        <v>7</v>
      </c>
      <c r="ET269" s="27" t="s">
        <v>7</v>
      </c>
      <c r="EU269" s="27" t="s">
        <v>8</v>
      </c>
      <c r="EV269" s="31" t="s">
        <v>7</v>
      </c>
      <c r="FB269" s="27" t="s">
        <v>7</v>
      </c>
    </row>
    <row r="270" spans="1:159" x14ac:dyDescent="0.25">
      <c r="A270" s="30">
        <v>0.23137744865585538</v>
      </c>
      <c r="B270"/>
      <c r="C270"/>
      <c r="D270"/>
      <c r="E270"/>
      <c r="F270" s="27" t="s">
        <v>7</v>
      </c>
      <c r="CC270" s="27" t="s">
        <v>8</v>
      </c>
      <c r="CL270" s="27" t="s">
        <v>7</v>
      </c>
      <c r="CM270" s="27" t="s">
        <v>8</v>
      </c>
      <c r="CN270" s="27" t="s">
        <v>7</v>
      </c>
      <c r="CT270" s="27" t="s">
        <v>7</v>
      </c>
      <c r="CU270" s="27" t="s">
        <v>8</v>
      </c>
      <c r="CV270" s="27" t="s">
        <v>7</v>
      </c>
      <c r="CW270" s="27" t="s">
        <v>8</v>
      </c>
      <c r="CX270" s="27" t="s">
        <v>7</v>
      </c>
      <c r="CY270" s="27" t="s">
        <v>8</v>
      </c>
      <c r="CZ270" s="27" t="s">
        <v>7</v>
      </c>
      <c r="DB270" s="27" t="s">
        <v>7</v>
      </c>
      <c r="DC270" s="27" t="s">
        <v>8</v>
      </c>
      <c r="DD270" s="27" t="s">
        <v>7</v>
      </c>
      <c r="DO270" s="27" t="s">
        <v>8</v>
      </c>
      <c r="DP270" s="27" t="s">
        <v>7</v>
      </c>
      <c r="DQ270" s="27" t="s">
        <v>8</v>
      </c>
      <c r="DR270" s="27" t="s">
        <v>7</v>
      </c>
      <c r="DT270" s="31"/>
      <c r="EP270" s="27" t="s">
        <v>7</v>
      </c>
      <c r="EQ270" s="27" t="s">
        <v>8</v>
      </c>
      <c r="ET270" s="27" t="s">
        <v>7</v>
      </c>
      <c r="EU270" s="31" t="s">
        <v>8</v>
      </c>
      <c r="FB270" s="27" t="s">
        <v>7</v>
      </c>
    </row>
    <row r="271" spans="1:159" x14ac:dyDescent="0.25">
      <c r="A271" s="30">
        <v>0.22035947491033836</v>
      </c>
      <c r="B271"/>
      <c r="C271"/>
      <c r="D271"/>
      <c r="E271"/>
      <c r="F271" s="27" t="s">
        <v>7</v>
      </c>
      <c r="CC271" s="27" t="s">
        <v>8</v>
      </c>
      <c r="CL271" s="27" t="s">
        <v>7</v>
      </c>
      <c r="CM271" s="27" t="s">
        <v>8</v>
      </c>
      <c r="CT271" s="27" t="s">
        <v>7</v>
      </c>
      <c r="CU271" s="27" t="s">
        <v>8</v>
      </c>
      <c r="CV271" s="27" t="s">
        <v>7</v>
      </c>
      <c r="CW271" s="27" t="s">
        <v>8</v>
      </c>
      <c r="CX271" s="27" t="s">
        <v>7</v>
      </c>
      <c r="CY271" s="27" t="s">
        <v>8</v>
      </c>
      <c r="DB271" s="27" t="s">
        <v>7</v>
      </c>
      <c r="DC271" s="27" t="s">
        <v>8</v>
      </c>
      <c r="DD271" s="27" t="s">
        <v>7</v>
      </c>
      <c r="DE271" s="27" t="s">
        <v>8</v>
      </c>
      <c r="DO271" s="27" t="s">
        <v>8</v>
      </c>
      <c r="DP271" s="27" t="s">
        <v>7</v>
      </c>
      <c r="DS271" s="31"/>
      <c r="EP271" s="27" t="s">
        <v>7</v>
      </c>
      <c r="ET271" s="31" t="s">
        <v>7</v>
      </c>
      <c r="FB271" s="27" t="s">
        <v>7</v>
      </c>
      <c r="FC271" s="27" t="s">
        <v>8</v>
      </c>
    </row>
    <row r="272" spans="1:159" x14ac:dyDescent="0.25">
      <c r="A272" s="30">
        <v>0.20986616658127455</v>
      </c>
      <c r="B272"/>
      <c r="C272"/>
      <c r="D272"/>
      <c r="E272"/>
      <c r="F272" s="27" t="s">
        <v>7</v>
      </c>
      <c r="CC272" s="27" t="s">
        <v>8</v>
      </c>
      <c r="CL272" s="27" t="s">
        <v>7</v>
      </c>
      <c r="CM272" s="27" t="s">
        <v>8</v>
      </c>
      <c r="CT272" s="27" t="s">
        <v>7</v>
      </c>
      <c r="CU272" s="27" t="s">
        <v>8</v>
      </c>
      <c r="CV272" s="27" t="s">
        <v>7</v>
      </c>
      <c r="CW272" s="27" t="s">
        <v>8</v>
      </c>
      <c r="CX272" s="27" t="s">
        <v>7</v>
      </c>
      <c r="CY272" s="27" t="s">
        <v>8</v>
      </c>
      <c r="DB272" s="27" t="s">
        <v>7</v>
      </c>
      <c r="DC272" s="27" t="s">
        <v>8</v>
      </c>
      <c r="DD272" s="27" t="s">
        <v>7</v>
      </c>
      <c r="DE272" s="27" t="s">
        <v>8</v>
      </c>
      <c r="DF272" s="27" t="s">
        <v>7</v>
      </c>
      <c r="DI272" s="27" t="s">
        <v>8</v>
      </c>
      <c r="DM272" s="27" t="s">
        <v>8</v>
      </c>
      <c r="DO272" s="27" t="s">
        <v>8</v>
      </c>
      <c r="DR272" s="31"/>
      <c r="FB272" s="27" t="s">
        <v>7</v>
      </c>
      <c r="FC272" s="27" t="s">
        <v>8</v>
      </c>
    </row>
    <row r="273" spans="1:159" x14ac:dyDescent="0.25">
      <c r="A273" s="30">
        <v>0.19987253960121379</v>
      </c>
      <c r="B273"/>
      <c r="C273"/>
      <c r="D273"/>
      <c r="E273"/>
      <c r="F273" s="27" t="s">
        <v>7</v>
      </c>
      <c r="CC273" s="27" t="s">
        <v>8</v>
      </c>
      <c r="CL273" s="27" t="s">
        <v>7</v>
      </c>
      <c r="CT273" s="27" t="s">
        <v>7</v>
      </c>
      <c r="CU273" s="27" t="s">
        <v>8</v>
      </c>
      <c r="CV273" s="27" t="s">
        <v>7</v>
      </c>
      <c r="CX273" s="27" t="s">
        <v>7</v>
      </c>
      <c r="CY273" s="27" t="s">
        <v>8</v>
      </c>
      <c r="DB273" s="27" t="s">
        <v>7</v>
      </c>
      <c r="DD273" s="27" t="s">
        <v>7</v>
      </c>
      <c r="DE273" s="27" t="s">
        <v>8</v>
      </c>
      <c r="DF273" s="27" t="s">
        <v>7</v>
      </c>
      <c r="DI273" s="34" t="s">
        <v>8</v>
      </c>
      <c r="DJ273" s="27" t="s">
        <v>7</v>
      </c>
      <c r="DM273" s="34" t="s">
        <v>8</v>
      </c>
      <c r="DN273" s="27" t="s">
        <v>7</v>
      </c>
      <c r="DO273" s="27" t="s">
        <v>8</v>
      </c>
      <c r="DQ273" s="31"/>
      <c r="FB273" s="27" t="s">
        <v>7</v>
      </c>
      <c r="FC273" s="27" t="s">
        <v>8</v>
      </c>
    </row>
    <row r="274" spans="1:159" x14ac:dyDescent="0.25">
      <c r="A274" s="30">
        <v>0.19035479962020352</v>
      </c>
      <c r="B274"/>
      <c r="C274"/>
      <c r="D274"/>
      <c r="E274"/>
      <c r="F274" s="27" t="s">
        <v>7</v>
      </c>
      <c r="CC274" s="27" t="s">
        <v>8</v>
      </c>
      <c r="CT274" s="31" t="s">
        <v>7</v>
      </c>
      <c r="CU274" s="27" t="s">
        <v>8</v>
      </c>
      <c r="CX274" s="35" t="s">
        <v>7</v>
      </c>
      <c r="DD274" s="27" t="s">
        <v>7</v>
      </c>
      <c r="DE274" s="27" t="s">
        <v>8</v>
      </c>
      <c r="DF274" s="27" t="s">
        <v>7</v>
      </c>
      <c r="DG274" s="27" t="s">
        <v>8</v>
      </c>
      <c r="DI274" s="27" t="s">
        <v>8</v>
      </c>
      <c r="DJ274" s="27" t="s">
        <v>7</v>
      </c>
      <c r="DK274" s="18" t="s">
        <v>8</v>
      </c>
      <c r="DM274" s="27" t="s">
        <v>8</v>
      </c>
      <c r="DN274" s="27" t="s">
        <v>7</v>
      </c>
      <c r="DO274" s="27" t="s">
        <v>8</v>
      </c>
      <c r="DP274" s="31"/>
      <c r="FB274" s="27" t="s">
        <v>7</v>
      </c>
    </row>
    <row r="275" spans="1:159" x14ac:dyDescent="0.25">
      <c r="A275" s="30">
        <v>0.18129028535257471</v>
      </c>
      <c r="B275"/>
      <c r="C275"/>
      <c r="D275"/>
      <c r="E275"/>
      <c r="F275" s="27" t="s">
        <v>7</v>
      </c>
      <c r="CC275" s="27" t="s">
        <v>8</v>
      </c>
      <c r="CS275" s="31"/>
      <c r="CT275" s="27" t="s">
        <v>7</v>
      </c>
      <c r="CU275" s="27" t="s">
        <v>8</v>
      </c>
      <c r="DD275" s="27" t="s">
        <v>7</v>
      </c>
      <c r="DF275" s="27" t="s">
        <v>7</v>
      </c>
      <c r="DG275" s="27" t="s">
        <v>8</v>
      </c>
      <c r="DH275" s="27" t="s">
        <v>7</v>
      </c>
      <c r="DI275" s="27" t="s">
        <v>8</v>
      </c>
      <c r="DJ275" s="27" t="s">
        <v>7</v>
      </c>
      <c r="DK275" s="27" t="s">
        <v>8</v>
      </c>
      <c r="DL275" s="27" t="s">
        <v>7</v>
      </c>
      <c r="DM275" s="27" t="s">
        <v>8</v>
      </c>
      <c r="DN275" s="27" t="s">
        <v>7</v>
      </c>
      <c r="DO275" s="31"/>
    </row>
    <row r="276" spans="1:159" x14ac:dyDescent="0.25">
      <c r="A276" s="30">
        <v>0.17265741462149967</v>
      </c>
      <c r="B276"/>
      <c r="C276"/>
      <c r="D276"/>
      <c r="E276"/>
      <c r="F276" s="27" t="s">
        <v>7</v>
      </c>
      <c r="CA276" s="27" t="s">
        <v>8</v>
      </c>
      <c r="CC276" s="27" t="s">
        <v>8</v>
      </c>
      <c r="CR276" s="31"/>
      <c r="CT276" s="27" t="s">
        <v>7</v>
      </c>
      <c r="CU276" s="27" t="s">
        <v>8</v>
      </c>
      <c r="DF276" s="27" t="s">
        <v>7</v>
      </c>
      <c r="DG276" s="27" t="s">
        <v>8</v>
      </c>
      <c r="DH276" s="27" t="s">
        <v>7</v>
      </c>
      <c r="DI276" s="27" t="s">
        <v>8</v>
      </c>
      <c r="DJ276" s="27" t="s">
        <v>7</v>
      </c>
      <c r="DK276" s="27" t="s">
        <v>8</v>
      </c>
      <c r="DL276" s="27" t="s">
        <v>7</v>
      </c>
      <c r="DM276" s="27" t="s">
        <v>8</v>
      </c>
      <c r="DN276" s="31"/>
    </row>
    <row r="277" spans="1:159" x14ac:dyDescent="0.25">
      <c r="A277" s="30">
        <v>0.16443563297285677</v>
      </c>
      <c r="B277"/>
      <c r="C277"/>
      <c r="D277"/>
      <c r="E277"/>
      <c r="F277" s="27" t="s">
        <v>7</v>
      </c>
      <c r="CA277" s="27" t="s">
        <v>8</v>
      </c>
      <c r="CB277" s="27" t="s">
        <v>7</v>
      </c>
      <c r="CC277" s="27" t="s">
        <v>8</v>
      </c>
      <c r="CQ277" s="31"/>
      <c r="CT277" s="27" t="s">
        <v>7</v>
      </c>
      <c r="DF277" s="27" t="s">
        <v>7</v>
      </c>
      <c r="DG277" s="27" t="s">
        <v>8</v>
      </c>
      <c r="DH277" s="32" t="s">
        <v>7</v>
      </c>
      <c r="DJ277" s="32" t="s">
        <v>7</v>
      </c>
      <c r="DL277" s="27" t="s">
        <v>7</v>
      </c>
      <c r="DM277" s="31" t="s">
        <v>8</v>
      </c>
    </row>
    <row r="278" spans="1:159" x14ac:dyDescent="0.25">
      <c r="A278" s="30">
        <v>0.15660536473605399</v>
      </c>
      <c r="B278"/>
      <c r="C278"/>
      <c r="D278"/>
      <c r="E278"/>
      <c r="F278" s="27" t="s">
        <v>7</v>
      </c>
      <c r="BW278" s="27" t="s">
        <v>8</v>
      </c>
      <c r="CA278" s="27" t="s">
        <v>8</v>
      </c>
      <c r="CB278" s="27" t="s">
        <v>7</v>
      </c>
      <c r="CC278" s="27" t="s">
        <v>8</v>
      </c>
      <c r="CP278" s="31"/>
      <c r="DF278" s="27" t="s">
        <v>7</v>
      </c>
      <c r="DG278" s="27" t="s">
        <v>8</v>
      </c>
      <c r="DL278" s="35" t="s">
        <v>7</v>
      </c>
    </row>
    <row r="279" spans="1:159" x14ac:dyDescent="0.25">
      <c r="A279" s="30">
        <v>0.14914796641528946</v>
      </c>
      <c r="B279"/>
      <c r="C279"/>
      <c r="D279"/>
      <c r="E279"/>
      <c r="F279" s="27" t="s">
        <v>7</v>
      </c>
      <c r="BW279" s="27" t="s">
        <v>8</v>
      </c>
      <c r="BX279" s="27" t="s">
        <v>7</v>
      </c>
      <c r="CA279" s="27" t="s">
        <v>8</v>
      </c>
      <c r="CB279" s="27" t="s">
        <v>7</v>
      </c>
      <c r="CC279" s="27" t="s">
        <v>8</v>
      </c>
      <c r="CO279" s="31"/>
      <c r="DF279" s="27" t="s">
        <v>7</v>
      </c>
      <c r="DG279" s="27" t="s">
        <v>8</v>
      </c>
    </row>
    <row r="280" spans="1:159" x14ac:dyDescent="0.25">
      <c r="A280" s="30">
        <v>0.14204568230027562</v>
      </c>
      <c r="B280"/>
      <c r="C280"/>
      <c r="D280"/>
      <c r="E280"/>
      <c r="F280" s="27" t="s">
        <v>7</v>
      </c>
      <c r="BU280" s="27" t="s">
        <v>8</v>
      </c>
      <c r="BW280" s="27" t="s">
        <v>8</v>
      </c>
      <c r="BX280" s="27" t="s">
        <v>7</v>
      </c>
      <c r="BY280" s="27" t="s">
        <v>8</v>
      </c>
      <c r="CA280" s="27" t="s">
        <v>8</v>
      </c>
      <c r="CB280" s="27" t="s">
        <v>7</v>
      </c>
      <c r="CN280" s="31"/>
      <c r="DF280" s="27" t="s">
        <v>7</v>
      </c>
    </row>
    <row r="281" spans="1:159" x14ac:dyDescent="0.25">
      <c r="A281" s="30">
        <v>0.13528160219073862</v>
      </c>
      <c r="B281"/>
      <c r="C281"/>
      <c r="D281"/>
      <c r="E281"/>
      <c r="F281" s="27" t="s">
        <v>7</v>
      </c>
      <c r="BU281" s="27" t="s">
        <v>8</v>
      </c>
      <c r="BV281" s="27" t="s">
        <v>7</v>
      </c>
      <c r="BW281" s="27" t="s">
        <v>8</v>
      </c>
      <c r="BX281" s="27" t="s">
        <v>7</v>
      </c>
      <c r="BY281" s="27" t="s">
        <v>8</v>
      </c>
      <c r="BZ281" s="27" t="s">
        <v>7</v>
      </c>
      <c r="CA281" s="27" t="s">
        <v>8</v>
      </c>
      <c r="CM281" s="31"/>
    </row>
    <row r="282" spans="1:159" x14ac:dyDescent="0.25">
      <c r="A282" s="30">
        <v>0.12883962113403674</v>
      </c>
      <c r="B282"/>
      <c r="C282"/>
      <c r="D282"/>
      <c r="E282"/>
      <c r="F282" s="27" t="s">
        <v>7</v>
      </c>
      <c r="BU282" s="27" t="s">
        <v>8</v>
      </c>
      <c r="BV282" s="27" t="s">
        <v>7</v>
      </c>
      <c r="BW282" s="27" t="s">
        <v>8</v>
      </c>
      <c r="BX282" s="27" t="s">
        <v>7</v>
      </c>
      <c r="BY282" s="27" t="s">
        <v>8</v>
      </c>
      <c r="BZ282" s="27" t="s">
        <v>7</v>
      </c>
      <c r="CA282" s="27" t="s">
        <v>8</v>
      </c>
      <c r="CL282" s="31"/>
    </row>
    <row r="283" spans="1:159" x14ac:dyDescent="0.25">
      <c r="A283" s="30">
        <v>0.12270440108003494</v>
      </c>
      <c r="B283"/>
      <c r="C283"/>
      <c r="D283"/>
      <c r="E283"/>
      <c r="F283" s="27" t="s">
        <v>7</v>
      </c>
      <c r="BM283" s="27" t="s">
        <v>8</v>
      </c>
      <c r="BU283" s="27" t="s">
        <v>8</v>
      </c>
      <c r="BV283" s="27" t="s">
        <v>7</v>
      </c>
      <c r="BW283" s="27" t="s">
        <v>8</v>
      </c>
      <c r="BX283" s="27" t="s">
        <v>7</v>
      </c>
      <c r="BY283" s="27" t="s">
        <v>8</v>
      </c>
      <c r="BZ283" s="27" t="s">
        <v>7</v>
      </c>
      <c r="CA283" s="27" t="s">
        <v>8</v>
      </c>
      <c r="CK283" s="31"/>
    </row>
    <row r="284" spans="1:159" x14ac:dyDescent="0.25">
      <c r="A284" s="30">
        <v>0.11686133436193799</v>
      </c>
      <c r="B284"/>
      <c r="C284"/>
      <c r="D284"/>
      <c r="E284"/>
      <c r="F284" s="27" t="s">
        <v>7</v>
      </c>
      <c r="BM284" s="27" t="s">
        <v>8</v>
      </c>
      <c r="BN284" s="27" t="s">
        <v>7</v>
      </c>
      <c r="BU284" s="27" t="s">
        <v>8</v>
      </c>
      <c r="BV284" s="27" t="s">
        <v>7</v>
      </c>
      <c r="BW284" s="27" t="s">
        <v>8</v>
      </c>
      <c r="BX284" s="27" t="s">
        <v>7</v>
      </c>
      <c r="BY284" s="27" t="s">
        <v>8</v>
      </c>
      <c r="BZ284" s="27" t="s">
        <v>7</v>
      </c>
      <c r="CA284" s="27" t="s">
        <v>8</v>
      </c>
      <c r="CJ284" s="31"/>
    </row>
    <row r="285" spans="1:159" x14ac:dyDescent="0.25">
      <c r="A285" s="30">
        <v>0.11129650891613138</v>
      </c>
      <c r="B285"/>
      <c r="C285"/>
      <c r="D285"/>
      <c r="E285"/>
      <c r="F285" s="27" t="s">
        <v>7</v>
      </c>
      <c r="BM285" s="27" t="s">
        <v>8</v>
      </c>
      <c r="BN285" s="27" t="s">
        <v>7</v>
      </c>
      <c r="BS285" s="27" t="s">
        <v>8</v>
      </c>
      <c r="BU285" s="27" t="s">
        <v>8</v>
      </c>
      <c r="BV285" s="27" t="s">
        <v>7</v>
      </c>
      <c r="BX285" s="27" t="s">
        <v>7</v>
      </c>
      <c r="BY285" s="27" t="s">
        <v>8</v>
      </c>
      <c r="BZ285" s="27" t="s">
        <v>7</v>
      </c>
      <c r="CA285" s="27" t="s">
        <v>8</v>
      </c>
      <c r="CI285" s="31"/>
    </row>
    <row r="286" spans="1:159" x14ac:dyDescent="0.25">
      <c r="A286" s="30">
        <v>0.10599667515822032</v>
      </c>
      <c r="B286"/>
      <c r="C286"/>
      <c r="D286"/>
      <c r="E286"/>
      <c r="F286" s="27" t="s">
        <v>7</v>
      </c>
      <c r="BM286" s="27" t="s">
        <v>8</v>
      </c>
      <c r="BN286" s="27" t="s">
        <v>7</v>
      </c>
      <c r="BS286" s="27" t="s">
        <v>8</v>
      </c>
      <c r="BT286" s="27" t="s">
        <v>7</v>
      </c>
      <c r="BU286" s="27" t="s">
        <v>8</v>
      </c>
      <c r="BX286" s="27" t="s">
        <v>7</v>
      </c>
      <c r="BY286" s="27" t="s">
        <v>8</v>
      </c>
      <c r="BZ286" s="27" t="s">
        <v>7</v>
      </c>
      <c r="CH286" s="31"/>
    </row>
    <row r="287" spans="1:159" x14ac:dyDescent="0.25">
      <c r="A287" s="30">
        <v>0.10094921443640027</v>
      </c>
      <c r="B287"/>
      <c r="C287"/>
      <c r="D287"/>
      <c r="E287"/>
      <c r="F287" s="27" t="s">
        <v>7</v>
      </c>
      <c r="BM287" s="27" t="s">
        <v>8</v>
      </c>
      <c r="BN287" s="27" t="s">
        <v>7</v>
      </c>
      <c r="BO287" s="27" t="s">
        <v>8</v>
      </c>
      <c r="BS287" s="27" t="s">
        <v>8</v>
      </c>
      <c r="BT287" s="27" t="s">
        <v>7</v>
      </c>
      <c r="BU287" s="27" t="s">
        <v>8</v>
      </c>
      <c r="BX287" s="27" t="s">
        <v>7</v>
      </c>
      <c r="BY287" s="27" t="s">
        <v>8</v>
      </c>
      <c r="CG287" s="31"/>
    </row>
    <row r="288" spans="1:159" x14ac:dyDescent="0.25">
      <c r="A288" s="30">
        <v>9.6142108987047836E-2</v>
      </c>
      <c r="B288"/>
      <c r="C288"/>
      <c r="D288"/>
      <c r="E288"/>
      <c r="F288" s="27" t="s">
        <v>7</v>
      </c>
      <c r="BM288" s="27" t="s">
        <v>8</v>
      </c>
      <c r="BN288" s="27" t="s">
        <v>7</v>
      </c>
      <c r="BO288" s="27" t="s">
        <v>8</v>
      </c>
      <c r="BP288" s="27" t="s">
        <v>7</v>
      </c>
      <c r="BS288" s="27" t="s">
        <v>8</v>
      </c>
      <c r="BT288" s="27" t="s">
        <v>7</v>
      </c>
      <c r="BU288" s="27" t="s">
        <v>8</v>
      </c>
      <c r="BX288" s="27" t="s">
        <v>7</v>
      </c>
      <c r="BY288" s="27" t="s">
        <v>8</v>
      </c>
      <c r="CF288" s="31"/>
    </row>
    <row r="289" spans="1:83" x14ac:dyDescent="0.25">
      <c r="A289" s="30">
        <v>9.1563913320997906E-2</v>
      </c>
      <c r="B289"/>
      <c r="C289"/>
      <c r="D289"/>
      <c r="E289"/>
      <c r="F289" s="27" t="s">
        <v>7</v>
      </c>
      <c r="BM289" s="27" t="s">
        <v>8</v>
      </c>
      <c r="BN289" s="27" t="s">
        <v>7</v>
      </c>
      <c r="BO289" s="27" t="s">
        <v>8</v>
      </c>
      <c r="BP289" s="27" t="s">
        <v>7</v>
      </c>
      <c r="BQ289" s="27" t="s">
        <v>8</v>
      </c>
      <c r="BS289" s="27" t="s">
        <v>8</v>
      </c>
      <c r="BT289" s="27" t="s">
        <v>7</v>
      </c>
      <c r="BX289" s="27" t="s">
        <v>7</v>
      </c>
      <c r="CE289" s="31"/>
    </row>
    <row r="290" spans="1:83" x14ac:dyDescent="0.25">
      <c r="A290" s="30">
        <v>8.7203726972378923E-2</v>
      </c>
      <c r="B290"/>
      <c r="C290"/>
      <c r="D290"/>
      <c r="E290"/>
      <c r="F290" s="27" t="s">
        <v>7</v>
      </c>
      <c r="BM290" s="27" t="s">
        <v>8</v>
      </c>
      <c r="BN290" s="27" t="s">
        <v>7</v>
      </c>
      <c r="BO290" s="27" t="s">
        <v>8</v>
      </c>
      <c r="BP290" s="27" t="s">
        <v>7</v>
      </c>
      <c r="BQ290" s="27" t="s">
        <v>8</v>
      </c>
      <c r="BR290" s="27" t="s">
        <v>7</v>
      </c>
      <c r="BS290" s="27" t="s">
        <v>8</v>
      </c>
      <c r="CD290" s="31"/>
    </row>
    <row r="291" spans="1:83" x14ac:dyDescent="0.25">
      <c r="A291" s="30">
        <v>8.3051168545122747E-2</v>
      </c>
      <c r="B291"/>
      <c r="C291"/>
      <c r="D291"/>
      <c r="E291"/>
      <c r="F291" s="27" t="s">
        <v>7</v>
      </c>
      <c r="BM291" s="27" t="s">
        <v>8</v>
      </c>
      <c r="BN291" s="27" t="s">
        <v>7</v>
      </c>
      <c r="BO291" s="27" t="s">
        <v>8</v>
      </c>
      <c r="BP291" s="27" t="s">
        <v>7</v>
      </c>
      <c r="BQ291" s="27" t="s">
        <v>8</v>
      </c>
      <c r="BR291" s="27" t="s">
        <v>7</v>
      </c>
      <c r="BS291" s="27" t="s">
        <v>8</v>
      </c>
      <c r="CC291" s="31"/>
    </row>
    <row r="292" spans="1:83" x14ac:dyDescent="0.25">
      <c r="A292" s="30">
        <v>7.9096350995354961E-2</v>
      </c>
      <c r="B292"/>
      <c r="C292"/>
      <c r="D292"/>
      <c r="E292"/>
      <c r="F292" s="27" t="s">
        <v>7</v>
      </c>
      <c r="M292" s="27" t="s">
        <v>8</v>
      </c>
      <c r="BM292" s="27" t="s">
        <v>8</v>
      </c>
      <c r="BN292" s="27" t="s">
        <v>7</v>
      </c>
      <c r="BP292" s="27" t="s">
        <v>7</v>
      </c>
      <c r="BR292" s="27" t="s">
        <v>7</v>
      </c>
      <c r="CB292" s="31"/>
    </row>
    <row r="293" spans="1:83" x14ac:dyDescent="0.25">
      <c r="A293" s="30">
        <v>7.5329858090814217E-2</v>
      </c>
      <c r="B293"/>
      <c r="C293"/>
      <c r="D293"/>
      <c r="E293"/>
      <c r="F293" s="27" t="s">
        <v>7</v>
      </c>
      <c r="M293" s="27" t="s">
        <v>8</v>
      </c>
      <c r="N293" s="27" t="s">
        <v>7</v>
      </c>
      <c r="BM293" s="27" t="s">
        <v>8</v>
      </c>
      <c r="CA293" s="31"/>
    </row>
    <row r="294" spans="1:83" x14ac:dyDescent="0.25">
      <c r="A294" s="30">
        <v>7.1742721991251604E-2</v>
      </c>
      <c r="B294"/>
      <c r="C294"/>
      <c r="D294"/>
      <c r="E294"/>
      <c r="F294" s="27" t="s">
        <v>7</v>
      </c>
      <c r="M294" s="27" t="s">
        <v>8</v>
      </c>
      <c r="N294" s="27" t="s">
        <v>7</v>
      </c>
      <c r="BM294" s="27" t="s">
        <v>8</v>
      </c>
      <c r="BZ294" s="31"/>
    </row>
    <row r="295" spans="1:83" x14ac:dyDescent="0.25">
      <c r="A295" s="30">
        <v>6.8326401896430078E-2</v>
      </c>
      <c r="B295"/>
      <c r="C295"/>
      <c r="D295"/>
      <c r="E295"/>
      <c r="F295" s="27" t="s">
        <v>7</v>
      </c>
      <c r="M295" s="27" t="s">
        <v>8</v>
      </c>
      <c r="N295" s="27" t="s">
        <v>7</v>
      </c>
      <c r="BM295" s="27" t="s">
        <v>8</v>
      </c>
      <c r="BY295" s="31"/>
    </row>
    <row r="296" spans="1:83" x14ac:dyDescent="0.25">
      <c r="A296" s="30">
        <v>6.5072763710885759E-2</v>
      </c>
      <c r="B296"/>
      <c r="C296"/>
      <c r="D296"/>
      <c r="E296"/>
      <c r="F296" s="27" t="s">
        <v>7</v>
      </c>
      <c r="M296" s="27" t="s">
        <v>8</v>
      </c>
      <c r="N296" s="27" t="s">
        <v>7</v>
      </c>
      <c r="BI296" s="27" t="s">
        <v>8</v>
      </c>
      <c r="BM296" s="27" t="s">
        <v>8</v>
      </c>
      <c r="BX296" s="31"/>
    </row>
    <row r="297" spans="1:83" x14ac:dyDescent="0.25">
      <c r="A297" s="30">
        <v>6.197406067703403E-2</v>
      </c>
      <c r="B297"/>
      <c r="C297"/>
      <c r="D297"/>
      <c r="E297"/>
      <c r="F297" s="27" t="s">
        <v>7</v>
      </c>
      <c r="M297" s="27" t="s">
        <v>8</v>
      </c>
      <c r="N297" s="27" t="s">
        <v>7</v>
      </c>
      <c r="U297" s="27" t="s">
        <v>8</v>
      </c>
      <c r="BI297" s="27" t="s">
        <v>8</v>
      </c>
      <c r="BJ297" s="27" t="s">
        <v>7</v>
      </c>
      <c r="BM297" s="27" t="s">
        <v>8</v>
      </c>
      <c r="BW297" s="31"/>
    </row>
    <row r="298" spans="1:83" x14ac:dyDescent="0.25">
      <c r="A298" s="30">
        <v>5.9022914930508576E-2</v>
      </c>
      <c r="B298"/>
      <c r="C298"/>
      <c r="D298"/>
      <c r="E298"/>
      <c r="F298" s="27" t="s">
        <v>7</v>
      </c>
      <c r="M298" s="27" t="s">
        <v>8</v>
      </c>
      <c r="N298" s="27" t="s">
        <v>7</v>
      </c>
      <c r="Q298" s="27" t="s">
        <v>8</v>
      </c>
      <c r="U298" s="27" t="s">
        <v>8</v>
      </c>
      <c r="V298" s="27" t="s">
        <v>7</v>
      </c>
      <c r="AS298" s="27" t="s">
        <v>8</v>
      </c>
      <c r="AU298" s="27" t="s">
        <v>8</v>
      </c>
      <c r="BI298" s="27" t="s">
        <v>8</v>
      </c>
      <c r="BJ298" s="27" t="s">
        <v>7</v>
      </c>
      <c r="BK298" s="27" t="s">
        <v>8</v>
      </c>
      <c r="BM298" s="27" t="s">
        <v>8</v>
      </c>
      <c r="BV298" s="31"/>
    </row>
    <row r="299" spans="1:83" x14ac:dyDescent="0.25">
      <c r="A299" s="30">
        <v>5.6212299933817669E-2</v>
      </c>
      <c r="B299"/>
      <c r="C299"/>
      <c r="D299"/>
      <c r="E299"/>
      <c r="F299" s="27" t="s">
        <v>7</v>
      </c>
      <c r="M299" s="27" t="s">
        <v>8</v>
      </c>
      <c r="N299" s="27" t="s">
        <v>7</v>
      </c>
      <c r="O299" s="27" t="s">
        <v>8</v>
      </c>
      <c r="Q299" s="27" t="s">
        <v>8</v>
      </c>
      <c r="R299" s="27" t="s">
        <v>7</v>
      </c>
      <c r="U299" s="27" t="s">
        <v>8</v>
      </c>
      <c r="V299" s="27" t="s">
        <v>7</v>
      </c>
      <c r="AS299" s="27" t="s">
        <v>8</v>
      </c>
      <c r="AT299" s="27" t="s">
        <v>7</v>
      </c>
      <c r="AU299" s="27" t="s">
        <v>8</v>
      </c>
      <c r="AV299" s="27" t="s">
        <v>7</v>
      </c>
      <c r="BI299" s="27" t="s">
        <v>8</v>
      </c>
      <c r="BJ299" s="27" t="s">
        <v>7</v>
      </c>
      <c r="BK299" s="27" t="s">
        <v>8</v>
      </c>
      <c r="BL299" s="27" t="s">
        <v>7</v>
      </c>
      <c r="BM299" s="27" t="s">
        <v>8</v>
      </c>
      <c r="BU299" s="31"/>
    </row>
    <row r="300" spans="1:83" x14ac:dyDescent="0.25">
      <c r="A300" s="30">
        <v>5.3535523746492994E-2</v>
      </c>
      <c r="B300"/>
      <c r="C300"/>
      <c r="D300"/>
      <c r="E300"/>
      <c r="F300" s="27" t="s">
        <v>7</v>
      </c>
      <c r="M300" s="27" t="s">
        <v>8</v>
      </c>
      <c r="N300" s="27" t="s">
        <v>7</v>
      </c>
      <c r="O300" s="27" t="s">
        <v>8</v>
      </c>
      <c r="P300" s="27" t="s">
        <v>7</v>
      </c>
      <c r="Q300" s="27" t="s">
        <v>8</v>
      </c>
      <c r="R300" s="27" t="s">
        <v>7</v>
      </c>
      <c r="U300" s="27" t="s">
        <v>8</v>
      </c>
      <c r="V300" s="27" t="s">
        <v>7</v>
      </c>
      <c r="AS300" s="27" t="s">
        <v>8</v>
      </c>
      <c r="AT300" s="27" t="s">
        <v>7</v>
      </c>
      <c r="AU300" s="27" t="s">
        <v>8</v>
      </c>
      <c r="AV300" s="27" t="s">
        <v>7</v>
      </c>
      <c r="BI300" s="27" t="s">
        <v>8</v>
      </c>
      <c r="BJ300" s="27" t="s">
        <v>7</v>
      </c>
      <c r="BK300" s="27" t="s">
        <v>8</v>
      </c>
      <c r="BL300" s="27" t="s">
        <v>7</v>
      </c>
      <c r="BM300" s="27" t="s">
        <v>8</v>
      </c>
      <c r="BT300" s="31"/>
    </row>
    <row r="301" spans="1:83" x14ac:dyDescent="0.25">
      <c r="A301" s="30">
        <v>5.0986213091898068E-2</v>
      </c>
      <c r="B301"/>
      <c r="C301"/>
      <c r="D301"/>
      <c r="E301"/>
      <c r="F301" s="27" t="s">
        <v>7</v>
      </c>
      <c r="M301" s="27" t="s">
        <v>8</v>
      </c>
      <c r="N301" s="27" t="s">
        <v>7</v>
      </c>
      <c r="O301" s="27" t="s">
        <v>8</v>
      </c>
      <c r="P301" s="27" t="s">
        <v>7</v>
      </c>
      <c r="Q301" s="27" t="s">
        <v>8</v>
      </c>
      <c r="R301" s="27" t="s">
        <v>7</v>
      </c>
      <c r="U301" s="27" t="s">
        <v>8</v>
      </c>
      <c r="V301" s="27" t="s">
        <v>7</v>
      </c>
      <c r="W301" s="27" t="s">
        <v>8</v>
      </c>
      <c r="AK301" s="27" t="s">
        <v>8</v>
      </c>
      <c r="AS301" s="27" t="s">
        <v>8</v>
      </c>
      <c r="AT301" s="27" t="s">
        <v>7</v>
      </c>
      <c r="AU301" s="27" t="s">
        <v>8</v>
      </c>
      <c r="AV301" s="27" t="s">
        <v>7</v>
      </c>
      <c r="BI301" s="27" t="s">
        <v>8</v>
      </c>
      <c r="BJ301" s="27" t="s">
        <v>7</v>
      </c>
      <c r="BK301" s="27" t="s">
        <v>8</v>
      </c>
      <c r="BL301" s="27" t="s">
        <v>7</v>
      </c>
      <c r="BS301" s="31"/>
    </row>
    <row r="302" spans="1:83" x14ac:dyDescent="0.25">
      <c r="A302" s="30">
        <v>4.8558298182760043E-2</v>
      </c>
      <c r="B302"/>
      <c r="C302"/>
      <c r="D302"/>
      <c r="E302"/>
      <c r="F302" s="27" t="s">
        <v>7</v>
      </c>
      <c r="M302" s="27" t="s">
        <v>8</v>
      </c>
      <c r="N302" s="27" t="s">
        <v>7</v>
      </c>
      <c r="P302" s="27" t="s">
        <v>7</v>
      </c>
      <c r="Q302" s="27" t="s">
        <v>8</v>
      </c>
      <c r="R302" s="27" t="s">
        <v>7</v>
      </c>
      <c r="U302" s="27" t="s">
        <v>8</v>
      </c>
      <c r="V302" s="27" t="s">
        <v>7</v>
      </c>
      <c r="W302" s="27" t="s">
        <v>8</v>
      </c>
      <c r="X302" s="27" t="s">
        <v>7</v>
      </c>
      <c r="AK302" s="27" t="s">
        <v>8</v>
      </c>
      <c r="AL302" s="27" t="s">
        <v>7</v>
      </c>
      <c r="AM302" s="27" t="s">
        <v>8</v>
      </c>
      <c r="AQ302" s="27" t="s">
        <v>8</v>
      </c>
      <c r="AS302" s="27" t="s">
        <v>8</v>
      </c>
      <c r="AT302" s="27" t="s">
        <v>7</v>
      </c>
      <c r="AV302" s="27" t="s">
        <v>7</v>
      </c>
      <c r="BI302" s="27" t="s">
        <v>8</v>
      </c>
      <c r="BJ302" s="27" t="s">
        <v>7</v>
      </c>
      <c r="BK302" s="27" t="s">
        <v>8</v>
      </c>
      <c r="BR302" s="31"/>
    </row>
    <row r="303" spans="1:83" x14ac:dyDescent="0.25">
      <c r="A303" s="30">
        <v>4.6245998269295263E-2</v>
      </c>
      <c r="B303"/>
      <c r="C303"/>
      <c r="D303"/>
      <c r="E303"/>
      <c r="F303" s="27" t="s">
        <v>7</v>
      </c>
      <c r="M303" s="27" t="s">
        <v>8</v>
      </c>
      <c r="P303" s="27" t="s">
        <v>7</v>
      </c>
      <c r="Q303" s="27" t="s">
        <v>8</v>
      </c>
      <c r="R303" s="27" t="s">
        <v>7</v>
      </c>
      <c r="U303" s="27" t="s">
        <v>8</v>
      </c>
      <c r="V303" s="27" t="s">
        <v>7</v>
      </c>
      <c r="W303" s="27" t="s">
        <v>8</v>
      </c>
      <c r="X303" s="27" t="s">
        <v>7</v>
      </c>
      <c r="Y303" s="27" t="s">
        <v>8</v>
      </c>
      <c r="AG303" s="27" t="s">
        <v>8</v>
      </c>
      <c r="AK303" s="27" t="s">
        <v>8</v>
      </c>
      <c r="AL303" s="27" t="s">
        <v>7</v>
      </c>
      <c r="AM303" s="27" t="s">
        <v>8</v>
      </c>
      <c r="AN303" s="27" t="s">
        <v>7</v>
      </c>
      <c r="AQ303" s="27" t="s">
        <v>8</v>
      </c>
      <c r="AR303" s="27" t="s">
        <v>7</v>
      </c>
      <c r="AS303" s="27" t="s">
        <v>8</v>
      </c>
      <c r="AV303" s="27" t="s">
        <v>7</v>
      </c>
      <c r="BI303" s="27" t="s">
        <v>8</v>
      </c>
      <c r="BJ303" s="27" t="s">
        <v>7</v>
      </c>
      <c r="BK303" s="27" t="s">
        <v>8</v>
      </c>
      <c r="BQ303" s="31"/>
    </row>
    <row r="304" spans="1:83" x14ac:dyDescent="0.25">
      <c r="A304" s="30">
        <v>4.4043807875519279E-2</v>
      </c>
      <c r="B304"/>
      <c r="C304"/>
      <c r="D304"/>
      <c r="E304"/>
      <c r="F304" s="27" t="s">
        <v>7</v>
      </c>
      <c r="M304" s="27" t="s">
        <v>8</v>
      </c>
      <c r="P304" s="27" t="s">
        <v>7</v>
      </c>
      <c r="Q304" s="27" t="s">
        <v>8</v>
      </c>
      <c r="R304" s="27" t="s">
        <v>7</v>
      </c>
      <c r="U304" s="27" t="s">
        <v>8</v>
      </c>
      <c r="V304" s="27" t="s">
        <v>7</v>
      </c>
      <c r="X304" s="27" t="s">
        <v>7</v>
      </c>
      <c r="Y304" s="27" t="s">
        <v>8</v>
      </c>
      <c r="Z304" s="27" t="s">
        <v>7</v>
      </c>
      <c r="AG304" s="27" t="s">
        <v>8</v>
      </c>
      <c r="AH304" s="27" t="s">
        <v>7</v>
      </c>
      <c r="AK304" s="27" t="s">
        <v>8</v>
      </c>
      <c r="AL304" s="27" t="s">
        <v>7</v>
      </c>
      <c r="AM304" s="27" t="s">
        <v>8</v>
      </c>
      <c r="AN304" s="27" t="s">
        <v>7</v>
      </c>
      <c r="AO304" s="27" t="s">
        <v>8</v>
      </c>
      <c r="AQ304" s="27" t="s">
        <v>8</v>
      </c>
      <c r="AR304" s="27" t="s">
        <v>7</v>
      </c>
      <c r="AS304" s="27" t="s">
        <v>8</v>
      </c>
      <c r="AV304" s="27" t="s">
        <v>7</v>
      </c>
      <c r="BI304" s="27" t="s">
        <v>8</v>
      </c>
      <c r="BJ304" s="27" t="s">
        <v>7</v>
      </c>
      <c r="BK304" s="27" t="s">
        <v>8</v>
      </c>
      <c r="BP304" s="31"/>
    </row>
    <row r="305" spans="1:67" x14ac:dyDescent="0.25">
      <c r="A305" s="30">
        <v>4.1946483690970725E-2</v>
      </c>
      <c r="B305"/>
      <c r="C305"/>
      <c r="D305"/>
      <c r="E305"/>
      <c r="F305" s="27" t="s">
        <v>7</v>
      </c>
      <c r="M305" s="27" t="s">
        <v>8</v>
      </c>
      <c r="P305" s="27" t="s">
        <v>7</v>
      </c>
      <c r="Q305" s="27" t="s">
        <v>8</v>
      </c>
      <c r="R305" s="27" t="s">
        <v>7</v>
      </c>
      <c r="U305" s="27" t="s">
        <v>8</v>
      </c>
      <c r="X305" s="27" t="s">
        <v>7</v>
      </c>
      <c r="Y305" s="27" t="s">
        <v>8</v>
      </c>
      <c r="Z305" s="27" t="s">
        <v>7</v>
      </c>
      <c r="AA305" s="27" t="s">
        <v>8</v>
      </c>
      <c r="AG305" s="27" t="s">
        <v>8</v>
      </c>
      <c r="AH305" s="27" t="s">
        <v>7</v>
      </c>
      <c r="AI305" s="27" t="s">
        <v>8</v>
      </c>
      <c r="AK305" s="27" t="s">
        <v>8</v>
      </c>
      <c r="AL305" s="27" t="s">
        <v>7</v>
      </c>
      <c r="AM305" s="27" t="s">
        <v>8</v>
      </c>
      <c r="AN305" s="27" t="s">
        <v>7</v>
      </c>
      <c r="AO305" s="27" t="s">
        <v>8</v>
      </c>
      <c r="AP305" s="27" t="s">
        <v>7</v>
      </c>
      <c r="AQ305" s="27" t="s">
        <v>8</v>
      </c>
      <c r="AR305" s="27" t="s">
        <v>7</v>
      </c>
      <c r="AV305" s="27" t="s">
        <v>7</v>
      </c>
      <c r="BI305" s="27" t="s">
        <v>8</v>
      </c>
      <c r="BJ305" s="27" t="s">
        <v>7</v>
      </c>
      <c r="BK305" s="27" t="s">
        <v>8</v>
      </c>
      <c r="BO305" s="31"/>
    </row>
    <row r="306" spans="1:67" x14ac:dyDescent="0.25">
      <c r="A306" s="30">
        <v>3.9949032086638768E-2</v>
      </c>
      <c r="B306"/>
      <c r="C306"/>
      <c r="D306"/>
      <c r="E306"/>
      <c r="F306" s="27" t="s">
        <v>7</v>
      </c>
      <c r="M306" s="27" t="s">
        <v>8</v>
      </c>
      <c r="P306" s="27" t="s">
        <v>7</v>
      </c>
      <c r="R306" s="27" t="s">
        <v>7</v>
      </c>
      <c r="U306" s="27" t="s">
        <v>8</v>
      </c>
      <c r="X306" s="27" t="s">
        <v>7</v>
      </c>
      <c r="Y306" s="27" t="s">
        <v>8</v>
      </c>
      <c r="Z306" s="27" t="s">
        <v>7</v>
      </c>
      <c r="AA306" s="27" t="s">
        <v>8</v>
      </c>
      <c r="AB306" s="27" t="s">
        <v>7</v>
      </c>
      <c r="AG306" s="27" t="s">
        <v>8</v>
      </c>
      <c r="AH306" s="27" t="s">
        <v>7</v>
      </c>
      <c r="AI306" s="27" t="s">
        <v>8</v>
      </c>
      <c r="AJ306" s="27" t="s">
        <v>7</v>
      </c>
      <c r="AK306" s="27" t="s">
        <v>8</v>
      </c>
      <c r="AL306" s="27" t="s">
        <v>7</v>
      </c>
      <c r="AN306" s="27" t="s">
        <v>7</v>
      </c>
      <c r="AO306" s="27" t="s">
        <v>8</v>
      </c>
      <c r="AP306" s="27" t="s">
        <v>7</v>
      </c>
      <c r="AQ306" s="27" t="s">
        <v>8</v>
      </c>
      <c r="AV306" s="27" t="s">
        <v>7</v>
      </c>
      <c r="BE306" s="27" t="s">
        <v>8</v>
      </c>
      <c r="BI306" s="27" t="s">
        <v>8</v>
      </c>
      <c r="BJ306" s="27" t="s">
        <v>7</v>
      </c>
      <c r="BK306" s="27" t="s">
        <v>8</v>
      </c>
      <c r="BN306" s="31"/>
    </row>
    <row r="307" spans="1:67" x14ac:dyDescent="0.25">
      <c r="A307" s="30">
        <v>3.8046697225370241E-2</v>
      </c>
      <c r="B307"/>
      <c r="C307"/>
      <c r="D307"/>
      <c r="E307"/>
      <c r="F307" s="27" t="s">
        <v>7</v>
      </c>
      <c r="M307" s="27" t="s">
        <v>8</v>
      </c>
      <c r="R307" s="27" t="s">
        <v>7</v>
      </c>
      <c r="S307" s="27" t="s">
        <v>8</v>
      </c>
      <c r="U307" s="27" t="s">
        <v>8</v>
      </c>
      <c r="X307" s="27" t="s">
        <v>7</v>
      </c>
      <c r="Y307" s="27" t="s">
        <v>8</v>
      </c>
      <c r="Z307" s="27" t="s">
        <v>7</v>
      </c>
      <c r="AA307" s="27" t="s">
        <v>8</v>
      </c>
      <c r="AB307" s="27" t="s">
        <v>7</v>
      </c>
      <c r="AE307" s="27" t="s">
        <v>8</v>
      </c>
      <c r="AG307" s="27" t="s">
        <v>8</v>
      </c>
      <c r="AH307" s="27" t="s">
        <v>7</v>
      </c>
      <c r="AI307" s="27" t="s">
        <v>8</v>
      </c>
      <c r="AJ307" s="27" t="s">
        <v>7</v>
      </c>
      <c r="AK307" s="27" t="s">
        <v>8</v>
      </c>
      <c r="AN307" s="27" t="s">
        <v>7</v>
      </c>
      <c r="AO307" s="27" t="s">
        <v>8</v>
      </c>
      <c r="AP307" s="27" t="s">
        <v>7</v>
      </c>
      <c r="AV307" s="27" t="s">
        <v>7</v>
      </c>
      <c r="BC307" s="27" t="s">
        <v>8</v>
      </c>
      <c r="BE307" s="27" t="s">
        <v>8</v>
      </c>
      <c r="BF307" s="27" t="s">
        <v>7</v>
      </c>
      <c r="BI307" s="27" t="s">
        <v>8</v>
      </c>
      <c r="BJ307" s="27" t="s">
        <v>7</v>
      </c>
      <c r="BM307" s="31"/>
    </row>
    <row r="308" spans="1:67" x14ac:dyDescent="0.25">
      <c r="A308" s="30">
        <v>3.6234949738447833E-2</v>
      </c>
      <c r="B308"/>
      <c r="C308"/>
      <c r="D308"/>
      <c r="E308"/>
      <c r="F308" s="27" t="s">
        <v>7</v>
      </c>
      <c r="M308" s="27" t="s">
        <v>8</v>
      </c>
      <c r="R308" s="27" t="s">
        <v>7</v>
      </c>
      <c r="S308" s="27" t="s">
        <v>8</v>
      </c>
      <c r="T308" s="27" t="s">
        <v>7</v>
      </c>
      <c r="U308" s="27" t="s">
        <v>8</v>
      </c>
      <c r="X308" s="27" t="s">
        <v>7</v>
      </c>
      <c r="Y308" s="27" t="s">
        <v>8</v>
      </c>
      <c r="Z308" s="27" t="s">
        <v>7</v>
      </c>
      <c r="AA308" s="27" t="s">
        <v>8</v>
      </c>
      <c r="AB308" s="27" t="s">
        <v>7</v>
      </c>
      <c r="AE308" s="27" t="s">
        <v>8</v>
      </c>
      <c r="AF308" s="27" t="s">
        <v>7</v>
      </c>
      <c r="AG308" s="27" t="s">
        <v>8</v>
      </c>
      <c r="AH308" s="27" t="s">
        <v>7</v>
      </c>
      <c r="AJ308" s="27" t="s">
        <v>7</v>
      </c>
      <c r="AK308" s="27" t="s">
        <v>8</v>
      </c>
      <c r="AN308" s="27" t="s">
        <v>7</v>
      </c>
      <c r="AV308" s="27" t="s">
        <v>7</v>
      </c>
      <c r="AY308" s="27" t="s">
        <v>8</v>
      </c>
      <c r="BC308" s="27" t="s">
        <v>8</v>
      </c>
      <c r="BD308" s="27" t="s">
        <v>7</v>
      </c>
      <c r="BE308" s="27" t="s">
        <v>8</v>
      </c>
      <c r="BF308" s="27" t="s">
        <v>7</v>
      </c>
      <c r="BI308" s="27" t="s">
        <v>8</v>
      </c>
      <c r="BL308" s="31"/>
    </row>
    <row r="309" spans="1:67" x14ac:dyDescent="0.25">
      <c r="A309" s="30">
        <v>3.4509475941378875E-2</v>
      </c>
      <c r="B309"/>
      <c r="C309"/>
      <c r="D309"/>
      <c r="E309"/>
      <c r="F309" s="27" t="s">
        <v>7</v>
      </c>
      <c r="M309" s="27" t="s">
        <v>8</v>
      </c>
      <c r="R309" s="27" t="s">
        <v>7</v>
      </c>
      <c r="S309" s="27" t="s">
        <v>8</v>
      </c>
      <c r="T309" s="27" t="s">
        <v>7</v>
      </c>
      <c r="U309" s="27" t="s">
        <v>8</v>
      </c>
      <c r="X309" s="27" t="s">
        <v>7</v>
      </c>
      <c r="Y309" s="27" t="s">
        <v>8</v>
      </c>
      <c r="Z309" s="27" t="s">
        <v>7</v>
      </c>
      <c r="AA309" s="27" t="s">
        <v>8</v>
      </c>
      <c r="AB309" s="27" t="s">
        <v>7</v>
      </c>
      <c r="AC309" s="27" t="s">
        <v>8</v>
      </c>
      <c r="AE309" s="27" t="s">
        <v>8</v>
      </c>
      <c r="AF309" s="27" t="s">
        <v>7</v>
      </c>
      <c r="AG309" s="27" t="s">
        <v>8</v>
      </c>
      <c r="AJ309" s="27" t="s">
        <v>7</v>
      </c>
      <c r="AK309" s="27" t="s">
        <v>8</v>
      </c>
      <c r="AV309" s="27" t="s">
        <v>7</v>
      </c>
      <c r="AW309" s="27" t="s">
        <v>8</v>
      </c>
      <c r="AY309" s="27" t="s">
        <v>8</v>
      </c>
      <c r="AZ309" s="27" t="s">
        <v>7</v>
      </c>
      <c r="BA309" s="27" t="s">
        <v>8</v>
      </c>
      <c r="BC309" s="27" t="s">
        <v>8</v>
      </c>
      <c r="BD309" s="27" t="s">
        <v>7</v>
      </c>
      <c r="BE309" s="27" t="s">
        <v>8</v>
      </c>
      <c r="BF309" s="27" t="s">
        <v>7</v>
      </c>
      <c r="BG309" s="27" t="s">
        <v>8</v>
      </c>
      <c r="BI309" s="27" t="s">
        <v>8</v>
      </c>
      <c r="BK309" s="31"/>
    </row>
    <row r="310" spans="1:67" x14ac:dyDescent="0.25">
      <c r="A310" s="30">
        <v>3.286616756321796E-2</v>
      </c>
      <c r="B310"/>
      <c r="C310"/>
      <c r="D310"/>
      <c r="E310"/>
      <c r="F310" s="27" t="s">
        <v>7</v>
      </c>
      <c r="M310" s="27" t="s">
        <v>8</v>
      </c>
      <c r="R310" s="27" t="s">
        <v>7</v>
      </c>
      <c r="S310" s="27" t="s">
        <v>8</v>
      </c>
      <c r="T310" s="27" t="s">
        <v>7</v>
      </c>
      <c r="X310" s="27" t="s">
        <v>7</v>
      </c>
      <c r="Y310" s="27" t="s">
        <v>8</v>
      </c>
      <c r="Z310" s="27" t="s">
        <v>7</v>
      </c>
      <c r="AA310" s="27" t="s">
        <v>8</v>
      </c>
      <c r="AB310" s="27" t="s">
        <v>7</v>
      </c>
      <c r="AC310" s="27" t="s">
        <v>8</v>
      </c>
      <c r="AD310" s="27" t="s">
        <v>7</v>
      </c>
      <c r="AE310" s="27" t="s">
        <v>8</v>
      </c>
      <c r="AF310" s="27" t="s">
        <v>7</v>
      </c>
      <c r="AG310" s="27" t="s">
        <v>8</v>
      </c>
      <c r="AJ310" s="27" t="s">
        <v>7</v>
      </c>
      <c r="AK310" s="27" t="s">
        <v>8</v>
      </c>
      <c r="AV310" s="27" t="s">
        <v>7</v>
      </c>
      <c r="AW310" s="27" t="s">
        <v>8</v>
      </c>
      <c r="AX310" s="27" t="s">
        <v>7</v>
      </c>
      <c r="AY310" s="27" t="s">
        <v>8</v>
      </c>
      <c r="AZ310" s="27" t="s">
        <v>7</v>
      </c>
      <c r="BA310" s="27" t="s">
        <v>8</v>
      </c>
      <c r="BB310" s="27" t="s">
        <v>7</v>
      </c>
      <c r="BC310" s="27" t="s">
        <v>8</v>
      </c>
      <c r="BD310" s="27" t="s">
        <v>7</v>
      </c>
      <c r="BE310" s="27" t="s">
        <v>8</v>
      </c>
      <c r="BF310" s="27" t="s">
        <v>7</v>
      </c>
      <c r="BG310" s="27" t="s">
        <v>8</v>
      </c>
      <c r="BH310" s="27" t="s">
        <v>7</v>
      </c>
      <c r="BI310" s="27" t="s">
        <v>8</v>
      </c>
      <c r="BJ310" s="31"/>
    </row>
    <row r="311" spans="1:67" x14ac:dyDescent="0.25">
      <c r="A311" s="30">
        <v>3.1301111964969472E-2</v>
      </c>
      <c r="B311"/>
      <c r="C311"/>
      <c r="D311"/>
      <c r="E311"/>
      <c r="F311" s="27" t="s">
        <v>7</v>
      </c>
      <c r="M311" s="27" t="s">
        <v>8</v>
      </c>
      <c r="R311" s="27" t="s">
        <v>7</v>
      </c>
      <c r="S311" s="27" t="s">
        <v>8</v>
      </c>
      <c r="X311" s="27" t="s">
        <v>7</v>
      </c>
      <c r="Y311" s="27" t="s">
        <v>8</v>
      </c>
      <c r="Z311" s="27" t="s">
        <v>7</v>
      </c>
      <c r="AA311" s="27" t="s">
        <v>8</v>
      </c>
      <c r="AB311" s="27" t="s">
        <v>7</v>
      </c>
      <c r="AC311" s="27" t="s">
        <v>8</v>
      </c>
      <c r="AD311" s="27" t="s">
        <v>7</v>
      </c>
      <c r="AE311" s="27" t="s">
        <v>8</v>
      </c>
      <c r="AF311" s="27" t="s">
        <v>7</v>
      </c>
      <c r="AJ311" s="27" t="s">
        <v>7</v>
      </c>
      <c r="AV311" s="27" t="s">
        <v>7</v>
      </c>
      <c r="AW311" s="27" t="s">
        <v>8</v>
      </c>
      <c r="AX311" s="27" t="s">
        <v>7</v>
      </c>
      <c r="AY311" s="27" t="s">
        <v>8</v>
      </c>
      <c r="AZ311" s="27" t="s">
        <v>7</v>
      </c>
      <c r="BA311" s="27" t="s">
        <v>8</v>
      </c>
      <c r="BB311" s="27" t="s">
        <v>7</v>
      </c>
      <c r="BC311" s="27" t="s">
        <v>8</v>
      </c>
      <c r="BD311" s="27" t="s">
        <v>7</v>
      </c>
      <c r="BF311" s="27" t="s">
        <v>7</v>
      </c>
      <c r="BG311" s="27" t="s">
        <v>8</v>
      </c>
      <c r="BH311" s="27" t="s">
        <v>7</v>
      </c>
      <c r="BI311" s="31" t="s">
        <v>8</v>
      </c>
    </row>
    <row r="312" spans="1:67" x14ac:dyDescent="0.25">
      <c r="A312" s="30">
        <v>2.9810582823780438E-2</v>
      </c>
      <c r="B312"/>
      <c r="C312"/>
      <c r="D312"/>
      <c r="E312"/>
      <c r="F312" s="27" t="s">
        <v>7</v>
      </c>
      <c r="M312" s="27" t="s">
        <v>8</v>
      </c>
      <c r="R312" s="27" t="s">
        <v>7</v>
      </c>
      <c r="X312" s="27" t="s">
        <v>7</v>
      </c>
      <c r="Y312" s="27" t="s">
        <v>8</v>
      </c>
      <c r="Z312" s="27" t="s">
        <v>7</v>
      </c>
      <c r="AB312" s="27" t="s">
        <v>7</v>
      </c>
      <c r="AD312" s="27" t="s">
        <v>7</v>
      </c>
      <c r="AV312" s="27" t="s">
        <v>7</v>
      </c>
      <c r="AX312" s="27" t="s">
        <v>7</v>
      </c>
      <c r="AZ312" s="27" t="s">
        <v>7</v>
      </c>
      <c r="BA312" s="27" t="s">
        <v>8</v>
      </c>
      <c r="BB312" s="27" t="s">
        <v>7</v>
      </c>
      <c r="BF312" s="27" t="s">
        <v>7</v>
      </c>
      <c r="BH312" s="31" t="s">
        <v>7</v>
      </c>
    </row>
    <row r="313" spans="1:67" x14ac:dyDescent="0.25">
      <c r="A313" s="30">
        <v>2.8391031260743264E-2</v>
      </c>
      <c r="B313"/>
      <c r="C313"/>
      <c r="D313"/>
      <c r="E313"/>
      <c r="F313" s="27" t="s">
        <v>7</v>
      </c>
      <c r="M313" s="27" t="s">
        <v>8</v>
      </c>
      <c r="X313" s="27" t="s">
        <v>7</v>
      </c>
      <c r="Y313" s="27" t="s">
        <v>8</v>
      </c>
      <c r="AZ313" s="27" t="s">
        <v>7</v>
      </c>
    </row>
    <row r="314" spans="1:67" x14ac:dyDescent="0.25">
      <c r="A314" s="30">
        <v>2.7039077391184052E-2</v>
      </c>
      <c r="B314"/>
      <c r="C314"/>
      <c r="D314"/>
      <c r="E314"/>
      <c r="F314" s="27" t="s">
        <v>7</v>
      </c>
      <c r="M314" s="27" t="s">
        <v>8</v>
      </c>
      <c r="X314" s="27" t="s">
        <v>7</v>
      </c>
      <c r="Y314" s="27" t="s">
        <v>8</v>
      </c>
    </row>
    <row r="315" spans="1:67" x14ac:dyDescent="0.25">
      <c r="A315" s="30">
        <v>2.5751502277318133E-2</v>
      </c>
      <c r="B315"/>
      <c r="C315"/>
      <c r="D315"/>
      <c r="E315"/>
      <c r="F315" s="27" t="s">
        <v>7</v>
      </c>
      <c r="M315" s="27" t="s">
        <v>8</v>
      </c>
      <c r="X315" s="27" t="s">
        <v>7</v>
      </c>
      <c r="Y315" s="27" t="s">
        <v>8</v>
      </c>
    </row>
    <row r="316" spans="1:67" x14ac:dyDescent="0.25">
      <c r="A316" s="30">
        <v>2.4525240264112496E-2</v>
      </c>
      <c r="B316"/>
      <c r="C316"/>
      <c r="D316"/>
      <c r="E316"/>
      <c r="F316" s="27" t="s">
        <v>7</v>
      </c>
      <c r="M316" s="27" t="s">
        <v>8</v>
      </c>
      <c r="X316" s="27" t="s">
        <v>7</v>
      </c>
      <c r="Y316" s="27" t="s">
        <v>8</v>
      </c>
    </row>
    <row r="317" spans="1:67" x14ac:dyDescent="0.25">
      <c r="A317" s="30">
        <v>2.3357371680107129E-2</v>
      </c>
      <c r="B317"/>
      <c r="C317"/>
      <c r="D317"/>
      <c r="E317"/>
      <c r="F317" s="27" t="s">
        <v>7</v>
      </c>
      <c r="K317" s="27" t="s">
        <v>8</v>
      </c>
      <c r="M317" s="27" t="s">
        <v>8</v>
      </c>
      <c r="X317" s="27" t="s">
        <v>7</v>
      </c>
      <c r="Y317" s="27" t="s">
        <v>8</v>
      </c>
    </row>
    <row r="318" spans="1:67" x14ac:dyDescent="0.25">
      <c r="A318" s="30">
        <v>2.2245115885816305E-2</v>
      </c>
      <c r="B318"/>
      <c r="C318"/>
      <c r="D318"/>
      <c r="E318"/>
      <c r="F318" s="27" t="s">
        <v>7</v>
      </c>
      <c r="K318" s="27" t="s">
        <v>8</v>
      </c>
      <c r="L318" s="27" t="s">
        <v>7</v>
      </c>
      <c r="M318" s="27" t="s">
        <v>8</v>
      </c>
      <c r="X318" s="27" t="s">
        <v>7</v>
      </c>
      <c r="Y318" s="27" t="s">
        <v>8</v>
      </c>
    </row>
    <row r="319" spans="1:67" x14ac:dyDescent="0.25">
      <c r="A319" s="30">
        <v>2.1185824653158377E-2</v>
      </c>
      <c r="B319"/>
      <c r="C319"/>
      <c r="D319"/>
      <c r="E319"/>
      <c r="F319" s="27" t="s">
        <v>7</v>
      </c>
      <c r="K319" s="27" t="s">
        <v>8</v>
      </c>
      <c r="L319" s="27" t="s">
        <v>7</v>
      </c>
      <c r="M319" s="27" t="s">
        <v>8</v>
      </c>
      <c r="X319" s="27" t="s">
        <v>7</v>
      </c>
      <c r="Y319" s="27" t="s">
        <v>8</v>
      </c>
    </row>
    <row r="320" spans="1:67" x14ac:dyDescent="0.25">
      <c r="A320" s="30">
        <v>2.0176975860150829E-2</v>
      </c>
      <c r="B320"/>
      <c r="C320"/>
      <c r="D320"/>
      <c r="E320"/>
      <c r="F320" s="27" t="s">
        <v>7</v>
      </c>
      <c r="K320" s="27" t="s">
        <v>8</v>
      </c>
      <c r="L320" s="27" t="s">
        <v>7</v>
      </c>
      <c r="M320" s="27" t="s">
        <v>8</v>
      </c>
      <c r="X320" s="27" t="s">
        <v>7</v>
      </c>
      <c r="Y320" s="27" t="s">
        <v>8</v>
      </c>
    </row>
    <row r="321" spans="1:25" x14ac:dyDescent="0.25">
      <c r="A321" s="30">
        <v>1.9216167485857926E-2</v>
      </c>
      <c r="B321"/>
      <c r="C321"/>
      <c r="D321"/>
      <c r="E321"/>
      <c r="F321" s="27" t="s">
        <v>7</v>
      </c>
      <c r="K321" s="27" t="s">
        <v>8</v>
      </c>
      <c r="L321" s="27" t="s">
        <v>7</v>
      </c>
      <c r="M321" s="27" t="s">
        <v>8</v>
      </c>
      <c r="X321" s="27" t="s">
        <v>7</v>
      </c>
      <c r="Y321" s="27" t="s">
        <v>8</v>
      </c>
    </row>
    <row r="322" spans="1:25" x14ac:dyDescent="0.25">
      <c r="A322" s="30">
        <v>1.8301111891293256E-2</v>
      </c>
      <c r="B322"/>
      <c r="C322"/>
      <c r="D322"/>
      <c r="E322"/>
      <c r="F322" s="27" t="s">
        <v>7</v>
      </c>
      <c r="K322" s="27" t="s">
        <v>8</v>
      </c>
      <c r="L322" s="27" t="s">
        <v>7</v>
      </c>
      <c r="X322" s="27" t="s">
        <v>7</v>
      </c>
    </row>
    <row r="323" spans="1:25" x14ac:dyDescent="0.25">
      <c r="A323" s="30">
        <v>1.7429630372660238E-2</v>
      </c>
      <c r="B323"/>
      <c r="C323"/>
      <c r="D323"/>
      <c r="E323"/>
      <c r="F323" s="27" t="s">
        <v>7</v>
      </c>
      <c r="K323" s="27" t="s">
        <v>8</v>
      </c>
    </row>
    <row r="324" spans="1:25" x14ac:dyDescent="0.25">
      <c r="A324" s="30">
        <v>1.6599647973962125E-2</v>
      </c>
      <c r="B324"/>
      <c r="C324"/>
      <c r="D324"/>
      <c r="E324"/>
      <c r="F324" s="27" t="s">
        <v>7</v>
      </c>
      <c r="K324" s="27" t="s">
        <v>8</v>
      </c>
    </row>
    <row r="325" spans="1:25" x14ac:dyDescent="0.25">
      <c r="A325" s="30">
        <v>1.580918854663059E-2</v>
      </c>
      <c r="B325"/>
      <c r="C325"/>
      <c r="D325"/>
      <c r="E325"/>
      <c r="F325" s="27" t="s">
        <v>7</v>
      </c>
      <c r="K325" s="27" t="s">
        <v>8</v>
      </c>
    </row>
    <row r="326" spans="1:25" x14ac:dyDescent="0.25">
      <c r="A326" s="30">
        <v>1.5056370044410079E-2</v>
      </c>
      <c r="B326"/>
      <c r="C326"/>
      <c r="D326"/>
      <c r="E326"/>
      <c r="F326" s="27" t="s">
        <v>7</v>
      </c>
      <c r="K326" s="27" t="s">
        <v>8</v>
      </c>
    </row>
    <row r="327" spans="1:25" x14ac:dyDescent="0.25">
      <c r="A327" s="30">
        <v>1.4339400042295308E-2</v>
      </c>
      <c r="B327"/>
      <c r="C327"/>
      <c r="D327"/>
      <c r="E327"/>
      <c r="F327" s="27" t="s">
        <v>7</v>
      </c>
      <c r="K327" s="27" t="s">
        <v>8</v>
      </c>
    </row>
    <row r="328" spans="1:25" x14ac:dyDescent="0.25">
      <c r="A328" s="30">
        <v>1.365657146885267E-2</v>
      </c>
      <c r="B328"/>
      <c r="C328"/>
      <c r="D328"/>
      <c r="E328"/>
      <c r="F328" s="27" t="s">
        <v>7</v>
      </c>
      <c r="K328" s="27" t="s">
        <v>8</v>
      </c>
    </row>
    <row r="329" spans="1:25" x14ac:dyDescent="0.25">
      <c r="A329" s="30">
        <v>1.3006258541764442E-2</v>
      </c>
      <c r="B329"/>
      <c r="C329"/>
      <c r="D329"/>
      <c r="E329"/>
      <c r="F329" s="27" t="s">
        <v>7</v>
      </c>
      <c r="K329" s="27" t="s">
        <v>8</v>
      </c>
    </row>
    <row r="330" spans="1:25" x14ac:dyDescent="0.25">
      <c r="A330" s="30">
        <v>1.2386912896918512E-2</v>
      </c>
      <c r="B330"/>
      <c r="C330"/>
      <c r="D330"/>
      <c r="E330"/>
      <c r="F330" s="27" t="s">
        <v>7</v>
      </c>
      <c r="G330" s="27" t="s">
        <v>8</v>
      </c>
      <c r="K330" s="27" t="s">
        <v>8</v>
      </c>
    </row>
    <row r="331" spans="1:25" x14ac:dyDescent="0.25">
      <c r="A331" s="30">
        <v>1.179705990182715E-2</v>
      </c>
      <c r="B331"/>
      <c r="C331"/>
      <c r="D331"/>
      <c r="E331"/>
      <c r="F331" s="27" t="s">
        <v>7</v>
      </c>
      <c r="G331" s="27" t="s">
        <v>8</v>
      </c>
      <c r="H331" s="27" t="s">
        <v>7</v>
      </c>
      <c r="I331" s="27" t="s">
        <v>8</v>
      </c>
      <c r="K331" s="27" t="s">
        <v>8</v>
      </c>
    </row>
    <row r="332" spans="1:25" x14ac:dyDescent="0.25">
      <c r="A332" s="30">
        <v>1.1235295144597281E-2</v>
      </c>
      <c r="B332"/>
      <c r="C332"/>
      <c r="D332"/>
      <c r="E332"/>
      <c r="F332" s="27" t="s">
        <v>7</v>
      </c>
      <c r="G332" s="27" t="s">
        <v>8</v>
      </c>
      <c r="H332" s="27" t="s">
        <v>7</v>
      </c>
      <c r="I332" s="27" t="s">
        <v>8</v>
      </c>
      <c r="J332" s="27" t="s">
        <v>7</v>
      </c>
      <c r="K332" s="27" t="s">
        <v>8</v>
      </c>
    </row>
    <row r="333" spans="1:25" x14ac:dyDescent="0.25">
      <c r="A333" s="30">
        <v>1.0700281090092644E-2</v>
      </c>
      <c r="B333"/>
      <c r="C333"/>
      <c r="D333"/>
      <c r="E333"/>
      <c r="F333" s="27" t="s">
        <v>7</v>
      </c>
      <c r="G333" s="27" t="s">
        <v>8</v>
      </c>
      <c r="H333" s="27" t="s">
        <v>7</v>
      </c>
      <c r="I333" s="27" t="s">
        <v>8</v>
      </c>
      <c r="J333" s="27" t="s">
        <v>7</v>
      </c>
      <c r="K333" s="27" t="s">
        <v>8</v>
      </c>
    </row>
    <row r="334" spans="1:25" x14ac:dyDescent="0.25">
      <c r="A334" s="30">
        <v>1.0190743895326324E-2</v>
      </c>
      <c r="B334"/>
      <c r="C334"/>
      <c r="D334"/>
      <c r="E334"/>
      <c r="F334" s="27" t="s">
        <v>7</v>
      </c>
      <c r="H334" s="27" t="s">
        <v>7</v>
      </c>
      <c r="J334" s="27" t="s">
        <v>7</v>
      </c>
    </row>
    <row r="335" spans="1:25" x14ac:dyDescent="0.25">
      <c r="A335" s="30">
        <v>9.7054703765012563E-3</v>
      </c>
      <c r="B335"/>
      <c r="C335"/>
      <c r="D335"/>
      <c r="E335"/>
    </row>
    <row r="336" spans="1:2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4" zoomScale="90" zoomScaleNormal="90" workbookViewId="0">
      <pane xSplit="4" topLeftCell="G1" activePane="topRight" state="frozen"/>
      <selection activeCell="A109" sqref="A109"/>
      <selection pane="topRight" activeCell="BB138" sqref="BB13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$A$137</v>
      </c>
      <c r="D111" s="1" t="str">
        <f>ADDRESS(C121-1,D121,1,1)</f>
        <v>$BB$137</v>
      </c>
      <c r="E111"/>
    </row>
    <row r="112" spans="1:5" x14ac:dyDescent="0.25">
      <c r="A112" s="30">
        <v>2.3579476910000019</v>
      </c>
      <c r="C112" s="1" t="str">
        <f>ADDRESS(C121,1,1,1)</f>
        <v>$A$138</v>
      </c>
      <c r="D112" s="1" t="str">
        <f>ADDRESS(C121,D121-1,1,1)</f>
        <v>$BA$138</v>
      </c>
      <c r="E112"/>
    </row>
    <row r="113" spans="1:48" x14ac:dyDescent="0.25">
      <c r="A113" s="30">
        <v>2.1435888100000016</v>
      </c>
      <c r="C113" s="1" t="str">
        <f>ADDRESS(C121+1,1,1,1)</f>
        <v>$A$139</v>
      </c>
      <c r="D113" s="1" t="str">
        <f>ADDRESS(C121-1,D121+1,1,1)</f>
        <v>$BC$137</v>
      </c>
    </row>
    <row r="114" spans="1:48" x14ac:dyDescent="0.25">
      <c r="A114" s="30">
        <v>1.9487171000000014</v>
      </c>
      <c r="C114" s="1" t="str">
        <f>ADDRESS(C121,D121,1,1)</f>
        <v>$BB$138</v>
      </c>
      <c r="D114" s="1" t="str">
        <f>ADDRESS(C121+1,D121+1,1,1)</f>
        <v>$BC$139</v>
      </c>
    </row>
    <row r="115" spans="1:48" x14ac:dyDescent="0.25">
      <c r="A115" s="30">
        <v>1.7715610000000011</v>
      </c>
      <c r="C115" s="1" t="str">
        <f>ADDRESS(C121+1,D121,1,1)</f>
        <v>$BB$139</v>
      </c>
    </row>
    <row r="116" spans="1:48" x14ac:dyDescent="0.25">
      <c r="A116" s="30">
        <v>1.6105100000000008</v>
      </c>
      <c r="C116" s="1">
        <f>C117-1</f>
        <v>137</v>
      </c>
    </row>
    <row r="117" spans="1:48" x14ac:dyDescent="0.25">
      <c r="A117" s="30">
        <v>1.4641000000000006</v>
      </c>
      <c r="C117" s="1">
        <f>C121</f>
        <v>138</v>
      </c>
      <c r="D117" s="1">
        <f>D121</f>
        <v>54</v>
      </c>
    </row>
    <row r="118" spans="1:48" x14ac:dyDescent="0.25">
      <c r="A118" s="30">
        <v>1.3310000000000004</v>
      </c>
      <c r="C118" s="1">
        <f>C117+1</f>
        <v>139</v>
      </c>
      <c r="D118" s="1">
        <f>D117+1</f>
        <v>55</v>
      </c>
    </row>
    <row r="119" spans="1:48" x14ac:dyDescent="0.25">
      <c r="A119" s="30">
        <v>1.2100000000000002</v>
      </c>
    </row>
    <row r="120" spans="1:48" x14ac:dyDescent="0.25">
      <c r="A120" s="30">
        <v>1.1000000000000001</v>
      </c>
      <c r="C120" s="1" t="s">
        <v>9</v>
      </c>
    </row>
    <row r="121" spans="1:48" x14ac:dyDescent="0.25">
      <c r="A121" s="30">
        <v>1</v>
      </c>
      <c r="C121" s="18">
        <v>138</v>
      </c>
      <c r="D121" s="19">
        <v>54</v>
      </c>
      <c r="E121" s="18" t="s">
        <v>8</v>
      </c>
    </row>
    <row r="122" spans="1:48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48" x14ac:dyDescent="0.25">
      <c r="A123" s="30">
        <v>0.82644628099173523</v>
      </c>
      <c r="C123" s="1" t="str">
        <f>"R"&amp;C121</f>
        <v>R138</v>
      </c>
      <c r="D123" s="1" t="str">
        <f>"C"&amp;D121</f>
        <v>C54</v>
      </c>
      <c r="F123" s="27" t="s">
        <v>7</v>
      </c>
    </row>
    <row r="124" spans="1:4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48" x14ac:dyDescent="0.25">
      <c r="A125" s="30">
        <v>0.68301345536507019</v>
      </c>
      <c r="F125" s="27" t="s">
        <v>7</v>
      </c>
    </row>
    <row r="126" spans="1:48" x14ac:dyDescent="0.25">
      <c r="A126" s="30">
        <v>0.6209213230591546</v>
      </c>
      <c r="C126" s="1" t="s">
        <v>10</v>
      </c>
      <c r="F126" s="27" t="s">
        <v>7</v>
      </c>
    </row>
    <row r="127" spans="1:48" x14ac:dyDescent="0.25">
      <c r="A127" s="30">
        <v>0.56447393005377677</v>
      </c>
      <c r="C127" s="30">
        <v>0.19784466890013469</v>
      </c>
      <c r="D127"/>
      <c r="F127" s="27" t="s">
        <v>7</v>
      </c>
      <c r="AU127" s="31" t="s">
        <v>8</v>
      </c>
    </row>
    <row r="128" spans="1:48" x14ac:dyDescent="0.25">
      <c r="A128" s="30">
        <v>0.51315811823070612</v>
      </c>
      <c r="F128" s="27" t="s">
        <v>7</v>
      </c>
      <c r="AU128" s="27" t="s">
        <v>8</v>
      </c>
      <c r="AV128" s="31" t="s">
        <v>7</v>
      </c>
    </row>
    <row r="129" spans="1:5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U129" s="27" t="s">
        <v>8</v>
      </c>
      <c r="AV129" s="27" t="s">
        <v>7</v>
      </c>
      <c r="AW129" s="31" t="s">
        <v>8</v>
      </c>
    </row>
    <row r="130" spans="1:54" x14ac:dyDescent="0.25">
      <c r="A130" s="30">
        <v>0.42409761837248428</v>
      </c>
      <c r="C130" s="6"/>
      <c r="D130" s="6"/>
      <c r="E130"/>
      <c r="F130" s="27" t="s">
        <v>7</v>
      </c>
      <c r="AC130" s="32" t="s">
        <v>8</v>
      </c>
      <c r="AE130" s="32" t="s">
        <v>8</v>
      </c>
      <c r="AU130" s="27" t="s">
        <v>8</v>
      </c>
      <c r="AV130" s="27" t="s">
        <v>7</v>
      </c>
      <c r="AW130" s="27" t="s">
        <v>8</v>
      </c>
      <c r="AX130" s="31" t="s">
        <v>7</v>
      </c>
    </row>
    <row r="131" spans="1:54" x14ac:dyDescent="0.25">
      <c r="A131" s="30">
        <v>0.38554328942953109</v>
      </c>
      <c r="E131"/>
      <c r="F131" s="27" t="s">
        <v>7</v>
      </c>
      <c r="AC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K131" s="31" t="s">
        <v>8</v>
      </c>
      <c r="AU131" s="27" t="s">
        <v>8</v>
      </c>
      <c r="AV131" s="27" t="s">
        <v>7</v>
      </c>
      <c r="AW131" s="27" t="s">
        <v>8</v>
      </c>
      <c r="AX131" s="27" t="s">
        <v>7</v>
      </c>
      <c r="AY131" s="31"/>
    </row>
    <row r="132" spans="1:54" x14ac:dyDescent="0.25">
      <c r="A132" s="30">
        <v>0.35049389948139187</v>
      </c>
      <c r="C132" s="1" t="s">
        <v>13</v>
      </c>
      <c r="E132"/>
      <c r="F132" s="27" t="s">
        <v>7</v>
      </c>
      <c r="AC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  <c r="AK132" s="34" t="s">
        <v>8</v>
      </c>
      <c r="AL132" s="31" t="s">
        <v>7</v>
      </c>
      <c r="AU132" s="27" t="s">
        <v>8</v>
      </c>
      <c r="AV132" s="27" t="s">
        <v>7</v>
      </c>
      <c r="AW132" s="27" t="s">
        <v>8</v>
      </c>
      <c r="AX132" s="27" t="s">
        <v>7</v>
      </c>
      <c r="AZ132" s="31"/>
    </row>
    <row r="133" spans="1:54" x14ac:dyDescent="0.25">
      <c r="A133" s="30">
        <v>0.31863081771035617</v>
      </c>
      <c r="C133" s="1" t="str">
        <f>C122</f>
        <v>O</v>
      </c>
      <c r="E133"/>
      <c r="F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  <c r="AI133" s="27" t="s">
        <v>8</v>
      </c>
      <c r="AK133" s="27" t="s">
        <v>8</v>
      </c>
      <c r="AL133" s="27" t="s">
        <v>7</v>
      </c>
      <c r="AM133" s="31"/>
      <c r="AS133" s="27" t="s">
        <v>8</v>
      </c>
      <c r="AU133" s="27" t="s">
        <v>8</v>
      </c>
      <c r="AV133" s="27" t="s">
        <v>7</v>
      </c>
      <c r="AW133" s="27" t="s">
        <v>8</v>
      </c>
      <c r="AX133" s="27" t="s">
        <v>7</v>
      </c>
      <c r="BA133" s="31" t="s">
        <v>8</v>
      </c>
    </row>
    <row r="134" spans="1:54" x14ac:dyDescent="0.25">
      <c r="A134" s="30">
        <v>0.28966437973668741</v>
      </c>
      <c r="C134"/>
      <c r="D134"/>
      <c r="E134"/>
      <c r="F134" s="27" t="s">
        <v>7</v>
      </c>
      <c r="AC134" s="27" t="s">
        <v>8</v>
      </c>
      <c r="AD134" s="32" t="s">
        <v>7</v>
      </c>
      <c r="AF134" s="32" t="s">
        <v>7</v>
      </c>
      <c r="AH134" s="27" t="s">
        <v>7</v>
      </c>
      <c r="AI134" s="27" t="s">
        <v>8</v>
      </c>
      <c r="AJ134" s="27" t="s">
        <v>7</v>
      </c>
      <c r="AK134" s="27" t="s">
        <v>8</v>
      </c>
      <c r="AL134" s="27" t="s">
        <v>7</v>
      </c>
      <c r="AM134" s="32" t="s">
        <v>8</v>
      </c>
      <c r="AN134" s="31"/>
      <c r="AO134" s="32" t="s">
        <v>8</v>
      </c>
      <c r="AS134" s="27" t="s">
        <v>8</v>
      </c>
      <c r="AT134" s="27" t="s">
        <v>7</v>
      </c>
      <c r="AU134" s="27" t="s">
        <v>8</v>
      </c>
      <c r="AV134" s="27" t="s">
        <v>7</v>
      </c>
      <c r="AX134" s="27" t="s">
        <v>7</v>
      </c>
      <c r="AY134" s="31" t="s">
        <v>8</v>
      </c>
      <c r="BA134" s="27" t="s">
        <v>8</v>
      </c>
      <c r="BB134" s="27" t="s">
        <v>7</v>
      </c>
    </row>
    <row r="135" spans="1:54" x14ac:dyDescent="0.25">
      <c r="A135" s="30">
        <v>0.2633312543060794</v>
      </c>
      <c r="C135" s="1" t="s">
        <v>14</v>
      </c>
      <c r="E135"/>
      <c r="F135" s="27" t="s">
        <v>7</v>
      </c>
      <c r="AC135" s="27" t="s">
        <v>8</v>
      </c>
      <c r="AH135" s="35" t="s">
        <v>7</v>
      </c>
      <c r="AI135" s="27" t="s">
        <v>8</v>
      </c>
      <c r="AJ135" s="27" t="s">
        <v>7</v>
      </c>
      <c r="AK135" s="27" t="s">
        <v>8</v>
      </c>
      <c r="AL135" s="27" t="s">
        <v>7</v>
      </c>
      <c r="AM135" s="27" t="s">
        <v>8</v>
      </c>
      <c r="AN135" s="27" t="s">
        <v>7</v>
      </c>
      <c r="AO135" s="31" t="s">
        <v>8</v>
      </c>
      <c r="AP135" s="27" t="s">
        <v>7</v>
      </c>
      <c r="AQ135" s="31" t="s">
        <v>8</v>
      </c>
      <c r="AS135" s="27" t="s">
        <v>8</v>
      </c>
      <c r="AT135" s="27" t="s">
        <v>7</v>
      </c>
      <c r="AU135" s="27" t="s">
        <v>8</v>
      </c>
      <c r="AX135" s="31" t="s">
        <v>7</v>
      </c>
      <c r="AY135" s="27" t="s">
        <v>8</v>
      </c>
      <c r="AZ135" s="27" t="s">
        <v>7</v>
      </c>
      <c r="BA135" s="27" t="s">
        <v>8</v>
      </c>
      <c r="BB135" s="27" t="s">
        <v>7</v>
      </c>
    </row>
    <row r="136" spans="1:5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C136" s="27" t="s">
        <v>8</v>
      </c>
      <c r="AH136" s="27" t="s">
        <v>7</v>
      </c>
      <c r="AI136" s="27" t="s">
        <v>8</v>
      </c>
      <c r="AJ136" s="27" t="s">
        <v>7</v>
      </c>
      <c r="AL136" s="27" t="s">
        <v>7</v>
      </c>
      <c r="AM136" s="27" t="s">
        <v>8</v>
      </c>
      <c r="AN136" s="27" t="s">
        <v>7</v>
      </c>
      <c r="AO136" s="27" t="s">
        <v>8</v>
      </c>
      <c r="AP136" s="27" t="s">
        <v>7</v>
      </c>
      <c r="AQ136" s="27" t="s">
        <v>8</v>
      </c>
      <c r="AR136" s="31" t="s">
        <v>7</v>
      </c>
      <c r="AS136" s="27" t="s">
        <v>8</v>
      </c>
      <c r="AT136" s="27" t="s">
        <v>7</v>
      </c>
      <c r="AW136" s="31"/>
      <c r="AX136" s="27" t="s">
        <v>7</v>
      </c>
      <c r="AY136" s="27" t="s">
        <v>8</v>
      </c>
      <c r="AZ136" s="27" t="s">
        <v>7</v>
      </c>
      <c r="BA136" s="27" t="s">
        <v>8</v>
      </c>
      <c r="BB136" s="27" t="s">
        <v>7</v>
      </c>
    </row>
    <row r="137" spans="1:54" x14ac:dyDescent="0.25">
      <c r="A137" s="30">
        <v>0.2176291357901482</v>
      </c>
      <c r="E137"/>
      <c r="F137" s="27" t="s">
        <v>7</v>
      </c>
      <c r="AC137" s="27" t="s">
        <v>8</v>
      </c>
      <c r="AH137" s="27" t="s">
        <v>7</v>
      </c>
      <c r="AI137" s="27" t="s">
        <v>8</v>
      </c>
      <c r="AL137" s="35" t="s">
        <v>7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S137" s="31" t="s">
        <v>8</v>
      </c>
      <c r="AV137" s="31"/>
      <c r="AX137" s="32" t="s">
        <v>7</v>
      </c>
      <c r="AZ137" s="32" t="s">
        <v>7</v>
      </c>
      <c r="BB137" s="27" t="s">
        <v>7</v>
      </c>
    </row>
    <row r="138" spans="1:5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C138" s="27" t="s">
        <v>8</v>
      </c>
      <c r="AH138" s="27" t="s">
        <v>7</v>
      </c>
      <c r="AL138" s="27" t="s">
        <v>7</v>
      </c>
      <c r="AM138" s="27" t="s">
        <v>8</v>
      </c>
      <c r="AN138" s="32" t="s">
        <v>7</v>
      </c>
      <c r="AP138" s="32" t="s">
        <v>7</v>
      </c>
      <c r="AR138" s="27" t="s">
        <v>7</v>
      </c>
      <c r="AS138" s="18" t="s">
        <v>8</v>
      </c>
      <c r="AU138" s="31"/>
      <c r="BB138" s="27" t="s">
        <v>7</v>
      </c>
    </row>
    <row r="139" spans="1:54" x14ac:dyDescent="0.25">
      <c r="A139" s="30">
        <v>0.17985878990921333</v>
      </c>
      <c r="E139"/>
      <c r="F139" s="27" t="s">
        <v>7</v>
      </c>
      <c r="AC139" s="27" t="s">
        <v>8</v>
      </c>
      <c r="AL139" s="27" t="s">
        <v>7</v>
      </c>
      <c r="AM139" s="27" t="s">
        <v>8</v>
      </c>
      <c r="AO139" s="31"/>
      <c r="AR139" s="27" t="s">
        <v>7</v>
      </c>
      <c r="AS139" s="27" t="s">
        <v>8</v>
      </c>
      <c r="AT139" s="31"/>
    </row>
    <row r="140" spans="1:54" x14ac:dyDescent="0.25">
      <c r="A140" s="30">
        <v>0.16350799082655756</v>
      </c>
      <c r="C140" s="1">
        <v>0</v>
      </c>
      <c r="E140"/>
      <c r="F140" s="27" t="s">
        <v>7</v>
      </c>
      <c r="AC140" s="27" t="s">
        <v>8</v>
      </c>
      <c r="AL140" s="27" t="s">
        <v>7</v>
      </c>
      <c r="AN140" s="31"/>
      <c r="AR140" s="27" t="s">
        <v>7</v>
      </c>
      <c r="AS140" s="31" t="s">
        <v>8</v>
      </c>
    </row>
    <row r="141" spans="1:54" x14ac:dyDescent="0.25">
      <c r="A141" s="30">
        <v>0.14864362802414322</v>
      </c>
      <c r="C141" s="1">
        <v>1</v>
      </c>
      <c r="E141"/>
      <c r="F141" s="27" t="s">
        <v>7</v>
      </c>
      <c r="AA141" s="27" t="s">
        <v>8</v>
      </c>
      <c r="AC141" s="27" t="s">
        <v>8</v>
      </c>
      <c r="AM141" s="31"/>
      <c r="AR141" s="31" t="s">
        <v>7</v>
      </c>
    </row>
    <row r="142" spans="1:54" x14ac:dyDescent="0.25">
      <c r="A142" s="30">
        <v>0.13513057093103928</v>
      </c>
      <c r="C142" s="1">
        <v>2</v>
      </c>
      <c r="E142"/>
      <c r="F142" s="27" t="s">
        <v>7</v>
      </c>
      <c r="AA142" s="27" t="s">
        <v>8</v>
      </c>
      <c r="AB142" s="27" t="s">
        <v>7</v>
      </c>
      <c r="AC142" s="27" t="s">
        <v>8</v>
      </c>
      <c r="AL142" s="31"/>
    </row>
    <row r="143" spans="1:54" x14ac:dyDescent="0.25">
      <c r="A143" s="30">
        <v>0.12284597357367205</v>
      </c>
      <c r="C143" s="1">
        <v>3</v>
      </c>
      <c r="E143"/>
      <c r="F143" s="27" t="s">
        <v>7</v>
      </c>
      <c r="Y143" s="27" t="s">
        <v>8</v>
      </c>
      <c r="AA143" s="27" t="s">
        <v>8</v>
      </c>
      <c r="AB143" s="27" t="s">
        <v>7</v>
      </c>
      <c r="AC143" s="27" t="s">
        <v>8</v>
      </c>
      <c r="AK143" s="31"/>
    </row>
    <row r="144" spans="1:54" x14ac:dyDescent="0.25">
      <c r="A144" s="30">
        <v>0.11167815779424731</v>
      </c>
      <c r="C144" s="1">
        <v>4</v>
      </c>
      <c r="E144"/>
      <c r="F144" s="27" t="s">
        <v>7</v>
      </c>
      <c r="Y144" s="27" t="s">
        <v>8</v>
      </c>
      <c r="Z144" s="27" t="s">
        <v>7</v>
      </c>
      <c r="AA144" s="27" t="s">
        <v>8</v>
      </c>
      <c r="AB144" s="27" t="s">
        <v>7</v>
      </c>
      <c r="AC144" s="27" t="s">
        <v>8</v>
      </c>
      <c r="AJ144" s="31"/>
    </row>
    <row r="145" spans="1:35" x14ac:dyDescent="0.25">
      <c r="A145" s="30">
        <v>0.10152559799477026</v>
      </c>
      <c r="B145"/>
      <c r="C145"/>
      <c r="D145"/>
      <c r="E145"/>
      <c r="F145" s="27" t="s">
        <v>7</v>
      </c>
      <c r="Y145" s="27" t="s">
        <v>8</v>
      </c>
      <c r="Z145" s="27" t="s">
        <v>7</v>
      </c>
      <c r="AA145" s="27" t="s">
        <v>8</v>
      </c>
      <c r="AB145" s="27" t="s">
        <v>7</v>
      </c>
      <c r="AC145" s="27" t="s">
        <v>8</v>
      </c>
      <c r="AI145" s="31"/>
    </row>
    <row r="146" spans="1:35" x14ac:dyDescent="0.25">
      <c r="A146" s="30">
        <v>9.2295998177063854E-2</v>
      </c>
      <c r="B146"/>
      <c r="C146"/>
      <c r="D146"/>
      <c r="E146"/>
      <c r="F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H146" s="31"/>
    </row>
    <row r="147" spans="1:35" x14ac:dyDescent="0.25">
      <c r="A147" s="30">
        <v>8.3905452888239848E-2</v>
      </c>
      <c r="B147"/>
      <c r="C147"/>
      <c r="D147"/>
      <c r="E147"/>
      <c r="F147" s="27" t="s">
        <v>7</v>
      </c>
      <c r="Y147" s="27" t="s">
        <v>8</v>
      </c>
      <c r="Z147" s="27" t="s">
        <v>7</v>
      </c>
      <c r="AA147" s="27" t="s">
        <v>8</v>
      </c>
      <c r="AG147" s="31"/>
    </row>
    <row r="148" spans="1:35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Y148" s="27" t="s">
        <v>8</v>
      </c>
      <c r="Z148" s="27" t="s">
        <v>7</v>
      </c>
      <c r="AF148" s="31"/>
    </row>
    <row r="149" spans="1:35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H149" s="27" t="s">
        <v>7</v>
      </c>
      <c r="Y149" s="27" t="s">
        <v>8</v>
      </c>
      <c r="AE149" s="31"/>
    </row>
    <row r="150" spans="1:35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K150" s="27" t="s">
        <v>8</v>
      </c>
      <c r="W150" s="27" t="s">
        <v>8</v>
      </c>
      <c r="Y150" s="27" t="s">
        <v>8</v>
      </c>
      <c r="AD150" s="31"/>
    </row>
    <row r="151" spans="1:35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I151" s="27" t="s">
        <v>8</v>
      </c>
      <c r="K151" s="27" t="s">
        <v>8</v>
      </c>
      <c r="L151" s="27" t="s">
        <v>7</v>
      </c>
      <c r="S151" s="27" t="s">
        <v>8</v>
      </c>
      <c r="W151" s="27" t="s">
        <v>8</v>
      </c>
      <c r="X151" s="27" t="s">
        <v>7</v>
      </c>
      <c r="Y151" s="27" t="s">
        <v>8</v>
      </c>
      <c r="AC151" s="31"/>
    </row>
    <row r="152" spans="1:35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S152" s="27" t="s">
        <v>8</v>
      </c>
      <c r="T152" s="27" t="s">
        <v>7</v>
      </c>
      <c r="W152" s="27" t="s">
        <v>8</v>
      </c>
      <c r="X152" s="27" t="s">
        <v>7</v>
      </c>
      <c r="Y152" s="27" t="s">
        <v>8</v>
      </c>
      <c r="AB152" s="31"/>
    </row>
    <row r="153" spans="1:35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I153" s="27" t="s">
        <v>8</v>
      </c>
      <c r="J153" s="27" t="s">
        <v>7</v>
      </c>
      <c r="K153" s="27" t="s">
        <v>8</v>
      </c>
      <c r="L153" s="27" t="s">
        <v>7</v>
      </c>
      <c r="Q153" s="27" t="s">
        <v>8</v>
      </c>
      <c r="S153" s="27" t="s">
        <v>8</v>
      </c>
      <c r="T153" s="27" t="s">
        <v>7</v>
      </c>
      <c r="W153" s="27" t="s">
        <v>8</v>
      </c>
      <c r="X153" s="27" t="s">
        <v>7</v>
      </c>
      <c r="Y153" s="27" t="s">
        <v>8</v>
      </c>
      <c r="AA153" s="31"/>
    </row>
    <row r="154" spans="1:35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J154" s="27" t="s">
        <v>7</v>
      </c>
      <c r="K154" s="27" t="s">
        <v>8</v>
      </c>
      <c r="L154" s="27" t="s">
        <v>7</v>
      </c>
      <c r="M154" s="32" t="s">
        <v>8</v>
      </c>
      <c r="O154" s="32" t="s">
        <v>8</v>
      </c>
      <c r="Q154" s="27" t="s">
        <v>8</v>
      </c>
      <c r="R154" s="27" t="s">
        <v>7</v>
      </c>
      <c r="S154" s="27" t="s">
        <v>8</v>
      </c>
      <c r="T154" s="27" t="s">
        <v>7</v>
      </c>
      <c r="W154" s="34" t="s">
        <v>8</v>
      </c>
      <c r="X154" s="27" t="s">
        <v>7</v>
      </c>
      <c r="Y154" s="27" t="s">
        <v>8</v>
      </c>
      <c r="Z154" s="31"/>
    </row>
    <row r="155" spans="1:35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J155" s="27" t="s">
        <v>7</v>
      </c>
      <c r="K155" s="27" t="s">
        <v>8</v>
      </c>
      <c r="L155" s="27" t="s">
        <v>7</v>
      </c>
      <c r="M155" s="27" t="s">
        <v>8</v>
      </c>
      <c r="N155" s="27" t="s">
        <v>7</v>
      </c>
      <c r="O155" s="27" t="s">
        <v>8</v>
      </c>
      <c r="P155" s="27" t="s">
        <v>7</v>
      </c>
      <c r="Q155" s="27" t="s">
        <v>8</v>
      </c>
      <c r="R155" s="27" t="s">
        <v>7</v>
      </c>
      <c r="S155" s="27" t="s">
        <v>8</v>
      </c>
      <c r="T155" s="27" t="s">
        <v>7</v>
      </c>
      <c r="U155" s="27" t="s">
        <v>8</v>
      </c>
      <c r="W155" s="27" t="s">
        <v>8</v>
      </c>
      <c r="X155" s="27" t="s">
        <v>7</v>
      </c>
      <c r="Y155" s="31"/>
    </row>
    <row r="156" spans="1:35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J156" s="27" t="s">
        <v>7</v>
      </c>
      <c r="K156" s="27" t="s">
        <v>8</v>
      </c>
      <c r="L156" s="27" t="s">
        <v>7</v>
      </c>
      <c r="M156" s="27" t="s">
        <v>8</v>
      </c>
      <c r="N156" s="27" t="s">
        <v>7</v>
      </c>
      <c r="O156" s="27" t="s">
        <v>8</v>
      </c>
      <c r="P156" s="27" t="s">
        <v>7</v>
      </c>
      <c r="Q156" s="27" t="s">
        <v>8</v>
      </c>
      <c r="R156" s="27" t="s">
        <v>7</v>
      </c>
      <c r="S156" s="27" t="s">
        <v>8</v>
      </c>
      <c r="T156" s="27" t="s">
        <v>7</v>
      </c>
      <c r="U156" s="27" t="s">
        <v>8</v>
      </c>
      <c r="V156" s="27" t="s">
        <v>7</v>
      </c>
      <c r="W156" s="27" t="s">
        <v>8</v>
      </c>
      <c r="X156" s="31"/>
    </row>
    <row r="157" spans="1:35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J157" s="27" t="s">
        <v>7</v>
      </c>
      <c r="K157" s="27" t="s">
        <v>8</v>
      </c>
      <c r="L157" s="27" t="s">
        <v>7</v>
      </c>
      <c r="M157" s="27" t="s">
        <v>8</v>
      </c>
      <c r="N157" s="27" t="s">
        <v>7</v>
      </c>
      <c r="O157" s="27" t="s">
        <v>8</v>
      </c>
      <c r="P157" s="27" t="s">
        <v>7</v>
      </c>
      <c r="Q157" s="27" t="s">
        <v>8</v>
      </c>
      <c r="R157" s="27" t="s">
        <v>7</v>
      </c>
      <c r="T157" s="27" t="s">
        <v>7</v>
      </c>
      <c r="U157" s="27" t="s">
        <v>8</v>
      </c>
      <c r="V157" s="27" t="s">
        <v>7</v>
      </c>
      <c r="W157" s="31" t="s">
        <v>8</v>
      </c>
    </row>
    <row r="158" spans="1:35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J158" s="27" t="s">
        <v>7</v>
      </c>
      <c r="L158" s="27" t="s">
        <v>7</v>
      </c>
      <c r="M158" s="27" t="s">
        <v>8</v>
      </c>
      <c r="N158" s="32" t="s">
        <v>7</v>
      </c>
      <c r="P158" s="32" t="s">
        <v>7</v>
      </c>
      <c r="T158" s="33" t="s">
        <v>7</v>
      </c>
      <c r="V158" s="32" t="s">
        <v>7</v>
      </c>
    </row>
    <row r="159" spans="1:35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L159" s="27" t="s">
        <v>7</v>
      </c>
      <c r="M159" s="27" t="s">
        <v>8</v>
      </c>
    </row>
    <row r="160" spans="1:35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L160" s="27" t="s">
        <v>7</v>
      </c>
      <c r="M160" s="27" t="s">
        <v>8</v>
      </c>
    </row>
    <row r="161" spans="1:13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L161" s="27" t="s">
        <v>7</v>
      </c>
      <c r="M161" s="27" t="s">
        <v>8</v>
      </c>
    </row>
    <row r="162" spans="1:13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L162" s="27" t="s">
        <v>7</v>
      </c>
      <c r="M162" s="27" t="s">
        <v>8</v>
      </c>
    </row>
    <row r="163" spans="1:13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L163" s="27" t="s">
        <v>7</v>
      </c>
    </row>
    <row r="164" spans="1:13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</row>
    <row r="165" spans="1:13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</row>
    <row r="166" spans="1:13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</row>
    <row r="167" spans="1:13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</row>
    <row r="168" spans="1:13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</row>
    <row r="169" spans="1:13" x14ac:dyDescent="0.25">
      <c r="A169" s="30">
        <v>1.0307447048195697E-2</v>
      </c>
      <c r="B169"/>
      <c r="C169"/>
      <c r="D169"/>
      <c r="E169"/>
      <c r="F169" s="27" t="s">
        <v>7</v>
      </c>
    </row>
    <row r="170" spans="1:13" x14ac:dyDescent="0.25">
      <c r="A170" s="30">
        <v>9.3704064074506318E-3</v>
      </c>
      <c r="B170"/>
      <c r="C170"/>
      <c r="D170"/>
      <c r="E170"/>
    </row>
    <row r="171" spans="1:13" x14ac:dyDescent="0.25">
      <c r="A171" s="30">
        <v>8.5185512795005747E-3</v>
      </c>
    </row>
    <row r="172" spans="1:13" x14ac:dyDescent="0.25">
      <c r="A172" s="30">
        <v>7.744137526818704E-3</v>
      </c>
    </row>
    <row r="173" spans="1:13" x14ac:dyDescent="0.25">
      <c r="A173" s="30">
        <v>7.0401250243806394E-3</v>
      </c>
    </row>
    <row r="174" spans="1:13" x14ac:dyDescent="0.25">
      <c r="A174" s="30">
        <v>6.4001136585278536E-3</v>
      </c>
    </row>
    <row r="175" spans="1:13" x14ac:dyDescent="0.25">
      <c r="A175" s="30">
        <v>5.8182851441162305E-3</v>
      </c>
    </row>
    <row r="176" spans="1:13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0.14204568230027562</v>
      </c>
      <c r="F3" s="30">
        <v>0.17265741462149967</v>
      </c>
      <c r="G3" s="30">
        <v>0.20986616658127455</v>
      </c>
      <c r="H3" s="25">
        <f>IF(G3="","",(3*(G3-F3))+E3)</f>
        <v>0.25367193817960026</v>
      </c>
      <c r="I3" s="7"/>
      <c r="J3" s="7">
        <f>(E3+G3)/2</f>
        <v>0.17595592444077507</v>
      </c>
      <c r="K3" s="7">
        <f>H3/2</f>
        <v>0.12683596908980013</v>
      </c>
      <c r="M3" s="26">
        <f>IF(OR(J3="",H3=""),"",H3/J3)</f>
        <v>1.4416788692158167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0.15660536473605399</v>
      </c>
      <c r="F4" s="30">
        <v>0.16443563297285677</v>
      </c>
      <c r="G4" s="30">
        <v>0.20986616658127455</v>
      </c>
      <c r="H4" s="25">
        <f t="shared" ref="H4:H25" si="0">IF(G4="","",(3*(G4-F4))+E4)</f>
        <v>0.29289696556130734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2022-01-28T01:17:22Z</dcterms:modified>
</cp:coreProperties>
</file>