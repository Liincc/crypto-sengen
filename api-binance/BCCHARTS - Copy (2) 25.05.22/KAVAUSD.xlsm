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1C251B3F-C271-4C6B-BFF3-5B44FFAD8E28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830" i="1"/>
  <c r="Q830" i="1" s="1"/>
  <c r="R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830" i="1"/>
  <c r="T830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8" i="5"/>
  <c r="C118" i="4"/>
  <c r="C122" i="3"/>
  <c r="C133" i="3" s="1"/>
  <c r="C136" i="3" s="1"/>
  <c r="C122" i="4"/>
  <c r="C133" i="4" s="1"/>
  <c r="D136" i="4" s="1"/>
  <c r="C116" i="3"/>
  <c r="C118" i="3"/>
  <c r="R829" i="1"/>
  <c r="C136" i="5" l="1"/>
  <c r="C138" i="5" s="1"/>
  <c r="D136" i="3"/>
  <c r="C138" i="3" s="1"/>
  <c r="C136" i="4"/>
  <c r="C138" i="4" s="1"/>
  <c r="R828" i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S300" i="1" l="1"/>
  <c r="T300" i="1" s="1"/>
  <c r="R299" i="1"/>
  <c r="S299" i="1" l="1"/>
  <c r="T299" i="1" s="1"/>
  <c r="R298" i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S287" i="1" l="1"/>
  <c r="T287" i="1" s="1"/>
  <c r="R286" i="1"/>
  <c r="R285" i="1" l="1"/>
  <c r="S286" i="1"/>
  <c r="T286" i="1" s="1"/>
  <c r="R284" i="1" l="1"/>
  <c r="S285" i="1"/>
  <c r="T285" i="1" s="1"/>
  <c r="S284" i="1" l="1"/>
  <c r="T284" i="1" s="1"/>
  <c r="R283" i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S275" i="1" l="1"/>
  <c r="T275" i="1" s="1"/>
  <c r="R274" i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S263" i="1" l="1"/>
  <c r="T263" i="1" s="1"/>
  <c r="R262" i="1"/>
  <c r="R261" i="1" l="1"/>
  <c r="S262" i="1"/>
  <c r="T262" i="1" s="1"/>
  <c r="R260" i="1" l="1"/>
  <c r="S261" i="1"/>
  <c r="T261" i="1" s="1"/>
  <c r="R259" i="1" l="1"/>
  <c r="S260" i="1"/>
  <c r="T260" i="1" s="1"/>
  <c r="S259" i="1" l="1"/>
  <c r="T259" i="1" s="1"/>
  <c r="R258" i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S251" i="1" l="1"/>
  <c r="T251" i="1" s="1"/>
  <c r="R250" i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S244" i="1" l="1"/>
  <c r="T244" i="1" s="1"/>
  <c r="R243" i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S239" i="1" l="1"/>
  <c r="T239" i="1" s="1"/>
  <c r="R238" i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S227" i="1" l="1"/>
  <c r="T227" i="1" s="1"/>
  <c r="R226" i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S191" i="1" l="1"/>
  <c r="T191" i="1" s="1"/>
  <c r="R190" i="1"/>
  <c r="R189" i="1" l="1"/>
  <c r="S190" i="1"/>
  <c r="T190" i="1" s="1"/>
  <c r="R188" i="1" l="1"/>
  <c r="S189" i="1"/>
  <c r="T189" i="1" s="1"/>
  <c r="S188" i="1" l="1"/>
  <c r="T188" i="1" s="1"/>
  <c r="R187" i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S175" i="1" l="1"/>
  <c r="T175" i="1" s="1"/>
  <c r="R174" i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S136" i="1" l="1"/>
  <c r="T136" i="1" s="1"/>
  <c r="R135" i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S112" i="1" l="1"/>
  <c r="T112" i="1" s="1"/>
  <c r="R111" i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S88" i="1" l="1"/>
  <c r="T88" i="1" s="1"/>
  <c r="R87" i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S39" i="1" l="1"/>
  <c r="T39" i="1" s="1"/>
  <c r="R38" i="1"/>
  <c r="R37" i="1" l="1"/>
  <c r="S38" i="1"/>
  <c r="T38" i="1" s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<sst xmlns="http://schemas.openxmlformats.org/spreadsheetml/2006/main" count="8515" uniqueCount="34">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</sst>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3.1120000000000001</c:v>
                </c:pt>
                <c:pt idx="1">
                  <c:v>3.198</c:v>
                </c:pt>
                <c:pt idx="2">
                  <c:v>3.181</c:v>
                </c:pt>
                <c:pt idx="3">
                  <c:v>3.2269999999999999</c:v>
                </c:pt>
                <c:pt idx="4">
                  <c:v>3.387</c:v>
                </c:pt>
                <c:pt idx="5">
                  <c:v>3.2559999999999998</c:v>
                </c:pt>
                <c:pt idx="6">
                  <c:v>3.7810000000000001</c:v>
                </c:pt>
                <c:pt idx="7">
                  <c:v>4.0949999999999998</c:v>
                </c:pt>
                <c:pt idx="8">
                  <c:v>4.4980000000000002</c:v>
                </c:pt>
                <c:pt idx="9">
                  <c:v>5.0259999999999998</c:v>
                </c:pt>
                <c:pt idx="10">
                  <c:v>5.3179999999999996</c:v>
                </c:pt>
                <c:pt idx="11">
                  <c:v>5.6230000000000002</c:v>
                </c:pt>
                <c:pt idx="12">
                  <c:v>5.2530000000000001</c:v>
                </c:pt>
                <c:pt idx="13">
                  <c:v>5.4710000000000001</c:v>
                </c:pt>
                <c:pt idx="14">
                  <c:v>4.6749999999999998</c:v>
                </c:pt>
                <c:pt idx="15">
                  <c:v>4.9829999999999997</c:v>
                </c:pt>
                <c:pt idx="16">
                  <c:v>4.8579999999999997</c:v>
                </c:pt>
                <c:pt idx="17">
                  <c:v>4.2759999999999998</c:v>
                </c:pt>
                <c:pt idx="18">
                  <c:v>4.5810000000000004</c:v>
                </c:pt>
                <c:pt idx="19">
                  <c:v>4.7039999999999997</c:v>
                </c:pt>
                <c:pt idx="20">
                  <c:v>4.492</c:v>
                </c:pt>
                <c:pt idx="21">
                  <c:v>4.2069999999999999</c:v>
                </c:pt>
                <c:pt idx="22">
                  <c:v>4.3899999999999997</c:v>
                </c:pt>
                <c:pt idx="23">
                  <c:v>5.05</c:v>
                </c:pt>
                <c:pt idx="24">
                  <c:v>4.5369999999999999</c:v>
                </c:pt>
                <c:pt idx="25">
                  <c:v>4.2839999999999998</c:v>
                </c:pt>
                <c:pt idx="26">
                  <c:v>4.4829999999999997</c:v>
                </c:pt>
                <c:pt idx="27">
                  <c:v>3.948</c:v>
                </c:pt>
                <c:pt idx="28">
                  <c:v>3.7959999999999998</c:v>
                </c:pt>
                <c:pt idx="29">
                  <c:v>3.5550000000000002</c:v>
                </c:pt>
                <c:pt idx="30">
                  <c:v>3.7130000000000001</c:v>
                </c:pt>
                <c:pt idx="31">
                  <c:v>4.1440000000000001</c:v>
                </c:pt>
                <c:pt idx="32">
                  <c:v>4.0709999999999997</c:v>
                </c:pt>
                <c:pt idx="33">
                  <c:v>3.96</c:v>
                </c:pt>
                <c:pt idx="34">
                  <c:v>4.0129999999999999</c:v>
                </c:pt>
                <c:pt idx="35">
                  <c:v>3.919</c:v>
                </c:pt>
                <c:pt idx="36">
                  <c:v>3.62</c:v>
                </c:pt>
                <c:pt idx="37">
                  <c:v>3.5779999999999998</c:v>
                </c:pt>
                <c:pt idx="38">
                  <c:v>3.4910000000000001</c:v>
                </c:pt>
                <c:pt idx="39">
                  <c:v>3.6</c:v>
                </c:pt>
                <c:pt idx="40">
                  <c:v>3.774</c:v>
                </c:pt>
                <c:pt idx="41">
                  <c:v>3.5409999999999999</c:v>
                </c:pt>
                <c:pt idx="42">
                  <c:v>3.6819999999999999</c:v>
                </c:pt>
                <c:pt idx="43">
                  <c:v>3.452</c:v>
                </c:pt>
                <c:pt idx="44">
                  <c:v>3.3809999999999998</c:v>
                </c:pt>
                <c:pt idx="45">
                  <c:v>3.2240000000000002</c:v>
                </c:pt>
                <c:pt idx="46">
                  <c:v>3.605</c:v>
                </c:pt>
                <c:pt idx="47">
                  <c:v>3.4329999999999998</c:v>
                </c:pt>
                <c:pt idx="48">
                  <c:v>3.4180000000000001</c:v>
                </c:pt>
                <c:pt idx="49">
                  <c:v>3.593</c:v>
                </c:pt>
                <c:pt idx="50">
                  <c:v>4.0590000000000002</c:v>
                </c:pt>
                <c:pt idx="51">
                  <c:v>3.9550000000000001</c:v>
                </c:pt>
                <c:pt idx="52">
                  <c:v>3.9180000000000001</c:v>
                </c:pt>
                <c:pt idx="53">
                  <c:v>3.806</c:v>
                </c:pt>
                <c:pt idx="54">
                  <c:v>4.0350000000000001</c:v>
                </c:pt>
                <c:pt idx="55">
                  <c:v>4.8220000000000001</c:v>
                </c:pt>
                <c:pt idx="56">
                  <c:v>5.1619999999999999</c:v>
                </c:pt>
                <c:pt idx="57">
                  <c:v>5.1840000000000002</c:v>
                </c:pt>
                <c:pt idx="58">
                  <c:v>5.0049999999999999</c:v>
                </c:pt>
                <c:pt idx="59">
                  <c:v>4.9950000000000001</c:v>
                </c:pt>
                <c:pt idx="60">
                  <c:v>4.9409999999999998</c:v>
                </c:pt>
                <c:pt idx="61">
                  <c:v>4.9820000000000002</c:v>
                </c:pt>
                <c:pt idx="62">
                  <c:v>4.8860000000000001</c:v>
                </c:pt>
                <c:pt idx="63">
                  <c:v>5.37</c:v>
                </c:pt>
                <c:pt idx="64">
                  <c:v>5.484</c:v>
                </c:pt>
                <c:pt idx="65">
                  <c:v>5.367</c:v>
                </c:pt>
                <c:pt idx="66">
                  <c:v>5.0540000000000003</c:v>
                </c:pt>
                <c:pt idx="67">
                  <c:v>5.2210000000000001</c:v>
                </c:pt>
                <c:pt idx="68">
                  <c:v>5.2539999999999996</c:v>
                </c:pt>
                <c:pt idx="69">
                  <c:v>5.1589999999999998</c:v>
                </c:pt>
                <c:pt idx="70">
                  <c:v>4.9050000000000002</c:v>
                </c:pt>
                <c:pt idx="71">
                  <c:v>5.4189999999999996</c:v>
                </c:pt>
                <c:pt idx="72">
                  <c:v>5.1820000000000004</c:v>
                </c:pt>
                <c:pt idx="73">
                  <c:v>5.5940000000000003</c:v>
                </c:pt>
                <c:pt idx="74">
                  <c:v>5.6559999999999997</c:v>
                </c:pt>
                <c:pt idx="75">
                  <c:v>5.6630000000000003</c:v>
                </c:pt>
                <c:pt idx="76">
                  <c:v>5.59</c:v>
                </c:pt>
                <c:pt idx="77">
                  <c:v>5.5880000000000001</c:v>
                </c:pt>
                <c:pt idx="78">
                  <c:v>5.4870000000000001</c:v>
                </c:pt>
                <c:pt idx="79">
                  <c:v>5.9320000000000004</c:v>
                </c:pt>
                <c:pt idx="80">
                  <c:v>5.91</c:v>
                </c:pt>
                <c:pt idx="81">
                  <c:v>5.7750000000000004</c:v>
                </c:pt>
                <c:pt idx="82">
                  <c:v>5.7210000000000001</c:v>
                </c:pt>
                <c:pt idx="83">
                  <c:v>5.7949999999999999</c:v>
                </c:pt>
                <c:pt idx="84">
                  <c:v>5.9139999999999997</c:v>
                </c:pt>
                <c:pt idx="85">
                  <c:v>6.0359999999999996</c:v>
                </c:pt>
                <c:pt idx="86">
                  <c:v>6.1909999999999998</c:v>
                </c:pt>
                <c:pt idx="87">
                  <c:v>6.05</c:v>
                </c:pt>
                <c:pt idx="88">
                  <c:v>5.8949999999999996</c:v>
                </c:pt>
                <c:pt idx="89">
                  <c:v>5.6740000000000004</c:v>
                </c:pt>
                <c:pt idx="90">
                  <c:v>5.6790000000000003</c:v>
                </c:pt>
                <c:pt idx="91">
                  <c:v>5.5030000000000001</c:v>
                </c:pt>
                <c:pt idx="92">
                  <c:v>5.2789999999999999</c:v>
                </c:pt>
                <c:pt idx="93">
                  <c:v>5.9279999999999999</c:v>
                </c:pt>
                <c:pt idx="94">
                  <c:v>5.7880000000000003</c:v>
                </c:pt>
                <c:pt idx="95">
                  <c:v>5.6470000000000002</c:v>
                </c:pt>
                <c:pt idx="96">
                  <c:v>5.79</c:v>
                </c:pt>
                <c:pt idx="97">
                  <c:v>5.7359999999999998</c:v>
                </c:pt>
                <c:pt idx="98">
                  <c:v>5.6420000000000003</c:v>
                </c:pt>
                <c:pt idx="99">
                  <c:v>5.73</c:v>
                </c:pt>
                <c:pt idx="100">
                  <c:v>5.484</c:v>
                </c:pt>
                <c:pt idx="101">
                  <c:v>5.42</c:v>
                </c:pt>
                <c:pt idx="102">
                  <c:v>5.5330000000000004</c:v>
                </c:pt>
                <c:pt idx="103">
                  <c:v>5.71</c:v>
                </c:pt>
                <c:pt idx="104">
                  <c:v>5.73</c:v>
                </c:pt>
                <c:pt idx="105">
                  <c:v>6.0330000000000004</c:v>
                </c:pt>
                <c:pt idx="106">
                  <c:v>5.9619999999999997</c:v>
                </c:pt>
                <c:pt idx="107">
                  <c:v>5.7969999999999997</c:v>
                </c:pt>
                <c:pt idx="108">
                  <c:v>6.0609999999999999</c:v>
                </c:pt>
                <c:pt idx="109">
                  <c:v>6.1710000000000003</c:v>
                </c:pt>
                <c:pt idx="110">
                  <c:v>6.7409999999999997</c:v>
                </c:pt>
                <c:pt idx="111">
                  <c:v>6.5739999999999998</c:v>
                </c:pt>
                <c:pt idx="112">
                  <c:v>6.5090000000000003</c:v>
                </c:pt>
                <c:pt idx="113">
                  <c:v>6.3380000000000001</c:v>
                </c:pt>
                <c:pt idx="114">
                  <c:v>6.3879999999999999</c:v>
                </c:pt>
                <c:pt idx="115">
                  <c:v>6.2089999999999996</c:v>
                </c:pt>
                <c:pt idx="116">
                  <c:v>6.4290000000000003</c:v>
                </c:pt>
                <c:pt idx="117">
                  <c:v>6.0469999999999997</c:v>
                </c:pt>
                <c:pt idx="118">
                  <c:v>5.83</c:v>
                </c:pt>
                <c:pt idx="119">
                  <c:v>5.39</c:v>
                </c:pt>
                <c:pt idx="120">
                  <c:v>5.0830000000000002</c:v>
                </c:pt>
                <c:pt idx="121">
                  <c:v>5.1210000000000004</c:v>
                </c:pt>
                <c:pt idx="122">
                  <c:v>5.5510000000000002</c:v>
                </c:pt>
                <c:pt idx="123">
                  <c:v>5.6390000000000002</c:v>
                </c:pt>
                <c:pt idx="124">
                  <c:v>5.9059999999999997</c:v>
                </c:pt>
                <c:pt idx="125">
                  <c:v>6.3339999999999996</c:v>
                </c:pt>
                <c:pt idx="126">
                  <c:v>6.0469999999999997</c:v>
                </c:pt>
                <c:pt idx="127">
                  <c:v>5.4939999999999998</c:v>
                </c:pt>
                <c:pt idx="128">
                  <c:v>4.6740000000000004</c:v>
                </c:pt>
                <c:pt idx="129">
                  <c:v>5.4649999999999999</c:v>
                </c:pt>
                <c:pt idx="130">
                  <c:v>6.0039999999999996</c:v>
                </c:pt>
                <c:pt idx="131">
                  <c:v>6.2729999999999997</c:v>
                </c:pt>
                <c:pt idx="132">
                  <c:v>6.1379999999999999</c:v>
                </c:pt>
                <c:pt idx="133">
                  <c:v>6.4020000000000001</c:v>
                </c:pt>
                <c:pt idx="134">
                  <c:v>6.4729999999999999</c:v>
                </c:pt>
                <c:pt idx="135">
                  <c:v>6.3780000000000001</c:v>
                </c:pt>
                <c:pt idx="136">
                  <c:v>6.2690000000000001</c:v>
                </c:pt>
                <c:pt idx="137">
                  <c:v>6.827</c:v>
                </c:pt>
                <c:pt idx="138">
                  <c:v>6.2910000000000004</c:v>
                </c:pt>
                <c:pt idx="139">
                  <c:v>6.3330000000000002</c:v>
                </c:pt>
                <c:pt idx="140">
                  <c:v>6.734</c:v>
                </c:pt>
                <c:pt idx="141">
                  <c:v>6.234</c:v>
                </c:pt>
                <c:pt idx="142">
                  <c:v>6.15</c:v>
                </c:pt>
                <c:pt idx="143">
                  <c:v>7.8129999999999997</c:v>
                </c:pt>
                <c:pt idx="144">
                  <c:v>7.9889999999999999</c:v>
                </c:pt>
                <c:pt idx="145">
                  <c:v>8.0459999999999994</c:v>
                </c:pt>
                <c:pt idx="146">
                  <c:v>8.0559999999999992</c:v>
                </c:pt>
                <c:pt idx="147">
                  <c:v>8.1270000000000007</c:v>
                </c:pt>
                <c:pt idx="148">
                  <c:v>8.1709999999999994</c:v>
                </c:pt>
                <c:pt idx="149">
                  <c:v>7.5359999999999996</c:v>
                </c:pt>
                <c:pt idx="150">
                  <c:v>7.7969999999999997</c:v>
                </c:pt>
                <c:pt idx="151">
                  <c:v>8.3810000000000002</c:v>
                </c:pt>
                <c:pt idx="152">
                  <c:v>8.6549999999999994</c:v>
                </c:pt>
                <c:pt idx="153">
                  <c:v>8.1620000000000008</c:v>
                </c:pt>
                <c:pt idx="154">
                  <c:v>7.6130000000000004</c:v>
                </c:pt>
                <c:pt idx="155">
                  <c:v>8.0814000000000004</c:v>
                </c:pt>
                <c:pt idx="156">
                  <c:v>7.8551000000000002</c:v>
                </c:pt>
                <c:pt idx="157">
                  <c:v>8.7152999999999992</c:v>
                </c:pt>
                <c:pt idx="158">
                  <c:v>8.4420000000000002</c:v>
                </c:pt>
                <c:pt idx="159">
                  <c:v>7.5323000000000002</c:v>
                </c:pt>
                <c:pt idx="160">
                  <c:v>7.0460000000000003</c:v>
                </c:pt>
                <c:pt idx="161">
                  <c:v>6.6786000000000003</c:v>
                </c:pt>
                <c:pt idx="162">
                  <c:v>6.4090999999999996</c:v>
                </c:pt>
                <c:pt idx="163">
                  <c:v>6.3285</c:v>
                </c:pt>
                <c:pt idx="164">
                  <c:v>6.4004000000000003</c:v>
                </c:pt>
                <c:pt idx="165">
                  <c:v>6.5548999999999999</c:v>
                </c:pt>
                <c:pt idx="166">
                  <c:v>6.0556000000000001</c:v>
                </c:pt>
                <c:pt idx="167">
                  <c:v>6.1590999999999996</c:v>
                </c:pt>
                <c:pt idx="168">
                  <c:v>5.8933</c:v>
                </c:pt>
                <c:pt idx="169">
                  <c:v>6.1779999999999999</c:v>
                </c:pt>
                <c:pt idx="170">
                  <c:v>6.0913000000000004</c:v>
                </c:pt>
                <c:pt idx="171">
                  <c:v>5.9729000000000001</c:v>
                </c:pt>
                <c:pt idx="172">
                  <c:v>5.6882999999999999</c:v>
                </c:pt>
                <c:pt idx="173">
                  <c:v>6.0831999999999997</c:v>
                </c:pt>
                <c:pt idx="174">
                  <c:v>6.1105</c:v>
                </c:pt>
                <c:pt idx="175">
                  <c:v>6.0491999999999999</c:v>
                </c:pt>
                <c:pt idx="176">
                  <c:v>6.1357999999999997</c:v>
                </c:pt>
                <c:pt idx="177">
                  <c:v>6.13</c:v>
                </c:pt>
                <c:pt idx="178">
                  <c:v>5.7427000000000001</c:v>
                </c:pt>
                <c:pt idx="179">
                  <c:v>5.2252000000000001</c:v>
                </c:pt>
                <c:pt idx="180">
                  <c:v>5.2446000000000002</c:v>
                </c:pt>
                <c:pt idx="181">
                  <c:v>5.2877999999999998</c:v>
                </c:pt>
                <c:pt idx="182">
                  <c:v>5.2649999999999997</c:v>
                </c:pt>
                <c:pt idx="183">
                  <c:v>5.3121999999999998</c:v>
                </c:pt>
                <c:pt idx="184">
                  <c:v>5.5250000000000004</c:v>
                </c:pt>
                <c:pt idx="185">
                  <c:v>5.0420999999999996</c:v>
                </c:pt>
                <c:pt idx="186">
                  <c:v>4.5914999999999999</c:v>
                </c:pt>
                <c:pt idx="187">
                  <c:v>4.4488000000000003</c:v>
                </c:pt>
                <c:pt idx="188">
                  <c:v>4.4283999999999999</c:v>
                </c:pt>
                <c:pt idx="189">
                  <c:v>3.9169999999999998</c:v>
                </c:pt>
                <c:pt idx="190">
                  <c:v>3.6739999999999999</c:v>
                </c:pt>
                <c:pt idx="191">
                  <c:v>3.3376000000000001</c:v>
                </c:pt>
                <c:pt idx="192">
                  <c:v>3.5998000000000001</c:v>
                </c:pt>
                <c:pt idx="193">
                  <c:v>3.9228000000000001</c:v>
                </c:pt>
                <c:pt idx="194">
                  <c:v>3.8290000000000002</c:v>
                </c:pt>
                <c:pt idx="195">
                  <c:v>3.7627000000000002</c:v>
                </c:pt>
                <c:pt idx="196">
                  <c:v>3.9561000000000002</c:v>
                </c:pt>
                <c:pt idx="197">
                  <c:v>4.2295999999999996</c:v>
                </c:pt>
                <c:pt idx="198">
                  <c:v>4.1116999999999999</c:v>
                </c:pt>
                <c:pt idx="199">
                  <c:v>4.3006000000000002</c:v>
                </c:pt>
                <c:pt idx="200">
                  <c:v>4.4427000000000003</c:v>
                </c:pt>
                <c:pt idx="201">
                  <c:v>4.2991000000000001</c:v>
                </c:pt>
                <c:pt idx="202">
                  <c:v>4.4051999999999998</c:v>
                </c:pt>
                <c:pt idx="203">
                  <c:v>4.3781999999999996</c:v>
                </c:pt>
                <c:pt idx="204">
                  <c:v>4.8143000000000002</c:v>
                </c:pt>
                <c:pt idx="205">
                  <c:v>4.6074000000000002</c:v>
                </c:pt>
                <c:pt idx="206">
                  <c:v>4.4610000000000003</c:v>
                </c:pt>
                <c:pt idx="207">
                  <c:v>4.4951999999999996</c:v>
                </c:pt>
                <c:pt idx="208">
                  <c:v>4.2901999999999996</c:v>
                </c:pt>
                <c:pt idx="209">
                  <c:v>4.1379999999999999</c:v>
                </c:pt>
                <c:pt idx="210">
                  <c:v>3.9418000000000002</c:v>
                </c:pt>
                <c:pt idx="211">
                  <c:v>4.2225999999999999</c:v>
                </c:pt>
                <c:pt idx="212">
                  <c:v>4.0186000000000002</c:v>
                </c:pt>
                <c:pt idx="213">
                  <c:v>3.6274999999999999</c:v>
                </c:pt>
                <c:pt idx="214">
                  <c:v>3.5379999999999998</c:v>
                </c:pt>
                <c:pt idx="215">
                  <c:v>3.4554999999999998</c:v>
                </c:pt>
                <c:pt idx="216">
                  <c:v>3.2536999999999998</c:v>
                </c:pt>
                <c:pt idx="217">
                  <c:v>3.5470999999999999</c:v>
                </c:pt>
                <c:pt idx="218">
                  <c:v>3.3908999999999998</c:v>
                </c:pt>
                <c:pt idx="219">
                  <c:v>3.2198000000000002</c:v>
                </c:pt>
                <c:pt idx="220">
                  <c:v>3.0861000000000001</c:v>
                </c:pt>
                <c:pt idx="221">
                  <c:v>4.0495000000000001</c:v>
                </c:pt>
                <c:pt idx="222">
                  <c:v>3.8376999999999999</c:v>
                </c:pt>
                <c:pt idx="223">
                  <c:v>3.7585999999999999</c:v>
                </c:pt>
                <c:pt idx="224">
                  <c:v>4.1731999999999996</c:v>
                </c:pt>
                <c:pt idx="225">
                  <c:v>4.1479999999999997</c:v>
                </c:pt>
                <c:pt idx="226">
                  <c:v>4.0545999999999998</c:v>
                </c:pt>
                <c:pt idx="227">
                  <c:v>4.0018000000000002</c:v>
                </c:pt>
                <c:pt idx="228">
                  <c:v>3.8620000000000001</c:v>
                </c:pt>
                <c:pt idx="229">
                  <c:v>3.6398000000000001</c:v>
                </c:pt>
                <c:pt idx="230">
                  <c:v>3.5722999999999998</c:v>
                </c:pt>
                <c:pt idx="231">
                  <c:v>3.8698000000000001</c:v>
                </c:pt>
                <c:pt idx="232">
                  <c:v>4.1378000000000004</c:v>
                </c:pt>
                <c:pt idx="233">
                  <c:v>4.0932000000000004</c:v>
                </c:pt>
                <c:pt idx="234">
                  <c:v>4.1425000000000001</c:v>
                </c:pt>
                <c:pt idx="235">
                  <c:v>4.6913999999999998</c:v>
                </c:pt>
                <c:pt idx="236">
                  <c:v>4.7557</c:v>
                </c:pt>
                <c:pt idx="237">
                  <c:v>4.6464999999999996</c:v>
                </c:pt>
                <c:pt idx="238">
                  <c:v>5.0568</c:v>
                </c:pt>
                <c:pt idx="239">
                  <c:v>4.7701000000000002</c:v>
                </c:pt>
                <c:pt idx="240">
                  <c:v>3.5434000000000001</c:v>
                </c:pt>
                <c:pt idx="241">
                  <c:v>3.601</c:v>
                </c:pt>
                <c:pt idx="242">
                  <c:v>3.2713999999999999</c:v>
                </c:pt>
                <c:pt idx="243">
                  <c:v>3.1429999999999998</c:v>
                </c:pt>
                <c:pt idx="244">
                  <c:v>3.3012000000000001</c:v>
                </c:pt>
                <c:pt idx="245">
                  <c:v>4.0274999999999999</c:v>
                </c:pt>
                <c:pt idx="246">
                  <c:v>3.7949000000000002</c:v>
                </c:pt>
                <c:pt idx="247">
                  <c:v>3.4376000000000002</c:v>
                </c:pt>
                <c:pt idx="248">
                  <c:v>3.2086000000000001</c:v>
                </c:pt>
                <c:pt idx="249">
                  <c:v>2.7393999999999998</c:v>
                </c:pt>
                <c:pt idx="250">
                  <c:v>3.1674000000000002</c:v>
                </c:pt>
                <c:pt idx="251">
                  <c:v>3.4735999999999998</c:v>
                </c:pt>
                <c:pt idx="252">
                  <c:v>3.9719000000000002</c:v>
                </c:pt>
                <c:pt idx="253">
                  <c:v>3.1497999999999999</c:v>
                </c:pt>
                <c:pt idx="254">
                  <c:v>5.0392000000000001</c:v>
                </c:pt>
                <c:pt idx="255">
                  <c:v>4.6212999999999997</c:v>
                </c:pt>
                <c:pt idx="256">
                  <c:v>5.0711000000000004</c:v>
                </c:pt>
                <c:pt idx="257">
                  <c:v>5.1238000000000001</c:v>
                </c:pt>
                <c:pt idx="258">
                  <c:v>5.6193999999999997</c:v>
                </c:pt>
                <c:pt idx="259">
                  <c:v>5.3491</c:v>
                </c:pt>
                <c:pt idx="260">
                  <c:v>5.1075999999999997</c:v>
                </c:pt>
                <c:pt idx="261">
                  <c:v>6.0797999999999996</c:v>
                </c:pt>
                <c:pt idx="262">
                  <c:v>5.6788999999999996</c:v>
                </c:pt>
                <c:pt idx="263">
                  <c:v>6.1353</c:v>
                </c:pt>
                <c:pt idx="264">
                  <c:v>6.2877000000000001</c:v>
                </c:pt>
                <c:pt idx="265">
                  <c:v>6.5065</c:v>
                </c:pt>
                <c:pt idx="266">
                  <c:v>6.2579000000000002</c:v>
                </c:pt>
                <c:pt idx="267">
                  <c:v>6.1955</c:v>
                </c:pt>
                <c:pt idx="268">
                  <c:v>5.6410999999999998</c:v>
                </c:pt>
                <c:pt idx="269">
                  <c:v>6.3403999999999998</c:v>
                </c:pt>
                <c:pt idx="270">
                  <c:v>5.6826999999999996</c:v>
                </c:pt>
                <c:pt idx="271">
                  <c:v>5.7857000000000003</c:v>
                </c:pt>
                <c:pt idx="272">
                  <c:v>5.6014999999999997</c:v>
                </c:pt>
                <c:pt idx="273">
                  <c:v>5.1242999999999999</c:v>
                </c:pt>
                <c:pt idx="274">
                  <c:v>5.0720999999999998</c:v>
                </c:pt>
                <c:pt idx="275">
                  <c:v>5.3292000000000002</c:v>
                </c:pt>
                <c:pt idx="276">
                  <c:v>4.8857999999999997</c:v>
                </c:pt>
                <c:pt idx="277">
                  <c:v>4.1707000000000001</c:v>
                </c:pt>
                <c:pt idx="278">
                  <c:v>4.1227999999999998</c:v>
                </c:pt>
                <c:pt idx="279">
                  <c:v>4.5365000000000002</c:v>
                </c:pt>
                <c:pt idx="280">
                  <c:v>4.4438000000000004</c:v>
                </c:pt>
                <c:pt idx="281">
                  <c:v>4.9530000000000003</c:v>
                </c:pt>
                <c:pt idx="282">
                  <c:v>5.2043999999999997</c:v>
                </c:pt>
                <c:pt idx="283">
                  <c:v>4.9400000000000004</c:v>
                </c:pt>
                <c:pt idx="284">
                  <c:v>5.4648000000000003</c:v>
                </c:pt>
                <c:pt idx="285">
                  <c:v>6.4515000000000002</c:v>
                </c:pt>
                <c:pt idx="286">
                  <c:v>6.5613000000000001</c:v>
                </c:pt>
                <c:pt idx="287">
                  <c:v>6.8765999999999998</c:v>
                </c:pt>
                <c:pt idx="288">
                  <c:v>6.5202999999999998</c:v>
                </c:pt>
                <c:pt idx="289">
                  <c:v>6.4828000000000001</c:v>
                </c:pt>
                <c:pt idx="290">
                  <c:v>6.5876000000000001</c:v>
                </c:pt>
                <c:pt idx="291">
                  <c:v>6.9819000000000004</c:v>
                </c:pt>
                <c:pt idx="292">
                  <c:v>7.0171000000000001</c:v>
                </c:pt>
                <c:pt idx="293">
                  <c:v>7.0037000000000003</c:v>
                </c:pt>
                <c:pt idx="294">
                  <c:v>7.2763</c:v>
                </c:pt>
                <c:pt idx="295">
                  <c:v>6.5125999999999999</c:v>
                </c:pt>
                <c:pt idx="296">
                  <c:v>7.3616999999999999</c:v>
                </c:pt>
                <c:pt idx="297">
                  <c:v>6.9095000000000004</c:v>
                </c:pt>
                <c:pt idx="298">
                  <c:v>6.7742000000000004</c:v>
                </c:pt>
                <c:pt idx="299">
                  <c:v>6.1604000000000001</c:v>
                </c:pt>
                <c:pt idx="300">
                  <c:v>6.9261999999999997</c:v>
                </c:pt>
                <c:pt idx="301">
                  <c:v>7.0848000000000004</c:v>
                </c:pt>
                <c:pt idx="302">
                  <c:v>5.9260000000000002</c:v>
                </c:pt>
                <c:pt idx="303">
                  <c:v>6.5164</c:v>
                </c:pt>
                <c:pt idx="304">
                  <c:v>5.923</c:v>
                </c:pt>
                <c:pt idx="305">
                  <c:v>5.5713999999999997</c:v>
                </c:pt>
                <c:pt idx="306">
                  <c:v>5.8780000000000001</c:v>
                </c:pt>
                <c:pt idx="307">
                  <c:v>5.1397000000000004</c:v>
                </c:pt>
                <c:pt idx="308">
                  <c:v>4.6098999999999997</c:v>
                </c:pt>
                <c:pt idx="309">
                  <c:v>4.6138000000000003</c:v>
                </c:pt>
                <c:pt idx="310">
                  <c:v>5.15</c:v>
                </c:pt>
                <c:pt idx="311">
                  <c:v>5.2629000000000001</c:v>
                </c:pt>
                <c:pt idx="312">
                  <c:v>5.9383999999999997</c:v>
                </c:pt>
                <c:pt idx="313">
                  <c:v>5.6883999999999997</c:v>
                </c:pt>
                <c:pt idx="314">
                  <c:v>6.1712999999999996</c:v>
                </c:pt>
                <c:pt idx="315">
                  <c:v>5.8501000000000003</c:v>
                </c:pt>
                <c:pt idx="316">
                  <c:v>6.2262000000000004</c:v>
                </c:pt>
                <c:pt idx="317">
                  <c:v>6.2480000000000002</c:v>
                </c:pt>
                <c:pt idx="318">
                  <c:v>5.4314</c:v>
                </c:pt>
                <c:pt idx="319">
                  <c:v>5.4680999999999997</c:v>
                </c:pt>
                <c:pt idx="320">
                  <c:v>6.2789000000000001</c:v>
                </c:pt>
                <c:pt idx="321">
                  <c:v>5.8197999999999999</c:v>
                </c:pt>
                <c:pt idx="322">
                  <c:v>5.375</c:v>
                </c:pt>
                <c:pt idx="323">
                  <c:v>4.0407999999999999</c:v>
                </c:pt>
                <c:pt idx="324">
                  <c:v>4.3483999999999998</c:v>
                </c:pt>
                <c:pt idx="325">
                  <c:v>4.3106</c:v>
                </c:pt>
                <c:pt idx="326">
                  <c:v>4.2176999999999998</c:v>
                </c:pt>
                <c:pt idx="327">
                  <c:v>3.8447</c:v>
                </c:pt>
                <c:pt idx="328">
                  <c:v>3.8544</c:v>
                </c:pt>
                <c:pt idx="329">
                  <c:v>4.0061</c:v>
                </c:pt>
                <c:pt idx="330">
                  <c:v>4.6357999999999997</c:v>
                </c:pt>
                <c:pt idx="331">
                  <c:v>4.0304000000000002</c:v>
                </c:pt>
                <c:pt idx="332">
                  <c:v>3.7187999999999999</c:v>
                </c:pt>
                <c:pt idx="333">
                  <c:v>3.3485999999999998</c:v>
                </c:pt>
                <c:pt idx="334">
                  <c:v>3.6659999999999999</c:v>
                </c:pt>
                <c:pt idx="335">
                  <c:v>3.569</c:v>
                </c:pt>
                <c:pt idx="336">
                  <c:v>3.5133000000000001</c:v>
                </c:pt>
                <c:pt idx="337">
                  <c:v>3.4081000000000001</c:v>
                </c:pt>
                <c:pt idx="338">
                  <c:v>3.2440000000000002</c:v>
                </c:pt>
                <c:pt idx="339">
                  <c:v>4.2729999999999997</c:v>
                </c:pt>
                <c:pt idx="340">
                  <c:v>4.7537000000000003</c:v>
                </c:pt>
                <c:pt idx="341">
                  <c:v>4.6130000000000004</c:v>
                </c:pt>
                <c:pt idx="342">
                  <c:v>4.96</c:v>
                </c:pt>
                <c:pt idx="343">
                  <c:v>5.0290999999999997</c:v>
                </c:pt>
                <c:pt idx="344">
                  <c:v>4.6959</c:v>
                </c:pt>
                <c:pt idx="345">
                  <c:v>4.5980999999999996</c:v>
                </c:pt>
                <c:pt idx="346">
                  <c:v>4.5560999999999998</c:v>
                </c:pt>
                <c:pt idx="347">
                  <c:v>4.6657999999999999</c:v>
                </c:pt>
                <c:pt idx="348">
                  <c:v>5.2728999999999999</c:v>
                </c:pt>
                <c:pt idx="349">
                  <c:v>5.2</c:v>
                </c:pt>
                <c:pt idx="350">
                  <c:v>4.8013000000000003</c:v>
                </c:pt>
                <c:pt idx="351">
                  <c:v>4.0086000000000004</c:v>
                </c:pt>
                <c:pt idx="352">
                  <c:v>4.0979000000000001</c:v>
                </c:pt>
                <c:pt idx="353">
                  <c:v>3.4571000000000001</c:v>
                </c:pt>
                <c:pt idx="354">
                  <c:v>3.2915000000000001</c:v>
                </c:pt>
                <c:pt idx="355">
                  <c:v>3.0524</c:v>
                </c:pt>
                <c:pt idx="356">
                  <c:v>3.3210000000000002</c:v>
                </c:pt>
                <c:pt idx="357">
                  <c:v>2.9</c:v>
                </c:pt>
                <c:pt idx="358">
                  <c:v>2.6509</c:v>
                </c:pt>
                <c:pt idx="359">
                  <c:v>2.3972000000000002</c:v>
                </c:pt>
                <c:pt idx="360">
                  <c:v>2.4249999999999998</c:v>
                </c:pt>
                <c:pt idx="361">
                  <c:v>2.2199</c:v>
                </c:pt>
                <c:pt idx="362">
                  <c:v>2.3668</c:v>
                </c:pt>
                <c:pt idx="363">
                  <c:v>2.2486999999999999</c:v>
                </c:pt>
                <c:pt idx="364">
                  <c:v>2.2898000000000001</c:v>
                </c:pt>
                <c:pt idx="365">
                  <c:v>2.1225999999999998</c:v>
                </c:pt>
                <c:pt idx="366">
                  <c:v>2.3285</c:v>
                </c:pt>
                <c:pt idx="367">
                  <c:v>2.3729</c:v>
                </c:pt>
                <c:pt idx="368">
                  <c:v>2.5853999999999999</c:v>
                </c:pt>
                <c:pt idx="369">
                  <c:v>2.2404999999999999</c:v>
                </c:pt>
                <c:pt idx="370">
                  <c:v>2.1385000000000001</c:v>
                </c:pt>
                <c:pt idx="371">
                  <c:v>1.8766</c:v>
                </c:pt>
                <c:pt idx="372">
                  <c:v>2.2593999999999999</c:v>
                </c:pt>
                <c:pt idx="373">
                  <c:v>2.226</c:v>
                </c:pt>
                <c:pt idx="374">
                  <c:v>2.2147999999999999</c:v>
                </c:pt>
                <c:pt idx="375">
                  <c:v>2.1880000000000002</c:v>
                </c:pt>
                <c:pt idx="376">
                  <c:v>2.1295000000000002</c:v>
                </c:pt>
                <c:pt idx="377">
                  <c:v>2.0051999999999999</c:v>
                </c:pt>
                <c:pt idx="378">
                  <c:v>1.7092000000000001</c:v>
                </c:pt>
                <c:pt idx="379">
                  <c:v>1.6486000000000001</c:v>
                </c:pt>
                <c:pt idx="380">
                  <c:v>1.4789000000000001</c:v>
                </c:pt>
                <c:pt idx="381">
                  <c:v>1.5327999999999999</c:v>
                </c:pt>
                <c:pt idx="382">
                  <c:v>1.8239000000000001</c:v>
                </c:pt>
                <c:pt idx="383">
                  <c:v>1.8591</c:v>
                </c:pt>
                <c:pt idx="384">
                  <c:v>1.6162000000000001</c:v>
                </c:pt>
                <c:pt idx="385">
                  <c:v>1.6863999999999999</c:v>
                </c:pt>
                <c:pt idx="386">
                  <c:v>1.8106</c:v>
                </c:pt>
                <c:pt idx="387">
                  <c:v>1.5684</c:v>
                </c:pt>
                <c:pt idx="388">
                  <c:v>1.516</c:v>
                </c:pt>
                <c:pt idx="389">
                  <c:v>1.3835</c:v>
                </c:pt>
                <c:pt idx="390">
                  <c:v>1.2917000000000001</c:v>
                </c:pt>
                <c:pt idx="391">
                  <c:v>1.3033999999999999</c:v>
                </c:pt>
                <c:pt idx="392">
                  <c:v>1.2919</c:v>
                </c:pt>
                <c:pt idx="393">
                  <c:v>1.2986</c:v>
                </c:pt>
                <c:pt idx="394">
                  <c:v>1.2949999999999999</c:v>
                </c:pt>
                <c:pt idx="395">
                  <c:v>1.3542000000000001</c:v>
                </c:pt>
                <c:pt idx="396">
                  <c:v>1.2856000000000001</c:v>
                </c:pt>
                <c:pt idx="397">
                  <c:v>1.3052999999999999</c:v>
                </c:pt>
                <c:pt idx="398">
                  <c:v>1.3513999999999999</c:v>
                </c:pt>
                <c:pt idx="399">
                  <c:v>1.3746</c:v>
                </c:pt>
                <c:pt idx="400">
                  <c:v>1.2624</c:v>
                </c:pt>
                <c:pt idx="401">
                  <c:v>1.5047999999999999</c:v>
                </c:pt>
                <c:pt idx="402">
                  <c:v>1.49</c:v>
                </c:pt>
                <c:pt idx="403">
                  <c:v>1.5711999999999999</c:v>
                </c:pt>
                <c:pt idx="404">
                  <c:v>1.6395</c:v>
                </c:pt>
                <c:pt idx="405">
                  <c:v>1.6213</c:v>
                </c:pt>
                <c:pt idx="406">
                  <c:v>1.6011</c:v>
                </c:pt>
                <c:pt idx="407">
                  <c:v>1.6365000000000001</c:v>
                </c:pt>
                <c:pt idx="408">
                  <c:v>1.5769</c:v>
                </c:pt>
                <c:pt idx="409">
                  <c:v>1.6071</c:v>
                </c:pt>
                <c:pt idx="410">
                  <c:v>1.5550999999999999</c:v>
                </c:pt>
                <c:pt idx="411">
                  <c:v>1.5170999999999999</c:v>
                </c:pt>
                <c:pt idx="412">
                  <c:v>1.4726999999999999</c:v>
                </c:pt>
                <c:pt idx="413">
                  <c:v>1.5004</c:v>
                </c:pt>
                <c:pt idx="414">
                  <c:v>1.5406</c:v>
                </c:pt>
                <c:pt idx="415">
                  <c:v>1.5364</c:v>
                </c:pt>
                <c:pt idx="416">
                  <c:v>1.6839999999999999</c:v>
                </c:pt>
                <c:pt idx="417">
                  <c:v>1.6655</c:v>
                </c:pt>
                <c:pt idx="418">
                  <c:v>1.7179</c:v>
                </c:pt>
                <c:pt idx="419">
                  <c:v>1.5887</c:v>
                </c:pt>
                <c:pt idx="420">
                  <c:v>1.8160000000000001</c:v>
                </c:pt>
                <c:pt idx="421">
                  <c:v>1.7464</c:v>
                </c:pt>
                <c:pt idx="422">
                  <c:v>1.6422000000000001</c:v>
                </c:pt>
                <c:pt idx="423">
                  <c:v>1.6821999999999999</c:v>
                </c:pt>
                <c:pt idx="424">
                  <c:v>1.6524000000000001</c:v>
                </c:pt>
                <c:pt idx="425">
                  <c:v>1.6225000000000001</c:v>
                </c:pt>
                <c:pt idx="426">
                  <c:v>1.5737000000000001</c:v>
                </c:pt>
                <c:pt idx="427">
                  <c:v>1.6126</c:v>
                </c:pt>
                <c:pt idx="428">
                  <c:v>1.8949</c:v>
                </c:pt>
                <c:pt idx="429">
                  <c:v>1.9881</c:v>
                </c:pt>
                <c:pt idx="430">
                  <c:v>1.9635</c:v>
                </c:pt>
                <c:pt idx="431">
                  <c:v>1.8269</c:v>
                </c:pt>
                <c:pt idx="432">
                  <c:v>1.9652000000000001</c:v>
                </c:pt>
                <c:pt idx="433">
                  <c:v>1.7992999999999999</c:v>
                </c:pt>
                <c:pt idx="434">
                  <c:v>1.6922999999999999</c:v>
                </c:pt>
                <c:pt idx="435">
                  <c:v>1.7182999999999999</c:v>
                </c:pt>
                <c:pt idx="436">
                  <c:v>1.8725000000000001</c:v>
                </c:pt>
                <c:pt idx="437">
                  <c:v>1.7124999999999999</c:v>
                </c:pt>
                <c:pt idx="438">
                  <c:v>1.4790000000000001</c:v>
                </c:pt>
                <c:pt idx="439">
                  <c:v>1.4519</c:v>
                </c:pt>
                <c:pt idx="440">
                  <c:v>1.5173000000000001</c:v>
                </c:pt>
                <c:pt idx="441">
                  <c:v>1.4383999999999999</c:v>
                </c:pt>
                <c:pt idx="442">
                  <c:v>1.4770000000000001</c:v>
                </c:pt>
                <c:pt idx="443">
                  <c:v>1.5701000000000001</c:v>
                </c:pt>
                <c:pt idx="444">
                  <c:v>1.4645999999999999</c:v>
                </c:pt>
                <c:pt idx="445">
                  <c:v>1.4681</c:v>
                </c:pt>
                <c:pt idx="446">
                  <c:v>1.4516</c:v>
                </c:pt>
                <c:pt idx="447">
                  <c:v>1.5467</c:v>
                </c:pt>
                <c:pt idx="448">
                  <c:v>1.3043</c:v>
                </c:pt>
                <c:pt idx="449">
                  <c:v>1.2846</c:v>
                </c:pt>
                <c:pt idx="450">
                  <c:v>1.375</c:v>
                </c:pt>
                <c:pt idx="451">
                  <c:v>1.5876999999999999</c:v>
                </c:pt>
                <c:pt idx="452">
                  <c:v>1.4943</c:v>
                </c:pt>
                <c:pt idx="453">
                  <c:v>1.4423999999999999</c:v>
                </c:pt>
                <c:pt idx="454">
                  <c:v>1.512</c:v>
                </c:pt>
                <c:pt idx="455">
                  <c:v>1.4505999999999999</c:v>
                </c:pt>
                <c:pt idx="456">
                  <c:v>1.5741000000000001</c:v>
                </c:pt>
                <c:pt idx="457">
                  <c:v>1.7108000000000001</c:v>
                </c:pt>
                <c:pt idx="458">
                  <c:v>1.7332000000000001</c:v>
                </c:pt>
                <c:pt idx="459">
                  <c:v>1.8445</c:v>
                </c:pt>
                <c:pt idx="460">
                  <c:v>1.9318</c:v>
                </c:pt>
                <c:pt idx="461">
                  <c:v>1.9118999999999999</c:v>
                </c:pt>
                <c:pt idx="462">
                  <c:v>1.9719</c:v>
                </c:pt>
                <c:pt idx="463">
                  <c:v>1.8524</c:v>
                </c:pt>
                <c:pt idx="464">
                  <c:v>1.8045</c:v>
                </c:pt>
                <c:pt idx="465">
                  <c:v>1.9497</c:v>
                </c:pt>
                <c:pt idx="466">
                  <c:v>2.0524</c:v>
                </c:pt>
                <c:pt idx="467">
                  <c:v>2.0326</c:v>
                </c:pt>
                <c:pt idx="468">
                  <c:v>2.0247999999999999</c:v>
                </c:pt>
                <c:pt idx="469">
                  <c:v>2.27</c:v>
                </c:pt>
                <c:pt idx="470">
                  <c:v>2.3589000000000002</c:v>
                </c:pt>
                <c:pt idx="471">
                  <c:v>2.2921</c:v>
                </c:pt>
                <c:pt idx="472">
                  <c:v>2.3713000000000002</c:v>
                </c:pt>
                <c:pt idx="473">
                  <c:v>2.5341</c:v>
                </c:pt>
                <c:pt idx="474">
                  <c:v>2.2566999999999999</c:v>
                </c:pt>
                <c:pt idx="475">
                  <c:v>2.1855000000000002</c:v>
                </c:pt>
                <c:pt idx="476">
                  <c:v>1.9972000000000001</c:v>
                </c:pt>
                <c:pt idx="477">
                  <c:v>1.8856999999999999</c:v>
                </c:pt>
                <c:pt idx="478">
                  <c:v>1.8488</c:v>
                </c:pt>
                <c:pt idx="479">
                  <c:v>2.1459999999999999</c:v>
                </c:pt>
                <c:pt idx="480">
                  <c:v>2.0541</c:v>
                </c:pt>
                <c:pt idx="481">
                  <c:v>2.0672000000000001</c:v>
                </c:pt>
                <c:pt idx="482">
                  <c:v>2.0994000000000002</c:v>
                </c:pt>
                <c:pt idx="483">
                  <c:v>2.2265999999999999</c:v>
                </c:pt>
                <c:pt idx="484">
                  <c:v>2.2884000000000002</c:v>
                </c:pt>
                <c:pt idx="485">
                  <c:v>2.2551000000000001</c:v>
                </c:pt>
                <c:pt idx="486">
                  <c:v>2.1770999999999998</c:v>
                </c:pt>
                <c:pt idx="487">
                  <c:v>2.1432000000000002</c:v>
                </c:pt>
                <c:pt idx="488">
                  <c:v>2.2168999999999999</c:v>
                </c:pt>
                <c:pt idx="489">
                  <c:v>2.1061999999999999</c:v>
                </c:pt>
                <c:pt idx="490">
                  <c:v>1.9934000000000001</c:v>
                </c:pt>
                <c:pt idx="491">
                  <c:v>1.8436999999999999</c:v>
                </c:pt>
                <c:pt idx="492">
                  <c:v>2.04</c:v>
                </c:pt>
                <c:pt idx="493">
                  <c:v>2.0598999999999998</c:v>
                </c:pt>
                <c:pt idx="494">
                  <c:v>2.4502999999999999</c:v>
                </c:pt>
                <c:pt idx="495">
                  <c:v>2.4824999999999999</c:v>
                </c:pt>
                <c:pt idx="496">
                  <c:v>2.5167999999999999</c:v>
                </c:pt>
                <c:pt idx="497">
                  <c:v>2.3832</c:v>
                </c:pt>
                <c:pt idx="498">
                  <c:v>2.4723999999999999</c:v>
                </c:pt>
                <c:pt idx="499">
                  <c:v>2.3123999999999998</c:v>
                </c:pt>
                <c:pt idx="500">
                  <c:v>2.6272000000000002</c:v>
                </c:pt>
                <c:pt idx="501">
                  <c:v>2.7084000000000001</c:v>
                </c:pt>
                <c:pt idx="502">
                  <c:v>2.9611000000000001</c:v>
                </c:pt>
                <c:pt idx="503">
                  <c:v>2.6760999999999999</c:v>
                </c:pt>
                <c:pt idx="504">
                  <c:v>2.8026</c:v>
                </c:pt>
                <c:pt idx="505">
                  <c:v>2.4733000000000001</c:v>
                </c:pt>
                <c:pt idx="506">
                  <c:v>2.2953999999999999</c:v>
                </c:pt>
                <c:pt idx="507">
                  <c:v>2.4144999999999999</c:v>
                </c:pt>
                <c:pt idx="508">
                  <c:v>2.3708</c:v>
                </c:pt>
                <c:pt idx="509">
                  <c:v>2.2650000000000001</c:v>
                </c:pt>
                <c:pt idx="510">
                  <c:v>2.7736999999999998</c:v>
                </c:pt>
                <c:pt idx="511">
                  <c:v>2.6029</c:v>
                </c:pt>
                <c:pt idx="512">
                  <c:v>3.5712000000000002</c:v>
                </c:pt>
                <c:pt idx="513">
                  <c:v>3.8932000000000002</c:v>
                </c:pt>
                <c:pt idx="514">
                  <c:v>3.8725999999999998</c:v>
                </c:pt>
                <c:pt idx="515">
                  <c:v>4.3295000000000003</c:v>
                </c:pt>
                <c:pt idx="516">
                  <c:v>4.0875000000000004</c:v>
                </c:pt>
                <c:pt idx="517">
                  <c:v>4.0717999999999996</c:v>
                </c:pt>
                <c:pt idx="518">
                  <c:v>3.8851</c:v>
                </c:pt>
                <c:pt idx="519">
                  <c:v>4.0270999999999999</c:v>
                </c:pt>
                <c:pt idx="520">
                  <c:v>3.8984999999999999</c:v>
                </c:pt>
                <c:pt idx="521">
                  <c:v>4.1647999999999996</c:v>
                </c:pt>
                <c:pt idx="522">
                  <c:v>4.1482999999999999</c:v>
                </c:pt>
                <c:pt idx="523">
                  <c:v>3.9931000000000001</c:v>
                </c:pt>
                <c:pt idx="524">
                  <c:v>3.8822000000000001</c:v>
                </c:pt>
                <c:pt idx="525">
                  <c:v>4.55</c:v>
                </c:pt>
                <c:pt idx="526">
                  <c:v>4.1235999999999997</c:v>
                </c:pt>
                <c:pt idx="527">
                  <c:v>4.3098000000000001</c:v>
                </c:pt>
                <c:pt idx="528">
                  <c:v>4.7141999999999999</c:v>
                </c:pt>
                <c:pt idx="529">
                  <c:v>5.0934999999999997</c:v>
                </c:pt>
                <c:pt idx="530">
                  <c:v>4.5525000000000002</c:v>
                </c:pt>
                <c:pt idx="531">
                  <c:v>4.3167999999999997</c:v>
                </c:pt>
                <c:pt idx="532">
                  <c:v>4.1577999999999999</c:v>
                </c:pt>
                <c:pt idx="533">
                  <c:v>4.5082000000000004</c:v>
                </c:pt>
                <c:pt idx="534">
                  <c:v>4.0876000000000001</c:v>
                </c:pt>
                <c:pt idx="535">
                  <c:v>4.4619</c:v>
                </c:pt>
                <c:pt idx="536">
                  <c:v>4.649</c:v>
                </c:pt>
                <c:pt idx="537">
                  <c:v>4.2401</c:v>
                </c:pt>
                <c:pt idx="538">
                  <c:v>3.5318000000000001</c:v>
                </c:pt>
                <c:pt idx="539">
                  <c:v>3.3791000000000002</c:v>
                </c:pt>
                <c:pt idx="540">
                  <c:v>2.9794999999999998</c:v>
                </c:pt>
                <c:pt idx="541">
                  <c:v>2.7919</c:v>
                </c:pt>
                <c:pt idx="542">
                  <c:v>2.4308000000000001</c:v>
                </c:pt>
                <c:pt idx="543">
                  <c:v>2.3479999999999999</c:v>
                </c:pt>
                <c:pt idx="544">
                  <c:v>2.4115000000000002</c:v>
                </c:pt>
                <c:pt idx="545">
                  <c:v>2.4403000000000001</c:v>
                </c:pt>
                <c:pt idx="546">
                  <c:v>2.4339</c:v>
                </c:pt>
                <c:pt idx="547">
                  <c:v>2.5108000000000001</c:v>
                </c:pt>
                <c:pt idx="548">
                  <c:v>2.5977000000000001</c:v>
                </c:pt>
                <c:pt idx="549">
                  <c:v>2.0739000000000001</c:v>
                </c:pt>
                <c:pt idx="550">
                  <c:v>2.3311000000000002</c:v>
                </c:pt>
                <c:pt idx="551">
                  <c:v>2.3997000000000002</c:v>
                </c:pt>
                <c:pt idx="552">
                  <c:v>2.4929000000000001</c:v>
                </c:pt>
                <c:pt idx="553">
                  <c:v>2.7227999999999999</c:v>
                </c:pt>
                <c:pt idx="554">
                  <c:v>2.7825000000000002</c:v>
                </c:pt>
                <c:pt idx="555">
                  <c:v>2.9199000000000002</c:v>
                </c:pt>
                <c:pt idx="556">
                  <c:v>2.6368</c:v>
                </c:pt>
                <c:pt idx="557">
                  <c:v>2.9066999999999998</c:v>
                </c:pt>
                <c:pt idx="558">
                  <c:v>2.4171999999999998</c:v>
                </c:pt>
                <c:pt idx="559">
                  <c:v>2.1981999999999999</c:v>
                </c:pt>
                <c:pt idx="560">
                  <c:v>1.9752000000000001</c:v>
                </c:pt>
                <c:pt idx="561">
                  <c:v>2.1221999999999999</c:v>
                </c:pt>
                <c:pt idx="562">
                  <c:v>1.9576</c:v>
                </c:pt>
                <c:pt idx="563">
                  <c:v>1.6709000000000001</c:v>
                </c:pt>
                <c:pt idx="564">
                  <c:v>1.8996</c:v>
                </c:pt>
                <c:pt idx="565">
                  <c:v>1.7152000000000001</c:v>
                </c:pt>
                <c:pt idx="566">
                  <c:v>1.4826999999999999</c:v>
                </c:pt>
                <c:pt idx="567">
                  <c:v>1.3172999999999999</c:v>
                </c:pt>
                <c:pt idx="568">
                  <c:v>1.3275999999999999</c:v>
                </c:pt>
                <c:pt idx="569">
                  <c:v>1.3876999999999999</c:v>
                </c:pt>
                <c:pt idx="570">
                  <c:v>1.3196000000000001</c:v>
                </c:pt>
                <c:pt idx="571">
                  <c:v>1.2201</c:v>
                </c:pt>
                <c:pt idx="572">
                  <c:v>1.2447999999999999</c:v>
                </c:pt>
                <c:pt idx="573">
                  <c:v>1.2969999999999999</c:v>
                </c:pt>
                <c:pt idx="574">
                  <c:v>1.1452</c:v>
                </c:pt>
                <c:pt idx="575">
                  <c:v>1.2322</c:v>
                </c:pt>
                <c:pt idx="576">
                  <c:v>1.2551000000000001</c:v>
                </c:pt>
                <c:pt idx="577">
                  <c:v>1.2256</c:v>
                </c:pt>
                <c:pt idx="578">
                  <c:v>1.1145</c:v>
                </c:pt>
                <c:pt idx="579">
                  <c:v>1.1208</c:v>
                </c:pt>
                <c:pt idx="580">
                  <c:v>1.0925</c:v>
                </c:pt>
                <c:pt idx="581">
                  <c:v>1.1647000000000001</c:v>
                </c:pt>
                <c:pt idx="582">
                  <c:v>1.1274999999999999</c:v>
                </c:pt>
                <c:pt idx="583">
                  <c:v>1.0155000000000001</c:v>
                </c:pt>
                <c:pt idx="584">
                  <c:v>1.0459000000000001</c:v>
                </c:pt>
                <c:pt idx="585">
                  <c:v>1.0477000000000001</c:v>
                </c:pt>
                <c:pt idx="586">
                  <c:v>1.0294000000000001</c:v>
                </c:pt>
                <c:pt idx="587">
                  <c:v>1.0741000000000001</c:v>
                </c:pt>
                <c:pt idx="588">
                  <c:v>1.0277000000000001</c:v>
                </c:pt>
                <c:pt idx="589">
                  <c:v>0.93600000000000005</c:v>
                </c:pt>
                <c:pt idx="590">
                  <c:v>0.93710000000000004</c:v>
                </c:pt>
                <c:pt idx="591">
                  <c:v>0.9587</c:v>
                </c:pt>
                <c:pt idx="592">
                  <c:v>1.0033000000000001</c:v>
                </c:pt>
                <c:pt idx="593">
                  <c:v>1.0550999999999999</c:v>
                </c:pt>
                <c:pt idx="594">
                  <c:v>1.0226999999999999</c:v>
                </c:pt>
                <c:pt idx="595">
                  <c:v>0.94910000000000005</c:v>
                </c:pt>
                <c:pt idx="596">
                  <c:v>1.1180000000000001</c:v>
                </c:pt>
                <c:pt idx="597">
                  <c:v>1.1456</c:v>
                </c:pt>
                <c:pt idx="598">
                  <c:v>1.1443000000000001</c:v>
                </c:pt>
                <c:pt idx="599">
                  <c:v>1.0732999999999999</c:v>
                </c:pt>
                <c:pt idx="600">
                  <c:v>1.0279</c:v>
                </c:pt>
                <c:pt idx="601">
                  <c:v>1.026</c:v>
                </c:pt>
                <c:pt idx="602">
                  <c:v>1.0833999999999999</c:v>
                </c:pt>
                <c:pt idx="603">
                  <c:v>0.95369999999999999</c:v>
                </c:pt>
                <c:pt idx="604">
                  <c:v>0.9073</c:v>
                </c:pt>
                <c:pt idx="605">
                  <c:v>0.88990000000000002</c:v>
                </c:pt>
                <c:pt idx="606">
                  <c:v>0.84430000000000005</c:v>
                </c:pt>
                <c:pt idx="607">
                  <c:v>0.92549999999999999</c:v>
                </c:pt>
                <c:pt idx="608">
                  <c:v>0.92230000000000001</c:v>
                </c:pt>
                <c:pt idx="609">
                  <c:v>0.9133</c:v>
                </c:pt>
                <c:pt idx="610">
                  <c:v>0.84340000000000004</c:v>
                </c:pt>
                <c:pt idx="611">
                  <c:v>0.79949999999999999</c:v>
                </c:pt>
                <c:pt idx="612">
                  <c:v>0.86419999999999997</c:v>
                </c:pt>
                <c:pt idx="613">
                  <c:v>0.61750000000000005</c:v>
                </c:pt>
                <c:pt idx="614">
                  <c:v>0.68759999999999999</c:v>
                </c:pt>
                <c:pt idx="615">
                  <c:v>0.70699999999999996</c:v>
                </c:pt>
                <c:pt idx="616">
                  <c:v>0.70340000000000003</c:v>
                </c:pt>
                <c:pt idx="617">
                  <c:v>0.61599999999999999</c:v>
                </c:pt>
                <c:pt idx="618">
                  <c:v>0.61860000000000004</c:v>
                </c:pt>
                <c:pt idx="619">
                  <c:v>0.5726</c:v>
                </c:pt>
                <c:pt idx="620">
                  <c:v>0.5494</c:v>
                </c:pt>
                <c:pt idx="621">
                  <c:v>0.56869999999999998</c:v>
                </c:pt>
                <c:pt idx="622">
                  <c:v>0.51919999999999999</c:v>
                </c:pt>
                <c:pt idx="623">
                  <c:v>0.52429999999999999</c:v>
                </c:pt>
                <c:pt idx="624">
                  <c:v>0.48930000000000001</c:v>
                </c:pt>
                <c:pt idx="625">
                  <c:v>0.4672</c:v>
                </c:pt>
                <c:pt idx="626">
                  <c:v>0.4395</c:v>
                </c:pt>
                <c:pt idx="627">
                  <c:v>0.46700000000000003</c:v>
                </c:pt>
                <c:pt idx="628">
                  <c:v>0.51039999999999996</c:v>
                </c:pt>
                <c:pt idx="629">
                  <c:v>0.52359999999999995</c:v>
                </c:pt>
                <c:pt idx="630">
                  <c:v>0.50119999999999998</c:v>
                </c:pt>
                <c:pt idx="631">
                  <c:v>0.52290000000000003</c:v>
                </c:pt>
                <c:pt idx="632">
                  <c:v>0.54249999999999998</c:v>
                </c:pt>
                <c:pt idx="633">
                  <c:v>0.55769999999999997</c:v>
                </c:pt>
                <c:pt idx="634">
                  <c:v>0.57250000000000001</c:v>
                </c:pt>
                <c:pt idx="635">
                  <c:v>0.60150000000000003</c:v>
                </c:pt>
                <c:pt idx="636">
                  <c:v>0.59219999999999995</c:v>
                </c:pt>
                <c:pt idx="637">
                  <c:v>0.57989999999999997</c:v>
                </c:pt>
                <c:pt idx="638">
                  <c:v>0.62239999999999995</c:v>
                </c:pt>
                <c:pt idx="639">
                  <c:v>0.60129999999999995</c:v>
                </c:pt>
                <c:pt idx="640">
                  <c:v>0.60050000000000003</c:v>
                </c:pt>
                <c:pt idx="641">
                  <c:v>0.6159</c:v>
                </c:pt>
                <c:pt idx="642">
                  <c:v>0.5726</c:v>
                </c:pt>
                <c:pt idx="643">
                  <c:v>0.55320000000000003</c:v>
                </c:pt>
                <c:pt idx="644">
                  <c:v>0.53200000000000003</c:v>
                </c:pt>
                <c:pt idx="645">
                  <c:v>0.53</c:v>
                </c:pt>
                <c:pt idx="646">
                  <c:v>0.52529999999999999</c:v>
                </c:pt>
                <c:pt idx="647">
                  <c:v>0.52669999999999995</c:v>
                </c:pt>
                <c:pt idx="648">
                  <c:v>0.54500000000000004</c:v>
                </c:pt>
                <c:pt idx="649">
                  <c:v>0.57079999999999997</c:v>
                </c:pt>
                <c:pt idx="650">
                  <c:v>0.52029999999999998</c:v>
                </c:pt>
                <c:pt idx="651">
                  <c:v>0.52500000000000002</c:v>
                </c:pt>
                <c:pt idx="652">
                  <c:v>0.49430000000000002</c:v>
                </c:pt>
                <c:pt idx="653">
                  <c:v>0.52170000000000005</c:v>
                </c:pt>
                <c:pt idx="654">
                  <c:v>0.50649999999999995</c:v>
                </c:pt>
                <c:pt idx="655">
                  <c:v>0.51370000000000005</c:v>
                </c:pt>
                <c:pt idx="656">
                  <c:v>0.49149999999999999</c:v>
                </c:pt>
                <c:pt idx="657">
                  <c:v>0.49990000000000001</c:v>
                </c:pt>
                <c:pt idx="658">
                  <c:v>0.55169999999999997</c:v>
                </c:pt>
                <c:pt idx="659">
                  <c:v>0.57640000000000002</c:v>
                </c:pt>
                <c:pt idx="660">
                  <c:v>0.56830000000000003</c:v>
                </c:pt>
                <c:pt idx="661">
                  <c:v>0.60140000000000005</c:v>
                </c:pt>
                <c:pt idx="662">
                  <c:v>0.53600000000000003</c:v>
                </c:pt>
                <c:pt idx="663">
                  <c:v>0.5141</c:v>
                </c:pt>
                <c:pt idx="664">
                  <c:v>0.51160000000000005</c:v>
                </c:pt>
                <c:pt idx="665">
                  <c:v>0.50690000000000002</c:v>
                </c:pt>
                <c:pt idx="666">
                  <c:v>0.48949999999999999</c:v>
                </c:pt>
                <c:pt idx="667">
                  <c:v>0.4864</c:v>
                </c:pt>
                <c:pt idx="668">
                  <c:v>0.46610000000000001</c:v>
                </c:pt>
                <c:pt idx="669">
                  <c:v>0.4269</c:v>
                </c:pt>
                <c:pt idx="670">
                  <c:v>0.4546</c:v>
                </c:pt>
                <c:pt idx="671">
                  <c:v>0.45710000000000001</c:v>
                </c:pt>
                <c:pt idx="672">
                  <c:v>0.50860000000000005</c:v>
                </c:pt>
                <c:pt idx="673">
                  <c:v>0.5151</c:v>
                </c:pt>
                <c:pt idx="674">
                  <c:v>0.44180000000000003</c:v>
                </c:pt>
                <c:pt idx="675">
                  <c:v>0.43930000000000002</c:v>
                </c:pt>
                <c:pt idx="676">
                  <c:v>0.38790000000000002</c:v>
                </c:pt>
                <c:pt idx="677">
                  <c:v>0.42609999999999998</c:v>
                </c:pt>
                <c:pt idx="678">
                  <c:v>0.42280000000000001</c:v>
                </c:pt>
                <c:pt idx="679">
                  <c:v>0.42580000000000001</c:v>
                </c:pt>
                <c:pt idx="680">
                  <c:v>0.38850000000000001</c:v>
                </c:pt>
                <c:pt idx="681">
                  <c:v>0.38429999999999997</c:v>
                </c:pt>
                <c:pt idx="682">
                  <c:v>0.34499999999999997</c:v>
                </c:pt>
                <c:pt idx="683">
                  <c:v>0.41389999999999999</c:v>
                </c:pt>
                <c:pt idx="684">
                  <c:v>0.40550000000000003</c:v>
                </c:pt>
                <c:pt idx="685">
                  <c:v>0.44180000000000003</c:v>
                </c:pt>
                <c:pt idx="686">
                  <c:v>0.38</c:v>
                </c:pt>
                <c:pt idx="687">
                  <c:v>0.88080000000000003</c:v>
                </c:pt>
                <c:pt idx="688">
                  <c:v>0.89770000000000005</c:v>
                </c:pt>
                <c:pt idx="689">
                  <c:v>0.82589999999999997</c:v>
                </c:pt>
                <c:pt idx="690">
                  <c:v>0.80520000000000003</c:v>
                </c:pt>
                <c:pt idx="691">
                  <c:v>0.85340000000000005</c:v>
                </c:pt>
                <c:pt idx="692">
                  <c:v>0.8911</c:v>
                </c:pt>
                <c:pt idx="693">
                  <c:v>0.92479999999999996</c:v>
                </c:pt>
                <c:pt idx="694">
                  <c:v>0.92059999999999997</c:v>
                </c:pt>
                <c:pt idx="695">
                  <c:v>0.88070000000000004</c:v>
                </c:pt>
                <c:pt idx="696">
                  <c:v>0.85570000000000002</c:v>
                </c:pt>
                <c:pt idx="697">
                  <c:v>0.82979999999999998</c:v>
                </c:pt>
                <c:pt idx="698">
                  <c:v>0.81210000000000004</c:v>
                </c:pt>
                <c:pt idx="699">
                  <c:v>0.81730000000000003</c:v>
                </c:pt>
                <c:pt idx="700">
                  <c:v>0.83440000000000003</c:v>
                </c:pt>
                <c:pt idx="701">
                  <c:v>0.83660000000000001</c:v>
                </c:pt>
                <c:pt idx="702">
                  <c:v>0.84489999999999998</c:v>
                </c:pt>
                <c:pt idx="703">
                  <c:v>0.88460000000000005</c:v>
                </c:pt>
                <c:pt idx="704">
                  <c:v>0.95760000000000001</c:v>
                </c:pt>
                <c:pt idx="705">
                  <c:v>0.88549999999999995</c:v>
                </c:pt>
                <c:pt idx="706">
                  <c:v>0.87970000000000004</c:v>
                </c:pt>
                <c:pt idx="707">
                  <c:v>0.88670000000000004</c:v>
                </c:pt>
                <c:pt idx="708">
                  <c:v>0.85709999999999997</c:v>
                </c:pt>
                <c:pt idx="709">
                  <c:v>0.97</c:v>
                </c:pt>
                <c:pt idx="710">
                  <c:v>0.97540000000000004</c:v>
                </c:pt>
                <c:pt idx="711">
                  <c:v>1.048</c:v>
                </c:pt>
                <c:pt idx="712">
                  <c:v>1.1093999999999999</c:v>
                </c:pt>
                <c:pt idx="713">
                  <c:v>1.2082999999999999</c:v>
                </c:pt>
                <c:pt idx="714">
                  <c:v>1.1615</c:v>
                </c:pt>
                <c:pt idx="715">
                  <c:v>1.2185999999999999</c:v>
                </c:pt>
                <c:pt idx="716">
                  <c:v>1.1745000000000001</c:v>
                </c:pt>
                <c:pt idx="717">
                  <c:v>1.159</c:v>
                </c:pt>
                <c:pt idx="718">
                  <c:v>1.1898</c:v>
                </c:pt>
                <c:pt idx="719">
                  <c:v>1.1519999999999999</c:v>
                </c:pt>
                <c:pt idx="720">
                  <c:v>1.2370000000000001</c:v>
                </c:pt>
                <c:pt idx="721">
                  <c:v>1.2869999999999999</c:v>
                </c:pt>
                <c:pt idx="722">
                  <c:v>1.2001999999999999</c:v>
                </c:pt>
                <c:pt idx="723">
                  <c:v>1.1501999999999999</c:v>
                </c:pt>
                <c:pt idx="724">
                  <c:v>1.0552999999999999</c:v>
                </c:pt>
                <c:pt idx="725">
                  <c:v>1.0506</c:v>
                </c:pt>
                <c:pt idx="726">
                  <c:v>1.0563</c:v>
                </c:pt>
                <c:pt idx="727">
                  <c:v>1.0565</c:v>
                </c:pt>
                <c:pt idx="728">
                  <c:v>1.0479000000000001</c:v>
                </c:pt>
                <c:pt idx="729">
                  <c:v>1.0385</c:v>
                </c:pt>
                <c:pt idx="730">
                  <c:v>1.0722</c:v>
                </c:pt>
                <c:pt idx="731">
                  <c:v>1.0987</c:v>
                </c:pt>
                <c:pt idx="732">
                  <c:v>1.1045</c:v>
                </c:pt>
                <c:pt idx="733">
                  <c:v>1.1184000000000001</c:v>
                </c:pt>
                <c:pt idx="734">
                  <c:v>1.0621</c:v>
                </c:pt>
                <c:pt idx="735">
                  <c:v>1.0822000000000001</c:v>
                </c:pt>
                <c:pt idx="736">
                  <c:v>1.069</c:v>
                </c:pt>
                <c:pt idx="737">
                  <c:v>1.0799000000000001</c:v>
                </c:pt>
                <c:pt idx="738">
                  <c:v>1.0609999999999999</c:v>
                </c:pt>
                <c:pt idx="739">
                  <c:v>1.0484</c:v>
                </c:pt>
                <c:pt idx="740">
                  <c:v>1.0531999999999999</c:v>
                </c:pt>
                <c:pt idx="741">
                  <c:v>1.1125</c:v>
                </c:pt>
                <c:pt idx="742">
                  <c:v>1.0981000000000001</c:v>
                </c:pt>
                <c:pt idx="743">
                  <c:v>1.0229999999999999</c:v>
                </c:pt>
                <c:pt idx="744">
                  <c:v>1.0137</c:v>
                </c:pt>
                <c:pt idx="745">
                  <c:v>1.0133000000000001</c:v>
                </c:pt>
                <c:pt idx="746">
                  <c:v>1.0361</c:v>
                </c:pt>
                <c:pt idx="747">
                  <c:v>1.0249999999999999</c:v>
                </c:pt>
                <c:pt idx="748">
                  <c:v>1.05</c:v>
                </c:pt>
                <c:pt idx="749">
                  <c:v>1.0261</c:v>
                </c:pt>
                <c:pt idx="750">
                  <c:v>1.07</c:v>
                </c:pt>
                <c:pt idx="751">
                  <c:v>1.0881000000000001</c:v>
                </c:pt>
                <c:pt idx="752">
                  <c:v>1.0528999999999999</c:v>
                </c:pt>
                <c:pt idx="753">
                  <c:v>1.0309999999999999</c:v>
                </c:pt>
                <c:pt idx="754">
                  <c:v>1.0401</c:v>
                </c:pt>
                <c:pt idx="755">
                  <c:v>1.0241</c:v>
                </c:pt>
                <c:pt idx="756">
                  <c:v>1.0172000000000001</c:v>
                </c:pt>
                <c:pt idx="757">
                  <c:v>1.1364000000000001</c:v>
                </c:pt>
                <c:pt idx="758">
                  <c:v>1.1185</c:v>
                </c:pt>
                <c:pt idx="759">
                  <c:v>1.1367</c:v>
                </c:pt>
                <c:pt idx="760">
                  <c:v>1.1549</c:v>
                </c:pt>
                <c:pt idx="761">
                  <c:v>1.1728000000000001</c:v>
                </c:pt>
                <c:pt idx="762">
                  <c:v>1.1991000000000001</c:v>
                </c:pt>
                <c:pt idx="763">
                  <c:v>1.0835999999999999</c:v>
                </c:pt>
                <c:pt idx="764">
                  <c:v>1.0678000000000001</c:v>
                </c:pt>
                <c:pt idx="765">
                  <c:v>1.071</c:v>
                </c:pt>
                <c:pt idx="766">
                  <c:v>1.0005999999999999</c:v>
                </c:pt>
                <c:pt idx="767">
                  <c:v>1.0688</c:v>
                </c:pt>
                <c:pt idx="768">
                  <c:v>1.0589</c:v>
                </c:pt>
                <c:pt idx="769">
                  <c:v>1.0348999999999999</c:v>
                </c:pt>
                <c:pt idx="770">
                  <c:v>0.97950000000000004</c:v>
                </c:pt>
                <c:pt idx="771">
                  <c:v>0.99480000000000002</c:v>
                </c:pt>
                <c:pt idx="772">
                  <c:v>1.0447</c:v>
                </c:pt>
                <c:pt idx="773">
                  <c:v>0.95699999999999996</c:v>
                </c:pt>
                <c:pt idx="774">
                  <c:v>1.0489999999999999</c:v>
                </c:pt>
                <c:pt idx="775">
                  <c:v>0.93620000000000003</c:v>
                </c:pt>
                <c:pt idx="776">
                  <c:v>0.9667</c:v>
                </c:pt>
                <c:pt idx="777">
                  <c:v>0.83609999999999995</c:v>
                </c:pt>
                <c:pt idx="778">
                  <c:v>0.82</c:v>
                </c:pt>
                <c:pt idx="779">
                  <c:v>0.80259999999999998</c:v>
                </c:pt>
                <c:pt idx="780">
                  <c:v>0.91610000000000003</c:v>
                </c:pt>
                <c:pt idx="781">
                  <c:v>0.95840000000000003</c:v>
                </c:pt>
                <c:pt idx="782">
                  <c:v>0.98170000000000002</c:v>
                </c:pt>
                <c:pt idx="783">
                  <c:v>0.97760000000000002</c:v>
                </c:pt>
                <c:pt idx="784">
                  <c:v>0.92579999999999996</c:v>
                </c:pt>
                <c:pt idx="785">
                  <c:v>0.94040000000000001</c:v>
                </c:pt>
                <c:pt idx="786">
                  <c:v>1.0447</c:v>
                </c:pt>
                <c:pt idx="787">
                  <c:v>1.0218</c:v>
                </c:pt>
                <c:pt idx="788">
                  <c:v>1.0630999999999999</c:v>
                </c:pt>
                <c:pt idx="789">
                  <c:v>1.0787</c:v>
                </c:pt>
                <c:pt idx="790">
                  <c:v>1.0861000000000001</c:v>
                </c:pt>
                <c:pt idx="791">
                  <c:v>1.0610999999999999</c:v>
                </c:pt>
                <c:pt idx="792">
                  <c:v>1.0651999999999999</c:v>
                </c:pt>
                <c:pt idx="793">
                  <c:v>1.0914999999999999</c:v>
                </c:pt>
                <c:pt idx="794">
                  <c:v>1.089</c:v>
                </c:pt>
                <c:pt idx="795">
                  <c:v>1.1949000000000001</c:v>
                </c:pt>
                <c:pt idx="796">
                  <c:v>1.1499999999999999</c:v>
                </c:pt>
                <c:pt idx="797">
                  <c:v>1.1025</c:v>
                </c:pt>
                <c:pt idx="798">
                  <c:v>1.1631</c:v>
                </c:pt>
                <c:pt idx="799">
                  <c:v>1.1970000000000001</c:v>
                </c:pt>
                <c:pt idx="800">
                  <c:v>1.26</c:v>
                </c:pt>
                <c:pt idx="801">
                  <c:v>1.1474</c:v>
                </c:pt>
                <c:pt idx="802">
                  <c:v>1.0716000000000001</c:v>
                </c:pt>
                <c:pt idx="803">
                  <c:v>1.0998000000000001</c:v>
                </c:pt>
                <c:pt idx="804">
                  <c:v>1.0449999999999999</c:v>
                </c:pt>
                <c:pt idx="805">
                  <c:v>1.0408999999999999</c:v>
                </c:pt>
                <c:pt idx="806">
                  <c:v>1.0685</c:v>
                </c:pt>
                <c:pt idx="807">
                  <c:v>1.089</c:v>
                </c:pt>
                <c:pt idx="808">
                  <c:v>1.1578999999999999</c:v>
                </c:pt>
                <c:pt idx="809">
                  <c:v>1.1447000000000001</c:v>
                </c:pt>
                <c:pt idx="810">
                  <c:v>1.1369</c:v>
                </c:pt>
                <c:pt idx="811">
                  <c:v>1.0528999999999999</c:v>
                </c:pt>
                <c:pt idx="812">
                  <c:v>1.0609</c:v>
                </c:pt>
                <c:pt idx="813">
                  <c:v>0.96579999999999999</c:v>
                </c:pt>
                <c:pt idx="814">
                  <c:v>1.0504</c:v>
                </c:pt>
                <c:pt idx="815">
                  <c:v>1.1579999999999999</c:v>
                </c:pt>
                <c:pt idx="816">
                  <c:v>1.1706000000000001</c:v>
                </c:pt>
                <c:pt idx="817">
                  <c:v>0.95009999999999994</c:v>
                </c:pt>
                <c:pt idx="818">
                  <c:v>0.83240000000000003</c:v>
                </c:pt>
                <c:pt idx="819">
                  <c:v>0.79990000000000006</c:v>
                </c:pt>
                <c:pt idx="820">
                  <c:v>0.85650000000000004</c:v>
                </c:pt>
                <c:pt idx="821">
                  <c:v>0.86939999999999995</c:v>
                </c:pt>
                <c:pt idx="822">
                  <c:v>0.90790000000000004</c:v>
                </c:pt>
                <c:pt idx="823">
                  <c:v>0.80679999999999996</c:v>
                </c:pt>
                <c:pt idx="824">
                  <c:v>0.97619999999999996</c:v>
                </c:pt>
                <c:pt idx="825">
                  <c:v>1.2983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0-4F31-B17C-BA253694E24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1.9101804570525041</c:v>
                </c:pt>
                <c:pt idx="1">
                  <c:v>1.9182487200858376</c:v>
                </c:pt>
                <c:pt idx="2">
                  <c:v>1.9747055187685574</c:v>
                </c:pt>
                <c:pt idx="3">
                  <c:v>2.0194790456053773</c:v>
                </c:pt>
                <c:pt idx="4">
                  <c:v>1.9635592107180055</c:v>
                </c:pt>
                <c:pt idx="5">
                  <c:v>1.9451422493029111</c:v>
                </c:pt>
                <c:pt idx="6">
                  <c:v>1.9986312460595115</c:v>
                </c:pt>
                <c:pt idx="7">
                  <c:v>2.0595133849438398</c:v>
                </c:pt>
                <c:pt idx="8">
                  <c:v>2.1358945637010653</c:v>
                </c:pt>
                <c:pt idx="9">
                  <c:v>2.2132734559781291</c:v>
                </c:pt>
                <c:pt idx="10">
                  <c:v>2.2832736731874315</c:v>
                </c:pt>
                <c:pt idx="11">
                  <c:v>2.3396889015173978</c:v>
                </c:pt>
                <c:pt idx="12">
                  <c:v>2.2707686390520512</c:v>
                </c:pt>
                <c:pt idx="13">
                  <c:v>2.3309219793425542</c:v>
                </c:pt>
                <c:pt idx="14">
                  <c:v>2.2396445960254243</c:v>
                </c:pt>
                <c:pt idx="15">
                  <c:v>2.3045444165415532</c:v>
                </c:pt>
                <c:pt idx="16">
                  <c:v>2.3278765616532038</c:v>
                </c:pt>
                <c:pt idx="17">
                  <c:v>2.2398021786186173</c:v>
                </c:pt>
                <c:pt idx="18">
                  <c:v>2.244879833325284</c:v>
                </c:pt>
                <c:pt idx="19">
                  <c:v>2.2868805949008468</c:v>
                </c:pt>
                <c:pt idx="20">
                  <c:v>2.259917210971687</c:v>
                </c:pt>
                <c:pt idx="21">
                  <c:v>2.1698277160443427</c:v>
                </c:pt>
                <c:pt idx="22">
                  <c:v>2.1810238155431381</c:v>
                </c:pt>
                <c:pt idx="23">
                  <c:v>2.2200974215016442</c:v>
                </c:pt>
                <c:pt idx="24">
                  <c:v>2.1289052991140101</c:v>
                </c:pt>
                <c:pt idx="25">
                  <c:v>2.0544038610318185</c:v>
                </c:pt>
                <c:pt idx="26">
                  <c:v>2.1105641635772727</c:v>
                </c:pt>
                <c:pt idx="27">
                  <c:v>2.0274317351320903</c:v>
                </c:pt>
                <c:pt idx="28">
                  <c:v>1.9890075925167059</c:v>
                </c:pt>
                <c:pt idx="29">
                  <c:v>1.9800261116143492</c:v>
                </c:pt>
                <c:pt idx="30">
                  <c:v>2.0346479973904108</c:v>
                </c:pt>
                <c:pt idx="31">
                  <c:v>2.1018653512613787</c:v>
                </c:pt>
                <c:pt idx="32">
                  <c:v>2.1246103687197118</c:v>
                </c:pt>
                <c:pt idx="33">
                  <c:v>2.0790315654311211</c:v>
                </c:pt>
                <c:pt idx="34">
                  <c:v>2.091167282764455</c:v>
                </c:pt>
                <c:pt idx="35">
                  <c:v>2.081600075440317</c:v>
                </c:pt>
                <c:pt idx="36">
                  <c:v>2.067234335445459</c:v>
                </c:pt>
                <c:pt idx="37">
                  <c:v>2.1066498702666503</c:v>
                </c:pt>
                <c:pt idx="38">
                  <c:v>2.029442712005781</c:v>
                </c:pt>
                <c:pt idx="39">
                  <c:v>2.0242852261630842</c:v>
                </c:pt>
                <c:pt idx="40">
                  <c:v>2.1023708258928138</c:v>
                </c:pt>
                <c:pt idx="41">
                  <c:v>2.0460558396662947</c:v>
                </c:pt>
                <c:pt idx="42">
                  <c:v>2.0920355354628688</c:v>
                </c:pt>
                <c:pt idx="43">
                  <c:v>2.0519484833576054</c:v>
                </c:pt>
                <c:pt idx="44">
                  <c:v>2.0433750658252974</c:v>
                </c:pt>
                <c:pt idx="45">
                  <c:v>2.0509623097810499</c:v>
                </c:pt>
                <c:pt idx="46">
                  <c:v>2.0687769259265045</c:v>
                </c:pt>
                <c:pt idx="47">
                  <c:v>2.0289264068780195</c:v>
                </c:pt>
                <c:pt idx="48">
                  <c:v>2.0268408675703271</c:v>
                </c:pt>
                <c:pt idx="49">
                  <c:v>2.1040552317050074</c:v>
                </c:pt>
                <c:pt idx="50">
                  <c:v>2.2026974627372651</c:v>
                </c:pt>
                <c:pt idx="51">
                  <c:v>2.1741248651041292</c:v>
                </c:pt>
                <c:pt idx="52">
                  <c:v>2.1547340572469862</c:v>
                </c:pt>
                <c:pt idx="53">
                  <c:v>2.0887654031010494</c:v>
                </c:pt>
                <c:pt idx="54">
                  <c:v>2.1240964199524006</c:v>
                </c:pt>
                <c:pt idx="55">
                  <c:v>2.1166453293796734</c:v>
                </c:pt>
                <c:pt idx="56">
                  <c:v>2.1449139479975599</c:v>
                </c:pt>
                <c:pt idx="57">
                  <c:v>2.1714835111321049</c:v>
                </c:pt>
                <c:pt idx="58">
                  <c:v>2.1243151311321049</c:v>
                </c:pt>
                <c:pt idx="59">
                  <c:v>2.1074408568494962</c:v>
                </c:pt>
                <c:pt idx="60">
                  <c:v>2.1004862854662627</c:v>
                </c:pt>
                <c:pt idx="61">
                  <c:v>2.0839852204341529</c:v>
                </c:pt>
                <c:pt idx="62">
                  <c:v>2.1085459872562384</c:v>
                </c:pt>
                <c:pt idx="63">
                  <c:v>2.1579528281150617</c:v>
                </c:pt>
                <c:pt idx="64">
                  <c:v>2.1134073904080557</c:v>
                </c:pt>
                <c:pt idx="65">
                  <c:v>2.1050507906011888</c:v>
                </c:pt>
                <c:pt idx="66">
                  <c:v>2.0638786626399748</c:v>
                </c:pt>
                <c:pt idx="67">
                  <c:v>2.0860560817704097</c:v>
                </c:pt>
                <c:pt idx="68">
                  <c:v>2.097028714032545</c:v>
                </c:pt>
                <c:pt idx="69">
                  <c:v>2.0517204541002743</c:v>
                </c:pt>
                <c:pt idx="70">
                  <c:v>2.0076269380133178</c:v>
                </c:pt>
                <c:pt idx="71">
                  <c:v>2.0375552037859128</c:v>
                </c:pt>
                <c:pt idx="72">
                  <c:v>1.9701034039428751</c:v>
                </c:pt>
                <c:pt idx="73">
                  <c:v>1.9675453676013543</c:v>
                </c:pt>
                <c:pt idx="74">
                  <c:v>1.9811914265793762</c:v>
                </c:pt>
                <c:pt idx="75">
                  <c:v>2.0046361290276522</c:v>
                </c:pt>
                <c:pt idx="76">
                  <c:v>1.9925987888321213</c:v>
                </c:pt>
                <c:pt idx="77">
                  <c:v>2.0050143340355473</c:v>
                </c:pt>
                <c:pt idx="78">
                  <c:v>2.0004647120202215</c:v>
                </c:pt>
                <c:pt idx="79">
                  <c:v>2.0011804615600988</c:v>
                </c:pt>
                <c:pt idx="80">
                  <c:v>2.0177276603889958</c:v>
                </c:pt>
                <c:pt idx="81">
                  <c:v>1.9948221801129222</c:v>
                </c:pt>
                <c:pt idx="82">
                  <c:v>1.9836641645907982</c:v>
                </c:pt>
                <c:pt idx="83">
                  <c:v>1.9735356979754137</c:v>
                </c:pt>
                <c:pt idx="84">
                  <c:v>1.9841013392344067</c:v>
                </c:pt>
                <c:pt idx="85">
                  <c:v>1.9853226590483604</c:v>
                </c:pt>
                <c:pt idx="86">
                  <c:v>1.9782012215266214</c:v>
                </c:pt>
                <c:pt idx="87">
                  <c:v>1.9474412625240372</c:v>
                </c:pt>
                <c:pt idx="88">
                  <c:v>1.909573220408709</c:v>
                </c:pt>
                <c:pt idx="89">
                  <c:v>1.9628973738248012</c:v>
                </c:pt>
                <c:pt idx="90">
                  <c:v>1.977590127614717</c:v>
                </c:pt>
                <c:pt idx="91">
                  <c:v>1.9122150116658794</c:v>
                </c:pt>
                <c:pt idx="92">
                  <c:v>1.8568147099481611</c:v>
                </c:pt>
                <c:pt idx="93">
                  <c:v>1.9020721992119296</c:v>
                </c:pt>
                <c:pt idx="94">
                  <c:v>1.926305224828637</c:v>
                </c:pt>
                <c:pt idx="95">
                  <c:v>1.8426825638735804</c:v>
                </c:pt>
                <c:pt idx="96">
                  <c:v>1.8645709218281257</c:v>
                </c:pt>
                <c:pt idx="97">
                  <c:v>1.880571559563758</c:v>
                </c:pt>
                <c:pt idx="98">
                  <c:v>1.9123994250183036</c:v>
                </c:pt>
                <c:pt idx="99">
                  <c:v>1.9589110421252216</c:v>
                </c:pt>
                <c:pt idx="100">
                  <c:v>1.9191829166395074</c:v>
                </c:pt>
                <c:pt idx="101">
                  <c:v>1.8733973155711843</c:v>
                </c:pt>
                <c:pt idx="102">
                  <c:v>1.9511727631289302</c:v>
                </c:pt>
                <c:pt idx="103">
                  <c:v>1.967315683688601</c:v>
                </c:pt>
                <c:pt idx="104">
                  <c:v>2.0239862458886009</c:v>
                </c:pt>
                <c:pt idx="105">
                  <c:v>2.0981669520820612</c:v>
                </c:pt>
                <c:pt idx="106">
                  <c:v>2.1147701384838733</c:v>
                </c:pt>
                <c:pt idx="107">
                  <c:v>2.0369352930672067</c:v>
                </c:pt>
                <c:pt idx="108">
                  <c:v>2.0362309948531849</c:v>
                </c:pt>
                <c:pt idx="109">
                  <c:v>2.0608284076353081</c:v>
                </c:pt>
                <c:pt idx="110">
                  <c:v>2.1364606350804904</c:v>
                </c:pt>
                <c:pt idx="111">
                  <c:v>2.0907900238053818</c:v>
                </c:pt>
                <c:pt idx="112">
                  <c:v>2.0545685466453816</c:v>
                </c:pt>
                <c:pt idx="113">
                  <c:v>1.9968097545589374</c:v>
                </c:pt>
                <c:pt idx="114">
                  <c:v>1.9847553452620299</c:v>
                </c:pt>
                <c:pt idx="115">
                  <c:v>1.9613046044788978</c:v>
                </c:pt>
                <c:pt idx="116">
                  <c:v>1.9771464486154831</c:v>
                </c:pt>
                <c:pt idx="117">
                  <c:v>1.9326942605176569</c:v>
                </c:pt>
                <c:pt idx="118">
                  <c:v>1.9434331801810716</c:v>
                </c:pt>
                <c:pt idx="119">
                  <c:v>1.8541282354941644</c:v>
                </c:pt>
                <c:pt idx="120">
                  <c:v>1.808368320115441</c:v>
                </c:pt>
                <c:pt idx="121">
                  <c:v>1.8658001826119768</c:v>
                </c:pt>
                <c:pt idx="122">
                  <c:v>1.964658630379045</c:v>
                </c:pt>
                <c:pt idx="123">
                  <c:v>2.0876592388600574</c:v>
                </c:pt>
                <c:pt idx="124">
                  <c:v>2.0755248880742254</c:v>
                </c:pt>
                <c:pt idx="125">
                  <c:v>2.1430942880188626</c:v>
                </c:pt>
                <c:pt idx="126">
                  <c:v>1.9981757124379806</c:v>
                </c:pt>
                <c:pt idx="127">
                  <c:v>1.8866032552599126</c:v>
                </c:pt>
                <c:pt idx="128">
                  <c:v>1.7581310541938397</c:v>
                </c:pt>
                <c:pt idx="129">
                  <c:v>1.8541769865626481</c:v>
                </c:pt>
                <c:pt idx="130">
                  <c:v>1.8923639405863166</c:v>
                </c:pt>
                <c:pt idx="131">
                  <c:v>1.933812831885112</c:v>
                </c:pt>
                <c:pt idx="132">
                  <c:v>1.906758107707897</c:v>
                </c:pt>
                <c:pt idx="133">
                  <c:v>1.9727639401473873</c:v>
                </c:pt>
                <c:pt idx="134">
                  <c:v>1.9642195212815339</c:v>
                </c:pt>
                <c:pt idx="135">
                  <c:v>1.956668594146469</c:v>
                </c:pt>
                <c:pt idx="136">
                  <c:v>1.9385840281041236</c:v>
                </c:pt>
                <c:pt idx="137">
                  <c:v>1.9470681014644837</c:v>
                </c:pt>
                <c:pt idx="138">
                  <c:v>1.9222125959957337</c:v>
                </c:pt>
                <c:pt idx="139">
                  <c:v>1.9274879499457338</c:v>
                </c:pt>
                <c:pt idx="140">
                  <c:v>1.9474879203542597</c:v>
                </c:pt>
                <c:pt idx="141">
                  <c:v>1.9117330903172223</c:v>
                </c:pt>
                <c:pt idx="142">
                  <c:v>1.8716599692796836</c:v>
                </c:pt>
                <c:pt idx="143">
                  <c:v>1.9023576992277456</c:v>
                </c:pt>
                <c:pt idx="144">
                  <c:v>1.8938490789538094</c:v>
                </c:pt>
                <c:pt idx="145">
                  <c:v>1.8841412422059105</c:v>
                </c:pt>
                <c:pt idx="146">
                  <c:v>1.879333098228638</c:v>
                </c:pt>
                <c:pt idx="147">
                  <c:v>1.8727600273000666</c:v>
                </c:pt>
                <c:pt idx="148">
                  <c:v>1.8759507496866756</c:v>
                </c:pt>
                <c:pt idx="149">
                  <c:v>1.8197994716528367</c:v>
                </c:pt>
                <c:pt idx="150">
                  <c:v>1.8603224658219089</c:v>
                </c:pt>
                <c:pt idx="151">
                  <c:v>1.9802362003981591</c:v>
                </c:pt>
                <c:pt idx="152">
                  <c:v>1.9700971094119206</c:v>
                </c:pt>
                <c:pt idx="153">
                  <c:v>1.9201989944948485</c:v>
                </c:pt>
                <c:pt idx="154">
                  <c:v>1.8641129810948485</c:v>
                </c:pt>
                <c:pt idx="155">
                  <c:v>1.8833527028012242</c:v>
                </c:pt>
                <c:pt idx="156">
                  <c:v>1.8555472544140688</c:v>
                </c:pt>
                <c:pt idx="157">
                  <c:v>1.8903135358536041</c:v>
                </c:pt>
                <c:pt idx="158">
                  <c:v>1.8054679402755669</c:v>
                </c:pt>
                <c:pt idx="159">
                  <c:v>1.7640870053205349</c:v>
                </c:pt>
                <c:pt idx="160">
                  <c:v>1.750001493291224</c:v>
                </c:pt>
                <c:pt idx="161">
                  <c:v>1.7170114414077882</c:v>
                </c:pt>
                <c:pt idx="162">
                  <c:v>1.6356032535614271</c:v>
                </c:pt>
                <c:pt idx="163">
                  <c:v>1.5990099721871505</c:v>
                </c:pt>
                <c:pt idx="164">
                  <c:v>1.7183769148384975</c:v>
                </c:pt>
                <c:pt idx="165">
                  <c:v>1.7741567999466019</c:v>
                </c:pt>
                <c:pt idx="166">
                  <c:v>1.7459750389681197</c:v>
                </c:pt>
                <c:pt idx="167">
                  <c:v>1.7462553040896067</c:v>
                </c:pt>
                <c:pt idx="168">
                  <c:v>1.6923952093102519</c:v>
                </c:pt>
                <c:pt idx="169">
                  <c:v>1.7090840952989861</c:v>
                </c:pt>
                <c:pt idx="170">
                  <c:v>1.7178832256540839</c:v>
                </c:pt>
                <c:pt idx="171">
                  <c:v>1.6699386678854287</c:v>
                </c:pt>
                <c:pt idx="172">
                  <c:v>1.5960853949557505</c:v>
                </c:pt>
                <c:pt idx="173">
                  <c:v>1.6530082031440489</c:v>
                </c:pt>
                <c:pt idx="174">
                  <c:v>1.6500411059854725</c:v>
                </c:pt>
                <c:pt idx="175">
                  <c:v>1.6154085230104978</c:v>
                </c:pt>
                <c:pt idx="176">
                  <c:v>1.559557080406754</c:v>
                </c:pt>
                <c:pt idx="177">
                  <c:v>1.4708592839650041</c:v>
                </c:pt>
                <c:pt idx="178">
                  <c:v>1.5158463518966228</c:v>
                </c:pt>
                <c:pt idx="179">
                  <c:v>1.4883941031072814</c:v>
                </c:pt>
                <c:pt idx="180">
                  <c:v>1.5596000269680137</c:v>
                </c:pt>
                <c:pt idx="181">
                  <c:v>1.5340486196892411</c:v>
                </c:pt>
                <c:pt idx="182">
                  <c:v>1.4704017876476407</c:v>
                </c:pt>
                <c:pt idx="183">
                  <c:v>1.5072311992674892</c:v>
                </c:pt>
                <c:pt idx="184">
                  <c:v>1.5707772850631099</c:v>
                </c:pt>
                <c:pt idx="185">
                  <c:v>1.4240572381862984</c:v>
                </c:pt>
                <c:pt idx="186">
                  <c:v>1.4434657061204177</c:v>
                </c:pt>
                <c:pt idx="187">
                  <c:v>1.3254742505495154</c:v>
                </c:pt>
                <c:pt idx="188">
                  <c:v>1.3209057352493025</c:v>
                </c:pt>
                <c:pt idx="189">
                  <c:v>1.198404227752182</c:v>
                </c:pt>
                <c:pt idx="190">
                  <c:v>1.1373538503220424</c:v>
                </c:pt>
                <c:pt idx="191">
                  <c:v>1.0552306559430755</c:v>
                </c:pt>
                <c:pt idx="192">
                  <c:v>1.0755892574736672</c:v>
                </c:pt>
                <c:pt idx="193">
                  <c:v>1.0915301491547424</c:v>
                </c:pt>
                <c:pt idx="194">
                  <c:v>1.0973933859800271</c:v>
                </c:pt>
                <c:pt idx="195">
                  <c:v>1.0929838152517402</c:v>
                </c:pt>
                <c:pt idx="196">
                  <c:v>1.1093307855252608</c:v>
                </c:pt>
                <c:pt idx="197">
                  <c:v>1.135839591511107</c:v>
                </c:pt>
                <c:pt idx="198">
                  <c:v>1.1098597004170105</c:v>
                </c:pt>
                <c:pt idx="199">
                  <c:v>1.1158442048675037</c:v>
                </c:pt>
                <c:pt idx="200">
                  <c:v>1.1357471180354544</c:v>
                </c:pt>
                <c:pt idx="201">
                  <c:v>1.1237597241427051</c:v>
                </c:pt>
                <c:pt idx="202">
                  <c:v>1.130905517161835</c:v>
                </c:pt>
                <c:pt idx="203">
                  <c:v>1.1237307456904064</c:v>
                </c:pt>
                <c:pt idx="204">
                  <c:v>1.1488786652799727</c:v>
                </c:pt>
                <c:pt idx="205">
                  <c:v>1.1356706267312211</c:v>
                </c:pt>
                <c:pt idx="206">
                  <c:v>1.1438558406639856</c:v>
                </c:pt>
                <c:pt idx="207">
                  <c:v>1.1539323592656998</c:v>
                </c:pt>
                <c:pt idx="208">
                  <c:v>1.1481592544994534</c:v>
                </c:pt>
                <c:pt idx="209">
                  <c:v>1.1333770422105101</c:v>
                </c:pt>
                <c:pt idx="210">
                  <c:v>1.108888075989326</c:v>
                </c:pt>
                <c:pt idx="211">
                  <c:v>1.1161822532967118</c:v>
                </c:pt>
                <c:pt idx="212">
                  <c:v>1.1124494253621209</c:v>
                </c:pt>
                <c:pt idx="213">
                  <c:v>1.086784329172813</c:v>
                </c:pt>
                <c:pt idx="214">
                  <c:v>1.0682231118832159</c:v>
                </c:pt>
                <c:pt idx="215">
                  <c:v>1.0396556351861441</c:v>
                </c:pt>
                <c:pt idx="216">
                  <c:v>1.0084616424984163</c:v>
                </c:pt>
                <c:pt idx="217">
                  <c:v>1.037080949833673</c:v>
                </c:pt>
                <c:pt idx="218">
                  <c:v>0.97306713783637977</c:v>
                </c:pt>
                <c:pt idx="219">
                  <c:v>0.94544655071637973</c:v>
                </c:pt>
                <c:pt idx="220">
                  <c:v>0.80175602577034688</c:v>
                </c:pt>
                <c:pt idx="221">
                  <c:v>1.0097139754714826</c:v>
                </c:pt>
                <c:pt idx="222">
                  <c:v>0.9780532692284184</c:v>
                </c:pt>
                <c:pt idx="223">
                  <c:v>0.97761923661706651</c:v>
                </c:pt>
                <c:pt idx="224">
                  <c:v>1.0246749269183439</c:v>
                </c:pt>
                <c:pt idx="225">
                  <c:v>0.96609163214123761</c:v>
                </c:pt>
                <c:pt idx="226">
                  <c:v>0.99622901021160581</c:v>
                </c:pt>
                <c:pt idx="227">
                  <c:v>0.92935878893950419</c:v>
                </c:pt>
                <c:pt idx="228">
                  <c:v>0.81213936427019207</c:v>
                </c:pt>
                <c:pt idx="229">
                  <c:v>0.72383561379511741</c:v>
                </c:pt>
                <c:pt idx="230">
                  <c:v>0.70763055213387938</c:v>
                </c:pt>
                <c:pt idx="231">
                  <c:v>0.72696531752304228</c:v>
                </c:pt>
                <c:pt idx="232">
                  <c:v>0.75197907067143055</c:v>
                </c:pt>
                <c:pt idx="233">
                  <c:v>0.70885649181377586</c:v>
                </c:pt>
                <c:pt idx="234">
                  <c:v>0.68508535287800276</c:v>
                </c:pt>
                <c:pt idx="235">
                  <c:v>0.72088856149922254</c:v>
                </c:pt>
                <c:pt idx="236">
                  <c:v>0.73170774154095197</c:v>
                </c:pt>
                <c:pt idx="237">
                  <c:v>0.77042461730847023</c:v>
                </c:pt>
                <c:pt idx="238">
                  <c:v>0.78301937436869795</c:v>
                </c:pt>
                <c:pt idx="239">
                  <c:v>0.79956036923879437</c:v>
                </c:pt>
                <c:pt idx="240">
                  <c:v>0.602788861137867</c:v>
                </c:pt>
                <c:pt idx="241">
                  <c:v>0.61210556568626129</c:v>
                </c:pt>
                <c:pt idx="242">
                  <c:v>0.57836606219651965</c:v>
                </c:pt>
                <c:pt idx="243">
                  <c:v>0.55670788639354074</c:v>
                </c:pt>
                <c:pt idx="244">
                  <c:v>0.63388008390931283</c:v>
                </c:pt>
                <c:pt idx="245">
                  <c:v>0.7839464581558333</c:v>
                </c:pt>
                <c:pt idx="246">
                  <c:v>0.6536395183529462</c:v>
                </c:pt>
                <c:pt idx="247">
                  <c:v>0.50057826815294626</c:v>
                </c:pt>
                <c:pt idx="248">
                  <c:v>0.35202051125883205</c:v>
                </c:pt>
                <c:pt idx="249">
                  <c:v>0.17879738365358952</c:v>
                </c:pt>
                <c:pt idx="250">
                  <c:v>0.22510528396187141</c:v>
                </c:pt>
                <c:pt idx="251">
                  <c:v>0.36681511496325686</c:v>
                </c:pt>
                <c:pt idx="252">
                  <c:v>0.40403746048319861</c:v>
                </c:pt>
                <c:pt idx="253">
                  <c:v>0.26423274469876257</c:v>
                </c:pt>
                <c:pt idx="254">
                  <c:v>0.32042687800496966</c:v>
                </c:pt>
                <c:pt idx="255">
                  <c:v>0.29192695635027122</c:v>
                </c:pt>
                <c:pt idx="256">
                  <c:v>0.31189650781221984</c:v>
                </c:pt>
                <c:pt idx="257">
                  <c:v>0.3182475268817555</c:v>
                </c:pt>
                <c:pt idx="258">
                  <c:v>0.34747118058680859</c:v>
                </c:pt>
                <c:pt idx="259">
                  <c:v>0.33930735077003299</c:v>
                </c:pt>
                <c:pt idx="260">
                  <c:v>0.33472145252682195</c:v>
                </c:pt>
                <c:pt idx="261">
                  <c:v>0.37466171080157334</c:v>
                </c:pt>
                <c:pt idx="262">
                  <c:v>0.35428821478546368</c:v>
                </c:pt>
                <c:pt idx="263">
                  <c:v>0.39933354206437305</c:v>
                </c:pt>
                <c:pt idx="264">
                  <c:v>0.39863258103963661</c:v>
                </c:pt>
                <c:pt idx="265">
                  <c:v>0.42641233444108945</c:v>
                </c:pt>
                <c:pt idx="266">
                  <c:v>0.4230255224240323</c:v>
                </c:pt>
                <c:pt idx="267">
                  <c:v>0.4442610190578572</c:v>
                </c:pt>
                <c:pt idx="268">
                  <c:v>0.41942499992182092</c:v>
                </c:pt>
                <c:pt idx="269">
                  <c:v>0.46988650346593686</c:v>
                </c:pt>
                <c:pt idx="270">
                  <c:v>0.47020178240452065</c:v>
                </c:pt>
                <c:pt idx="271">
                  <c:v>0.46026521994167896</c:v>
                </c:pt>
                <c:pt idx="272">
                  <c:v>0.46370595914715168</c:v>
                </c:pt>
                <c:pt idx="273">
                  <c:v>0.43213659938250509</c:v>
                </c:pt>
                <c:pt idx="274">
                  <c:v>0.44069209076429161</c:v>
                </c:pt>
                <c:pt idx="275">
                  <c:v>0.44501451047493695</c:v>
                </c:pt>
                <c:pt idx="276">
                  <c:v>0.41651198550578683</c:v>
                </c:pt>
                <c:pt idx="277">
                  <c:v>0.37739415590324782</c:v>
                </c:pt>
                <c:pt idx="278">
                  <c:v>0.38444744307733481</c:v>
                </c:pt>
                <c:pt idx="279">
                  <c:v>0.41059491116274149</c:v>
                </c:pt>
                <c:pt idx="280">
                  <c:v>0.37198417957741681</c:v>
                </c:pt>
                <c:pt idx="281">
                  <c:v>0.41302182014378019</c:v>
                </c:pt>
                <c:pt idx="282">
                  <c:v>0.45375908477272353</c:v>
                </c:pt>
                <c:pt idx="283">
                  <c:v>0.44084898152120378</c:v>
                </c:pt>
                <c:pt idx="284">
                  <c:v>0.46854879564051005</c:v>
                </c:pt>
                <c:pt idx="285">
                  <c:v>0.4574688055726584</c:v>
                </c:pt>
                <c:pt idx="286">
                  <c:v>0.49449117758104927</c:v>
                </c:pt>
                <c:pt idx="287">
                  <c:v>0.49620733771572029</c:v>
                </c:pt>
                <c:pt idx="288">
                  <c:v>0.48631371340051144</c:v>
                </c:pt>
                <c:pt idx="289">
                  <c:v>0.47466794295583947</c:v>
                </c:pt>
                <c:pt idx="290">
                  <c:v>0.47995689831766519</c:v>
                </c:pt>
                <c:pt idx="291">
                  <c:v>0.49327181123767233</c:v>
                </c:pt>
                <c:pt idx="292">
                  <c:v>0.49132035836909038</c:v>
                </c:pt>
                <c:pt idx="293">
                  <c:v>0.4946956133407186</c:v>
                </c:pt>
                <c:pt idx="294">
                  <c:v>0.50742002173927681</c:v>
                </c:pt>
                <c:pt idx="295">
                  <c:v>0.49695646062148269</c:v>
                </c:pt>
                <c:pt idx="296">
                  <c:v>0.52195007222471357</c:v>
                </c:pt>
                <c:pt idx="297">
                  <c:v>0.53381753914950547</c:v>
                </c:pt>
                <c:pt idx="298">
                  <c:v>0.54576402839623983</c:v>
                </c:pt>
                <c:pt idx="299">
                  <c:v>0.52451039575402714</c:v>
                </c:pt>
                <c:pt idx="300">
                  <c:v>0.56243728412037697</c:v>
                </c:pt>
                <c:pt idx="301">
                  <c:v>0.56369208430298012</c:v>
                </c:pt>
                <c:pt idx="302">
                  <c:v>0.50000722846264867</c:v>
                </c:pt>
                <c:pt idx="303">
                  <c:v>0.52427078313805098</c:v>
                </c:pt>
                <c:pt idx="304">
                  <c:v>0.48186781582424643</c:v>
                </c:pt>
                <c:pt idx="305">
                  <c:v>0.474134071940913</c:v>
                </c:pt>
                <c:pt idx="306">
                  <c:v>0.48315750064743884</c:v>
                </c:pt>
                <c:pt idx="307">
                  <c:v>0.45765351084837097</c:v>
                </c:pt>
                <c:pt idx="308">
                  <c:v>0.43685986529293425</c:v>
                </c:pt>
                <c:pt idx="309">
                  <c:v>0.42660267405001928</c:v>
                </c:pt>
                <c:pt idx="310">
                  <c:v>0.45165769224658703</c:v>
                </c:pt>
                <c:pt idx="311">
                  <c:v>0.44198490442609251</c:v>
                </c:pt>
                <c:pt idx="312">
                  <c:v>0.48833282936534772</c:v>
                </c:pt>
                <c:pt idx="313">
                  <c:v>0.45364636855973522</c:v>
                </c:pt>
                <c:pt idx="314">
                  <c:v>0.49250936923617855</c:v>
                </c:pt>
                <c:pt idx="315">
                  <c:v>0.46689215360443309</c:v>
                </c:pt>
                <c:pt idx="316">
                  <c:v>0.52353357294602376</c:v>
                </c:pt>
                <c:pt idx="317">
                  <c:v>0.58497599653024557</c:v>
                </c:pt>
                <c:pt idx="318">
                  <c:v>0.52264753628461225</c:v>
                </c:pt>
                <c:pt idx="319">
                  <c:v>0.54701455656754061</c:v>
                </c:pt>
                <c:pt idx="320">
                  <c:v>0.61360853694210082</c:v>
                </c:pt>
                <c:pt idx="321">
                  <c:v>0.56660219723578908</c:v>
                </c:pt>
                <c:pt idx="322">
                  <c:v>0.66259475076181129</c:v>
                </c:pt>
                <c:pt idx="323">
                  <c:v>0.51062418102014362</c:v>
                </c:pt>
                <c:pt idx="324">
                  <c:v>0.52791929152517925</c:v>
                </c:pt>
                <c:pt idx="325">
                  <c:v>0.52079613222396515</c:v>
                </c:pt>
                <c:pt idx="326">
                  <c:v>0.50798126343991445</c:v>
                </c:pt>
                <c:pt idx="327">
                  <c:v>0.47718158608983768</c:v>
                </c:pt>
                <c:pt idx="328">
                  <c:v>0.46845594946452757</c:v>
                </c:pt>
                <c:pt idx="329">
                  <c:v>0.47737032076432134</c:v>
                </c:pt>
                <c:pt idx="330">
                  <c:v>0.51679484400983877</c:v>
                </c:pt>
                <c:pt idx="331">
                  <c:v>0.48076200093376725</c:v>
                </c:pt>
                <c:pt idx="332">
                  <c:v>0.46310796860171682</c:v>
                </c:pt>
                <c:pt idx="333">
                  <c:v>0.43574628854420389</c:v>
                </c:pt>
                <c:pt idx="334">
                  <c:v>0.43459842716021591</c:v>
                </c:pt>
                <c:pt idx="335">
                  <c:v>0.43060476383817509</c:v>
                </c:pt>
                <c:pt idx="336">
                  <c:v>0.45680502702125958</c:v>
                </c:pt>
                <c:pt idx="337">
                  <c:v>0.49183172044427204</c:v>
                </c:pt>
                <c:pt idx="338">
                  <c:v>0.50340378906646233</c:v>
                </c:pt>
                <c:pt idx="339">
                  <c:v>0.53262124782925313</c:v>
                </c:pt>
                <c:pt idx="340">
                  <c:v>0.51091338387136753</c:v>
                </c:pt>
                <c:pt idx="341">
                  <c:v>0.49506239218866693</c:v>
                </c:pt>
                <c:pt idx="342">
                  <c:v>0.52159666825923845</c:v>
                </c:pt>
                <c:pt idx="343">
                  <c:v>0.5425989281132636</c:v>
                </c:pt>
                <c:pt idx="344">
                  <c:v>0.51114643381357949</c:v>
                </c:pt>
                <c:pt idx="345">
                  <c:v>0.47521273532035513</c:v>
                </c:pt>
                <c:pt idx="346">
                  <c:v>0.50178962109774639</c:v>
                </c:pt>
                <c:pt idx="347">
                  <c:v>0.48116337536623077</c:v>
                </c:pt>
                <c:pt idx="348">
                  <c:v>0.5444431230465725</c:v>
                </c:pt>
                <c:pt idx="349">
                  <c:v>0.54158416277886046</c:v>
                </c:pt>
                <c:pt idx="350">
                  <c:v>0.51718112450126974</c:v>
                </c:pt>
                <c:pt idx="351">
                  <c:v>0.45054644519275494</c:v>
                </c:pt>
                <c:pt idx="352">
                  <c:v>0.43596633649643329</c:v>
                </c:pt>
                <c:pt idx="353">
                  <c:v>0.36524529436048425</c:v>
                </c:pt>
                <c:pt idx="354">
                  <c:v>0.37649873828099484</c:v>
                </c:pt>
                <c:pt idx="355">
                  <c:v>0.35630943956707223</c:v>
                </c:pt>
                <c:pt idx="356">
                  <c:v>0.3926319298641433</c:v>
                </c:pt>
                <c:pt idx="357">
                  <c:v>0.33904179043011035</c:v>
                </c:pt>
                <c:pt idx="358">
                  <c:v>0.25394467897696843</c:v>
                </c:pt>
                <c:pt idx="359">
                  <c:v>0.20236239287989544</c:v>
                </c:pt>
                <c:pt idx="360">
                  <c:v>0.21189350975227986</c:v>
                </c:pt>
                <c:pt idx="361">
                  <c:v>0.16919000878102392</c:v>
                </c:pt>
                <c:pt idx="362">
                  <c:v>0.17247563386275302</c:v>
                </c:pt>
                <c:pt idx="363">
                  <c:v>0.15418408715238793</c:v>
                </c:pt>
                <c:pt idx="364">
                  <c:v>0.1653596937180408</c:v>
                </c:pt>
                <c:pt idx="365">
                  <c:v>0.14426549920656062</c:v>
                </c:pt>
                <c:pt idx="366">
                  <c:v>0.1593257093596219</c:v>
                </c:pt>
                <c:pt idx="367">
                  <c:v>0.14589513259849113</c:v>
                </c:pt>
                <c:pt idx="368">
                  <c:v>0.17554153915589793</c:v>
                </c:pt>
                <c:pt idx="369">
                  <c:v>0.10787676753756427</c:v>
                </c:pt>
                <c:pt idx="370">
                  <c:v>9.4613996310723439E-2</c:v>
                </c:pt>
                <c:pt idx="371">
                  <c:v>5.8547765365335125E-2</c:v>
                </c:pt>
                <c:pt idx="372">
                  <c:v>0.1026350233109697</c:v>
                </c:pt>
                <c:pt idx="373">
                  <c:v>0.13215151455439414</c:v>
                </c:pt>
                <c:pt idx="374">
                  <c:v>0.13373957554823057</c:v>
                </c:pt>
                <c:pt idx="375">
                  <c:v>0.11139511285349371</c:v>
                </c:pt>
                <c:pt idx="376">
                  <c:v>6.8118994048677148E-2</c:v>
                </c:pt>
                <c:pt idx="377">
                  <c:v>0.12187615964173537</c:v>
                </c:pt>
                <c:pt idx="378">
                  <c:v>4.6310711509998957E-2</c:v>
                </c:pt>
                <c:pt idx="379">
                  <c:v>3.8171182515662448E-2</c:v>
                </c:pt>
                <c:pt idx="380">
                  <c:v>1.3269801331831426E-2</c:v>
                </c:pt>
                <c:pt idx="381">
                  <c:v>3.5975772308894691E-2</c:v>
                </c:pt>
                <c:pt idx="382">
                  <c:v>6.2293650810374628E-2</c:v>
                </c:pt>
                <c:pt idx="383">
                  <c:v>6.4335545226203467E-2</c:v>
                </c:pt>
                <c:pt idx="384">
                  <c:v>3.6549493430158023E-2</c:v>
                </c:pt>
                <c:pt idx="385">
                  <c:v>1.7719369906088963E-2</c:v>
                </c:pt>
                <c:pt idx="386">
                  <c:v>3.9747773604764496E-2</c:v>
                </c:pt>
                <c:pt idx="387">
                  <c:v>-5.417118892421662E-3</c:v>
                </c:pt>
                <c:pt idx="388">
                  <c:v>-3.4206848563091294E-2</c:v>
                </c:pt>
                <c:pt idx="389">
                  <c:v>-6.9272458457828145E-2</c:v>
                </c:pt>
                <c:pt idx="390">
                  <c:v>-9.4908230457199205E-2</c:v>
                </c:pt>
                <c:pt idx="391">
                  <c:v>-9.2405398299951091E-2</c:v>
                </c:pt>
                <c:pt idx="392">
                  <c:v>-9.0087069801034481E-2</c:v>
                </c:pt>
                <c:pt idx="393">
                  <c:v>-0.10226252291029174</c:v>
                </c:pt>
                <c:pt idx="394">
                  <c:v>-0.10801071258586675</c:v>
                </c:pt>
                <c:pt idx="395">
                  <c:v>-0.10419735770125138</c:v>
                </c:pt>
                <c:pt idx="396">
                  <c:v>-0.10736874404304453</c:v>
                </c:pt>
                <c:pt idx="397">
                  <c:v>-9.4679382981112323E-2</c:v>
                </c:pt>
                <c:pt idx="398">
                  <c:v>-9.168762334945002E-2</c:v>
                </c:pt>
                <c:pt idx="399">
                  <c:v>-8.9597349554971478E-2</c:v>
                </c:pt>
                <c:pt idx="400">
                  <c:v>-0.1051510171419586</c:v>
                </c:pt>
                <c:pt idx="401">
                  <c:v>-9.8819412306623944E-2</c:v>
                </c:pt>
                <c:pt idx="402">
                  <c:v>-0.10527648389217252</c:v>
                </c:pt>
                <c:pt idx="403">
                  <c:v>-9.4888669493526118E-2</c:v>
                </c:pt>
                <c:pt idx="404">
                  <c:v>-7.9890484635451064E-2</c:v>
                </c:pt>
                <c:pt idx="405">
                  <c:v>-6.74900763927892E-2</c:v>
                </c:pt>
                <c:pt idx="406">
                  <c:v>-7.5066047123185681E-2</c:v>
                </c:pt>
                <c:pt idx="407">
                  <c:v>-6.4742061609108906E-2</c:v>
                </c:pt>
                <c:pt idx="408">
                  <c:v>-7.628913823242732E-2</c:v>
                </c:pt>
                <c:pt idx="409">
                  <c:v>-7.0461296542361065E-2</c:v>
                </c:pt>
                <c:pt idx="410">
                  <c:v>-8.0207912394060332E-2</c:v>
                </c:pt>
                <c:pt idx="411">
                  <c:v>-7.9739682392180641E-2</c:v>
                </c:pt>
                <c:pt idx="412">
                  <c:v>-8.3123993204101132E-2</c:v>
                </c:pt>
                <c:pt idx="413">
                  <c:v>-8.5641698154744872E-2</c:v>
                </c:pt>
                <c:pt idx="414">
                  <c:v>-8.3595086355697262E-2</c:v>
                </c:pt>
                <c:pt idx="415">
                  <c:v>-9.0000097248932362E-2</c:v>
                </c:pt>
                <c:pt idx="416">
                  <c:v>-7.595713935992765E-2</c:v>
                </c:pt>
                <c:pt idx="417">
                  <c:v>-8.5393941860481673E-2</c:v>
                </c:pt>
                <c:pt idx="418">
                  <c:v>-8.4953662411662745E-2</c:v>
                </c:pt>
                <c:pt idx="419">
                  <c:v>-9.7290230985622964E-2</c:v>
                </c:pt>
                <c:pt idx="420">
                  <c:v>-8.0641128344975194E-2</c:v>
                </c:pt>
                <c:pt idx="421">
                  <c:v>-7.8472585599321673E-2</c:v>
                </c:pt>
                <c:pt idx="422">
                  <c:v>-8.9189392876296819E-2</c:v>
                </c:pt>
                <c:pt idx="423">
                  <c:v>-7.6528553252958098E-2</c:v>
                </c:pt>
                <c:pt idx="424">
                  <c:v>-8.0355423065395185E-2</c:v>
                </c:pt>
                <c:pt idx="425">
                  <c:v>-8.3121201779919399E-2</c:v>
                </c:pt>
                <c:pt idx="426">
                  <c:v>-8.7723645658030994E-2</c:v>
                </c:pt>
                <c:pt idx="427">
                  <c:v>-8.7521933021026316E-2</c:v>
                </c:pt>
                <c:pt idx="428">
                  <c:v>-6.70066011926259E-2</c:v>
                </c:pt>
                <c:pt idx="429">
                  <c:v>-4.3164787618468994E-2</c:v>
                </c:pt>
                <c:pt idx="430">
                  <c:v>-3.2952958903346728E-2</c:v>
                </c:pt>
                <c:pt idx="431">
                  <c:v>-4.8059227164530663E-2</c:v>
                </c:pt>
                <c:pt idx="432">
                  <c:v>-4.0899622755776355E-2</c:v>
                </c:pt>
                <c:pt idx="433">
                  <c:v>-5.4648812913050085E-2</c:v>
                </c:pt>
                <c:pt idx="434">
                  <c:v>-6.0268236194993788E-2</c:v>
                </c:pt>
                <c:pt idx="435">
                  <c:v>-5.7272168951593726E-2</c:v>
                </c:pt>
                <c:pt idx="436">
                  <c:v>-3.6564646531695243E-2</c:v>
                </c:pt>
                <c:pt idx="437">
                  <c:v>-5.3295386746623014E-2</c:v>
                </c:pt>
                <c:pt idx="438">
                  <c:v>-6.230958603480731E-2</c:v>
                </c:pt>
                <c:pt idx="439">
                  <c:v>-5.6721068108076395E-2</c:v>
                </c:pt>
                <c:pt idx="440">
                  <c:v>-5.1024028567792E-2</c:v>
                </c:pt>
                <c:pt idx="441">
                  <c:v>-6.1111286929418029E-2</c:v>
                </c:pt>
                <c:pt idx="442">
                  <c:v>-5.1454877441287419E-2</c:v>
                </c:pt>
                <c:pt idx="443">
                  <c:v>-2.3246729463750525E-2</c:v>
                </c:pt>
                <c:pt idx="444">
                  <c:v>-3.3916494883306107E-2</c:v>
                </c:pt>
                <c:pt idx="445">
                  <c:v>-5.7059437878958265E-2</c:v>
                </c:pt>
                <c:pt idx="446">
                  <c:v>-4.8638407926976442E-2</c:v>
                </c:pt>
                <c:pt idx="447">
                  <c:v>-1.5683310477080385E-2</c:v>
                </c:pt>
                <c:pt idx="448">
                  <c:v>-7.9259244638546777E-2</c:v>
                </c:pt>
                <c:pt idx="449">
                  <c:v>-0.10797996022673102</c:v>
                </c:pt>
                <c:pt idx="450">
                  <c:v>-0.10079085619353771</c:v>
                </c:pt>
                <c:pt idx="451">
                  <c:v>7.304315635646862E-3</c:v>
                </c:pt>
                <c:pt idx="452">
                  <c:v>7.8890609353526495E-4</c:v>
                </c:pt>
                <c:pt idx="453">
                  <c:v>-6.4167208491314031E-3</c:v>
                </c:pt>
                <c:pt idx="454">
                  <c:v>8.6237470427891604E-3</c:v>
                </c:pt>
                <c:pt idx="455">
                  <c:v>-1.3324446135406999E-3</c:v>
                </c:pt>
                <c:pt idx="456">
                  <c:v>5.0401221783142776E-3</c:v>
                </c:pt>
                <c:pt idx="457">
                  <c:v>1.2045573085077565E-2</c:v>
                </c:pt>
                <c:pt idx="458">
                  <c:v>1.6623678409401869E-2</c:v>
                </c:pt>
                <c:pt idx="459">
                  <c:v>2.2166631063248007E-2</c:v>
                </c:pt>
                <c:pt idx="460">
                  <c:v>2.6136580675649057E-2</c:v>
                </c:pt>
                <c:pt idx="461">
                  <c:v>2.2783390597992385E-2</c:v>
                </c:pt>
                <c:pt idx="462">
                  <c:v>3.0523708670064476E-2</c:v>
                </c:pt>
                <c:pt idx="463">
                  <c:v>2.5766073788960005E-2</c:v>
                </c:pt>
                <c:pt idx="464">
                  <c:v>2.7924524897605506E-2</c:v>
                </c:pt>
                <c:pt idx="465">
                  <c:v>3.9219292933543773E-2</c:v>
                </c:pt>
                <c:pt idx="466">
                  <c:v>4.8060539980872001E-2</c:v>
                </c:pt>
                <c:pt idx="467">
                  <c:v>5.1083872445425317E-2</c:v>
                </c:pt>
                <c:pt idx="468">
                  <c:v>5.4695321963425338E-2</c:v>
                </c:pt>
                <c:pt idx="469">
                  <c:v>7.2226131852131226E-2</c:v>
                </c:pt>
                <c:pt idx="470">
                  <c:v>8.9908694080746171E-2</c:v>
                </c:pt>
                <c:pt idx="471">
                  <c:v>8.8076291159562323E-2</c:v>
                </c:pt>
                <c:pt idx="472">
                  <c:v>0.10028105170105539</c:v>
                </c:pt>
                <c:pt idx="473">
                  <c:v>0.12048665259641959</c:v>
                </c:pt>
                <c:pt idx="474">
                  <c:v>0.10661764503594122</c:v>
                </c:pt>
                <c:pt idx="475">
                  <c:v>0.10838026809177885</c:v>
                </c:pt>
                <c:pt idx="476">
                  <c:v>9.5015121683260456E-2</c:v>
                </c:pt>
                <c:pt idx="477">
                  <c:v>8.5270646928925178E-2</c:v>
                </c:pt>
                <c:pt idx="478">
                  <c:v>7.1234459078769644E-2</c:v>
                </c:pt>
                <c:pt idx="479">
                  <c:v>8.5795049583658536E-2</c:v>
                </c:pt>
                <c:pt idx="480">
                  <c:v>7.8912516590935816E-2</c:v>
                </c:pt>
                <c:pt idx="481">
                  <c:v>7.637543123623676E-2</c:v>
                </c:pt>
                <c:pt idx="482">
                  <c:v>8.2356038891792313E-2</c:v>
                </c:pt>
                <c:pt idx="483">
                  <c:v>8.4773930002164266E-2</c:v>
                </c:pt>
                <c:pt idx="484">
                  <c:v>9.4965968651134505E-2</c:v>
                </c:pt>
                <c:pt idx="485">
                  <c:v>8.7926863697367588E-2</c:v>
                </c:pt>
                <c:pt idx="486">
                  <c:v>7.4759255664266486E-2</c:v>
                </c:pt>
                <c:pt idx="487">
                  <c:v>8.504830589386296E-2</c:v>
                </c:pt>
                <c:pt idx="488">
                  <c:v>8.9720443489809468E-2</c:v>
                </c:pt>
                <c:pt idx="489">
                  <c:v>8.4012358066138812E-2</c:v>
                </c:pt>
                <c:pt idx="490">
                  <c:v>7.812179385381178E-2</c:v>
                </c:pt>
                <c:pt idx="491">
                  <c:v>6.6335501073944161E-2</c:v>
                </c:pt>
                <c:pt idx="492">
                  <c:v>8.5965250901230514E-2</c:v>
                </c:pt>
                <c:pt idx="493">
                  <c:v>8.5819697017106192E-2</c:v>
                </c:pt>
                <c:pt idx="494">
                  <c:v>0.10496306736280996</c:v>
                </c:pt>
                <c:pt idx="495">
                  <c:v>0.10727654873325065</c:v>
                </c:pt>
                <c:pt idx="496">
                  <c:v>0.12549365895508624</c:v>
                </c:pt>
                <c:pt idx="497">
                  <c:v>0.11376326583950443</c:v>
                </c:pt>
                <c:pt idx="498">
                  <c:v>0.11760569112532956</c:v>
                </c:pt>
                <c:pt idx="499">
                  <c:v>0.10322185678743057</c:v>
                </c:pt>
                <c:pt idx="500">
                  <c:v>0.11721478328915903</c:v>
                </c:pt>
                <c:pt idx="501">
                  <c:v>0.12020765396122093</c:v>
                </c:pt>
                <c:pt idx="502">
                  <c:v>0.12492278542883785</c:v>
                </c:pt>
                <c:pt idx="503">
                  <c:v>0.10744035048517193</c:v>
                </c:pt>
                <c:pt idx="504">
                  <c:v>0.10822045877343552</c:v>
                </c:pt>
                <c:pt idx="505">
                  <c:v>9.0712710441923305E-2</c:v>
                </c:pt>
                <c:pt idx="506">
                  <c:v>8.4116973691165109E-2</c:v>
                </c:pt>
                <c:pt idx="507">
                  <c:v>9.8350764633287305E-2</c:v>
                </c:pt>
                <c:pt idx="508">
                  <c:v>8.5326282414823706E-2</c:v>
                </c:pt>
                <c:pt idx="509">
                  <c:v>7.3754213173840802E-2</c:v>
                </c:pt>
                <c:pt idx="510">
                  <c:v>8.7458964610927489E-2</c:v>
                </c:pt>
                <c:pt idx="511">
                  <c:v>6.816854351461335E-2</c:v>
                </c:pt>
                <c:pt idx="512">
                  <c:v>9.7472620494448811E-2</c:v>
                </c:pt>
                <c:pt idx="513">
                  <c:v>9.5768089199431958E-2</c:v>
                </c:pt>
                <c:pt idx="514">
                  <c:v>0.10938987990650681</c:v>
                </c:pt>
                <c:pt idx="515">
                  <c:v>0.12569407323301612</c:v>
                </c:pt>
                <c:pt idx="516">
                  <c:v>0.12160819474717438</c:v>
                </c:pt>
                <c:pt idx="517">
                  <c:v>0.12438637834717435</c:v>
                </c:pt>
                <c:pt idx="518">
                  <c:v>0.11454953758793071</c:v>
                </c:pt>
                <c:pt idx="519">
                  <c:v>0.12368024086199859</c:v>
                </c:pt>
                <c:pt idx="520">
                  <c:v>0.12525256672641161</c:v>
                </c:pt>
                <c:pt idx="521">
                  <c:v>0.13129001640821503</c:v>
                </c:pt>
                <c:pt idx="522">
                  <c:v>0.13123435425937399</c:v>
                </c:pt>
                <c:pt idx="523">
                  <c:v>0.11618718241471994</c:v>
                </c:pt>
                <c:pt idx="524">
                  <c:v>9.5480626217489428E-2</c:v>
                </c:pt>
                <c:pt idx="525">
                  <c:v>0.13078972091691193</c:v>
                </c:pt>
                <c:pt idx="526">
                  <c:v>0.12758885960619212</c:v>
                </c:pt>
                <c:pt idx="527">
                  <c:v>0.14306148445127059</c:v>
                </c:pt>
                <c:pt idx="528">
                  <c:v>0.15199623327984751</c:v>
                </c:pt>
                <c:pt idx="529">
                  <c:v>0.18335472453773391</c:v>
                </c:pt>
                <c:pt idx="530">
                  <c:v>0.15571470875737323</c:v>
                </c:pt>
                <c:pt idx="531">
                  <c:v>0.14235678923799625</c:v>
                </c:pt>
                <c:pt idx="532">
                  <c:v>0.13582847756787492</c:v>
                </c:pt>
                <c:pt idx="533">
                  <c:v>0.14625908063850432</c:v>
                </c:pt>
                <c:pt idx="534">
                  <c:v>0.10198019603762865</c:v>
                </c:pt>
                <c:pt idx="535">
                  <c:v>0.11362196510493835</c:v>
                </c:pt>
                <c:pt idx="536">
                  <c:v>0.12254599277808288</c:v>
                </c:pt>
                <c:pt idx="537">
                  <c:v>5.4399097532124463E-2</c:v>
                </c:pt>
                <c:pt idx="538">
                  <c:v>7.1578685411228752E-3</c:v>
                </c:pt>
                <c:pt idx="539">
                  <c:v>-1.3398142915323437E-2</c:v>
                </c:pt>
                <c:pt idx="540">
                  <c:v>-2.8147367898656846E-2</c:v>
                </c:pt>
                <c:pt idx="541">
                  <c:v>-6.7515144620654471E-2</c:v>
                </c:pt>
                <c:pt idx="542">
                  <c:v>-9.5187542695444757E-2</c:v>
                </c:pt>
                <c:pt idx="543">
                  <c:v>-9.7360372854196311E-2</c:v>
                </c:pt>
                <c:pt idx="544">
                  <c:v>-0.11702757933620284</c:v>
                </c:pt>
                <c:pt idx="545">
                  <c:v>-9.1220701584320371E-2</c:v>
                </c:pt>
                <c:pt idx="546">
                  <c:v>-0.10022948932370311</c:v>
                </c:pt>
                <c:pt idx="547">
                  <c:v>-0.10241055303802531</c:v>
                </c:pt>
                <c:pt idx="548">
                  <c:v>-7.5793981980759165E-2</c:v>
                </c:pt>
                <c:pt idx="549">
                  <c:v>-0.13464903006550732</c:v>
                </c:pt>
                <c:pt idx="550">
                  <c:v>-0.1131070312779017</c:v>
                </c:pt>
                <c:pt idx="551">
                  <c:v>-0.11995083004110171</c:v>
                </c:pt>
                <c:pt idx="552">
                  <c:v>-0.10070181075603613</c:v>
                </c:pt>
                <c:pt idx="553">
                  <c:v>-8.2273840153983396E-2</c:v>
                </c:pt>
                <c:pt idx="554">
                  <c:v>-4.9828118546247517E-2</c:v>
                </c:pt>
                <c:pt idx="555">
                  <c:v>-1.4989414817292098E-2</c:v>
                </c:pt>
                <c:pt idx="556">
                  <c:v>-3.7793013131770886E-2</c:v>
                </c:pt>
                <c:pt idx="557">
                  <c:v>5.3228186419921421E-2</c:v>
                </c:pt>
                <c:pt idx="558">
                  <c:v>2.3017391664534665E-2</c:v>
                </c:pt>
                <c:pt idx="559">
                  <c:v>-1.1714454239395166E-3</c:v>
                </c:pt>
                <c:pt idx="560">
                  <c:v>-2.297963096140225E-2</c:v>
                </c:pt>
                <c:pt idx="561">
                  <c:v>-2.613516216373897E-2</c:v>
                </c:pt>
                <c:pt idx="562">
                  <c:v>-5.4193332660426065E-2</c:v>
                </c:pt>
                <c:pt idx="563">
                  <c:v>-7.5687599312263265E-2</c:v>
                </c:pt>
                <c:pt idx="564">
                  <c:v>-5.91624029956863E-2</c:v>
                </c:pt>
                <c:pt idx="565">
                  <c:v>-7.5863750027017077E-2</c:v>
                </c:pt>
                <c:pt idx="566">
                  <c:v>-8.1693922223340917E-2</c:v>
                </c:pt>
                <c:pt idx="567">
                  <c:v>-0.10656037375945072</c:v>
                </c:pt>
                <c:pt idx="568">
                  <c:v>-9.9451092314780651E-2</c:v>
                </c:pt>
                <c:pt idx="569">
                  <c:v>-9.4259846919904272E-2</c:v>
                </c:pt>
                <c:pt idx="570">
                  <c:v>-0.10684339912814481</c:v>
                </c:pt>
                <c:pt idx="571">
                  <c:v>-0.11583981683979676</c:v>
                </c:pt>
                <c:pt idx="572">
                  <c:v>-0.11329261435890049</c:v>
                </c:pt>
                <c:pt idx="573">
                  <c:v>-0.11310241448732423</c:v>
                </c:pt>
                <c:pt idx="574">
                  <c:v>-0.13319893874842262</c:v>
                </c:pt>
                <c:pt idx="575">
                  <c:v>-0.12355689837751353</c:v>
                </c:pt>
                <c:pt idx="576">
                  <c:v>-0.12713798801714984</c:v>
                </c:pt>
                <c:pt idx="577">
                  <c:v>-0.11552765094646235</c:v>
                </c:pt>
                <c:pt idx="578">
                  <c:v>-0.12355747918784164</c:v>
                </c:pt>
                <c:pt idx="579">
                  <c:v>-0.12941354831197957</c:v>
                </c:pt>
                <c:pt idx="580">
                  <c:v>-0.13228584549786079</c:v>
                </c:pt>
                <c:pt idx="581">
                  <c:v>-0.11892295100025645</c:v>
                </c:pt>
                <c:pt idx="582">
                  <c:v>-0.13881483390538188</c:v>
                </c:pt>
                <c:pt idx="583">
                  <c:v>-0.15905310816053336</c:v>
                </c:pt>
                <c:pt idx="584">
                  <c:v>-0.14746443014483654</c:v>
                </c:pt>
                <c:pt idx="585">
                  <c:v>-0.14090894761523129</c:v>
                </c:pt>
                <c:pt idx="586">
                  <c:v>-0.14067420842247114</c:v>
                </c:pt>
                <c:pt idx="587">
                  <c:v>-0.13263582168968097</c:v>
                </c:pt>
                <c:pt idx="588">
                  <c:v>-0.14159089095549293</c:v>
                </c:pt>
                <c:pt idx="589">
                  <c:v>-0.15476732398117166</c:v>
                </c:pt>
                <c:pt idx="590">
                  <c:v>-0.16120304409775199</c:v>
                </c:pt>
                <c:pt idx="591">
                  <c:v>-0.15652010247409981</c:v>
                </c:pt>
                <c:pt idx="592">
                  <c:v>-0.17431425699560515</c:v>
                </c:pt>
                <c:pt idx="593">
                  <c:v>-0.16710191278670589</c:v>
                </c:pt>
                <c:pt idx="594">
                  <c:v>-0.17649542498808757</c:v>
                </c:pt>
                <c:pt idx="595">
                  <c:v>-0.18861568349197555</c:v>
                </c:pt>
                <c:pt idx="596">
                  <c:v>-0.16441263992500502</c:v>
                </c:pt>
                <c:pt idx="597">
                  <c:v>-0.14194841898526037</c:v>
                </c:pt>
                <c:pt idx="598">
                  <c:v>-0.16518842862891281</c:v>
                </c:pt>
                <c:pt idx="599">
                  <c:v>-0.18093043176160142</c:v>
                </c:pt>
                <c:pt idx="600">
                  <c:v>-0.19183035269996146</c:v>
                </c:pt>
                <c:pt idx="601">
                  <c:v>-0.18428355749996142</c:v>
                </c:pt>
                <c:pt idx="602">
                  <c:v>-0.15903353129996145</c:v>
                </c:pt>
                <c:pt idx="603">
                  <c:v>-0.17002407836296055</c:v>
                </c:pt>
                <c:pt idx="604">
                  <c:v>-0.17823770152971954</c:v>
                </c:pt>
                <c:pt idx="605">
                  <c:v>-0.1996547762787946</c:v>
                </c:pt>
                <c:pt idx="606">
                  <c:v>-0.20543605174992596</c:v>
                </c:pt>
                <c:pt idx="607">
                  <c:v>-0.18949824596602161</c:v>
                </c:pt>
                <c:pt idx="608">
                  <c:v>-0.1855556368400329</c:v>
                </c:pt>
                <c:pt idx="609">
                  <c:v>-0.16656609424697133</c:v>
                </c:pt>
                <c:pt idx="610">
                  <c:v>-0.17613660548158025</c:v>
                </c:pt>
                <c:pt idx="611">
                  <c:v>-0.16781526845091826</c:v>
                </c:pt>
                <c:pt idx="612">
                  <c:v>-0.13162594224497229</c:v>
                </c:pt>
                <c:pt idx="613">
                  <c:v>-0.14246608178389528</c:v>
                </c:pt>
                <c:pt idx="614">
                  <c:v>-0.11198918048389528</c:v>
                </c:pt>
                <c:pt idx="615">
                  <c:v>-0.10707552977764526</c:v>
                </c:pt>
                <c:pt idx="616">
                  <c:v>-0.12501918590950362</c:v>
                </c:pt>
                <c:pt idx="617">
                  <c:v>-0.15867792927222402</c:v>
                </c:pt>
                <c:pt idx="618">
                  <c:v>-0.13810673654665501</c:v>
                </c:pt>
                <c:pt idx="619">
                  <c:v>-0.15625240282116484</c:v>
                </c:pt>
                <c:pt idx="620">
                  <c:v>-0.17564817076581438</c:v>
                </c:pt>
                <c:pt idx="621">
                  <c:v>-0.15369297852660987</c:v>
                </c:pt>
                <c:pt idx="622">
                  <c:v>-0.17948057391222133</c:v>
                </c:pt>
                <c:pt idx="623">
                  <c:v>-0.15723590342235647</c:v>
                </c:pt>
                <c:pt idx="624">
                  <c:v>-0.1695860031812548</c:v>
                </c:pt>
                <c:pt idx="625">
                  <c:v>-0.17756799459633241</c:v>
                </c:pt>
                <c:pt idx="626">
                  <c:v>-0.17734729128451282</c:v>
                </c:pt>
                <c:pt idx="627">
                  <c:v>-0.17212704729538236</c:v>
                </c:pt>
                <c:pt idx="628">
                  <c:v>-0.1590951931648186</c:v>
                </c:pt>
                <c:pt idx="629">
                  <c:v>-0.13651947797332925</c:v>
                </c:pt>
                <c:pt idx="630">
                  <c:v>-0.142551557653817</c:v>
                </c:pt>
                <c:pt idx="631">
                  <c:v>-0.13827251084066453</c:v>
                </c:pt>
                <c:pt idx="632">
                  <c:v>-0.11271298160733129</c:v>
                </c:pt>
                <c:pt idx="633">
                  <c:v>-0.10364798557322272</c:v>
                </c:pt>
                <c:pt idx="634">
                  <c:v>-0.10761071608884772</c:v>
                </c:pt>
                <c:pt idx="635">
                  <c:v>-9.2430079664523435E-2</c:v>
                </c:pt>
                <c:pt idx="636">
                  <c:v>-0.10387022295589041</c:v>
                </c:pt>
                <c:pt idx="637">
                  <c:v>-9.8353739522464192E-2</c:v>
                </c:pt>
                <c:pt idx="638">
                  <c:v>-6.3901790665474911E-2</c:v>
                </c:pt>
                <c:pt idx="639">
                  <c:v>-7.8290768345474743E-2</c:v>
                </c:pt>
                <c:pt idx="640">
                  <c:v>-7.9317375822632E-2</c:v>
                </c:pt>
                <c:pt idx="641">
                  <c:v>-7.6664539188205802E-2</c:v>
                </c:pt>
                <c:pt idx="642">
                  <c:v>-9.1156917714080979E-2</c:v>
                </c:pt>
                <c:pt idx="643">
                  <c:v>-0.10837825589683961</c:v>
                </c:pt>
                <c:pt idx="644">
                  <c:v>-0.13498288049683962</c:v>
                </c:pt>
                <c:pt idx="645">
                  <c:v>-0.12548794454478487</c:v>
                </c:pt>
                <c:pt idx="646">
                  <c:v>-0.12359864795809555</c:v>
                </c:pt>
                <c:pt idx="647">
                  <c:v>-0.14844452549707857</c:v>
                </c:pt>
                <c:pt idx="648">
                  <c:v>-0.10725403592780115</c:v>
                </c:pt>
                <c:pt idx="649">
                  <c:v>-8.5162661997958466E-2</c:v>
                </c:pt>
                <c:pt idx="650">
                  <c:v>-0.14056691065945379</c:v>
                </c:pt>
                <c:pt idx="651">
                  <c:v>-0.12690511708802527</c:v>
                </c:pt>
                <c:pt idx="652">
                  <c:v>-0.14300586312648678</c:v>
                </c:pt>
                <c:pt idx="653">
                  <c:v>-0.12254907858809141</c:v>
                </c:pt>
                <c:pt idx="654">
                  <c:v>-0.10889217696065154</c:v>
                </c:pt>
                <c:pt idx="655">
                  <c:v>-0.12942746670477759</c:v>
                </c:pt>
                <c:pt idx="656">
                  <c:v>-0.1313695173842829</c:v>
                </c:pt>
                <c:pt idx="657">
                  <c:v>-0.12686987922439918</c:v>
                </c:pt>
                <c:pt idx="658">
                  <c:v>-9.8315126711658457E-2</c:v>
                </c:pt>
                <c:pt idx="659">
                  <c:v>-7.2795963562581875E-2</c:v>
                </c:pt>
                <c:pt idx="660">
                  <c:v>-9.7689912635309337E-2</c:v>
                </c:pt>
                <c:pt idx="661">
                  <c:v>-3.9787687668642865E-2</c:v>
                </c:pt>
                <c:pt idx="662">
                  <c:v>-0.19455596528869606</c:v>
                </c:pt>
                <c:pt idx="663">
                  <c:v>-0.19065506557192594</c:v>
                </c:pt>
                <c:pt idx="664">
                  <c:v>-0.24702010243704223</c:v>
                </c:pt>
                <c:pt idx="665">
                  <c:v>-0.24439400902131192</c:v>
                </c:pt>
                <c:pt idx="666">
                  <c:v>-0.24361397516353417</c:v>
                </c:pt>
                <c:pt idx="667">
                  <c:v>-0.24695256789470757</c:v>
                </c:pt>
                <c:pt idx="668">
                  <c:v>-0.24560320331878918</c:v>
                </c:pt>
                <c:pt idx="669">
                  <c:v>-0.24618563002117014</c:v>
                </c:pt>
                <c:pt idx="670">
                  <c:v>-0.24462594858248402</c:v>
                </c:pt>
                <c:pt idx="671">
                  <c:v>-0.24536260556524264</c:v>
                </c:pt>
                <c:pt idx="672">
                  <c:v>-0.24182438403210141</c:v>
                </c:pt>
                <c:pt idx="673">
                  <c:v>-0.23995506867576719</c:v>
                </c:pt>
                <c:pt idx="674">
                  <c:v>-0.24655098481500767</c:v>
                </c:pt>
                <c:pt idx="675">
                  <c:v>-0.24586363218414922</c:v>
                </c:pt>
                <c:pt idx="676">
                  <c:v>-0.24981302182622142</c:v>
                </c:pt>
                <c:pt idx="677">
                  <c:v>-0.24792404424828027</c:v>
                </c:pt>
                <c:pt idx="678">
                  <c:v>-0.24873630386366485</c:v>
                </c:pt>
                <c:pt idx="679">
                  <c:v>-0.2479085972223089</c:v>
                </c:pt>
                <c:pt idx="680">
                  <c:v>-0.25361779894142367</c:v>
                </c:pt>
                <c:pt idx="681">
                  <c:v>-0.25859003418282495</c:v>
                </c:pt>
                <c:pt idx="682">
                  <c:v>-0.26059488773512285</c:v>
                </c:pt>
                <c:pt idx="683">
                  <c:v>-0.25750077951353945</c:v>
                </c:pt>
                <c:pt idx="684">
                  <c:v>-0.25236305556784983</c:v>
                </c:pt>
                <c:pt idx="685">
                  <c:v>-0.24559654770391118</c:v>
                </c:pt>
                <c:pt idx="686">
                  <c:v>-0.2554347466520514</c:v>
                </c:pt>
                <c:pt idx="687">
                  <c:v>-0.22057448247222042</c:v>
                </c:pt>
                <c:pt idx="688">
                  <c:v>-0.21412539089417162</c:v>
                </c:pt>
                <c:pt idx="689">
                  <c:v>-0.22396591931217166</c:v>
                </c:pt>
                <c:pt idx="690">
                  <c:v>-0.22759655519687749</c:v>
                </c:pt>
                <c:pt idx="691">
                  <c:v>-0.20625708463522918</c:v>
                </c:pt>
                <c:pt idx="692">
                  <c:v>-0.19808217514025434</c:v>
                </c:pt>
                <c:pt idx="693">
                  <c:v>-0.19462574776025429</c:v>
                </c:pt>
                <c:pt idx="694">
                  <c:v>-0.19142100914292681</c:v>
                </c:pt>
                <c:pt idx="695">
                  <c:v>-0.19802468489271283</c:v>
                </c:pt>
                <c:pt idx="696">
                  <c:v>-0.19637089408977951</c:v>
                </c:pt>
                <c:pt idx="697">
                  <c:v>-0.19734851615263668</c:v>
                </c:pt>
                <c:pt idx="698">
                  <c:v>-0.19842088082259815</c:v>
                </c:pt>
                <c:pt idx="699">
                  <c:v>-0.19650688307188821</c:v>
                </c:pt>
                <c:pt idx="700">
                  <c:v>-0.19373462634713903</c:v>
                </c:pt>
                <c:pt idx="701">
                  <c:v>-0.19224586633579502</c:v>
                </c:pt>
                <c:pt idx="702">
                  <c:v>-0.18830266134716347</c:v>
                </c:pt>
                <c:pt idx="703">
                  <c:v>-0.18631898748576936</c:v>
                </c:pt>
                <c:pt idx="704">
                  <c:v>-0.18110936410785336</c:v>
                </c:pt>
                <c:pt idx="705">
                  <c:v>-0.18590817248548777</c:v>
                </c:pt>
                <c:pt idx="706">
                  <c:v>-0.18724107353738087</c:v>
                </c:pt>
                <c:pt idx="707">
                  <c:v>-0.1827558310522806</c:v>
                </c:pt>
                <c:pt idx="708">
                  <c:v>-0.19458521649267058</c:v>
                </c:pt>
                <c:pt idx="709">
                  <c:v>-0.18377458461294949</c:v>
                </c:pt>
                <c:pt idx="710">
                  <c:v>-0.1760853400657931</c:v>
                </c:pt>
                <c:pt idx="711">
                  <c:v>-0.17508174425275605</c:v>
                </c:pt>
                <c:pt idx="712">
                  <c:v>-0.17749845971440797</c:v>
                </c:pt>
                <c:pt idx="713">
                  <c:v>-0.17302764189787426</c:v>
                </c:pt>
                <c:pt idx="714">
                  <c:v>-0.17532359205100648</c:v>
                </c:pt>
                <c:pt idx="715">
                  <c:v>-0.16828650901942199</c:v>
                </c:pt>
                <c:pt idx="716">
                  <c:v>-0.16786078088577303</c:v>
                </c:pt>
                <c:pt idx="717">
                  <c:v>-0.17231073380482068</c:v>
                </c:pt>
                <c:pt idx="718">
                  <c:v>-0.17043005471193931</c:v>
                </c:pt>
                <c:pt idx="719">
                  <c:v>-0.17087859139387387</c:v>
                </c:pt>
                <c:pt idx="720">
                  <c:v>-0.16511747829014381</c:v>
                </c:pt>
                <c:pt idx="721">
                  <c:v>-0.16041558837728109</c:v>
                </c:pt>
                <c:pt idx="722">
                  <c:v>-0.15913654510528111</c:v>
                </c:pt>
                <c:pt idx="723">
                  <c:v>-0.16393393022413094</c:v>
                </c:pt>
                <c:pt idx="724">
                  <c:v>-0.17044938670808749</c:v>
                </c:pt>
                <c:pt idx="725">
                  <c:v>-0.17159802356433745</c:v>
                </c:pt>
                <c:pt idx="726">
                  <c:v>-0.17163022320676166</c:v>
                </c:pt>
                <c:pt idx="727">
                  <c:v>-0.16862657333413006</c:v>
                </c:pt>
                <c:pt idx="728">
                  <c:v>-0.16049641713481969</c:v>
                </c:pt>
                <c:pt idx="729">
                  <c:v>-0.15886183809481971</c:v>
                </c:pt>
                <c:pt idx="730">
                  <c:v>-0.1549725022312903</c:v>
                </c:pt>
                <c:pt idx="731">
                  <c:v>-0.15380309580893736</c:v>
                </c:pt>
                <c:pt idx="732">
                  <c:v>-0.15374184560789025</c:v>
                </c:pt>
                <c:pt idx="733">
                  <c:v>-0.15276406187789024</c:v>
                </c:pt>
                <c:pt idx="734">
                  <c:v>-0.15524605721810619</c:v>
                </c:pt>
                <c:pt idx="735">
                  <c:v>-0.1545496873915756</c:v>
                </c:pt>
                <c:pt idx="736">
                  <c:v>-0.15326870696829517</c:v>
                </c:pt>
                <c:pt idx="737">
                  <c:v>-0.15374883800294861</c:v>
                </c:pt>
                <c:pt idx="738">
                  <c:v>-0.15545105712114682</c:v>
                </c:pt>
                <c:pt idx="739">
                  <c:v>-0.15616250952616351</c:v>
                </c:pt>
                <c:pt idx="740">
                  <c:v>-0.15530263555453924</c:v>
                </c:pt>
                <c:pt idx="741">
                  <c:v>-0.15343155787887014</c:v>
                </c:pt>
                <c:pt idx="742">
                  <c:v>-0.15162269925382005</c:v>
                </c:pt>
                <c:pt idx="743">
                  <c:v>-0.15575643784079188</c:v>
                </c:pt>
                <c:pt idx="744">
                  <c:v>-0.15290604034475228</c:v>
                </c:pt>
                <c:pt idx="745">
                  <c:v>-0.15107206348893834</c:v>
                </c:pt>
                <c:pt idx="746">
                  <c:v>-0.15055633328326459</c:v>
                </c:pt>
                <c:pt idx="747">
                  <c:v>-0.15098651667326463</c:v>
                </c:pt>
                <c:pt idx="748">
                  <c:v>-0.14743103297254259</c:v>
                </c:pt>
                <c:pt idx="749">
                  <c:v>-0.15200273877254258</c:v>
                </c:pt>
                <c:pt idx="750">
                  <c:v>-0.14443405348615321</c:v>
                </c:pt>
                <c:pt idx="751">
                  <c:v>-0.14533969818191081</c:v>
                </c:pt>
                <c:pt idx="752">
                  <c:v>-0.14231614011116256</c:v>
                </c:pt>
                <c:pt idx="753">
                  <c:v>-0.14829643953644986</c:v>
                </c:pt>
                <c:pt idx="754">
                  <c:v>-0.14513709105760367</c:v>
                </c:pt>
                <c:pt idx="755">
                  <c:v>-0.14519066368617509</c:v>
                </c:pt>
                <c:pt idx="756">
                  <c:v>-0.13748091566035026</c:v>
                </c:pt>
                <c:pt idx="757">
                  <c:v>-0.13143614169771631</c:v>
                </c:pt>
                <c:pt idx="758">
                  <c:v>-0.13547663921909037</c:v>
                </c:pt>
                <c:pt idx="759">
                  <c:v>-0.1308512293370008</c:v>
                </c:pt>
                <c:pt idx="760">
                  <c:v>-0.1253931185671307</c:v>
                </c:pt>
                <c:pt idx="761">
                  <c:v>-0.12374380077700727</c:v>
                </c:pt>
                <c:pt idx="762">
                  <c:v>-0.10953793950437145</c:v>
                </c:pt>
                <c:pt idx="763">
                  <c:v>-0.11840258719419376</c:v>
                </c:pt>
                <c:pt idx="764">
                  <c:v>-0.11447011972626409</c:v>
                </c:pt>
                <c:pt idx="765">
                  <c:v>-0.11603277118996273</c:v>
                </c:pt>
                <c:pt idx="766">
                  <c:v>-0.11942470482015141</c:v>
                </c:pt>
                <c:pt idx="767">
                  <c:v>-0.11600502232145915</c:v>
                </c:pt>
                <c:pt idx="768">
                  <c:v>-0.11118720868178054</c:v>
                </c:pt>
                <c:pt idx="769">
                  <c:v>-0.10301309421175912</c:v>
                </c:pt>
                <c:pt idx="770">
                  <c:v>-0.10863103400529359</c:v>
                </c:pt>
                <c:pt idx="771">
                  <c:v>-0.10507516234384781</c:v>
                </c:pt>
                <c:pt idx="772">
                  <c:v>-0.10523192031191192</c:v>
                </c:pt>
                <c:pt idx="773">
                  <c:v>-0.11120175531232089</c:v>
                </c:pt>
                <c:pt idx="774">
                  <c:v>-0.1018551166968967</c:v>
                </c:pt>
                <c:pt idx="775">
                  <c:v>-0.11173591451829068</c:v>
                </c:pt>
                <c:pt idx="776">
                  <c:v>-0.10596370223192128</c:v>
                </c:pt>
                <c:pt idx="777">
                  <c:v>-0.11876137829277088</c:v>
                </c:pt>
                <c:pt idx="778">
                  <c:v>-0.12192908515717764</c:v>
                </c:pt>
                <c:pt idx="779">
                  <c:v>-0.12240982954618566</c:v>
                </c:pt>
                <c:pt idx="780">
                  <c:v>-0.1158542162973501</c:v>
                </c:pt>
                <c:pt idx="781">
                  <c:v>-0.11325411666620507</c:v>
                </c:pt>
                <c:pt idx="782">
                  <c:v>-0.11117335769654807</c:v>
                </c:pt>
                <c:pt idx="783">
                  <c:v>-0.11166364833436858</c:v>
                </c:pt>
                <c:pt idx="784">
                  <c:v>-0.11308389970513025</c:v>
                </c:pt>
                <c:pt idx="785">
                  <c:v>-0.11025036461934469</c:v>
                </c:pt>
                <c:pt idx="786">
                  <c:v>-0.10224389005200944</c:v>
                </c:pt>
                <c:pt idx="787">
                  <c:v>-0.10497145000448255</c:v>
                </c:pt>
                <c:pt idx="788">
                  <c:v>-0.10200709464814453</c:v>
                </c:pt>
                <c:pt idx="789">
                  <c:v>-0.10602822803941211</c:v>
                </c:pt>
                <c:pt idx="790">
                  <c:v>-0.1065493371042536</c:v>
                </c:pt>
                <c:pt idx="791">
                  <c:v>-0.10454455552868111</c:v>
                </c:pt>
                <c:pt idx="792">
                  <c:v>-0.10379899076777199</c:v>
                </c:pt>
                <c:pt idx="793">
                  <c:v>-0.10656325374818812</c:v>
                </c:pt>
                <c:pt idx="794">
                  <c:v>-0.10181631510347872</c:v>
                </c:pt>
                <c:pt idx="795">
                  <c:v>-0.1005596760899972</c:v>
                </c:pt>
                <c:pt idx="796">
                  <c:v>-0.10715501211138215</c:v>
                </c:pt>
                <c:pt idx="797">
                  <c:v>-0.10986522842227626</c:v>
                </c:pt>
                <c:pt idx="798">
                  <c:v>-9.6769282698043732E-2</c:v>
                </c:pt>
                <c:pt idx="799">
                  <c:v>-0.10887816276563518</c:v>
                </c:pt>
                <c:pt idx="800">
                  <c:v>-5.2186339576671792E-2</c:v>
                </c:pt>
                <c:pt idx="801">
                  <c:v>-7.5496877321844597E-2</c:v>
                </c:pt>
                <c:pt idx="802">
                  <c:v>-7.9314801221709627E-2</c:v>
                </c:pt>
                <c:pt idx="803">
                  <c:v>-7.3378970544097741E-2</c:v>
                </c:pt>
                <c:pt idx="804">
                  <c:v>-7.6248994049882321E-2</c:v>
                </c:pt>
                <c:pt idx="805">
                  <c:v>-7.8495849209982455E-2</c:v>
                </c:pt>
                <c:pt idx="806">
                  <c:v>-8.0101729695520887E-2</c:v>
                </c:pt>
                <c:pt idx="807">
                  <c:v>-7.5218966214358543E-2</c:v>
                </c:pt>
                <c:pt idx="808">
                  <c:v>-6.7669257590749807E-2</c:v>
                </c:pt>
                <c:pt idx="809">
                  <c:v>-6.9034760672062337E-2</c:v>
                </c:pt>
                <c:pt idx="810">
                  <c:v>-6.4230146913209787E-2</c:v>
                </c:pt>
                <c:pt idx="811">
                  <c:v>-8.399945159895375E-2</c:v>
                </c:pt>
                <c:pt idx="812">
                  <c:v>-4.8290194705705752E-2</c:v>
                </c:pt>
                <c:pt idx="813">
                  <c:v>-6.259786983391083E-2</c:v>
                </c:pt>
                <c:pt idx="814">
                  <c:v>-4.0142132858977518E-2</c:v>
                </c:pt>
                <c:pt idx="815">
                  <c:v>-1.0611226358783896E-2</c:v>
                </c:pt>
                <c:pt idx="816">
                  <c:v>2.8126709416926736E-2</c:v>
                </c:pt>
                <c:pt idx="817">
                  <c:v>-1.1004113264946127E-2</c:v>
                </c:pt>
                <c:pt idx="818">
                  <c:v>-3.1122349305647862E-2</c:v>
                </c:pt>
                <c:pt idx="819">
                  <c:v>-3.8328771846914238E-2</c:v>
                </c:pt>
                <c:pt idx="820">
                  <c:v>-3.340493003530931E-2</c:v>
                </c:pt>
                <c:pt idx="821">
                  <c:v>-3.5454626547193398E-2</c:v>
                </c:pt>
                <c:pt idx="822">
                  <c:v>-1.4128158943467565E-2</c:v>
                </c:pt>
                <c:pt idx="823">
                  <c:v>-1.6087392708259617E-2</c:v>
                </c:pt>
                <c:pt idx="824">
                  <c:v>3.2074080308676957E-2</c:v>
                </c:pt>
                <c:pt idx="825">
                  <c:v>0.13236389960635139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C0-4F31-B17C-BA253694E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8789456"/>
        <c:axId val="598790704"/>
      </c:lineChart>
      <c:dateAx>
        <c:axId val="5987894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90704"/>
        <c:crosses val="autoZero"/>
        <c:auto val="1"/>
        <c:lblOffset val="100"/>
        <c:baseTimeUnit val="days"/>
      </c:dateAx>
      <c:valAx>
        <c:axId val="59879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89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A8BC882-D701-4866-85D6-5E83DCD2D5F8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362FB0-23ED-43C5-8CEC-FAE4DE4F692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9.218</v>
      </c>
      <c r="D2" s="4">
        <f>MIN(D3:D1912)</f>
        <v>0.24030000000000001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3.198</v>
      </c>
      <c r="C5">
        <v>3.2890000000000001</v>
      </c>
      <c r="D5">
        <v>3.109</v>
      </c>
      <c r="E5">
        <v>3.1120000000000001</v>
      </c>
      <c r="F5">
        <v>834647.9</v>
      </c>
      <c r="G5">
        <v>3.1120000000000001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-0.96666666666666545</v>
      </c>
      <c r="Q5">
        <f t="shared" ref="Q5" si="1">F5*P5</f>
        <v>-806826.3033333323</v>
      </c>
      <c r="R5">
        <f t="shared" ref="R5" si="2">R6+Q5</f>
        <v>191018045.70525041</v>
      </c>
      <c r="S5">
        <f t="shared" ref="S5" si="3">R5/100000</f>
        <v>1910.1804570525042</v>
      </c>
      <c r="T5">
        <f t="shared" ref="T5" si="4">S5/1000</f>
        <v>1.9101804570525041</v>
      </c>
    </row>
    <row r="6" spans="1:20" x14ac:dyDescent="0.25">
      <c r="A6" s="5">
        <v>44587</v>
      </c>
      <c r="B6">
        <v>3.1819999999999999</v>
      </c>
      <c r="C6">
        <v>3.476</v>
      </c>
      <c r="D6">
        <v>3.1230000000000002</v>
      </c>
      <c r="E6">
        <v>3.198</v>
      </c>
      <c r="F6">
        <v>9817364.5</v>
      </c>
      <c r="G6">
        <v>3.198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-0.57507082152974631</v>
      </c>
      <c r="Q6">
        <f t="shared" ref="Q6" si="6">F6*P6</f>
        <v>-5645679.8682719674</v>
      </c>
      <c r="R6">
        <f t="shared" ref="R6" si="7">R7+Q6</f>
        <v>191824872.00858375</v>
      </c>
      <c r="S6">
        <f t="shared" ref="S6" si="8">R6/100000</f>
        <v>1918.2487200858375</v>
      </c>
      <c r="T6">
        <f t="shared" ref="T6" si="9">S6/1000</f>
        <v>1.9182487200858376</v>
      </c>
    </row>
    <row r="7" spans="1:20" x14ac:dyDescent="0.25">
      <c r="A7" s="5">
        <v>44586</v>
      </c>
      <c r="B7">
        <v>3.2250000000000001</v>
      </c>
      <c r="C7">
        <v>3.355</v>
      </c>
      <c r="D7">
        <v>3.1160000000000001</v>
      </c>
      <c r="E7">
        <v>3.181</v>
      </c>
      <c r="F7">
        <v>9817314.5999999996</v>
      </c>
      <c r="G7">
        <v>3.181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-0.45606694560669475</v>
      </c>
      <c r="Q7">
        <f t="shared" ref="Q7" si="11">F7*P7</f>
        <v>-4477352.6836820105</v>
      </c>
      <c r="R7">
        <f t="shared" ref="R7" si="12">R8+Q7</f>
        <v>197470551.87685573</v>
      </c>
      <c r="S7">
        <f t="shared" ref="S7" si="13">R7/100000</f>
        <v>1974.7055187685573</v>
      </c>
      <c r="T7">
        <f t="shared" ref="T7" si="14">S7/1000</f>
        <v>1.9747055187685574</v>
      </c>
    </row>
    <row r="8" spans="1:20" x14ac:dyDescent="0.25">
      <c r="A8" s="5">
        <v>44585</v>
      </c>
      <c r="B8">
        <v>3.391</v>
      </c>
      <c r="C8">
        <v>3.391</v>
      </c>
      <c r="D8">
        <v>2.8050000000000002</v>
      </c>
      <c r="E8">
        <v>3.2269999999999999</v>
      </c>
      <c r="F8">
        <v>12701171.800000001</v>
      </c>
      <c r="G8">
        <v>3.2269999999999999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0.44027303754266151</v>
      </c>
      <c r="Q8">
        <f t="shared" ref="Q8" si="16">F8*P8</f>
        <v>5591983.4887371939</v>
      </c>
      <c r="R8">
        <f t="shared" ref="R8" si="17">R9+Q8</f>
        <v>201947904.56053776</v>
      </c>
      <c r="S8">
        <f t="shared" ref="S8" si="18">R8/100000</f>
        <v>2019.4790456053775</v>
      </c>
      <c r="T8">
        <f t="shared" ref="T8" si="19">S8/1000</f>
        <v>2.0194790456053773</v>
      </c>
    </row>
    <row r="9" spans="1:20" x14ac:dyDescent="0.25">
      <c r="A9" s="5">
        <v>44584</v>
      </c>
      <c r="B9">
        <v>3.2570000000000001</v>
      </c>
      <c r="C9">
        <v>3.4769999999999999</v>
      </c>
      <c r="D9">
        <v>3.1589999999999998</v>
      </c>
      <c r="E9">
        <v>3.387</v>
      </c>
      <c r="F9">
        <v>4243908.5</v>
      </c>
      <c r="G9">
        <v>3.387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0.43396226415094441</v>
      </c>
      <c r="Q9">
        <f t="shared" ref="Q9" si="21">F9*P9</f>
        <v>1841696.1415094382</v>
      </c>
      <c r="R9">
        <f t="shared" ref="R9" si="22">R10+Q9</f>
        <v>196355921.07180056</v>
      </c>
      <c r="S9">
        <f t="shared" ref="S9" si="23">R9/100000</f>
        <v>1963.5592107180055</v>
      </c>
      <c r="T9">
        <f t="shared" ref="T9" si="24">S9/1000</f>
        <v>1.9635592107180055</v>
      </c>
    </row>
    <row r="10" spans="1:20" x14ac:dyDescent="0.25">
      <c r="A10" s="5">
        <v>44583</v>
      </c>
      <c r="B10">
        <v>3.7789999999999999</v>
      </c>
      <c r="C10">
        <v>4.0970000000000004</v>
      </c>
      <c r="D10">
        <v>2.9910000000000001</v>
      </c>
      <c r="E10">
        <v>3.2559999999999998</v>
      </c>
      <c r="F10">
        <v>10270630.279999999</v>
      </c>
      <c r="G10">
        <v>3.2559999999999998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-0.52079566003616706</v>
      </c>
      <c r="Q10">
        <f t="shared" ref="Q10" si="26">F10*P10</f>
        <v>-5348899.675660043</v>
      </c>
      <c r="R10">
        <f t="shared" ref="R10" si="27">R11+Q10</f>
        <v>194514224.93029112</v>
      </c>
      <c r="S10">
        <f t="shared" ref="S10" si="28">R10/100000</f>
        <v>1945.1422493029111</v>
      </c>
      <c r="T10">
        <f t="shared" ref="T10" si="29">S10/1000</f>
        <v>1.9451422493029111</v>
      </c>
    </row>
    <row r="11" spans="1:20" x14ac:dyDescent="0.25">
      <c r="A11" s="5">
        <v>44582</v>
      </c>
      <c r="B11">
        <v>4.093</v>
      </c>
      <c r="C11">
        <v>4.1980000000000004</v>
      </c>
      <c r="D11">
        <v>3.6619999999999999</v>
      </c>
      <c r="E11">
        <v>3.7810000000000001</v>
      </c>
      <c r="F11">
        <v>10950612.9</v>
      </c>
      <c r="G11">
        <v>3.7810000000000001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-0.55597014925373089</v>
      </c>
      <c r="Q11">
        <f t="shared" ref="Q11" si="31">F11*P11</f>
        <v>-6088213.8884328315</v>
      </c>
      <c r="R11">
        <f t="shared" ref="R11" si="32">R12+Q11</f>
        <v>199863124.60595116</v>
      </c>
      <c r="S11">
        <f t="shared" ref="S11" si="33">R11/100000</f>
        <v>1998.6312460595116</v>
      </c>
      <c r="T11">
        <f t="shared" ref="T11" si="34">S11/1000</f>
        <v>1.9986312460595115</v>
      </c>
    </row>
    <row r="12" spans="1:20" x14ac:dyDescent="0.25">
      <c r="A12" s="5">
        <v>44581</v>
      </c>
      <c r="B12">
        <v>4.5</v>
      </c>
      <c r="C12">
        <v>4.5819999999999999</v>
      </c>
      <c r="D12">
        <v>4.0629999999999997</v>
      </c>
      <c r="E12">
        <v>4.0949999999999998</v>
      </c>
      <c r="F12">
        <v>8712490.5</v>
      </c>
      <c r="G12">
        <v>4.0949999999999998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-0.87668593448940257</v>
      </c>
      <c r="Q12">
        <f t="shared" ref="Q12" si="36">F12*P12</f>
        <v>-7638117.8757225424</v>
      </c>
      <c r="R12">
        <f t="shared" ref="R12" si="37">R13+Q12</f>
        <v>205951338.49438399</v>
      </c>
      <c r="S12">
        <f t="shared" ref="S12" si="38">R12/100000</f>
        <v>2059.5133849438398</v>
      </c>
      <c r="T12">
        <f t="shared" ref="T12" si="39">S12/1000</f>
        <v>2.0595133849438398</v>
      </c>
    </row>
    <row r="13" spans="1:20" x14ac:dyDescent="0.25">
      <c r="A13" s="5">
        <v>44580</v>
      </c>
      <c r="B13">
        <v>5.024</v>
      </c>
      <c r="C13">
        <v>5.0309999999999997</v>
      </c>
      <c r="D13">
        <v>4.4859999999999998</v>
      </c>
      <c r="E13">
        <v>4.4980000000000002</v>
      </c>
      <c r="F13">
        <v>8094337.0999999996</v>
      </c>
      <c r="G13">
        <v>4.4980000000000002</v>
      </c>
      <c r="L13" t="s">
        <v>7</v>
      </c>
      <c r="M13" t="s">
        <v>7</v>
      </c>
      <c r="N13" t="s">
        <v>8</v>
      </c>
      <c r="P13">
        <f t="shared" ref="P13" si="40">IF(C13=D13,0,((E13-D13)-(C13-E13))/(C13-D13))</f>
        <v>-0.95596330275229191</v>
      </c>
      <c r="Q13">
        <f t="shared" ref="Q13" si="41">F13*P13</f>
        <v>-7737889.2277064081</v>
      </c>
      <c r="R13">
        <f t="shared" ref="R13" si="42">R14+Q13</f>
        <v>213589456.37010652</v>
      </c>
      <c r="S13">
        <f t="shared" ref="S13" si="43">R13/100000</f>
        <v>2135.8945637010652</v>
      </c>
      <c r="T13">
        <f t="shared" ref="T13" si="44">S13/1000</f>
        <v>2.1358945637010653</v>
      </c>
    </row>
    <row r="14" spans="1:20" x14ac:dyDescent="0.25">
      <c r="A14" s="5">
        <v>44579</v>
      </c>
      <c r="B14">
        <v>5.3179999999999996</v>
      </c>
      <c r="C14">
        <v>5.7809999999999997</v>
      </c>
      <c r="D14">
        <v>4.9210000000000003</v>
      </c>
      <c r="E14">
        <v>5.0259999999999998</v>
      </c>
      <c r="F14">
        <v>9261567.1999999993</v>
      </c>
      <c r="G14">
        <v>5.0259999999999998</v>
      </c>
      <c r="L14" t="s">
        <v>7</v>
      </c>
      <c r="M14" t="s">
        <v>7</v>
      </c>
      <c r="N14" t="s">
        <v>8</v>
      </c>
      <c r="P14">
        <f t="shared" ref="P14" si="45">IF(C14=D14,0,((E14-D14)-(C14-E14))/(C14-D14))</f>
        <v>-0.75581395348837299</v>
      </c>
      <c r="Q14">
        <f t="shared" ref="Q14" si="46">F14*P14</f>
        <v>-7000021.7209302401</v>
      </c>
      <c r="R14">
        <f t="shared" ref="R14" si="47">R15+Q14</f>
        <v>221327345.59781292</v>
      </c>
      <c r="S14">
        <f t="shared" ref="S14" si="48">R14/100000</f>
        <v>2213.2734559781293</v>
      </c>
      <c r="T14">
        <f t="shared" ref="T14" si="49">S14/1000</f>
        <v>2.2132734559781291</v>
      </c>
    </row>
    <row r="15" spans="1:20" x14ac:dyDescent="0.25">
      <c r="A15" s="5">
        <v>44578</v>
      </c>
      <c r="B15">
        <v>5.6230000000000002</v>
      </c>
      <c r="C15">
        <v>5.8289999999999997</v>
      </c>
      <c r="D15">
        <v>5.2350000000000003</v>
      </c>
      <c r="E15">
        <v>5.3179999999999996</v>
      </c>
      <c r="F15">
        <v>7829590.0999999996</v>
      </c>
      <c r="G15">
        <v>5.3179999999999996</v>
      </c>
      <c r="L15" t="s">
        <v>8</v>
      </c>
      <c r="M15" t="s">
        <v>8</v>
      </c>
      <c r="N15" t="s">
        <v>8</v>
      </c>
      <c r="P15">
        <f t="shared" ref="P15" si="50">IF(C15=D15,0,((E15-D15)-(C15-E15))/(C15-D15))</f>
        <v>-0.72053872053872259</v>
      </c>
      <c r="Q15">
        <f t="shared" ref="Q15" si="51">F15*P15</f>
        <v>-5641522.8329966487</v>
      </c>
      <c r="R15">
        <f t="shared" ref="R15" si="52">R16+Q15</f>
        <v>228327367.31874317</v>
      </c>
      <c r="S15">
        <f t="shared" ref="S15" si="53">R15/100000</f>
        <v>2283.2736731874315</v>
      </c>
      <c r="T15">
        <f t="shared" ref="T15" si="54">S15/1000</f>
        <v>2.2832736731874315</v>
      </c>
    </row>
    <row r="16" spans="1:20" x14ac:dyDescent="0.25">
      <c r="A16" s="5">
        <v>44577</v>
      </c>
      <c r="B16">
        <v>5.25</v>
      </c>
      <c r="C16">
        <v>5.6269999999999998</v>
      </c>
      <c r="D16">
        <v>5.2229999999999999</v>
      </c>
      <c r="E16">
        <v>5.6230000000000002</v>
      </c>
      <c r="F16">
        <v>7031259.0999999996</v>
      </c>
      <c r="G16">
        <v>5.6230000000000002</v>
      </c>
      <c r="L16" t="s">
        <v>8</v>
      </c>
      <c r="M16" t="s">
        <v>8</v>
      </c>
      <c r="N16" t="s">
        <v>8</v>
      </c>
      <c r="P16">
        <f t="shared" ref="P16" si="55">IF(C16=D16,0,((E16-D16)-(C16-E16))/(C16-D16))</f>
        <v>0.9801980198019824</v>
      </c>
      <c r="Q16">
        <f t="shared" ref="Q16" si="56">F16*P16</f>
        <v>6892026.2465346688</v>
      </c>
      <c r="R16">
        <f t="shared" ref="R16" si="57">R17+Q16</f>
        <v>233968890.15173981</v>
      </c>
      <c r="S16">
        <f t="shared" ref="S16" si="58">R16/100000</f>
        <v>2339.6889015173979</v>
      </c>
      <c r="T16">
        <f t="shared" ref="T16" si="59">S16/1000</f>
        <v>2.3396889015173978</v>
      </c>
    </row>
    <row r="17" spans="1:20" x14ac:dyDescent="0.25">
      <c r="A17" s="5">
        <v>44576</v>
      </c>
      <c r="B17">
        <v>5.4710000000000001</v>
      </c>
      <c r="C17">
        <v>5.5990000000000002</v>
      </c>
      <c r="D17">
        <v>5.2409999999999997</v>
      </c>
      <c r="E17">
        <v>5.2530000000000001</v>
      </c>
      <c r="F17">
        <v>6447573.5999999996</v>
      </c>
      <c r="G17">
        <v>5.2530000000000001</v>
      </c>
      <c r="L17" t="s">
        <v>8</v>
      </c>
      <c r="M17" t="s">
        <v>8</v>
      </c>
      <c r="N17" t="s">
        <v>8</v>
      </c>
      <c r="P17">
        <f t="shared" ref="P17" si="60">IF(C17=D17,0,((E17-D17)-(C17-E17))/(C17-D17))</f>
        <v>-0.93296089385474612</v>
      </c>
      <c r="Q17">
        <f t="shared" ref="Q17" si="61">F17*P17</f>
        <v>-6015334.0290502626</v>
      </c>
      <c r="R17">
        <f t="shared" ref="R17" si="62">R18+Q17</f>
        <v>227076863.90520513</v>
      </c>
      <c r="S17">
        <f t="shared" ref="S17" si="63">R17/100000</f>
        <v>2270.7686390520512</v>
      </c>
      <c r="T17">
        <f t="shared" ref="T17" si="64">S17/1000</f>
        <v>2.2707686390520512</v>
      </c>
    </row>
    <row r="18" spans="1:20" x14ac:dyDescent="0.25">
      <c r="A18" s="5">
        <v>44575</v>
      </c>
      <c r="B18">
        <v>4.6760000000000002</v>
      </c>
      <c r="C18">
        <v>5.5</v>
      </c>
      <c r="D18">
        <v>4.6360000000000001</v>
      </c>
      <c r="E18">
        <v>5.4710000000000001</v>
      </c>
      <c r="F18">
        <v>9784573.0999999996</v>
      </c>
      <c r="G18">
        <v>5.4710000000000001</v>
      </c>
      <c r="L18" t="s">
        <v>8</v>
      </c>
      <c r="M18" t="s">
        <v>8</v>
      </c>
      <c r="N18" t="s">
        <v>8</v>
      </c>
      <c r="P18">
        <f t="shared" ref="P18" si="65">IF(C18=D18,0,((E18-D18)-(C18-E18))/(C18-D18))</f>
        <v>0.93287037037037057</v>
      </c>
      <c r="Q18">
        <f t="shared" ref="Q18" si="66">F18*P18</f>
        <v>9127738.3317129649</v>
      </c>
      <c r="R18">
        <f t="shared" ref="R18" si="67">R19+Q18</f>
        <v>233092197.93425539</v>
      </c>
      <c r="S18">
        <f t="shared" ref="S18" si="68">R18/100000</f>
        <v>2330.9219793425541</v>
      </c>
      <c r="T18">
        <f t="shared" ref="T18" si="69">S18/1000</f>
        <v>2.3309219793425542</v>
      </c>
    </row>
    <row r="19" spans="1:20" x14ac:dyDescent="0.25">
      <c r="A19" s="5">
        <v>44574</v>
      </c>
      <c r="B19">
        <v>4.9809999999999999</v>
      </c>
      <c r="C19">
        <v>5.0250000000000004</v>
      </c>
      <c r="D19">
        <v>4.6529999999999996</v>
      </c>
      <c r="E19">
        <v>4.6749999999999998</v>
      </c>
      <c r="F19">
        <v>7360589.4000000004</v>
      </c>
      <c r="G19">
        <v>4.6749999999999998</v>
      </c>
      <c r="L19" t="s">
        <v>7</v>
      </c>
      <c r="M19" t="s">
        <v>8</v>
      </c>
      <c r="N19" t="s">
        <v>8</v>
      </c>
      <c r="P19">
        <f t="shared" ref="P19" si="70">IF(C19=D19,0,((E19-D19)-(C19-E19))/(C19-D19))</f>
        <v>-0.88172043010752588</v>
      </c>
      <c r="Q19">
        <f t="shared" ref="Q19" si="71">F19*P19</f>
        <v>-6489982.0516128959</v>
      </c>
      <c r="R19">
        <f t="shared" ref="R19" si="72">R20+Q19</f>
        <v>223964459.60254243</v>
      </c>
      <c r="S19">
        <f t="shared" ref="S19" si="73">R19/100000</f>
        <v>2239.6445960254241</v>
      </c>
      <c r="T19">
        <f t="shared" ref="T19" si="74">S19/1000</f>
        <v>2.2396445960254243</v>
      </c>
    </row>
    <row r="20" spans="1:20" x14ac:dyDescent="0.25">
      <c r="A20" s="5">
        <v>44573</v>
      </c>
      <c r="B20">
        <v>4.8600000000000003</v>
      </c>
      <c r="C20">
        <v>5.2519999999999998</v>
      </c>
      <c r="D20">
        <v>4.84</v>
      </c>
      <c r="E20">
        <v>4.9829999999999997</v>
      </c>
      <c r="F20">
        <v>7629241.0999999996</v>
      </c>
      <c r="G20">
        <v>4.9829999999999997</v>
      </c>
      <c r="L20" t="s">
        <v>8</v>
      </c>
      <c r="M20" t="s">
        <v>8</v>
      </c>
      <c r="N20" t="s">
        <v>8</v>
      </c>
      <c r="P20">
        <f t="shared" ref="P20" si="75">IF(C20=D20,0,((E20-D20)-(C20-E20))/(C20-D20))</f>
        <v>-0.30582524271844747</v>
      </c>
      <c r="Q20">
        <f t="shared" ref="Q20" si="76">F20*P20</f>
        <v>-2333214.511165055</v>
      </c>
      <c r="R20">
        <f t="shared" ref="R20" si="77">R21+Q20</f>
        <v>230454441.65415531</v>
      </c>
      <c r="S20">
        <f t="shared" ref="S20" si="78">R20/100000</f>
        <v>2304.5444165415533</v>
      </c>
      <c r="T20">
        <f t="shared" ref="T20" si="79">S20/1000</f>
        <v>2.3045444165415532</v>
      </c>
    </row>
    <row r="21" spans="1:20" x14ac:dyDescent="0.25">
      <c r="A21" s="5">
        <v>44572</v>
      </c>
      <c r="B21">
        <v>4.2759999999999998</v>
      </c>
      <c r="C21">
        <v>4.88</v>
      </c>
      <c r="D21">
        <v>4.2149999999999999</v>
      </c>
      <c r="E21">
        <v>4.8579999999999997</v>
      </c>
      <c r="F21">
        <v>9431475.8000000007</v>
      </c>
      <c r="G21">
        <v>4.8579999999999997</v>
      </c>
      <c r="L21" t="s">
        <v>8</v>
      </c>
      <c r="M21" t="s">
        <v>8</v>
      </c>
      <c r="N21" t="s">
        <v>8</v>
      </c>
      <c r="P21">
        <f t="shared" ref="P21" si="80">IF(C21=D21,0,((E21-D21)-(C21-E21))/(C21-D21))</f>
        <v>0.93383458646616468</v>
      </c>
      <c r="Q21">
        <f t="shared" ref="Q21" si="81">F21*P21</f>
        <v>8807438.3034586404</v>
      </c>
      <c r="R21">
        <f t="shared" ref="R21" si="82">R22+Q21</f>
        <v>232787656.16532037</v>
      </c>
      <c r="S21">
        <f t="shared" ref="S21" si="83">R21/100000</f>
        <v>2327.8765616532037</v>
      </c>
      <c r="T21">
        <f t="shared" ref="T21" si="84">S21/1000</f>
        <v>2.3278765616532038</v>
      </c>
    </row>
    <row r="22" spans="1:20" x14ac:dyDescent="0.25">
      <c r="A22" s="5">
        <v>44571</v>
      </c>
      <c r="B22">
        <v>4.58</v>
      </c>
      <c r="C22">
        <v>4.62</v>
      </c>
      <c r="D22">
        <v>4.0199999999999996</v>
      </c>
      <c r="E22">
        <v>4.2759999999999998</v>
      </c>
      <c r="F22">
        <v>3462037.3</v>
      </c>
      <c r="G22">
        <v>4.2759999999999998</v>
      </c>
      <c r="L22" t="s">
        <v>7</v>
      </c>
      <c r="M22" t="s">
        <v>7</v>
      </c>
      <c r="N22" t="s">
        <v>8</v>
      </c>
      <c r="P22">
        <f t="shared" ref="P22" si="85">IF(C22=D22,0,((E22-D22)-(C22-E22))/(C22-D22))</f>
        <v>-0.14666666666666667</v>
      </c>
      <c r="Q22">
        <f t="shared" ref="Q22" si="86">F22*P22</f>
        <v>-507765.47066666663</v>
      </c>
      <c r="R22">
        <f t="shared" ref="R22" si="87">R23+Q22</f>
        <v>223980217.86186174</v>
      </c>
      <c r="S22">
        <f t="shared" ref="S22" si="88">R22/100000</f>
        <v>2239.8021786186173</v>
      </c>
      <c r="T22">
        <f t="shared" ref="T22" si="89">S22/1000</f>
        <v>2.2398021786186173</v>
      </c>
    </row>
    <row r="23" spans="1:20" x14ac:dyDescent="0.25">
      <c r="A23" s="5">
        <v>44570</v>
      </c>
      <c r="B23">
        <v>4.6980000000000004</v>
      </c>
      <c r="C23">
        <v>5.15</v>
      </c>
      <c r="D23">
        <v>4.5279999999999996</v>
      </c>
      <c r="E23">
        <v>4.5810000000000004</v>
      </c>
      <c r="F23">
        <v>5062882.5</v>
      </c>
      <c r="G23">
        <v>4.5810000000000004</v>
      </c>
      <c r="L23" t="s">
        <v>8</v>
      </c>
      <c r="M23" t="s">
        <v>8</v>
      </c>
      <c r="N23" t="s">
        <v>8</v>
      </c>
      <c r="P23">
        <f t="shared" ref="P23" si="90">IF(C23=D23,0,((E23-D23)-(C23-E23))/(C23-D23))</f>
        <v>-0.82958199356912943</v>
      </c>
      <c r="Q23">
        <f t="shared" ref="Q23" si="91">F23*P23</f>
        <v>-4200076.1575562581</v>
      </c>
      <c r="R23">
        <f t="shared" ref="R23" si="92">R24+Q23</f>
        <v>224487983.33252841</v>
      </c>
      <c r="S23">
        <f t="shared" ref="S23" si="93">R23/100000</f>
        <v>2244.8798333252839</v>
      </c>
      <c r="T23">
        <f t="shared" ref="T23" si="94">S23/1000</f>
        <v>2.244879833325284</v>
      </c>
    </row>
    <row r="24" spans="1:20" x14ac:dyDescent="0.25">
      <c r="A24" s="5">
        <v>44569</v>
      </c>
      <c r="B24">
        <v>4.4969999999999999</v>
      </c>
      <c r="C24">
        <v>4.8899999999999997</v>
      </c>
      <c r="D24">
        <v>4.2830000000000004</v>
      </c>
      <c r="E24">
        <v>4.7039999999999997</v>
      </c>
      <c r="F24">
        <v>6964584.7000000002</v>
      </c>
      <c r="G24">
        <v>4.7039999999999997</v>
      </c>
      <c r="L24" t="s">
        <v>8</v>
      </c>
      <c r="M24" t="s">
        <v>8</v>
      </c>
      <c r="N24" t="s">
        <v>7</v>
      </c>
      <c r="P24">
        <f t="shared" ref="P24" si="95">IF(C24=D24,0,((E24-D24)-(C24-E24))/(C24-D24))</f>
        <v>0.38714991762767659</v>
      </c>
      <c r="Q24">
        <f t="shared" ref="Q24" si="96">F24*P24</f>
        <v>2696338.3929159767</v>
      </c>
      <c r="R24">
        <f t="shared" ref="R24" si="97">R25+Q24</f>
        <v>228688059.49008468</v>
      </c>
      <c r="S24">
        <f t="shared" ref="S24" si="98">R24/100000</f>
        <v>2286.880594900847</v>
      </c>
      <c r="T24">
        <f t="shared" ref="T24" si="99">S24/1000</f>
        <v>2.2868805949008468</v>
      </c>
    </row>
    <row r="25" spans="1:20" x14ac:dyDescent="0.25">
      <c r="A25" s="5">
        <v>44568</v>
      </c>
      <c r="B25">
        <v>4.2069999999999999</v>
      </c>
      <c r="C25">
        <v>4.5380000000000003</v>
      </c>
      <c r="D25">
        <v>3.7810000000000001</v>
      </c>
      <c r="E25">
        <v>4.492</v>
      </c>
      <c r="F25">
        <v>10255300.4</v>
      </c>
      <c r="G25">
        <v>4.492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0.87846763540290551</v>
      </c>
      <c r="Q25">
        <f t="shared" ref="Q25" si="101">F25*P25</f>
        <v>9008949.4927344713</v>
      </c>
      <c r="R25">
        <f t="shared" ref="R25" si="102">R26+Q25</f>
        <v>225991721.09716871</v>
      </c>
      <c r="S25">
        <f t="shared" ref="S25" si="103">R25/100000</f>
        <v>2259.9172109716869</v>
      </c>
      <c r="T25">
        <f t="shared" ref="T25" si="104">S25/1000</f>
        <v>2.259917210971687</v>
      </c>
    </row>
    <row r="26" spans="1:20" x14ac:dyDescent="0.25">
      <c r="A26" s="5">
        <v>44567</v>
      </c>
      <c r="B26">
        <v>4.391</v>
      </c>
      <c r="C26">
        <v>4.4459999999999997</v>
      </c>
      <c r="D26">
        <v>4.0309999999999997</v>
      </c>
      <c r="E26">
        <v>4.2069999999999999</v>
      </c>
      <c r="F26">
        <v>7375208.4000000004</v>
      </c>
      <c r="G26">
        <v>4.2069999999999999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-0.15180722891566198</v>
      </c>
      <c r="Q26">
        <f t="shared" ref="Q26" si="106">F26*P26</f>
        <v>-1119609.9498795131</v>
      </c>
      <c r="R26">
        <f t="shared" ref="R26" si="107">R27+Q26</f>
        <v>216982771.60443425</v>
      </c>
      <c r="S26">
        <f t="shared" ref="S26" si="108">R26/100000</f>
        <v>2169.8277160443427</v>
      </c>
      <c r="T26">
        <f t="shared" ref="T26" si="109">S26/1000</f>
        <v>2.1698277160443427</v>
      </c>
    </row>
    <row r="27" spans="1:20" x14ac:dyDescent="0.25">
      <c r="A27" s="5">
        <v>44566</v>
      </c>
      <c r="B27">
        <v>5.05</v>
      </c>
      <c r="C27">
        <v>5.0999999999999996</v>
      </c>
      <c r="D27">
        <v>4.1360000000000001</v>
      </c>
      <c r="E27">
        <v>4.3899999999999997</v>
      </c>
      <c r="F27">
        <v>8260297.4000000004</v>
      </c>
      <c r="G27">
        <v>4.3899999999999997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-0.47302904564315418</v>
      </c>
      <c r="Q27">
        <f t="shared" ref="Q27" si="111">F27*P27</f>
        <v>-3907360.5958506279</v>
      </c>
      <c r="R27">
        <f t="shared" ref="R27" si="112">R28+Q27</f>
        <v>218102381.55431378</v>
      </c>
      <c r="S27">
        <f t="shared" ref="S27" si="113">R27/100000</f>
        <v>2181.023815543138</v>
      </c>
      <c r="T27">
        <f t="shared" ref="T27" si="114">S27/1000</f>
        <v>2.1810238155431381</v>
      </c>
    </row>
    <row r="28" spans="1:20" x14ac:dyDescent="0.25">
      <c r="A28" s="5">
        <v>44565</v>
      </c>
      <c r="B28">
        <v>4.5369999999999999</v>
      </c>
      <c r="C28">
        <v>5.0810000000000004</v>
      </c>
      <c r="D28">
        <v>4.24</v>
      </c>
      <c r="E28">
        <v>5.05</v>
      </c>
      <c r="F28">
        <v>9845003.1999999993</v>
      </c>
      <c r="G28">
        <v>5.05</v>
      </c>
      <c r="L28" t="s">
        <v>8</v>
      </c>
      <c r="M28" t="s">
        <v>8</v>
      </c>
      <c r="N28" t="s">
        <v>8</v>
      </c>
      <c r="P28">
        <f t="shared" ref="P28" si="115">IF(C28=D28,0,((E28-D28)-(C28-E28))/(C28-D28))</f>
        <v>0.92627824019024829</v>
      </c>
      <c r="Q28">
        <f t="shared" ref="Q28" si="116">F28*P28</f>
        <v>9119212.2387633622</v>
      </c>
      <c r="R28">
        <f t="shared" ref="R28" si="117">R29+Q28</f>
        <v>222009742.1501644</v>
      </c>
      <c r="S28">
        <f t="shared" ref="S28" si="118">R28/100000</f>
        <v>2220.097421501644</v>
      </c>
      <c r="T28">
        <f t="shared" ref="T28" si="119">S28/1000</f>
        <v>2.2200974215016442</v>
      </c>
    </row>
    <row r="29" spans="1:20" x14ac:dyDescent="0.25">
      <c r="A29" s="5">
        <v>44564</v>
      </c>
      <c r="B29">
        <v>4.282</v>
      </c>
      <c r="C29">
        <v>4.5469999999999997</v>
      </c>
      <c r="D29">
        <v>4.2549999999999999</v>
      </c>
      <c r="E29">
        <v>4.5369999999999999</v>
      </c>
      <c r="F29">
        <v>7997948.5</v>
      </c>
      <c r="G29">
        <v>4.5369999999999999</v>
      </c>
      <c r="L29" t="s">
        <v>8</v>
      </c>
      <c r="M29" t="s">
        <v>8</v>
      </c>
      <c r="N29" t="s">
        <v>8</v>
      </c>
      <c r="P29">
        <f t="shared" ref="P29" si="120">IF(C29=D29,0,((E29-D29)-(C29-E29))/(C29-D29))</f>
        <v>0.93150684931506988</v>
      </c>
      <c r="Q29">
        <f t="shared" ref="Q29" si="121">F29*P29</f>
        <v>7450143.8082191888</v>
      </c>
      <c r="R29">
        <f t="shared" ref="R29" si="122">R30+Q29</f>
        <v>212890529.91140103</v>
      </c>
      <c r="S29">
        <f t="shared" ref="S29" si="123">R29/100000</f>
        <v>2128.9052991140102</v>
      </c>
      <c r="T29">
        <f t="shared" ref="T29" si="124">S29/1000</f>
        <v>2.1289052991140101</v>
      </c>
    </row>
    <row r="30" spans="1:20" x14ac:dyDescent="0.25">
      <c r="A30" s="5">
        <v>44563</v>
      </c>
      <c r="B30">
        <v>4.4850000000000003</v>
      </c>
      <c r="C30">
        <v>4.4960000000000004</v>
      </c>
      <c r="D30">
        <v>4.2539999999999996</v>
      </c>
      <c r="E30">
        <v>4.2839999999999998</v>
      </c>
      <c r="F30">
        <v>7467468.7999999998</v>
      </c>
      <c r="G30">
        <v>4.2839999999999998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-0.75206611570247817</v>
      </c>
      <c r="Q30">
        <f t="shared" ref="Q30" si="126">F30*P30</f>
        <v>-5616030.2545454456</v>
      </c>
      <c r="R30">
        <f t="shared" ref="R30" si="127">R31+Q30</f>
        <v>205440386.10318184</v>
      </c>
      <c r="S30">
        <f t="shared" ref="S30" si="128">R30/100000</f>
        <v>2054.4038610318185</v>
      </c>
      <c r="T30">
        <f t="shared" ref="T30" si="129">S30/1000</f>
        <v>2.0544038610318185</v>
      </c>
    </row>
    <row r="31" spans="1:20" x14ac:dyDescent="0.25">
      <c r="A31" s="5">
        <v>44562</v>
      </c>
      <c r="B31">
        <v>3.9510000000000001</v>
      </c>
      <c r="C31">
        <v>4.5380000000000003</v>
      </c>
      <c r="D31">
        <v>3.9359999999999999</v>
      </c>
      <c r="E31">
        <v>4.4829999999999997</v>
      </c>
      <c r="F31">
        <v>10171894.699999999</v>
      </c>
      <c r="G31">
        <v>4.4829999999999997</v>
      </c>
      <c r="L31" t="s">
        <v>8</v>
      </c>
      <c r="M31" t="s">
        <v>8</v>
      </c>
      <c r="N31" t="s">
        <v>8</v>
      </c>
      <c r="P31">
        <f t="shared" ref="P31" si="130">IF(C31=D31,0,((E31-D31)-(C31-E31))/(C31-D31))</f>
        <v>0.81727574750830378</v>
      </c>
      <c r="Q31">
        <f t="shared" ref="Q31" si="131">F31*P31</f>
        <v>8313242.8445182526</v>
      </c>
      <c r="R31">
        <f t="shared" ref="R31" si="132">R32+Q31</f>
        <v>211056416.35772729</v>
      </c>
      <c r="S31">
        <f t="shared" ref="S31" si="133">R31/100000</f>
        <v>2110.5641635772727</v>
      </c>
      <c r="T31">
        <f t="shared" ref="T31" si="134">S31/1000</f>
        <v>2.1105641635772727</v>
      </c>
    </row>
    <row r="32" spans="1:20" x14ac:dyDescent="0.25">
      <c r="A32" s="5">
        <v>44561</v>
      </c>
      <c r="B32">
        <v>3.798</v>
      </c>
      <c r="C32">
        <v>4.032</v>
      </c>
      <c r="D32">
        <v>3.72</v>
      </c>
      <c r="E32">
        <v>3.948</v>
      </c>
      <c r="F32">
        <v>8325230.9000000004</v>
      </c>
      <c r="G32">
        <v>3.948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0.46153846153846079</v>
      </c>
      <c r="Q32">
        <f t="shared" ref="Q32" si="136">F32*P32</f>
        <v>3842414.2615384553</v>
      </c>
      <c r="R32">
        <f t="shared" ref="R32" si="137">R33+Q32</f>
        <v>202743173.51320904</v>
      </c>
      <c r="S32">
        <f t="shared" ref="S32" si="138">R32/100000</f>
        <v>2027.4317351320904</v>
      </c>
      <c r="T32">
        <f t="shared" ref="T32" si="139">S32/1000</f>
        <v>2.0274317351320903</v>
      </c>
    </row>
    <row r="33" spans="1:20" x14ac:dyDescent="0.25">
      <c r="A33" s="5">
        <v>44560</v>
      </c>
      <c r="B33">
        <v>3.5529999999999999</v>
      </c>
      <c r="C33">
        <v>4.0650000000000004</v>
      </c>
      <c r="D33">
        <v>3.4710000000000001</v>
      </c>
      <c r="E33">
        <v>3.7959999999999998</v>
      </c>
      <c r="F33">
        <v>9526785.0999999996</v>
      </c>
      <c r="G33">
        <v>3.7959999999999998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9.427609427609282E-2</v>
      </c>
      <c r="Q33">
        <f t="shared" ref="Q33" si="141">F33*P33</f>
        <v>898148.09023567638</v>
      </c>
      <c r="R33">
        <f t="shared" ref="R33" si="142">R34+Q33</f>
        <v>198900759.2516706</v>
      </c>
      <c r="S33">
        <f t="shared" ref="S33" si="143">R33/100000</f>
        <v>1989.0075925167059</v>
      </c>
      <c r="T33">
        <f t="shared" ref="T33" si="144">S33/1000</f>
        <v>1.9890075925167059</v>
      </c>
    </row>
    <row r="34" spans="1:20" x14ac:dyDescent="0.25">
      <c r="A34" s="5">
        <v>44559</v>
      </c>
      <c r="B34">
        <v>3.7149999999999999</v>
      </c>
      <c r="C34">
        <v>3.7690000000000001</v>
      </c>
      <c r="D34">
        <v>3.51</v>
      </c>
      <c r="E34">
        <v>3.5550000000000002</v>
      </c>
      <c r="F34">
        <v>8371046.4000000004</v>
      </c>
      <c r="G34">
        <v>3.5550000000000002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-0.6525096525096501</v>
      </c>
      <c r="Q34">
        <f t="shared" ref="Q34" si="146">F34*P34</f>
        <v>-5462188.5776061574</v>
      </c>
      <c r="R34">
        <f t="shared" ref="R34" si="147">R35+Q34</f>
        <v>198002611.16143492</v>
      </c>
      <c r="S34">
        <f t="shared" ref="S34" si="148">R34/100000</f>
        <v>1980.0261116143492</v>
      </c>
      <c r="T34">
        <f t="shared" ref="T34" si="149">S34/1000</f>
        <v>1.9800261116143492</v>
      </c>
    </row>
    <row r="35" spans="1:20" x14ac:dyDescent="0.25">
      <c r="A35" s="5">
        <v>44558</v>
      </c>
      <c r="B35">
        <v>4.1399999999999997</v>
      </c>
      <c r="C35">
        <v>4.1429999999999998</v>
      </c>
      <c r="D35">
        <v>3.6779999999999999</v>
      </c>
      <c r="E35">
        <v>3.7130000000000001</v>
      </c>
      <c r="F35">
        <v>7912929</v>
      </c>
      <c r="G35">
        <v>3.7130000000000001</v>
      </c>
      <c r="L35" t="s">
        <v>7</v>
      </c>
      <c r="M35" t="s">
        <v>8</v>
      </c>
      <c r="N35" t="s">
        <v>8</v>
      </c>
      <c r="P35">
        <f t="shared" ref="P35" si="150">IF(C35=D35,0,((E35-D35)-(C35-E35))/(C35-D35))</f>
        <v>-0.84946236559139721</v>
      </c>
      <c r="Q35">
        <f t="shared" ref="Q35" si="151">F35*P35</f>
        <v>-6721735.3870967692</v>
      </c>
      <c r="R35">
        <f t="shared" ref="R35" si="152">R36+Q35</f>
        <v>203464799.73904109</v>
      </c>
      <c r="S35">
        <f t="shared" ref="S35" si="153">R35/100000</f>
        <v>2034.6479973904109</v>
      </c>
      <c r="T35">
        <f t="shared" ref="T35" si="154">S35/1000</f>
        <v>2.0346479973904108</v>
      </c>
    </row>
    <row r="36" spans="1:20" x14ac:dyDescent="0.25">
      <c r="A36" s="5">
        <v>44557</v>
      </c>
      <c r="B36">
        <v>4.0720000000000001</v>
      </c>
      <c r="C36">
        <v>4.2990000000000004</v>
      </c>
      <c r="D36">
        <v>4.0590000000000002</v>
      </c>
      <c r="E36">
        <v>4.1440000000000001</v>
      </c>
      <c r="F36">
        <v>7798291.7000000002</v>
      </c>
      <c r="G36">
        <v>4.1440000000000001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-0.29166666666666757</v>
      </c>
      <c r="Q36">
        <f t="shared" ref="Q36" si="156">F36*P36</f>
        <v>-2274501.7458333406</v>
      </c>
      <c r="R36">
        <f t="shared" ref="R36" si="157">R37+Q36</f>
        <v>210186535.12613785</v>
      </c>
      <c r="S36">
        <f t="shared" ref="S36" si="158">R36/100000</f>
        <v>2101.8653512613787</v>
      </c>
      <c r="T36">
        <f t="shared" ref="T36" si="159">S36/1000</f>
        <v>2.1018653512613787</v>
      </c>
    </row>
    <row r="37" spans="1:20" x14ac:dyDescent="0.25">
      <c r="A37" s="5">
        <v>44556</v>
      </c>
      <c r="B37">
        <v>3.9630000000000001</v>
      </c>
      <c r="C37">
        <v>4.13</v>
      </c>
      <c r="D37">
        <v>3.8319999999999999</v>
      </c>
      <c r="E37">
        <v>4.0709999999999997</v>
      </c>
      <c r="F37">
        <v>7545824.0999999996</v>
      </c>
      <c r="G37">
        <v>4.0709999999999997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0.6040268456375828</v>
      </c>
      <c r="Q37">
        <f t="shared" ref="Q37" si="161">F37*P37</f>
        <v>4557880.3288590517</v>
      </c>
      <c r="R37">
        <f t="shared" ref="R37" si="162">R38+Q37</f>
        <v>212461036.87197119</v>
      </c>
      <c r="S37">
        <f t="shared" ref="S37" si="163">R37/100000</f>
        <v>2124.6103687197119</v>
      </c>
      <c r="T37">
        <f t="shared" ref="T37" si="164">S37/1000</f>
        <v>2.1246103687197118</v>
      </c>
    </row>
    <row r="38" spans="1:20" x14ac:dyDescent="0.25">
      <c r="A38" s="5">
        <v>44555</v>
      </c>
      <c r="B38">
        <v>4.01</v>
      </c>
      <c r="C38">
        <v>4.069</v>
      </c>
      <c r="D38">
        <v>3.883</v>
      </c>
      <c r="E38">
        <v>3.96</v>
      </c>
      <c r="F38">
        <v>7053885.7000000002</v>
      </c>
      <c r="G38">
        <v>3.96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-0.17204301075268838</v>
      </c>
      <c r="Q38">
        <f t="shared" ref="Q38" si="166">F38*P38</f>
        <v>-1213571.7333333348</v>
      </c>
      <c r="R38">
        <f t="shared" ref="R38" si="167">R39+Q38</f>
        <v>207903156.54311213</v>
      </c>
      <c r="S38">
        <f t="shared" ref="S38" si="168">R38/100000</f>
        <v>2079.0315654311212</v>
      </c>
      <c r="T38">
        <f t="shared" ref="T38" si="169">S38/1000</f>
        <v>2.0790315654311211</v>
      </c>
    </row>
    <row r="39" spans="1:20" x14ac:dyDescent="0.25">
      <c r="A39" s="5">
        <v>44554</v>
      </c>
      <c r="B39">
        <v>3.92</v>
      </c>
      <c r="C39">
        <v>4.1390000000000002</v>
      </c>
      <c r="D39">
        <v>3.8490000000000002</v>
      </c>
      <c r="E39">
        <v>4.0129999999999999</v>
      </c>
      <c r="F39">
        <v>7301289.7999999998</v>
      </c>
      <c r="G39">
        <v>4.0129999999999999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0.13103448275861848</v>
      </c>
      <c r="Q39">
        <f t="shared" ref="Q39" si="171">F39*P39</f>
        <v>956720.73241377692</v>
      </c>
      <c r="R39">
        <f t="shared" ref="R39" si="172">R40+Q39</f>
        <v>209116728.27644548</v>
      </c>
      <c r="S39">
        <f t="shared" ref="S39" si="173">R39/100000</f>
        <v>2091.1672827644547</v>
      </c>
      <c r="T39">
        <f t="shared" ref="T39" si="174">S39/1000</f>
        <v>2.091167282764455</v>
      </c>
    </row>
    <row r="40" spans="1:20" x14ac:dyDescent="0.25">
      <c r="A40" s="5">
        <v>44553</v>
      </c>
      <c r="B40">
        <v>3.6179999999999999</v>
      </c>
      <c r="C40">
        <v>3.97</v>
      </c>
      <c r="D40">
        <v>3.581</v>
      </c>
      <c r="E40">
        <v>3.919</v>
      </c>
      <c r="F40">
        <v>1947133.4</v>
      </c>
      <c r="G40">
        <v>3.919</v>
      </c>
      <c r="L40" t="s">
        <v>7</v>
      </c>
      <c r="M40" t="s">
        <v>8</v>
      </c>
      <c r="N40" t="s">
        <v>7</v>
      </c>
      <c r="P40">
        <f t="shared" ref="P40" si="175">IF(C40=D40,0,((E40-D40)-(C40-E40))/(C40-D40))</f>
        <v>0.73778920308483231</v>
      </c>
      <c r="Q40">
        <f t="shared" ref="Q40" si="176">F40*P40</f>
        <v>1436573.9994858599</v>
      </c>
      <c r="R40">
        <f t="shared" ref="R40" si="177">R41+Q40</f>
        <v>208160007.54403171</v>
      </c>
      <c r="S40">
        <f t="shared" ref="S40" si="178">R40/100000</f>
        <v>2081.6000754403171</v>
      </c>
      <c r="T40">
        <f t="shared" ref="T40" si="179">S40/1000</f>
        <v>2.081600075440317</v>
      </c>
    </row>
    <row r="41" spans="1:20" x14ac:dyDescent="0.25">
      <c r="A41" s="5">
        <v>44552</v>
      </c>
      <c r="B41">
        <v>3.5779999999999998</v>
      </c>
      <c r="C41">
        <v>4</v>
      </c>
      <c r="D41">
        <v>3.5470000000000002</v>
      </c>
      <c r="E41">
        <v>3.62</v>
      </c>
      <c r="F41">
        <v>5816038.2000000002</v>
      </c>
      <c r="G41">
        <v>3.62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-0.67770419426048578</v>
      </c>
      <c r="Q41">
        <f t="shared" ref="Q41" si="181">F41*P41</f>
        <v>-3941553.4821192063</v>
      </c>
      <c r="R41">
        <f t="shared" ref="R41" si="182">R42+Q41</f>
        <v>206723433.54454586</v>
      </c>
      <c r="S41">
        <f t="shared" ref="S41" si="183">R41/100000</f>
        <v>2067.2343354454588</v>
      </c>
      <c r="T41">
        <f t="shared" ref="T41" si="184">S41/1000</f>
        <v>2.067234335445459</v>
      </c>
    </row>
    <row r="42" spans="1:20" x14ac:dyDescent="0.25">
      <c r="A42" s="5">
        <v>44551</v>
      </c>
      <c r="B42">
        <v>3.4889999999999999</v>
      </c>
      <c r="C42">
        <v>3.5819999999999999</v>
      </c>
      <c r="D42">
        <v>3.444</v>
      </c>
      <c r="E42">
        <v>3.5779999999999998</v>
      </c>
      <c r="F42">
        <v>8195836.7999999998</v>
      </c>
      <c r="G42">
        <v>3.5779999999999998</v>
      </c>
      <c r="L42" t="s">
        <v>7</v>
      </c>
      <c r="M42" t="s">
        <v>7</v>
      </c>
      <c r="N42" t="s">
        <v>7</v>
      </c>
      <c r="P42">
        <f t="shared" ref="P42" si="185">IF(C42=D42,0,((E42-D42)-(C42-E42))/(C42-D42))</f>
        <v>0.94202898550724623</v>
      </c>
      <c r="Q42">
        <f t="shared" ref="Q42" si="186">F42*P42</f>
        <v>7720715.8260869551</v>
      </c>
      <c r="R42">
        <f t="shared" ref="R42" si="187">R43+Q42</f>
        <v>210664987.02666506</v>
      </c>
      <c r="S42">
        <f t="shared" ref="S42" si="188">R42/100000</f>
        <v>2106.6498702666504</v>
      </c>
      <c r="T42">
        <f t="shared" ref="T42" si="189">S42/1000</f>
        <v>2.1066498702666503</v>
      </c>
    </row>
    <row r="43" spans="1:20" x14ac:dyDescent="0.25">
      <c r="A43" s="5">
        <v>44550</v>
      </c>
      <c r="B43">
        <v>3.5979999999999999</v>
      </c>
      <c r="C43">
        <v>3.617</v>
      </c>
      <c r="D43">
        <v>3.35</v>
      </c>
      <c r="E43">
        <v>3.4910000000000001</v>
      </c>
      <c r="F43">
        <v>9180324.8000000007</v>
      </c>
      <c r="G43">
        <v>3.4910000000000001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5.6179775280899361E-2</v>
      </c>
      <c r="Q43">
        <f t="shared" ref="Q43" si="191">F43*P43</f>
        <v>515748.58426966739</v>
      </c>
      <c r="R43">
        <f t="shared" ref="R43" si="192">R44+Q43</f>
        <v>202944271.20057809</v>
      </c>
      <c r="S43">
        <f t="shared" ref="S43" si="193">R43/100000</f>
        <v>2029.442712005781</v>
      </c>
      <c r="T43">
        <f t="shared" ref="T43" si="194">S43/1000</f>
        <v>2.029442712005781</v>
      </c>
    </row>
    <row r="44" spans="1:20" x14ac:dyDescent="0.25">
      <c r="A44" s="5">
        <v>44549</v>
      </c>
      <c r="B44">
        <v>3.7730000000000001</v>
      </c>
      <c r="C44">
        <v>4.1399999999999997</v>
      </c>
      <c r="D44">
        <v>3.585</v>
      </c>
      <c r="E44">
        <v>3.6</v>
      </c>
      <c r="F44">
        <v>8254763.4000000004</v>
      </c>
      <c r="G44">
        <v>3.6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-0.9459459459459455</v>
      </c>
      <c r="Q44">
        <f t="shared" ref="Q44" si="196">F44*P44</f>
        <v>-7808559.9729729695</v>
      </c>
      <c r="R44">
        <f t="shared" ref="R44" si="197">R45+Q44</f>
        <v>202428522.61630842</v>
      </c>
      <c r="S44">
        <f t="shared" ref="S44" si="198">R44/100000</f>
        <v>2024.2852261630842</v>
      </c>
      <c r="T44">
        <f t="shared" ref="T44" si="199">S44/1000</f>
        <v>2.0242852261630842</v>
      </c>
    </row>
    <row r="45" spans="1:20" x14ac:dyDescent="0.25">
      <c r="A45" s="5">
        <v>44548</v>
      </c>
      <c r="B45">
        <v>3.5449999999999999</v>
      </c>
      <c r="C45">
        <v>3.8279999999999998</v>
      </c>
      <c r="D45">
        <v>3.4660000000000002</v>
      </c>
      <c r="E45">
        <v>3.774</v>
      </c>
      <c r="F45">
        <v>8025994.0999999996</v>
      </c>
      <c r="G45">
        <v>3.774</v>
      </c>
      <c r="L45" t="s">
        <v>7</v>
      </c>
      <c r="M45" t="s">
        <v>8</v>
      </c>
      <c r="N45" t="s">
        <v>7</v>
      </c>
      <c r="P45">
        <f t="shared" ref="P45" si="200">IF(C45=D45,0,((E45-D45)-(C45-E45))/(C45-D45))</f>
        <v>0.70165745856353656</v>
      </c>
      <c r="Q45">
        <f t="shared" ref="Q45" si="201">F45*P45</f>
        <v>5631498.6226519383</v>
      </c>
      <c r="R45">
        <f t="shared" ref="R45" si="202">R46+Q45</f>
        <v>210237082.58928138</v>
      </c>
      <c r="S45">
        <f t="shared" ref="S45" si="203">R45/100000</f>
        <v>2102.3708258928136</v>
      </c>
      <c r="T45">
        <f t="shared" ref="T45" si="204">S45/1000</f>
        <v>2.1023708258928138</v>
      </c>
    </row>
    <row r="46" spans="1:20" x14ac:dyDescent="0.25">
      <c r="A46" s="5">
        <v>44547</v>
      </c>
      <c r="B46">
        <v>3.6850000000000001</v>
      </c>
      <c r="C46">
        <v>3.8980000000000001</v>
      </c>
      <c r="D46">
        <v>3.431</v>
      </c>
      <c r="E46">
        <v>3.5409999999999999</v>
      </c>
      <c r="F46">
        <v>8693327.0999999996</v>
      </c>
      <c r="G46">
        <v>3.5409999999999999</v>
      </c>
      <c r="L46" t="s">
        <v>8</v>
      </c>
      <c r="M46" t="s">
        <v>8</v>
      </c>
      <c r="N46" t="s">
        <v>7</v>
      </c>
      <c r="P46">
        <f t="shared" ref="P46" si="205">IF(C46=D46,0,((E46-D46)-(C46-E46))/(C46-D46))</f>
        <v>-0.52890792291220623</v>
      </c>
      <c r="Q46">
        <f t="shared" ref="Q46" si="206">F46*P46</f>
        <v>-4597969.5796573935</v>
      </c>
      <c r="R46">
        <f t="shared" ref="R46" si="207">R47+Q46</f>
        <v>204605583.96662945</v>
      </c>
      <c r="S46">
        <f t="shared" ref="S46" si="208">R46/100000</f>
        <v>2046.0558396662946</v>
      </c>
      <c r="T46">
        <f t="shared" ref="T46" si="209">S46/1000</f>
        <v>2.0460558396662947</v>
      </c>
    </row>
    <row r="47" spans="1:20" x14ac:dyDescent="0.25">
      <c r="A47" s="5">
        <v>44546</v>
      </c>
      <c r="B47">
        <v>3.452</v>
      </c>
      <c r="C47">
        <v>3.754</v>
      </c>
      <c r="D47">
        <v>3.45</v>
      </c>
      <c r="E47">
        <v>3.6819999999999999</v>
      </c>
      <c r="F47">
        <v>7616539.9000000004</v>
      </c>
      <c r="G47">
        <v>3.6819999999999999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0.52631578947368352</v>
      </c>
      <c r="Q47">
        <f t="shared" ref="Q47" si="211">F47*P47</f>
        <v>4008705.2105263108</v>
      </c>
      <c r="R47">
        <f t="shared" ref="R47" si="212">R48+Q47</f>
        <v>209203553.54628685</v>
      </c>
      <c r="S47">
        <f t="shared" ref="S47" si="213">R47/100000</f>
        <v>2092.0355354628687</v>
      </c>
      <c r="T47">
        <f t="shared" ref="T47" si="214">S47/1000</f>
        <v>2.0920355354628688</v>
      </c>
    </row>
    <row r="48" spans="1:20" x14ac:dyDescent="0.25">
      <c r="A48" s="5">
        <v>44545</v>
      </c>
      <c r="B48">
        <v>3.3809999999999998</v>
      </c>
      <c r="C48">
        <v>3.524</v>
      </c>
      <c r="D48">
        <v>3.1989999999999998</v>
      </c>
      <c r="E48">
        <v>3.452</v>
      </c>
      <c r="F48">
        <v>1539425.8</v>
      </c>
      <c r="G48">
        <v>3.452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0.55692307692307674</v>
      </c>
      <c r="Q48">
        <f t="shared" ref="Q48" si="216">F48*P48</f>
        <v>857341.75323076895</v>
      </c>
      <c r="R48">
        <f t="shared" ref="R48" si="217">R49+Q48</f>
        <v>205194848.33576053</v>
      </c>
      <c r="S48">
        <f t="shared" ref="S48" si="218">R48/100000</f>
        <v>2051.9484833576053</v>
      </c>
      <c r="T48">
        <f t="shared" ref="T48" si="219">S48/1000</f>
        <v>2.0519484833576054</v>
      </c>
    </row>
    <row r="49" spans="1:20" x14ac:dyDescent="0.25">
      <c r="A49" s="5">
        <v>44544</v>
      </c>
      <c r="B49">
        <v>3.2250000000000001</v>
      </c>
      <c r="C49">
        <v>3.633</v>
      </c>
      <c r="D49">
        <v>3.181</v>
      </c>
      <c r="E49">
        <v>3.3809999999999998</v>
      </c>
      <c r="F49">
        <v>6595065.9000000004</v>
      </c>
      <c r="G49">
        <v>3.3809999999999998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-0.11504424778761171</v>
      </c>
      <c r="Q49">
        <f t="shared" ref="Q49" si="221">F49*P49</f>
        <v>-758724.3955752285</v>
      </c>
      <c r="R49">
        <f t="shared" ref="R49" si="222">R50+Q49</f>
        <v>204337506.58252975</v>
      </c>
      <c r="S49">
        <f t="shared" ref="S49" si="223">R49/100000</f>
        <v>2043.3750658252975</v>
      </c>
      <c r="T49">
        <f t="shared" ref="T49" si="224">S49/1000</f>
        <v>2.0433750658252974</v>
      </c>
    </row>
    <row r="50" spans="1:20" x14ac:dyDescent="0.25">
      <c r="A50" s="5">
        <v>44543</v>
      </c>
      <c r="B50">
        <v>3.6030000000000002</v>
      </c>
      <c r="C50">
        <v>3.6360000000000001</v>
      </c>
      <c r="D50">
        <v>3.1960000000000002</v>
      </c>
      <c r="E50">
        <v>3.2240000000000002</v>
      </c>
      <c r="F50">
        <v>2041258.1</v>
      </c>
      <c r="G50">
        <v>3.2240000000000002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-0.87272727272727257</v>
      </c>
      <c r="Q50">
        <f t="shared" ref="Q50" si="226">F50*P50</f>
        <v>-1781461.6145454543</v>
      </c>
      <c r="R50">
        <f t="shared" ref="R50" si="227">R51+Q50</f>
        <v>205096230.97810498</v>
      </c>
      <c r="S50">
        <f t="shared" ref="S50" si="228">R50/100000</f>
        <v>2050.96230978105</v>
      </c>
      <c r="T50">
        <f t="shared" ref="T50" si="229">S50/1000</f>
        <v>2.0509623097810499</v>
      </c>
    </row>
    <row r="51" spans="1:20" x14ac:dyDescent="0.25">
      <c r="A51" s="5">
        <v>44542</v>
      </c>
      <c r="B51">
        <v>3.5990000000000002</v>
      </c>
      <c r="C51">
        <v>3.6309999999999998</v>
      </c>
      <c r="D51">
        <v>3.4660000000000002</v>
      </c>
      <c r="E51">
        <v>3.605</v>
      </c>
      <c r="F51">
        <v>5818881.0999999996</v>
      </c>
      <c r="G51">
        <v>3.605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0.68484848484848648</v>
      </c>
      <c r="Q51">
        <f t="shared" ref="Q51" si="231">F51*P51</f>
        <v>3985051.9048484941</v>
      </c>
      <c r="R51">
        <f t="shared" ref="R51" si="232">R52+Q51</f>
        <v>206877692.59265044</v>
      </c>
      <c r="S51">
        <f t="shared" ref="S51" si="233">R51/100000</f>
        <v>2068.7769259265046</v>
      </c>
      <c r="T51">
        <f t="shared" ref="T51" si="234">S51/1000</f>
        <v>2.0687769259265045</v>
      </c>
    </row>
    <row r="52" spans="1:20" x14ac:dyDescent="0.25">
      <c r="A52" s="5">
        <v>44541</v>
      </c>
      <c r="B52">
        <v>3.4169999999999998</v>
      </c>
      <c r="C52">
        <v>3.4540000000000002</v>
      </c>
      <c r="D52">
        <v>3.35</v>
      </c>
      <c r="E52">
        <v>3.4329999999999998</v>
      </c>
      <c r="F52">
        <v>349832.4</v>
      </c>
      <c r="G52">
        <v>3.4329999999999998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0.59615384615383971</v>
      </c>
      <c r="Q52">
        <f t="shared" ref="Q52" si="236">F52*P52</f>
        <v>208553.93076922852</v>
      </c>
      <c r="R52">
        <f t="shared" ref="R52" si="237">R53+Q52</f>
        <v>202892640.68780196</v>
      </c>
      <c r="S52">
        <f t="shared" ref="S52" si="238">R52/100000</f>
        <v>2028.9264068780196</v>
      </c>
      <c r="T52">
        <f t="shared" ref="T52" si="239">S52/1000</f>
        <v>2.0289264068780195</v>
      </c>
    </row>
    <row r="53" spans="1:20" x14ac:dyDescent="0.25">
      <c r="A53" s="5">
        <v>44540</v>
      </c>
      <c r="B53">
        <v>3.5939999999999999</v>
      </c>
      <c r="C53">
        <v>3.6949999999999998</v>
      </c>
      <c r="D53">
        <v>3.3980000000000001</v>
      </c>
      <c r="E53">
        <v>3.4180000000000001</v>
      </c>
      <c r="F53">
        <v>8923216.4000000004</v>
      </c>
      <c r="G53">
        <v>3.4180000000000001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-0.86531986531986504</v>
      </c>
      <c r="Q53">
        <f t="shared" ref="Q53" si="241">F53*P53</f>
        <v>-7721436.4134680117</v>
      </c>
      <c r="R53">
        <f t="shared" ref="R53" si="242">R54+Q53</f>
        <v>202684086.75703272</v>
      </c>
      <c r="S53">
        <f t="shared" ref="S53" si="243">R53/100000</f>
        <v>2026.8408675703272</v>
      </c>
      <c r="T53">
        <f t="shared" ref="T53" si="244">S53/1000</f>
        <v>2.0268408675703271</v>
      </c>
    </row>
    <row r="54" spans="1:20" x14ac:dyDescent="0.25">
      <c r="A54" s="5">
        <v>44539</v>
      </c>
      <c r="B54">
        <v>4.0579999999999998</v>
      </c>
      <c r="C54">
        <v>4.0720000000000001</v>
      </c>
      <c r="D54">
        <v>3.5760000000000001</v>
      </c>
      <c r="E54">
        <v>3.593</v>
      </c>
      <c r="F54">
        <v>10590161.6</v>
      </c>
      <c r="G54">
        <v>3.593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-0.9314516129032262</v>
      </c>
      <c r="Q54">
        <f t="shared" ref="Q54" si="246">F54*P54</f>
        <v>-9864223.1032258105</v>
      </c>
      <c r="R54">
        <f t="shared" ref="R54" si="247">R55+Q54</f>
        <v>210405523.17050073</v>
      </c>
      <c r="S54">
        <f t="shared" ref="S54" si="248">R54/100000</f>
        <v>2104.0552317050074</v>
      </c>
      <c r="T54">
        <f t="shared" ref="T54" si="249">S54/1000</f>
        <v>2.1040552317050074</v>
      </c>
    </row>
    <row r="55" spans="1:20" x14ac:dyDescent="0.25">
      <c r="A55" s="5">
        <v>44538</v>
      </c>
      <c r="B55">
        <v>3.9550000000000001</v>
      </c>
      <c r="C55">
        <v>4.1029999999999998</v>
      </c>
      <c r="D55">
        <v>3.7650000000000001</v>
      </c>
      <c r="E55">
        <v>4.0590000000000002</v>
      </c>
      <c r="F55">
        <v>3863015.2</v>
      </c>
      <c r="G55">
        <v>4.0590000000000002</v>
      </c>
      <c r="L55" t="s">
        <v>8</v>
      </c>
      <c r="M55" t="s">
        <v>7</v>
      </c>
      <c r="N55" t="s">
        <v>7</v>
      </c>
      <c r="P55">
        <f t="shared" ref="P55" si="250">IF(C55=D55,0,((E55-D55)-(C55-E55))/(C55-D55))</f>
        <v>0.7396449704142033</v>
      </c>
      <c r="Q55">
        <f t="shared" ref="Q55" si="251">F55*P55</f>
        <v>2857259.7633136176</v>
      </c>
      <c r="R55">
        <f t="shared" ref="R55" si="252">R56+Q55</f>
        <v>220269746.27372652</v>
      </c>
      <c r="S55">
        <f t="shared" ref="S55" si="253">R55/100000</f>
        <v>2202.6974627372651</v>
      </c>
      <c r="T55">
        <f t="shared" ref="T55" si="254">S55/1000</f>
        <v>2.2026974627372651</v>
      </c>
    </row>
    <row r="56" spans="1:20" x14ac:dyDescent="0.25">
      <c r="A56" s="5">
        <v>44537</v>
      </c>
      <c r="B56">
        <v>3.9209999999999998</v>
      </c>
      <c r="C56">
        <v>4.0270000000000001</v>
      </c>
      <c r="D56">
        <v>3.8380000000000001</v>
      </c>
      <c r="E56">
        <v>3.9550000000000001</v>
      </c>
      <c r="F56">
        <v>8144139.2999999998</v>
      </c>
      <c r="G56">
        <v>3.9550000000000001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0.23809523809523764</v>
      </c>
      <c r="Q56">
        <f t="shared" ref="Q56" si="256">F56*P56</f>
        <v>1939080.785714282</v>
      </c>
      <c r="R56">
        <f t="shared" ref="R56" si="257">R57+Q56</f>
        <v>217412486.5104129</v>
      </c>
      <c r="S56">
        <f t="shared" ref="S56" si="258">R56/100000</f>
        <v>2174.1248651041292</v>
      </c>
      <c r="T56">
        <f t="shared" ref="T56" si="259">S56/1000</f>
        <v>2.1741248651041292</v>
      </c>
    </row>
    <row r="57" spans="1:20" x14ac:dyDescent="0.25">
      <c r="A57" s="5">
        <v>44536</v>
      </c>
      <c r="B57">
        <v>3.8050000000000002</v>
      </c>
      <c r="C57">
        <v>3.992</v>
      </c>
      <c r="D57">
        <v>3.3889999999999998</v>
      </c>
      <c r="E57">
        <v>3.9180000000000001</v>
      </c>
      <c r="F57">
        <v>8742659</v>
      </c>
      <c r="G57">
        <v>3.9180000000000001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0.75456053067993423</v>
      </c>
      <c r="Q57">
        <f t="shared" ref="Q57" si="261">F57*P57</f>
        <v>6596865.4145937031</v>
      </c>
      <c r="R57">
        <f t="shared" ref="R57" si="262">R58+Q57</f>
        <v>215473405.72469863</v>
      </c>
      <c r="S57">
        <f t="shared" ref="S57" si="263">R57/100000</f>
        <v>2154.7340572469861</v>
      </c>
      <c r="T57">
        <f t="shared" ref="T57" si="264">S57/1000</f>
        <v>2.1547340572469862</v>
      </c>
    </row>
    <row r="58" spans="1:20" x14ac:dyDescent="0.25">
      <c r="A58" s="5">
        <v>44535</v>
      </c>
      <c r="B58">
        <v>4.0369999999999999</v>
      </c>
      <c r="C58">
        <v>4.1189999999999998</v>
      </c>
      <c r="D58">
        <v>3.6749999999999998</v>
      </c>
      <c r="E58">
        <v>3.806</v>
      </c>
      <c r="F58">
        <v>8619215.0999999996</v>
      </c>
      <c r="G58">
        <v>3.806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-0.40990990990990883</v>
      </c>
      <c r="Q58">
        <f t="shared" ref="Q58" si="266">F58*P58</f>
        <v>-3533101.6851351256</v>
      </c>
      <c r="R58">
        <f t="shared" ref="R58" si="267">R59+Q58</f>
        <v>208876540.31010494</v>
      </c>
      <c r="S58">
        <f t="shared" ref="S58" si="268">R58/100000</f>
        <v>2088.7654031010493</v>
      </c>
      <c r="T58">
        <f t="shared" ref="T58" si="269">S58/1000</f>
        <v>2.0887654031010494</v>
      </c>
    </row>
    <row r="59" spans="1:20" x14ac:dyDescent="0.25">
      <c r="A59" s="5">
        <v>44534</v>
      </c>
      <c r="B59">
        <v>4.8099999999999996</v>
      </c>
      <c r="C59">
        <v>4.83</v>
      </c>
      <c r="D59">
        <v>3.081</v>
      </c>
      <c r="E59">
        <v>4.0350000000000001</v>
      </c>
      <c r="F59">
        <v>8196199.6299999999</v>
      </c>
      <c r="G59">
        <v>4.0350000000000001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9.090909090909105E-2</v>
      </c>
      <c r="Q59">
        <f t="shared" ref="Q59" si="271">F59*P59</f>
        <v>745109.05727272842</v>
      </c>
      <c r="R59">
        <f t="shared" ref="R59" si="272">R60+Q59</f>
        <v>212409641.99524006</v>
      </c>
      <c r="S59">
        <f t="shared" ref="S59" si="273">R59/100000</f>
        <v>2124.0964199524005</v>
      </c>
      <c r="T59">
        <f t="shared" ref="T59" si="274">S59/1000</f>
        <v>2.1240964199524006</v>
      </c>
    </row>
    <row r="60" spans="1:20" x14ac:dyDescent="0.25">
      <c r="A60" s="5">
        <v>44533</v>
      </c>
      <c r="B60">
        <v>5.1609999999999996</v>
      </c>
      <c r="C60">
        <v>5.1740000000000004</v>
      </c>
      <c r="D60">
        <v>4.6820000000000004</v>
      </c>
      <c r="E60">
        <v>4.8220000000000001</v>
      </c>
      <c r="F60">
        <v>6560453</v>
      </c>
      <c r="G60">
        <v>4.8220000000000001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-0.43089430894309072</v>
      </c>
      <c r="Q60">
        <f t="shared" ref="Q60" si="276">F60*P60</f>
        <v>-2826861.8617886263</v>
      </c>
      <c r="R60">
        <f t="shared" ref="R60" si="277">R61+Q60</f>
        <v>211664532.93796733</v>
      </c>
      <c r="S60">
        <f t="shared" ref="S60" si="278">R60/100000</f>
        <v>2116.6453293796735</v>
      </c>
      <c r="T60">
        <f t="shared" ref="T60" si="279">S60/1000</f>
        <v>2.1166453293796734</v>
      </c>
    </row>
    <row r="61" spans="1:20" x14ac:dyDescent="0.25">
      <c r="A61" s="5">
        <v>44532</v>
      </c>
      <c r="B61">
        <v>5.1879999999999997</v>
      </c>
      <c r="C61">
        <v>5.54</v>
      </c>
      <c r="D61">
        <v>4.99</v>
      </c>
      <c r="E61">
        <v>5.1619999999999999</v>
      </c>
      <c r="F61">
        <v>7093815.4000000004</v>
      </c>
      <c r="G61">
        <v>5.1619999999999999</v>
      </c>
      <c r="L61" t="s">
        <v>8</v>
      </c>
      <c r="M61" t="s">
        <v>8</v>
      </c>
      <c r="N61" t="s">
        <v>7</v>
      </c>
      <c r="P61">
        <f t="shared" ref="P61" si="280">IF(C61=D61,0,((E61-D61)-(C61-E61))/(C61-D61))</f>
        <v>-0.3745454545454554</v>
      </c>
      <c r="Q61">
        <f t="shared" ref="Q61" si="281">F61*P61</f>
        <v>-2656956.3134545516</v>
      </c>
      <c r="R61">
        <f t="shared" ref="R61" si="282">R62+Q61</f>
        <v>214491394.79975596</v>
      </c>
      <c r="S61">
        <f t="shared" ref="S61" si="283">R61/100000</f>
        <v>2144.9139479975597</v>
      </c>
      <c r="T61">
        <f t="shared" ref="T61" si="284">S61/1000</f>
        <v>2.1449139479975599</v>
      </c>
    </row>
    <row r="62" spans="1:20" x14ac:dyDescent="0.25">
      <c r="A62" s="5">
        <v>44531</v>
      </c>
      <c r="B62">
        <v>5.0069999999999997</v>
      </c>
      <c r="C62">
        <v>5.2140000000000004</v>
      </c>
      <c r="D62">
        <v>4.944</v>
      </c>
      <c r="E62">
        <v>5.1840000000000002</v>
      </c>
      <c r="F62">
        <v>6064506</v>
      </c>
      <c r="G62">
        <v>5.1840000000000002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0.77777777777777635</v>
      </c>
      <c r="Q62">
        <f t="shared" ref="Q62" si="286">F62*P62</f>
        <v>4716837.9999999916</v>
      </c>
      <c r="R62">
        <f t="shared" ref="R62" si="287">R63+Q62</f>
        <v>217148351.1132105</v>
      </c>
      <c r="S62">
        <f t="shared" ref="S62" si="288">R62/100000</f>
        <v>2171.4835111321049</v>
      </c>
      <c r="T62">
        <f t="shared" ref="T62" si="289">S62/1000</f>
        <v>2.1714835111321049</v>
      </c>
    </row>
    <row r="63" spans="1:20" x14ac:dyDescent="0.25">
      <c r="A63" s="5">
        <v>44530</v>
      </c>
      <c r="B63">
        <v>4.9950000000000001</v>
      </c>
      <c r="C63">
        <v>5.1100000000000003</v>
      </c>
      <c r="D63">
        <v>4.8339999999999996</v>
      </c>
      <c r="E63">
        <v>5.0049999999999999</v>
      </c>
      <c r="F63">
        <v>7056514.7000000002</v>
      </c>
      <c r="G63">
        <v>5.0049999999999999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0.23913043478260751</v>
      </c>
      <c r="Q63">
        <f t="shared" ref="Q63" si="291">F63*P63</f>
        <v>1687427.4282608612</v>
      </c>
      <c r="R63">
        <f t="shared" ref="R63" si="292">R64+Q63</f>
        <v>212431513.1132105</v>
      </c>
      <c r="S63">
        <f t="shared" ref="S63" si="293">R63/100000</f>
        <v>2124.3151311321049</v>
      </c>
      <c r="T63">
        <f t="shared" ref="T63" si="294">S63/1000</f>
        <v>2.1243151311321049</v>
      </c>
    </row>
    <row r="64" spans="1:20" x14ac:dyDescent="0.25">
      <c r="A64" s="5">
        <v>44529</v>
      </c>
      <c r="B64">
        <v>4.9359999999999999</v>
      </c>
      <c r="C64">
        <v>5.024</v>
      </c>
      <c r="D64">
        <v>4.8570000000000002</v>
      </c>
      <c r="E64">
        <v>4.9950000000000001</v>
      </c>
      <c r="F64">
        <v>1065516.8999999999</v>
      </c>
      <c r="G64">
        <v>4.9950000000000001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0.65269461077844371</v>
      </c>
      <c r="Q64">
        <f t="shared" ref="Q64" si="296">F64*P64</f>
        <v>695457.13832335384</v>
      </c>
      <c r="R64">
        <f t="shared" ref="R64" si="297">R65+Q64</f>
        <v>210744085.68494964</v>
      </c>
      <c r="S64">
        <f t="shared" ref="S64" si="298">R64/100000</f>
        <v>2107.4408568494964</v>
      </c>
      <c r="T64">
        <f t="shared" ref="T64" si="299">S64/1000</f>
        <v>2.1074408568494962</v>
      </c>
    </row>
    <row r="65" spans="1:20" x14ac:dyDescent="0.25">
      <c r="A65" s="5">
        <v>44528</v>
      </c>
      <c r="B65">
        <v>4.9809999999999999</v>
      </c>
      <c r="C65">
        <v>4.9980000000000002</v>
      </c>
      <c r="D65">
        <v>4.5620000000000003</v>
      </c>
      <c r="E65">
        <v>4.9409999999999998</v>
      </c>
      <c r="F65">
        <v>2234305.7000000002</v>
      </c>
      <c r="G65">
        <v>4.9409999999999998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0.73853211009174136</v>
      </c>
      <c r="Q65">
        <f t="shared" ref="Q65" si="301">F65*P65</f>
        <v>1650106.5032110054</v>
      </c>
      <c r="R65">
        <f t="shared" ref="R65" si="302">R66+Q65</f>
        <v>210048628.54662627</v>
      </c>
      <c r="S65">
        <f t="shared" ref="S65" si="303">R65/100000</f>
        <v>2100.4862854662629</v>
      </c>
      <c r="T65">
        <f t="shared" ref="T65" si="304">S65/1000</f>
        <v>2.1004862854662627</v>
      </c>
    </row>
    <row r="66" spans="1:20" x14ac:dyDescent="0.25">
      <c r="A66" s="5">
        <v>44527</v>
      </c>
      <c r="B66">
        <v>4.8849999999999998</v>
      </c>
      <c r="C66">
        <v>5.2089999999999996</v>
      </c>
      <c r="D66">
        <v>4.883</v>
      </c>
      <c r="E66">
        <v>4.9820000000000002</v>
      </c>
      <c r="F66">
        <v>6255320.2999999998</v>
      </c>
      <c r="G66">
        <v>4.9820000000000002</v>
      </c>
      <c r="L66" t="s">
        <v>8</v>
      </c>
      <c r="M66" t="s">
        <v>8</v>
      </c>
      <c r="N66" t="s">
        <v>7</v>
      </c>
      <c r="P66">
        <f t="shared" ref="P66" si="305">IF(C66=D66,0,((E66-D66)-(C66-E66))/(C66-D66))</f>
        <v>-0.39263803680981402</v>
      </c>
      <c r="Q66">
        <f t="shared" ref="Q66" si="306">F66*P66</f>
        <v>-2456076.6822085767</v>
      </c>
      <c r="R66">
        <f t="shared" ref="R66" si="307">R67+Q66</f>
        <v>208398522.04341528</v>
      </c>
      <c r="S66">
        <f t="shared" ref="S66" si="308">R66/100000</f>
        <v>2083.9852204341528</v>
      </c>
      <c r="T66">
        <f t="shared" ref="T66" si="309">S66/1000</f>
        <v>2.0839852204341529</v>
      </c>
    </row>
    <row r="67" spans="1:20" x14ac:dyDescent="0.25">
      <c r="A67" s="5">
        <v>44526</v>
      </c>
      <c r="B67">
        <v>5.3710000000000004</v>
      </c>
      <c r="C67">
        <v>5.5339999999999998</v>
      </c>
      <c r="D67">
        <v>4.7690000000000001</v>
      </c>
      <c r="E67">
        <v>4.8860000000000001</v>
      </c>
      <c r="F67">
        <v>7117934.7000000002</v>
      </c>
      <c r="G67">
        <v>4.8860000000000001</v>
      </c>
      <c r="L67" t="s">
        <v>7</v>
      </c>
      <c r="M67" t="s">
        <v>8</v>
      </c>
      <c r="N67" t="s">
        <v>7</v>
      </c>
      <c r="P67">
        <f t="shared" ref="P67" si="310">IF(C67=D67,0,((E67-D67)-(C67-E67))/(C67-D67))</f>
        <v>-0.69411764705882339</v>
      </c>
      <c r="Q67">
        <f t="shared" ref="Q67" si="311">F67*P67</f>
        <v>-4940684.0858823517</v>
      </c>
      <c r="R67">
        <f t="shared" ref="R67" si="312">R68+Q67</f>
        <v>210854598.72562385</v>
      </c>
      <c r="S67">
        <f t="shared" ref="S67" si="313">R67/100000</f>
        <v>2108.5459872562383</v>
      </c>
      <c r="T67">
        <f t="shared" ref="T67" si="314">S67/1000</f>
        <v>2.1085459872562384</v>
      </c>
    </row>
    <row r="68" spans="1:20" x14ac:dyDescent="0.25">
      <c r="A68" s="5">
        <v>44525</v>
      </c>
      <c r="B68">
        <v>5.2510000000000003</v>
      </c>
      <c r="C68">
        <v>5.407</v>
      </c>
      <c r="D68">
        <v>5.093</v>
      </c>
      <c r="E68">
        <v>5.37</v>
      </c>
      <c r="F68">
        <v>5828028.0999999996</v>
      </c>
      <c r="G68">
        <v>5.37</v>
      </c>
      <c r="L68" t="s">
        <v>7</v>
      </c>
      <c r="M68" t="s">
        <v>8</v>
      </c>
      <c r="N68" t="s">
        <v>7</v>
      </c>
      <c r="P68">
        <f t="shared" ref="P68" si="315">IF(C68=D68,0,((E68-D68)-(C68-E68))/(C68-D68))</f>
        <v>0.7643312101910833</v>
      </c>
      <c r="Q68">
        <f t="shared" ref="Q68" si="316">F68*P68</f>
        <v>4454543.7707006391</v>
      </c>
      <c r="R68">
        <f t="shared" ref="R68" si="317">R69+Q68</f>
        <v>215795282.81150621</v>
      </c>
      <c r="S68">
        <f t="shared" ref="S68" si="318">R68/100000</f>
        <v>2157.9528281150619</v>
      </c>
      <c r="T68">
        <f t="shared" ref="T68" si="319">S68/1000</f>
        <v>2.1579528281150617</v>
      </c>
    </row>
    <row r="69" spans="1:20" x14ac:dyDescent="0.25">
      <c r="A69" s="5">
        <v>44524</v>
      </c>
      <c r="B69">
        <v>5.3659999999999997</v>
      </c>
      <c r="C69">
        <v>5.5640000000000001</v>
      </c>
      <c r="D69">
        <v>5.3310000000000004</v>
      </c>
      <c r="E69">
        <v>5.484</v>
      </c>
      <c r="F69">
        <v>2667243.5</v>
      </c>
      <c r="G69">
        <v>5.484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0.31330472103004126</v>
      </c>
      <c r="Q69">
        <f t="shared" ref="Q69" si="321">F69*P69</f>
        <v>835659.98068669089</v>
      </c>
      <c r="R69">
        <f t="shared" ref="R69" si="322">R70+Q69</f>
        <v>211340739.04080558</v>
      </c>
      <c r="S69">
        <f t="shared" ref="S69" si="323">R69/100000</f>
        <v>2113.4073904080556</v>
      </c>
      <c r="T69">
        <f t="shared" ref="T69" si="324">S69/1000</f>
        <v>2.1134073904080557</v>
      </c>
    </row>
    <row r="70" spans="1:20" x14ac:dyDescent="0.25">
      <c r="A70" s="5">
        <v>44523</v>
      </c>
      <c r="B70">
        <v>5.0510000000000002</v>
      </c>
      <c r="C70">
        <v>5.5289999999999999</v>
      </c>
      <c r="D70">
        <v>4.9359999999999999</v>
      </c>
      <c r="E70">
        <v>5.367</v>
      </c>
      <c r="F70">
        <v>9076234.9000000004</v>
      </c>
      <c r="G70">
        <v>5.367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0.45362563237774056</v>
      </c>
      <c r="Q70">
        <f t="shared" ref="Q70" si="326">F70*P70</f>
        <v>4117212.7961214189</v>
      </c>
      <c r="R70">
        <f t="shared" ref="R70" si="327">R71+Q70</f>
        <v>210505079.06011888</v>
      </c>
      <c r="S70">
        <f t="shared" ref="S70" si="328">R70/100000</f>
        <v>2105.050790601189</v>
      </c>
      <c r="T70">
        <f t="shared" ref="T70" si="329">S70/1000</f>
        <v>2.1050507906011888</v>
      </c>
    </row>
    <row r="71" spans="1:20" x14ac:dyDescent="0.25">
      <c r="A71" s="5">
        <v>44522</v>
      </c>
      <c r="B71">
        <v>5.2210000000000001</v>
      </c>
      <c r="C71">
        <v>5.24</v>
      </c>
      <c r="D71">
        <v>4.9640000000000004</v>
      </c>
      <c r="E71">
        <v>5.0540000000000003</v>
      </c>
      <c r="F71">
        <v>6376008</v>
      </c>
      <c r="G71">
        <v>5.0540000000000003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-0.34782608695652228</v>
      </c>
      <c r="Q71">
        <f t="shared" ref="Q71" si="331">F71*P71</f>
        <v>-2217741.9130434818</v>
      </c>
      <c r="R71">
        <f t="shared" ref="R71" si="332">R72+Q71</f>
        <v>206387866.26399747</v>
      </c>
      <c r="S71">
        <f t="shared" ref="S71" si="333">R71/100000</f>
        <v>2063.8786626399747</v>
      </c>
      <c r="T71">
        <f t="shared" ref="T71" si="334">S71/1000</f>
        <v>2.0638786626399748</v>
      </c>
    </row>
    <row r="72" spans="1:20" x14ac:dyDescent="0.25">
      <c r="A72" s="5">
        <v>44521</v>
      </c>
      <c r="B72">
        <v>5.2539999999999996</v>
      </c>
      <c r="C72">
        <v>5.343</v>
      </c>
      <c r="D72">
        <v>5.1369999999999996</v>
      </c>
      <c r="E72">
        <v>5.2210000000000001</v>
      </c>
      <c r="F72">
        <v>5948321.7000000002</v>
      </c>
      <c r="G72">
        <v>5.2210000000000001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-0.18446601941747229</v>
      </c>
      <c r="Q72">
        <f t="shared" ref="Q72" si="336">F72*P72</f>
        <v>-1097263.2262135718</v>
      </c>
      <c r="R72">
        <f t="shared" ref="R72" si="337">R73+Q72</f>
        <v>208605608.17704093</v>
      </c>
      <c r="S72">
        <f t="shared" ref="S72" si="338">R72/100000</f>
        <v>2086.0560817704095</v>
      </c>
      <c r="T72">
        <f t="shared" ref="T72" si="339">S72/1000</f>
        <v>2.0860560817704097</v>
      </c>
    </row>
    <row r="73" spans="1:20" x14ac:dyDescent="0.25">
      <c r="A73" s="5">
        <v>44520</v>
      </c>
      <c r="B73">
        <v>5.1609999999999996</v>
      </c>
      <c r="C73">
        <v>5.2850000000000001</v>
      </c>
      <c r="D73">
        <v>5.0339999999999998</v>
      </c>
      <c r="E73">
        <v>5.2539999999999996</v>
      </c>
      <c r="F73">
        <v>6017128.7000000002</v>
      </c>
      <c r="G73">
        <v>5.2539999999999996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0.75298804780876061</v>
      </c>
      <c r="Q73">
        <f t="shared" ref="Q73" si="341">F73*P73</f>
        <v>4530825.9932270655</v>
      </c>
      <c r="R73">
        <f t="shared" ref="R73" si="342">R74+Q73</f>
        <v>209702871.40325451</v>
      </c>
      <c r="S73">
        <f t="shared" ref="S73" si="343">R73/100000</f>
        <v>2097.0287140325449</v>
      </c>
      <c r="T73">
        <f t="shared" ref="T73" si="344">S73/1000</f>
        <v>2.097028714032545</v>
      </c>
    </row>
    <row r="74" spans="1:20" x14ac:dyDescent="0.25">
      <c r="A74" s="5">
        <v>44519</v>
      </c>
      <c r="B74">
        <v>4.9029999999999996</v>
      </c>
      <c r="C74">
        <v>5.2039999999999997</v>
      </c>
      <c r="D74">
        <v>4.79</v>
      </c>
      <c r="E74">
        <v>5.1589999999999998</v>
      </c>
      <c r="F74">
        <v>5634171.5</v>
      </c>
      <c r="G74">
        <v>5.1589999999999998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0.78260869565217406</v>
      </c>
      <c r="Q74">
        <f t="shared" ref="Q74" si="346">F74*P74</f>
        <v>4409351.6086956533</v>
      </c>
      <c r="R74">
        <f t="shared" ref="R74" si="347">R75+Q74</f>
        <v>205172045.41002744</v>
      </c>
      <c r="S74">
        <f t="shared" ref="S74" si="348">R74/100000</f>
        <v>2051.7204541002743</v>
      </c>
      <c r="T74">
        <f t="shared" ref="T74" si="349">S74/1000</f>
        <v>2.0517204541002743</v>
      </c>
    </row>
    <row r="75" spans="1:20" x14ac:dyDescent="0.25">
      <c r="A75" s="5">
        <v>44518</v>
      </c>
      <c r="B75">
        <v>5.4160000000000004</v>
      </c>
      <c r="C75">
        <v>5.42</v>
      </c>
      <c r="D75">
        <v>4.734</v>
      </c>
      <c r="E75">
        <v>4.9050000000000002</v>
      </c>
      <c r="F75">
        <v>5968253</v>
      </c>
      <c r="G75">
        <v>4.9050000000000002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-0.50145772594752103</v>
      </c>
      <c r="Q75">
        <f t="shared" ref="Q75" si="351">F75*P75</f>
        <v>-2992826.5772594702</v>
      </c>
      <c r="R75">
        <f t="shared" ref="R75" si="352">R76+Q75</f>
        <v>200762693.80133179</v>
      </c>
      <c r="S75">
        <f t="shared" ref="S75" si="353">R75/100000</f>
        <v>2007.6269380133178</v>
      </c>
      <c r="T75">
        <f t="shared" ref="T75" si="354">S75/1000</f>
        <v>2.0076269380133178</v>
      </c>
    </row>
    <row r="76" spans="1:20" x14ac:dyDescent="0.25">
      <c r="A76" s="5">
        <v>44517</v>
      </c>
      <c r="B76">
        <v>5.1829999999999998</v>
      </c>
      <c r="C76">
        <v>5.42</v>
      </c>
      <c r="D76">
        <v>5.0250000000000004</v>
      </c>
      <c r="E76">
        <v>5.4189999999999996</v>
      </c>
      <c r="F76">
        <v>6779506.5999999996</v>
      </c>
      <c r="G76">
        <v>5.4189999999999996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0.9949367088607578</v>
      </c>
      <c r="Q76">
        <f t="shared" ref="Q76" si="356">F76*P76</f>
        <v>6745179.9843037855</v>
      </c>
      <c r="R76">
        <f t="shared" ref="R76" si="357">R77+Q76</f>
        <v>203755520.37859127</v>
      </c>
      <c r="S76">
        <f t="shared" ref="S76" si="358">R76/100000</f>
        <v>2037.5552037859127</v>
      </c>
      <c r="T76">
        <f t="shared" ref="T76" si="359">S76/1000</f>
        <v>2.0375552037859128</v>
      </c>
    </row>
    <row r="77" spans="1:20" x14ac:dyDescent="0.25">
      <c r="A77" s="5">
        <v>44516</v>
      </c>
      <c r="B77">
        <v>5.5949999999999998</v>
      </c>
      <c r="C77">
        <v>5.5949999999999998</v>
      </c>
      <c r="D77">
        <v>4.74</v>
      </c>
      <c r="E77">
        <v>5.1820000000000004</v>
      </c>
      <c r="F77">
        <v>7541796.7999999998</v>
      </c>
      <c r="G77">
        <v>5.1820000000000004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3.3918128654971715E-2</v>
      </c>
      <c r="Q77">
        <f t="shared" ref="Q77" si="361">F77*P77</f>
        <v>255803.63415205397</v>
      </c>
      <c r="R77">
        <f t="shared" ref="R77" si="362">R78+Q77</f>
        <v>197010340.3942875</v>
      </c>
      <c r="S77">
        <f t="shared" ref="S77" si="363">R77/100000</f>
        <v>1970.103403942875</v>
      </c>
      <c r="T77">
        <f t="shared" ref="T77" si="364">S77/1000</f>
        <v>1.9701034039428751</v>
      </c>
    </row>
    <row r="78" spans="1:20" x14ac:dyDescent="0.25">
      <c r="A78" s="5">
        <v>44515</v>
      </c>
      <c r="B78">
        <v>5.6580000000000004</v>
      </c>
      <c r="C78">
        <v>5.7080000000000002</v>
      </c>
      <c r="D78">
        <v>5.5259999999999998</v>
      </c>
      <c r="E78">
        <v>5.5940000000000003</v>
      </c>
      <c r="F78">
        <v>5399092.9000000004</v>
      </c>
      <c r="G78">
        <v>5.5940000000000003</v>
      </c>
      <c r="L78" t="s">
        <v>8</v>
      </c>
      <c r="M78" t="s">
        <v>8</v>
      </c>
      <c r="N78" t="s">
        <v>7</v>
      </c>
      <c r="P78">
        <f t="shared" ref="P78" si="365">IF(C78=D78,0,((E78-D78)-(C78-E78))/(C78-D78))</f>
        <v>-0.2527472527472488</v>
      </c>
      <c r="Q78">
        <f t="shared" ref="Q78" si="366">F78*P78</f>
        <v>-1364605.8978021767</v>
      </c>
      <c r="R78">
        <f t="shared" ref="R78" si="367">R79+Q78</f>
        <v>196754536.76013544</v>
      </c>
      <c r="S78">
        <f t="shared" ref="S78" si="368">R78/100000</f>
        <v>1967.5453676013544</v>
      </c>
      <c r="T78">
        <f t="shared" ref="T78" si="369">S78/1000</f>
        <v>1.9675453676013543</v>
      </c>
    </row>
    <row r="79" spans="1:20" x14ac:dyDescent="0.25">
      <c r="A79" s="5">
        <v>44514</v>
      </c>
      <c r="B79">
        <v>5.6630000000000003</v>
      </c>
      <c r="C79">
        <v>5.8760000000000003</v>
      </c>
      <c r="D79">
        <v>5.5570000000000004</v>
      </c>
      <c r="E79">
        <v>5.6559999999999997</v>
      </c>
      <c r="F79">
        <v>6180876.0999999996</v>
      </c>
      <c r="G79">
        <v>5.6559999999999997</v>
      </c>
      <c r="L79" t="s">
        <v>8</v>
      </c>
      <c r="M79" t="s">
        <v>8</v>
      </c>
      <c r="N79" t="s">
        <v>7</v>
      </c>
      <c r="P79">
        <f t="shared" ref="P79" si="370">IF(C79=D79,0,((E79-D79)-(C79-E79))/(C79-D79))</f>
        <v>-0.37931034482759041</v>
      </c>
      <c r="Q79">
        <f t="shared" ref="Q79" si="371">F79*P79</f>
        <v>-2344470.2448276118</v>
      </c>
      <c r="R79">
        <f t="shared" ref="R79" si="372">R80+Q79</f>
        <v>198119142.65793762</v>
      </c>
      <c r="S79">
        <f t="shared" ref="S79" si="373">R79/100000</f>
        <v>1981.1914265793762</v>
      </c>
      <c r="T79">
        <f t="shared" ref="T79" si="374">S79/1000</f>
        <v>1.9811914265793762</v>
      </c>
    </row>
    <row r="80" spans="1:20" x14ac:dyDescent="0.25">
      <c r="A80" s="5">
        <v>44513</v>
      </c>
      <c r="B80">
        <v>5.5890000000000004</v>
      </c>
      <c r="C80">
        <v>5.7329999999999997</v>
      </c>
      <c r="D80">
        <v>5.5540000000000003</v>
      </c>
      <c r="E80">
        <v>5.6630000000000003</v>
      </c>
      <c r="F80">
        <v>5524830.5</v>
      </c>
      <c r="G80">
        <v>5.6630000000000003</v>
      </c>
      <c r="L80" t="s">
        <v>8</v>
      </c>
      <c r="M80" t="s">
        <v>8</v>
      </c>
      <c r="N80" t="s">
        <v>7</v>
      </c>
      <c r="P80">
        <f t="shared" ref="P80" si="375">IF(C80=D80,0,((E80-D80)-(C80-E80))/(C80-D80))</f>
        <v>0.21787709497207108</v>
      </c>
      <c r="Q80">
        <f t="shared" ref="Q80" si="376">F80*P80</f>
        <v>1203734.0195530949</v>
      </c>
      <c r="R80">
        <f t="shared" ref="R80" si="377">R81+Q80</f>
        <v>200463612.90276521</v>
      </c>
      <c r="S80">
        <f t="shared" ref="S80" si="378">R80/100000</f>
        <v>2004.636129027652</v>
      </c>
      <c r="T80">
        <f t="shared" ref="T80" si="379">S80/1000</f>
        <v>2.0046361290276522</v>
      </c>
    </row>
    <row r="81" spans="1:20" x14ac:dyDescent="0.25">
      <c r="A81" s="5">
        <v>44512</v>
      </c>
      <c r="B81">
        <v>5.5880000000000001</v>
      </c>
      <c r="C81">
        <v>5.8659999999999997</v>
      </c>
      <c r="D81">
        <v>5.399</v>
      </c>
      <c r="E81">
        <v>5.59</v>
      </c>
      <c r="F81">
        <v>6821246.5999999996</v>
      </c>
      <c r="G81">
        <v>5.59</v>
      </c>
      <c r="L81" t="s">
        <v>8</v>
      </c>
      <c r="M81" t="s">
        <v>8</v>
      </c>
      <c r="N81" t="s">
        <v>7</v>
      </c>
      <c r="P81">
        <f t="shared" ref="P81" si="380">IF(C81=D81,0,((E81-D81)-(C81-E81))/(C81-D81))</f>
        <v>-0.18201284796573883</v>
      </c>
      <c r="Q81">
        <f t="shared" ref="Q81" si="381">F81*P81</f>
        <v>-1241554.5203426129</v>
      </c>
      <c r="R81">
        <f t="shared" ref="R81" si="382">R82+Q81</f>
        <v>199259878.88321212</v>
      </c>
      <c r="S81">
        <f t="shared" ref="S81" si="383">R81/100000</f>
        <v>1992.5987888321213</v>
      </c>
      <c r="T81">
        <f t="shared" ref="T81" si="384">S81/1000</f>
        <v>1.9925987888321213</v>
      </c>
    </row>
    <row r="82" spans="1:20" x14ac:dyDescent="0.25">
      <c r="A82" s="5">
        <v>44511</v>
      </c>
      <c r="B82">
        <v>5.4859999999999998</v>
      </c>
      <c r="C82">
        <v>5.6890000000000001</v>
      </c>
      <c r="D82">
        <v>5.4279999999999999</v>
      </c>
      <c r="E82">
        <v>5.5880000000000001</v>
      </c>
      <c r="F82">
        <v>2012629.4</v>
      </c>
      <c r="G82">
        <v>5.5880000000000001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0.22605363984674381</v>
      </c>
      <c r="Q82">
        <f t="shared" ref="Q82" si="386">F82*P82</f>
        <v>454962.20153256808</v>
      </c>
      <c r="R82">
        <f t="shared" ref="R82" si="387">R83+Q82</f>
        <v>200501433.40355474</v>
      </c>
      <c r="S82">
        <f t="shared" ref="S82" si="388">R82/100000</f>
        <v>2005.0143340355473</v>
      </c>
      <c r="T82">
        <f t="shared" ref="T82" si="389">S82/1000</f>
        <v>2.0050143340355473</v>
      </c>
    </row>
    <row r="83" spans="1:20" x14ac:dyDescent="0.25">
      <c r="A83" s="5">
        <v>44510</v>
      </c>
      <c r="B83">
        <v>5.93</v>
      </c>
      <c r="C83">
        <v>5.9809999999999999</v>
      </c>
      <c r="D83">
        <v>5.0030000000000001</v>
      </c>
      <c r="E83">
        <v>5.4870000000000001</v>
      </c>
      <c r="F83">
        <v>7000030.5</v>
      </c>
      <c r="G83">
        <v>5.4870000000000001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-1.0224948875255409E-2</v>
      </c>
      <c r="Q83">
        <f t="shared" ref="Q83" si="391">F83*P83</f>
        <v>-71574.953987728557</v>
      </c>
      <c r="R83">
        <f t="shared" ref="R83" si="392">R84+Q83</f>
        <v>200046471.20202217</v>
      </c>
      <c r="S83">
        <f t="shared" ref="S83" si="393">R83/100000</f>
        <v>2000.4647120202217</v>
      </c>
      <c r="T83">
        <f t="shared" ref="T83" si="394">S83/1000</f>
        <v>2.0004647120202215</v>
      </c>
    </row>
    <row r="84" spans="1:20" x14ac:dyDescent="0.25">
      <c r="A84" s="5">
        <v>44509</v>
      </c>
      <c r="B84">
        <v>5.9080000000000004</v>
      </c>
      <c r="C84">
        <v>6.0919999999999996</v>
      </c>
      <c r="D84">
        <v>5.8289999999999997</v>
      </c>
      <c r="E84">
        <v>5.9320000000000004</v>
      </c>
      <c r="F84">
        <v>7634935.5999999996</v>
      </c>
      <c r="G84">
        <v>5.9320000000000004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-0.21673003802280846</v>
      </c>
      <c r="Q84">
        <f t="shared" ref="Q84" si="396">F84*P84</f>
        <v>-1654719.8828896938</v>
      </c>
      <c r="R84">
        <f t="shared" ref="R84" si="397">R85+Q84</f>
        <v>200118046.15600988</v>
      </c>
      <c r="S84">
        <f t="shared" ref="S84" si="398">R84/100000</f>
        <v>2001.1804615600988</v>
      </c>
      <c r="T84">
        <f t="shared" ref="T84" si="399">S84/1000</f>
        <v>2.0011804615600988</v>
      </c>
    </row>
    <row r="85" spans="1:20" x14ac:dyDescent="0.25">
      <c r="A85" s="5">
        <v>44508</v>
      </c>
      <c r="B85">
        <v>5.7750000000000004</v>
      </c>
      <c r="C85">
        <v>5.9320000000000004</v>
      </c>
      <c r="D85">
        <v>5.6059999999999999</v>
      </c>
      <c r="E85">
        <v>5.91</v>
      </c>
      <c r="F85">
        <v>2647938.5</v>
      </c>
      <c r="G85">
        <v>5.91</v>
      </c>
      <c r="L85" t="s">
        <v>8</v>
      </c>
      <c r="M85" t="s">
        <v>7</v>
      </c>
      <c r="N85" t="s">
        <v>7</v>
      </c>
      <c r="P85">
        <f t="shared" ref="P85" si="400">IF(C85=D85,0,((E85-D85)-(C85-E85))/(C85-D85))</f>
        <v>0.86503067484662455</v>
      </c>
      <c r="Q85">
        <f t="shared" ref="Q85" si="401">F85*P85</f>
        <v>2290548.0276073585</v>
      </c>
      <c r="R85">
        <f t="shared" ref="R85" si="402">R86+Q85</f>
        <v>201772766.03889957</v>
      </c>
      <c r="S85">
        <f t="shared" ref="S85" si="403">R85/100000</f>
        <v>2017.7276603889957</v>
      </c>
      <c r="T85">
        <f t="shared" ref="T85" si="404">S85/1000</f>
        <v>2.0177276603889958</v>
      </c>
    </row>
    <row r="86" spans="1:20" x14ac:dyDescent="0.25">
      <c r="A86" s="5">
        <v>44507</v>
      </c>
      <c r="B86">
        <v>5.7190000000000003</v>
      </c>
      <c r="C86">
        <v>5.78</v>
      </c>
      <c r="D86">
        <v>5.6669999999999998</v>
      </c>
      <c r="E86">
        <v>5.7750000000000004</v>
      </c>
      <c r="F86">
        <v>1224131.8</v>
      </c>
      <c r="G86">
        <v>5.7750000000000004</v>
      </c>
      <c r="L86" t="s">
        <v>7</v>
      </c>
      <c r="M86" t="s">
        <v>7</v>
      </c>
      <c r="N86" t="s">
        <v>7</v>
      </c>
      <c r="P86">
        <f t="shared" ref="P86" si="405">IF(C86=D86,0,((E86-D86)-(C86-E86))/(C86-D86))</f>
        <v>0.91150442477876326</v>
      </c>
      <c r="Q86">
        <f t="shared" ref="Q86" si="406">F86*P86</f>
        <v>1115801.5522123922</v>
      </c>
      <c r="R86">
        <f t="shared" ref="R86" si="407">R87+Q86</f>
        <v>199482218.01129222</v>
      </c>
      <c r="S86">
        <f t="shared" ref="S86" si="408">R86/100000</f>
        <v>1994.8221801129223</v>
      </c>
      <c r="T86">
        <f t="shared" ref="T86" si="409">S86/1000</f>
        <v>1.9948221801129222</v>
      </c>
    </row>
    <row r="87" spans="1:20" x14ac:dyDescent="0.25">
      <c r="A87" s="5">
        <v>44506</v>
      </c>
      <c r="B87">
        <v>5.7949999999999999</v>
      </c>
      <c r="C87">
        <v>5.82</v>
      </c>
      <c r="D87">
        <v>5.4690000000000003</v>
      </c>
      <c r="E87">
        <v>5.7210000000000001</v>
      </c>
      <c r="F87">
        <v>2323589.4</v>
      </c>
      <c r="G87">
        <v>5.7210000000000001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0.43589743589743474</v>
      </c>
      <c r="Q87">
        <f t="shared" ref="Q87" si="411">F87*P87</f>
        <v>1012846.6615384588</v>
      </c>
      <c r="R87">
        <f t="shared" ref="R87" si="412">R88+Q87</f>
        <v>198366416.45907983</v>
      </c>
      <c r="S87">
        <f t="shared" ref="S87" si="413">R87/100000</f>
        <v>1983.6641645907982</v>
      </c>
      <c r="T87">
        <f t="shared" ref="T87" si="414">S87/1000</f>
        <v>1.9836641645907982</v>
      </c>
    </row>
    <row r="88" spans="1:20" x14ac:dyDescent="0.25">
      <c r="A88" s="5">
        <v>44505</v>
      </c>
      <c r="B88">
        <v>5.9109999999999996</v>
      </c>
      <c r="C88">
        <v>6.0190000000000001</v>
      </c>
      <c r="D88">
        <v>5.7409999999999997</v>
      </c>
      <c r="E88">
        <v>5.7949999999999999</v>
      </c>
      <c r="F88">
        <v>1727793.1</v>
      </c>
      <c r="G88">
        <v>5.7949999999999999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-0.61151079136690523</v>
      </c>
      <c r="Q88">
        <f t="shared" ref="Q88" si="416">F88*P88</f>
        <v>-1056564.1258992786</v>
      </c>
      <c r="R88">
        <f t="shared" ref="R88" si="417">R89+Q88</f>
        <v>197353569.79754138</v>
      </c>
      <c r="S88">
        <f t="shared" ref="S88" si="418">R88/100000</f>
        <v>1973.5356979754138</v>
      </c>
      <c r="T88">
        <f t="shared" ref="T88" si="419">S88/1000</f>
        <v>1.9735356979754137</v>
      </c>
    </row>
    <row r="89" spans="1:20" x14ac:dyDescent="0.25">
      <c r="A89" s="5">
        <v>44504</v>
      </c>
      <c r="B89">
        <v>6.0410000000000004</v>
      </c>
      <c r="C89">
        <v>6.1369999999999996</v>
      </c>
      <c r="D89">
        <v>5.7069999999999999</v>
      </c>
      <c r="E89">
        <v>5.9139999999999997</v>
      </c>
      <c r="F89">
        <v>3282297</v>
      </c>
      <c r="G89">
        <v>5.9139999999999997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-3.720930232558145E-2</v>
      </c>
      <c r="Q89">
        <f t="shared" ref="Q89" si="421">F89*P89</f>
        <v>-122131.98139534902</v>
      </c>
      <c r="R89">
        <f t="shared" ref="R89" si="422">R90+Q89</f>
        <v>198410133.92344067</v>
      </c>
      <c r="S89">
        <f t="shared" ref="S89" si="423">R89/100000</f>
        <v>1984.1013392344066</v>
      </c>
      <c r="T89">
        <f t="shared" ref="T89" si="424">S89/1000</f>
        <v>1.9841013392344067</v>
      </c>
    </row>
    <row r="90" spans="1:20" x14ac:dyDescent="0.25">
      <c r="A90" s="5">
        <v>44503</v>
      </c>
      <c r="B90">
        <v>6.1909999999999998</v>
      </c>
      <c r="C90">
        <v>6.2</v>
      </c>
      <c r="D90">
        <v>5.7859999999999996</v>
      </c>
      <c r="E90">
        <v>6.0359999999999996</v>
      </c>
      <c r="F90">
        <v>3428226.9</v>
      </c>
      <c r="G90">
        <v>6.0359999999999996</v>
      </c>
      <c r="L90" t="s">
        <v>7</v>
      </c>
      <c r="M90" t="s">
        <v>8</v>
      </c>
      <c r="N90" t="s">
        <v>7</v>
      </c>
      <c r="P90">
        <f t="shared" ref="P90" si="425">IF(C90=D90,0,((E90-D90)-(C90-E90))/(C90-D90))</f>
        <v>0.2077294685990321</v>
      </c>
      <c r="Q90">
        <f t="shared" ref="Q90" si="426">F90*P90</f>
        <v>712143.75217390712</v>
      </c>
      <c r="R90">
        <f t="shared" ref="R90" si="427">R91+Q90</f>
        <v>198532265.90483603</v>
      </c>
      <c r="S90">
        <f t="shared" ref="S90" si="428">R90/100000</f>
        <v>1985.3226590483603</v>
      </c>
      <c r="T90">
        <f t="shared" ref="T90" si="429">S90/1000</f>
        <v>1.9853226590483604</v>
      </c>
    </row>
    <row r="91" spans="1:20" x14ac:dyDescent="0.25">
      <c r="A91" s="5">
        <v>44502</v>
      </c>
      <c r="B91">
        <v>6.0469999999999997</v>
      </c>
      <c r="C91">
        <v>6.3</v>
      </c>
      <c r="D91">
        <v>5.9130000000000003</v>
      </c>
      <c r="E91">
        <v>6.1909999999999998</v>
      </c>
      <c r="F91">
        <v>7043848.5999999996</v>
      </c>
      <c r="G91">
        <v>6.1909999999999998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0.43669250645994778</v>
      </c>
      <c r="Q91">
        <f t="shared" ref="Q91" si="431">F91*P91</f>
        <v>3075995.900258394</v>
      </c>
      <c r="R91">
        <f t="shared" ref="R91" si="432">R92+Q91</f>
        <v>197820122.15266213</v>
      </c>
      <c r="S91">
        <f t="shared" ref="S91" si="433">R91/100000</f>
        <v>1978.2012215266213</v>
      </c>
      <c r="T91">
        <f t="shared" ref="T91" si="434">S91/1000</f>
        <v>1.9782012215266214</v>
      </c>
    </row>
    <row r="92" spans="1:20" x14ac:dyDescent="0.25">
      <c r="A92" s="5">
        <v>44501</v>
      </c>
      <c r="B92">
        <v>5.8959999999999999</v>
      </c>
      <c r="C92">
        <v>6.2880000000000003</v>
      </c>
      <c r="D92">
        <v>5.6029999999999998</v>
      </c>
      <c r="E92">
        <v>6.05</v>
      </c>
      <c r="F92">
        <v>12411296.1</v>
      </c>
      <c r="G92">
        <v>6.05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0.30510948905109414</v>
      </c>
      <c r="Q92">
        <f t="shared" ref="Q92" si="436">F92*P92</f>
        <v>3786804.2115328372</v>
      </c>
      <c r="R92">
        <f t="shared" ref="R92" si="437">R93+Q92</f>
        <v>194744126.25240374</v>
      </c>
      <c r="S92">
        <f t="shared" ref="S92" si="438">R92/100000</f>
        <v>1947.4412625240373</v>
      </c>
      <c r="T92">
        <f t="shared" ref="T92" si="439">S92/1000</f>
        <v>1.9474412625240372</v>
      </c>
    </row>
    <row r="93" spans="1:20" x14ac:dyDescent="0.25">
      <c r="A93" s="5">
        <v>44500</v>
      </c>
      <c r="B93">
        <v>5.6740000000000004</v>
      </c>
      <c r="C93">
        <v>6.4909999999999997</v>
      </c>
      <c r="D93">
        <v>5.6210000000000004</v>
      </c>
      <c r="E93">
        <v>5.8949999999999996</v>
      </c>
      <c r="F93">
        <v>14407457.6</v>
      </c>
      <c r="G93">
        <v>5.8949999999999996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-0.37011494252873706</v>
      </c>
      <c r="Q93">
        <f t="shared" ref="Q93" si="441">F93*P93</f>
        <v>-5332415.3416092154</v>
      </c>
      <c r="R93">
        <f t="shared" ref="R93" si="442">R94+Q93</f>
        <v>190957322.0408709</v>
      </c>
      <c r="S93">
        <f t="shared" ref="S93" si="443">R93/100000</f>
        <v>1909.5732204087089</v>
      </c>
      <c r="T93">
        <f t="shared" ref="T93" si="444">S93/1000</f>
        <v>1.909573220408709</v>
      </c>
    </row>
    <row r="94" spans="1:20" x14ac:dyDescent="0.25">
      <c r="A94" s="5">
        <v>44499</v>
      </c>
      <c r="B94">
        <v>5.681</v>
      </c>
      <c r="C94">
        <v>5.9489999999999998</v>
      </c>
      <c r="D94">
        <v>5.4729999999999999</v>
      </c>
      <c r="E94">
        <v>5.6740000000000004</v>
      </c>
      <c r="F94">
        <v>9451014.5999999996</v>
      </c>
      <c r="G94">
        <v>5.6740000000000004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-0.15546218487394739</v>
      </c>
      <c r="Q94">
        <f t="shared" ref="Q94" si="446">F94*P94</f>
        <v>-1469275.3789915759</v>
      </c>
      <c r="R94">
        <f t="shared" ref="R94" si="447">R95+Q94</f>
        <v>196289737.38248011</v>
      </c>
      <c r="S94">
        <f t="shared" ref="S94" si="448">R94/100000</f>
        <v>1962.8973738248012</v>
      </c>
      <c r="T94">
        <f t="shared" ref="T94" si="449">S94/1000</f>
        <v>1.9628973738248012</v>
      </c>
    </row>
    <row r="95" spans="1:20" x14ac:dyDescent="0.25">
      <c r="A95" s="5">
        <v>44498</v>
      </c>
      <c r="B95">
        <v>5.5090000000000003</v>
      </c>
      <c r="C95">
        <v>5.7119999999999997</v>
      </c>
      <c r="D95">
        <v>5.4969999999999999</v>
      </c>
      <c r="E95">
        <v>5.6790000000000003</v>
      </c>
      <c r="F95">
        <v>9433322.0999999996</v>
      </c>
      <c r="G95">
        <v>5.6790000000000003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0.69302325581395818</v>
      </c>
      <c r="Q95">
        <f t="shared" ref="Q95" si="451">F95*P95</f>
        <v>6537511.5948837651</v>
      </c>
      <c r="R95">
        <f t="shared" ref="R95" si="452">R96+Q95</f>
        <v>197759012.76147169</v>
      </c>
      <c r="S95">
        <f t="shared" ref="S95" si="453">R95/100000</f>
        <v>1977.5901276147169</v>
      </c>
      <c r="T95">
        <f t="shared" ref="T95" si="454">S95/1000</f>
        <v>1.977590127614717</v>
      </c>
    </row>
    <row r="96" spans="1:20" x14ac:dyDescent="0.25">
      <c r="A96" s="5">
        <v>44497</v>
      </c>
      <c r="B96">
        <v>5.2830000000000004</v>
      </c>
      <c r="C96">
        <v>5.5789999999999997</v>
      </c>
      <c r="D96">
        <v>5.2460000000000004</v>
      </c>
      <c r="E96">
        <v>5.5030000000000001</v>
      </c>
      <c r="F96">
        <v>10192431.199999999</v>
      </c>
      <c r="G96">
        <v>5.5030000000000001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0.54354354354354484</v>
      </c>
      <c r="Q96">
        <f t="shared" ref="Q96" si="456">F96*P96</f>
        <v>5540030.1717717843</v>
      </c>
      <c r="R96">
        <f t="shared" ref="R96" si="457">R97+Q96</f>
        <v>191221501.16658792</v>
      </c>
      <c r="S96">
        <f t="shared" ref="S96" si="458">R96/100000</f>
        <v>1912.2150116658793</v>
      </c>
      <c r="T96">
        <f t="shared" ref="T96" si="459">S96/1000</f>
        <v>1.9122150116658794</v>
      </c>
    </row>
    <row r="97" spans="1:20" x14ac:dyDescent="0.25">
      <c r="A97" s="5">
        <v>44496</v>
      </c>
      <c r="B97">
        <v>5.93</v>
      </c>
      <c r="C97">
        <v>6</v>
      </c>
      <c r="D97">
        <v>4.9649999999999999</v>
      </c>
      <c r="E97">
        <v>5.2789999999999999</v>
      </c>
      <c r="F97">
        <v>11508968.4</v>
      </c>
      <c r="G97">
        <v>5.2789999999999999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-0.39323671497584539</v>
      </c>
      <c r="Q97">
        <f t="shared" ref="Q97" si="461">F97*P97</f>
        <v>-4525748.9263768112</v>
      </c>
      <c r="R97">
        <f t="shared" ref="R97" si="462">R98+Q97</f>
        <v>185681470.99481612</v>
      </c>
      <c r="S97">
        <f t="shared" ref="S97" si="463">R97/100000</f>
        <v>1856.8147099481612</v>
      </c>
      <c r="T97">
        <f t="shared" ref="T97" si="464">S97/1000</f>
        <v>1.8568147099481611</v>
      </c>
    </row>
    <row r="98" spans="1:20" x14ac:dyDescent="0.25">
      <c r="A98" s="5">
        <v>44495</v>
      </c>
      <c r="B98">
        <v>5.7910000000000004</v>
      </c>
      <c r="C98">
        <v>6.1829999999999998</v>
      </c>
      <c r="D98">
        <v>5.7759999999999998</v>
      </c>
      <c r="E98">
        <v>5.9279999999999999</v>
      </c>
      <c r="F98">
        <v>9575574.1999999993</v>
      </c>
      <c r="G98">
        <v>5.9279999999999999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-0.25307125307125244</v>
      </c>
      <c r="Q98">
        <f t="shared" ref="Q98" si="466">F98*P98</f>
        <v>-2423302.5616707555</v>
      </c>
      <c r="R98">
        <f t="shared" ref="R98" si="467">R99+Q98</f>
        <v>190207219.92119294</v>
      </c>
      <c r="S98">
        <f t="shared" ref="S98" si="468">R98/100000</f>
        <v>1902.0721992119295</v>
      </c>
      <c r="T98">
        <f t="shared" ref="T98" si="469">S98/1000</f>
        <v>1.9020721992119296</v>
      </c>
    </row>
    <row r="99" spans="1:20" x14ac:dyDescent="0.25">
      <c r="A99" s="5">
        <v>44494</v>
      </c>
      <c r="B99">
        <v>5.6470000000000002</v>
      </c>
      <c r="C99">
        <v>5.7919999999999998</v>
      </c>
      <c r="D99">
        <v>5.6139999999999999</v>
      </c>
      <c r="E99">
        <v>5.7880000000000003</v>
      </c>
      <c r="F99">
        <v>8755784.5</v>
      </c>
      <c r="G99">
        <v>5.7880000000000003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0.95505617977528579</v>
      </c>
      <c r="Q99">
        <f t="shared" ref="Q99" si="471">F99*P99</f>
        <v>8362266.0955056604</v>
      </c>
      <c r="R99">
        <f t="shared" ref="R99" si="472">R100+Q99</f>
        <v>192630522.48286369</v>
      </c>
      <c r="S99">
        <f t="shared" ref="S99" si="473">R99/100000</f>
        <v>1926.3052248286369</v>
      </c>
      <c r="T99">
        <f t="shared" ref="T99" si="474">S99/1000</f>
        <v>1.926305224828637</v>
      </c>
    </row>
    <row r="100" spans="1:20" x14ac:dyDescent="0.25">
      <c r="A100" s="5">
        <v>44493</v>
      </c>
      <c r="B100">
        <v>5.79</v>
      </c>
      <c r="C100">
        <v>5.8680000000000003</v>
      </c>
      <c r="D100">
        <v>5.516</v>
      </c>
      <c r="E100">
        <v>5.6470000000000002</v>
      </c>
      <c r="F100">
        <v>8560780</v>
      </c>
      <c r="G100">
        <v>5.6470000000000002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-0.25568181818181757</v>
      </c>
      <c r="Q100">
        <f t="shared" ref="Q100" si="476">F100*P100</f>
        <v>-2188835.7954545403</v>
      </c>
      <c r="R100">
        <f t="shared" ref="R100" si="477">R101+Q100</f>
        <v>184268256.38735804</v>
      </c>
      <c r="S100">
        <f t="shared" ref="S100" si="478">R100/100000</f>
        <v>1842.6825638735804</v>
      </c>
      <c r="T100">
        <f t="shared" ref="T100" si="479">S100/1000</f>
        <v>1.8426825638735804</v>
      </c>
    </row>
    <row r="101" spans="1:20" x14ac:dyDescent="0.25">
      <c r="A101" s="5">
        <v>44492</v>
      </c>
      <c r="B101">
        <v>5.7380000000000004</v>
      </c>
      <c r="C101">
        <v>5.94</v>
      </c>
      <c r="D101">
        <v>5.6790000000000003</v>
      </c>
      <c r="E101">
        <v>5.79</v>
      </c>
      <c r="F101">
        <v>10708119.1</v>
      </c>
      <c r="G101">
        <v>5.79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-0.14942528735632402</v>
      </c>
      <c r="Q101">
        <f t="shared" ref="Q101" si="481">F101*P101</f>
        <v>-1600063.7735632416</v>
      </c>
      <c r="R101">
        <f t="shared" ref="R101" si="482">R102+Q101</f>
        <v>186457092.18281257</v>
      </c>
      <c r="S101">
        <f t="shared" ref="S101" si="483">R101/100000</f>
        <v>1864.5709218281256</v>
      </c>
      <c r="T101">
        <f t="shared" ref="T101" si="484">S101/1000</f>
        <v>1.8645709218281257</v>
      </c>
    </row>
    <row r="102" spans="1:20" x14ac:dyDescent="0.25">
      <c r="A102" s="5">
        <v>44491</v>
      </c>
      <c r="B102">
        <v>5.6420000000000003</v>
      </c>
      <c r="C102">
        <v>5.9509999999999996</v>
      </c>
      <c r="D102">
        <v>5.6210000000000004</v>
      </c>
      <c r="E102">
        <v>5.7359999999999998</v>
      </c>
      <c r="F102">
        <v>10503195.6</v>
      </c>
      <c r="G102">
        <v>5.7359999999999998</v>
      </c>
      <c r="L102" t="s">
        <v>8</v>
      </c>
      <c r="M102" t="s">
        <v>7</v>
      </c>
      <c r="N102" t="s">
        <v>8</v>
      </c>
      <c r="P102">
        <f t="shared" ref="P102" si="485">IF(C102=D102,0,((E102-D102)-(C102-E102))/(C102-D102))</f>
        <v>-0.30303030303030537</v>
      </c>
      <c r="Q102">
        <f t="shared" ref="Q102" si="486">F102*P102</f>
        <v>-3182786.5454545701</v>
      </c>
      <c r="R102">
        <f t="shared" ref="R102" si="487">R103+Q102</f>
        <v>188057155.95637581</v>
      </c>
      <c r="S102">
        <f t="shared" ref="S102" si="488">R102/100000</f>
        <v>1880.571559563758</v>
      </c>
      <c r="T102">
        <f t="shared" ref="T102" si="489">S102/1000</f>
        <v>1.880571559563758</v>
      </c>
    </row>
    <row r="103" spans="1:20" x14ac:dyDescent="0.25">
      <c r="A103" s="5">
        <v>44490</v>
      </c>
      <c r="B103">
        <v>5.73</v>
      </c>
      <c r="C103">
        <v>5.8710000000000004</v>
      </c>
      <c r="D103">
        <v>5.5529999999999999</v>
      </c>
      <c r="E103">
        <v>5.6420000000000003</v>
      </c>
      <c r="F103">
        <v>10564781.6</v>
      </c>
      <c r="G103">
        <v>5.6420000000000003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-0.44025157232704232</v>
      </c>
      <c r="Q103">
        <f t="shared" ref="Q103" si="491">F103*P103</f>
        <v>-4651161.7106918059</v>
      </c>
      <c r="R103">
        <f t="shared" ref="R103" si="492">R104+Q103</f>
        <v>191239942.50183037</v>
      </c>
      <c r="S103">
        <f t="shared" ref="S103" si="493">R103/100000</f>
        <v>1912.3994250183036</v>
      </c>
      <c r="T103">
        <f t="shared" ref="T103" si="494">S103/1000</f>
        <v>1.9123994250183036</v>
      </c>
    </row>
    <row r="104" spans="1:20" x14ac:dyDescent="0.25">
      <c r="A104" s="5">
        <v>44489</v>
      </c>
      <c r="B104">
        <v>5.4850000000000003</v>
      </c>
      <c r="C104">
        <v>5.8520000000000003</v>
      </c>
      <c r="D104">
        <v>5.4320000000000004</v>
      </c>
      <c r="E104">
        <v>5.73</v>
      </c>
      <c r="F104">
        <v>9480575.4000000004</v>
      </c>
      <c r="G104">
        <v>5.73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0.4190476190476195</v>
      </c>
      <c r="Q104">
        <f t="shared" ref="Q104" si="496">F104*P104</f>
        <v>3972812.5485714329</v>
      </c>
      <c r="R104">
        <f t="shared" ref="R104" si="497">R105+Q104</f>
        <v>195891104.21252218</v>
      </c>
      <c r="S104">
        <f t="shared" ref="S104" si="498">R104/100000</f>
        <v>1958.9110421252217</v>
      </c>
      <c r="T104">
        <f t="shared" ref="T104" si="499">S104/1000</f>
        <v>1.9589110421252216</v>
      </c>
    </row>
    <row r="105" spans="1:20" x14ac:dyDescent="0.25">
      <c r="A105" s="5">
        <v>44488</v>
      </c>
      <c r="B105">
        <v>5.4189999999999996</v>
      </c>
      <c r="C105">
        <v>5.5309999999999997</v>
      </c>
      <c r="D105">
        <v>5.37</v>
      </c>
      <c r="E105">
        <v>5.484</v>
      </c>
      <c r="F105">
        <v>11002211.6</v>
      </c>
      <c r="G105">
        <v>5.484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0.41614906832298348</v>
      </c>
      <c r="Q105">
        <f t="shared" ref="Q105" si="501">F105*P105</f>
        <v>4578560.1068323217</v>
      </c>
      <c r="R105">
        <f t="shared" ref="R105" si="502">R106+Q105</f>
        <v>191918291.66395074</v>
      </c>
      <c r="S105">
        <f t="shared" ref="S105" si="503">R105/100000</f>
        <v>1919.1829166395073</v>
      </c>
      <c r="T105">
        <f t="shared" ref="T105" si="504">S105/1000</f>
        <v>1.9191829166395074</v>
      </c>
    </row>
    <row r="106" spans="1:20" x14ac:dyDescent="0.25">
      <c r="A106" s="5">
        <v>44487</v>
      </c>
      <c r="B106">
        <v>5.5350000000000001</v>
      </c>
      <c r="C106">
        <v>5.734</v>
      </c>
      <c r="D106">
        <v>5.3789999999999996</v>
      </c>
      <c r="E106">
        <v>5.42</v>
      </c>
      <c r="F106">
        <v>10113657.1</v>
      </c>
      <c r="G106">
        <v>5.42</v>
      </c>
      <c r="L106" t="s">
        <v>8</v>
      </c>
      <c r="M106" t="s">
        <v>7</v>
      </c>
      <c r="N106" t="s">
        <v>8</v>
      </c>
      <c r="P106">
        <f t="shared" ref="P106" si="505">IF(C106=D106,0,((E106-D106)-(C106-E106))/(C106-D106))</f>
        <v>-0.76901408450704045</v>
      </c>
      <c r="Q106">
        <f t="shared" ref="Q106" si="506">F106*P106</f>
        <v>-7777544.7557746293</v>
      </c>
      <c r="R106">
        <f t="shared" ref="R106" si="507">R107+Q106</f>
        <v>187339731.55711842</v>
      </c>
      <c r="S106">
        <f t="shared" ref="S106" si="508">R106/100000</f>
        <v>1873.3973155711842</v>
      </c>
      <c r="T106">
        <f t="shared" ref="T106" si="509">S106/1000</f>
        <v>1.8733973155711843</v>
      </c>
    </row>
    <row r="107" spans="1:20" x14ac:dyDescent="0.25">
      <c r="A107" s="5">
        <v>44486</v>
      </c>
      <c r="B107">
        <v>5.7130000000000001</v>
      </c>
      <c r="C107">
        <v>5.819</v>
      </c>
      <c r="D107">
        <v>5.3330000000000002</v>
      </c>
      <c r="E107">
        <v>5.5330000000000004</v>
      </c>
      <c r="F107">
        <v>9122627.1999999993</v>
      </c>
      <c r="G107">
        <v>5.5330000000000004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-0.17695473251028693</v>
      </c>
      <c r="Q107">
        <f t="shared" ref="Q107" si="511">F107*P107</f>
        <v>-1614292.0559670676</v>
      </c>
      <c r="R107">
        <f t="shared" ref="R107" si="512">R108+Q107</f>
        <v>195117276.31289303</v>
      </c>
      <c r="S107">
        <f t="shared" ref="S107" si="513">R107/100000</f>
        <v>1951.1727631289302</v>
      </c>
      <c r="T107">
        <f t="shared" ref="T107" si="514">S107/1000</f>
        <v>1.9511727631289302</v>
      </c>
    </row>
    <row r="108" spans="1:20" x14ac:dyDescent="0.25">
      <c r="A108" s="5">
        <v>44485</v>
      </c>
      <c r="B108">
        <v>5.7309999999999999</v>
      </c>
      <c r="C108">
        <v>5.89</v>
      </c>
      <c r="D108">
        <v>5.665</v>
      </c>
      <c r="E108">
        <v>5.71</v>
      </c>
      <c r="F108">
        <v>9445093.6999999993</v>
      </c>
      <c r="G108">
        <v>5.71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-0.6</v>
      </c>
      <c r="Q108">
        <f t="shared" ref="Q108" si="516">F108*P108</f>
        <v>-5667056.2199999997</v>
      </c>
      <c r="R108">
        <f t="shared" ref="R108" si="517">R109+Q108</f>
        <v>196731568.3688601</v>
      </c>
      <c r="S108">
        <f t="shared" ref="S108" si="518">R108/100000</f>
        <v>1967.315683688601</v>
      </c>
      <c r="T108">
        <f t="shared" ref="T108" si="519">S108/1000</f>
        <v>1.967315683688601</v>
      </c>
    </row>
    <row r="109" spans="1:20" x14ac:dyDescent="0.25">
      <c r="A109" s="5">
        <v>44484</v>
      </c>
      <c r="B109">
        <v>6.0330000000000004</v>
      </c>
      <c r="C109">
        <v>6.0389999999999997</v>
      </c>
      <c r="D109">
        <v>5.6719999999999997</v>
      </c>
      <c r="E109">
        <v>5.73</v>
      </c>
      <c r="F109">
        <v>10846342.300000001</v>
      </c>
      <c r="G109">
        <v>5.73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-0.68392370572206695</v>
      </c>
      <c r="Q109">
        <f t="shared" ref="Q109" si="521">F109*P109</f>
        <v>-7418070.6193460077</v>
      </c>
      <c r="R109">
        <f t="shared" ref="R109" si="522">R110+Q109</f>
        <v>202398624.58886009</v>
      </c>
      <c r="S109">
        <f t="shared" ref="S109" si="523">R109/100000</f>
        <v>2023.9862458886009</v>
      </c>
      <c r="T109">
        <f t="shared" ref="T109" si="524">S109/1000</f>
        <v>2.0239862458886009</v>
      </c>
    </row>
    <row r="110" spans="1:20" x14ac:dyDescent="0.25">
      <c r="A110" s="5">
        <v>44483</v>
      </c>
      <c r="B110">
        <v>5.96</v>
      </c>
      <c r="C110">
        <v>6.2320000000000002</v>
      </c>
      <c r="D110">
        <v>5.9009999999999998</v>
      </c>
      <c r="E110">
        <v>6.0330000000000004</v>
      </c>
      <c r="F110">
        <v>8202469.7000000002</v>
      </c>
      <c r="G110">
        <v>6.0330000000000004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-0.20241691842900061</v>
      </c>
      <c r="Q110">
        <f t="shared" ref="Q110" si="526">F110*P110</f>
        <v>-1660318.6401812492</v>
      </c>
      <c r="R110">
        <f t="shared" ref="R110" si="527">R111+Q110</f>
        <v>209816695.20820609</v>
      </c>
      <c r="S110">
        <f t="shared" ref="S110" si="528">R110/100000</f>
        <v>2098.166952082061</v>
      </c>
      <c r="T110">
        <f t="shared" ref="T110" si="529">S110/1000</f>
        <v>2.0981669520820612</v>
      </c>
    </row>
    <row r="111" spans="1:20" x14ac:dyDescent="0.25">
      <c r="A111" s="5">
        <v>44482</v>
      </c>
      <c r="B111">
        <v>5.7919999999999998</v>
      </c>
      <c r="C111">
        <v>5.9790000000000001</v>
      </c>
      <c r="D111">
        <v>5.6669999999999998</v>
      </c>
      <c r="E111">
        <v>5.9619999999999997</v>
      </c>
      <c r="F111">
        <v>8735421.5</v>
      </c>
      <c r="G111">
        <v>5.9619999999999997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0.89102564102563886</v>
      </c>
      <c r="Q111">
        <f t="shared" ref="Q111" si="531">F111*P111</f>
        <v>7783484.5416666474</v>
      </c>
      <c r="R111">
        <f t="shared" ref="R111" si="532">R112+Q111</f>
        <v>211477013.84838733</v>
      </c>
      <c r="S111">
        <f t="shared" ref="S111" si="533">R111/100000</f>
        <v>2114.7701384838733</v>
      </c>
      <c r="T111">
        <f t="shared" ref="T111" si="534">S111/1000</f>
        <v>2.1147701384838733</v>
      </c>
    </row>
    <row r="112" spans="1:20" x14ac:dyDescent="0.25">
      <c r="A112" s="5">
        <v>44481</v>
      </c>
      <c r="B112">
        <v>6.0609999999999999</v>
      </c>
      <c r="C112">
        <v>6.0659999999999998</v>
      </c>
      <c r="D112">
        <v>5.524</v>
      </c>
      <c r="E112">
        <v>5.7969999999999997</v>
      </c>
      <c r="F112">
        <v>9543240.8000000007</v>
      </c>
      <c r="G112">
        <v>5.7969999999999997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7.380073800737197E-3</v>
      </c>
      <c r="Q112">
        <f t="shared" ref="Q112" si="536">F112*P112</f>
        <v>70429.821402206289</v>
      </c>
      <c r="R112">
        <f t="shared" ref="R112" si="537">R113+Q112</f>
        <v>203693529.30672067</v>
      </c>
      <c r="S112">
        <f t="shared" ref="S112" si="538">R112/100000</f>
        <v>2036.9352930672067</v>
      </c>
      <c r="T112">
        <f t="shared" ref="T112" si="539">S112/1000</f>
        <v>2.0369352930672067</v>
      </c>
    </row>
    <row r="113" spans="1:20" x14ac:dyDescent="0.25">
      <c r="A113" s="5">
        <v>44480</v>
      </c>
      <c r="B113">
        <v>6.1719999999999997</v>
      </c>
      <c r="C113">
        <v>6.4080000000000004</v>
      </c>
      <c r="D113">
        <v>5.8710000000000004</v>
      </c>
      <c r="E113">
        <v>6.0609999999999999</v>
      </c>
      <c r="F113">
        <v>8413255.1999999993</v>
      </c>
      <c r="G113">
        <v>6.0609999999999999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-0.29236499068901478</v>
      </c>
      <c r="Q113">
        <f t="shared" ref="Q113" si="541">F113*P113</f>
        <v>-2459741.2782123052</v>
      </c>
      <c r="R113">
        <f t="shared" ref="R113" si="542">R114+Q113</f>
        <v>203623099.48531848</v>
      </c>
      <c r="S113">
        <f t="shared" ref="S113" si="543">R113/100000</f>
        <v>2036.2309948531847</v>
      </c>
      <c r="T113">
        <f t="shared" ref="T113" si="544">S113/1000</f>
        <v>2.0362309948531849</v>
      </c>
    </row>
    <row r="114" spans="1:20" x14ac:dyDescent="0.25">
      <c r="A114" s="5">
        <v>44479</v>
      </c>
      <c r="B114">
        <v>6.7430000000000003</v>
      </c>
      <c r="C114">
        <v>6.7510000000000003</v>
      </c>
      <c r="D114">
        <v>6.149</v>
      </c>
      <c r="E114">
        <v>6.1710000000000003</v>
      </c>
      <c r="F114">
        <v>8159605.9000000004</v>
      </c>
      <c r="G114">
        <v>6.1710000000000003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-0.92691029900332145</v>
      </c>
      <c r="Q114">
        <f t="shared" ref="Q114" si="546">F114*P114</f>
        <v>-7563222.7445182661</v>
      </c>
      <c r="R114">
        <f t="shared" ref="R114" si="547">R115+Q114</f>
        <v>206082840.76353079</v>
      </c>
      <c r="S114">
        <f t="shared" ref="S114" si="548">R114/100000</f>
        <v>2060.8284076353079</v>
      </c>
      <c r="T114">
        <f t="shared" ref="T114" si="549">S114/1000</f>
        <v>2.0608284076353081</v>
      </c>
    </row>
    <row r="115" spans="1:20" x14ac:dyDescent="0.25">
      <c r="A115" s="5">
        <v>44478</v>
      </c>
      <c r="B115">
        <v>6.5759999999999996</v>
      </c>
      <c r="C115">
        <v>6.8520000000000003</v>
      </c>
      <c r="D115">
        <v>6.3940000000000001</v>
      </c>
      <c r="E115">
        <v>6.7409999999999997</v>
      </c>
      <c r="F115">
        <v>8863194.9000000004</v>
      </c>
      <c r="G115">
        <v>6.7409999999999997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0.51528384279475714</v>
      </c>
      <c r="Q115">
        <f t="shared" ref="Q115" si="551">F115*P115</f>
        <v>4567061.1275108932</v>
      </c>
      <c r="R115">
        <f t="shared" ref="R115" si="552">R116+Q115</f>
        <v>213646063.50804907</v>
      </c>
      <c r="S115">
        <f t="shared" ref="S115" si="553">R115/100000</f>
        <v>2136.4606350804906</v>
      </c>
      <c r="T115">
        <f t="shared" ref="T115" si="554">S115/1000</f>
        <v>2.1364606350804904</v>
      </c>
    </row>
    <row r="116" spans="1:20" x14ac:dyDescent="0.25">
      <c r="A116" s="5">
        <v>44477</v>
      </c>
      <c r="B116">
        <v>6.508</v>
      </c>
      <c r="C116">
        <v>6.6929999999999996</v>
      </c>
      <c r="D116">
        <v>6.2679999999999998</v>
      </c>
      <c r="E116">
        <v>6.5739999999999998</v>
      </c>
      <c r="F116">
        <v>8232153.9000000004</v>
      </c>
      <c r="G116">
        <v>6.5739999999999998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0.44000000000000083</v>
      </c>
      <c r="Q116">
        <f t="shared" ref="Q116" si="556">F116*P116</f>
        <v>3622147.716000007</v>
      </c>
      <c r="R116">
        <f t="shared" ref="R116" si="557">R117+Q116</f>
        <v>209079002.38053817</v>
      </c>
      <c r="S116">
        <f t="shared" ref="S116" si="558">R116/100000</f>
        <v>2090.7900238053817</v>
      </c>
      <c r="T116">
        <f t="shared" ref="T116" si="559">S116/1000</f>
        <v>2.0907900238053818</v>
      </c>
    </row>
    <row r="117" spans="1:20" x14ac:dyDescent="0.25">
      <c r="A117" s="5">
        <v>44476</v>
      </c>
      <c r="B117">
        <v>6.3360000000000003</v>
      </c>
      <c r="C117">
        <v>6.5869999999999997</v>
      </c>
      <c r="D117">
        <v>6.0780000000000003</v>
      </c>
      <c r="E117">
        <v>6.5090000000000003</v>
      </c>
      <c r="F117">
        <v>8328392.4000000004</v>
      </c>
      <c r="G117">
        <v>6.5090000000000003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0.693516699410611</v>
      </c>
      <c r="Q117">
        <f t="shared" ref="Q117" si="561">F117*P117</f>
        <v>5775879.2086444171</v>
      </c>
      <c r="R117">
        <f t="shared" ref="R117" si="562">R118+Q117</f>
        <v>205456854.66453815</v>
      </c>
      <c r="S117">
        <f t="shared" ref="S117" si="563">R117/100000</f>
        <v>2054.5685466453815</v>
      </c>
      <c r="T117">
        <f t="shared" ref="T117" si="564">S117/1000</f>
        <v>2.0545685466453816</v>
      </c>
    </row>
    <row r="118" spans="1:20" x14ac:dyDescent="0.25">
      <c r="A118" s="5">
        <v>44475</v>
      </c>
      <c r="B118">
        <v>6.3879999999999999</v>
      </c>
      <c r="C118">
        <v>6.49</v>
      </c>
      <c r="D118">
        <v>6.0049999999999999</v>
      </c>
      <c r="E118">
        <v>6.3380000000000001</v>
      </c>
      <c r="F118">
        <v>3230048.9</v>
      </c>
      <c r="G118">
        <v>6.3380000000000001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0.37319587628865963</v>
      </c>
      <c r="Q118">
        <f t="shared" ref="Q118" si="566">F118*P118</f>
        <v>1205440.9296907212</v>
      </c>
      <c r="R118">
        <f t="shared" ref="R118" si="567">R119+Q118</f>
        <v>199680975.45589373</v>
      </c>
      <c r="S118">
        <f t="shared" ref="S118" si="568">R118/100000</f>
        <v>1996.8097545589374</v>
      </c>
      <c r="T118">
        <f t="shared" ref="T118" si="569">S118/1000</f>
        <v>1.9968097545589374</v>
      </c>
    </row>
    <row r="119" spans="1:20" x14ac:dyDescent="0.25">
      <c r="A119" s="5">
        <v>44474</v>
      </c>
      <c r="B119">
        <v>6.2329999999999997</v>
      </c>
      <c r="C119">
        <v>6.4320000000000004</v>
      </c>
      <c r="D119">
        <v>6.1</v>
      </c>
      <c r="E119">
        <v>6.3879999999999999</v>
      </c>
      <c r="F119">
        <v>3190838.5</v>
      </c>
      <c r="G119">
        <v>6.3879999999999999</v>
      </c>
      <c r="L119" t="s">
        <v>7</v>
      </c>
      <c r="M119" t="s">
        <v>8</v>
      </c>
      <c r="N119" t="s">
        <v>8</v>
      </c>
      <c r="P119">
        <f t="shared" ref="P119" si="570">IF(C119=D119,0,((E119-D119)-(C119-E119))/(C119-D119))</f>
        <v>0.73493975903614228</v>
      </c>
      <c r="Q119">
        <f t="shared" ref="Q119" si="571">F119*P119</f>
        <v>2345074.0783132459</v>
      </c>
      <c r="R119">
        <f t="shared" ref="R119" si="572">R120+Q119</f>
        <v>198475534.52620301</v>
      </c>
      <c r="S119">
        <f t="shared" ref="S119" si="573">R119/100000</f>
        <v>1984.75534526203</v>
      </c>
      <c r="T119">
        <f t="shared" ref="T119" si="574">S119/1000</f>
        <v>1.9847553452620299</v>
      </c>
    </row>
    <row r="120" spans="1:20" x14ac:dyDescent="0.25">
      <c r="A120" s="5">
        <v>44473</v>
      </c>
      <c r="B120">
        <v>6.5259999999999998</v>
      </c>
      <c r="C120">
        <v>6.5880000000000001</v>
      </c>
      <c r="D120">
        <v>5.9729999999999999</v>
      </c>
      <c r="E120">
        <v>6.2089999999999996</v>
      </c>
      <c r="F120">
        <v>6813100.7999999998</v>
      </c>
      <c r="G120">
        <v>6.2089999999999996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-0.23252032520325305</v>
      </c>
      <c r="Q120">
        <f t="shared" ref="Q120" si="576">F120*P120</f>
        <v>-1584184.4136585435</v>
      </c>
      <c r="R120">
        <f t="shared" ref="R120" si="577">R121+Q120</f>
        <v>196130460.44788978</v>
      </c>
      <c r="S120">
        <f t="shared" ref="S120" si="578">R120/100000</f>
        <v>1961.3046044788978</v>
      </c>
      <c r="T120">
        <f t="shared" ref="T120" si="579">S120/1000</f>
        <v>1.9613046044788978</v>
      </c>
    </row>
    <row r="121" spans="1:20" x14ac:dyDescent="0.25">
      <c r="A121" s="5">
        <v>44472</v>
      </c>
      <c r="B121">
        <v>6.0460000000000003</v>
      </c>
      <c r="C121">
        <v>6.649</v>
      </c>
      <c r="D121">
        <v>5.9130000000000003</v>
      </c>
      <c r="E121">
        <v>6.4290000000000003</v>
      </c>
      <c r="F121">
        <v>11052976.5</v>
      </c>
      <c r="G121">
        <v>6.4290000000000003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0.40217391304347877</v>
      </c>
      <c r="Q121">
        <f t="shared" ref="Q121" si="581">F121*P121</f>
        <v>4445218.809782614</v>
      </c>
      <c r="R121">
        <f t="shared" ref="R121" si="582">R122+Q121</f>
        <v>197714644.8615483</v>
      </c>
      <c r="S121">
        <f t="shared" ref="S121" si="583">R121/100000</f>
        <v>1977.146448615483</v>
      </c>
      <c r="T121">
        <f t="shared" ref="T121" si="584">S121/1000</f>
        <v>1.9771464486154831</v>
      </c>
    </row>
    <row r="122" spans="1:20" x14ac:dyDescent="0.25">
      <c r="A122" s="5">
        <v>44471</v>
      </c>
      <c r="B122">
        <v>5.8289999999999997</v>
      </c>
      <c r="C122">
        <v>6.4989999999999997</v>
      </c>
      <c r="D122">
        <v>5.6790000000000003</v>
      </c>
      <c r="E122">
        <v>6.0469999999999997</v>
      </c>
      <c r="F122">
        <v>10483231.1</v>
      </c>
      <c r="G122">
        <v>6.0469999999999997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-0.1024390243902446</v>
      </c>
      <c r="Q122">
        <f t="shared" ref="Q122" si="586">F122*P122</f>
        <v>-1073891.9663414708</v>
      </c>
      <c r="R122">
        <f t="shared" ref="R122" si="587">R123+Q122</f>
        <v>193269426.05176568</v>
      </c>
      <c r="S122">
        <f t="shared" ref="S122" si="588">R122/100000</f>
        <v>1932.6942605176569</v>
      </c>
      <c r="T122">
        <f t="shared" ref="T122" si="589">S122/1000</f>
        <v>1.9326942605176569</v>
      </c>
    </row>
    <row r="123" spans="1:20" x14ac:dyDescent="0.25">
      <c r="A123" s="5">
        <v>44470</v>
      </c>
      <c r="B123">
        <v>5.39</v>
      </c>
      <c r="C123">
        <v>5.8929999999999998</v>
      </c>
      <c r="D123">
        <v>5.3659999999999997</v>
      </c>
      <c r="E123">
        <v>5.83</v>
      </c>
      <c r="F123">
        <v>11736585</v>
      </c>
      <c r="G123">
        <v>5.83</v>
      </c>
      <c r="L123" t="s">
        <v>8</v>
      </c>
      <c r="M123" t="s">
        <v>8</v>
      </c>
      <c r="N123" t="s">
        <v>8</v>
      </c>
      <c r="P123">
        <f t="shared" ref="P123" si="590">IF(C123=D123,0,((E123-D123)-(C123-E123))/(C123-D123))</f>
        <v>0.76091081593928001</v>
      </c>
      <c r="Q123">
        <f t="shared" ref="Q123" si="591">F123*P123</f>
        <v>8930494.4686907139</v>
      </c>
      <c r="R123">
        <f t="shared" ref="R123" si="592">R124+Q123</f>
        <v>194343318.01810715</v>
      </c>
      <c r="S123">
        <f t="shared" ref="S123" si="593">R123/100000</f>
        <v>1943.4331801810715</v>
      </c>
      <c r="T123">
        <f t="shared" ref="T123" si="594">S123/1000</f>
        <v>1.9434331801810716</v>
      </c>
    </row>
    <row r="124" spans="1:20" x14ac:dyDescent="0.25">
      <c r="A124" s="5">
        <v>44469</v>
      </c>
      <c r="B124">
        <v>5.0819999999999999</v>
      </c>
      <c r="C124">
        <v>5.5190000000000001</v>
      </c>
      <c r="D124">
        <v>5.0490000000000004</v>
      </c>
      <c r="E124">
        <v>5.39</v>
      </c>
      <c r="F124">
        <v>10144886.9</v>
      </c>
      <c r="G124">
        <v>5.39</v>
      </c>
      <c r="L124" t="s">
        <v>8</v>
      </c>
      <c r="M124" t="s">
        <v>7</v>
      </c>
      <c r="N124" t="s">
        <v>8</v>
      </c>
      <c r="P124">
        <f t="shared" ref="P124" si="595">IF(C124=D124,0,((E124-D124)-(C124-E124))/(C124-D124))</f>
        <v>0.45106382978723186</v>
      </c>
      <c r="Q124">
        <f t="shared" ref="Q124" si="596">F124*P124</f>
        <v>4575991.5378723182</v>
      </c>
      <c r="R124">
        <f t="shared" ref="R124" si="597">R125+Q124</f>
        <v>185412823.54941642</v>
      </c>
      <c r="S124">
        <f t="shared" ref="S124" si="598">R124/100000</f>
        <v>1854.1282354941643</v>
      </c>
      <c r="T124">
        <f t="shared" ref="T124" si="599">S124/1000</f>
        <v>1.8541282354941644</v>
      </c>
    </row>
    <row r="125" spans="1:20" x14ac:dyDescent="0.25">
      <c r="A125" s="5">
        <v>44468</v>
      </c>
      <c r="B125">
        <v>5.1180000000000003</v>
      </c>
      <c r="C125">
        <v>5.4039999999999999</v>
      </c>
      <c r="D125">
        <v>4.9710000000000001</v>
      </c>
      <c r="E125">
        <v>5.0830000000000002</v>
      </c>
      <c r="F125">
        <v>11898562.9</v>
      </c>
      <c r="G125">
        <v>5.0830000000000002</v>
      </c>
      <c r="L125" t="s">
        <v>7</v>
      </c>
      <c r="M125" t="s">
        <v>7</v>
      </c>
      <c r="N125" t="s">
        <v>8</v>
      </c>
      <c r="P125">
        <f t="shared" ref="P125" si="600">IF(C125=D125,0,((E125-D125)-(C125-E125))/(C125-D125))</f>
        <v>-0.4826789838337176</v>
      </c>
      <c r="Q125">
        <f t="shared" ref="Q125" si="601">F125*P125</f>
        <v>-5743186.2496535722</v>
      </c>
      <c r="R125">
        <f t="shared" ref="R125" si="602">R126+Q125</f>
        <v>180836832.01154411</v>
      </c>
      <c r="S125">
        <f t="shared" ref="S125" si="603">R125/100000</f>
        <v>1808.3683201154411</v>
      </c>
      <c r="T125">
        <f t="shared" ref="T125" si="604">S125/1000</f>
        <v>1.808368320115441</v>
      </c>
    </row>
    <row r="126" spans="1:20" x14ac:dyDescent="0.25">
      <c r="A126" s="5">
        <v>44467</v>
      </c>
      <c r="B126">
        <v>5.5510000000000002</v>
      </c>
      <c r="C126">
        <v>5.5759999999999996</v>
      </c>
      <c r="D126">
        <v>5.0780000000000003</v>
      </c>
      <c r="E126">
        <v>5.1210000000000004</v>
      </c>
      <c r="F126">
        <v>11949394.9</v>
      </c>
      <c r="G126">
        <v>5.1210000000000004</v>
      </c>
      <c r="L126" t="s">
        <v>7</v>
      </c>
      <c r="M126" t="s">
        <v>7</v>
      </c>
      <c r="N126" t="s">
        <v>8</v>
      </c>
      <c r="P126">
        <f t="shared" ref="P126" si="605">IF(C126=D126,0,((E126-D126)-(C126-E126))/(C126-D126))</f>
        <v>-0.82730923694779035</v>
      </c>
      <c r="Q126">
        <f t="shared" ref="Q126" si="606">F126*P126</f>
        <v>-9885844.7767068185</v>
      </c>
      <c r="R126">
        <f t="shared" ref="R126" si="607">R127+Q126</f>
        <v>186580018.26119769</v>
      </c>
      <c r="S126">
        <f t="shared" ref="S126" si="608">R126/100000</f>
        <v>1865.8001826119769</v>
      </c>
      <c r="T126">
        <f t="shared" ref="T126" si="609">S126/1000</f>
        <v>1.8658001826119768</v>
      </c>
    </row>
    <row r="127" spans="1:20" x14ac:dyDescent="0.25">
      <c r="A127" s="5">
        <v>44466</v>
      </c>
      <c r="B127">
        <v>5.6360000000000001</v>
      </c>
      <c r="C127">
        <v>6.1</v>
      </c>
      <c r="D127">
        <v>5.5469999999999997</v>
      </c>
      <c r="E127">
        <v>5.5510000000000002</v>
      </c>
      <c r="F127">
        <v>12480612.199999999</v>
      </c>
      <c r="G127">
        <v>5.5510000000000002</v>
      </c>
      <c r="L127" t="s">
        <v>8</v>
      </c>
      <c r="M127" t="s">
        <v>7</v>
      </c>
      <c r="N127" t="s">
        <v>8</v>
      </c>
      <c r="P127">
        <f t="shared" ref="P127" si="610">IF(C127=D127,0,((E127-D127)-(C127-E127))/(C127-D127))</f>
        <v>-0.9855334538878826</v>
      </c>
      <c r="Q127">
        <f t="shared" ref="Q127" si="611">F127*P127</f>
        <v>-12300060.848101245</v>
      </c>
      <c r="R127">
        <f t="shared" ref="R127" si="612">R128+Q127</f>
        <v>196465863.0379045</v>
      </c>
      <c r="S127">
        <f t="shared" ref="S127" si="613">R127/100000</f>
        <v>1964.658630379045</v>
      </c>
      <c r="T127">
        <f t="shared" ref="T127" si="614">S127/1000</f>
        <v>1.964658630379045</v>
      </c>
    </row>
    <row r="128" spans="1:20" x14ac:dyDescent="0.25">
      <c r="A128" s="5">
        <v>44465</v>
      </c>
      <c r="B128">
        <v>5.9020000000000001</v>
      </c>
      <c r="C128">
        <v>5.9160000000000004</v>
      </c>
      <c r="D128">
        <v>5.3090000000000002</v>
      </c>
      <c r="E128">
        <v>5.6390000000000002</v>
      </c>
      <c r="F128">
        <v>13897265.9</v>
      </c>
      <c r="G128">
        <v>5.6390000000000002</v>
      </c>
      <c r="L128" t="s">
        <v>7</v>
      </c>
      <c r="M128" t="s">
        <v>7</v>
      </c>
      <c r="N128" t="s">
        <v>8</v>
      </c>
      <c r="P128">
        <f t="shared" ref="P128" si="615">IF(C128=D128,0,((E128-D128)-(C128-E128))/(C128-D128))</f>
        <v>8.7314662273475979E-2</v>
      </c>
      <c r="Q128">
        <f t="shared" ref="Q128" si="616">F128*P128</f>
        <v>1213435.0785831942</v>
      </c>
      <c r="R128">
        <f t="shared" ref="R128" si="617">R129+Q128</f>
        <v>208765923.88600576</v>
      </c>
      <c r="S128">
        <f t="shared" ref="S128" si="618">R128/100000</f>
        <v>2087.6592388600575</v>
      </c>
      <c r="T128">
        <f t="shared" ref="T128" si="619">S128/1000</f>
        <v>2.0876592388600574</v>
      </c>
    </row>
    <row r="129" spans="1:20" x14ac:dyDescent="0.25">
      <c r="A129" s="5">
        <v>44464</v>
      </c>
      <c r="B129">
        <v>6.3319999999999999</v>
      </c>
      <c r="C129">
        <v>6.3470000000000004</v>
      </c>
      <c r="D129">
        <v>5.7690000000000001</v>
      </c>
      <c r="E129">
        <v>5.9059999999999997</v>
      </c>
      <c r="F129">
        <v>12847076.699999999</v>
      </c>
      <c r="G129">
        <v>5.9059999999999997</v>
      </c>
      <c r="L129" t="s">
        <v>7</v>
      </c>
      <c r="M129" t="s">
        <v>8</v>
      </c>
      <c r="N129" t="s">
        <v>8</v>
      </c>
      <c r="P129">
        <f t="shared" ref="P129" si="620">IF(C129=D129,0,((E129-D129)-(C129-E129))/(C129-D129))</f>
        <v>-0.52595155709342734</v>
      </c>
      <c r="Q129">
        <f t="shared" ref="Q129" si="621">F129*P129</f>
        <v>-6756939.9944636896</v>
      </c>
      <c r="R129">
        <f t="shared" ref="R129" si="622">R130+Q129</f>
        <v>207552488.80742258</v>
      </c>
      <c r="S129">
        <f t="shared" ref="S129" si="623">R129/100000</f>
        <v>2075.5248880742256</v>
      </c>
      <c r="T129">
        <f t="shared" ref="T129" si="624">S129/1000</f>
        <v>2.0755248880742254</v>
      </c>
    </row>
    <row r="130" spans="1:20" x14ac:dyDescent="0.25">
      <c r="A130" s="5">
        <v>44463</v>
      </c>
      <c r="B130">
        <v>6.0449999999999999</v>
      </c>
      <c r="C130">
        <v>6.49</v>
      </c>
      <c r="D130">
        <v>5.4020000000000001</v>
      </c>
      <c r="E130">
        <v>6.3339999999999996</v>
      </c>
      <c r="F130">
        <v>20318480.699999999</v>
      </c>
      <c r="G130">
        <v>6.3339999999999996</v>
      </c>
      <c r="L130" t="s">
        <v>8</v>
      </c>
      <c r="M130" t="s">
        <v>8</v>
      </c>
      <c r="N130" t="s">
        <v>8</v>
      </c>
      <c r="P130">
        <f t="shared" ref="P130" si="625">IF(C130=D130,0,((E130-D130)-(C130-E130))/(C130-D130))</f>
        <v>0.71323529411764597</v>
      </c>
      <c r="Q130">
        <f t="shared" ref="Q130" si="626">F130*P130</f>
        <v>14491857.558088213</v>
      </c>
      <c r="R130">
        <f t="shared" ref="R130" si="627">R131+Q130</f>
        <v>214309428.80188626</v>
      </c>
      <c r="S130">
        <f t="shared" ref="S130" si="628">R130/100000</f>
        <v>2143.0942880188627</v>
      </c>
      <c r="T130">
        <f t="shared" ref="T130" si="629">S130/1000</f>
        <v>2.1430942880188626</v>
      </c>
    </row>
    <row r="131" spans="1:20" x14ac:dyDescent="0.25">
      <c r="A131" s="5">
        <v>44462</v>
      </c>
      <c r="B131">
        <v>5.4930000000000003</v>
      </c>
      <c r="C131">
        <v>6.0739999999999998</v>
      </c>
      <c r="D131">
        <v>5.3079999999999998</v>
      </c>
      <c r="E131">
        <v>6.0469999999999997</v>
      </c>
      <c r="F131">
        <v>12003441.32</v>
      </c>
      <c r="G131">
        <v>6.0469999999999997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0.92950391644908581</v>
      </c>
      <c r="Q131">
        <f t="shared" ref="Q131" si="631">F131*P131</f>
        <v>11157245.717806784</v>
      </c>
      <c r="R131">
        <f t="shared" ref="R131" si="632">R132+Q131</f>
        <v>199817571.24379805</v>
      </c>
      <c r="S131">
        <f t="shared" ref="S131" si="633">R131/100000</f>
        <v>1998.1757124379806</v>
      </c>
      <c r="T131">
        <f t="shared" ref="T131" si="634">S131/1000</f>
        <v>1.9981757124379806</v>
      </c>
    </row>
    <row r="132" spans="1:20" x14ac:dyDescent="0.25">
      <c r="A132" s="5">
        <v>44461</v>
      </c>
      <c r="B132">
        <v>4.6760000000000002</v>
      </c>
      <c r="C132">
        <v>5.6210000000000004</v>
      </c>
      <c r="D132">
        <v>4.5540000000000003</v>
      </c>
      <c r="E132">
        <v>5.4939999999999998</v>
      </c>
      <c r="F132">
        <v>16860988.75</v>
      </c>
      <c r="G132">
        <v>5.4939999999999998</v>
      </c>
      <c r="L132" t="s">
        <v>7</v>
      </c>
      <c r="M132" t="s">
        <v>8</v>
      </c>
      <c r="N132" t="s">
        <v>7</v>
      </c>
      <c r="P132">
        <f t="shared" ref="P132" si="635">IF(C132=D132,0,((E132-D132)-(C132-E132))/(C132-D132))</f>
        <v>0.76194939081536894</v>
      </c>
      <c r="Q132">
        <f t="shared" ref="Q132" si="636">F132*P132</f>
        <v>12847220.10660729</v>
      </c>
      <c r="R132">
        <f t="shared" ref="R132" si="637">R133+Q132</f>
        <v>188660325.52599126</v>
      </c>
      <c r="S132">
        <f t="shared" ref="S132" si="638">R132/100000</f>
        <v>1886.6032552599127</v>
      </c>
      <c r="T132">
        <f t="shared" ref="T132" si="639">S132/1000</f>
        <v>1.8866032552599126</v>
      </c>
    </row>
    <row r="133" spans="1:20" x14ac:dyDescent="0.25">
      <c r="A133" s="5">
        <v>44460</v>
      </c>
      <c r="B133">
        <v>5.12</v>
      </c>
      <c r="C133">
        <v>5.3449999999999998</v>
      </c>
      <c r="D133">
        <v>4.5979999999999999</v>
      </c>
      <c r="E133">
        <v>4.6740000000000004</v>
      </c>
      <c r="F133">
        <v>12058203.609999999</v>
      </c>
      <c r="G133">
        <v>4.6740000000000004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-0.79651941097724088</v>
      </c>
      <c r="Q133">
        <f t="shared" ref="Q133" si="641">F133*P133</f>
        <v>-9604593.2368808389</v>
      </c>
      <c r="R133">
        <f t="shared" ref="R133" si="642">R134+Q133</f>
        <v>175813105.41938397</v>
      </c>
      <c r="S133">
        <f t="shared" ref="S133" si="643">R133/100000</f>
        <v>1758.1310541938396</v>
      </c>
      <c r="T133">
        <f t="shared" ref="T133" si="644">S133/1000</f>
        <v>1.7581310541938397</v>
      </c>
    </row>
    <row r="134" spans="1:20" x14ac:dyDescent="0.25">
      <c r="A134" s="5">
        <v>44459</v>
      </c>
      <c r="B134">
        <v>6.0060000000000002</v>
      </c>
      <c r="C134">
        <v>6.0179999999999998</v>
      </c>
      <c r="D134">
        <v>5.3419999999999996</v>
      </c>
      <c r="E134">
        <v>5.4649999999999999</v>
      </c>
      <c r="F134">
        <v>6003344.4000000004</v>
      </c>
      <c r="G134">
        <v>5.4649999999999999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-0.63609467455621249</v>
      </c>
      <c r="Q134">
        <f t="shared" ref="Q134" si="646">F134*P134</f>
        <v>-3818695.4023668608</v>
      </c>
      <c r="R134">
        <f t="shared" ref="R134" si="647">R135+Q134</f>
        <v>185417698.65626481</v>
      </c>
      <c r="S134">
        <f t="shared" ref="S134" si="648">R134/100000</f>
        <v>1854.1769865626482</v>
      </c>
      <c r="T134">
        <f t="shared" ref="T134" si="649">S134/1000</f>
        <v>1.8541769865626481</v>
      </c>
    </row>
    <row r="135" spans="1:20" x14ac:dyDescent="0.25">
      <c r="A135" s="5">
        <v>44458</v>
      </c>
      <c r="B135">
        <v>6.2720000000000002</v>
      </c>
      <c r="C135">
        <v>6.32</v>
      </c>
      <c r="D135">
        <v>5.9050000000000002</v>
      </c>
      <c r="E135">
        <v>6.0039999999999996</v>
      </c>
      <c r="F135">
        <v>7926861.7000000002</v>
      </c>
      <c r="G135">
        <v>6.0039999999999996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-0.52289156626506361</v>
      </c>
      <c r="Q135">
        <f t="shared" ref="Q135" si="651">F135*P135</f>
        <v>-4144889.129879545</v>
      </c>
      <c r="R135">
        <f t="shared" ref="R135" si="652">R136+Q135</f>
        <v>189236394.05863166</v>
      </c>
      <c r="S135">
        <f t="shared" ref="S135" si="653">R135/100000</f>
        <v>1892.3639405863166</v>
      </c>
      <c r="T135">
        <f t="shared" ref="T135" si="654">S135/1000</f>
        <v>1.8923639405863166</v>
      </c>
    </row>
    <row r="136" spans="1:20" x14ac:dyDescent="0.25">
      <c r="A136" s="5">
        <v>44457</v>
      </c>
      <c r="B136">
        <v>6.1390000000000002</v>
      </c>
      <c r="C136">
        <v>6.3760000000000003</v>
      </c>
      <c r="D136">
        <v>6.06</v>
      </c>
      <c r="E136">
        <v>6.2729999999999997</v>
      </c>
      <c r="F136">
        <v>7772084.4000000004</v>
      </c>
      <c r="G136">
        <v>6.2729999999999997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0.34810126582278222</v>
      </c>
      <c r="Q136">
        <f t="shared" ref="Q136" si="656">F136*P136</f>
        <v>2705472.4177214992</v>
      </c>
      <c r="R136">
        <f t="shared" ref="R136" si="657">R137+Q136</f>
        <v>193381283.18851119</v>
      </c>
      <c r="S136">
        <f t="shared" ref="S136" si="658">R136/100000</f>
        <v>1933.812831885112</v>
      </c>
      <c r="T136">
        <f t="shared" ref="T136" si="659">S136/1000</f>
        <v>1.933812831885112</v>
      </c>
    </row>
    <row r="137" spans="1:20" x14ac:dyDescent="0.25">
      <c r="A137" s="5">
        <v>44456</v>
      </c>
      <c r="B137">
        <v>6.4009999999999998</v>
      </c>
      <c r="C137">
        <v>6.6379999999999999</v>
      </c>
      <c r="D137">
        <v>6.01</v>
      </c>
      <c r="E137">
        <v>6.1379999999999999</v>
      </c>
      <c r="F137">
        <v>11142920.1</v>
      </c>
      <c r="G137">
        <v>6.1379999999999999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-0.59235668789808893</v>
      </c>
      <c r="Q137">
        <f t="shared" ref="Q137" si="661">F137*P137</f>
        <v>-6600583.2439490417</v>
      </c>
      <c r="R137">
        <f t="shared" ref="R137" si="662">R138+Q137</f>
        <v>190675810.77078968</v>
      </c>
      <c r="S137">
        <f t="shared" ref="S137" si="663">R137/100000</f>
        <v>1906.7581077078969</v>
      </c>
      <c r="T137">
        <f t="shared" ref="T137" si="664">S137/1000</f>
        <v>1.906758107707897</v>
      </c>
    </row>
    <row r="138" spans="1:20" x14ac:dyDescent="0.25">
      <c r="A138" s="5">
        <v>44455</v>
      </c>
      <c r="B138">
        <v>6.4749999999999996</v>
      </c>
      <c r="C138">
        <v>6.5090000000000003</v>
      </c>
      <c r="D138">
        <v>6.181</v>
      </c>
      <c r="E138">
        <v>6.4020000000000001</v>
      </c>
      <c r="F138">
        <v>2458394.2000000002</v>
      </c>
      <c r="G138">
        <v>6.4020000000000001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0.34756097560975541</v>
      </c>
      <c r="Q138">
        <f t="shared" ref="Q138" si="666">F138*P138</f>
        <v>854441.88658536423</v>
      </c>
      <c r="R138">
        <f t="shared" ref="R138" si="667">R139+Q138</f>
        <v>197276394.01473874</v>
      </c>
      <c r="S138">
        <f t="shared" ref="S138" si="668">R138/100000</f>
        <v>1972.7639401473873</v>
      </c>
      <c r="T138">
        <f t="shared" ref="T138" si="669">S138/1000</f>
        <v>1.9727639401473873</v>
      </c>
    </row>
    <row r="139" spans="1:20" x14ac:dyDescent="0.25">
      <c r="A139" s="5">
        <v>44454</v>
      </c>
      <c r="B139">
        <v>6.3780000000000001</v>
      </c>
      <c r="C139">
        <v>6.5890000000000004</v>
      </c>
      <c r="D139">
        <v>6.2039999999999997</v>
      </c>
      <c r="E139">
        <v>6.4729999999999999</v>
      </c>
      <c r="F139">
        <v>1900069.9</v>
      </c>
      <c r="G139">
        <v>6.4729999999999999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0.39740259740259559</v>
      </c>
      <c r="Q139">
        <f t="shared" ref="Q139" si="671">F139*P139</f>
        <v>755092.71350648999</v>
      </c>
      <c r="R139">
        <f t="shared" ref="R139" si="672">R140+Q139</f>
        <v>196421952.12815338</v>
      </c>
      <c r="S139">
        <f t="shared" ref="S139" si="673">R139/100000</f>
        <v>1964.2195212815338</v>
      </c>
      <c r="T139">
        <f t="shared" ref="T139" si="674">S139/1000</f>
        <v>1.9642195212815339</v>
      </c>
    </row>
    <row r="140" spans="1:20" x14ac:dyDescent="0.25">
      <c r="A140" s="5">
        <v>44453</v>
      </c>
      <c r="B140">
        <v>6.2670000000000003</v>
      </c>
      <c r="C140">
        <v>6.3849999999999998</v>
      </c>
      <c r="D140">
        <v>6.0780000000000003</v>
      </c>
      <c r="E140">
        <v>6.3780000000000001</v>
      </c>
      <c r="F140">
        <v>1894867.5</v>
      </c>
      <c r="G140">
        <v>6.3780000000000001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0.95439739413680991</v>
      </c>
      <c r="Q140">
        <f t="shared" ref="Q140" si="676">F140*P140</f>
        <v>1808456.6042345318</v>
      </c>
      <c r="R140">
        <f t="shared" ref="R140" si="677">R141+Q140</f>
        <v>195666859.41464689</v>
      </c>
      <c r="S140">
        <f t="shared" ref="S140" si="678">R140/100000</f>
        <v>1956.6685941464689</v>
      </c>
      <c r="T140">
        <f t="shared" ref="T140" si="679">S140/1000</f>
        <v>1.956668594146469</v>
      </c>
    </row>
    <row r="141" spans="1:20" x14ac:dyDescent="0.25">
      <c r="A141" s="5">
        <v>44452</v>
      </c>
      <c r="B141">
        <v>6.827</v>
      </c>
      <c r="C141">
        <v>6.875</v>
      </c>
      <c r="D141">
        <v>5.8760000000000003</v>
      </c>
      <c r="E141">
        <v>6.2690000000000001</v>
      </c>
      <c r="F141">
        <v>3979149.9</v>
      </c>
      <c r="G141">
        <v>6.2690000000000001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-0.21321321321321338</v>
      </c>
      <c r="Q141">
        <f t="shared" ref="Q141" si="681">F141*P141</f>
        <v>-848407.33603603672</v>
      </c>
      <c r="R141">
        <f t="shared" ref="R141" si="682">R142+Q141</f>
        <v>193858402.81041235</v>
      </c>
      <c r="S141">
        <f t="shared" ref="S141" si="683">R141/100000</f>
        <v>1938.5840281041235</v>
      </c>
      <c r="T141">
        <f t="shared" ref="T141" si="684">S141/1000</f>
        <v>1.9385840281041236</v>
      </c>
    </row>
    <row r="142" spans="1:20" x14ac:dyDescent="0.25">
      <c r="A142" s="5">
        <v>44451</v>
      </c>
      <c r="B142">
        <v>6.2859999999999996</v>
      </c>
      <c r="C142">
        <v>6.84</v>
      </c>
      <c r="D142">
        <v>6.2640000000000002</v>
      </c>
      <c r="E142">
        <v>6.827</v>
      </c>
      <c r="F142">
        <v>2603049.2999999998</v>
      </c>
      <c r="G142">
        <v>6.827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0.95486111111111138</v>
      </c>
      <c r="Q142">
        <f t="shared" ref="Q142" si="686">F142*P142</f>
        <v>2485550.5468750005</v>
      </c>
      <c r="R142">
        <f t="shared" ref="R142" si="687">R143+Q142</f>
        <v>194706810.14644837</v>
      </c>
      <c r="S142">
        <f t="shared" ref="S142" si="688">R142/100000</f>
        <v>1947.0681014644838</v>
      </c>
      <c r="T142">
        <f t="shared" ref="T142" si="689">S142/1000</f>
        <v>1.9470681014644837</v>
      </c>
    </row>
    <row r="143" spans="1:20" x14ac:dyDescent="0.25">
      <c r="A143" s="5">
        <v>44450</v>
      </c>
      <c r="B143">
        <v>6.33</v>
      </c>
      <c r="C143">
        <v>6.5140000000000002</v>
      </c>
      <c r="D143">
        <v>6.1539999999999999</v>
      </c>
      <c r="E143">
        <v>6.2910000000000004</v>
      </c>
      <c r="F143">
        <v>2208287.7000000002</v>
      </c>
      <c r="G143">
        <v>6.2910000000000004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-0.23888888888888704</v>
      </c>
      <c r="Q143">
        <f t="shared" ref="Q143" si="691">F143*P143</f>
        <v>-527535.39499999594</v>
      </c>
      <c r="R143">
        <f t="shared" ref="R143" si="692">R144+Q143</f>
        <v>192221259.59957337</v>
      </c>
      <c r="S143">
        <f t="shared" ref="S143" si="693">R143/100000</f>
        <v>1922.2125959957336</v>
      </c>
      <c r="T143">
        <f t="shared" ref="T143" si="694">S143/1000</f>
        <v>1.9222125959957337</v>
      </c>
    </row>
    <row r="144" spans="1:20" x14ac:dyDescent="0.25">
      <c r="A144" s="5">
        <v>44449</v>
      </c>
      <c r="B144">
        <v>6.7309999999999999</v>
      </c>
      <c r="C144">
        <v>7.1420000000000003</v>
      </c>
      <c r="D144">
        <v>6.016</v>
      </c>
      <c r="E144">
        <v>6.3330000000000002</v>
      </c>
      <c r="F144">
        <v>4577229</v>
      </c>
      <c r="G144">
        <v>6.3330000000000002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-0.43694493783303717</v>
      </c>
      <c r="Q144">
        <f t="shared" ref="Q144" si="696">F144*P144</f>
        <v>-1999997.0408525749</v>
      </c>
      <c r="R144">
        <f t="shared" ref="R144" si="697">R145+Q144</f>
        <v>192748794.99457338</v>
      </c>
      <c r="S144">
        <f t="shared" ref="S144" si="698">R144/100000</f>
        <v>1927.4879499457338</v>
      </c>
      <c r="T144">
        <f t="shared" ref="T144" si="699">S144/1000</f>
        <v>1.9274879499457338</v>
      </c>
    </row>
    <row r="145" spans="1:20" x14ac:dyDescent="0.25">
      <c r="A145" s="5">
        <v>44448</v>
      </c>
      <c r="B145">
        <v>6.2320000000000002</v>
      </c>
      <c r="C145">
        <v>6.8890000000000002</v>
      </c>
      <c r="D145">
        <v>6.0519999999999996</v>
      </c>
      <c r="E145">
        <v>6.734</v>
      </c>
      <c r="F145">
        <v>5678708.2999999998</v>
      </c>
      <c r="G145">
        <v>6.734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0.62962962962962932</v>
      </c>
      <c r="Q145">
        <f t="shared" ref="Q145" si="701">F145*P145</f>
        <v>3575483.0037037018</v>
      </c>
      <c r="R145">
        <f t="shared" ref="R145" si="702">R146+Q145</f>
        <v>194748792.03542596</v>
      </c>
      <c r="S145">
        <f t="shared" ref="S145" si="703">R145/100000</f>
        <v>1947.4879203542596</v>
      </c>
      <c r="T145">
        <f t="shared" ref="T145" si="704">S145/1000</f>
        <v>1.9474879203542597</v>
      </c>
    </row>
    <row r="146" spans="1:20" x14ac:dyDescent="0.25">
      <c r="A146" s="5">
        <v>44447</v>
      </c>
      <c r="B146">
        <v>6.15</v>
      </c>
      <c r="C146">
        <v>6.3650000000000002</v>
      </c>
      <c r="D146">
        <v>5.4059999999999997</v>
      </c>
      <c r="E146">
        <v>6.234</v>
      </c>
      <c r="F146">
        <v>5513647.5</v>
      </c>
      <c r="G146">
        <v>6.234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0.72679874869655858</v>
      </c>
      <c r="Q146">
        <f t="shared" ref="Q146" si="706">F146*P146</f>
        <v>4007312.1037539085</v>
      </c>
      <c r="R146">
        <f t="shared" ref="R146" si="707">R147+Q146</f>
        <v>191173309.03172225</v>
      </c>
      <c r="S146">
        <f t="shared" ref="S146" si="708">R146/100000</f>
        <v>1911.7330903172224</v>
      </c>
      <c r="T146">
        <f t="shared" ref="T146" si="709">S146/1000</f>
        <v>1.9117330903172223</v>
      </c>
    </row>
    <row r="147" spans="1:20" x14ac:dyDescent="0.25">
      <c r="A147" s="5">
        <v>44446</v>
      </c>
      <c r="B147">
        <v>7.8140000000000001</v>
      </c>
      <c r="C147">
        <v>7.8979999999999997</v>
      </c>
      <c r="D147">
        <v>5.3179999999999996</v>
      </c>
      <c r="E147">
        <v>6.15</v>
      </c>
      <c r="F147">
        <v>8646303.8499999996</v>
      </c>
      <c r="G147">
        <v>6.15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-0.35503875968992193</v>
      </c>
      <c r="Q147">
        <f t="shared" ref="Q147" si="711">F147*P147</f>
        <v>-3069772.9948061965</v>
      </c>
      <c r="R147">
        <f t="shared" ref="R147" si="712">R148+Q147</f>
        <v>187165996.92796835</v>
      </c>
      <c r="S147">
        <f t="shared" ref="S147" si="713">R147/100000</f>
        <v>1871.6599692796835</v>
      </c>
      <c r="T147">
        <f t="shared" ref="T147" si="714">S147/1000</f>
        <v>1.8716599692796836</v>
      </c>
    </row>
    <row r="148" spans="1:20" x14ac:dyDescent="0.25">
      <c r="A148" s="5">
        <v>44445</v>
      </c>
      <c r="B148">
        <v>7.992</v>
      </c>
      <c r="C148">
        <v>8.1219999999999999</v>
      </c>
      <c r="D148">
        <v>7.37</v>
      </c>
      <c r="E148">
        <v>7.8129999999999997</v>
      </c>
      <c r="F148">
        <v>4774986.9000000004</v>
      </c>
      <c r="G148">
        <v>7.8129999999999997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0.17819148936170146</v>
      </c>
      <c r="Q148">
        <f t="shared" ref="Q148" si="716">F148*P148</f>
        <v>850862.02739361383</v>
      </c>
      <c r="R148">
        <f t="shared" ref="R148" si="717">R149+Q148</f>
        <v>190235769.92277455</v>
      </c>
      <c r="S148">
        <f t="shared" ref="S148" si="718">R148/100000</f>
        <v>1902.3576992277456</v>
      </c>
      <c r="T148">
        <f t="shared" ref="T148" si="719">S148/1000</f>
        <v>1.9023576992277456</v>
      </c>
    </row>
    <row r="149" spans="1:20" x14ac:dyDescent="0.25">
      <c r="A149" s="5">
        <v>44444</v>
      </c>
      <c r="B149">
        <v>8.0470000000000006</v>
      </c>
      <c r="C149">
        <v>8.0549999999999997</v>
      </c>
      <c r="D149">
        <v>7.8170000000000002</v>
      </c>
      <c r="E149">
        <v>7.9889999999999999</v>
      </c>
      <c r="F149">
        <v>2179684.1</v>
      </c>
      <c r="G149">
        <v>7.9889999999999999</v>
      </c>
      <c r="L149" t="s">
        <v>7</v>
      </c>
      <c r="M149" t="s">
        <v>7</v>
      </c>
      <c r="N149" t="s">
        <v>8</v>
      </c>
      <c r="P149">
        <f t="shared" ref="P149" si="720">IF(C149=D149,0,((E149-D149)-(C149-E149))/(C149-D149))</f>
        <v>0.44537815126050451</v>
      </c>
      <c r="Q149">
        <f t="shared" ref="Q149" si="721">F149*P149</f>
        <v>970783.67478991672</v>
      </c>
      <c r="R149">
        <f t="shared" ref="R149" si="722">R150+Q149</f>
        <v>189384907.89538094</v>
      </c>
      <c r="S149">
        <f t="shared" ref="S149" si="723">R149/100000</f>
        <v>1893.8490789538093</v>
      </c>
      <c r="T149">
        <f t="shared" ref="T149" si="724">S149/1000</f>
        <v>1.8938490789538094</v>
      </c>
    </row>
    <row r="150" spans="1:20" x14ac:dyDescent="0.25">
      <c r="A150" s="5">
        <v>44443</v>
      </c>
      <c r="B150">
        <v>8.0609999999999999</v>
      </c>
      <c r="C150">
        <v>8.1929999999999996</v>
      </c>
      <c r="D150">
        <v>7.8410000000000002</v>
      </c>
      <c r="E150">
        <v>8.0459999999999994</v>
      </c>
      <c r="F150">
        <v>2918046</v>
      </c>
      <c r="G150">
        <v>8.0459999999999994</v>
      </c>
      <c r="L150" t="s">
        <v>7</v>
      </c>
      <c r="M150" t="s">
        <v>7</v>
      </c>
      <c r="N150" t="s">
        <v>8</v>
      </c>
      <c r="P150">
        <f t="shared" ref="P150" si="725">IF(C150=D150,0,((E150-D150)-(C150-E150))/(C150-D150))</f>
        <v>0.16477272727272455</v>
      </c>
      <c r="Q150">
        <f t="shared" ref="Q150" si="726">F150*P150</f>
        <v>480814.39772726479</v>
      </c>
      <c r="R150">
        <f t="shared" ref="R150" si="727">R151+Q150</f>
        <v>188414124.22059104</v>
      </c>
      <c r="S150">
        <f t="shared" ref="S150" si="728">R150/100000</f>
        <v>1884.1412422059104</v>
      </c>
      <c r="T150">
        <f t="shared" ref="T150" si="729">S150/1000</f>
        <v>1.8841412422059105</v>
      </c>
    </row>
    <row r="151" spans="1:20" x14ac:dyDescent="0.25">
      <c r="A151" s="5">
        <v>44442</v>
      </c>
      <c r="B151">
        <v>8.1259999999999994</v>
      </c>
      <c r="C151">
        <v>8.1549999999999994</v>
      </c>
      <c r="D151">
        <v>7.9029999999999996</v>
      </c>
      <c r="E151">
        <v>8.0559999999999992</v>
      </c>
      <c r="F151">
        <v>3067433.1</v>
      </c>
      <c r="G151">
        <v>8.0559999999999992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0.21428571428571203</v>
      </c>
      <c r="Q151">
        <f t="shared" ref="Q151" si="731">F151*P151</f>
        <v>657307.09285713593</v>
      </c>
      <c r="R151">
        <f t="shared" ref="R151" si="732">R152+Q151</f>
        <v>187933309.82286379</v>
      </c>
      <c r="S151">
        <f t="shared" ref="S151" si="733">R151/100000</f>
        <v>1879.3330982286379</v>
      </c>
      <c r="T151">
        <f t="shared" ref="T151" si="734">S151/1000</f>
        <v>1.879333098228638</v>
      </c>
    </row>
    <row r="152" spans="1:20" x14ac:dyDescent="0.25">
      <c r="A152" s="5">
        <v>44441</v>
      </c>
      <c r="B152">
        <v>8.17</v>
      </c>
      <c r="C152">
        <v>8.3759999999999994</v>
      </c>
      <c r="D152">
        <v>7.9130000000000003</v>
      </c>
      <c r="E152">
        <v>8.1270000000000007</v>
      </c>
      <c r="F152">
        <v>4220869.9000000004</v>
      </c>
      <c r="G152">
        <v>8.1270000000000007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-7.5593952483797897E-2</v>
      </c>
      <c r="Q152">
        <f t="shared" ref="Q152" si="736">F152*P152</f>
        <v>-319072.23866089282</v>
      </c>
      <c r="R152">
        <f t="shared" ref="R152" si="737">R153+Q152</f>
        <v>187276002.73000666</v>
      </c>
      <c r="S152">
        <f t="shared" ref="S152" si="738">R152/100000</f>
        <v>1872.7600273000667</v>
      </c>
      <c r="T152">
        <f t="shared" ref="T152" si="739">S152/1000</f>
        <v>1.8727600273000666</v>
      </c>
    </row>
    <row r="153" spans="1:20" x14ac:dyDescent="0.25">
      <c r="A153" s="5">
        <v>44440</v>
      </c>
      <c r="B153">
        <v>7.5339999999999998</v>
      </c>
      <c r="C153">
        <v>8.1869999999999994</v>
      </c>
      <c r="D153">
        <v>7.33</v>
      </c>
      <c r="E153">
        <v>8.1709999999999994</v>
      </c>
      <c r="F153">
        <v>5832926.7000000002</v>
      </c>
      <c r="G153">
        <v>8.1709999999999994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0.96266044340723445</v>
      </c>
      <c r="Q153">
        <f t="shared" ref="Q153" si="741">F153*P153</f>
        <v>5615127.8033838971</v>
      </c>
      <c r="R153">
        <f t="shared" ref="R153" si="742">R154+Q153</f>
        <v>187595074.96866757</v>
      </c>
      <c r="S153">
        <f t="shared" ref="S153" si="743">R153/100000</f>
        <v>1875.9507496866756</v>
      </c>
      <c r="T153">
        <f t="shared" ref="T153" si="744">S153/1000</f>
        <v>1.8759507496866756</v>
      </c>
    </row>
    <row r="154" spans="1:20" x14ac:dyDescent="0.25">
      <c r="A154" s="5">
        <v>44439</v>
      </c>
      <c r="B154">
        <v>7.7960000000000003</v>
      </c>
      <c r="C154">
        <v>8.3290000000000006</v>
      </c>
      <c r="D154">
        <v>7.359</v>
      </c>
      <c r="E154">
        <v>7.5359999999999996</v>
      </c>
      <c r="F154">
        <v>6381055.9000000004</v>
      </c>
      <c r="G154">
        <v>7.5359999999999996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-0.63505154639175365</v>
      </c>
      <c r="Q154">
        <f t="shared" ref="Q154" si="746">F154*P154</f>
        <v>-4052299.4169072234</v>
      </c>
      <c r="R154">
        <f t="shared" ref="R154" si="747">R155+Q154</f>
        <v>181979947.16528368</v>
      </c>
      <c r="S154">
        <f t="shared" ref="S154" si="748">R154/100000</f>
        <v>1819.7994716528367</v>
      </c>
      <c r="T154">
        <f t="shared" ref="T154" si="749">S154/1000</f>
        <v>1.8197994716528367</v>
      </c>
    </row>
    <row r="155" spans="1:20" x14ac:dyDescent="0.25">
      <c r="A155" s="5">
        <v>44438</v>
      </c>
      <c r="B155">
        <v>8.3800000000000008</v>
      </c>
      <c r="C155">
        <v>9.218</v>
      </c>
      <c r="D155">
        <v>7.6180000000000003</v>
      </c>
      <c r="E155">
        <v>7.7969999999999997</v>
      </c>
      <c r="F155">
        <v>15447824.1</v>
      </c>
      <c r="G155">
        <v>7.7969999999999997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-0.77625000000000077</v>
      </c>
      <c r="Q155">
        <f t="shared" ref="Q155" si="751">F155*P155</f>
        <v>-11991373.457625011</v>
      </c>
      <c r="R155">
        <f t="shared" ref="R155" si="752">R156+Q155</f>
        <v>186032246.5821909</v>
      </c>
      <c r="S155">
        <f t="shared" ref="S155" si="753">R155/100000</f>
        <v>1860.322465821909</v>
      </c>
      <c r="T155">
        <f t="shared" ref="T155" si="754">S155/1000</f>
        <v>1.8603224658219089</v>
      </c>
    </row>
    <row r="156" spans="1:20" x14ac:dyDescent="0.25">
      <c r="A156" s="5">
        <v>44437</v>
      </c>
      <c r="B156">
        <v>8.6530000000000005</v>
      </c>
      <c r="C156">
        <v>8.7100000000000009</v>
      </c>
      <c r="D156">
        <v>7.9470000000000001</v>
      </c>
      <c r="E156">
        <v>8.3810000000000002</v>
      </c>
      <c r="F156">
        <v>7367739.4500000002</v>
      </c>
      <c r="G156">
        <v>8.3810000000000002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0.13761467889908183</v>
      </c>
      <c r="Q156">
        <f t="shared" ref="Q156" si="756">F156*P156</f>
        <v>1013909.0986238478</v>
      </c>
      <c r="R156">
        <f t="shared" ref="R156" si="757">R157+Q156</f>
        <v>198023620.0398159</v>
      </c>
      <c r="S156">
        <f t="shared" ref="S156" si="758">R156/100000</f>
        <v>1980.2362003981591</v>
      </c>
      <c r="T156">
        <f t="shared" ref="T156" si="759">S156/1000</f>
        <v>1.9802362003981591</v>
      </c>
    </row>
    <row r="157" spans="1:20" x14ac:dyDescent="0.25">
      <c r="A157" s="5">
        <v>44436</v>
      </c>
      <c r="B157">
        <v>8.1549999999999994</v>
      </c>
      <c r="C157">
        <v>8.6992999999999991</v>
      </c>
      <c r="D157">
        <v>7.7990000000000004</v>
      </c>
      <c r="E157">
        <v>8.6549999999999994</v>
      </c>
      <c r="F157">
        <v>5534467.5199999996</v>
      </c>
      <c r="G157">
        <v>8.6549999999999994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0.901588359435744</v>
      </c>
      <c r="Q157">
        <f t="shared" ref="Q157" si="761">F157*P157</f>
        <v>4989811.4917072104</v>
      </c>
      <c r="R157">
        <f t="shared" ref="R157" si="762">R158+Q157</f>
        <v>197009710.94119206</v>
      </c>
      <c r="S157">
        <f t="shared" ref="S157" si="763">R157/100000</f>
        <v>1970.0971094119207</v>
      </c>
      <c r="T157">
        <f t="shared" ref="T157" si="764">S157/1000</f>
        <v>1.9700971094119206</v>
      </c>
    </row>
    <row r="158" spans="1:20" x14ac:dyDescent="0.25">
      <c r="A158" s="5">
        <v>44435</v>
      </c>
      <c r="B158">
        <v>7.6139999999999999</v>
      </c>
      <c r="C158">
        <v>8.1620000000000008</v>
      </c>
      <c r="D158">
        <v>7.2130000000000001</v>
      </c>
      <c r="E158">
        <v>8.1620000000000008</v>
      </c>
      <c r="F158">
        <v>5608601.3399999999</v>
      </c>
      <c r="G158">
        <v>8.1620000000000008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1</v>
      </c>
      <c r="Q158">
        <f t="shared" ref="Q158" si="766">F158*P158</f>
        <v>5608601.3399999999</v>
      </c>
      <c r="R158">
        <f t="shared" ref="R158" si="767">R159+Q158</f>
        <v>192019899.44948485</v>
      </c>
      <c r="S158">
        <f t="shared" ref="S158" si="768">R158/100000</f>
        <v>1920.1989944948486</v>
      </c>
      <c r="T158">
        <f t="shared" ref="T158" si="769">S158/1000</f>
        <v>1.9201989944948485</v>
      </c>
    </row>
    <row r="159" spans="1:20" x14ac:dyDescent="0.25">
      <c r="A159" s="5">
        <v>44434</v>
      </c>
      <c r="B159">
        <v>8.0828000000000007</v>
      </c>
      <c r="C159">
        <v>8.1181999999999999</v>
      </c>
      <c r="D159">
        <v>7.4029999999999996</v>
      </c>
      <c r="E159">
        <v>7.6130000000000004</v>
      </c>
      <c r="F159">
        <v>4661330.95</v>
      </c>
      <c r="G159">
        <v>7.6130000000000004</v>
      </c>
      <c r="L159" t="s">
        <v>7</v>
      </c>
      <c r="M159" t="s">
        <v>8</v>
      </c>
      <c r="N159" t="s">
        <v>8</v>
      </c>
      <c r="P159">
        <f t="shared" ref="P159" si="770">IF(C159=D159,0,((E159-D159)-(C159-E159))/(C159-D159))</f>
        <v>-0.41275167785234684</v>
      </c>
      <c r="Q159">
        <f t="shared" ref="Q159" si="771">F159*P159</f>
        <v>-1923972.170637574</v>
      </c>
      <c r="R159">
        <f t="shared" ref="R159" si="772">R160+Q159</f>
        <v>186411298.10948485</v>
      </c>
      <c r="S159">
        <f t="shared" ref="S159" si="773">R159/100000</f>
        <v>1864.1129810948485</v>
      </c>
      <c r="T159">
        <f t="shared" ref="T159" si="774">S159/1000</f>
        <v>1.8641129810948485</v>
      </c>
    </row>
    <row r="160" spans="1:20" x14ac:dyDescent="0.25">
      <c r="A160" s="5">
        <v>44433</v>
      </c>
      <c r="B160">
        <v>7.8654999999999999</v>
      </c>
      <c r="C160">
        <v>8.3041</v>
      </c>
      <c r="D160">
        <v>7.524</v>
      </c>
      <c r="E160">
        <v>8.0814000000000004</v>
      </c>
      <c r="F160">
        <v>6480738.0599999996</v>
      </c>
      <c r="G160">
        <v>8.0814000000000004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0.42904755800538474</v>
      </c>
      <c r="Q160">
        <f t="shared" ref="Q160" si="776">F160*P160</f>
        <v>2780544.8387155542</v>
      </c>
      <c r="R160">
        <f t="shared" ref="R160" si="777">R161+Q160</f>
        <v>188335270.28012243</v>
      </c>
      <c r="S160">
        <f t="shared" ref="S160" si="778">R160/100000</f>
        <v>1883.3527028012243</v>
      </c>
      <c r="T160">
        <f t="shared" ref="T160" si="779">S160/1000</f>
        <v>1.8833527028012242</v>
      </c>
    </row>
    <row r="161" spans="1:20" x14ac:dyDescent="0.25">
      <c r="A161" s="5">
        <v>44432</v>
      </c>
      <c r="B161">
        <v>8.7142999999999997</v>
      </c>
      <c r="C161">
        <v>8.7200000000000006</v>
      </c>
      <c r="D161">
        <v>7.5064000000000002</v>
      </c>
      <c r="E161">
        <v>7.8551000000000002</v>
      </c>
      <c r="F161">
        <v>8173645.71</v>
      </c>
      <c r="G161">
        <v>7.8551000000000002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-0.42534607778510236</v>
      </c>
      <c r="Q161">
        <f t="shared" ref="Q161" si="781">F161*P161</f>
        <v>-3476628.1439535283</v>
      </c>
      <c r="R161">
        <f t="shared" ref="R161" si="782">R162+Q161</f>
        <v>185554725.44140688</v>
      </c>
      <c r="S161">
        <f t="shared" ref="S161" si="783">R161/100000</f>
        <v>1855.5472544140687</v>
      </c>
      <c r="T161">
        <f t="shared" ref="T161" si="784">S161/1000</f>
        <v>1.8555472544140688</v>
      </c>
    </row>
    <row r="162" spans="1:20" x14ac:dyDescent="0.25">
      <c r="A162" s="5">
        <v>44431</v>
      </c>
      <c r="B162">
        <v>8.5016999999999996</v>
      </c>
      <c r="C162">
        <v>8.7315000000000005</v>
      </c>
      <c r="D162">
        <v>8.0129999999999999</v>
      </c>
      <c r="E162">
        <v>8.7152999999999992</v>
      </c>
      <c r="F162">
        <v>8885229.6199999992</v>
      </c>
      <c r="G162">
        <v>8.7152999999999992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0.95490605427974584</v>
      </c>
      <c r="Q162">
        <f t="shared" ref="Q162" si="786">F162*P162</f>
        <v>8484559.557803724</v>
      </c>
      <c r="R162">
        <f t="shared" ref="R162" si="787">R163+Q162</f>
        <v>189031353.58536041</v>
      </c>
      <c r="S162">
        <f t="shared" ref="S162" si="788">R162/100000</f>
        <v>1890.313535853604</v>
      </c>
      <c r="T162">
        <f t="shared" ref="T162" si="789">S162/1000</f>
        <v>1.8903135358536041</v>
      </c>
    </row>
    <row r="163" spans="1:20" x14ac:dyDescent="0.25">
      <c r="A163" s="5">
        <v>44430</v>
      </c>
      <c r="B163">
        <v>7.5288000000000004</v>
      </c>
      <c r="C163">
        <v>8.6987000000000005</v>
      </c>
      <c r="D163">
        <v>7.4507000000000003</v>
      </c>
      <c r="E163">
        <v>8.4420000000000002</v>
      </c>
      <c r="F163">
        <v>7030139.7800000003</v>
      </c>
      <c r="G163">
        <v>8.4420000000000002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0.58862179487179433</v>
      </c>
      <c r="Q163">
        <f t="shared" ref="Q163" si="791">F163*P163</f>
        <v>4138093.4955032016</v>
      </c>
      <c r="R163">
        <f t="shared" ref="R163" si="792">R164+Q163</f>
        <v>180546794.02755669</v>
      </c>
      <c r="S163">
        <f t="shared" ref="S163" si="793">R163/100000</f>
        <v>1805.4679402755669</v>
      </c>
      <c r="T163">
        <f t="shared" ref="T163" si="794">S163/1000</f>
        <v>1.8054679402755669</v>
      </c>
    </row>
    <row r="164" spans="1:20" x14ac:dyDescent="0.25">
      <c r="A164" s="5">
        <v>44429</v>
      </c>
      <c r="B164">
        <v>7.0462999999999996</v>
      </c>
      <c r="C164">
        <v>8.0885999999999996</v>
      </c>
      <c r="D164">
        <v>6.8406000000000002</v>
      </c>
      <c r="E164">
        <v>7.5323000000000002</v>
      </c>
      <c r="F164">
        <v>12982805.77</v>
      </c>
      <c r="G164">
        <v>7.5323000000000002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0.1084935897435903</v>
      </c>
      <c r="Q164">
        <f t="shared" ref="Q164" si="796">F164*P164</f>
        <v>1408551.202931097</v>
      </c>
      <c r="R164">
        <f t="shared" ref="R164" si="797">R165+Q164</f>
        <v>176408700.5320535</v>
      </c>
      <c r="S164">
        <f t="shared" ref="S164" si="798">R164/100000</f>
        <v>1764.0870053205349</v>
      </c>
      <c r="T164">
        <f t="shared" ref="T164" si="799">S164/1000</f>
        <v>1.7640870053205349</v>
      </c>
    </row>
    <row r="165" spans="1:20" x14ac:dyDescent="0.25">
      <c r="A165" s="5">
        <v>44428</v>
      </c>
      <c r="B165">
        <v>6.6906999999999996</v>
      </c>
      <c r="C165">
        <v>7.1181999999999999</v>
      </c>
      <c r="D165">
        <v>6.5156999999999998</v>
      </c>
      <c r="E165">
        <v>7.0460000000000003</v>
      </c>
      <c r="F165">
        <v>4338901.17</v>
      </c>
      <c r="G165">
        <v>7.0460000000000003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0.76033195020747024</v>
      </c>
      <c r="Q165">
        <f t="shared" ref="Q165" si="801">F165*P165</f>
        <v>3299005.1883435743</v>
      </c>
      <c r="R165">
        <f t="shared" ref="R165" si="802">R166+Q165</f>
        <v>175000149.32912239</v>
      </c>
      <c r="S165">
        <f t="shared" ref="S165" si="803">R165/100000</f>
        <v>1750.0014932912241</v>
      </c>
      <c r="T165">
        <f t="shared" ref="T165" si="804">S165/1000</f>
        <v>1.750001493291224</v>
      </c>
    </row>
    <row r="166" spans="1:20" x14ac:dyDescent="0.25">
      <c r="A166" s="5">
        <v>44427</v>
      </c>
      <c r="B166">
        <v>6.4176000000000002</v>
      </c>
      <c r="C166">
        <v>6.7</v>
      </c>
      <c r="D166">
        <v>6.0460000000000003</v>
      </c>
      <c r="E166">
        <v>6.6786000000000003</v>
      </c>
      <c r="F166">
        <v>8710889.2100000009</v>
      </c>
      <c r="G166">
        <v>6.6786000000000003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0.93455657492354782</v>
      </c>
      <c r="Q166">
        <f t="shared" ref="Q166" si="806">F166*P166</f>
        <v>8140818.7846360905</v>
      </c>
      <c r="R166">
        <f t="shared" ref="R166" si="807">R167+Q166</f>
        <v>171701144.14077881</v>
      </c>
      <c r="S166">
        <f t="shared" ref="S166" si="808">R166/100000</f>
        <v>1717.0114414077882</v>
      </c>
      <c r="T166">
        <f t="shared" ref="T166" si="809">S166/1000</f>
        <v>1.7170114414077882</v>
      </c>
    </row>
    <row r="167" spans="1:20" x14ac:dyDescent="0.25">
      <c r="A167" s="5">
        <v>44426</v>
      </c>
      <c r="B167">
        <v>6.3289</v>
      </c>
      <c r="C167">
        <v>6.67</v>
      </c>
      <c r="D167">
        <v>5.9438000000000004</v>
      </c>
      <c r="E167">
        <v>6.4090999999999996</v>
      </c>
      <c r="F167">
        <v>13000998.5</v>
      </c>
      <c r="G167">
        <v>6.4090999999999996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0.28146516111263969</v>
      </c>
      <c r="Q167">
        <f t="shared" ref="Q167" si="811">F167*P167</f>
        <v>3659328.1374276872</v>
      </c>
      <c r="R167">
        <f t="shared" ref="R167" si="812">R168+Q167</f>
        <v>163560325.35614273</v>
      </c>
      <c r="S167">
        <f t="shared" ref="S167" si="813">R167/100000</f>
        <v>1635.6032535614272</v>
      </c>
      <c r="T167">
        <f t="shared" ref="T167" si="814">S167/1000</f>
        <v>1.6356032535614271</v>
      </c>
    </row>
    <row r="168" spans="1:20" x14ac:dyDescent="0.25">
      <c r="A168" s="5">
        <v>44425</v>
      </c>
      <c r="B168">
        <v>6.4093</v>
      </c>
      <c r="C168">
        <v>7.3098999999999998</v>
      </c>
      <c r="D168">
        <v>6.2</v>
      </c>
      <c r="E168">
        <v>6.3285</v>
      </c>
      <c r="F168">
        <v>15533517.369999999</v>
      </c>
      <c r="G168">
        <v>6.3285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-0.76844760789260314</v>
      </c>
      <c r="Q168">
        <f t="shared" ref="Q168" si="816">F168*P168</f>
        <v>-11936694.2651347</v>
      </c>
      <c r="R168">
        <f t="shared" ref="R168" si="817">R169+Q168</f>
        <v>159900997.21871504</v>
      </c>
      <c r="S168">
        <f t="shared" ref="S168" si="818">R168/100000</f>
        <v>1599.0099721871504</v>
      </c>
      <c r="T168">
        <f t="shared" ref="T168" si="819">S168/1000</f>
        <v>1.5990099721871505</v>
      </c>
    </row>
    <row r="169" spans="1:20" x14ac:dyDescent="0.25">
      <c r="A169" s="5">
        <v>44424</v>
      </c>
      <c r="B169">
        <v>6.5548999999999999</v>
      </c>
      <c r="C169">
        <v>6.7798999999999996</v>
      </c>
      <c r="D169">
        <v>6.2987000000000002</v>
      </c>
      <c r="E169">
        <v>6.4004000000000003</v>
      </c>
      <c r="F169">
        <v>9662088.0899999999</v>
      </c>
      <c r="G169">
        <v>6.4004000000000003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-0.57730673316708125</v>
      </c>
      <c r="Q169">
        <f t="shared" ref="Q169" si="821">F169*P169</f>
        <v>-5577988.5108104637</v>
      </c>
      <c r="R169">
        <f t="shared" ref="R169" si="822">R170+Q169</f>
        <v>171837691.48384973</v>
      </c>
      <c r="S169">
        <f t="shared" ref="S169" si="823">R169/100000</f>
        <v>1718.3769148384974</v>
      </c>
      <c r="T169">
        <f t="shared" ref="T169" si="824">S169/1000</f>
        <v>1.7183769148384975</v>
      </c>
    </row>
    <row r="170" spans="1:20" x14ac:dyDescent="0.25">
      <c r="A170" s="5">
        <v>44423</v>
      </c>
      <c r="B170">
        <v>6.0529999999999999</v>
      </c>
      <c r="C170">
        <v>6.9363999999999999</v>
      </c>
      <c r="D170">
        <v>6.0060000000000002</v>
      </c>
      <c r="E170">
        <v>6.5548999999999999</v>
      </c>
      <c r="F170">
        <v>15663267.869999999</v>
      </c>
      <c r="G170">
        <v>6.5548999999999999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0.17992261392949252</v>
      </c>
      <c r="Q170">
        <f t="shared" ref="Q170" si="826">F170*P170</f>
        <v>2818176.0978482347</v>
      </c>
      <c r="R170">
        <f t="shared" ref="R170" si="827">R171+Q170</f>
        <v>177415679.9946602</v>
      </c>
      <c r="S170">
        <f t="shared" ref="S170" si="828">R170/100000</f>
        <v>1774.156799946602</v>
      </c>
      <c r="T170">
        <f t="shared" ref="T170" si="829">S170/1000</f>
        <v>1.7741567999466019</v>
      </c>
    </row>
    <row r="171" spans="1:20" x14ac:dyDescent="0.25">
      <c r="A171" s="5">
        <v>44422</v>
      </c>
      <c r="B171">
        <v>6.1590999999999996</v>
      </c>
      <c r="C171">
        <v>6.2393999999999998</v>
      </c>
      <c r="D171">
        <v>5.8735999999999997</v>
      </c>
      <c r="E171">
        <v>6.0556000000000001</v>
      </c>
      <c r="F171">
        <v>5695610.0800000001</v>
      </c>
      <c r="G171">
        <v>6.0556000000000001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-4.9207217058484338E-3</v>
      </c>
      <c r="Q171">
        <f t="shared" ref="Q171" si="831">F171*P171</f>
        <v>-28026.512148705136</v>
      </c>
      <c r="R171">
        <f t="shared" ref="R171" si="832">R172+Q171</f>
        <v>174597503.89681196</v>
      </c>
      <c r="S171">
        <f t="shared" ref="S171" si="833">R171/100000</f>
        <v>1745.9750389681196</v>
      </c>
      <c r="T171">
        <f t="shared" ref="T171" si="834">S171/1000</f>
        <v>1.7459750389681197</v>
      </c>
    </row>
    <row r="172" spans="1:20" x14ac:dyDescent="0.25">
      <c r="A172" s="5">
        <v>44421</v>
      </c>
      <c r="B172">
        <v>5.8948999999999998</v>
      </c>
      <c r="C172">
        <v>6.1821999999999999</v>
      </c>
      <c r="D172">
        <v>5.7820999999999998</v>
      </c>
      <c r="E172">
        <v>6.1590999999999996</v>
      </c>
      <c r="F172">
        <v>6089127.9800000004</v>
      </c>
      <c r="G172">
        <v>6.1590999999999996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0.88452886778305251</v>
      </c>
      <c r="Q172">
        <f t="shared" ref="Q172" si="836">F172*P172</f>
        <v>5386009.477935506</v>
      </c>
      <c r="R172">
        <f t="shared" ref="R172" si="837">R173+Q172</f>
        <v>174625530.40896067</v>
      </c>
      <c r="S172">
        <f t="shared" ref="S172" si="838">R172/100000</f>
        <v>1746.2553040896066</v>
      </c>
      <c r="T172">
        <f t="shared" ref="T172" si="839">S172/1000</f>
        <v>1.7462553040896067</v>
      </c>
    </row>
    <row r="173" spans="1:20" x14ac:dyDescent="0.25">
      <c r="A173" s="5">
        <v>44420</v>
      </c>
      <c r="B173">
        <v>6.1806000000000001</v>
      </c>
      <c r="C173">
        <v>6.2789999999999999</v>
      </c>
      <c r="D173">
        <v>5.6612</v>
      </c>
      <c r="E173">
        <v>5.8933</v>
      </c>
      <c r="F173">
        <v>6712495.9400000004</v>
      </c>
      <c r="G173">
        <v>5.8933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-0.24862415021042406</v>
      </c>
      <c r="Q173">
        <f t="shared" ref="Q173" si="841">F173*P173</f>
        <v>-1668888.5988734218</v>
      </c>
      <c r="R173">
        <f t="shared" ref="R173" si="842">R174+Q173</f>
        <v>169239520.93102518</v>
      </c>
      <c r="S173">
        <f t="shared" ref="S173" si="843">R173/100000</f>
        <v>1692.3952093102519</v>
      </c>
      <c r="T173">
        <f t="shared" ref="T173" si="844">S173/1000</f>
        <v>1.6923952093102519</v>
      </c>
    </row>
    <row r="174" spans="1:20" x14ac:dyDescent="0.25">
      <c r="A174" s="5">
        <v>44419</v>
      </c>
      <c r="B174">
        <v>6.0978000000000003</v>
      </c>
      <c r="C174">
        <v>6.4359000000000002</v>
      </c>
      <c r="D174">
        <v>5.9798</v>
      </c>
      <c r="E174">
        <v>6.1779999999999999</v>
      </c>
      <c r="F174">
        <v>6722417.6799999997</v>
      </c>
      <c r="G174">
        <v>6.1779999999999999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-0.13089234816926176</v>
      </c>
      <c r="Q174">
        <f t="shared" ref="Q174" si="846">F174*P174</f>
        <v>-879913.03550976084</v>
      </c>
      <c r="R174">
        <f t="shared" ref="R174" si="847">R175+Q174</f>
        <v>170908409.52989861</v>
      </c>
      <c r="S174">
        <f t="shared" ref="S174" si="848">R174/100000</f>
        <v>1709.0840952989861</v>
      </c>
      <c r="T174">
        <f t="shared" ref="T174" si="849">S174/1000</f>
        <v>1.7090840952989861</v>
      </c>
    </row>
    <row r="175" spans="1:20" x14ac:dyDescent="0.25">
      <c r="A175" s="5">
        <v>44418</v>
      </c>
      <c r="B175">
        <v>5.9711999999999996</v>
      </c>
      <c r="C175">
        <v>6.1828000000000003</v>
      </c>
      <c r="D175">
        <v>5.8140000000000001</v>
      </c>
      <c r="E175">
        <v>6.0913000000000004</v>
      </c>
      <c r="F175">
        <v>9516659.2599999998</v>
      </c>
      <c r="G175">
        <v>6.0913000000000004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0.50379609544468629</v>
      </c>
      <c r="Q175">
        <f t="shared" ref="Q175" si="851">F175*P175</f>
        <v>4794455.7768655177</v>
      </c>
      <c r="R175">
        <f t="shared" ref="R175" si="852">R176+Q175</f>
        <v>171788322.56540838</v>
      </c>
      <c r="S175">
        <f t="shared" ref="S175" si="853">R175/100000</f>
        <v>1717.8832256540838</v>
      </c>
      <c r="T175">
        <f t="shared" ref="T175" si="854">S175/1000</f>
        <v>1.7178832256540839</v>
      </c>
    </row>
    <row r="176" spans="1:20" x14ac:dyDescent="0.25">
      <c r="A176" s="5">
        <v>44417</v>
      </c>
      <c r="B176">
        <v>5.6871999999999998</v>
      </c>
      <c r="C176">
        <v>6.09</v>
      </c>
      <c r="D176">
        <v>5.4188000000000001</v>
      </c>
      <c r="E176">
        <v>5.9729000000000001</v>
      </c>
      <c r="F176">
        <v>11343321.92</v>
      </c>
      <c r="G176">
        <v>5.9729000000000001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0.65107270560190766</v>
      </c>
      <c r="Q176">
        <f t="shared" ref="Q176" si="856">F176*P176</f>
        <v>7385327.2929678261</v>
      </c>
      <c r="R176">
        <f t="shared" ref="R176" si="857">R177+Q176</f>
        <v>166993866.78854287</v>
      </c>
      <c r="S176">
        <f t="shared" ref="S176" si="858">R176/100000</f>
        <v>1669.9386678854287</v>
      </c>
      <c r="T176">
        <f t="shared" ref="T176" si="859">S176/1000</f>
        <v>1.6699386678854287</v>
      </c>
    </row>
    <row r="177" spans="1:20" x14ac:dyDescent="0.25">
      <c r="A177" s="5">
        <v>44416</v>
      </c>
      <c r="B177">
        <v>6.0880999999999998</v>
      </c>
      <c r="C177">
        <v>6.1380999999999997</v>
      </c>
      <c r="D177">
        <v>5.5433000000000003</v>
      </c>
      <c r="E177">
        <v>5.6882999999999999</v>
      </c>
      <c r="F177">
        <v>11108164.800000001</v>
      </c>
      <c r="G177">
        <v>5.6882999999999999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-0.51244115669132573</v>
      </c>
      <c r="Q177">
        <f t="shared" ref="Q177" si="861">F177*P177</f>
        <v>-5692280.8188298689</v>
      </c>
      <c r="R177">
        <f t="shared" ref="R177" si="862">R178+Q177</f>
        <v>159608539.49557504</v>
      </c>
      <c r="S177">
        <f t="shared" ref="S177" si="863">R177/100000</f>
        <v>1596.0853949557504</v>
      </c>
      <c r="T177">
        <f t="shared" ref="T177" si="864">S177/1000</f>
        <v>1.5960853949557505</v>
      </c>
    </row>
    <row r="178" spans="1:20" x14ac:dyDescent="0.25">
      <c r="A178" s="5">
        <v>44415</v>
      </c>
      <c r="B178">
        <v>6.1117999999999997</v>
      </c>
      <c r="C178">
        <v>6.2899000000000003</v>
      </c>
      <c r="D178">
        <v>5.8654999999999999</v>
      </c>
      <c r="E178">
        <v>6.0831999999999997</v>
      </c>
      <c r="F178">
        <v>11447600.310000001</v>
      </c>
      <c r="G178">
        <v>6.0831999999999997</v>
      </c>
      <c r="L178" t="s">
        <v>8</v>
      </c>
      <c r="M178" t="s">
        <v>7</v>
      </c>
      <c r="N178" t="s">
        <v>8</v>
      </c>
      <c r="P178">
        <f t="shared" ref="P178" si="865">IF(C178=D178,0,((E178-D178)-(C178-E178))/(C178-D178))</f>
        <v>2.5918944392081113E-2</v>
      </c>
      <c r="Q178">
        <f t="shared" ref="Q178" si="866">F178*P178</f>
        <v>296709.71585766051</v>
      </c>
      <c r="R178">
        <f t="shared" ref="R178" si="867">R179+Q178</f>
        <v>165300820.3144049</v>
      </c>
      <c r="S178">
        <f t="shared" ref="S178" si="868">R178/100000</f>
        <v>1653.008203144049</v>
      </c>
      <c r="T178">
        <f t="shared" ref="T178" si="869">S178/1000</f>
        <v>1.6530082031440489</v>
      </c>
    </row>
    <row r="179" spans="1:20" x14ac:dyDescent="0.25">
      <c r="A179" s="5">
        <v>44414</v>
      </c>
      <c r="B179">
        <v>6.0486000000000004</v>
      </c>
      <c r="C179">
        <v>6.2491000000000003</v>
      </c>
      <c r="D179">
        <v>5.8526999999999996</v>
      </c>
      <c r="E179">
        <v>6.1105</v>
      </c>
      <c r="F179">
        <v>11517077.09</v>
      </c>
      <c r="G179">
        <v>6.1105</v>
      </c>
      <c r="L179" t="s">
        <v>8</v>
      </c>
      <c r="M179" t="s">
        <v>7</v>
      </c>
      <c r="N179" t="s">
        <v>8</v>
      </c>
      <c r="P179">
        <f t="shared" ref="P179" si="870">IF(C179=D179,0,((E179-D179)-(C179-E179))/(C179-D179))</f>
        <v>0.30070635721493433</v>
      </c>
      <c r="Q179">
        <f t="shared" ref="Q179" si="871">F179*P179</f>
        <v>3463258.2974974765</v>
      </c>
      <c r="R179">
        <f t="shared" ref="R179" si="872">R180+Q179</f>
        <v>165004110.59854725</v>
      </c>
      <c r="S179">
        <f t="shared" ref="S179" si="873">R179/100000</f>
        <v>1650.0411059854725</v>
      </c>
      <c r="T179">
        <f t="shared" ref="T179" si="874">S179/1000</f>
        <v>1.6500411059854725</v>
      </c>
    </row>
    <row r="180" spans="1:20" x14ac:dyDescent="0.25">
      <c r="A180" s="5">
        <v>44413</v>
      </c>
      <c r="B180">
        <v>6.1357999999999997</v>
      </c>
      <c r="C180">
        <v>6.149</v>
      </c>
      <c r="D180">
        <v>5.7430000000000003</v>
      </c>
      <c r="E180">
        <v>6.0491999999999999</v>
      </c>
      <c r="F180">
        <v>10986281.83</v>
      </c>
      <c r="G180">
        <v>6.0491999999999999</v>
      </c>
      <c r="L180" t="s">
        <v>7</v>
      </c>
      <c r="M180" t="s">
        <v>7</v>
      </c>
      <c r="N180" t="s">
        <v>8</v>
      </c>
      <c r="P180">
        <f t="shared" ref="P180" si="875">IF(C180=D180,0,((E180-D180)-(C180-E180))/(C180-D180))</f>
        <v>0.50837438423645231</v>
      </c>
      <c r="Q180">
        <f t="shared" ref="Q180" si="876">F180*P180</f>
        <v>5585144.2603743747</v>
      </c>
      <c r="R180">
        <f t="shared" ref="R180" si="877">R181+Q180</f>
        <v>161540852.30104977</v>
      </c>
      <c r="S180">
        <f t="shared" ref="S180" si="878">R180/100000</f>
        <v>1615.4085230104977</v>
      </c>
      <c r="T180">
        <f t="shared" ref="T180" si="879">S180/1000</f>
        <v>1.6154085230104978</v>
      </c>
    </row>
    <row r="181" spans="1:20" x14ac:dyDescent="0.25">
      <c r="A181" s="5">
        <v>44412</v>
      </c>
      <c r="B181">
        <v>6.1254999999999997</v>
      </c>
      <c r="C181">
        <v>6.2</v>
      </c>
      <c r="D181">
        <v>5.72</v>
      </c>
      <c r="E181">
        <v>6.1357999999999997</v>
      </c>
      <c r="F181">
        <v>12108914.189999999</v>
      </c>
      <c r="G181">
        <v>6.1357999999999997</v>
      </c>
      <c r="L181" t="s">
        <v>7</v>
      </c>
      <c r="M181" t="s">
        <v>7</v>
      </c>
      <c r="N181" t="s">
        <v>8</v>
      </c>
      <c r="P181">
        <f t="shared" ref="P181" si="880">IF(C181=D181,0,((E181-D181)-(C181-E181))/(C181-D181))</f>
        <v>0.73249999999999826</v>
      </c>
      <c r="Q181">
        <f t="shared" ref="Q181" si="881">F181*P181</f>
        <v>8869779.6441749781</v>
      </c>
      <c r="R181">
        <f t="shared" ref="R181" si="882">R182+Q181</f>
        <v>155955708.0406754</v>
      </c>
      <c r="S181">
        <f t="shared" ref="S181" si="883">R181/100000</f>
        <v>1559.557080406754</v>
      </c>
      <c r="T181">
        <f t="shared" ref="T181" si="884">S181/1000</f>
        <v>1.559557080406754</v>
      </c>
    </row>
    <row r="182" spans="1:20" x14ac:dyDescent="0.25">
      <c r="A182" s="5">
        <v>44411</v>
      </c>
      <c r="B182">
        <v>5.7426000000000004</v>
      </c>
      <c r="C182">
        <v>6.73</v>
      </c>
      <c r="D182">
        <v>5.7426000000000004</v>
      </c>
      <c r="E182">
        <v>6.13</v>
      </c>
      <c r="F182">
        <v>20893805.68</v>
      </c>
      <c r="G182">
        <v>6.13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-0.21531294308284485</v>
      </c>
      <c r="Q182">
        <f t="shared" ref="Q182" si="886">F182*P182</f>
        <v>-4498706.7931618607</v>
      </c>
      <c r="R182">
        <f t="shared" ref="R182" si="887">R183+Q182</f>
        <v>147085928.39650041</v>
      </c>
      <c r="S182">
        <f t="shared" ref="S182" si="888">R182/100000</f>
        <v>1470.8592839650041</v>
      </c>
      <c r="T182">
        <f t="shared" ref="T182" si="889">S182/1000</f>
        <v>1.4708592839650041</v>
      </c>
    </row>
    <row r="183" spans="1:20" x14ac:dyDescent="0.25">
      <c r="A183" s="5">
        <v>44410</v>
      </c>
      <c r="B183">
        <v>5.2251000000000003</v>
      </c>
      <c r="C183">
        <v>6.1840999999999999</v>
      </c>
      <c r="D183">
        <v>5.1623999999999999</v>
      </c>
      <c r="E183">
        <v>5.7427000000000001</v>
      </c>
      <c r="F183">
        <v>20192917.629999999</v>
      </c>
      <c r="G183">
        <v>5.7427000000000001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0.13594988744249825</v>
      </c>
      <c r="Q183">
        <f t="shared" ref="Q183" si="891">F183*P183</f>
        <v>2745224.8789341385</v>
      </c>
      <c r="R183">
        <f t="shared" ref="R183" si="892">R184+Q183</f>
        <v>151584635.18966228</v>
      </c>
      <c r="S183">
        <f t="shared" ref="S183" si="893">R183/100000</f>
        <v>1515.8463518966228</v>
      </c>
      <c r="T183">
        <f t="shared" ref="T183" si="894">S183/1000</f>
        <v>1.5158463518966228</v>
      </c>
    </row>
    <row r="184" spans="1:20" x14ac:dyDescent="0.25">
      <c r="A184" s="5">
        <v>44409</v>
      </c>
      <c r="B184">
        <v>5.2488999999999999</v>
      </c>
      <c r="C184">
        <v>5.76</v>
      </c>
      <c r="D184">
        <v>5.0826000000000002</v>
      </c>
      <c r="E184">
        <v>5.2252000000000001</v>
      </c>
      <c r="F184">
        <v>12298544.83</v>
      </c>
      <c r="G184">
        <v>5.2252000000000001</v>
      </c>
      <c r="L184" t="s">
        <v>8</v>
      </c>
      <c r="M184" t="s">
        <v>7</v>
      </c>
      <c r="N184" t="s">
        <v>8</v>
      </c>
      <c r="P184">
        <f t="shared" ref="P184" si="895">IF(C184=D184,0,((E184-D184)-(C184-E184))/(C184-D184))</f>
        <v>-0.57897844700324796</v>
      </c>
      <c r="Q184">
        <f t="shared" ref="Q184" si="896">F184*P184</f>
        <v>-7120592.3860732242</v>
      </c>
      <c r="R184">
        <f t="shared" ref="R184" si="897">R185+Q184</f>
        <v>148839410.31072813</v>
      </c>
      <c r="S184">
        <f t="shared" ref="S184" si="898">R184/100000</f>
        <v>1488.3941031072814</v>
      </c>
      <c r="T184">
        <f t="shared" ref="T184" si="899">S184/1000</f>
        <v>1.4883941031072814</v>
      </c>
    </row>
    <row r="185" spans="1:20" x14ac:dyDescent="0.25">
      <c r="A185" s="5">
        <v>44408</v>
      </c>
      <c r="B185">
        <v>5.2842000000000002</v>
      </c>
      <c r="C185">
        <v>5.3349000000000002</v>
      </c>
      <c r="D185">
        <v>5.1002999999999998</v>
      </c>
      <c r="E185">
        <v>5.2446000000000002</v>
      </c>
      <c r="F185">
        <v>11100666.939999999</v>
      </c>
      <c r="G185">
        <v>5.2446000000000002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0.23017902813299312</v>
      </c>
      <c r="Q185">
        <f t="shared" ref="Q185" si="901">F185*P185</f>
        <v>2555140.7278772467</v>
      </c>
      <c r="R185">
        <f t="shared" ref="R185" si="902">R186+Q185</f>
        <v>155960002.69680136</v>
      </c>
      <c r="S185">
        <f t="shared" ref="S185" si="903">R185/100000</f>
        <v>1559.6000269680137</v>
      </c>
      <c r="T185">
        <f t="shared" ref="T185" si="904">S185/1000</f>
        <v>1.5596000269680137</v>
      </c>
    </row>
    <row r="186" spans="1:20" x14ac:dyDescent="0.25">
      <c r="A186" s="5">
        <v>44407</v>
      </c>
      <c r="B186">
        <v>5.2624000000000004</v>
      </c>
      <c r="C186">
        <v>5.2990000000000004</v>
      </c>
      <c r="D186">
        <v>4.9215999999999998</v>
      </c>
      <c r="E186">
        <v>5.2877999999999998</v>
      </c>
      <c r="F186">
        <v>6766285.75</v>
      </c>
      <c r="G186">
        <v>5.2877999999999998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0.94064652888182021</v>
      </c>
      <c r="Q186">
        <f t="shared" ref="Q186" si="906">F186*P186</f>
        <v>6364683.2041600235</v>
      </c>
      <c r="R186">
        <f t="shared" ref="R186" si="907">R187+Q186</f>
        <v>153404861.96892411</v>
      </c>
      <c r="S186">
        <f t="shared" ref="S186" si="908">R186/100000</f>
        <v>1534.0486196892411</v>
      </c>
      <c r="T186">
        <f t="shared" ref="T186" si="909">S186/1000</f>
        <v>1.5340486196892411</v>
      </c>
    </row>
    <row r="187" spans="1:20" x14ac:dyDescent="0.25">
      <c r="A187" s="5">
        <v>44406</v>
      </c>
      <c r="B187">
        <v>5.3129</v>
      </c>
      <c r="C187">
        <v>5.62</v>
      </c>
      <c r="D187">
        <v>5.1454000000000004</v>
      </c>
      <c r="E187">
        <v>5.2649999999999997</v>
      </c>
      <c r="F187">
        <v>7425335.0700000003</v>
      </c>
      <c r="G187">
        <v>5.2649999999999997</v>
      </c>
      <c r="L187" t="s">
        <v>7</v>
      </c>
      <c r="M187" t="s">
        <v>8</v>
      </c>
      <c r="N187" t="s">
        <v>8</v>
      </c>
      <c r="P187">
        <f t="shared" ref="P187" si="910">IF(C187=D187,0,((E187-D187)-(C187-E187))/(C187-D187))</f>
        <v>-0.49599662873999434</v>
      </c>
      <c r="Q187">
        <f t="shared" ref="Q187" si="911">F187*P187</f>
        <v>-3682941.1619848502</v>
      </c>
      <c r="R187">
        <f t="shared" ref="R187" si="912">R188+Q187</f>
        <v>147040178.76476407</v>
      </c>
      <c r="S187">
        <f t="shared" ref="S187" si="913">R187/100000</f>
        <v>1470.4017876476407</v>
      </c>
      <c r="T187">
        <f t="shared" ref="T187" si="914">S187/1000</f>
        <v>1.4704017876476407</v>
      </c>
    </row>
    <row r="188" spans="1:20" x14ac:dyDescent="0.25">
      <c r="A188" s="5">
        <v>44405</v>
      </c>
      <c r="B188">
        <v>5.5250000000000004</v>
      </c>
      <c r="C188">
        <v>5.8087999999999997</v>
      </c>
      <c r="D188">
        <v>5.1786000000000003</v>
      </c>
      <c r="E188">
        <v>5.3121999999999998</v>
      </c>
      <c r="F188">
        <v>11032160.68</v>
      </c>
      <c r="G188">
        <v>5.3121999999999998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-0.57600761662964262</v>
      </c>
      <c r="Q188">
        <f t="shared" ref="Q188" si="916">F188*P188</f>
        <v>-6354608.5795620568</v>
      </c>
      <c r="R188">
        <f t="shared" ref="R188" si="917">R189+Q188</f>
        <v>150723119.92674893</v>
      </c>
      <c r="S188">
        <f t="shared" ref="S188" si="918">R188/100000</f>
        <v>1507.2311992674893</v>
      </c>
      <c r="T188">
        <f t="shared" ref="T188" si="919">S188/1000</f>
        <v>1.5072311992674892</v>
      </c>
    </row>
    <row r="189" spans="1:20" x14ac:dyDescent="0.25">
      <c r="A189" s="5">
        <v>44404</v>
      </c>
      <c r="B189">
        <v>5.0369000000000002</v>
      </c>
      <c r="C189">
        <v>5.6124999999999998</v>
      </c>
      <c r="D189">
        <v>4.75</v>
      </c>
      <c r="E189">
        <v>5.5250000000000004</v>
      </c>
      <c r="F189">
        <v>18406696.789999999</v>
      </c>
      <c r="G189">
        <v>5.5250000000000004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0.79710144927536353</v>
      </c>
      <c r="Q189">
        <f t="shared" ref="Q189" si="921">F189*P189</f>
        <v>14672004.687681181</v>
      </c>
      <c r="R189">
        <f t="shared" ref="R189" si="922">R190+Q189</f>
        <v>157077728.506311</v>
      </c>
      <c r="S189">
        <f t="shared" ref="S189" si="923">R189/100000</f>
        <v>1570.77728506311</v>
      </c>
      <c r="T189">
        <f t="shared" ref="T189" si="924">S189/1000</f>
        <v>1.5707772850631099</v>
      </c>
    </row>
    <row r="190" spans="1:20" x14ac:dyDescent="0.25">
      <c r="A190" s="5">
        <v>44403</v>
      </c>
      <c r="B190">
        <v>4.5879000000000003</v>
      </c>
      <c r="C190">
        <v>5.6650999999999998</v>
      </c>
      <c r="D190">
        <v>4.5199999999999996</v>
      </c>
      <c r="E190">
        <v>5.0420999999999996</v>
      </c>
      <c r="F190">
        <v>22026399.039999999</v>
      </c>
      <c r="G190">
        <v>5.0420999999999996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-8.8114575146275603E-2</v>
      </c>
      <c r="Q190">
        <f t="shared" ref="Q190" si="926">F190*P190</f>
        <v>-1940846.7934119327</v>
      </c>
      <c r="R190">
        <f t="shared" ref="R190" si="927">R191+Q190</f>
        <v>142405723.81862983</v>
      </c>
      <c r="S190">
        <f t="shared" ref="S190" si="928">R190/100000</f>
        <v>1424.0572381862983</v>
      </c>
      <c r="T190">
        <f t="shared" ref="T190" si="929">S190/1000</f>
        <v>1.4240572381862984</v>
      </c>
    </row>
    <row r="191" spans="1:20" x14ac:dyDescent="0.25">
      <c r="A191" s="5">
        <v>44402</v>
      </c>
      <c r="B191">
        <v>4.4542999999999999</v>
      </c>
      <c r="C191">
        <v>4.5949999999999998</v>
      </c>
      <c r="D191">
        <v>4.2259000000000002</v>
      </c>
      <c r="E191">
        <v>4.5914999999999999</v>
      </c>
      <c r="F191">
        <v>12027242.82</v>
      </c>
      <c r="G191">
        <v>4.5914999999999999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0.98103494987808271</v>
      </c>
      <c r="Q191">
        <f t="shared" ref="Q191" si="931">F191*P191</f>
        <v>11799145.55709023</v>
      </c>
      <c r="R191">
        <f t="shared" ref="R191" si="932">R192+Q191</f>
        <v>144346570.61204177</v>
      </c>
      <c r="S191">
        <f t="shared" ref="S191" si="933">R191/100000</f>
        <v>1443.4657061204177</v>
      </c>
      <c r="T191">
        <f t="shared" ref="T191:T197" si="934">S191/1000</f>
        <v>1.4434657061204177</v>
      </c>
    </row>
    <row r="192" spans="1:20" x14ac:dyDescent="0.25">
      <c r="A192" s="5">
        <v>44401</v>
      </c>
      <c r="B192">
        <v>4.4283999999999999</v>
      </c>
      <c r="C192">
        <v>4.6074999999999999</v>
      </c>
      <c r="D192">
        <v>4.2779999999999996</v>
      </c>
      <c r="E192">
        <v>4.4488000000000003</v>
      </c>
      <c r="F192">
        <v>12440709.02</v>
      </c>
      <c r="G192">
        <v>4.4488000000000003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3.6722306525041264E-2</v>
      </c>
      <c r="Q192">
        <f t="shared" ref="Q192" si="936">F192*P192</f>
        <v>456851.5300212857</v>
      </c>
      <c r="R192">
        <f t="shared" ref="R192" si="937">R193+Q192</f>
        <v>132547425.05495153</v>
      </c>
      <c r="S192">
        <f t="shared" ref="S192" si="938">R192/100000</f>
        <v>1325.4742505495153</v>
      </c>
      <c r="T192">
        <f t="shared" si="934"/>
        <v>1.3254742505495154</v>
      </c>
    </row>
    <row r="193" spans="1:20" x14ac:dyDescent="0.25">
      <c r="A193" s="5">
        <v>44400</v>
      </c>
      <c r="B193">
        <v>3.9138999999999999</v>
      </c>
      <c r="C193">
        <v>4.5180999999999996</v>
      </c>
      <c r="D193">
        <v>3.9138999999999999</v>
      </c>
      <c r="E193">
        <v>4.4283999999999999</v>
      </c>
      <c r="F193">
        <v>17423590.120000001</v>
      </c>
      <c r="G193">
        <v>4.4283999999999999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0.70307845084409226</v>
      </c>
      <c r="Q193">
        <f t="shared" ref="Q193" si="940">F193*P193</f>
        <v>12250150.749712033</v>
      </c>
      <c r="R193">
        <f t="shared" ref="R193" si="941">R194+Q193</f>
        <v>132090573.52493025</v>
      </c>
      <c r="S193">
        <f t="shared" ref="S193" si="942">R193/100000</f>
        <v>1320.9057352493026</v>
      </c>
      <c r="T193">
        <f t="shared" si="934"/>
        <v>1.3209057352493025</v>
      </c>
    </row>
    <row r="194" spans="1:20" x14ac:dyDescent="0.25">
      <c r="A194" s="5">
        <v>44399</v>
      </c>
      <c r="B194">
        <v>3.6753</v>
      </c>
      <c r="C194">
        <v>4.0312999999999999</v>
      </c>
      <c r="D194">
        <v>3.5804</v>
      </c>
      <c r="E194">
        <v>3.9169999999999998</v>
      </c>
      <c r="F194">
        <v>12383092.75</v>
      </c>
      <c r="G194">
        <v>3.9169999999999998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0.49301397205588776</v>
      </c>
      <c r="Q194">
        <f t="shared" ref="Q194" si="944">F194*P194</f>
        <v>6105037.7430139659</v>
      </c>
      <c r="R194">
        <f t="shared" ref="R194" si="945">R195+Q194</f>
        <v>119840422.77521822</v>
      </c>
      <c r="S194">
        <f t="shared" ref="S194" si="946">R194/100000</f>
        <v>1198.4042277521821</v>
      </c>
      <c r="T194">
        <f t="shared" si="934"/>
        <v>1.198404227752182</v>
      </c>
    </row>
    <row r="195" spans="1:20" x14ac:dyDescent="0.25">
      <c r="A195" s="5">
        <v>44398</v>
      </c>
      <c r="B195">
        <v>3.3393999999999999</v>
      </c>
      <c r="C195">
        <v>3.7536999999999998</v>
      </c>
      <c r="D195">
        <v>3.2155</v>
      </c>
      <c r="E195">
        <v>3.6739999999999999</v>
      </c>
      <c r="F195">
        <v>11668084.27</v>
      </c>
      <c r="G195">
        <v>3.6739999999999999</v>
      </c>
      <c r="L195" t="s">
        <v>7</v>
      </c>
      <c r="M195" t="s">
        <v>7</v>
      </c>
      <c r="N195" t="s">
        <v>7</v>
      </c>
      <c r="P195">
        <f t="shared" ref="P195" si="947">IF(C195=D195,0,((E195-D195)-(C195-E195))/(C195-D195))</f>
        <v>0.70382757339279112</v>
      </c>
      <c r="Q195">
        <f t="shared" ref="Q195" si="948">F195*P195</f>
        <v>8212319.4378966959</v>
      </c>
      <c r="R195">
        <f t="shared" ref="R195" si="949">R196+Q195</f>
        <v>113735385.03220426</v>
      </c>
      <c r="S195">
        <f t="shared" ref="S195" si="950">R195/100000</f>
        <v>1137.3538503220425</v>
      </c>
      <c r="T195">
        <f t="shared" si="934"/>
        <v>1.1373538503220424</v>
      </c>
    </row>
    <row r="196" spans="1:20" x14ac:dyDescent="0.25">
      <c r="A196" s="5">
        <v>44397</v>
      </c>
      <c r="B196">
        <v>3.6023999999999998</v>
      </c>
      <c r="C196">
        <v>3.665</v>
      </c>
      <c r="D196">
        <v>3.31</v>
      </c>
      <c r="E196">
        <v>3.3376000000000001</v>
      </c>
      <c r="F196">
        <v>2410708.3199999998</v>
      </c>
      <c r="G196">
        <v>3.3376000000000001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-0.84450704225352069</v>
      </c>
      <c r="Q196">
        <f t="shared" ref="Q196" si="952">F196*P196</f>
        <v>-2035860.1530591538</v>
      </c>
      <c r="R196">
        <f t="shared" ref="R196" si="953">R197+Q196</f>
        <v>105523065.59430756</v>
      </c>
      <c r="S196">
        <f t="shared" ref="S196" si="954">R196/100000</f>
        <v>1055.2306559430756</v>
      </c>
      <c r="T196">
        <f t="shared" si="934"/>
        <v>1.0552306559430755</v>
      </c>
    </row>
    <row r="197" spans="1:20" x14ac:dyDescent="0.25">
      <c r="A197" s="5">
        <v>44396</v>
      </c>
      <c r="B197">
        <v>3.9264000000000001</v>
      </c>
      <c r="C197">
        <v>3.9325000000000001</v>
      </c>
      <c r="D197">
        <v>3.5531000000000001</v>
      </c>
      <c r="E197">
        <v>3.5998000000000001</v>
      </c>
      <c r="F197">
        <v>2114676.33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-0.75382182393252517</v>
      </c>
      <c r="Q197">
        <f t="shared" ref="Q197" si="956">F197*P197</f>
        <v>-1594089.1681075385</v>
      </c>
      <c r="R197">
        <f t="shared" ref="R197" si="957">R198+Q197</f>
        <v>107558925.74736671</v>
      </c>
      <c r="S197">
        <f t="shared" ref="S197" si="958">R197/100000</f>
        <v>1075.5892574736672</v>
      </c>
      <c r="T197">
        <f t="shared" si="934"/>
        <v>1.0755892574736672</v>
      </c>
    </row>
    <row r="198" spans="1:20" x14ac:dyDescent="0.25">
      <c r="A198" s="5">
        <v>44395</v>
      </c>
      <c r="B198">
        <v>3.8277999999999999</v>
      </c>
      <c r="C198">
        <v>4.0999999999999996</v>
      </c>
      <c r="D198">
        <v>3.8100999999999998</v>
      </c>
      <c r="E198">
        <v>3.9228000000000001</v>
      </c>
      <c r="F198">
        <v>2635274.9700000002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-0.22249051397033245</v>
      </c>
      <c r="Q198">
        <f t="shared" ref="Q198:Q261" si="960">F198*P198</f>
        <v>-586323.68252845248</v>
      </c>
      <c r="R198">
        <f t="shared" ref="R198:R261" si="961">R199+Q198</f>
        <v>109153014.91547425</v>
      </c>
      <c r="S198">
        <f t="shared" ref="S198:S261" si="962">R198/100000</f>
        <v>1091.5301491547425</v>
      </c>
      <c r="T198">
        <f t="shared" ref="T198:T261" si="963">S198/1000</f>
        <v>1.0915301491547424</v>
      </c>
    </row>
    <row r="199" spans="1:20" x14ac:dyDescent="0.25">
      <c r="A199" s="5">
        <v>44394</v>
      </c>
      <c r="B199">
        <v>3.7658</v>
      </c>
      <c r="C199">
        <v>3.9211</v>
      </c>
      <c r="D199">
        <v>3.6701000000000001</v>
      </c>
      <c r="E199">
        <v>3.8290000000000002</v>
      </c>
      <c r="F199">
        <v>1656889.6</v>
      </c>
      <c r="G199">
        <v>0</v>
      </c>
      <c r="L199" t="s">
        <v>8</v>
      </c>
      <c r="M199" t="s">
        <v>7</v>
      </c>
      <c r="N199" t="s">
        <v>8</v>
      </c>
      <c r="P199">
        <f t="shared" si="959"/>
        <v>0.26613545816733158</v>
      </c>
      <c r="Q199">
        <f t="shared" si="960"/>
        <v>440957.0728286868</v>
      </c>
      <c r="R199">
        <f t="shared" si="961"/>
        <v>109739338.5980027</v>
      </c>
      <c r="S199">
        <f t="shared" si="962"/>
        <v>1097.393385980027</v>
      </c>
      <c r="T199">
        <f t="shared" si="963"/>
        <v>1.0973933859800271</v>
      </c>
    </row>
    <row r="200" spans="1:20" x14ac:dyDescent="0.25">
      <c r="A200" s="5">
        <v>44393</v>
      </c>
      <c r="B200">
        <v>3.9542999999999999</v>
      </c>
      <c r="C200">
        <v>4.0839999999999996</v>
      </c>
      <c r="D200">
        <v>3.621</v>
      </c>
      <c r="E200">
        <v>3.7627000000000002</v>
      </c>
      <c r="F200">
        <v>4214168.84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-0.38790496760259063</v>
      </c>
      <c r="Q200">
        <f t="shared" si="960"/>
        <v>-1634697.0273520469</v>
      </c>
      <c r="R200">
        <f t="shared" si="961"/>
        <v>109298381.52517402</v>
      </c>
      <c r="S200">
        <f t="shared" si="962"/>
        <v>1092.9838152517402</v>
      </c>
      <c r="T200">
        <f t="shared" si="963"/>
        <v>1.0929838152517402</v>
      </c>
    </row>
    <row r="201" spans="1:20" x14ac:dyDescent="0.25">
      <c r="A201" s="5">
        <v>44392</v>
      </c>
      <c r="B201">
        <v>4.2289000000000003</v>
      </c>
      <c r="C201">
        <v>4.2417999999999996</v>
      </c>
      <c r="D201">
        <v>3.8744000000000001</v>
      </c>
      <c r="E201">
        <v>3.9561000000000002</v>
      </c>
      <c r="F201">
        <v>4774183.9800000004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-0.55525313010342836</v>
      </c>
      <c r="Q201">
        <f t="shared" si="960"/>
        <v>-2650880.5985846436</v>
      </c>
      <c r="R201">
        <f t="shared" si="961"/>
        <v>110933078.55252607</v>
      </c>
      <c r="S201">
        <f t="shared" si="962"/>
        <v>1109.3307855252608</v>
      </c>
      <c r="T201">
        <f t="shared" si="963"/>
        <v>1.1093307855252608</v>
      </c>
    </row>
    <row r="202" spans="1:20" x14ac:dyDescent="0.25">
      <c r="A202" s="5">
        <v>44391</v>
      </c>
      <c r="B202">
        <v>4.1121999999999996</v>
      </c>
      <c r="C202">
        <v>4.3234000000000004</v>
      </c>
      <c r="D202">
        <v>3.7644000000000002</v>
      </c>
      <c r="E202">
        <v>4.2295999999999996</v>
      </c>
      <c r="F202">
        <v>3910274.4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0.66440071556350355</v>
      </c>
      <c r="Q202">
        <f t="shared" si="960"/>
        <v>2597989.1094096494</v>
      </c>
      <c r="R202">
        <f t="shared" si="961"/>
        <v>113583959.15111071</v>
      </c>
      <c r="S202">
        <f t="shared" si="962"/>
        <v>1135.8395915111071</v>
      </c>
      <c r="T202">
        <f t="shared" si="963"/>
        <v>1.135839591511107</v>
      </c>
    </row>
    <row r="203" spans="1:20" x14ac:dyDescent="0.25">
      <c r="A203" s="5">
        <v>44390</v>
      </c>
      <c r="B203">
        <v>4.3</v>
      </c>
      <c r="C203">
        <v>4.3079999999999998</v>
      </c>
      <c r="D203">
        <v>3.9937</v>
      </c>
      <c r="E203">
        <v>4.1116999999999999</v>
      </c>
      <c r="F203">
        <v>2402209.13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-0.24912503977091977</v>
      </c>
      <c r="Q203">
        <f t="shared" si="960"/>
        <v>-598450.44504931651</v>
      </c>
      <c r="R203">
        <f t="shared" si="961"/>
        <v>110985970.04170106</v>
      </c>
      <c r="S203">
        <f t="shared" si="962"/>
        <v>1109.8597004170106</v>
      </c>
      <c r="T203">
        <f t="shared" si="963"/>
        <v>1.1098597004170105</v>
      </c>
    </row>
    <row r="204" spans="1:20" x14ac:dyDescent="0.25">
      <c r="A204" s="5">
        <v>44389</v>
      </c>
      <c r="B204">
        <v>4.4448999999999996</v>
      </c>
      <c r="C204">
        <v>4.6593999999999998</v>
      </c>
      <c r="D204">
        <v>4.2206999999999999</v>
      </c>
      <c r="E204">
        <v>4.3006000000000002</v>
      </c>
      <c r="F204">
        <v>3130659.02</v>
      </c>
      <c r="G204">
        <v>0</v>
      </c>
      <c r="L204" t="s">
        <v>8</v>
      </c>
      <c r="M204" t="s">
        <v>8</v>
      </c>
      <c r="N204" t="s">
        <v>8</v>
      </c>
      <c r="P204">
        <f t="shared" si="959"/>
        <v>-0.63574196489628299</v>
      </c>
      <c r="Q204">
        <f t="shared" si="960"/>
        <v>-1990291.3167950716</v>
      </c>
      <c r="R204">
        <f t="shared" si="961"/>
        <v>111584420.48675038</v>
      </c>
      <c r="S204">
        <f t="shared" si="962"/>
        <v>1115.8442048675038</v>
      </c>
      <c r="T204">
        <f t="shared" si="963"/>
        <v>1.1158442048675037</v>
      </c>
    </row>
    <row r="205" spans="1:20" x14ac:dyDescent="0.25">
      <c r="A205" s="5">
        <v>44388</v>
      </c>
      <c r="B205">
        <v>4.2979000000000003</v>
      </c>
      <c r="C205">
        <v>4.4748000000000001</v>
      </c>
      <c r="D205">
        <v>4.21</v>
      </c>
      <c r="E205">
        <v>4.4427000000000003</v>
      </c>
      <c r="F205">
        <v>1582383.8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0.7575528700906361</v>
      </c>
      <c r="Q205">
        <f t="shared" si="960"/>
        <v>1198739.3892749271</v>
      </c>
      <c r="R205">
        <f t="shared" si="961"/>
        <v>113574711.80354545</v>
      </c>
      <c r="S205">
        <f t="shared" si="962"/>
        <v>1135.7471180354544</v>
      </c>
      <c r="T205">
        <f t="shared" si="963"/>
        <v>1.1357471180354544</v>
      </c>
    </row>
    <row r="206" spans="1:20" x14ac:dyDescent="0.25">
      <c r="A206" s="5">
        <v>44387</v>
      </c>
      <c r="B206">
        <v>4.4032999999999998</v>
      </c>
      <c r="C206">
        <v>4.4875999999999996</v>
      </c>
      <c r="D206">
        <v>4.1864999999999997</v>
      </c>
      <c r="E206">
        <v>4.2991000000000001</v>
      </c>
      <c r="F206">
        <v>2834780.34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-0.25207572235137493</v>
      </c>
      <c r="Q206">
        <f t="shared" si="960"/>
        <v>-714579.3019129762</v>
      </c>
      <c r="R206">
        <f t="shared" si="961"/>
        <v>112375972.41427052</v>
      </c>
      <c r="S206">
        <f t="shared" si="962"/>
        <v>1123.7597241427052</v>
      </c>
      <c r="T206">
        <f t="shared" si="963"/>
        <v>1.1237597241427051</v>
      </c>
    </row>
    <row r="207" spans="1:20" x14ac:dyDescent="0.25">
      <c r="A207" s="5">
        <v>44386</v>
      </c>
      <c r="B207">
        <v>4.3807999999999998</v>
      </c>
      <c r="C207">
        <v>4.5507999999999997</v>
      </c>
      <c r="D207">
        <v>4.1539000000000001</v>
      </c>
      <c r="E207">
        <v>4.4051999999999998</v>
      </c>
      <c r="F207">
        <v>2694102.93</v>
      </c>
      <c r="G207">
        <v>0</v>
      </c>
      <c r="L207" t="s">
        <v>7</v>
      </c>
      <c r="M207" t="s">
        <v>8</v>
      </c>
      <c r="N207" t="s">
        <v>8</v>
      </c>
      <c r="P207">
        <f t="shared" si="959"/>
        <v>0.26631393298059913</v>
      </c>
      <c r="Q207">
        <f t="shared" si="960"/>
        <v>717477.1471428558</v>
      </c>
      <c r="R207">
        <f t="shared" si="961"/>
        <v>113090551.7161835</v>
      </c>
      <c r="S207">
        <f t="shared" si="962"/>
        <v>1130.905517161835</v>
      </c>
      <c r="T207">
        <f t="shared" si="963"/>
        <v>1.130905517161835</v>
      </c>
    </row>
    <row r="208" spans="1:20" x14ac:dyDescent="0.25">
      <c r="A208" s="5">
        <v>44385</v>
      </c>
      <c r="B208">
        <v>4.8117999999999999</v>
      </c>
      <c r="C208">
        <v>4.8780999999999999</v>
      </c>
      <c r="D208">
        <v>4.2302</v>
      </c>
      <c r="E208">
        <v>4.3781999999999996</v>
      </c>
      <c r="F208">
        <v>4630104.32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-0.54313937336008733</v>
      </c>
      <c r="Q208">
        <f t="shared" si="960"/>
        <v>-2514791.9589566332</v>
      </c>
      <c r="R208">
        <f t="shared" si="961"/>
        <v>112373074.56904064</v>
      </c>
      <c r="S208">
        <f t="shared" si="962"/>
        <v>1123.7307456904064</v>
      </c>
      <c r="T208">
        <f t="shared" si="963"/>
        <v>1.1237307456904064</v>
      </c>
    </row>
    <row r="209" spans="1:20" x14ac:dyDescent="0.25">
      <c r="A209" s="5">
        <v>44384</v>
      </c>
      <c r="B209">
        <v>4.6032000000000002</v>
      </c>
      <c r="C209">
        <v>4.9844999999999997</v>
      </c>
      <c r="D209">
        <v>4.4958999999999998</v>
      </c>
      <c r="E209">
        <v>4.8143000000000002</v>
      </c>
      <c r="F209">
        <v>4354553.0599999996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0.30331559557920801</v>
      </c>
      <c r="Q209">
        <f t="shared" si="960"/>
        <v>1320803.8548751625</v>
      </c>
      <c r="R209">
        <f t="shared" si="961"/>
        <v>114887866.52799727</v>
      </c>
      <c r="S209">
        <f t="shared" si="962"/>
        <v>1148.8786652799727</v>
      </c>
      <c r="T209">
        <f t="shared" si="963"/>
        <v>1.1488786652799727</v>
      </c>
    </row>
    <row r="210" spans="1:20" x14ac:dyDescent="0.25">
      <c r="A210" s="5">
        <v>44383</v>
      </c>
      <c r="B210">
        <v>4.4695</v>
      </c>
      <c r="C210">
        <v>4.88</v>
      </c>
      <c r="D210">
        <v>4.4112</v>
      </c>
      <c r="E210">
        <v>4.6074000000000002</v>
      </c>
      <c r="F210">
        <v>5022550.12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-0.16296928327644966</v>
      </c>
      <c r="Q210">
        <f t="shared" si="960"/>
        <v>-818521.39327644627</v>
      </c>
      <c r="R210">
        <f t="shared" si="961"/>
        <v>113567062.67312211</v>
      </c>
      <c r="S210">
        <f t="shared" si="962"/>
        <v>1135.6706267312211</v>
      </c>
      <c r="T210">
        <f t="shared" si="963"/>
        <v>1.1356706267312211</v>
      </c>
    </row>
    <row r="211" spans="1:20" x14ac:dyDescent="0.25">
      <c r="A211" s="5">
        <v>44382</v>
      </c>
      <c r="B211">
        <v>4.4926000000000004</v>
      </c>
      <c r="C211">
        <v>4.7798999999999996</v>
      </c>
      <c r="D211">
        <v>4.22</v>
      </c>
      <c r="E211">
        <v>4.4610000000000003</v>
      </c>
      <c r="F211">
        <v>7242416.9000000004</v>
      </c>
      <c r="G211">
        <v>0</v>
      </c>
      <c r="L211" t="s">
        <v>8</v>
      </c>
      <c r="M211" t="s">
        <v>8</v>
      </c>
      <c r="N211" t="s">
        <v>8</v>
      </c>
      <c r="P211">
        <f t="shared" si="959"/>
        <v>-0.13913198785497191</v>
      </c>
      <c r="Q211">
        <f t="shared" si="960"/>
        <v>-1007651.8601714433</v>
      </c>
      <c r="R211">
        <f t="shared" si="961"/>
        <v>114385584.06639856</v>
      </c>
      <c r="S211">
        <f t="shared" si="962"/>
        <v>1143.8558406639856</v>
      </c>
      <c r="T211">
        <f t="shared" si="963"/>
        <v>1.1438558406639856</v>
      </c>
    </row>
    <row r="212" spans="1:20" x14ac:dyDescent="0.25">
      <c r="A212" s="5">
        <v>44381</v>
      </c>
      <c r="B212">
        <v>4.2907999999999999</v>
      </c>
      <c r="C212">
        <v>4.76</v>
      </c>
      <c r="D212">
        <v>4.1410999999999998</v>
      </c>
      <c r="E212">
        <v>4.4951999999999996</v>
      </c>
      <c r="F212">
        <v>4001091.31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0.14428825335272211</v>
      </c>
      <c r="Q212">
        <f t="shared" si="960"/>
        <v>577310.47662465484</v>
      </c>
      <c r="R212">
        <f t="shared" si="961"/>
        <v>115393235.92657</v>
      </c>
      <c r="S212">
        <f t="shared" si="962"/>
        <v>1153.9323592656999</v>
      </c>
      <c r="T212">
        <f t="shared" si="963"/>
        <v>1.1539323592656998</v>
      </c>
    </row>
    <row r="213" spans="1:20" x14ac:dyDescent="0.25">
      <c r="A213" s="5">
        <v>44380</v>
      </c>
      <c r="B213">
        <v>4.1414999999999997</v>
      </c>
      <c r="C213">
        <v>4.3662999999999998</v>
      </c>
      <c r="D213">
        <v>3.9990999999999999</v>
      </c>
      <c r="E213">
        <v>4.2901999999999996</v>
      </c>
      <c r="F213">
        <v>2524664.35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0.5855119825708045</v>
      </c>
      <c r="Q213">
        <f t="shared" si="960"/>
        <v>1478221.2288943315</v>
      </c>
      <c r="R213">
        <f t="shared" si="961"/>
        <v>114815925.44994535</v>
      </c>
      <c r="S213">
        <f t="shared" si="962"/>
        <v>1148.1592544994535</v>
      </c>
      <c r="T213">
        <f t="shared" si="963"/>
        <v>1.1481592544994534</v>
      </c>
    </row>
    <row r="214" spans="1:20" x14ac:dyDescent="0.25">
      <c r="A214" s="5">
        <v>44379</v>
      </c>
      <c r="B214">
        <v>3.9382000000000001</v>
      </c>
      <c r="C214">
        <v>4.1498999999999997</v>
      </c>
      <c r="D214">
        <v>3.7326000000000001</v>
      </c>
      <c r="E214">
        <v>4.1379999999999999</v>
      </c>
      <c r="F214">
        <v>2597012.86</v>
      </c>
      <c r="G214">
        <v>0</v>
      </c>
      <c r="L214" t="s">
        <v>8</v>
      </c>
      <c r="M214" t="s">
        <v>7</v>
      </c>
      <c r="N214" t="s">
        <v>8</v>
      </c>
      <c r="P214">
        <f t="shared" si="959"/>
        <v>0.94296669063024297</v>
      </c>
      <c r="Q214">
        <f t="shared" si="960"/>
        <v>2448896.6221183822</v>
      </c>
      <c r="R214">
        <f t="shared" si="961"/>
        <v>113337704.22105101</v>
      </c>
      <c r="S214">
        <f t="shared" si="962"/>
        <v>1133.3770422105101</v>
      </c>
      <c r="T214">
        <f t="shared" si="963"/>
        <v>1.1333770422105101</v>
      </c>
    </row>
    <row r="215" spans="1:20" x14ac:dyDescent="0.25">
      <c r="A215" s="5">
        <v>44378</v>
      </c>
      <c r="B215">
        <v>4.2222</v>
      </c>
      <c r="C215">
        <v>4.2266000000000004</v>
      </c>
      <c r="D215">
        <v>3.75</v>
      </c>
      <c r="E215">
        <v>3.9418000000000002</v>
      </c>
      <c r="F215">
        <v>3738069.79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-0.19513218631976478</v>
      </c>
      <c r="Q215">
        <f t="shared" si="960"/>
        <v>-729417.73073856405</v>
      </c>
      <c r="R215">
        <f t="shared" si="961"/>
        <v>110888807.59893262</v>
      </c>
      <c r="S215">
        <f t="shared" si="962"/>
        <v>1108.8880759893261</v>
      </c>
      <c r="T215">
        <f t="shared" si="963"/>
        <v>1.108888075989326</v>
      </c>
    </row>
    <row r="216" spans="1:20" x14ac:dyDescent="0.25">
      <c r="A216" s="5">
        <v>44377</v>
      </c>
      <c r="B216">
        <v>4.0133999999999999</v>
      </c>
      <c r="C216">
        <v>4.5396999999999998</v>
      </c>
      <c r="D216">
        <v>3.8719000000000001</v>
      </c>
      <c r="E216">
        <v>4.2225999999999999</v>
      </c>
      <c r="F216">
        <v>7418995.5199999996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5.0314465408804833E-2</v>
      </c>
      <c r="Q216">
        <f t="shared" si="960"/>
        <v>373282.79345911799</v>
      </c>
      <c r="R216">
        <f t="shared" si="961"/>
        <v>111618225.32967119</v>
      </c>
      <c r="S216">
        <f t="shared" si="962"/>
        <v>1116.1822532967119</v>
      </c>
      <c r="T216">
        <f t="shared" si="963"/>
        <v>1.1161822532967118</v>
      </c>
    </row>
    <row r="217" spans="1:20" x14ac:dyDescent="0.25">
      <c r="A217" s="5">
        <v>44376</v>
      </c>
      <c r="B217">
        <v>3.6274999999999999</v>
      </c>
      <c r="C217">
        <v>4.13</v>
      </c>
      <c r="D217">
        <v>3.61</v>
      </c>
      <c r="E217">
        <v>4.0186000000000002</v>
      </c>
      <c r="F217">
        <v>4490528.2699999996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0.57153846153846266</v>
      </c>
      <c r="Q217">
        <f t="shared" si="960"/>
        <v>2566509.6189307738</v>
      </c>
      <c r="R217">
        <f t="shared" si="961"/>
        <v>111244942.53621207</v>
      </c>
      <c r="S217">
        <f t="shared" si="962"/>
        <v>1112.4494253621208</v>
      </c>
      <c r="T217">
        <f t="shared" si="963"/>
        <v>1.1124494253621209</v>
      </c>
    </row>
    <row r="218" spans="1:20" x14ac:dyDescent="0.25">
      <c r="A218" s="5">
        <v>44375</v>
      </c>
      <c r="B218">
        <v>3.5398999999999998</v>
      </c>
      <c r="C218">
        <v>3.6798000000000002</v>
      </c>
      <c r="D218">
        <v>3.4664000000000001</v>
      </c>
      <c r="E218">
        <v>3.6274999999999999</v>
      </c>
      <c r="F218">
        <v>3640591.7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0.50984067478912631</v>
      </c>
      <c r="Q218">
        <f t="shared" si="960"/>
        <v>1856121.7289596926</v>
      </c>
      <c r="R218">
        <f t="shared" si="961"/>
        <v>108678432.9172813</v>
      </c>
      <c r="S218">
        <f t="shared" si="962"/>
        <v>1086.7843291728129</v>
      </c>
      <c r="T218">
        <f t="shared" si="963"/>
        <v>1.086784329172813</v>
      </c>
    </row>
    <row r="219" spans="1:20" x14ac:dyDescent="0.25">
      <c r="A219" s="5">
        <v>44374</v>
      </c>
      <c r="B219">
        <v>3.4559000000000002</v>
      </c>
      <c r="C219">
        <v>3.5398999999999998</v>
      </c>
      <c r="D219">
        <v>3.3144999999999998</v>
      </c>
      <c r="E219">
        <v>3.5379999999999998</v>
      </c>
      <c r="F219">
        <v>2905735.22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0.98314108251996435</v>
      </c>
      <c r="Q219">
        <f t="shared" si="960"/>
        <v>2856747.669707187</v>
      </c>
      <c r="R219">
        <f t="shared" si="961"/>
        <v>106822311.18832161</v>
      </c>
      <c r="S219">
        <f t="shared" si="962"/>
        <v>1068.223111883216</v>
      </c>
      <c r="T219">
        <f t="shared" si="963"/>
        <v>1.0682231118832159</v>
      </c>
    </row>
    <row r="220" spans="1:20" x14ac:dyDescent="0.25">
      <c r="A220" s="5">
        <v>44373</v>
      </c>
      <c r="B220">
        <v>3.25</v>
      </c>
      <c r="C220">
        <v>3.5076000000000001</v>
      </c>
      <c r="D220">
        <v>3.1621000000000001</v>
      </c>
      <c r="E220">
        <v>3.4554999999999998</v>
      </c>
      <c r="F220">
        <v>4466441.97</v>
      </c>
      <c r="G220">
        <v>0</v>
      </c>
      <c r="L220" t="s">
        <v>8</v>
      </c>
      <c r="M220" t="s">
        <v>8</v>
      </c>
      <c r="N220" t="s">
        <v>8</v>
      </c>
      <c r="P220">
        <f t="shared" si="959"/>
        <v>0.69840810419681465</v>
      </c>
      <c r="Q220">
        <f t="shared" si="960"/>
        <v>3119399.268772786</v>
      </c>
      <c r="R220">
        <f t="shared" si="961"/>
        <v>103965563.51861441</v>
      </c>
      <c r="S220">
        <f t="shared" si="962"/>
        <v>1039.6556351861441</v>
      </c>
      <c r="T220">
        <f t="shared" si="963"/>
        <v>1.0396556351861441</v>
      </c>
    </row>
    <row r="221" spans="1:20" x14ac:dyDescent="0.25">
      <c r="A221" s="5">
        <v>44372</v>
      </c>
      <c r="B221">
        <v>3.5489000000000002</v>
      </c>
      <c r="C221">
        <v>3.6644999999999999</v>
      </c>
      <c r="D221">
        <v>3.1619000000000002</v>
      </c>
      <c r="E221">
        <v>3.2536999999999998</v>
      </c>
      <c r="F221">
        <v>4509110.93</v>
      </c>
      <c r="G221">
        <v>0</v>
      </c>
      <c r="L221" t="s">
        <v>7</v>
      </c>
      <c r="M221" t="s">
        <v>8</v>
      </c>
      <c r="N221" t="s">
        <v>8</v>
      </c>
      <c r="P221">
        <f t="shared" si="959"/>
        <v>-0.63469956227616509</v>
      </c>
      <c r="Q221">
        <f t="shared" si="960"/>
        <v>-2861930.7335256715</v>
      </c>
      <c r="R221">
        <f t="shared" si="961"/>
        <v>100846164.24984163</v>
      </c>
      <c r="S221">
        <f t="shared" si="962"/>
        <v>1008.4616424984163</v>
      </c>
      <c r="T221">
        <f t="shared" si="963"/>
        <v>1.0084616424984163</v>
      </c>
    </row>
    <row r="222" spans="1:20" x14ac:dyDescent="0.25">
      <c r="A222" s="5">
        <v>44371</v>
      </c>
      <c r="B222">
        <v>3.3923000000000001</v>
      </c>
      <c r="C222">
        <v>3.6423999999999999</v>
      </c>
      <c r="D222">
        <v>3.2286000000000001</v>
      </c>
      <c r="E222">
        <v>3.5470999999999999</v>
      </c>
      <c r="F222">
        <v>11867793.640000001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0.53939101014983082</v>
      </c>
      <c r="Q222">
        <f t="shared" si="960"/>
        <v>6401381.1997293383</v>
      </c>
      <c r="R222">
        <f t="shared" si="961"/>
        <v>103708094.98336731</v>
      </c>
      <c r="S222">
        <f t="shared" si="962"/>
        <v>1037.080949833673</v>
      </c>
      <c r="T222">
        <f t="shared" si="963"/>
        <v>1.037080949833673</v>
      </c>
    </row>
    <row r="223" spans="1:20" x14ac:dyDescent="0.25">
      <c r="A223" s="5">
        <v>44370</v>
      </c>
      <c r="B223">
        <v>3.2198000000000002</v>
      </c>
      <c r="C223">
        <v>3.6315</v>
      </c>
      <c r="D223">
        <v>3.0724999999999998</v>
      </c>
      <c r="E223">
        <v>3.3908999999999998</v>
      </c>
      <c r="F223">
        <v>19845640.359999999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0.13917710196779937</v>
      </c>
      <c r="Q223">
        <f t="shared" si="960"/>
        <v>2762058.7119999942</v>
      </c>
      <c r="R223">
        <f t="shared" si="961"/>
        <v>97306713.783637971</v>
      </c>
      <c r="S223">
        <f t="shared" si="962"/>
        <v>973.06713783637974</v>
      </c>
      <c r="T223">
        <f t="shared" si="963"/>
        <v>0.97306713783637977</v>
      </c>
    </row>
    <row r="224" spans="1:20" x14ac:dyDescent="0.25">
      <c r="A224" s="5">
        <v>44369</v>
      </c>
      <c r="B224">
        <v>3.0861999999999998</v>
      </c>
      <c r="C224">
        <v>3.3626999999999998</v>
      </c>
      <c r="D224">
        <v>2.5636999999999999</v>
      </c>
      <c r="E224">
        <v>3.2198000000000002</v>
      </c>
      <c r="F224">
        <v>22371147.59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0.64230287859824886</v>
      </c>
      <c r="Q224">
        <f t="shared" si="960"/>
        <v>14369052.494603278</v>
      </c>
      <c r="R224">
        <f t="shared" si="961"/>
        <v>94544655.071637973</v>
      </c>
      <c r="S224">
        <f t="shared" si="962"/>
        <v>945.44655071637976</v>
      </c>
      <c r="T224">
        <f t="shared" si="963"/>
        <v>0.94544655071637973</v>
      </c>
    </row>
    <row r="225" spans="1:20" x14ac:dyDescent="0.25">
      <c r="A225" s="5">
        <v>44368</v>
      </c>
      <c r="B225">
        <v>4.0536000000000003</v>
      </c>
      <c r="C225">
        <v>4.0754999999999999</v>
      </c>
      <c r="D225">
        <v>3.0716999999999999</v>
      </c>
      <c r="E225">
        <v>3.0861000000000001</v>
      </c>
      <c r="F225">
        <v>21410070.760000002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-0.9713090257023308</v>
      </c>
      <c r="Q225">
        <f t="shared" si="960"/>
        <v>-20795794.970113564</v>
      </c>
      <c r="R225">
        <f t="shared" si="961"/>
        <v>80175602.577034697</v>
      </c>
      <c r="S225">
        <f t="shared" si="962"/>
        <v>801.75602577034692</v>
      </c>
      <c r="T225">
        <f t="shared" si="963"/>
        <v>0.80175602577034688</v>
      </c>
    </row>
    <row r="226" spans="1:20" x14ac:dyDescent="0.25">
      <c r="A226" s="5">
        <v>44367</v>
      </c>
      <c r="B226">
        <v>3.8391000000000002</v>
      </c>
      <c r="C226">
        <v>4.0890000000000004</v>
      </c>
      <c r="D226">
        <v>3.5785999999999998</v>
      </c>
      <c r="E226">
        <v>4.0495000000000001</v>
      </c>
      <c r="F226">
        <v>3745856.39</v>
      </c>
      <c r="G226">
        <v>0</v>
      </c>
      <c r="L226" t="s">
        <v>8</v>
      </c>
      <c r="M226" t="s">
        <v>7</v>
      </c>
      <c r="N226" t="s">
        <v>7</v>
      </c>
      <c r="P226">
        <f t="shared" si="959"/>
        <v>0.84521943573667613</v>
      </c>
      <c r="Q226">
        <f t="shared" si="960"/>
        <v>3166070.6243064227</v>
      </c>
      <c r="R226">
        <f t="shared" si="961"/>
        <v>100971397.54714826</v>
      </c>
      <c r="S226">
        <f t="shared" si="962"/>
        <v>1009.7139754714826</v>
      </c>
      <c r="T226">
        <f t="shared" si="963"/>
        <v>1.0097139754714826</v>
      </c>
    </row>
    <row r="227" spans="1:20" x14ac:dyDescent="0.25">
      <c r="A227" s="5">
        <v>44366</v>
      </c>
      <c r="B227">
        <v>3.766</v>
      </c>
      <c r="C227">
        <v>4.0190999999999999</v>
      </c>
      <c r="D227">
        <v>3.65</v>
      </c>
      <c r="E227">
        <v>3.8376999999999999</v>
      </c>
      <c r="F227">
        <v>2542879.9500000002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1.7068545109726288E-2</v>
      </c>
      <c r="Q227">
        <f t="shared" si="960"/>
        <v>43403.261135193534</v>
      </c>
      <c r="R227">
        <f t="shared" si="961"/>
        <v>97805326.922841832</v>
      </c>
      <c r="S227">
        <f t="shared" si="962"/>
        <v>978.05326922841834</v>
      </c>
      <c r="T227">
        <f t="shared" si="963"/>
        <v>0.9780532692284184</v>
      </c>
    </row>
    <row r="228" spans="1:20" x14ac:dyDescent="0.25">
      <c r="A228" s="5">
        <v>44365</v>
      </c>
      <c r="B228">
        <v>4.1731999999999996</v>
      </c>
      <c r="C228">
        <v>4.1773999999999996</v>
      </c>
      <c r="D228">
        <v>3.6137999999999999</v>
      </c>
      <c r="E228">
        <v>3.7585999999999999</v>
      </c>
      <c r="F228">
        <v>9679046.3699999992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-0.48616039744499601</v>
      </c>
      <c r="Q228">
        <f t="shared" si="960"/>
        <v>-4705569.0301277451</v>
      </c>
      <c r="R228">
        <f t="shared" si="961"/>
        <v>97761923.661706641</v>
      </c>
      <c r="S228">
        <f t="shared" si="962"/>
        <v>977.61923661706646</v>
      </c>
      <c r="T228">
        <f t="shared" si="963"/>
        <v>0.97761923661706651</v>
      </c>
    </row>
    <row r="229" spans="1:20" x14ac:dyDescent="0.25">
      <c r="A229" s="5">
        <v>44364</v>
      </c>
      <c r="B229">
        <v>4.1479999999999997</v>
      </c>
      <c r="C229">
        <v>4.2576000000000001</v>
      </c>
      <c r="D229">
        <v>3.9264999999999999</v>
      </c>
      <c r="E229">
        <v>4.1731999999999996</v>
      </c>
      <c r="F229">
        <v>11951280.9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0.4901842343702783</v>
      </c>
      <c r="Q229">
        <f t="shared" si="960"/>
        <v>5858329.4777106307</v>
      </c>
      <c r="R229">
        <f t="shared" si="961"/>
        <v>102467492.69183439</v>
      </c>
      <c r="S229">
        <f t="shared" si="962"/>
        <v>1024.674926918344</v>
      </c>
      <c r="T229">
        <f t="shared" si="963"/>
        <v>1.0246749269183439</v>
      </c>
    </row>
    <row r="230" spans="1:20" x14ac:dyDescent="0.25">
      <c r="A230" s="5">
        <v>44363</v>
      </c>
      <c r="B230">
        <v>4.0547000000000004</v>
      </c>
      <c r="C230">
        <v>4.5061</v>
      </c>
      <c r="D230">
        <v>3.8864999999999998</v>
      </c>
      <c r="E230">
        <v>4.1479999999999997</v>
      </c>
      <c r="F230">
        <v>19330351.399999999</v>
      </c>
      <c r="G230">
        <v>0</v>
      </c>
      <c r="L230" t="s">
        <v>8</v>
      </c>
      <c r="M230" t="s">
        <v>8</v>
      </c>
      <c r="N230" t="s">
        <v>7</v>
      </c>
      <c r="P230">
        <f t="shared" si="959"/>
        <v>-0.15590703679793486</v>
      </c>
      <c r="Q230">
        <f t="shared" si="960"/>
        <v>-3013737.8070368115</v>
      </c>
      <c r="R230">
        <f t="shared" si="961"/>
        <v>96609163.214123756</v>
      </c>
      <c r="S230">
        <f t="shared" si="962"/>
        <v>966.0916321412376</v>
      </c>
      <c r="T230">
        <f t="shared" si="963"/>
        <v>0.96609163214123761</v>
      </c>
    </row>
    <row r="231" spans="1:20" x14ac:dyDescent="0.25">
      <c r="A231" s="5">
        <v>44362</v>
      </c>
      <c r="B231">
        <v>4.0012999999999996</v>
      </c>
      <c r="C231">
        <v>4.1440000000000001</v>
      </c>
      <c r="D231">
        <v>3.83</v>
      </c>
      <c r="E231">
        <v>4.0545999999999998</v>
      </c>
      <c r="F231">
        <v>15530509.970000001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0.43057324840764105</v>
      </c>
      <c r="Q231">
        <f t="shared" si="960"/>
        <v>6687022.1272101561</v>
      </c>
      <c r="R231">
        <f t="shared" si="961"/>
        <v>99622901.021160573</v>
      </c>
      <c r="S231">
        <f t="shared" si="962"/>
        <v>996.22901021160578</v>
      </c>
      <c r="T231">
        <f t="shared" si="963"/>
        <v>0.99622901021160581</v>
      </c>
    </row>
    <row r="232" spans="1:20" x14ac:dyDescent="0.25">
      <c r="A232" s="5">
        <v>44361</v>
      </c>
      <c r="B232">
        <v>3.8618000000000001</v>
      </c>
      <c r="C232">
        <v>4.0498000000000003</v>
      </c>
      <c r="D232">
        <v>3.7663000000000002</v>
      </c>
      <c r="E232">
        <v>4.0018000000000002</v>
      </c>
      <c r="F232">
        <v>17723577.010000002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0.66137566137566117</v>
      </c>
      <c r="Q232">
        <f t="shared" si="960"/>
        <v>11721942.466931215</v>
      </c>
      <c r="R232">
        <f t="shared" si="961"/>
        <v>92935878.893950418</v>
      </c>
      <c r="S232">
        <f t="shared" si="962"/>
        <v>929.35878893950417</v>
      </c>
      <c r="T232">
        <f t="shared" si="963"/>
        <v>0.92935878893950419</v>
      </c>
    </row>
    <row r="233" spans="1:20" x14ac:dyDescent="0.25">
      <c r="A233" s="5">
        <v>44360</v>
      </c>
      <c r="B233">
        <v>3.6362999999999999</v>
      </c>
      <c r="C233">
        <v>3.8683000000000001</v>
      </c>
      <c r="D233">
        <v>3.4662999999999999</v>
      </c>
      <c r="E233">
        <v>3.8620000000000001</v>
      </c>
      <c r="F233">
        <v>9116103.6699999999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0.96865671641791062</v>
      </c>
      <c r="Q233">
        <f t="shared" si="960"/>
        <v>8830375.0475074649</v>
      </c>
      <c r="R233">
        <f t="shared" si="961"/>
        <v>81213936.427019209</v>
      </c>
      <c r="S233">
        <f t="shared" si="962"/>
        <v>812.13936427019212</v>
      </c>
      <c r="T233">
        <f t="shared" si="963"/>
        <v>0.81213936427019207</v>
      </c>
    </row>
    <row r="234" spans="1:20" x14ac:dyDescent="0.25">
      <c r="A234" s="5">
        <v>44359</v>
      </c>
      <c r="B234">
        <v>3.5724999999999998</v>
      </c>
      <c r="C234">
        <v>3.7887</v>
      </c>
      <c r="D234">
        <v>3.2944</v>
      </c>
      <c r="E234">
        <v>3.6398000000000001</v>
      </c>
      <c r="F234">
        <v>4076418.31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0.39753186324094753</v>
      </c>
      <c r="Q234">
        <f t="shared" si="960"/>
        <v>1620506.1661238144</v>
      </c>
      <c r="R234">
        <f t="shared" si="961"/>
        <v>72383561.379511744</v>
      </c>
      <c r="S234">
        <f t="shared" si="962"/>
        <v>723.83561379511741</v>
      </c>
      <c r="T234">
        <f t="shared" si="963"/>
        <v>0.72383561379511741</v>
      </c>
    </row>
    <row r="235" spans="1:20" x14ac:dyDescent="0.25">
      <c r="A235" s="5">
        <v>44358</v>
      </c>
      <c r="B235">
        <v>3.8712</v>
      </c>
      <c r="C235">
        <v>3.91</v>
      </c>
      <c r="D235">
        <v>3.5003000000000002</v>
      </c>
      <c r="E235">
        <v>3.5722999999999998</v>
      </c>
      <c r="F235">
        <v>2981352.42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-0.6485233097388351</v>
      </c>
      <c r="Q235">
        <f t="shared" si="960"/>
        <v>-1933476.5389162856</v>
      </c>
      <c r="R235">
        <f t="shared" si="961"/>
        <v>70763055.213387936</v>
      </c>
      <c r="S235">
        <f t="shared" si="962"/>
        <v>707.63055213387941</v>
      </c>
      <c r="T235">
        <f t="shared" si="963"/>
        <v>0.70763055213387938</v>
      </c>
    </row>
    <row r="236" spans="1:20" x14ac:dyDescent="0.25">
      <c r="A236" s="5">
        <v>44357</v>
      </c>
      <c r="B236">
        <v>4.133</v>
      </c>
      <c r="C236">
        <v>4.2995000000000001</v>
      </c>
      <c r="D236">
        <v>3.7690000000000001</v>
      </c>
      <c r="E236">
        <v>3.8698000000000001</v>
      </c>
      <c r="F236">
        <v>4034598.98</v>
      </c>
      <c r="G236">
        <v>0</v>
      </c>
      <c r="L236" t="s">
        <v>8</v>
      </c>
      <c r="M236" t="s">
        <v>7</v>
      </c>
      <c r="N236" t="s">
        <v>7</v>
      </c>
      <c r="P236">
        <f t="shared" si="959"/>
        <v>-0.61998114985862396</v>
      </c>
      <c r="Q236">
        <f t="shared" si="960"/>
        <v>-2501375.3148388313</v>
      </c>
      <c r="R236">
        <f t="shared" si="961"/>
        <v>72696531.752304226</v>
      </c>
      <c r="S236">
        <f t="shared" si="962"/>
        <v>726.96531752304224</v>
      </c>
      <c r="T236">
        <f t="shared" si="963"/>
        <v>0.72696531752304228</v>
      </c>
    </row>
    <row r="237" spans="1:20" x14ac:dyDescent="0.25">
      <c r="A237" s="5">
        <v>44356</v>
      </c>
      <c r="B237">
        <v>4.0936000000000003</v>
      </c>
      <c r="C237">
        <v>4.1379000000000001</v>
      </c>
      <c r="D237">
        <v>3.7806000000000002</v>
      </c>
      <c r="E237">
        <v>4.1378000000000004</v>
      </c>
      <c r="F237">
        <v>4314673.04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0.99944024629163297</v>
      </c>
      <c r="Q237">
        <f t="shared" si="960"/>
        <v>4312257.8857654687</v>
      </c>
      <c r="R237">
        <f t="shared" si="961"/>
        <v>75197907.067143053</v>
      </c>
      <c r="S237">
        <f t="shared" si="962"/>
        <v>751.97907067143058</v>
      </c>
      <c r="T237">
        <f t="shared" si="963"/>
        <v>0.75197907067143055</v>
      </c>
    </row>
    <row r="238" spans="1:20" x14ac:dyDescent="0.25">
      <c r="A238" s="5">
        <v>44355</v>
      </c>
      <c r="B238">
        <v>4.1494999999999997</v>
      </c>
      <c r="C238">
        <v>4.2412999999999998</v>
      </c>
      <c r="D238">
        <v>3.6947999999999999</v>
      </c>
      <c r="E238">
        <v>4.0932000000000004</v>
      </c>
      <c r="F238">
        <v>5190142.8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0.4580054894785015</v>
      </c>
      <c r="Q238">
        <f t="shared" si="960"/>
        <v>2377113.89357732</v>
      </c>
      <c r="R238">
        <f t="shared" si="961"/>
        <v>70885649.18137759</v>
      </c>
      <c r="S238">
        <f t="shared" si="962"/>
        <v>708.85649181377585</v>
      </c>
      <c r="T238">
        <f t="shared" si="963"/>
        <v>0.70885649181377586</v>
      </c>
    </row>
    <row r="239" spans="1:20" x14ac:dyDescent="0.25">
      <c r="A239" s="5">
        <v>44354</v>
      </c>
      <c r="B239">
        <v>4.6913999999999998</v>
      </c>
      <c r="C239">
        <v>4.8677000000000001</v>
      </c>
      <c r="D239">
        <v>4.0872999999999999</v>
      </c>
      <c r="E239">
        <v>4.1425000000000001</v>
      </c>
      <c r="F239">
        <v>4170272.24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-0.85853408508457174</v>
      </c>
      <c r="Q239">
        <f t="shared" si="960"/>
        <v>-3580320.8621219876</v>
      </c>
      <c r="R239">
        <f t="shared" si="961"/>
        <v>68508535.287800267</v>
      </c>
      <c r="S239">
        <f t="shared" si="962"/>
        <v>685.08535287800271</v>
      </c>
      <c r="T239">
        <f t="shared" si="963"/>
        <v>0.68508535287800276</v>
      </c>
    </row>
    <row r="240" spans="1:20" x14ac:dyDescent="0.25">
      <c r="A240" s="5">
        <v>44353</v>
      </c>
      <c r="B240">
        <v>4.7557</v>
      </c>
      <c r="C240">
        <v>4.9916</v>
      </c>
      <c r="D240">
        <v>4.5266999999999999</v>
      </c>
      <c r="E240">
        <v>4.6913999999999998</v>
      </c>
      <c r="F240">
        <v>3712056.68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-0.29146052914605369</v>
      </c>
      <c r="Q240">
        <f t="shared" si="960"/>
        <v>-1081918.0041729433</v>
      </c>
      <c r="R240">
        <f t="shared" si="961"/>
        <v>72088856.149922252</v>
      </c>
      <c r="S240">
        <f t="shared" si="962"/>
        <v>720.88856149922253</v>
      </c>
      <c r="T240">
        <f t="shared" si="963"/>
        <v>0.72088856149922254</v>
      </c>
    </row>
    <row r="241" spans="1:20" x14ac:dyDescent="0.25">
      <c r="A241" s="5">
        <v>44352</v>
      </c>
      <c r="B241">
        <v>4.6430999999999996</v>
      </c>
      <c r="C241">
        <v>5.3273999999999999</v>
      </c>
      <c r="D241">
        <v>4.5251000000000001</v>
      </c>
      <c r="E241">
        <v>4.7557</v>
      </c>
      <c r="F241">
        <v>9106581.4800000004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-0.42515268602767053</v>
      </c>
      <c r="Q241">
        <f t="shared" si="960"/>
        <v>-3871687.5767518394</v>
      </c>
      <c r="R241">
        <f t="shared" si="961"/>
        <v>73170774.154095188</v>
      </c>
      <c r="S241">
        <f t="shared" si="962"/>
        <v>731.70774154095193</v>
      </c>
      <c r="T241">
        <f t="shared" si="963"/>
        <v>0.73170774154095197</v>
      </c>
    </row>
    <row r="242" spans="1:20" x14ac:dyDescent="0.25">
      <c r="A242" s="5">
        <v>44351</v>
      </c>
      <c r="B242">
        <v>5.0571999999999999</v>
      </c>
      <c r="C242">
        <v>5.0628000000000002</v>
      </c>
      <c r="D242">
        <v>4.3422000000000001</v>
      </c>
      <c r="E242">
        <v>4.6464999999999996</v>
      </c>
      <c r="F242">
        <v>8103376.7300000004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-0.155426033860673</v>
      </c>
      <c r="Q242">
        <f t="shared" si="960"/>
        <v>-1259475.7060227697</v>
      </c>
      <c r="R242">
        <f t="shared" si="961"/>
        <v>77042461.730847031</v>
      </c>
      <c r="S242">
        <f t="shared" si="962"/>
        <v>770.42461730847026</v>
      </c>
      <c r="T242">
        <f t="shared" si="963"/>
        <v>0.77042461730847023</v>
      </c>
    </row>
    <row r="243" spans="1:20" x14ac:dyDescent="0.25">
      <c r="A243" s="5">
        <v>44350</v>
      </c>
      <c r="B243">
        <v>4.7701000000000002</v>
      </c>
      <c r="C243">
        <v>5.7</v>
      </c>
      <c r="D243">
        <v>4.4840999999999998</v>
      </c>
      <c r="E243">
        <v>5.0568</v>
      </c>
      <c r="F243">
        <v>28527937.109999999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-5.7981741919565739E-2</v>
      </c>
      <c r="Q243">
        <f t="shared" si="960"/>
        <v>-1654099.4870096222</v>
      </c>
      <c r="R243">
        <f t="shared" si="961"/>
        <v>78301937.4368698</v>
      </c>
      <c r="S243">
        <f t="shared" si="962"/>
        <v>783.01937436869798</v>
      </c>
      <c r="T243">
        <f t="shared" si="963"/>
        <v>0.78301937436869795</v>
      </c>
    </row>
    <row r="244" spans="1:20" x14ac:dyDescent="0.25">
      <c r="A244" s="5">
        <v>44349</v>
      </c>
      <c r="B244">
        <v>3.5461</v>
      </c>
      <c r="C244">
        <v>5.1599000000000004</v>
      </c>
      <c r="D244">
        <v>3.51</v>
      </c>
      <c r="E244">
        <v>4.7701000000000002</v>
      </c>
      <c r="F244">
        <v>37303609.240000002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0.52748651433420202</v>
      </c>
      <c r="Q244">
        <f t="shared" si="960"/>
        <v>19677150.810092732</v>
      </c>
      <c r="R244">
        <f t="shared" si="961"/>
        <v>79956036.92387943</v>
      </c>
      <c r="S244">
        <f t="shared" si="962"/>
        <v>799.56036923879435</v>
      </c>
      <c r="T244">
        <f t="shared" si="963"/>
        <v>0.79956036923879437</v>
      </c>
    </row>
    <row r="245" spans="1:20" x14ac:dyDescent="0.25">
      <c r="A245" s="5">
        <v>44348</v>
      </c>
      <c r="B245">
        <v>3.5958999999999999</v>
      </c>
      <c r="C245">
        <v>3.6869000000000001</v>
      </c>
      <c r="D245">
        <v>3.4222000000000001</v>
      </c>
      <c r="E245">
        <v>3.5434000000000001</v>
      </c>
      <c r="F245">
        <v>11058886.52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-8.4246316584812964E-2</v>
      </c>
      <c r="Q245">
        <f t="shared" si="960"/>
        <v>-931670.45483944053</v>
      </c>
      <c r="R245">
        <f t="shared" si="961"/>
        <v>60278886.113786697</v>
      </c>
      <c r="S245">
        <f t="shared" si="962"/>
        <v>602.788861137867</v>
      </c>
      <c r="T245">
        <f t="shared" si="963"/>
        <v>0.602788861137867</v>
      </c>
    </row>
    <row r="246" spans="1:20" x14ac:dyDescent="0.25">
      <c r="A246" s="5">
        <v>44347</v>
      </c>
      <c r="B246">
        <v>3.2667999999999999</v>
      </c>
      <c r="C246">
        <v>3.6038999999999999</v>
      </c>
      <c r="D246">
        <v>3.0775000000000001</v>
      </c>
      <c r="E246">
        <v>3.601</v>
      </c>
      <c r="F246">
        <v>3411539.5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0.98898176291793349</v>
      </c>
      <c r="Q246">
        <f t="shared" si="960"/>
        <v>3373950.3489741655</v>
      </c>
      <c r="R246">
        <f t="shared" si="961"/>
        <v>61210556.568626136</v>
      </c>
      <c r="S246">
        <f t="shared" si="962"/>
        <v>612.10556568626134</v>
      </c>
      <c r="T246">
        <f t="shared" si="963"/>
        <v>0.61210556568626129</v>
      </c>
    </row>
    <row r="247" spans="1:20" x14ac:dyDescent="0.25">
      <c r="A247" s="5">
        <v>44346</v>
      </c>
      <c r="B247">
        <v>3.1417000000000002</v>
      </c>
      <c r="C247">
        <v>3.4815</v>
      </c>
      <c r="D247">
        <v>2.9510999999999998</v>
      </c>
      <c r="E247">
        <v>3.2713999999999999</v>
      </c>
      <c r="F247">
        <v>10424225.449999999</v>
      </c>
      <c r="G247">
        <v>0</v>
      </c>
      <c r="L247" t="s">
        <v>7</v>
      </c>
      <c r="M247" t="s">
        <v>7</v>
      </c>
      <c r="N247" t="s">
        <v>8</v>
      </c>
      <c r="P247">
        <f t="shared" si="959"/>
        <v>0.20776772247360448</v>
      </c>
      <c r="Q247">
        <f t="shared" si="960"/>
        <v>2165817.5802978845</v>
      </c>
      <c r="R247">
        <f t="shared" si="961"/>
        <v>57836606.219651967</v>
      </c>
      <c r="S247">
        <f t="shared" si="962"/>
        <v>578.36606219651969</v>
      </c>
      <c r="T247">
        <f t="shared" si="963"/>
        <v>0.57836606219651965</v>
      </c>
    </row>
    <row r="248" spans="1:20" x14ac:dyDescent="0.25">
      <c r="A248" s="5">
        <v>44345</v>
      </c>
      <c r="B248">
        <v>3.3064</v>
      </c>
      <c r="C248">
        <v>3.4870000000000001</v>
      </c>
      <c r="D248">
        <v>3.0121000000000002</v>
      </c>
      <c r="E248">
        <v>3.1429999999999998</v>
      </c>
      <c r="F248">
        <v>17198065.039999999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-0.44872604758896778</v>
      </c>
      <c r="Q248">
        <f t="shared" si="960"/>
        <v>-7717219.7515772022</v>
      </c>
      <c r="R248">
        <f t="shared" si="961"/>
        <v>55670788.63935408</v>
      </c>
      <c r="S248">
        <f t="shared" si="962"/>
        <v>556.70788639354078</v>
      </c>
      <c r="T248">
        <f t="shared" si="963"/>
        <v>0.55670788639354074</v>
      </c>
    </row>
    <row r="249" spans="1:20" x14ac:dyDescent="0.25">
      <c r="A249" s="5">
        <v>44344</v>
      </c>
      <c r="B249">
        <v>4.0289999999999999</v>
      </c>
      <c r="C249">
        <v>4.1749000000000001</v>
      </c>
      <c r="D249">
        <v>3.2265000000000001</v>
      </c>
      <c r="E249">
        <v>3.3012000000000001</v>
      </c>
      <c r="F249">
        <v>17812634.460000001</v>
      </c>
      <c r="G249">
        <v>0</v>
      </c>
      <c r="L249" t="s">
        <v>8</v>
      </c>
      <c r="M249" t="s">
        <v>8</v>
      </c>
      <c r="N249" t="s">
        <v>8</v>
      </c>
      <c r="P249">
        <f t="shared" si="959"/>
        <v>-0.84247153099957828</v>
      </c>
      <c r="Q249">
        <f t="shared" si="960"/>
        <v>-15006637.424652047</v>
      </c>
      <c r="R249">
        <f t="shared" si="961"/>
        <v>63388008.390931286</v>
      </c>
      <c r="S249">
        <f t="shared" si="962"/>
        <v>633.88008390931282</v>
      </c>
      <c r="T249">
        <f t="shared" si="963"/>
        <v>0.63388008390931283</v>
      </c>
    </row>
    <row r="250" spans="1:20" x14ac:dyDescent="0.25">
      <c r="A250" s="5">
        <v>44343</v>
      </c>
      <c r="B250">
        <v>3.7926000000000002</v>
      </c>
      <c r="C250">
        <v>4.1147</v>
      </c>
      <c r="D250">
        <v>3.3527</v>
      </c>
      <c r="E250">
        <v>4.0274999999999999</v>
      </c>
      <c r="F250">
        <v>16898211.050000001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0.77112860892388413</v>
      </c>
      <c r="Q250">
        <f t="shared" si="960"/>
        <v>13030693.980288709</v>
      </c>
      <c r="R250">
        <f t="shared" si="961"/>
        <v>78394645.815583333</v>
      </c>
      <c r="S250">
        <f t="shared" si="962"/>
        <v>783.94645815583328</v>
      </c>
      <c r="T250">
        <f t="shared" si="963"/>
        <v>0.7839464581558333</v>
      </c>
    </row>
    <row r="251" spans="1:20" x14ac:dyDescent="0.25">
      <c r="A251" s="5">
        <v>44342</v>
      </c>
      <c r="B251">
        <v>3.4346999999999999</v>
      </c>
      <c r="C251">
        <v>3.7949000000000002</v>
      </c>
      <c r="D251">
        <v>3.3172000000000001</v>
      </c>
      <c r="E251">
        <v>3.7949000000000002</v>
      </c>
      <c r="F251">
        <v>15306125.02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1</v>
      </c>
      <c r="Q251">
        <f t="shared" si="960"/>
        <v>15306125.02</v>
      </c>
      <c r="R251">
        <f t="shared" si="961"/>
        <v>65363951.835294619</v>
      </c>
      <c r="S251">
        <f t="shared" si="962"/>
        <v>653.6395183529462</v>
      </c>
      <c r="T251">
        <f t="shared" si="963"/>
        <v>0.6536395183529462</v>
      </c>
    </row>
    <row r="252" spans="1:20" x14ac:dyDescent="0.25">
      <c r="A252" s="5">
        <v>44341</v>
      </c>
      <c r="B252">
        <v>3.206</v>
      </c>
      <c r="C252">
        <v>3.5171999999999999</v>
      </c>
      <c r="D252">
        <v>2.875</v>
      </c>
      <c r="E252">
        <v>3.4376000000000002</v>
      </c>
      <c r="F252">
        <v>19752337.780000001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0.75210214886328342</v>
      </c>
      <c r="Q252">
        <f t="shared" si="960"/>
        <v>14855775.689411419</v>
      </c>
      <c r="R252">
        <f t="shared" si="961"/>
        <v>50057826.815294623</v>
      </c>
      <c r="S252">
        <f t="shared" si="962"/>
        <v>500.57826815294624</v>
      </c>
      <c r="T252">
        <f t="shared" si="963"/>
        <v>0.50057826815294626</v>
      </c>
    </row>
    <row r="253" spans="1:20" x14ac:dyDescent="0.25">
      <c r="A253" s="5">
        <v>44340</v>
      </c>
      <c r="B253">
        <v>2.7435999999999998</v>
      </c>
      <c r="C253">
        <v>3.2669000000000001</v>
      </c>
      <c r="D253">
        <v>2.6297999999999999</v>
      </c>
      <c r="E253">
        <v>3.2086000000000001</v>
      </c>
      <c r="F253">
        <v>21202777.059999999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0.81698320514832834</v>
      </c>
      <c r="Q253">
        <f t="shared" si="960"/>
        <v>17322312.760524251</v>
      </c>
      <c r="R253">
        <f t="shared" si="961"/>
        <v>35202051.125883207</v>
      </c>
      <c r="S253">
        <f t="shared" si="962"/>
        <v>352.02051125883207</v>
      </c>
      <c r="T253">
        <f t="shared" si="963"/>
        <v>0.35202051125883205</v>
      </c>
    </row>
    <row r="254" spans="1:20" x14ac:dyDescent="0.25">
      <c r="A254" s="5">
        <v>44339</v>
      </c>
      <c r="B254">
        <v>3.1680999999999999</v>
      </c>
      <c r="C254">
        <v>3.5</v>
      </c>
      <c r="D254">
        <v>2.3022</v>
      </c>
      <c r="E254">
        <v>2.7393999999999998</v>
      </c>
      <c r="F254">
        <v>17151392.390000001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-0.26999499081649719</v>
      </c>
      <c r="Q254">
        <f t="shared" si="960"/>
        <v>-4630790.03082819</v>
      </c>
      <c r="R254">
        <f t="shared" si="961"/>
        <v>17879738.365358952</v>
      </c>
      <c r="S254">
        <f t="shared" si="962"/>
        <v>178.79738365358952</v>
      </c>
      <c r="T254">
        <f t="shared" si="963"/>
        <v>0.17879738365358952</v>
      </c>
    </row>
    <row r="255" spans="1:20" x14ac:dyDescent="0.25">
      <c r="A255" s="5">
        <v>44338</v>
      </c>
      <c r="B255">
        <v>3.4738000000000002</v>
      </c>
      <c r="C255">
        <v>3.6766000000000001</v>
      </c>
      <c r="D255">
        <v>3.0848</v>
      </c>
      <c r="E255">
        <v>3.1674000000000002</v>
      </c>
      <c r="F255">
        <v>19658668.07</v>
      </c>
      <c r="G255">
        <v>0</v>
      </c>
      <c r="L255" t="s">
        <v>7</v>
      </c>
      <c r="M255" t="s">
        <v>8</v>
      </c>
      <c r="N255" t="s">
        <v>8</v>
      </c>
      <c r="P255">
        <f t="shared" si="959"/>
        <v>-0.72085163906725169</v>
      </c>
      <c r="Q255">
        <f t="shared" si="960"/>
        <v>-14170983.100138545</v>
      </c>
      <c r="R255">
        <f t="shared" si="961"/>
        <v>22510528.396187142</v>
      </c>
      <c r="S255">
        <f t="shared" si="962"/>
        <v>225.10528396187141</v>
      </c>
      <c r="T255">
        <f t="shared" si="963"/>
        <v>0.22510528396187141</v>
      </c>
    </row>
    <row r="256" spans="1:20" x14ac:dyDescent="0.25">
      <c r="A256" s="5">
        <v>44337</v>
      </c>
      <c r="B256">
        <v>3.9788999999999999</v>
      </c>
      <c r="C256">
        <v>4.1562000000000001</v>
      </c>
      <c r="D256">
        <v>3.0579999999999998</v>
      </c>
      <c r="E256">
        <v>3.4735999999999998</v>
      </c>
      <c r="F256">
        <v>15309955</v>
      </c>
      <c r="G256">
        <v>0</v>
      </c>
      <c r="L256" t="s">
        <v>8</v>
      </c>
      <c r="M256" t="s">
        <v>7</v>
      </c>
      <c r="N256" t="s">
        <v>8</v>
      </c>
      <c r="P256">
        <f t="shared" si="959"/>
        <v>-0.24312511382261909</v>
      </c>
      <c r="Q256">
        <f t="shared" si="960"/>
        <v>-3722234.5519941761</v>
      </c>
      <c r="R256">
        <f t="shared" si="961"/>
        <v>36681511.496325687</v>
      </c>
      <c r="S256">
        <f t="shared" si="962"/>
        <v>366.81511496325686</v>
      </c>
      <c r="T256">
        <f t="shared" si="963"/>
        <v>0.36681511496325686</v>
      </c>
    </row>
    <row r="257" spans="1:20" x14ac:dyDescent="0.25">
      <c r="A257" s="5">
        <v>44336</v>
      </c>
      <c r="B257">
        <v>3.1438000000000001</v>
      </c>
      <c r="C257">
        <v>4.1554000000000002</v>
      </c>
      <c r="D257">
        <v>2.8691</v>
      </c>
      <c r="E257">
        <v>3.9719000000000002</v>
      </c>
      <c r="F257">
        <v>19561710.640000001</v>
      </c>
      <c r="G257">
        <v>0</v>
      </c>
      <c r="L257" t="s">
        <v>7</v>
      </c>
      <c r="M257" t="s">
        <v>8</v>
      </c>
      <c r="N257" t="s">
        <v>8</v>
      </c>
      <c r="P257">
        <f t="shared" si="959"/>
        <v>0.71468553214646668</v>
      </c>
      <c r="Q257">
        <f t="shared" si="960"/>
        <v>13980471.5784436</v>
      </c>
      <c r="R257">
        <f t="shared" si="961"/>
        <v>40403746.048319861</v>
      </c>
      <c r="S257">
        <f t="shared" si="962"/>
        <v>404.03746048319863</v>
      </c>
      <c r="T257">
        <f t="shared" si="963"/>
        <v>0.40403746048319861</v>
      </c>
    </row>
    <row r="258" spans="1:20" x14ac:dyDescent="0.25">
      <c r="A258" s="5">
        <v>44335</v>
      </c>
      <c r="B258">
        <v>5.0411000000000001</v>
      </c>
      <c r="C258">
        <v>5.0797999999999996</v>
      </c>
      <c r="D258">
        <v>2.109</v>
      </c>
      <c r="E258">
        <v>3.1497999999999999</v>
      </c>
      <c r="F258">
        <v>18774351.239999998</v>
      </c>
      <c r="G258">
        <v>0</v>
      </c>
      <c r="L258" t="s">
        <v>8</v>
      </c>
      <c r="M258" t="s">
        <v>7</v>
      </c>
      <c r="N258" t="s">
        <v>7</v>
      </c>
      <c r="P258">
        <f t="shared" si="959"/>
        <v>-0.29931331627844349</v>
      </c>
      <c r="Q258">
        <f t="shared" si="960"/>
        <v>-5619413.330620707</v>
      </c>
      <c r="R258">
        <f t="shared" si="961"/>
        <v>26423274.46987626</v>
      </c>
      <c r="S258">
        <f t="shared" si="962"/>
        <v>264.23274469876259</v>
      </c>
      <c r="T258">
        <f t="shared" si="963"/>
        <v>0.26423274469876257</v>
      </c>
    </row>
    <row r="259" spans="1:20" x14ac:dyDescent="0.25">
      <c r="A259" s="5">
        <v>44334</v>
      </c>
      <c r="B259">
        <v>4.62</v>
      </c>
      <c r="C259">
        <v>5.0533999999999999</v>
      </c>
      <c r="D259">
        <v>4.5659999999999998</v>
      </c>
      <c r="E259">
        <v>5.0392000000000001</v>
      </c>
      <c r="F259">
        <v>3026331.55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0.94173163725892584</v>
      </c>
      <c r="Q259">
        <f t="shared" si="960"/>
        <v>2849992.1654698425</v>
      </c>
      <c r="R259">
        <f t="shared" si="961"/>
        <v>32042687.800496966</v>
      </c>
      <c r="S259">
        <f t="shared" si="962"/>
        <v>320.42687800496964</v>
      </c>
      <c r="T259">
        <f t="shared" si="963"/>
        <v>0.32042687800496966</v>
      </c>
    </row>
    <row r="260" spans="1:20" x14ac:dyDescent="0.25">
      <c r="A260" s="5">
        <v>44333</v>
      </c>
      <c r="B260">
        <v>5.0640999999999998</v>
      </c>
      <c r="C260">
        <v>5.0902000000000003</v>
      </c>
      <c r="D260">
        <v>4.46</v>
      </c>
      <c r="E260">
        <v>4.6212999999999997</v>
      </c>
      <c r="F260">
        <v>4091291.07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-0.48809901618533896</v>
      </c>
      <c r="Q260">
        <f t="shared" si="960"/>
        <v>-1996955.1461948627</v>
      </c>
      <c r="R260">
        <f t="shared" si="961"/>
        <v>29192695.635027122</v>
      </c>
      <c r="S260">
        <f t="shared" si="962"/>
        <v>291.92695635027121</v>
      </c>
      <c r="T260">
        <f t="shared" si="963"/>
        <v>0.29192695635027122</v>
      </c>
    </row>
    <row r="261" spans="1:20" x14ac:dyDescent="0.25">
      <c r="A261" s="5">
        <v>44332</v>
      </c>
      <c r="B261">
        <v>5.1277999999999997</v>
      </c>
      <c r="C261">
        <v>5.5853999999999999</v>
      </c>
      <c r="D261">
        <v>4.7023999999999999</v>
      </c>
      <c r="E261">
        <v>5.0711000000000004</v>
      </c>
      <c r="F261">
        <v>3851613.9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-0.16489241223102952</v>
      </c>
      <c r="Q261">
        <f t="shared" si="960"/>
        <v>-635101.90695356333</v>
      </c>
      <c r="R261">
        <f t="shared" si="961"/>
        <v>31189650.781221986</v>
      </c>
      <c r="S261">
        <f t="shared" si="962"/>
        <v>311.89650781221985</v>
      </c>
      <c r="T261">
        <f t="shared" si="963"/>
        <v>0.31189650781221984</v>
      </c>
    </row>
    <row r="262" spans="1:20" x14ac:dyDescent="0.25">
      <c r="A262" s="5">
        <v>44331</v>
      </c>
      <c r="B262">
        <v>5.6124999999999998</v>
      </c>
      <c r="C262">
        <v>5.9</v>
      </c>
      <c r="D262">
        <v>5.0629</v>
      </c>
      <c r="E262">
        <v>5.1238000000000001</v>
      </c>
      <c r="F262">
        <v>3419980.5</v>
      </c>
      <c r="G262">
        <v>0</v>
      </c>
      <c r="L262" t="s">
        <v>8</v>
      </c>
      <c r="M262" t="s">
        <v>8</v>
      </c>
      <c r="N262" t="s">
        <v>7</v>
      </c>
      <c r="P262">
        <f t="shared" ref="P262:P325" si="964">IF(C262=D262,0,((E262-D262)-(C262-E262))/(C262-D262))</f>
        <v>-0.85449767052920766</v>
      </c>
      <c r="Q262">
        <f t="shared" ref="Q262:Q325" si="965">F262*P262</f>
        <v>-2922365.3705053148</v>
      </c>
      <c r="R262">
        <f t="shared" ref="R262:R325" si="966">R263+Q262</f>
        <v>31824752.688175548</v>
      </c>
      <c r="S262">
        <f t="shared" ref="S262:S325" si="967">R262/100000</f>
        <v>318.2475268817555</v>
      </c>
      <c r="T262">
        <f t="shared" ref="T262:T325" si="968">S262/1000</f>
        <v>0.3182475268817555</v>
      </c>
    </row>
    <row r="263" spans="1:20" x14ac:dyDescent="0.25">
      <c r="A263" s="5">
        <v>44330</v>
      </c>
      <c r="B263">
        <v>5.3379000000000003</v>
      </c>
      <c r="C263">
        <v>5.7880000000000003</v>
      </c>
      <c r="D263">
        <v>5.2682000000000002</v>
      </c>
      <c r="E263">
        <v>5.6193999999999997</v>
      </c>
      <c r="F263">
        <v>2323964.2599999998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0.35128895729126391</v>
      </c>
      <c r="Q263">
        <f t="shared" si="965"/>
        <v>816382.98167756363</v>
      </c>
      <c r="R263">
        <f t="shared" si="966"/>
        <v>34747118.058680862</v>
      </c>
      <c r="S263">
        <f t="shared" si="967"/>
        <v>347.4711805868086</v>
      </c>
      <c r="T263">
        <f t="shared" si="968"/>
        <v>0.34747118058680859</v>
      </c>
    </row>
    <row r="264" spans="1:20" x14ac:dyDescent="0.25">
      <c r="A264" s="5">
        <v>44329</v>
      </c>
      <c r="B264">
        <v>5.1055999999999999</v>
      </c>
      <c r="C264">
        <v>5.8213999999999997</v>
      </c>
      <c r="D264">
        <v>4.78</v>
      </c>
      <c r="E264">
        <v>5.3491</v>
      </c>
      <c r="F264">
        <v>4933630.6100000003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9.2951795659688932E-2</v>
      </c>
      <c r="Q264">
        <f t="shared" si="965"/>
        <v>458589.82432110648</v>
      </c>
      <c r="R264">
        <f t="shared" si="966"/>
        <v>33930735.0770033</v>
      </c>
      <c r="S264">
        <f t="shared" si="967"/>
        <v>339.307350770033</v>
      </c>
      <c r="T264">
        <f t="shared" si="968"/>
        <v>0.33930735077003299</v>
      </c>
    </row>
    <row r="265" spans="1:20" x14ac:dyDescent="0.25">
      <c r="A265" s="5">
        <v>44328</v>
      </c>
      <c r="B265">
        <v>6.0679999999999996</v>
      </c>
      <c r="C265">
        <v>6.5</v>
      </c>
      <c r="D265">
        <v>4.9617000000000004</v>
      </c>
      <c r="E265">
        <v>5.1075999999999997</v>
      </c>
      <c r="F265">
        <v>4929009.17</v>
      </c>
      <c r="G265">
        <v>0</v>
      </c>
      <c r="L265" t="s">
        <v>8</v>
      </c>
      <c r="M265" t="s">
        <v>8</v>
      </c>
      <c r="N265" t="s">
        <v>7</v>
      </c>
      <c r="P265">
        <f t="shared" si="964"/>
        <v>-0.81031008255866954</v>
      </c>
      <c r="Q265">
        <f t="shared" si="965"/>
        <v>-3994025.8274751394</v>
      </c>
      <c r="R265">
        <f t="shared" si="966"/>
        <v>33472145.252682194</v>
      </c>
      <c r="S265">
        <f t="shared" si="967"/>
        <v>334.72145252682196</v>
      </c>
      <c r="T265">
        <f t="shared" si="968"/>
        <v>0.33472145252682195</v>
      </c>
    </row>
    <row r="266" spans="1:20" x14ac:dyDescent="0.25">
      <c r="A266" s="5">
        <v>44327</v>
      </c>
      <c r="B266">
        <v>5.6851000000000003</v>
      </c>
      <c r="C266">
        <v>6.3</v>
      </c>
      <c r="D266">
        <v>5.4682000000000004</v>
      </c>
      <c r="E266">
        <v>6.0797999999999996</v>
      </c>
      <c r="F266">
        <v>4329758.3</v>
      </c>
      <c r="G266">
        <v>0</v>
      </c>
      <c r="L266" t="s">
        <v>8</v>
      </c>
      <c r="M266" t="s">
        <v>8</v>
      </c>
      <c r="N266" t="s">
        <v>8</v>
      </c>
      <c r="P266">
        <f t="shared" si="964"/>
        <v>0.47054580427987419</v>
      </c>
      <c r="Q266">
        <f t="shared" si="965"/>
        <v>2037349.6016109607</v>
      </c>
      <c r="R266">
        <f t="shared" si="966"/>
        <v>37466171.080157332</v>
      </c>
      <c r="S266">
        <f t="shared" si="967"/>
        <v>374.66171080157335</v>
      </c>
      <c r="T266">
        <f t="shared" si="968"/>
        <v>0.37466171080157334</v>
      </c>
    </row>
    <row r="267" spans="1:20" x14ac:dyDescent="0.25">
      <c r="A267" s="5">
        <v>44326</v>
      </c>
      <c r="B267">
        <v>6.1429</v>
      </c>
      <c r="C267">
        <v>6.9393000000000002</v>
      </c>
      <c r="D267">
        <v>5.2267000000000001</v>
      </c>
      <c r="E267">
        <v>5.6788999999999996</v>
      </c>
      <c r="F267">
        <v>9545239.7300000004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-0.47191404881466836</v>
      </c>
      <c r="Q267">
        <f t="shared" si="965"/>
        <v>-4504532.727890932</v>
      </c>
      <c r="R267">
        <f t="shared" si="966"/>
        <v>35428821.478546374</v>
      </c>
      <c r="S267">
        <f t="shared" si="967"/>
        <v>354.28821478546371</v>
      </c>
      <c r="T267">
        <f t="shared" si="968"/>
        <v>0.35428821478546368</v>
      </c>
    </row>
    <row r="268" spans="1:20" x14ac:dyDescent="0.25">
      <c r="A268" s="5">
        <v>44325</v>
      </c>
      <c r="B268">
        <v>6.2877000000000001</v>
      </c>
      <c r="C268">
        <v>6.3255999999999997</v>
      </c>
      <c r="D268">
        <v>5.9367000000000001</v>
      </c>
      <c r="E268">
        <v>6.1353</v>
      </c>
      <c r="F268">
        <v>3284382.44</v>
      </c>
      <c r="G268">
        <v>0</v>
      </c>
      <c r="L268" t="s">
        <v>7</v>
      </c>
      <c r="M268" t="s">
        <v>8</v>
      </c>
      <c r="N268" t="s">
        <v>8</v>
      </c>
      <c r="P268">
        <f t="shared" si="964"/>
        <v>2.1342247364361546E-2</v>
      </c>
      <c r="Q268">
        <f t="shared" si="965"/>
        <v>70096.10247364534</v>
      </c>
      <c r="R268">
        <f t="shared" si="966"/>
        <v>39933354.206437305</v>
      </c>
      <c r="S268">
        <f t="shared" si="967"/>
        <v>399.33354206437303</v>
      </c>
      <c r="T268">
        <f t="shared" si="968"/>
        <v>0.39933354206437305</v>
      </c>
    </row>
    <row r="269" spans="1:20" x14ac:dyDescent="0.25">
      <c r="A269" s="5">
        <v>44324</v>
      </c>
      <c r="B269">
        <v>6.5004999999999997</v>
      </c>
      <c r="C269">
        <v>6.6833</v>
      </c>
      <c r="D269">
        <v>6.2015000000000002</v>
      </c>
      <c r="E269">
        <v>6.2877000000000001</v>
      </c>
      <c r="F269">
        <v>4325884.03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-0.64217517642175226</v>
      </c>
      <c r="Q269">
        <f t="shared" si="965"/>
        <v>-2777975.3401452908</v>
      </c>
      <c r="R269">
        <f t="shared" si="966"/>
        <v>39863258.103963658</v>
      </c>
      <c r="S269">
        <f t="shared" si="967"/>
        <v>398.63258103963659</v>
      </c>
      <c r="T269">
        <f t="shared" si="968"/>
        <v>0.39863258103963661</v>
      </c>
    </row>
    <row r="270" spans="1:20" x14ac:dyDescent="0.25">
      <c r="A270" s="5">
        <v>44323</v>
      </c>
      <c r="B270">
        <v>6.2508999999999997</v>
      </c>
      <c r="C270">
        <v>7.0026999999999999</v>
      </c>
      <c r="D270">
        <v>5.9696999999999996</v>
      </c>
      <c r="E270">
        <v>6.5065</v>
      </c>
      <c r="F270">
        <v>8617184.2699999996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3.9303000968054599E-2</v>
      </c>
      <c r="Q270">
        <f t="shared" si="965"/>
        <v>338681.20170571486</v>
      </c>
      <c r="R270">
        <f t="shared" si="966"/>
        <v>42641233.444108948</v>
      </c>
      <c r="S270">
        <f t="shared" si="967"/>
        <v>426.41233444108946</v>
      </c>
      <c r="T270">
        <f t="shared" si="968"/>
        <v>0.42641233444108945</v>
      </c>
    </row>
    <row r="271" spans="1:20" x14ac:dyDescent="0.25">
      <c r="A271" s="5">
        <v>44322</v>
      </c>
      <c r="B271">
        <v>6.2038000000000002</v>
      </c>
      <c r="C271">
        <v>6.8377999999999997</v>
      </c>
      <c r="D271">
        <v>5.9698000000000002</v>
      </c>
      <c r="E271">
        <v>6.2579000000000002</v>
      </c>
      <c r="F271">
        <v>6316796.1200000001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-0.33617511520737281</v>
      </c>
      <c r="Q271">
        <f t="shared" si="965"/>
        <v>-2123549.6633824855</v>
      </c>
      <c r="R271">
        <f t="shared" si="966"/>
        <v>42302552.242403232</v>
      </c>
      <c r="S271">
        <f t="shared" si="967"/>
        <v>423.02552242403232</v>
      </c>
      <c r="T271">
        <f t="shared" si="968"/>
        <v>0.4230255224240323</v>
      </c>
    </row>
    <row r="272" spans="1:20" x14ac:dyDescent="0.25">
      <c r="A272" s="5">
        <v>44321</v>
      </c>
      <c r="B272">
        <v>5.6410999999999998</v>
      </c>
      <c r="C272">
        <v>6.3399000000000001</v>
      </c>
      <c r="D272">
        <v>5.5900999999999996</v>
      </c>
      <c r="E272">
        <v>6.1955</v>
      </c>
      <c r="F272">
        <v>4039489.62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0.61483062149906642</v>
      </c>
      <c r="Q272">
        <f t="shared" si="965"/>
        <v>2483601.9136036276</v>
      </c>
      <c r="R272">
        <f t="shared" si="966"/>
        <v>44426101.905785717</v>
      </c>
      <c r="S272">
        <f t="shared" si="967"/>
        <v>444.2610190578572</v>
      </c>
      <c r="T272">
        <f t="shared" si="968"/>
        <v>0.4442610190578572</v>
      </c>
    </row>
    <row r="273" spans="1:20" x14ac:dyDescent="0.25">
      <c r="A273" s="5">
        <v>44320</v>
      </c>
      <c r="B273">
        <v>6.3404999999999996</v>
      </c>
      <c r="C273">
        <v>6.3932000000000002</v>
      </c>
      <c r="D273">
        <v>5.5647000000000002</v>
      </c>
      <c r="E273">
        <v>5.6410999999999998</v>
      </c>
      <c r="F273">
        <v>6187265.9000000004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-0.81557030778515494</v>
      </c>
      <c r="Q273">
        <f t="shared" si="965"/>
        <v>-5046150.3544115936</v>
      </c>
      <c r="R273">
        <f t="shared" si="966"/>
        <v>41942499.992182091</v>
      </c>
      <c r="S273">
        <f t="shared" si="967"/>
        <v>419.42499992182093</v>
      </c>
      <c r="T273">
        <f t="shared" si="968"/>
        <v>0.41942499992182092</v>
      </c>
    </row>
    <row r="274" spans="1:20" x14ac:dyDescent="0.25">
      <c r="A274" s="5">
        <v>44319</v>
      </c>
      <c r="B274">
        <v>5.6824000000000003</v>
      </c>
      <c r="C274">
        <v>7.06</v>
      </c>
      <c r="D274">
        <v>5.6252000000000004</v>
      </c>
      <c r="E274">
        <v>6.3403999999999998</v>
      </c>
      <c r="F274">
        <v>10280959.57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-3.0666294954003388E-3</v>
      </c>
      <c r="Q274">
        <f t="shared" si="965"/>
        <v>-31527.893858380387</v>
      </c>
      <c r="R274">
        <f t="shared" si="966"/>
        <v>46988650.346593685</v>
      </c>
      <c r="S274">
        <f t="shared" si="967"/>
        <v>469.88650346593687</v>
      </c>
      <c r="T274">
        <f t="shared" si="968"/>
        <v>0.46988650346593686</v>
      </c>
    </row>
    <row r="275" spans="1:20" x14ac:dyDescent="0.25">
      <c r="A275" s="5">
        <v>44318</v>
      </c>
      <c r="B275">
        <v>5.7823000000000002</v>
      </c>
      <c r="C275">
        <v>5.7864000000000004</v>
      </c>
      <c r="D275">
        <v>5.4134000000000002</v>
      </c>
      <c r="E275">
        <v>5.6826999999999996</v>
      </c>
      <c r="F275">
        <v>2238126.69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0.44396782841822663</v>
      </c>
      <c r="Q275">
        <f t="shared" si="965"/>
        <v>993656.24628417345</v>
      </c>
      <c r="R275">
        <f t="shared" si="966"/>
        <v>47020178.240452066</v>
      </c>
      <c r="S275">
        <f t="shared" si="967"/>
        <v>470.20178240452066</v>
      </c>
      <c r="T275">
        <f t="shared" si="968"/>
        <v>0.47020178240452065</v>
      </c>
    </row>
    <row r="276" spans="1:20" x14ac:dyDescent="0.25">
      <c r="A276" s="5">
        <v>44317</v>
      </c>
      <c r="B276">
        <v>5.6013000000000002</v>
      </c>
      <c r="C276">
        <v>6.0888</v>
      </c>
      <c r="D276">
        <v>5.5315000000000003</v>
      </c>
      <c r="E276">
        <v>5.7857000000000003</v>
      </c>
      <c r="F276">
        <v>3921316.89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-8.7744482325497489E-2</v>
      </c>
      <c r="Q276">
        <f t="shared" si="965"/>
        <v>-344073.92054727982</v>
      </c>
      <c r="R276">
        <f t="shared" si="966"/>
        <v>46026521.994167894</v>
      </c>
      <c r="S276">
        <f t="shared" si="967"/>
        <v>460.26521994167894</v>
      </c>
      <c r="T276">
        <f t="shared" si="968"/>
        <v>0.46026521994167896</v>
      </c>
    </row>
    <row r="277" spans="1:20" x14ac:dyDescent="0.25">
      <c r="A277" s="5">
        <v>44316</v>
      </c>
      <c r="B277">
        <v>5.1257999999999999</v>
      </c>
      <c r="C277">
        <v>5.75</v>
      </c>
      <c r="D277">
        <v>4.9958999999999998</v>
      </c>
      <c r="E277">
        <v>5.6014999999999997</v>
      </c>
      <c r="F277">
        <v>5208150.12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0.60615303010210775</v>
      </c>
      <c r="Q277">
        <f t="shared" si="965"/>
        <v>3156935.9764646562</v>
      </c>
      <c r="R277">
        <f t="shared" si="966"/>
        <v>46370595.914715171</v>
      </c>
      <c r="S277">
        <f t="shared" si="967"/>
        <v>463.7059591471517</v>
      </c>
      <c r="T277">
        <f t="shared" si="968"/>
        <v>0.46370595914715168</v>
      </c>
    </row>
    <row r="278" spans="1:20" x14ac:dyDescent="0.25">
      <c r="A278" s="5">
        <v>44315</v>
      </c>
      <c r="B278">
        <v>5.0793999999999997</v>
      </c>
      <c r="C278">
        <v>5.5183999999999997</v>
      </c>
      <c r="D278">
        <v>4.8601000000000001</v>
      </c>
      <c r="E278">
        <v>5.1242999999999999</v>
      </c>
      <c r="F278">
        <v>4335704.37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-0.19732644690870454</v>
      </c>
      <c r="Q278">
        <f t="shared" si="965"/>
        <v>-855549.1381786433</v>
      </c>
      <c r="R278">
        <f t="shared" si="966"/>
        <v>43213659.938250512</v>
      </c>
      <c r="S278">
        <f t="shared" si="967"/>
        <v>432.1365993825051</v>
      </c>
      <c r="T278">
        <f t="shared" si="968"/>
        <v>0.43213659938250509</v>
      </c>
    </row>
    <row r="279" spans="1:20" x14ac:dyDescent="0.25">
      <c r="A279" s="5">
        <v>44314</v>
      </c>
      <c r="B279">
        <v>5.3231999999999999</v>
      </c>
      <c r="C279">
        <v>5.4432</v>
      </c>
      <c r="D279">
        <v>4.78</v>
      </c>
      <c r="E279">
        <v>5.0720999999999998</v>
      </c>
      <c r="F279">
        <v>3628643.99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-0.11911942098914453</v>
      </c>
      <c r="Q279">
        <f t="shared" si="965"/>
        <v>-432241.97106453922</v>
      </c>
      <c r="R279">
        <f t="shared" si="966"/>
        <v>44069209.076429158</v>
      </c>
      <c r="S279">
        <f t="shared" si="967"/>
        <v>440.69209076429161</v>
      </c>
      <c r="T279">
        <f t="shared" si="968"/>
        <v>0.44069209076429161</v>
      </c>
    </row>
    <row r="280" spans="1:20" x14ac:dyDescent="0.25">
      <c r="A280" s="5">
        <v>44313</v>
      </c>
      <c r="B280">
        <v>4.8868</v>
      </c>
      <c r="C280">
        <v>5.4</v>
      </c>
      <c r="D280">
        <v>4.8658000000000001</v>
      </c>
      <c r="E280">
        <v>5.3292000000000002</v>
      </c>
      <c r="F280">
        <v>3878260.02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0.7349307375514782</v>
      </c>
      <c r="Q280">
        <f t="shared" si="965"/>
        <v>2850252.4969150107</v>
      </c>
      <c r="R280">
        <f t="shared" si="966"/>
        <v>44501451.047493696</v>
      </c>
      <c r="S280">
        <f t="shared" si="967"/>
        <v>445.01451047493697</v>
      </c>
      <c r="T280">
        <f t="shared" si="968"/>
        <v>0.44501451047493695</v>
      </c>
    </row>
    <row r="281" spans="1:20" x14ac:dyDescent="0.25">
      <c r="A281" s="5">
        <v>44312</v>
      </c>
      <c r="B281">
        <v>4.1673</v>
      </c>
      <c r="C281">
        <v>5.0442999999999998</v>
      </c>
      <c r="D281">
        <v>4.1227</v>
      </c>
      <c r="E281">
        <v>4.8857999999999997</v>
      </c>
      <c r="F281">
        <v>5962783.9500000002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0.65603298611111083</v>
      </c>
      <c r="Q281">
        <f t="shared" si="965"/>
        <v>3911782.9602539046</v>
      </c>
      <c r="R281">
        <f t="shared" si="966"/>
        <v>41651198.550578684</v>
      </c>
      <c r="S281">
        <f t="shared" si="967"/>
        <v>416.51198550578681</v>
      </c>
      <c r="T281">
        <f t="shared" si="968"/>
        <v>0.41651198550578683</v>
      </c>
    </row>
    <row r="282" spans="1:20" x14ac:dyDescent="0.25">
      <c r="A282" s="5">
        <v>44311</v>
      </c>
      <c r="B282">
        <v>4.1157000000000004</v>
      </c>
      <c r="C282">
        <v>4.5876000000000001</v>
      </c>
      <c r="D282">
        <v>3.8729</v>
      </c>
      <c r="E282">
        <v>4.1707000000000001</v>
      </c>
      <c r="F282">
        <v>4232564.5199999996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-0.16664334685882184</v>
      </c>
      <c r="Q282">
        <f t="shared" si="965"/>
        <v>-705328.71740870271</v>
      </c>
      <c r="R282">
        <f t="shared" si="966"/>
        <v>37739415.590324782</v>
      </c>
      <c r="S282">
        <f t="shared" si="967"/>
        <v>377.39415590324779</v>
      </c>
      <c r="T282">
        <f t="shared" si="968"/>
        <v>0.37739415590324782</v>
      </c>
    </row>
    <row r="283" spans="1:20" x14ac:dyDescent="0.25">
      <c r="A283" s="5">
        <v>44310</v>
      </c>
      <c r="B283">
        <v>4.5340999999999996</v>
      </c>
      <c r="C283">
        <v>4.5450999999999997</v>
      </c>
      <c r="D283">
        <v>4.0065</v>
      </c>
      <c r="E283">
        <v>4.1227999999999998</v>
      </c>
      <c r="F283">
        <v>4602296.18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-0.56813962124025286</v>
      </c>
      <c r="Q283">
        <f t="shared" si="965"/>
        <v>-2614746.8085406623</v>
      </c>
      <c r="R283">
        <f t="shared" si="966"/>
        <v>38444744.307733484</v>
      </c>
      <c r="S283">
        <f t="shared" si="967"/>
        <v>384.44744307733481</v>
      </c>
      <c r="T283">
        <f t="shared" si="968"/>
        <v>0.38444744307733481</v>
      </c>
    </row>
    <row r="284" spans="1:20" x14ac:dyDescent="0.25">
      <c r="A284" s="5">
        <v>44309</v>
      </c>
      <c r="B284">
        <v>4.4405000000000001</v>
      </c>
      <c r="C284">
        <v>5</v>
      </c>
      <c r="D284">
        <v>3.46</v>
      </c>
      <c r="E284">
        <v>4.5365000000000002</v>
      </c>
      <c r="F284">
        <v>9699922.7799999993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0.39805194805194832</v>
      </c>
      <c r="Q284">
        <f t="shared" si="965"/>
        <v>3861073.15853247</v>
      </c>
      <c r="R284">
        <f t="shared" si="966"/>
        <v>41059491.116274148</v>
      </c>
      <c r="S284">
        <f t="shared" si="967"/>
        <v>410.59491116274148</v>
      </c>
      <c r="T284">
        <f t="shared" si="968"/>
        <v>0.41059491116274149</v>
      </c>
    </row>
    <row r="285" spans="1:20" x14ac:dyDescent="0.25">
      <c r="A285" s="5">
        <v>44308</v>
      </c>
      <c r="B285">
        <v>4.9490999999999996</v>
      </c>
      <c r="C285">
        <v>5.2297000000000002</v>
      </c>
      <c r="D285">
        <v>4.3499999999999996</v>
      </c>
      <c r="E285">
        <v>4.4438000000000004</v>
      </c>
      <c r="F285">
        <v>5216126.63</v>
      </c>
      <c r="G285">
        <v>0</v>
      </c>
      <c r="L285" t="s">
        <v>7</v>
      </c>
      <c r="M285" t="s">
        <v>7</v>
      </c>
      <c r="N285" t="s">
        <v>8</v>
      </c>
      <c r="P285">
        <f t="shared" si="964"/>
        <v>-0.78674548141411682</v>
      </c>
      <c r="Q285">
        <f t="shared" si="965"/>
        <v>-4103764.0566363446</v>
      </c>
      <c r="R285">
        <f t="shared" si="966"/>
        <v>37198417.957741678</v>
      </c>
      <c r="S285">
        <f t="shared" si="967"/>
        <v>371.9841795774168</v>
      </c>
      <c r="T285">
        <f t="shared" si="968"/>
        <v>0.37198417957741681</v>
      </c>
    </row>
    <row r="286" spans="1:20" x14ac:dyDescent="0.25">
      <c r="A286" s="5">
        <v>44307</v>
      </c>
      <c r="B286">
        <v>5.2043999999999997</v>
      </c>
      <c r="C286">
        <v>5.6</v>
      </c>
      <c r="D286">
        <v>4.8817000000000004</v>
      </c>
      <c r="E286">
        <v>4.9530000000000003</v>
      </c>
      <c r="F286">
        <v>5082782.21</v>
      </c>
      <c r="G286">
        <v>0</v>
      </c>
      <c r="L286" t="s">
        <v>7</v>
      </c>
      <c r="M286" t="s">
        <v>7</v>
      </c>
      <c r="N286" t="s">
        <v>8</v>
      </c>
      <c r="P286">
        <f t="shared" si="964"/>
        <v>-0.80147570652930533</v>
      </c>
      <c r="Q286">
        <f t="shared" si="965"/>
        <v>-4073726.462894334</v>
      </c>
      <c r="R286">
        <f t="shared" si="966"/>
        <v>41302182.014378019</v>
      </c>
      <c r="S286">
        <f t="shared" si="967"/>
        <v>413.02182014378019</v>
      </c>
      <c r="T286">
        <f t="shared" si="968"/>
        <v>0.41302182014378019</v>
      </c>
    </row>
    <row r="287" spans="1:20" x14ac:dyDescent="0.25">
      <c r="A287" s="5">
        <v>44306</v>
      </c>
      <c r="B287">
        <v>4.9374000000000002</v>
      </c>
      <c r="C287">
        <v>5.8666</v>
      </c>
      <c r="D287">
        <v>4.3137999999999996</v>
      </c>
      <c r="E287">
        <v>5.2043999999999997</v>
      </c>
      <c r="F287">
        <v>8777061.4399999995</v>
      </c>
      <c r="G287">
        <v>0</v>
      </c>
      <c r="L287" t="s">
        <v>8</v>
      </c>
      <c r="M287" t="s">
        <v>8</v>
      </c>
      <c r="N287" t="s">
        <v>8</v>
      </c>
      <c r="P287">
        <f t="shared" si="964"/>
        <v>0.14708912931478596</v>
      </c>
      <c r="Q287">
        <f t="shared" si="965"/>
        <v>1291010.3251519813</v>
      </c>
      <c r="R287">
        <f t="shared" si="966"/>
        <v>45375908.477272354</v>
      </c>
      <c r="S287">
        <f t="shared" si="967"/>
        <v>453.75908477272355</v>
      </c>
      <c r="T287">
        <f t="shared" si="968"/>
        <v>0.45375908477272353</v>
      </c>
    </row>
    <row r="288" spans="1:20" x14ac:dyDescent="0.25">
      <c r="A288" s="5">
        <v>44305</v>
      </c>
      <c r="B288">
        <v>5.476</v>
      </c>
      <c r="C288">
        <v>5.6449999999999996</v>
      </c>
      <c r="D288">
        <v>4.7743000000000002</v>
      </c>
      <c r="E288">
        <v>4.9400000000000004</v>
      </c>
      <c r="F288">
        <v>4472135.76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-0.61938670035603471</v>
      </c>
      <c r="Q288">
        <f t="shared" si="965"/>
        <v>-2769981.4119306277</v>
      </c>
      <c r="R288">
        <f t="shared" si="966"/>
        <v>44084898.152120374</v>
      </c>
      <c r="S288">
        <f t="shared" si="967"/>
        <v>440.84898152120377</v>
      </c>
      <c r="T288">
        <f t="shared" si="968"/>
        <v>0.44084898152120378</v>
      </c>
    </row>
    <row r="289" spans="1:20" x14ac:dyDescent="0.25">
      <c r="A289" s="5">
        <v>44304</v>
      </c>
      <c r="B289">
        <v>6.4528999999999996</v>
      </c>
      <c r="C289">
        <v>6.5408999999999997</v>
      </c>
      <c r="D289">
        <v>4.0427999999999997</v>
      </c>
      <c r="E289">
        <v>5.4648000000000003</v>
      </c>
      <c r="F289">
        <v>8002001.5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0.13846523357751939</v>
      </c>
      <c r="Q289">
        <f t="shared" si="965"/>
        <v>1107999.0067851604</v>
      </c>
      <c r="R289">
        <f t="shared" si="966"/>
        <v>46854879.564051002</v>
      </c>
      <c r="S289">
        <f t="shared" si="967"/>
        <v>468.54879564051004</v>
      </c>
      <c r="T289">
        <f t="shared" si="968"/>
        <v>0.46854879564051005</v>
      </c>
    </row>
    <row r="290" spans="1:20" x14ac:dyDescent="0.25">
      <c r="A290" s="5">
        <v>44303</v>
      </c>
      <c r="B290">
        <v>6.5570000000000004</v>
      </c>
      <c r="C290">
        <v>7.125</v>
      </c>
      <c r="D290">
        <v>6.4004000000000003</v>
      </c>
      <c r="E290">
        <v>6.4515000000000002</v>
      </c>
      <c r="F290">
        <v>4310155.97</v>
      </c>
      <c r="G290">
        <v>0</v>
      </c>
      <c r="L290" t="s">
        <v>8</v>
      </c>
      <c r="M290" t="s">
        <v>8</v>
      </c>
      <c r="N290" t="s">
        <v>7</v>
      </c>
      <c r="P290">
        <f t="shared" si="964"/>
        <v>-0.858956665746619</v>
      </c>
      <c r="Q290">
        <f t="shared" si="965"/>
        <v>-3702237.2008390841</v>
      </c>
      <c r="R290">
        <f t="shared" si="966"/>
        <v>45746880.55726584</v>
      </c>
      <c r="S290">
        <f t="shared" si="967"/>
        <v>457.46880557265843</v>
      </c>
      <c r="T290">
        <f t="shared" si="968"/>
        <v>0.4574688055726584</v>
      </c>
    </row>
    <row r="291" spans="1:20" x14ac:dyDescent="0.25">
      <c r="A291" s="5">
        <v>44302</v>
      </c>
      <c r="B291">
        <v>6.8711000000000002</v>
      </c>
      <c r="C291">
        <v>6.9405999999999999</v>
      </c>
      <c r="D291">
        <v>6.2154999999999996</v>
      </c>
      <c r="E291">
        <v>6.5613000000000001</v>
      </c>
      <c r="F291">
        <v>3714590.19</v>
      </c>
      <c r="G291">
        <v>0</v>
      </c>
      <c r="L291" t="s">
        <v>7</v>
      </c>
      <c r="M291" t="s">
        <v>8</v>
      </c>
      <c r="N291" t="s">
        <v>7</v>
      </c>
      <c r="P291">
        <f t="shared" si="964"/>
        <v>-4.6200524065644989E-2</v>
      </c>
      <c r="Q291">
        <f t="shared" si="965"/>
        <v>-171616.0134671038</v>
      </c>
      <c r="R291">
        <f t="shared" si="966"/>
        <v>49449117.758104928</v>
      </c>
      <c r="S291">
        <f t="shared" si="967"/>
        <v>494.49117758104927</v>
      </c>
      <c r="T291">
        <f t="shared" si="968"/>
        <v>0.49449117758104927</v>
      </c>
    </row>
    <row r="292" spans="1:20" x14ac:dyDescent="0.25">
      <c r="A292" s="5">
        <v>44301</v>
      </c>
      <c r="B292">
        <v>6.52</v>
      </c>
      <c r="C292">
        <v>7.2336</v>
      </c>
      <c r="D292">
        <v>6.3361000000000001</v>
      </c>
      <c r="E292">
        <v>6.8765999999999998</v>
      </c>
      <c r="F292">
        <v>4838979.74</v>
      </c>
      <c r="G292">
        <v>0</v>
      </c>
      <c r="L292" t="s">
        <v>8</v>
      </c>
      <c r="M292" t="s">
        <v>8</v>
      </c>
      <c r="N292" t="s">
        <v>7</v>
      </c>
      <c r="P292">
        <f t="shared" si="964"/>
        <v>0.20445682451253433</v>
      </c>
      <c r="Q292">
        <f t="shared" si="965"/>
        <v>989362.43152088905</v>
      </c>
      <c r="R292">
        <f t="shared" si="966"/>
        <v>49620733.771572031</v>
      </c>
      <c r="S292">
        <f t="shared" si="967"/>
        <v>496.20733771572031</v>
      </c>
      <c r="T292">
        <f t="shared" si="968"/>
        <v>0.49620733771572029</v>
      </c>
    </row>
    <row r="293" spans="1:20" x14ac:dyDescent="0.25">
      <c r="A293" s="5">
        <v>44300</v>
      </c>
      <c r="B293">
        <v>6.4763999999999999</v>
      </c>
      <c r="C293">
        <v>6.7394999999999996</v>
      </c>
      <c r="D293">
        <v>6.0704000000000002</v>
      </c>
      <c r="E293">
        <v>6.5202999999999998</v>
      </c>
      <c r="F293">
        <v>3377626.79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0.34479151098490496</v>
      </c>
      <c r="Q293">
        <f t="shared" si="965"/>
        <v>1164577.0444671942</v>
      </c>
      <c r="R293">
        <f t="shared" si="966"/>
        <v>48631371.340051144</v>
      </c>
      <c r="S293">
        <f t="shared" si="967"/>
        <v>486.31371340051146</v>
      </c>
      <c r="T293">
        <f t="shared" si="968"/>
        <v>0.48631371340051144</v>
      </c>
    </row>
    <row r="294" spans="1:20" x14ac:dyDescent="0.25">
      <c r="A294" s="5">
        <v>44299</v>
      </c>
      <c r="B294">
        <v>6.5843999999999996</v>
      </c>
      <c r="C294">
        <v>6.8284000000000002</v>
      </c>
      <c r="D294">
        <v>6.25</v>
      </c>
      <c r="E294">
        <v>6.4828000000000001</v>
      </c>
      <c r="F294">
        <v>2711996.26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-0.19502074688796675</v>
      </c>
      <c r="Q294">
        <f t="shared" si="965"/>
        <v>-528895.53618257237</v>
      </c>
      <c r="R294">
        <f t="shared" si="966"/>
        <v>47466794.295583948</v>
      </c>
      <c r="S294">
        <f t="shared" si="967"/>
        <v>474.66794295583946</v>
      </c>
      <c r="T294">
        <f t="shared" si="968"/>
        <v>0.47466794295583947</v>
      </c>
    </row>
    <row r="295" spans="1:20" x14ac:dyDescent="0.25">
      <c r="A295" s="5">
        <v>44298</v>
      </c>
      <c r="B295">
        <v>6.9823000000000004</v>
      </c>
      <c r="C295">
        <v>7.0137999999999998</v>
      </c>
      <c r="D295">
        <v>6.45</v>
      </c>
      <c r="E295">
        <v>6.5876000000000001</v>
      </c>
      <c r="F295">
        <v>2601160.0499999998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-0.51188364668322084</v>
      </c>
      <c r="Q295">
        <f t="shared" si="965"/>
        <v>-1331491.2920007089</v>
      </c>
      <c r="R295">
        <f t="shared" si="966"/>
        <v>47995689.831766523</v>
      </c>
      <c r="S295">
        <f t="shared" si="967"/>
        <v>479.95689831766521</v>
      </c>
      <c r="T295">
        <f t="shared" si="968"/>
        <v>0.47995689831766519</v>
      </c>
    </row>
    <row r="296" spans="1:20" x14ac:dyDescent="0.25">
      <c r="A296" s="5">
        <v>44297</v>
      </c>
      <c r="B296">
        <v>7.0148000000000001</v>
      </c>
      <c r="C296">
        <v>7.2849000000000004</v>
      </c>
      <c r="D296">
        <v>6.6304999999999996</v>
      </c>
      <c r="E296">
        <v>6.9819000000000004</v>
      </c>
      <c r="F296">
        <v>2638493.2999999998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7.3960880195600293E-2</v>
      </c>
      <c r="Q296">
        <f t="shared" si="965"/>
        <v>195145.28685819404</v>
      </c>
      <c r="R296">
        <f t="shared" si="966"/>
        <v>49327181.123767234</v>
      </c>
      <c r="S296">
        <f t="shared" si="967"/>
        <v>493.27181123767235</v>
      </c>
      <c r="T296">
        <f t="shared" si="968"/>
        <v>0.49327181123767233</v>
      </c>
    </row>
    <row r="297" spans="1:20" x14ac:dyDescent="0.25">
      <c r="A297" s="5">
        <v>44296</v>
      </c>
      <c r="B297">
        <v>7.0077999999999996</v>
      </c>
      <c r="C297">
        <v>7.37</v>
      </c>
      <c r="D297">
        <v>6.7331000000000003</v>
      </c>
      <c r="E297">
        <v>7.0171000000000001</v>
      </c>
      <c r="F297">
        <v>3120028.87</v>
      </c>
      <c r="G297">
        <v>0</v>
      </c>
      <c r="L297" t="s">
        <v>7</v>
      </c>
      <c r="M297" t="s">
        <v>8</v>
      </c>
      <c r="N297" t="s">
        <v>8</v>
      </c>
      <c r="P297">
        <f t="shared" si="964"/>
        <v>-0.10818024807662145</v>
      </c>
      <c r="Q297">
        <f t="shared" si="965"/>
        <v>-337525.49716282089</v>
      </c>
      <c r="R297">
        <f t="shared" si="966"/>
        <v>49132035.836909041</v>
      </c>
      <c r="S297">
        <f t="shared" si="967"/>
        <v>491.3203583690904</v>
      </c>
      <c r="T297">
        <f t="shared" si="968"/>
        <v>0.49132035836909038</v>
      </c>
    </row>
    <row r="298" spans="1:20" x14ac:dyDescent="0.25">
      <c r="A298" s="5">
        <v>44295</v>
      </c>
      <c r="B298">
        <v>7.2685000000000004</v>
      </c>
      <c r="C298">
        <v>7.3535000000000004</v>
      </c>
      <c r="D298">
        <v>6.8680000000000003</v>
      </c>
      <c r="E298">
        <v>7.0037000000000003</v>
      </c>
      <c r="F298">
        <v>2885427.5</v>
      </c>
      <c r="G298">
        <v>0</v>
      </c>
      <c r="L298" t="s">
        <v>7</v>
      </c>
      <c r="M298" t="s">
        <v>8</v>
      </c>
      <c r="N298" t="s">
        <v>8</v>
      </c>
      <c r="P298">
        <f t="shared" si="964"/>
        <v>-0.44098867147270887</v>
      </c>
      <c r="Q298">
        <f t="shared" si="965"/>
        <v>-1272440.8398558197</v>
      </c>
      <c r="R298">
        <f t="shared" si="966"/>
        <v>49469561.33407186</v>
      </c>
      <c r="S298">
        <f t="shared" si="967"/>
        <v>494.69561334071858</v>
      </c>
      <c r="T298">
        <f t="shared" si="968"/>
        <v>0.4946956133407186</v>
      </c>
    </row>
    <row r="299" spans="1:20" x14ac:dyDescent="0.25">
      <c r="A299" s="5">
        <v>44294</v>
      </c>
      <c r="B299">
        <v>6.5297000000000001</v>
      </c>
      <c r="C299">
        <v>7.85</v>
      </c>
      <c r="D299">
        <v>6.4619</v>
      </c>
      <c r="E299">
        <v>7.2763</v>
      </c>
      <c r="F299">
        <v>6034262.2300000004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0.17340249261580606</v>
      </c>
      <c r="Q299">
        <f t="shared" si="965"/>
        <v>1046356.1117794125</v>
      </c>
      <c r="R299">
        <f t="shared" si="966"/>
        <v>50742002.17392768</v>
      </c>
      <c r="S299">
        <f t="shared" si="967"/>
        <v>507.42002173927682</v>
      </c>
      <c r="T299">
        <f t="shared" si="968"/>
        <v>0.50742002173927681</v>
      </c>
    </row>
    <row r="300" spans="1:20" x14ac:dyDescent="0.25">
      <c r="A300" s="5">
        <v>44293</v>
      </c>
      <c r="B300">
        <v>7.3806000000000003</v>
      </c>
      <c r="C300">
        <v>7.4231999999999996</v>
      </c>
      <c r="D300">
        <v>6.1696999999999997</v>
      </c>
      <c r="E300">
        <v>6.5125999999999999</v>
      </c>
      <c r="F300">
        <v>5518670.4500000002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-0.45289190267251656</v>
      </c>
      <c r="Q300">
        <f t="shared" si="965"/>
        <v>-2499361.1603230932</v>
      </c>
      <c r="R300">
        <f t="shared" si="966"/>
        <v>49695646.062148266</v>
      </c>
      <c r="S300">
        <f t="shared" si="967"/>
        <v>496.95646062148268</v>
      </c>
      <c r="T300">
        <f t="shared" si="968"/>
        <v>0.49695646062148269</v>
      </c>
    </row>
    <row r="301" spans="1:20" x14ac:dyDescent="0.25">
      <c r="A301" s="5">
        <v>44292</v>
      </c>
      <c r="B301">
        <v>6.9099000000000004</v>
      </c>
      <c r="C301">
        <v>8.1572999999999993</v>
      </c>
      <c r="D301">
        <v>6.8117000000000001</v>
      </c>
      <c r="E301">
        <v>7.3616999999999999</v>
      </c>
      <c r="F301">
        <v>6501980.25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-0.18252080856123643</v>
      </c>
      <c r="Q301">
        <f t="shared" si="965"/>
        <v>-1186746.6924791902</v>
      </c>
      <c r="R301">
        <f t="shared" si="966"/>
        <v>52195007.222471356</v>
      </c>
      <c r="S301">
        <f t="shared" si="967"/>
        <v>521.95007222471361</v>
      </c>
      <c r="T301">
        <f t="shared" si="968"/>
        <v>0.52195007222471357</v>
      </c>
    </row>
    <row r="302" spans="1:20" x14ac:dyDescent="0.25">
      <c r="A302" s="5">
        <v>44291</v>
      </c>
      <c r="B302">
        <v>6.7638999999999996</v>
      </c>
      <c r="C302">
        <v>7.6581999999999999</v>
      </c>
      <c r="D302">
        <v>6.4180000000000001</v>
      </c>
      <c r="E302">
        <v>6.9095000000000004</v>
      </c>
      <c r="F302">
        <v>5760511.6500000004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-0.20738590549911246</v>
      </c>
      <c r="Q302">
        <f t="shared" si="965"/>
        <v>-1194648.9246734364</v>
      </c>
      <c r="R302">
        <f t="shared" si="966"/>
        <v>53381753.91495055</v>
      </c>
      <c r="S302">
        <f t="shared" si="967"/>
        <v>533.81753914950548</v>
      </c>
      <c r="T302">
        <f t="shared" si="968"/>
        <v>0.53381753914950547</v>
      </c>
    </row>
    <row r="303" spans="1:20" x14ac:dyDescent="0.25">
      <c r="A303" s="5">
        <v>44290</v>
      </c>
      <c r="B303">
        <v>6.1608000000000001</v>
      </c>
      <c r="C303">
        <v>6.92</v>
      </c>
      <c r="D303">
        <v>6.0667</v>
      </c>
      <c r="E303">
        <v>6.7742000000000004</v>
      </c>
      <c r="F303">
        <v>3228720.8</v>
      </c>
      <c r="G303">
        <v>0</v>
      </c>
      <c r="L303" t="s">
        <v>8</v>
      </c>
      <c r="M303" t="s">
        <v>7</v>
      </c>
      <c r="N303" t="s">
        <v>8</v>
      </c>
      <c r="P303">
        <f t="shared" si="964"/>
        <v>0.65826790108988753</v>
      </c>
      <c r="Q303">
        <f t="shared" si="965"/>
        <v>2125363.2642212622</v>
      </c>
      <c r="R303">
        <f t="shared" si="966"/>
        <v>54576402.839623988</v>
      </c>
      <c r="S303">
        <f t="shared" si="967"/>
        <v>545.76402839623984</v>
      </c>
      <c r="T303">
        <f t="shared" si="968"/>
        <v>0.54576402839623983</v>
      </c>
    </row>
    <row r="304" spans="1:20" x14ac:dyDescent="0.25">
      <c r="A304" s="5">
        <v>44289</v>
      </c>
      <c r="B304">
        <v>6.9233000000000002</v>
      </c>
      <c r="C304">
        <v>7.1879999999999997</v>
      </c>
      <c r="D304">
        <v>6.0944000000000003</v>
      </c>
      <c r="E304">
        <v>6.1604000000000001</v>
      </c>
      <c r="F304">
        <v>4313315.84</v>
      </c>
      <c r="G304">
        <v>0</v>
      </c>
      <c r="L304" t="s">
        <v>7</v>
      </c>
      <c r="M304" t="s">
        <v>8</v>
      </c>
      <c r="N304" t="s">
        <v>8</v>
      </c>
      <c r="P304">
        <f t="shared" si="964"/>
        <v>-0.87929773226042451</v>
      </c>
      <c r="Q304">
        <f t="shared" si="965"/>
        <v>-3792688.8366349679</v>
      </c>
      <c r="R304">
        <f t="shared" si="966"/>
        <v>52451039.575402722</v>
      </c>
      <c r="S304">
        <f t="shared" si="967"/>
        <v>524.51039575402717</v>
      </c>
      <c r="T304">
        <f t="shared" si="968"/>
        <v>0.52451039575402714</v>
      </c>
    </row>
    <row r="305" spans="1:20" x14ac:dyDescent="0.25">
      <c r="A305" s="5">
        <v>44288</v>
      </c>
      <c r="B305">
        <v>7.0848000000000004</v>
      </c>
      <c r="C305">
        <v>7.25</v>
      </c>
      <c r="D305">
        <v>6.62</v>
      </c>
      <c r="E305">
        <v>6.9261999999999997</v>
      </c>
      <c r="F305">
        <v>4491614.29</v>
      </c>
      <c r="G305">
        <v>0</v>
      </c>
      <c r="L305" t="s">
        <v>7</v>
      </c>
      <c r="M305" t="s">
        <v>8</v>
      </c>
      <c r="N305" t="s">
        <v>8</v>
      </c>
      <c r="P305">
        <f t="shared" si="964"/>
        <v>-2.7936507936509095E-2</v>
      </c>
      <c r="Q305">
        <f t="shared" si="965"/>
        <v>-125480.01826032267</v>
      </c>
      <c r="R305">
        <f t="shared" si="966"/>
        <v>56243728.412037693</v>
      </c>
      <c r="S305">
        <f t="shared" si="967"/>
        <v>562.43728412037694</v>
      </c>
      <c r="T305">
        <f t="shared" si="968"/>
        <v>0.56243728412037697</v>
      </c>
    </row>
    <row r="306" spans="1:20" x14ac:dyDescent="0.25">
      <c r="A306" s="5">
        <v>44287</v>
      </c>
      <c r="B306">
        <v>5.9264000000000001</v>
      </c>
      <c r="C306">
        <v>7.3760000000000003</v>
      </c>
      <c r="D306">
        <v>5.7289000000000003</v>
      </c>
      <c r="E306">
        <v>7.0848000000000004</v>
      </c>
      <c r="F306">
        <v>9852101.6300000008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0.64640883977900565</v>
      </c>
      <c r="Q306">
        <f t="shared" si="965"/>
        <v>6368485.5840331512</v>
      </c>
      <c r="R306">
        <f t="shared" si="966"/>
        <v>56369208.430298015</v>
      </c>
      <c r="S306">
        <f t="shared" si="967"/>
        <v>563.69208430298011</v>
      </c>
      <c r="T306">
        <f t="shared" si="968"/>
        <v>0.56369208430298012</v>
      </c>
    </row>
    <row r="307" spans="1:20" x14ac:dyDescent="0.25">
      <c r="A307" s="5">
        <v>44286</v>
      </c>
      <c r="B307">
        <v>6.5164999999999997</v>
      </c>
      <c r="C307">
        <v>6.5721999999999996</v>
      </c>
      <c r="D307">
        <v>5.69</v>
      </c>
      <c r="E307">
        <v>5.9260000000000002</v>
      </c>
      <c r="F307">
        <v>5218261.32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-0.46497392881432786</v>
      </c>
      <c r="Q307">
        <f t="shared" si="965"/>
        <v>-2426355.4675402408</v>
      </c>
      <c r="R307">
        <f t="shared" si="966"/>
        <v>50000722.846264862</v>
      </c>
      <c r="S307">
        <f t="shared" si="967"/>
        <v>500.00722846264864</v>
      </c>
      <c r="T307">
        <f t="shared" si="968"/>
        <v>0.50000722846264867</v>
      </c>
    </row>
    <row r="308" spans="1:20" x14ac:dyDescent="0.25">
      <c r="A308" s="5">
        <v>44285</v>
      </c>
      <c r="B308">
        <v>5.9198000000000004</v>
      </c>
      <c r="C308">
        <v>6.6</v>
      </c>
      <c r="D308">
        <v>5.8814000000000002</v>
      </c>
      <c r="E308">
        <v>6.5164</v>
      </c>
      <c r="F308">
        <v>5526074.0499999998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0.76732535485666642</v>
      </c>
      <c r="Q308">
        <f t="shared" si="965"/>
        <v>4240296.7313804654</v>
      </c>
      <c r="R308">
        <f t="shared" si="966"/>
        <v>52427078.313805103</v>
      </c>
      <c r="S308">
        <f t="shared" si="967"/>
        <v>524.270783138051</v>
      </c>
      <c r="T308">
        <f t="shared" si="968"/>
        <v>0.52427078313805098</v>
      </c>
    </row>
    <row r="309" spans="1:20" x14ac:dyDescent="0.25">
      <c r="A309" s="5">
        <v>44284</v>
      </c>
      <c r="B309">
        <v>5.5792000000000002</v>
      </c>
      <c r="C309">
        <v>6.25</v>
      </c>
      <c r="D309">
        <v>5.4652000000000003</v>
      </c>
      <c r="E309">
        <v>5.923</v>
      </c>
      <c r="F309">
        <v>4640246.33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0.16666666666666649</v>
      </c>
      <c r="Q309">
        <f t="shared" si="965"/>
        <v>773374.38833333249</v>
      </c>
      <c r="R309">
        <f t="shared" si="966"/>
        <v>48186781.582424641</v>
      </c>
      <c r="S309">
        <f t="shared" si="967"/>
        <v>481.86781582424641</v>
      </c>
      <c r="T309">
        <f t="shared" si="968"/>
        <v>0.48186781582424643</v>
      </c>
    </row>
    <row r="310" spans="1:20" x14ac:dyDescent="0.25">
      <c r="A310" s="5">
        <v>44283</v>
      </c>
      <c r="B310">
        <v>5.8695000000000004</v>
      </c>
      <c r="C310">
        <v>5.9980000000000002</v>
      </c>
      <c r="D310">
        <v>5.2930999999999999</v>
      </c>
      <c r="E310">
        <v>5.5713999999999997</v>
      </c>
      <c r="F310">
        <v>4289018.8099999996</v>
      </c>
      <c r="G310">
        <v>0</v>
      </c>
      <c r="L310" t="s">
        <v>7</v>
      </c>
      <c r="M310" t="s">
        <v>8</v>
      </c>
      <c r="N310" t="s">
        <v>8</v>
      </c>
      <c r="P310">
        <f t="shared" si="964"/>
        <v>-0.21038445169527692</v>
      </c>
      <c r="Q310">
        <f t="shared" si="965"/>
        <v>-902342.870652579</v>
      </c>
      <c r="R310">
        <f t="shared" si="966"/>
        <v>47413407.194091305</v>
      </c>
      <c r="S310">
        <f t="shared" si="967"/>
        <v>474.13407194091303</v>
      </c>
      <c r="T310">
        <f t="shared" si="968"/>
        <v>0.474134071940913</v>
      </c>
    </row>
    <row r="311" spans="1:20" x14ac:dyDescent="0.25">
      <c r="A311" s="5">
        <v>44282</v>
      </c>
      <c r="B311">
        <v>5.1398000000000001</v>
      </c>
      <c r="C311">
        <v>6.32</v>
      </c>
      <c r="D311">
        <v>4.9897</v>
      </c>
      <c r="E311">
        <v>5.8780000000000001</v>
      </c>
      <c r="F311">
        <v>7602051.9000000004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0.33548823573629993</v>
      </c>
      <c r="Q311">
        <f t="shared" si="965"/>
        <v>2550398.9799067872</v>
      </c>
      <c r="R311">
        <f t="shared" si="966"/>
        <v>48315750.064743884</v>
      </c>
      <c r="S311">
        <f t="shared" si="967"/>
        <v>483.15750064743884</v>
      </c>
      <c r="T311">
        <f t="shared" si="968"/>
        <v>0.48315750064743884</v>
      </c>
    </row>
    <row r="312" spans="1:20" x14ac:dyDescent="0.25">
      <c r="A312" s="5">
        <v>44281</v>
      </c>
      <c r="B312">
        <v>4.6132</v>
      </c>
      <c r="C312">
        <v>5.2382999999999997</v>
      </c>
      <c r="D312">
        <v>4.6028000000000002</v>
      </c>
      <c r="E312">
        <v>5.1397000000000004</v>
      </c>
      <c r="F312">
        <v>3014912.56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0.68969315499606787</v>
      </c>
      <c r="Q312">
        <f t="shared" si="965"/>
        <v>2079364.5555436718</v>
      </c>
      <c r="R312">
        <f t="shared" si="966"/>
        <v>45765351.084837094</v>
      </c>
      <c r="S312">
        <f t="shared" si="967"/>
        <v>457.65351084837096</v>
      </c>
      <c r="T312">
        <f t="shared" si="968"/>
        <v>0.45765351084837097</v>
      </c>
    </row>
    <row r="313" spans="1:20" x14ac:dyDescent="0.25">
      <c r="A313" s="5">
        <v>44280</v>
      </c>
      <c r="B313">
        <v>4.6104000000000003</v>
      </c>
      <c r="C313">
        <v>4.7958999999999996</v>
      </c>
      <c r="D313">
        <v>4.3018999999999998</v>
      </c>
      <c r="E313">
        <v>4.6098999999999997</v>
      </c>
      <c r="F313">
        <v>4153321.7</v>
      </c>
      <c r="G313">
        <v>0</v>
      </c>
      <c r="L313" t="s">
        <v>8</v>
      </c>
      <c r="M313" t="s">
        <v>7</v>
      </c>
      <c r="N313" t="s">
        <v>7</v>
      </c>
      <c r="P313">
        <f t="shared" si="964"/>
        <v>0.24696356275303633</v>
      </c>
      <c r="Q313">
        <f t="shared" si="965"/>
        <v>1025719.1242914975</v>
      </c>
      <c r="R313">
        <f t="shared" si="966"/>
        <v>43685986.529293425</v>
      </c>
      <c r="S313">
        <f t="shared" si="967"/>
        <v>436.85986529293427</v>
      </c>
      <c r="T313">
        <f t="shared" si="968"/>
        <v>0.43685986529293425</v>
      </c>
    </row>
    <row r="314" spans="1:20" x14ac:dyDescent="0.25">
      <c r="A314" s="5">
        <v>44279</v>
      </c>
      <c r="B314">
        <v>5.1436999999999999</v>
      </c>
      <c r="C314">
        <v>5.53</v>
      </c>
      <c r="D314">
        <v>4.3005000000000004</v>
      </c>
      <c r="E314">
        <v>4.6138000000000003</v>
      </c>
      <c r="F314">
        <v>5109494.92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-0.49036193574623838</v>
      </c>
      <c r="Q314">
        <f t="shared" si="965"/>
        <v>-2505501.8196567711</v>
      </c>
      <c r="R314">
        <f t="shared" si="966"/>
        <v>42660267.405001931</v>
      </c>
      <c r="S314">
        <f t="shared" si="967"/>
        <v>426.60267405001929</v>
      </c>
      <c r="T314">
        <f t="shared" si="968"/>
        <v>0.42660267405001928</v>
      </c>
    </row>
    <row r="315" spans="1:20" x14ac:dyDescent="0.25">
      <c r="A315" s="5">
        <v>44278</v>
      </c>
      <c r="B315">
        <v>5.2606999999999999</v>
      </c>
      <c r="C315">
        <v>5.5639000000000003</v>
      </c>
      <c r="D315">
        <v>4.5850999999999997</v>
      </c>
      <c r="E315">
        <v>5.15</v>
      </c>
      <c r="F315">
        <v>6270016.3700000001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0.15427053534940804</v>
      </c>
      <c r="Q315">
        <f t="shared" si="965"/>
        <v>967278.78204945207</v>
      </c>
      <c r="R315">
        <f t="shared" si="966"/>
        <v>45165769.224658705</v>
      </c>
      <c r="S315">
        <f t="shared" si="967"/>
        <v>451.65769224658703</v>
      </c>
      <c r="T315">
        <f t="shared" si="968"/>
        <v>0.45165769224658703</v>
      </c>
    </row>
    <row r="316" spans="1:20" x14ac:dyDescent="0.25">
      <c r="A316" s="5">
        <v>44277</v>
      </c>
      <c r="B316">
        <v>5.9347000000000003</v>
      </c>
      <c r="C316">
        <v>6.05</v>
      </c>
      <c r="D316">
        <v>5.2552000000000003</v>
      </c>
      <c r="E316">
        <v>5.2629000000000001</v>
      </c>
      <c r="F316">
        <v>4726370.38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-0.98062405636638195</v>
      </c>
      <c r="Q316">
        <f t="shared" si="965"/>
        <v>-4634792.4939255184</v>
      </c>
      <c r="R316">
        <f t="shared" si="966"/>
        <v>44198490.442609251</v>
      </c>
      <c r="S316">
        <f t="shared" si="967"/>
        <v>441.9849044260925</v>
      </c>
      <c r="T316">
        <f t="shared" si="968"/>
        <v>0.44198490442609251</v>
      </c>
    </row>
    <row r="317" spans="1:20" x14ac:dyDescent="0.25">
      <c r="A317" s="5">
        <v>44276</v>
      </c>
      <c r="B317">
        <v>5.6885000000000003</v>
      </c>
      <c r="C317">
        <v>5.9884000000000004</v>
      </c>
      <c r="D317">
        <v>5.4039999999999999</v>
      </c>
      <c r="E317">
        <v>5.9383999999999997</v>
      </c>
      <c r="F317">
        <v>4184716.7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0.82888432580424143</v>
      </c>
      <c r="Q317">
        <f t="shared" si="965"/>
        <v>3468646.08056125</v>
      </c>
      <c r="R317">
        <f t="shared" si="966"/>
        <v>48833282.93653477</v>
      </c>
      <c r="S317">
        <f t="shared" si="967"/>
        <v>488.33282936534772</v>
      </c>
      <c r="T317">
        <f t="shared" si="968"/>
        <v>0.48833282936534772</v>
      </c>
    </row>
    <row r="318" spans="1:20" x14ac:dyDescent="0.25">
      <c r="A318" s="5">
        <v>44275</v>
      </c>
      <c r="B318">
        <v>6.1635</v>
      </c>
      <c r="C318">
        <v>6.3033000000000001</v>
      </c>
      <c r="D318">
        <v>5.6555</v>
      </c>
      <c r="E318">
        <v>5.6883999999999997</v>
      </c>
      <c r="F318">
        <v>4325679.01</v>
      </c>
      <c r="G318">
        <v>0</v>
      </c>
      <c r="L318" t="s">
        <v>8</v>
      </c>
      <c r="M318" t="s">
        <v>7</v>
      </c>
      <c r="N318" t="s">
        <v>8</v>
      </c>
      <c r="P318">
        <f t="shared" si="964"/>
        <v>-0.89842543995060298</v>
      </c>
      <c r="Q318">
        <f t="shared" si="965"/>
        <v>-3886300.0676443386</v>
      </c>
      <c r="R318">
        <f t="shared" si="966"/>
        <v>45364636.855973519</v>
      </c>
      <c r="S318">
        <f t="shared" si="967"/>
        <v>453.64636855973521</v>
      </c>
      <c r="T318">
        <f t="shared" si="968"/>
        <v>0.45364636855973522</v>
      </c>
    </row>
    <row r="319" spans="1:20" x14ac:dyDescent="0.25">
      <c r="A319" s="5">
        <v>44274</v>
      </c>
      <c r="B319">
        <v>5.8507999999999996</v>
      </c>
      <c r="C319">
        <v>6.3586</v>
      </c>
      <c r="D319">
        <v>5.6825999999999999</v>
      </c>
      <c r="E319">
        <v>6.1712999999999996</v>
      </c>
      <c r="F319">
        <v>5745599.79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0.44585798816567923</v>
      </c>
      <c r="Q319">
        <f t="shared" si="965"/>
        <v>2561721.563174549</v>
      </c>
      <c r="R319">
        <f t="shared" si="966"/>
        <v>49250936.923617855</v>
      </c>
      <c r="S319">
        <f t="shared" si="967"/>
        <v>492.50936923617854</v>
      </c>
      <c r="T319">
        <f t="shared" si="968"/>
        <v>0.49250936923617855</v>
      </c>
    </row>
    <row r="320" spans="1:20" x14ac:dyDescent="0.25">
      <c r="A320" s="5">
        <v>44273</v>
      </c>
      <c r="B320">
        <v>6.2201000000000004</v>
      </c>
      <c r="C320">
        <v>6.4844999999999997</v>
      </c>
      <c r="D320">
        <v>5.8144</v>
      </c>
      <c r="E320">
        <v>5.8501000000000003</v>
      </c>
      <c r="F320">
        <v>6339638.4000000004</v>
      </c>
      <c r="G320">
        <v>0</v>
      </c>
      <c r="L320" t="s">
        <v>7</v>
      </c>
      <c r="M320" t="s">
        <v>8</v>
      </c>
      <c r="N320" t="s">
        <v>8</v>
      </c>
      <c r="P320">
        <f t="shared" si="964"/>
        <v>-0.89344873899417909</v>
      </c>
      <c r="Q320">
        <f t="shared" si="965"/>
        <v>-5664141.9341590758</v>
      </c>
      <c r="R320">
        <f t="shared" si="966"/>
        <v>46689215.360443309</v>
      </c>
      <c r="S320">
        <f t="shared" si="967"/>
        <v>466.89215360443308</v>
      </c>
      <c r="T320">
        <f t="shared" si="968"/>
        <v>0.46689215360443309</v>
      </c>
    </row>
    <row r="321" spans="1:20" x14ac:dyDescent="0.25">
      <c r="A321" s="5">
        <v>44272</v>
      </c>
      <c r="B321">
        <v>6.2384000000000004</v>
      </c>
      <c r="C321">
        <v>7.0317999999999996</v>
      </c>
      <c r="D321">
        <v>6</v>
      </c>
      <c r="E321">
        <v>6.2262000000000004</v>
      </c>
      <c r="F321">
        <v>10941714.300000001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-0.56154293467726213</v>
      </c>
      <c r="Q321">
        <f t="shared" si="965"/>
        <v>-6144242.3584221657</v>
      </c>
      <c r="R321">
        <f t="shared" si="966"/>
        <v>52353357.294602387</v>
      </c>
      <c r="S321">
        <f t="shared" si="967"/>
        <v>523.53357294602381</v>
      </c>
      <c r="T321">
        <f t="shared" si="968"/>
        <v>0.52353357294602376</v>
      </c>
    </row>
    <row r="322" spans="1:20" x14ac:dyDescent="0.25">
      <c r="A322" s="5">
        <v>44271</v>
      </c>
      <c r="B322">
        <v>5.4325000000000001</v>
      </c>
      <c r="C322">
        <v>6.5640000000000001</v>
      </c>
      <c r="D322">
        <v>5.2518000000000002</v>
      </c>
      <c r="E322">
        <v>6.2480000000000002</v>
      </c>
      <c r="F322">
        <v>12024023.16</v>
      </c>
      <c r="G322">
        <v>0</v>
      </c>
      <c r="L322" t="s">
        <v>8</v>
      </c>
      <c r="M322" t="s">
        <v>8</v>
      </c>
      <c r="N322" t="s">
        <v>7</v>
      </c>
      <c r="P322">
        <f t="shared" si="964"/>
        <v>0.51836610272824279</v>
      </c>
      <c r="Q322">
        <f t="shared" si="965"/>
        <v>6232846.0245633302</v>
      </c>
      <c r="R322">
        <f t="shared" si="966"/>
        <v>58497599.653024554</v>
      </c>
      <c r="S322">
        <f t="shared" si="967"/>
        <v>584.97599653024554</v>
      </c>
      <c r="T322">
        <f t="shared" si="968"/>
        <v>0.58497599653024557</v>
      </c>
    </row>
    <row r="323" spans="1:20" x14ac:dyDescent="0.25">
      <c r="A323" s="5">
        <v>44270</v>
      </c>
      <c r="B323">
        <v>5.4821999999999997</v>
      </c>
      <c r="C323">
        <v>6.1730999999999998</v>
      </c>
      <c r="D323">
        <v>5.0250000000000004</v>
      </c>
      <c r="E323">
        <v>5.4314</v>
      </c>
      <c r="F323">
        <v>8343506.1100000003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-0.29204773103388232</v>
      </c>
      <c r="Q323">
        <f t="shared" si="965"/>
        <v>-2436702.0282928338</v>
      </c>
      <c r="R323">
        <f t="shared" si="966"/>
        <v>52264753.628461227</v>
      </c>
      <c r="S323">
        <f t="shared" si="967"/>
        <v>522.64753628461222</v>
      </c>
      <c r="T323">
        <f t="shared" si="968"/>
        <v>0.52264753628461225</v>
      </c>
    </row>
    <row r="324" spans="1:20" x14ac:dyDescent="0.25">
      <c r="A324" s="5">
        <v>44269</v>
      </c>
      <c r="B324">
        <v>6.2960000000000003</v>
      </c>
      <c r="C324">
        <v>6.3299000000000003</v>
      </c>
      <c r="D324">
        <v>5.4431000000000003</v>
      </c>
      <c r="E324">
        <v>5.4680999999999997</v>
      </c>
      <c r="F324">
        <v>7057306.6200000001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-0.94361750112765119</v>
      </c>
      <c r="Q324">
        <f t="shared" si="965"/>
        <v>-6659398.03745603</v>
      </c>
      <c r="R324">
        <f t="shared" si="966"/>
        <v>54701455.656754062</v>
      </c>
      <c r="S324">
        <f t="shared" si="967"/>
        <v>547.01455656754058</v>
      </c>
      <c r="T324">
        <f t="shared" si="968"/>
        <v>0.54701455656754061</v>
      </c>
    </row>
    <row r="325" spans="1:20" x14ac:dyDescent="0.25">
      <c r="A325" s="5">
        <v>44268</v>
      </c>
      <c r="B325">
        <v>5.82</v>
      </c>
      <c r="C325">
        <v>6.63</v>
      </c>
      <c r="D325">
        <v>5.5273000000000003</v>
      </c>
      <c r="E325">
        <v>6.2789000000000001</v>
      </c>
      <c r="F325">
        <v>12942294.83</v>
      </c>
      <c r="G325">
        <v>0</v>
      </c>
      <c r="L325" t="s">
        <v>7</v>
      </c>
      <c r="M325" t="s">
        <v>7</v>
      </c>
      <c r="N325" t="s">
        <v>8</v>
      </c>
      <c r="P325">
        <f t="shared" si="964"/>
        <v>0.36319941960642083</v>
      </c>
      <c r="Q325">
        <f t="shared" si="965"/>
        <v>4700633.9706311813</v>
      </c>
      <c r="R325">
        <f t="shared" si="966"/>
        <v>61360853.69421009</v>
      </c>
      <c r="S325">
        <f t="shared" si="967"/>
        <v>613.60853694210084</v>
      </c>
      <c r="T325">
        <f t="shared" si="968"/>
        <v>0.61360853694210082</v>
      </c>
    </row>
    <row r="326" spans="1:20" x14ac:dyDescent="0.25">
      <c r="A326" s="5">
        <v>44267</v>
      </c>
      <c r="B326">
        <v>5.375</v>
      </c>
      <c r="C326">
        <v>7.4</v>
      </c>
      <c r="D326">
        <v>5.0251000000000001</v>
      </c>
      <c r="E326">
        <v>5.8197999999999999</v>
      </c>
      <c r="F326">
        <v>29022624.489999998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-0.33075076845340884</v>
      </c>
      <c r="Q326">
        <f t="shared" ref="Q326:Q389" si="970">F326*P326</f>
        <v>-9599255.3526022229</v>
      </c>
      <c r="R326">
        <f t="shared" ref="R326:R389" si="971">R327+Q326</f>
        <v>56660219.723578908</v>
      </c>
      <c r="S326">
        <f t="shared" ref="S326:S389" si="972">R326/100000</f>
        <v>566.60219723578905</v>
      </c>
      <c r="T326">
        <f t="shared" ref="T326:T389" si="973">S326/1000</f>
        <v>0.56660219723578908</v>
      </c>
    </row>
    <row r="327" spans="1:20" x14ac:dyDescent="0.25">
      <c r="A327" s="5">
        <v>44266</v>
      </c>
      <c r="B327">
        <v>4.0357000000000003</v>
      </c>
      <c r="C327">
        <v>5.4166999999999996</v>
      </c>
      <c r="D327">
        <v>3.7545000000000002</v>
      </c>
      <c r="E327">
        <v>5.375</v>
      </c>
      <c r="F327">
        <v>15999840.449999999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0.94982553242690448</v>
      </c>
      <c r="Q327">
        <f t="shared" si="970"/>
        <v>15197056.974166771</v>
      </c>
      <c r="R327">
        <f t="shared" si="971"/>
        <v>66259475.076181129</v>
      </c>
      <c r="S327">
        <f t="shared" si="972"/>
        <v>662.59475076181127</v>
      </c>
      <c r="T327">
        <f t="shared" si="973"/>
        <v>0.66259475076181129</v>
      </c>
    </row>
    <row r="328" spans="1:20" x14ac:dyDescent="0.25">
      <c r="A328" s="5">
        <v>44265</v>
      </c>
      <c r="B328">
        <v>4.3483999999999998</v>
      </c>
      <c r="C328">
        <v>4.383</v>
      </c>
      <c r="D328">
        <v>3.9064000000000001</v>
      </c>
      <c r="E328">
        <v>4.0407999999999999</v>
      </c>
      <c r="F328">
        <v>3966722.65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-0.43600503566932491</v>
      </c>
      <c r="Q328">
        <f t="shared" si="970"/>
        <v>-1729511.050503569</v>
      </c>
      <c r="R328">
        <f t="shared" si="971"/>
        <v>51062418.102014355</v>
      </c>
      <c r="S328">
        <f t="shared" si="972"/>
        <v>510.62418102014357</v>
      </c>
      <c r="T328">
        <f t="shared" si="973"/>
        <v>0.51062418102014362</v>
      </c>
    </row>
    <row r="329" spans="1:20" x14ac:dyDescent="0.25">
      <c r="A329" s="5">
        <v>44264</v>
      </c>
      <c r="B329">
        <v>4.3113000000000001</v>
      </c>
      <c r="C329">
        <v>4.4737</v>
      </c>
      <c r="D329">
        <v>4.1607000000000003</v>
      </c>
      <c r="E329">
        <v>4.3483999999999998</v>
      </c>
      <c r="F329">
        <v>3572994.97</v>
      </c>
      <c r="G329">
        <v>0</v>
      </c>
      <c r="L329" t="s">
        <v>7</v>
      </c>
      <c r="M329" t="s">
        <v>8</v>
      </c>
      <c r="N329" t="s">
        <v>8</v>
      </c>
      <c r="P329">
        <f t="shared" si="969"/>
        <v>0.19936102236421532</v>
      </c>
      <c r="Q329">
        <f t="shared" si="970"/>
        <v>712315.93012139888</v>
      </c>
      <c r="R329">
        <f t="shared" si="971"/>
        <v>52791929.152517922</v>
      </c>
      <c r="S329">
        <f t="shared" si="972"/>
        <v>527.91929152517923</v>
      </c>
      <c r="T329">
        <f t="shared" si="973"/>
        <v>0.52791929152517925</v>
      </c>
    </row>
    <row r="330" spans="1:20" x14ac:dyDescent="0.25">
      <c r="A330" s="5">
        <v>44263</v>
      </c>
      <c r="B330">
        <v>4.2244999999999999</v>
      </c>
      <c r="C330">
        <v>4.5</v>
      </c>
      <c r="D330">
        <v>3.9331999999999998</v>
      </c>
      <c r="E330">
        <v>4.3106</v>
      </c>
      <c r="F330">
        <v>3863546.61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0.3316866619618915</v>
      </c>
      <c r="Q330">
        <f t="shared" si="970"/>
        <v>1281486.8784050818</v>
      </c>
      <c r="R330">
        <f t="shared" si="971"/>
        <v>52079613.222396523</v>
      </c>
      <c r="S330">
        <f t="shared" si="972"/>
        <v>520.79613222396517</v>
      </c>
      <c r="T330">
        <f t="shared" si="973"/>
        <v>0.52079613222396515</v>
      </c>
    </row>
    <row r="331" spans="1:20" x14ac:dyDescent="0.25">
      <c r="A331" s="5">
        <v>44262</v>
      </c>
      <c r="B331">
        <v>3.8450000000000002</v>
      </c>
      <c r="C331">
        <v>4.2499000000000002</v>
      </c>
      <c r="D331">
        <v>3.794</v>
      </c>
      <c r="E331">
        <v>4.2176999999999998</v>
      </c>
      <c r="F331">
        <v>3586608.66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0.85874095196314792</v>
      </c>
      <c r="Q331">
        <f t="shared" si="970"/>
        <v>3079967.7350076707</v>
      </c>
      <c r="R331">
        <f t="shared" si="971"/>
        <v>50798126.343991444</v>
      </c>
      <c r="S331">
        <f t="shared" si="972"/>
        <v>507.98126343991441</v>
      </c>
      <c r="T331">
        <f t="shared" si="973"/>
        <v>0.50798126343991445</v>
      </c>
    </row>
    <row r="332" spans="1:20" x14ac:dyDescent="0.25">
      <c r="A332" s="5">
        <v>44261</v>
      </c>
      <c r="B332">
        <v>3.8549000000000002</v>
      </c>
      <c r="C332">
        <v>3.9235000000000002</v>
      </c>
      <c r="D332">
        <v>3.6252</v>
      </c>
      <c r="E332">
        <v>3.8447</v>
      </c>
      <c r="F332">
        <v>1849934.19</v>
      </c>
      <c r="G332">
        <v>0</v>
      </c>
      <c r="L332" t="s">
        <v>7</v>
      </c>
      <c r="M332" t="s">
        <v>7</v>
      </c>
      <c r="N332" t="s">
        <v>8</v>
      </c>
      <c r="P332">
        <f t="shared" si="969"/>
        <v>0.47167281260475935</v>
      </c>
      <c r="Q332">
        <f t="shared" si="970"/>
        <v>872563.6625310072</v>
      </c>
      <c r="R332">
        <f t="shared" si="971"/>
        <v>47718158.60898377</v>
      </c>
      <c r="S332">
        <f t="shared" si="972"/>
        <v>477.18158608983771</v>
      </c>
      <c r="T332">
        <f t="shared" si="973"/>
        <v>0.47718158608983768</v>
      </c>
    </row>
    <row r="333" spans="1:20" x14ac:dyDescent="0.25">
      <c r="A333" s="5">
        <v>44260</v>
      </c>
      <c r="B333">
        <v>4.0084999999999997</v>
      </c>
      <c r="C333">
        <v>4.0726000000000004</v>
      </c>
      <c r="D333">
        <v>3.7332999999999998</v>
      </c>
      <c r="E333">
        <v>3.8544</v>
      </c>
      <c r="F333">
        <v>3114980.62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-0.28617742410845864</v>
      </c>
      <c r="Q333">
        <f t="shared" si="970"/>
        <v>-891437.12997936946</v>
      </c>
      <c r="R333">
        <f t="shared" si="971"/>
        <v>46845594.946452759</v>
      </c>
      <c r="S333">
        <f t="shared" si="972"/>
        <v>468.45594946452758</v>
      </c>
      <c r="T333">
        <f t="shared" si="973"/>
        <v>0.46845594946452757</v>
      </c>
    </row>
    <row r="334" spans="1:20" x14ac:dyDescent="0.25">
      <c r="A334" s="5">
        <v>44259</v>
      </c>
      <c r="B334">
        <v>4.6299000000000001</v>
      </c>
      <c r="C334">
        <v>4.8071999999999999</v>
      </c>
      <c r="D334">
        <v>3.8534999999999999</v>
      </c>
      <c r="E334">
        <v>4.0061</v>
      </c>
      <c r="F334">
        <v>5797867.0499999998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-0.67998322323581828</v>
      </c>
      <c r="Q334">
        <f t="shared" si="970"/>
        <v>-3942452.3245517449</v>
      </c>
      <c r="R334">
        <f t="shared" si="971"/>
        <v>47737032.076432131</v>
      </c>
      <c r="S334">
        <f t="shared" si="972"/>
        <v>477.37032076432132</v>
      </c>
      <c r="T334">
        <f t="shared" si="973"/>
        <v>0.47737032076432134</v>
      </c>
    </row>
    <row r="335" spans="1:20" x14ac:dyDescent="0.25">
      <c r="A335" s="5">
        <v>44258</v>
      </c>
      <c r="B335">
        <v>4.0307000000000004</v>
      </c>
      <c r="C335">
        <v>4.9116999999999997</v>
      </c>
      <c r="D335">
        <v>3.9668000000000001</v>
      </c>
      <c r="E335">
        <v>4.6357999999999997</v>
      </c>
      <c r="F335">
        <v>8661265.1799999997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0.41602285956185808</v>
      </c>
      <c r="Q335">
        <f t="shared" si="970"/>
        <v>3603284.3076071516</v>
      </c>
      <c r="R335">
        <f t="shared" si="971"/>
        <v>51679484.400983877</v>
      </c>
      <c r="S335">
        <f t="shared" si="972"/>
        <v>516.79484400983881</v>
      </c>
      <c r="T335">
        <f t="shared" si="973"/>
        <v>0.51679484400983877</v>
      </c>
    </row>
    <row r="336" spans="1:20" x14ac:dyDescent="0.25">
      <c r="A336" s="5">
        <v>44257</v>
      </c>
      <c r="B336">
        <v>3.7170000000000001</v>
      </c>
      <c r="C336">
        <v>4.3079999999999998</v>
      </c>
      <c r="D336">
        <v>3.5935000000000001</v>
      </c>
      <c r="E336">
        <v>4.0304000000000002</v>
      </c>
      <c r="F336">
        <v>7918271.25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0.22295311406578097</v>
      </c>
      <c r="Q336">
        <f t="shared" si="970"/>
        <v>1765403.2332050442</v>
      </c>
      <c r="R336">
        <f t="shared" si="971"/>
        <v>48076200.093376726</v>
      </c>
      <c r="S336">
        <f t="shared" si="972"/>
        <v>480.76200093376724</v>
      </c>
      <c r="T336">
        <f t="shared" si="973"/>
        <v>0.48076200093376725</v>
      </c>
    </row>
    <row r="337" spans="1:20" x14ac:dyDescent="0.25">
      <c r="A337" s="5">
        <v>44256</v>
      </c>
      <c r="B337">
        <v>3.3496999999999999</v>
      </c>
      <c r="C337">
        <v>3.726</v>
      </c>
      <c r="D337">
        <v>3.3014000000000001</v>
      </c>
      <c r="E337">
        <v>3.7187999999999999</v>
      </c>
      <c r="F337">
        <v>2832220.71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0.96608572774375834</v>
      </c>
      <c r="Q337">
        <f t="shared" si="970"/>
        <v>2736168.0057512941</v>
      </c>
      <c r="R337">
        <f t="shared" si="971"/>
        <v>46310796.860171683</v>
      </c>
      <c r="S337">
        <f t="shared" si="972"/>
        <v>463.10796860171683</v>
      </c>
      <c r="T337">
        <f t="shared" si="973"/>
        <v>0.46310796860171682</v>
      </c>
    </row>
    <row r="338" spans="1:20" x14ac:dyDescent="0.25">
      <c r="A338" s="5">
        <v>44255</v>
      </c>
      <c r="B338">
        <v>3.6705000000000001</v>
      </c>
      <c r="C338">
        <v>3.6720000000000002</v>
      </c>
      <c r="D338">
        <v>3.0049999999999999</v>
      </c>
      <c r="E338">
        <v>3.3485999999999998</v>
      </c>
      <c r="F338">
        <v>3790215.56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3.028485757121371E-2</v>
      </c>
      <c r="Q338">
        <f t="shared" si="970"/>
        <v>114786.13839879801</v>
      </c>
      <c r="R338">
        <f t="shared" si="971"/>
        <v>43574628.854420386</v>
      </c>
      <c r="S338">
        <f t="shared" si="972"/>
        <v>435.74628854420388</v>
      </c>
      <c r="T338">
        <f t="shared" si="973"/>
        <v>0.43574628854420389</v>
      </c>
    </row>
    <row r="339" spans="1:20" x14ac:dyDescent="0.25">
      <c r="A339" s="5">
        <v>44254</v>
      </c>
      <c r="B339">
        <v>3.5627</v>
      </c>
      <c r="C339">
        <v>3.7988</v>
      </c>
      <c r="D339">
        <v>3.5047999999999999</v>
      </c>
      <c r="E339">
        <v>3.6659999999999999</v>
      </c>
      <c r="F339">
        <v>4134285.27</v>
      </c>
      <c r="G339">
        <v>0</v>
      </c>
      <c r="L339" t="s">
        <v>7</v>
      </c>
      <c r="M339" t="s">
        <v>7</v>
      </c>
      <c r="N339" t="s">
        <v>8</v>
      </c>
      <c r="P339">
        <f t="shared" si="969"/>
        <v>9.6598639455782231E-2</v>
      </c>
      <c r="Q339">
        <f t="shared" si="970"/>
        <v>399366.33220408129</v>
      </c>
      <c r="R339">
        <f t="shared" si="971"/>
        <v>43459842.71602159</v>
      </c>
      <c r="S339">
        <f t="shared" si="972"/>
        <v>434.59842716021592</v>
      </c>
      <c r="T339">
        <f t="shared" si="973"/>
        <v>0.43459842716021591</v>
      </c>
    </row>
    <row r="340" spans="1:20" x14ac:dyDescent="0.25">
      <c r="A340" s="5">
        <v>44253</v>
      </c>
      <c r="B340">
        <v>3.5137</v>
      </c>
      <c r="C340">
        <v>4.2912999999999997</v>
      </c>
      <c r="D340">
        <v>3.1728000000000001</v>
      </c>
      <c r="E340">
        <v>3.569</v>
      </c>
      <c r="F340">
        <v>8986505.4800000004</v>
      </c>
      <c r="G340">
        <v>0</v>
      </c>
      <c r="L340" t="s">
        <v>8</v>
      </c>
      <c r="M340" t="s">
        <v>8</v>
      </c>
      <c r="N340" t="s">
        <v>8</v>
      </c>
      <c r="P340">
        <f t="shared" si="969"/>
        <v>-0.29155118462226193</v>
      </c>
      <c r="Q340">
        <f t="shared" si="970"/>
        <v>-2620026.3183084489</v>
      </c>
      <c r="R340">
        <f t="shared" si="971"/>
        <v>43060476.383817509</v>
      </c>
      <c r="S340">
        <f t="shared" si="972"/>
        <v>430.60476383817507</v>
      </c>
      <c r="T340">
        <f t="shared" si="973"/>
        <v>0.43060476383817509</v>
      </c>
    </row>
    <row r="341" spans="1:20" x14ac:dyDescent="0.25">
      <c r="A341" s="5">
        <v>44252</v>
      </c>
      <c r="B341">
        <v>3.395</v>
      </c>
      <c r="C341">
        <v>3.9708000000000001</v>
      </c>
      <c r="D341">
        <v>3.3746</v>
      </c>
      <c r="E341">
        <v>3.5133000000000001</v>
      </c>
      <c r="F341">
        <v>6550475.0999999996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-0.53471989265347186</v>
      </c>
      <c r="Q341">
        <f t="shared" si="970"/>
        <v>-3502669.3423012402</v>
      </c>
      <c r="R341">
        <f t="shared" si="971"/>
        <v>45680502.702125959</v>
      </c>
      <c r="S341">
        <f t="shared" si="972"/>
        <v>456.8050270212596</v>
      </c>
      <c r="T341">
        <f t="shared" si="973"/>
        <v>0.45680502702125958</v>
      </c>
    </row>
    <row r="342" spans="1:20" x14ac:dyDescent="0.25">
      <c r="A342" s="5">
        <v>44251</v>
      </c>
      <c r="B342">
        <v>3.2439</v>
      </c>
      <c r="C342">
        <v>3.8873000000000002</v>
      </c>
      <c r="D342">
        <v>3.05</v>
      </c>
      <c r="E342">
        <v>3.4081000000000001</v>
      </c>
      <c r="F342">
        <v>8001067.7599999998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-0.14463155380389311</v>
      </c>
      <c r="Q342">
        <f t="shared" si="970"/>
        <v>-1157206.8622190345</v>
      </c>
      <c r="R342">
        <f t="shared" si="971"/>
        <v>49183172.044427201</v>
      </c>
      <c r="S342">
        <f t="shared" si="972"/>
        <v>491.83172044427204</v>
      </c>
      <c r="T342">
        <f t="shared" si="973"/>
        <v>0.49183172044427204</v>
      </c>
    </row>
    <row r="343" spans="1:20" x14ac:dyDescent="0.25">
      <c r="A343" s="5">
        <v>44250</v>
      </c>
      <c r="B343">
        <v>4.2712000000000003</v>
      </c>
      <c r="C343">
        <v>4.3276000000000003</v>
      </c>
      <c r="D343">
        <v>2.6635</v>
      </c>
      <c r="E343">
        <v>3.2440000000000002</v>
      </c>
      <c r="F343">
        <v>9664236.3599999994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-0.30232558139534871</v>
      </c>
      <c r="Q343">
        <f t="shared" si="970"/>
        <v>-2921745.8762790682</v>
      </c>
      <c r="R343">
        <f t="shared" si="971"/>
        <v>50340378.906646237</v>
      </c>
      <c r="S343">
        <f t="shared" si="972"/>
        <v>503.40378906646237</v>
      </c>
      <c r="T343">
        <f t="shared" si="973"/>
        <v>0.50340378906646233</v>
      </c>
    </row>
    <row r="344" spans="1:20" x14ac:dyDescent="0.25">
      <c r="A344" s="5">
        <v>44249</v>
      </c>
      <c r="B344">
        <v>4.7584999999999997</v>
      </c>
      <c r="C344">
        <v>4.7850000000000001</v>
      </c>
      <c r="D344">
        <v>3.4001999999999999</v>
      </c>
      <c r="E344">
        <v>4.2729999999999997</v>
      </c>
      <c r="F344">
        <v>8331776.6100000003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0.2605430387059498</v>
      </c>
      <c r="Q344">
        <f t="shared" si="970"/>
        <v>2170786.3957885574</v>
      </c>
      <c r="R344">
        <f t="shared" si="971"/>
        <v>53262124.782925308</v>
      </c>
      <c r="S344">
        <f t="shared" si="972"/>
        <v>532.62124782925309</v>
      </c>
      <c r="T344">
        <f t="shared" si="973"/>
        <v>0.53262124782925313</v>
      </c>
    </row>
    <row r="345" spans="1:20" x14ac:dyDescent="0.25">
      <c r="A345" s="5">
        <v>44248</v>
      </c>
      <c r="B345">
        <v>4.6130000000000004</v>
      </c>
      <c r="C345">
        <v>4.8728999999999996</v>
      </c>
      <c r="D345">
        <v>4.4936999999999996</v>
      </c>
      <c r="E345">
        <v>4.7537000000000003</v>
      </c>
      <c r="F345">
        <v>4268960.26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0.37130801687764076</v>
      </c>
      <c r="Q345">
        <f t="shared" si="970"/>
        <v>1585099.1682700575</v>
      </c>
      <c r="R345">
        <f t="shared" si="971"/>
        <v>51091338.38713675</v>
      </c>
      <c r="S345">
        <f t="shared" si="972"/>
        <v>510.9133838713675</v>
      </c>
      <c r="T345">
        <f t="shared" si="973"/>
        <v>0.51091338387136753</v>
      </c>
    </row>
    <row r="346" spans="1:20" x14ac:dyDescent="0.25">
      <c r="A346" s="5">
        <v>44247</v>
      </c>
      <c r="B346">
        <v>4.9649999999999999</v>
      </c>
      <c r="C346">
        <v>5.2767999999999997</v>
      </c>
      <c r="D346">
        <v>4.2882999999999996</v>
      </c>
      <c r="E346">
        <v>4.6130000000000004</v>
      </c>
      <c r="F346">
        <v>7734925.3600000003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-0.34304501770358964</v>
      </c>
      <c r="Q346">
        <f t="shared" si="970"/>
        <v>-2653427.6070571444</v>
      </c>
      <c r="R346">
        <f t="shared" si="971"/>
        <v>49506239.218866691</v>
      </c>
      <c r="S346">
        <f t="shared" si="972"/>
        <v>495.06239218866693</v>
      </c>
      <c r="T346">
        <f t="shared" si="973"/>
        <v>0.49506239218866693</v>
      </c>
    </row>
    <row r="347" spans="1:20" x14ac:dyDescent="0.25">
      <c r="A347" s="5">
        <v>44246</v>
      </c>
      <c r="B347">
        <v>5.032</v>
      </c>
      <c r="C347">
        <v>5.3697999999999997</v>
      </c>
      <c r="D347">
        <v>4.7511999999999999</v>
      </c>
      <c r="E347">
        <v>4.96</v>
      </c>
      <c r="F347">
        <v>6463680.5700000003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-0.32492725509214304</v>
      </c>
      <c r="Q347">
        <f t="shared" si="970"/>
        <v>-2100225.9854025184</v>
      </c>
      <c r="R347">
        <f t="shared" si="971"/>
        <v>52159666.825923838</v>
      </c>
      <c r="S347">
        <f t="shared" si="972"/>
        <v>521.59666825923841</v>
      </c>
      <c r="T347">
        <f t="shared" si="973"/>
        <v>0.52159666825923845</v>
      </c>
    </row>
    <row r="348" spans="1:20" x14ac:dyDescent="0.25">
      <c r="A348" s="5">
        <v>44245</v>
      </c>
      <c r="B348">
        <v>4.6966000000000001</v>
      </c>
      <c r="C348">
        <v>5.15</v>
      </c>
      <c r="D348">
        <v>4.58</v>
      </c>
      <c r="E348">
        <v>5.0290999999999997</v>
      </c>
      <c r="F348">
        <v>5462499.0099999998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0.57578947368420841</v>
      </c>
      <c r="Q348">
        <f t="shared" si="970"/>
        <v>3145249.4299684092</v>
      </c>
      <c r="R348">
        <f t="shared" si="971"/>
        <v>54259892.811326355</v>
      </c>
      <c r="S348">
        <f t="shared" si="972"/>
        <v>542.59892811326358</v>
      </c>
      <c r="T348">
        <f t="shared" si="973"/>
        <v>0.5425989281132636</v>
      </c>
    </row>
    <row r="349" spans="1:20" x14ac:dyDescent="0.25">
      <c r="A349" s="5">
        <v>44244</v>
      </c>
      <c r="B349">
        <v>4.5903</v>
      </c>
      <c r="C349">
        <v>4.83</v>
      </c>
      <c r="D349">
        <v>4.1939000000000002</v>
      </c>
      <c r="E349">
        <v>4.6959</v>
      </c>
      <c r="F349">
        <v>6212945.2599999998</v>
      </c>
      <c r="G349">
        <v>0</v>
      </c>
      <c r="L349" t="s">
        <v>7</v>
      </c>
      <c r="M349" t="s">
        <v>7</v>
      </c>
      <c r="N349" t="s">
        <v>8</v>
      </c>
      <c r="P349">
        <f t="shared" si="969"/>
        <v>0.57836818110359967</v>
      </c>
      <c r="Q349">
        <f t="shared" si="970"/>
        <v>3593369.8493224308</v>
      </c>
      <c r="R349">
        <f t="shared" si="971"/>
        <v>51114643.381357946</v>
      </c>
      <c r="S349">
        <f t="shared" si="972"/>
        <v>511.14643381357945</v>
      </c>
      <c r="T349">
        <f t="shared" si="973"/>
        <v>0.51114643381357949</v>
      </c>
    </row>
    <row r="350" spans="1:20" x14ac:dyDescent="0.25">
      <c r="A350" s="5">
        <v>44243</v>
      </c>
      <c r="B350">
        <v>4.5536000000000003</v>
      </c>
      <c r="C350">
        <v>5.1794000000000002</v>
      </c>
      <c r="D350">
        <v>4.2885999999999997</v>
      </c>
      <c r="E350">
        <v>4.5980999999999996</v>
      </c>
      <c r="F350">
        <v>8710334.75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-0.30511899416255117</v>
      </c>
      <c r="Q350">
        <f t="shared" si="970"/>
        <v>-2657688.5777391167</v>
      </c>
      <c r="R350">
        <f t="shared" si="971"/>
        <v>47521273.532035515</v>
      </c>
      <c r="S350">
        <f t="shared" si="972"/>
        <v>475.21273532035514</v>
      </c>
      <c r="T350">
        <f t="shared" si="973"/>
        <v>0.47521273532035513</v>
      </c>
    </row>
    <row r="351" spans="1:20" x14ac:dyDescent="0.25">
      <c r="A351" s="5">
        <v>44242</v>
      </c>
      <c r="B351">
        <v>4.6641000000000004</v>
      </c>
      <c r="C351">
        <v>5.2081</v>
      </c>
      <c r="D351">
        <v>3.62</v>
      </c>
      <c r="E351">
        <v>4.5560999999999998</v>
      </c>
      <c r="F351">
        <v>11529933.42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0.17889301681254305</v>
      </c>
      <c r="Q351">
        <f t="shared" si="970"/>
        <v>2062624.5731515619</v>
      </c>
      <c r="R351">
        <f t="shared" si="971"/>
        <v>50178962.109774634</v>
      </c>
      <c r="S351">
        <f t="shared" si="972"/>
        <v>501.78962109774636</v>
      </c>
      <c r="T351">
        <f t="shared" si="973"/>
        <v>0.50178962109774639</v>
      </c>
    </row>
    <row r="352" spans="1:20" x14ac:dyDescent="0.25">
      <c r="A352" s="5">
        <v>44241</v>
      </c>
      <c r="B352">
        <v>5.2672999999999996</v>
      </c>
      <c r="C352">
        <v>5.4485000000000001</v>
      </c>
      <c r="D352">
        <v>4.5999999999999996</v>
      </c>
      <c r="E352">
        <v>4.6657999999999999</v>
      </c>
      <c r="F352">
        <v>7489589.3300000001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-0.84490276959339949</v>
      </c>
      <c r="Q352">
        <f t="shared" si="970"/>
        <v>-6327974.7680341732</v>
      </c>
      <c r="R352">
        <f t="shared" si="971"/>
        <v>48116337.536623076</v>
      </c>
      <c r="S352">
        <f t="shared" si="972"/>
        <v>481.16337536623075</v>
      </c>
      <c r="T352">
        <f t="shared" si="973"/>
        <v>0.48116337536623077</v>
      </c>
    </row>
    <row r="353" spans="1:20" x14ac:dyDescent="0.25">
      <c r="A353" s="5">
        <v>44240</v>
      </c>
      <c r="B353">
        <v>5.2023999999999999</v>
      </c>
      <c r="C353">
        <v>5.5861999999999998</v>
      </c>
      <c r="D353">
        <v>4.9358000000000004</v>
      </c>
      <c r="E353">
        <v>5.2728999999999999</v>
      </c>
      <c r="F353">
        <v>7812889.7400000002</v>
      </c>
      <c r="G353">
        <v>0</v>
      </c>
      <c r="L353" t="s">
        <v>7</v>
      </c>
      <c r="M353" t="s">
        <v>8</v>
      </c>
      <c r="N353" t="s">
        <v>8</v>
      </c>
      <c r="P353">
        <f t="shared" si="969"/>
        <v>3.6592865928658701E-2</v>
      </c>
      <c r="Q353">
        <f t="shared" si="970"/>
        <v>285896.02677121316</v>
      </c>
      <c r="R353">
        <f t="shared" si="971"/>
        <v>54444312.304657251</v>
      </c>
      <c r="S353">
        <f t="shared" si="972"/>
        <v>544.44312304657251</v>
      </c>
      <c r="T353">
        <f t="shared" si="973"/>
        <v>0.5444431230465725</v>
      </c>
    </row>
    <row r="354" spans="1:20" x14ac:dyDescent="0.25">
      <c r="A354" s="5">
        <v>44239</v>
      </c>
      <c r="B354">
        <v>4.8013000000000003</v>
      </c>
      <c r="C354">
        <v>5.52</v>
      </c>
      <c r="D354">
        <v>4.6417999999999999</v>
      </c>
      <c r="E354">
        <v>5.2</v>
      </c>
      <c r="F354">
        <v>8996955.5899999999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0.27123662035982798</v>
      </c>
      <c r="Q354">
        <f t="shared" si="970"/>
        <v>2440303.8277590619</v>
      </c>
      <c r="R354">
        <f t="shared" si="971"/>
        <v>54158416.277886041</v>
      </c>
      <c r="S354">
        <f t="shared" si="972"/>
        <v>541.58416277886045</v>
      </c>
      <c r="T354">
        <f t="shared" si="973"/>
        <v>0.54158416277886046</v>
      </c>
    </row>
    <row r="355" spans="1:20" x14ac:dyDescent="0.25">
      <c r="A355" s="5">
        <v>44238</v>
      </c>
      <c r="B355">
        <v>4.0038999999999998</v>
      </c>
      <c r="C355">
        <v>4.923</v>
      </c>
      <c r="D355">
        <v>3.9952000000000001</v>
      </c>
      <c r="E355">
        <v>4.8013000000000003</v>
      </c>
      <c r="F355">
        <v>9033263.5099999998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0.73765897822806703</v>
      </c>
      <c r="Q355">
        <f t="shared" si="970"/>
        <v>6663467.9308514819</v>
      </c>
      <c r="R355">
        <f t="shared" si="971"/>
        <v>51718112.450126976</v>
      </c>
      <c r="S355">
        <f t="shared" si="972"/>
        <v>517.18112450126978</v>
      </c>
      <c r="T355">
        <f t="shared" si="973"/>
        <v>0.51718112450126974</v>
      </c>
    </row>
    <row r="356" spans="1:20" x14ac:dyDescent="0.25">
      <c r="A356" s="5">
        <v>44237</v>
      </c>
      <c r="B356">
        <v>4.0974000000000004</v>
      </c>
      <c r="C356">
        <v>4.2877999999999998</v>
      </c>
      <c r="D356">
        <v>3.5973000000000002</v>
      </c>
      <c r="E356">
        <v>4.0086000000000004</v>
      </c>
      <c r="F356">
        <v>7621169.6100000003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0.19131064446053705</v>
      </c>
      <c r="Q356">
        <f t="shared" si="970"/>
        <v>1458010.8696321598</v>
      </c>
      <c r="R356">
        <f t="shared" si="971"/>
        <v>45054644.519275494</v>
      </c>
      <c r="S356">
        <f t="shared" si="972"/>
        <v>450.54644519275496</v>
      </c>
      <c r="T356">
        <f t="shared" si="973"/>
        <v>0.45054644519275494</v>
      </c>
    </row>
    <row r="357" spans="1:20" x14ac:dyDescent="0.25">
      <c r="A357" s="5">
        <v>44236</v>
      </c>
      <c r="B357">
        <v>3.456</v>
      </c>
      <c r="C357">
        <v>4.1548999999999996</v>
      </c>
      <c r="D357">
        <v>3.3239999999999998</v>
      </c>
      <c r="E357">
        <v>4.0979000000000001</v>
      </c>
      <c r="F357">
        <v>8196696.04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0.86279937417258512</v>
      </c>
      <c r="Q357">
        <f t="shared" si="970"/>
        <v>7072104.213594907</v>
      </c>
      <c r="R357">
        <f t="shared" si="971"/>
        <v>43596633.649643332</v>
      </c>
      <c r="S357">
        <f t="shared" si="972"/>
        <v>435.96633649643331</v>
      </c>
      <c r="T357">
        <f t="shared" si="973"/>
        <v>0.43596633649643329</v>
      </c>
    </row>
    <row r="358" spans="1:20" x14ac:dyDescent="0.25">
      <c r="A358" s="5">
        <v>44235</v>
      </c>
      <c r="B358">
        <v>3.2915999999999999</v>
      </c>
      <c r="C358">
        <v>3.73</v>
      </c>
      <c r="D358">
        <v>3.26</v>
      </c>
      <c r="E358">
        <v>3.4571000000000001</v>
      </c>
      <c r="F358">
        <v>6977729.0800000001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-0.16127659574468003</v>
      </c>
      <c r="Q358">
        <f t="shared" si="970"/>
        <v>-1125344.3920510581</v>
      </c>
      <c r="R358">
        <f t="shared" si="971"/>
        <v>36524529.436048426</v>
      </c>
      <c r="S358">
        <f t="shared" si="972"/>
        <v>365.24529436048425</v>
      </c>
      <c r="T358">
        <f t="shared" si="973"/>
        <v>0.36524529436048425</v>
      </c>
    </row>
    <row r="359" spans="1:20" x14ac:dyDescent="0.25">
      <c r="A359" s="5">
        <v>44234</v>
      </c>
      <c r="B359">
        <v>3.0524</v>
      </c>
      <c r="C359">
        <v>3.5061</v>
      </c>
      <c r="D359">
        <v>2.9868000000000001</v>
      </c>
      <c r="E359">
        <v>3.2915000000000001</v>
      </c>
      <c r="F359">
        <v>11636296.140000001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0.17350279222029674</v>
      </c>
      <c r="Q359">
        <f t="shared" si="970"/>
        <v>2018929.871392261</v>
      </c>
      <c r="R359">
        <f t="shared" si="971"/>
        <v>37649873.828099482</v>
      </c>
      <c r="S359">
        <f t="shared" si="972"/>
        <v>376.49873828099481</v>
      </c>
      <c r="T359">
        <f t="shared" si="973"/>
        <v>0.37649873828099484</v>
      </c>
    </row>
    <row r="360" spans="1:20" x14ac:dyDescent="0.25">
      <c r="A360" s="5">
        <v>44233</v>
      </c>
      <c r="B360">
        <v>3.3334000000000001</v>
      </c>
      <c r="C360">
        <v>3.4506000000000001</v>
      </c>
      <c r="D360">
        <v>2.9247999999999998</v>
      </c>
      <c r="E360">
        <v>3.0524</v>
      </c>
      <c r="F360">
        <v>7057784.7000000002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-0.51464435146443477</v>
      </c>
      <c r="Q360">
        <f t="shared" si="970"/>
        <v>-3632249.0297071105</v>
      </c>
      <c r="R360">
        <f t="shared" si="971"/>
        <v>35630943.956707224</v>
      </c>
      <c r="S360">
        <f t="shared" si="972"/>
        <v>356.30943956707222</v>
      </c>
      <c r="T360">
        <f t="shared" si="973"/>
        <v>0.35630943956707223</v>
      </c>
    </row>
    <row r="361" spans="1:20" x14ac:dyDescent="0.25">
      <c r="A361" s="5">
        <v>44232</v>
      </c>
      <c r="B361">
        <v>2.9022000000000001</v>
      </c>
      <c r="C361">
        <v>3.5</v>
      </c>
      <c r="D361">
        <v>2.8997000000000002</v>
      </c>
      <c r="E361">
        <v>3.3210000000000002</v>
      </c>
      <c r="F361">
        <v>13276995.75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0.40363151757454646</v>
      </c>
      <c r="Q361">
        <f t="shared" si="970"/>
        <v>5359013.9434033036</v>
      </c>
      <c r="R361">
        <f t="shared" si="971"/>
        <v>39263192.986414336</v>
      </c>
      <c r="S361">
        <f t="shared" si="972"/>
        <v>392.63192986414333</v>
      </c>
      <c r="T361">
        <f t="shared" si="973"/>
        <v>0.3926319298641433</v>
      </c>
    </row>
    <row r="362" spans="1:20" x14ac:dyDescent="0.25">
      <c r="A362" s="5">
        <v>44231</v>
      </c>
      <c r="B362">
        <v>2.6541999999999999</v>
      </c>
      <c r="C362">
        <v>2.9445000000000001</v>
      </c>
      <c r="D362">
        <v>2.2999999999999998</v>
      </c>
      <c r="E362">
        <v>2.9</v>
      </c>
      <c r="F362">
        <v>9873103.2100000009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0.86190845616757117</v>
      </c>
      <c r="Q362">
        <f t="shared" si="970"/>
        <v>8509711.1453141924</v>
      </c>
      <c r="R362">
        <f t="shared" si="971"/>
        <v>33904179.043011032</v>
      </c>
      <c r="S362">
        <f t="shared" si="972"/>
        <v>339.04179043011032</v>
      </c>
      <c r="T362">
        <f t="shared" si="973"/>
        <v>0.33904179043011035</v>
      </c>
    </row>
    <row r="363" spans="1:20" x14ac:dyDescent="0.25">
      <c r="A363" s="5">
        <v>44230</v>
      </c>
      <c r="B363">
        <v>2.3999000000000001</v>
      </c>
      <c r="C363">
        <v>2.657</v>
      </c>
      <c r="D363">
        <v>2.3871000000000002</v>
      </c>
      <c r="E363">
        <v>2.6509</v>
      </c>
      <c r="F363">
        <v>5402428.7999999998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0.95479807336050393</v>
      </c>
      <c r="Q363">
        <f t="shared" si="970"/>
        <v>5158228.6097072987</v>
      </c>
      <c r="R363">
        <f t="shared" si="971"/>
        <v>25394467.897696842</v>
      </c>
      <c r="S363">
        <f t="shared" si="972"/>
        <v>253.94467897696842</v>
      </c>
      <c r="T363">
        <f t="shared" si="973"/>
        <v>0.25394467897696843</v>
      </c>
    </row>
    <row r="364" spans="1:20" x14ac:dyDescent="0.25">
      <c r="A364" s="5">
        <v>44229</v>
      </c>
      <c r="B364">
        <v>2.4243000000000001</v>
      </c>
      <c r="C364">
        <v>2.5259</v>
      </c>
      <c r="D364">
        <v>2.3136999999999999</v>
      </c>
      <c r="E364">
        <v>2.3972000000000002</v>
      </c>
      <c r="F364">
        <v>4474564.16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-0.21300659754947893</v>
      </c>
      <c r="Q364">
        <f t="shared" si="970"/>
        <v>-953111.68723844225</v>
      </c>
      <c r="R364">
        <f t="shared" si="971"/>
        <v>20236239.287989542</v>
      </c>
      <c r="S364">
        <f t="shared" si="972"/>
        <v>202.36239287989542</v>
      </c>
      <c r="T364">
        <f t="shared" si="973"/>
        <v>0.20236239287989544</v>
      </c>
    </row>
    <row r="365" spans="1:20" x14ac:dyDescent="0.25">
      <c r="A365" s="5">
        <v>44228</v>
      </c>
      <c r="B365">
        <v>2.2183999999999999</v>
      </c>
      <c r="C365">
        <v>2.4662000000000002</v>
      </c>
      <c r="D365">
        <v>2.1349999999999998</v>
      </c>
      <c r="E365">
        <v>2.4249999999999998</v>
      </c>
      <c r="F365">
        <v>5684646.1100000003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0.75120772946859726</v>
      </c>
      <c r="Q365">
        <f t="shared" si="970"/>
        <v>4270350.0971255945</v>
      </c>
      <c r="R365">
        <f t="shared" si="971"/>
        <v>21189350.975227986</v>
      </c>
      <c r="S365">
        <f t="shared" si="972"/>
        <v>211.89350975227987</v>
      </c>
      <c r="T365">
        <f t="shared" si="973"/>
        <v>0.21189350975227986</v>
      </c>
    </row>
    <row r="366" spans="1:20" x14ac:dyDescent="0.25">
      <c r="A366" s="5">
        <v>44227</v>
      </c>
      <c r="B366">
        <v>2.3668</v>
      </c>
      <c r="C366">
        <v>2.407</v>
      </c>
      <c r="D366">
        <v>2.06</v>
      </c>
      <c r="E366">
        <v>2.2199</v>
      </c>
      <c r="F366">
        <v>4191587.88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-7.8386167146974398E-2</v>
      </c>
      <c r="Q366">
        <f t="shared" si="970"/>
        <v>-328562.50817291206</v>
      </c>
      <c r="R366">
        <f t="shared" si="971"/>
        <v>16919000.878102392</v>
      </c>
      <c r="S366">
        <f t="shared" si="972"/>
        <v>169.19000878102392</v>
      </c>
      <c r="T366">
        <f t="shared" si="973"/>
        <v>0.16919000878102392</v>
      </c>
    </row>
    <row r="367" spans="1:20" x14ac:dyDescent="0.25">
      <c r="A367" s="5">
        <v>44226</v>
      </c>
      <c r="B367">
        <v>2.2450999999999999</v>
      </c>
      <c r="C367">
        <v>2.4382999999999999</v>
      </c>
      <c r="D367">
        <v>2.2000000000000002</v>
      </c>
      <c r="E367">
        <v>2.3668</v>
      </c>
      <c r="F367">
        <v>4573846.3600000003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0.39991607217792718</v>
      </c>
      <c r="Q367">
        <f t="shared" si="970"/>
        <v>1829154.6710365096</v>
      </c>
      <c r="R367">
        <f t="shared" si="971"/>
        <v>17247563.386275303</v>
      </c>
      <c r="S367">
        <f t="shared" si="972"/>
        <v>172.47563386275303</v>
      </c>
      <c r="T367">
        <f t="shared" si="973"/>
        <v>0.17247563386275302</v>
      </c>
    </row>
    <row r="368" spans="1:20" x14ac:dyDescent="0.25">
      <c r="A368" s="5">
        <v>44225</v>
      </c>
      <c r="B368">
        <v>2.2902</v>
      </c>
      <c r="C368">
        <v>2.3759999999999999</v>
      </c>
      <c r="D368">
        <v>2.1623000000000001</v>
      </c>
      <c r="E368">
        <v>2.2486999999999999</v>
      </c>
      <c r="F368">
        <v>5839186.1200000001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-0.19138979878334209</v>
      </c>
      <c r="Q368">
        <f t="shared" si="970"/>
        <v>-1117560.6565652841</v>
      </c>
      <c r="R368">
        <f t="shared" si="971"/>
        <v>15418408.715238795</v>
      </c>
      <c r="S368">
        <f t="shared" si="972"/>
        <v>154.18408715238795</v>
      </c>
      <c r="T368">
        <f t="shared" si="973"/>
        <v>0.15418408715238793</v>
      </c>
    </row>
    <row r="369" spans="1:20" x14ac:dyDescent="0.25">
      <c r="A369" s="5">
        <v>44224</v>
      </c>
      <c r="B369">
        <v>2.1255999999999999</v>
      </c>
      <c r="C369">
        <v>2.3997000000000002</v>
      </c>
      <c r="D369">
        <v>2.0565000000000002</v>
      </c>
      <c r="E369">
        <v>2.2898000000000001</v>
      </c>
      <c r="F369">
        <v>5866716.0099999998</v>
      </c>
      <c r="G369">
        <v>0</v>
      </c>
      <c r="L369" t="s">
        <v>8</v>
      </c>
      <c r="M369" t="s">
        <v>7</v>
      </c>
      <c r="N369" t="s">
        <v>8</v>
      </c>
      <c r="P369">
        <f t="shared" si="969"/>
        <v>0.35955710955710884</v>
      </c>
      <c r="Q369">
        <f t="shared" si="970"/>
        <v>2109419.4511480145</v>
      </c>
      <c r="R369">
        <f t="shared" si="971"/>
        <v>16535969.371804079</v>
      </c>
      <c r="S369">
        <f t="shared" si="972"/>
        <v>165.3596937180408</v>
      </c>
      <c r="T369">
        <f t="shared" si="973"/>
        <v>0.1653596937180408</v>
      </c>
    </row>
    <row r="370" spans="1:20" x14ac:dyDescent="0.25">
      <c r="A370" s="5">
        <v>44223</v>
      </c>
      <c r="B370">
        <v>2.3252999999999999</v>
      </c>
      <c r="C370">
        <v>2.3342000000000001</v>
      </c>
      <c r="D370">
        <v>2.0009999999999999</v>
      </c>
      <c r="E370">
        <v>2.1225999999999998</v>
      </c>
      <c r="F370">
        <v>5575624.4699999997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-0.27010804321728771</v>
      </c>
      <c r="Q370">
        <f t="shared" si="970"/>
        <v>-1506021.0153061268</v>
      </c>
      <c r="R370">
        <f t="shared" si="971"/>
        <v>14426549.920656065</v>
      </c>
      <c r="S370">
        <f t="shared" si="972"/>
        <v>144.26549920656063</v>
      </c>
      <c r="T370">
        <f t="shared" si="973"/>
        <v>0.14426549920656062</v>
      </c>
    </row>
    <row r="371" spans="1:20" x14ac:dyDescent="0.25">
      <c r="A371" s="5">
        <v>44222</v>
      </c>
      <c r="B371">
        <v>2.3691</v>
      </c>
      <c r="C371">
        <v>2.4529999999999998</v>
      </c>
      <c r="D371">
        <v>2.1133999999999999</v>
      </c>
      <c r="E371">
        <v>2.3285</v>
      </c>
      <c r="F371">
        <v>5034242.68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0.26678445229682057</v>
      </c>
      <c r="Q371">
        <f t="shared" si="970"/>
        <v>1343057.6761130781</v>
      </c>
      <c r="R371">
        <f t="shared" si="971"/>
        <v>15932570.935962191</v>
      </c>
      <c r="S371">
        <f t="shared" si="972"/>
        <v>159.3257093596219</v>
      </c>
      <c r="T371">
        <f t="shared" si="973"/>
        <v>0.1593257093596219</v>
      </c>
    </row>
    <row r="372" spans="1:20" x14ac:dyDescent="0.25">
      <c r="A372" s="5">
        <v>44221</v>
      </c>
      <c r="B372">
        <v>2.585</v>
      </c>
      <c r="C372">
        <v>2.5937000000000001</v>
      </c>
      <c r="D372">
        <v>2.3014000000000001</v>
      </c>
      <c r="E372">
        <v>2.3729</v>
      </c>
      <c r="F372">
        <v>5804182.6100000003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-0.51077659938419506</v>
      </c>
      <c r="Q372">
        <f t="shared" si="970"/>
        <v>-2964640.655740682</v>
      </c>
      <c r="R372">
        <f t="shared" si="971"/>
        <v>14589513.259849112</v>
      </c>
      <c r="S372">
        <f t="shared" si="972"/>
        <v>145.89513259849113</v>
      </c>
      <c r="T372">
        <f t="shared" si="973"/>
        <v>0.14589513259849113</v>
      </c>
    </row>
    <row r="373" spans="1:20" x14ac:dyDescent="0.25">
      <c r="A373" s="5">
        <v>44220</v>
      </c>
      <c r="B373">
        <v>2.2442000000000002</v>
      </c>
      <c r="C373">
        <v>2.6389</v>
      </c>
      <c r="D373">
        <v>2.214</v>
      </c>
      <c r="E373">
        <v>2.5853999999999999</v>
      </c>
      <c r="F373">
        <v>9043963.9700000007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0.74817604142151051</v>
      </c>
      <c r="Q373">
        <f t="shared" si="970"/>
        <v>6766477.1618333692</v>
      </c>
      <c r="R373">
        <f t="shared" si="971"/>
        <v>17554153.915589795</v>
      </c>
      <c r="S373">
        <f t="shared" si="972"/>
        <v>175.54153915589794</v>
      </c>
      <c r="T373">
        <f t="shared" si="973"/>
        <v>0.17554153915589793</v>
      </c>
    </row>
    <row r="374" spans="1:20" x14ac:dyDescent="0.25">
      <c r="A374" s="5">
        <v>44219</v>
      </c>
      <c r="B374">
        <v>2.1389999999999998</v>
      </c>
      <c r="C374">
        <v>2.3401000000000001</v>
      </c>
      <c r="D374">
        <v>2.0874999999999999</v>
      </c>
      <c r="E374">
        <v>2.2404999999999999</v>
      </c>
      <c r="F374">
        <v>6273737.8499999996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0.2114014251781467</v>
      </c>
      <c r="Q374">
        <f t="shared" si="970"/>
        <v>1326277.1226840818</v>
      </c>
      <c r="R374">
        <f t="shared" si="971"/>
        <v>10787676.753756426</v>
      </c>
      <c r="S374">
        <f t="shared" si="972"/>
        <v>107.87676753756426</v>
      </c>
      <c r="T374">
        <f t="shared" si="973"/>
        <v>0.10787676753756427</v>
      </c>
    </row>
    <row r="375" spans="1:20" x14ac:dyDescent="0.25">
      <c r="A375" s="5">
        <v>44218</v>
      </c>
      <c r="B375">
        <v>1.8774</v>
      </c>
      <c r="C375">
        <v>2.2599999999999998</v>
      </c>
      <c r="D375">
        <v>1.7114</v>
      </c>
      <c r="E375">
        <v>2.1385000000000001</v>
      </c>
      <c r="F375">
        <v>6474454.9400000004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0.55705432008749622</v>
      </c>
      <c r="Q375">
        <f t="shared" si="970"/>
        <v>3606623.0945388316</v>
      </c>
      <c r="R375">
        <f t="shared" si="971"/>
        <v>9461399.6310723443</v>
      </c>
      <c r="S375">
        <f t="shared" si="972"/>
        <v>94.613996310723437</v>
      </c>
      <c r="T375">
        <f t="shared" si="973"/>
        <v>9.4613996310723439E-2</v>
      </c>
    </row>
    <row r="376" spans="1:20" x14ac:dyDescent="0.25">
      <c r="A376" s="5">
        <v>44217</v>
      </c>
      <c r="B376">
        <v>2.2551000000000001</v>
      </c>
      <c r="C376">
        <v>2.2844000000000002</v>
      </c>
      <c r="D376">
        <v>1.84</v>
      </c>
      <c r="E376">
        <v>1.8766</v>
      </c>
      <c r="F376">
        <v>5278118.92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-0.83528352835283548</v>
      </c>
      <c r="Q376">
        <f t="shared" si="970"/>
        <v>-4408725.7945634574</v>
      </c>
      <c r="R376">
        <f t="shared" si="971"/>
        <v>5854776.5365335122</v>
      </c>
      <c r="S376">
        <f t="shared" si="972"/>
        <v>58.547765365335124</v>
      </c>
      <c r="T376">
        <f t="shared" si="973"/>
        <v>5.8547765365335125E-2</v>
      </c>
    </row>
    <row r="377" spans="1:20" x14ac:dyDescent="0.25">
      <c r="A377" s="5">
        <v>44216</v>
      </c>
      <c r="B377">
        <v>2.2294</v>
      </c>
      <c r="C377">
        <v>2.5190000000000001</v>
      </c>
      <c r="D377">
        <v>2.1160000000000001</v>
      </c>
      <c r="E377">
        <v>2.2593999999999999</v>
      </c>
      <c r="F377">
        <v>10236786.550000001</v>
      </c>
      <c r="G377">
        <v>0</v>
      </c>
      <c r="L377" t="s">
        <v>8</v>
      </c>
      <c r="M377" t="s">
        <v>8</v>
      </c>
      <c r="N377" t="s">
        <v>8</v>
      </c>
      <c r="P377">
        <f t="shared" si="969"/>
        <v>-0.28833746898263157</v>
      </c>
      <c r="Q377">
        <f t="shared" si="970"/>
        <v>-2951649.1243424453</v>
      </c>
      <c r="R377">
        <f t="shared" si="971"/>
        <v>10263502.33109697</v>
      </c>
      <c r="S377">
        <f t="shared" si="972"/>
        <v>102.6350233109697</v>
      </c>
      <c r="T377">
        <f t="shared" si="973"/>
        <v>0.1026350233109697</v>
      </c>
    </row>
    <row r="378" spans="1:20" x14ac:dyDescent="0.25">
      <c r="A378" s="5">
        <v>44215</v>
      </c>
      <c r="B378">
        <v>2.2199</v>
      </c>
      <c r="C378">
        <v>2.3883999999999999</v>
      </c>
      <c r="D378">
        <v>2.0703999999999998</v>
      </c>
      <c r="E378">
        <v>2.226</v>
      </c>
      <c r="F378">
        <v>7426520.5300000003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-2.1383647798741176E-2</v>
      </c>
      <c r="Q378">
        <f t="shared" si="970"/>
        <v>-158806.09938364066</v>
      </c>
      <c r="R378">
        <f t="shared" si="971"/>
        <v>13215151.455439415</v>
      </c>
      <c r="S378">
        <f t="shared" si="972"/>
        <v>132.15151455439414</v>
      </c>
      <c r="T378">
        <f t="shared" si="973"/>
        <v>0.13215151455439414</v>
      </c>
    </row>
    <row r="379" spans="1:20" x14ac:dyDescent="0.25">
      <c r="A379" s="5">
        <v>44214</v>
      </c>
      <c r="B379">
        <v>2.1909000000000001</v>
      </c>
      <c r="C379">
        <v>2.2917999999999998</v>
      </c>
      <c r="D379">
        <v>2.0257999999999998</v>
      </c>
      <c r="E379">
        <v>2.2147999999999999</v>
      </c>
      <c r="F379">
        <v>5306809.8899999997</v>
      </c>
      <c r="G379">
        <v>0</v>
      </c>
      <c r="L379" t="s">
        <v>8</v>
      </c>
      <c r="M379" t="s">
        <v>7</v>
      </c>
      <c r="N379" t="s">
        <v>8</v>
      </c>
      <c r="P379">
        <f t="shared" si="969"/>
        <v>0.42105263157894773</v>
      </c>
      <c r="Q379">
        <f t="shared" si="970"/>
        <v>2234446.2694736859</v>
      </c>
      <c r="R379">
        <f t="shared" si="971"/>
        <v>13373957.554823056</v>
      </c>
      <c r="S379">
        <f t="shared" si="972"/>
        <v>133.73957554823056</v>
      </c>
      <c r="T379">
        <f t="shared" si="973"/>
        <v>0.13373957554823057</v>
      </c>
    </row>
    <row r="380" spans="1:20" x14ac:dyDescent="0.25">
      <c r="A380" s="5">
        <v>44213</v>
      </c>
      <c r="B380">
        <v>2.1263000000000001</v>
      </c>
      <c r="C380">
        <v>2.2553999999999998</v>
      </c>
      <c r="D380">
        <v>1.9149</v>
      </c>
      <c r="E380">
        <v>2.1880000000000002</v>
      </c>
      <c r="F380">
        <v>7163596.7199999997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0.60411160058737312</v>
      </c>
      <c r="Q380">
        <f t="shared" si="970"/>
        <v>4327611.8804816557</v>
      </c>
      <c r="R380">
        <f t="shared" si="971"/>
        <v>11139511.285349371</v>
      </c>
      <c r="S380">
        <f t="shared" si="972"/>
        <v>111.39511285349371</v>
      </c>
      <c r="T380">
        <f t="shared" si="973"/>
        <v>0.11139511285349371</v>
      </c>
    </row>
    <row r="381" spans="1:20" x14ac:dyDescent="0.25">
      <c r="A381" s="5">
        <v>44212</v>
      </c>
      <c r="B381">
        <v>2.0047000000000001</v>
      </c>
      <c r="C381">
        <v>2.4445999999999999</v>
      </c>
      <c r="D381">
        <v>1.9937</v>
      </c>
      <c r="E381">
        <v>2.1295000000000002</v>
      </c>
      <c r="F381">
        <v>13518742.869999999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-0.39764914615213937</v>
      </c>
      <c r="Q381">
        <f t="shared" si="970"/>
        <v>-5375716.5593058215</v>
      </c>
      <c r="R381">
        <f t="shared" si="971"/>
        <v>6811899.4048677152</v>
      </c>
      <c r="S381">
        <f t="shared" si="972"/>
        <v>68.118994048677152</v>
      </c>
      <c r="T381">
        <f t="shared" si="973"/>
        <v>6.8118994048677148E-2</v>
      </c>
    </row>
    <row r="382" spans="1:20" x14ac:dyDescent="0.25">
      <c r="A382" s="5">
        <v>44211</v>
      </c>
      <c r="B382">
        <v>1.7090000000000001</v>
      </c>
      <c r="C382">
        <v>2.08</v>
      </c>
      <c r="D382">
        <v>1.6792</v>
      </c>
      <c r="E382">
        <v>2.0051999999999999</v>
      </c>
      <c r="F382">
        <v>12056780.1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0.62674650698602696</v>
      </c>
      <c r="Q382">
        <f t="shared" si="970"/>
        <v>7556544.8131736405</v>
      </c>
      <c r="R382">
        <f t="shared" si="971"/>
        <v>12187615.964173537</v>
      </c>
      <c r="S382">
        <f t="shared" si="972"/>
        <v>121.87615964173537</v>
      </c>
      <c r="T382">
        <f t="shared" si="973"/>
        <v>0.12187615964173537</v>
      </c>
    </row>
    <row r="383" spans="1:20" x14ac:dyDescent="0.25">
      <c r="A383" s="5">
        <v>44210</v>
      </c>
      <c r="B383">
        <v>1.6506000000000001</v>
      </c>
      <c r="C383">
        <v>1.7818000000000001</v>
      </c>
      <c r="D383">
        <v>1.6016999999999999</v>
      </c>
      <c r="E383">
        <v>1.7092000000000001</v>
      </c>
      <c r="F383">
        <v>4200370.12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0.19378123264852928</v>
      </c>
      <c r="Q383">
        <f t="shared" si="970"/>
        <v>813952.89943365089</v>
      </c>
      <c r="R383">
        <f t="shared" si="971"/>
        <v>4631071.1509998962</v>
      </c>
      <c r="S383">
        <f t="shared" si="972"/>
        <v>46.31071150999896</v>
      </c>
      <c r="T383">
        <f t="shared" si="973"/>
        <v>4.6310711509998957E-2</v>
      </c>
    </row>
    <row r="384" spans="1:20" x14ac:dyDescent="0.25">
      <c r="A384" s="5">
        <v>44209</v>
      </c>
      <c r="B384">
        <v>1.4785999999999999</v>
      </c>
      <c r="C384">
        <v>1.6970000000000001</v>
      </c>
      <c r="D384">
        <v>1.4224000000000001</v>
      </c>
      <c r="E384">
        <v>1.6486000000000001</v>
      </c>
      <c r="F384">
        <v>3845848.86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0.64748725418790964</v>
      </c>
      <c r="Q384">
        <f t="shared" si="970"/>
        <v>2490138.1183831026</v>
      </c>
      <c r="R384">
        <f t="shared" si="971"/>
        <v>3817118.2515662452</v>
      </c>
      <c r="S384">
        <f t="shared" si="972"/>
        <v>38.171182515662451</v>
      </c>
      <c r="T384">
        <f t="shared" si="973"/>
        <v>3.8171182515662448E-2</v>
      </c>
    </row>
    <row r="385" spans="1:20" x14ac:dyDescent="0.25">
      <c r="A385" s="5">
        <v>44208</v>
      </c>
      <c r="B385">
        <v>1.5336000000000001</v>
      </c>
      <c r="C385">
        <v>1.63</v>
      </c>
      <c r="D385">
        <v>1.4325000000000001</v>
      </c>
      <c r="E385">
        <v>1.4789000000000001</v>
      </c>
      <c r="F385">
        <v>4283122.51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-0.53012658227848053</v>
      </c>
      <c r="Q385">
        <f t="shared" si="970"/>
        <v>-2270597.0977063267</v>
      </c>
      <c r="R385">
        <f t="shared" si="971"/>
        <v>1326980.1331831426</v>
      </c>
      <c r="S385">
        <f t="shared" si="972"/>
        <v>13.269801331831426</v>
      </c>
      <c r="T385">
        <f t="shared" si="973"/>
        <v>1.3269801331831426E-2</v>
      </c>
    </row>
    <row r="386" spans="1:20" x14ac:dyDescent="0.25">
      <c r="A386" s="5">
        <v>44207</v>
      </c>
      <c r="B386">
        <v>1.8211999999999999</v>
      </c>
      <c r="C386">
        <v>1.8516999999999999</v>
      </c>
      <c r="D386">
        <v>1.3787</v>
      </c>
      <c r="E386">
        <v>1.5327999999999999</v>
      </c>
      <c r="F386">
        <v>7553614.4000000004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-0.3484143763213533</v>
      </c>
      <c r="Q386">
        <f t="shared" si="970"/>
        <v>-2631787.8501479933</v>
      </c>
      <c r="R386">
        <f t="shared" si="971"/>
        <v>3597577.2308894694</v>
      </c>
      <c r="S386">
        <f t="shared" si="972"/>
        <v>35.97577230889469</v>
      </c>
      <c r="T386">
        <f t="shared" si="973"/>
        <v>3.5975772308894691E-2</v>
      </c>
    </row>
    <row r="387" spans="1:20" x14ac:dyDescent="0.25">
      <c r="A387" s="5">
        <v>44206</v>
      </c>
      <c r="B387">
        <v>1.8591</v>
      </c>
      <c r="C387">
        <v>2.0442</v>
      </c>
      <c r="D387">
        <v>1.6165</v>
      </c>
      <c r="E387">
        <v>1.8239000000000001</v>
      </c>
      <c r="F387">
        <v>6769908.8499999996</v>
      </c>
      <c r="G387">
        <v>0</v>
      </c>
      <c r="L387" t="s">
        <v>8</v>
      </c>
      <c r="M387" t="s">
        <v>7</v>
      </c>
      <c r="N387" t="s">
        <v>8</v>
      </c>
      <c r="P387">
        <f t="shared" si="969"/>
        <v>-3.0161328033668253E-2</v>
      </c>
      <c r="Q387">
        <f t="shared" si="970"/>
        <v>-204189.4415828838</v>
      </c>
      <c r="R387">
        <f t="shared" si="971"/>
        <v>6229365.0810374627</v>
      </c>
      <c r="S387">
        <f t="shared" si="972"/>
        <v>62.293650810374629</v>
      </c>
      <c r="T387">
        <f t="shared" si="973"/>
        <v>6.2293650810374628E-2</v>
      </c>
    </row>
    <row r="388" spans="1:20" x14ac:dyDescent="0.25">
      <c r="A388" s="5">
        <v>44205</v>
      </c>
      <c r="B388">
        <v>1.6160000000000001</v>
      </c>
      <c r="C388">
        <v>2</v>
      </c>
      <c r="D388">
        <v>1.56</v>
      </c>
      <c r="E388">
        <v>1.8591</v>
      </c>
      <c r="F388">
        <v>7728105.4299999997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0.35954545454545433</v>
      </c>
      <c r="Q388">
        <f t="shared" si="970"/>
        <v>2778605.1796045438</v>
      </c>
      <c r="R388">
        <f t="shared" si="971"/>
        <v>6433554.5226203464</v>
      </c>
      <c r="S388">
        <f t="shared" si="972"/>
        <v>64.335545226203465</v>
      </c>
      <c r="T388">
        <f t="shared" si="973"/>
        <v>6.4335545226203467E-2</v>
      </c>
    </row>
    <row r="389" spans="1:20" x14ac:dyDescent="0.25">
      <c r="A389" s="5">
        <v>44204</v>
      </c>
      <c r="B389">
        <v>1.6880999999999999</v>
      </c>
      <c r="C389">
        <v>1.7739</v>
      </c>
      <c r="D389">
        <v>1.3334999999999999</v>
      </c>
      <c r="E389">
        <v>1.6162000000000001</v>
      </c>
      <c r="F389">
        <v>6634229.1200000001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0.28383287920072703</v>
      </c>
      <c r="Q389">
        <f t="shared" si="970"/>
        <v>1883012.3524069055</v>
      </c>
      <c r="R389">
        <f t="shared" si="971"/>
        <v>3654949.3430158021</v>
      </c>
      <c r="S389">
        <f t="shared" si="972"/>
        <v>36.549493430158023</v>
      </c>
      <c r="T389">
        <f t="shared" si="973"/>
        <v>3.6549493430158023E-2</v>
      </c>
    </row>
    <row r="390" spans="1:20" x14ac:dyDescent="0.25">
      <c r="A390" s="5">
        <v>44203</v>
      </c>
      <c r="B390">
        <v>1.8118000000000001</v>
      </c>
      <c r="C390">
        <v>1.9339</v>
      </c>
      <c r="D390">
        <v>1.5564</v>
      </c>
      <c r="E390">
        <v>1.6863999999999999</v>
      </c>
      <c r="F390">
        <v>7077210.5499999998</v>
      </c>
      <c r="G390">
        <v>0</v>
      </c>
      <c r="L390" t="s">
        <v>8</v>
      </c>
      <c r="M390" t="s">
        <v>7</v>
      </c>
      <c r="N390" t="s">
        <v>8</v>
      </c>
      <c r="P390">
        <f t="shared" ref="P390:P453" si="974">IF(C390=D390,0,((E390-D390)-(C390-E390))/(C390-D390))</f>
        <v>-0.31125827814569584</v>
      </c>
      <c r="Q390">
        <f t="shared" ref="Q390:Q453" si="975">F390*P390</f>
        <v>-2202840.369867553</v>
      </c>
      <c r="R390">
        <f t="shared" ref="R390:R453" si="976">R391+Q390</f>
        <v>1771936.9906088966</v>
      </c>
      <c r="S390">
        <f t="shared" ref="S390:S453" si="977">R390/100000</f>
        <v>17.719369906088964</v>
      </c>
      <c r="T390">
        <f t="shared" ref="T390:T453" si="978">S390/1000</f>
        <v>1.7719369906088963E-2</v>
      </c>
    </row>
    <row r="391" spans="1:20" x14ac:dyDescent="0.25">
      <c r="A391" s="5">
        <v>44202</v>
      </c>
      <c r="B391">
        <v>1.5688</v>
      </c>
      <c r="C391">
        <v>1.8895999999999999</v>
      </c>
      <c r="D391">
        <v>1.52</v>
      </c>
      <c r="E391">
        <v>1.8106</v>
      </c>
      <c r="F391">
        <v>7888915.0599999996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0.57251082251082264</v>
      </c>
      <c r="Q391">
        <f t="shared" si="975"/>
        <v>4516489.2497186158</v>
      </c>
      <c r="R391">
        <f t="shared" si="976"/>
        <v>3974777.3604764496</v>
      </c>
      <c r="S391">
        <f t="shared" si="977"/>
        <v>39.747773604764497</v>
      </c>
      <c r="T391">
        <f t="shared" si="978"/>
        <v>3.9747773604764496E-2</v>
      </c>
    </row>
    <row r="392" spans="1:20" x14ac:dyDescent="0.25">
      <c r="A392" s="5">
        <v>44201</v>
      </c>
      <c r="B392">
        <v>1.5164</v>
      </c>
      <c r="C392">
        <v>1.6560999999999999</v>
      </c>
      <c r="D392">
        <v>1.3813</v>
      </c>
      <c r="E392">
        <v>1.5684</v>
      </c>
      <c r="F392">
        <v>7959172.75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0.36171761280931652</v>
      </c>
      <c r="Q392">
        <f t="shared" si="975"/>
        <v>2878972.9670669632</v>
      </c>
      <c r="R392">
        <f t="shared" si="976"/>
        <v>-541711.88924216619</v>
      </c>
      <c r="S392">
        <f t="shared" si="977"/>
        <v>-5.4171188924216622</v>
      </c>
      <c r="T392">
        <f t="shared" si="978"/>
        <v>-5.417118892421662E-3</v>
      </c>
    </row>
    <row r="393" spans="1:20" x14ac:dyDescent="0.25">
      <c r="A393" s="5">
        <v>44200</v>
      </c>
      <c r="B393">
        <v>1.3835</v>
      </c>
      <c r="C393">
        <v>1.597</v>
      </c>
      <c r="D393">
        <v>1.2549999999999999</v>
      </c>
      <c r="E393">
        <v>1.516</v>
      </c>
      <c r="F393">
        <v>6662465.8799999999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0.52631578947368451</v>
      </c>
      <c r="Q393">
        <f t="shared" si="975"/>
        <v>3506560.9894736861</v>
      </c>
      <c r="R393">
        <f t="shared" si="976"/>
        <v>-3420684.8563091294</v>
      </c>
      <c r="S393">
        <f t="shared" si="977"/>
        <v>-34.206848563091292</v>
      </c>
      <c r="T393">
        <f t="shared" si="978"/>
        <v>-3.4206848563091294E-2</v>
      </c>
    </row>
    <row r="394" spans="1:20" x14ac:dyDescent="0.25">
      <c r="A394" s="5">
        <v>44199</v>
      </c>
      <c r="B394">
        <v>1.2932999999999999</v>
      </c>
      <c r="C394">
        <v>1.4138999999999999</v>
      </c>
      <c r="D394">
        <v>1.2390000000000001</v>
      </c>
      <c r="E394">
        <v>1.3835</v>
      </c>
      <c r="F394">
        <v>3929620.09</v>
      </c>
      <c r="G394">
        <v>0</v>
      </c>
      <c r="L394" t="s">
        <v>7</v>
      </c>
      <c r="M394" t="s">
        <v>8</v>
      </c>
      <c r="N394" t="s">
        <v>7</v>
      </c>
      <c r="P394">
        <f t="shared" si="974"/>
        <v>0.65237278444825597</v>
      </c>
      <c r="Q394">
        <f t="shared" si="975"/>
        <v>2563577.1999371061</v>
      </c>
      <c r="R394">
        <f t="shared" si="976"/>
        <v>-6927245.8457828155</v>
      </c>
      <c r="S394">
        <f t="shared" si="977"/>
        <v>-69.272458457828151</v>
      </c>
      <c r="T394">
        <f t="shared" si="978"/>
        <v>-6.9272458457828145E-2</v>
      </c>
    </row>
    <row r="395" spans="1:20" x14ac:dyDescent="0.25">
      <c r="A395" s="5">
        <v>44198</v>
      </c>
      <c r="B395">
        <v>1.3021</v>
      </c>
      <c r="C395">
        <v>1.3369</v>
      </c>
      <c r="D395">
        <v>1.2555000000000001</v>
      </c>
      <c r="E395">
        <v>1.2917000000000001</v>
      </c>
      <c r="F395">
        <v>2263672.64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-0.11056511056510941</v>
      </c>
      <c r="Q395">
        <f t="shared" si="975"/>
        <v>-250283.21572481314</v>
      </c>
      <c r="R395">
        <f t="shared" si="976"/>
        <v>-9490823.0457199216</v>
      </c>
      <c r="S395">
        <f t="shared" si="977"/>
        <v>-94.90823045719921</v>
      </c>
      <c r="T395">
        <f t="shared" si="978"/>
        <v>-9.4908230457199205E-2</v>
      </c>
    </row>
    <row r="396" spans="1:20" x14ac:dyDescent="0.25">
      <c r="A396" s="5">
        <v>44197</v>
      </c>
      <c r="B396">
        <v>1.2922</v>
      </c>
      <c r="C396">
        <v>1.355</v>
      </c>
      <c r="D396">
        <v>1.2626999999999999</v>
      </c>
      <c r="E396">
        <v>1.3033999999999999</v>
      </c>
      <c r="F396">
        <v>1963135.05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-0.11809317443120397</v>
      </c>
      <c r="Q396">
        <f t="shared" si="975"/>
        <v>-231832.84989166033</v>
      </c>
      <c r="R396">
        <f t="shared" si="976"/>
        <v>-9240539.8299951088</v>
      </c>
      <c r="S396">
        <f t="shared" si="977"/>
        <v>-92.405398299951088</v>
      </c>
      <c r="T396">
        <f t="shared" si="978"/>
        <v>-9.2405398299951091E-2</v>
      </c>
    </row>
    <row r="397" spans="1:20" x14ac:dyDescent="0.25">
      <c r="A397" s="5">
        <v>44196</v>
      </c>
      <c r="B397">
        <v>1.2989999999999999</v>
      </c>
      <c r="C397">
        <v>1.3036000000000001</v>
      </c>
      <c r="D397">
        <v>1.2107000000000001</v>
      </c>
      <c r="E397">
        <v>1.2919</v>
      </c>
      <c r="F397">
        <v>1627481.43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0.74811625403659754</v>
      </c>
      <c r="Q397">
        <f t="shared" si="975"/>
        <v>1217545.3109257249</v>
      </c>
      <c r="R397">
        <f t="shared" si="976"/>
        <v>-9008706.980103448</v>
      </c>
      <c r="S397">
        <f t="shared" si="977"/>
        <v>-90.087069801034474</v>
      </c>
      <c r="T397">
        <f t="shared" si="978"/>
        <v>-9.0087069801034481E-2</v>
      </c>
    </row>
    <row r="398" spans="1:20" x14ac:dyDescent="0.25">
      <c r="A398" s="5">
        <v>44195</v>
      </c>
      <c r="B398">
        <v>1.2939000000000001</v>
      </c>
      <c r="C398">
        <v>1.3267</v>
      </c>
      <c r="D398">
        <v>1.2354000000000001</v>
      </c>
      <c r="E398">
        <v>1.2986</v>
      </c>
      <c r="F398">
        <v>1495184.38</v>
      </c>
      <c r="G398">
        <v>0</v>
      </c>
      <c r="L398" t="s">
        <v>8</v>
      </c>
      <c r="M398" t="s">
        <v>8</v>
      </c>
      <c r="N398" t="s">
        <v>7</v>
      </c>
      <c r="P398">
        <f t="shared" si="974"/>
        <v>0.3844468784227813</v>
      </c>
      <c r="Q398">
        <f t="shared" si="975"/>
        <v>574818.96755750163</v>
      </c>
      <c r="R398">
        <f t="shared" si="976"/>
        <v>-10226252.291029174</v>
      </c>
      <c r="S398">
        <f t="shared" si="977"/>
        <v>-102.26252291029174</v>
      </c>
      <c r="T398">
        <f t="shared" si="978"/>
        <v>-0.10226252291029174</v>
      </c>
    </row>
    <row r="399" spans="1:20" x14ac:dyDescent="0.25">
      <c r="A399" s="5">
        <v>44194</v>
      </c>
      <c r="B399">
        <v>1.3564000000000001</v>
      </c>
      <c r="C399">
        <v>1.4</v>
      </c>
      <c r="D399">
        <v>1.2244999999999999</v>
      </c>
      <c r="E399">
        <v>1.2949999999999999</v>
      </c>
      <c r="F399">
        <v>1939837.05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-0.19658119658119644</v>
      </c>
      <c r="Q399">
        <f t="shared" si="975"/>
        <v>-381335.48846153822</v>
      </c>
      <c r="R399">
        <f t="shared" si="976"/>
        <v>-10801071.258586675</v>
      </c>
      <c r="S399">
        <f t="shared" si="977"/>
        <v>-108.01071258586676</v>
      </c>
      <c r="T399">
        <f t="shared" si="978"/>
        <v>-0.10801071258586675</v>
      </c>
    </row>
    <row r="400" spans="1:20" x14ac:dyDescent="0.25">
      <c r="A400" s="5">
        <v>44193</v>
      </c>
      <c r="B400">
        <v>1.2856000000000001</v>
      </c>
      <c r="C400">
        <v>1.4159999999999999</v>
      </c>
      <c r="D400">
        <v>1.2709999999999999</v>
      </c>
      <c r="E400">
        <v>1.3542000000000001</v>
      </c>
      <c r="F400">
        <v>2148836.54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0.14758620689655383</v>
      </c>
      <c r="Q400">
        <f t="shared" si="975"/>
        <v>317138.63417931489</v>
      </c>
      <c r="R400">
        <f t="shared" si="976"/>
        <v>-10419735.770125138</v>
      </c>
      <c r="S400">
        <f t="shared" si="977"/>
        <v>-104.19735770125138</v>
      </c>
      <c r="T400">
        <f t="shared" si="978"/>
        <v>-0.10419735770125138</v>
      </c>
    </row>
    <row r="401" spans="1:20" x14ac:dyDescent="0.25">
      <c r="A401" s="5">
        <v>44192</v>
      </c>
      <c r="B401">
        <v>1.3061</v>
      </c>
      <c r="C401">
        <v>1.3928</v>
      </c>
      <c r="D401">
        <v>1.2541</v>
      </c>
      <c r="E401">
        <v>1.2856000000000001</v>
      </c>
      <c r="F401">
        <v>2324985.9700000002</v>
      </c>
      <c r="G401">
        <v>0</v>
      </c>
      <c r="L401" t="s">
        <v>7</v>
      </c>
      <c r="M401" t="s">
        <v>8</v>
      </c>
      <c r="N401" t="s">
        <v>7</v>
      </c>
      <c r="P401">
        <f t="shared" si="974"/>
        <v>-0.54578226387887419</v>
      </c>
      <c r="Q401">
        <f t="shared" si="975"/>
        <v>-1268936.1061932205</v>
      </c>
      <c r="R401">
        <f t="shared" si="976"/>
        <v>-10736874.404304452</v>
      </c>
      <c r="S401">
        <f t="shared" si="977"/>
        <v>-107.36874404304453</v>
      </c>
      <c r="T401">
        <f t="shared" si="978"/>
        <v>-0.10736874404304453</v>
      </c>
    </row>
    <row r="402" spans="1:20" x14ac:dyDescent="0.25">
      <c r="A402" s="5">
        <v>44191</v>
      </c>
      <c r="B402">
        <v>1.3514999999999999</v>
      </c>
      <c r="C402">
        <v>1.3546</v>
      </c>
      <c r="D402">
        <v>1.2787999999999999</v>
      </c>
      <c r="E402">
        <v>1.3052999999999999</v>
      </c>
      <c r="F402">
        <v>994628.86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-0.30079155672823388</v>
      </c>
      <c r="Q402">
        <f t="shared" si="975"/>
        <v>-299175.96316622861</v>
      </c>
      <c r="R402">
        <f t="shared" si="976"/>
        <v>-9467938.298111232</v>
      </c>
      <c r="S402">
        <f t="shared" si="977"/>
        <v>-94.679382981112326</v>
      </c>
      <c r="T402">
        <f t="shared" si="978"/>
        <v>-9.4679382981112323E-2</v>
      </c>
    </row>
    <row r="403" spans="1:20" x14ac:dyDescent="0.25">
      <c r="A403" s="5">
        <v>44190</v>
      </c>
      <c r="B403">
        <v>1.3787</v>
      </c>
      <c r="C403">
        <v>1.4280999999999999</v>
      </c>
      <c r="D403">
        <v>1.2977000000000001</v>
      </c>
      <c r="E403">
        <v>1.3513999999999999</v>
      </c>
      <c r="F403">
        <v>1185094.3600000001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-0.17638036809816071</v>
      </c>
      <c r="Q403">
        <f t="shared" si="975"/>
        <v>-209027.37944785421</v>
      </c>
      <c r="R403">
        <f t="shared" si="976"/>
        <v>-9168762.3349450026</v>
      </c>
      <c r="S403">
        <f t="shared" si="977"/>
        <v>-91.687623349450021</v>
      </c>
      <c r="T403">
        <f t="shared" si="978"/>
        <v>-9.168762334945002E-2</v>
      </c>
    </row>
    <row r="404" spans="1:20" x14ac:dyDescent="0.25">
      <c r="A404" s="5">
        <v>44189</v>
      </c>
      <c r="B404">
        <v>1.2625</v>
      </c>
      <c r="C404">
        <v>1.3832</v>
      </c>
      <c r="D404">
        <v>1.2125999999999999</v>
      </c>
      <c r="E404">
        <v>1.3746</v>
      </c>
      <c r="F404">
        <v>1729762.51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0.89917936694021172</v>
      </c>
      <c r="Q404">
        <f t="shared" si="975"/>
        <v>1555366.7586987116</v>
      </c>
      <c r="R404">
        <f t="shared" si="976"/>
        <v>-8959734.9554971475</v>
      </c>
      <c r="S404">
        <f t="shared" si="977"/>
        <v>-89.597349554971473</v>
      </c>
      <c r="T404">
        <f t="shared" si="978"/>
        <v>-8.9597349554971478E-2</v>
      </c>
    </row>
    <row r="405" spans="1:20" x14ac:dyDescent="0.25">
      <c r="A405" s="5">
        <v>44188</v>
      </c>
      <c r="B405">
        <v>1.5038</v>
      </c>
      <c r="C405">
        <v>1.5289999999999999</v>
      </c>
      <c r="D405">
        <v>1.1226</v>
      </c>
      <c r="E405">
        <v>1.2624</v>
      </c>
      <c r="F405">
        <v>2029309.31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-0.3120078740157482</v>
      </c>
      <c r="Q405">
        <f t="shared" si="975"/>
        <v>-633160.48353346495</v>
      </c>
      <c r="R405">
        <f t="shared" si="976"/>
        <v>-10515101.714195859</v>
      </c>
      <c r="S405">
        <f t="shared" si="977"/>
        <v>-105.15101714195859</v>
      </c>
      <c r="T405">
        <f t="shared" si="978"/>
        <v>-0.1051510171419586</v>
      </c>
    </row>
    <row r="406" spans="1:20" x14ac:dyDescent="0.25">
      <c r="A406" s="5">
        <v>44187</v>
      </c>
      <c r="B406">
        <v>1.4913000000000001</v>
      </c>
      <c r="C406">
        <v>1.5355000000000001</v>
      </c>
      <c r="D406">
        <v>1.4234</v>
      </c>
      <c r="E406">
        <v>1.5047999999999999</v>
      </c>
      <c r="F406">
        <v>1427687.82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0.45227475468331585</v>
      </c>
      <c r="Q406">
        <f t="shared" si="975"/>
        <v>645707.15855485806</v>
      </c>
      <c r="R406">
        <f t="shared" si="976"/>
        <v>-9881941.2306623943</v>
      </c>
      <c r="S406">
        <f t="shared" si="977"/>
        <v>-98.819412306623946</v>
      </c>
      <c r="T406">
        <f t="shared" si="978"/>
        <v>-9.8819412306623944E-2</v>
      </c>
    </row>
    <row r="407" spans="1:20" x14ac:dyDescent="0.25">
      <c r="A407" s="5">
        <v>44186</v>
      </c>
      <c r="B407">
        <v>1.5701000000000001</v>
      </c>
      <c r="C407">
        <v>1.593</v>
      </c>
      <c r="D407">
        <v>1.4748000000000001</v>
      </c>
      <c r="E407">
        <v>1.49</v>
      </c>
      <c r="F407">
        <v>1398450.64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-0.74280879864636384</v>
      </c>
      <c r="Q407">
        <f t="shared" si="975"/>
        <v>-1038781.4398646386</v>
      </c>
      <c r="R407">
        <f t="shared" si="976"/>
        <v>-10527648.389217252</v>
      </c>
      <c r="S407">
        <f t="shared" si="977"/>
        <v>-105.27648389217252</v>
      </c>
      <c r="T407">
        <f t="shared" si="978"/>
        <v>-0.10527648389217252</v>
      </c>
    </row>
    <row r="408" spans="1:20" x14ac:dyDescent="0.25">
      <c r="A408" s="5">
        <v>44185</v>
      </c>
      <c r="B408">
        <v>1.639</v>
      </c>
      <c r="C408">
        <v>1.6828000000000001</v>
      </c>
      <c r="D408">
        <v>1.5602</v>
      </c>
      <c r="E408">
        <v>1.5711999999999999</v>
      </c>
      <c r="F408">
        <v>1827810.6</v>
      </c>
      <c r="G408">
        <v>0</v>
      </c>
      <c r="L408" t="s">
        <v>7</v>
      </c>
      <c r="M408" t="s">
        <v>8</v>
      </c>
      <c r="N408" t="s">
        <v>7</v>
      </c>
      <c r="P408">
        <f t="shared" si="974"/>
        <v>-0.82055464926590704</v>
      </c>
      <c r="Q408">
        <f t="shared" si="975"/>
        <v>-1499818.4858075073</v>
      </c>
      <c r="R408">
        <f t="shared" si="976"/>
        <v>-9488866.9493526127</v>
      </c>
      <c r="S408">
        <f t="shared" si="977"/>
        <v>-94.888669493526123</v>
      </c>
      <c r="T408">
        <f t="shared" si="978"/>
        <v>-9.4888669493526118E-2</v>
      </c>
    </row>
    <row r="409" spans="1:20" x14ac:dyDescent="0.25">
      <c r="A409" s="5">
        <v>44184</v>
      </c>
      <c r="B409">
        <v>1.6214</v>
      </c>
      <c r="C409">
        <v>1.7278</v>
      </c>
      <c r="D409">
        <v>1.6181000000000001</v>
      </c>
      <c r="E409">
        <v>1.6395</v>
      </c>
      <c r="F409">
        <v>2033370.38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-0.60984503190519812</v>
      </c>
      <c r="Q409">
        <f t="shared" si="975"/>
        <v>-1240040.8242661848</v>
      </c>
      <c r="R409">
        <f t="shared" si="976"/>
        <v>-7989048.4635451054</v>
      </c>
      <c r="S409">
        <f t="shared" si="977"/>
        <v>-79.89048463545106</v>
      </c>
      <c r="T409">
        <f t="shared" si="978"/>
        <v>-7.9890484635451064E-2</v>
      </c>
    </row>
    <row r="410" spans="1:20" x14ac:dyDescent="0.25">
      <c r="A410" s="5">
        <v>44183</v>
      </c>
      <c r="B410">
        <v>1.6011</v>
      </c>
      <c r="C410">
        <v>1.6294</v>
      </c>
      <c r="D410">
        <v>1.5612999999999999</v>
      </c>
      <c r="E410">
        <v>1.6213</v>
      </c>
      <c r="F410">
        <v>994072.46</v>
      </c>
      <c r="G410">
        <v>0</v>
      </c>
      <c r="L410" t="s">
        <v>7</v>
      </c>
      <c r="M410" t="s">
        <v>7</v>
      </c>
      <c r="N410" t="s">
        <v>7</v>
      </c>
      <c r="P410">
        <f t="shared" si="974"/>
        <v>0.76211453744493418</v>
      </c>
      <c r="Q410">
        <f t="shared" si="975"/>
        <v>757597.07303964777</v>
      </c>
      <c r="R410">
        <f t="shared" si="976"/>
        <v>-6749007.6392789204</v>
      </c>
      <c r="S410">
        <f t="shared" si="977"/>
        <v>-67.490076392789206</v>
      </c>
      <c r="T410">
        <f t="shared" si="978"/>
        <v>-6.74900763927892E-2</v>
      </c>
    </row>
    <row r="411" spans="1:20" x14ac:dyDescent="0.25">
      <c r="A411" s="5">
        <v>44182</v>
      </c>
      <c r="B411">
        <v>1.6363000000000001</v>
      </c>
      <c r="C411">
        <v>1.6819999999999999</v>
      </c>
      <c r="D411">
        <v>1.5726</v>
      </c>
      <c r="E411">
        <v>1.6011</v>
      </c>
      <c r="F411">
        <v>2155427.5099999998</v>
      </c>
      <c r="G411">
        <v>0</v>
      </c>
      <c r="L411" t="s">
        <v>8</v>
      </c>
      <c r="M411" t="s">
        <v>7</v>
      </c>
      <c r="N411" t="s">
        <v>7</v>
      </c>
      <c r="P411">
        <f t="shared" si="974"/>
        <v>-0.47897623400365658</v>
      </c>
      <c r="Q411">
        <f t="shared" si="975"/>
        <v>-1032398.5514076788</v>
      </c>
      <c r="R411">
        <f t="shared" si="976"/>
        <v>-7506604.7123185685</v>
      </c>
      <c r="S411">
        <f t="shared" si="977"/>
        <v>-75.066047123185683</v>
      </c>
      <c r="T411">
        <f t="shared" si="978"/>
        <v>-7.5066047123185681E-2</v>
      </c>
    </row>
    <row r="412" spans="1:20" x14ac:dyDescent="0.25">
      <c r="A412" s="5">
        <v>44181</v>
      </c>
      <c r="B412">
        <v>1.5773999999999999</v>
      </c>
      <c r="C412">
        <v>1.6439999999999999</v>
      </c>
      <c r="D412">
        <v>1.5325</v>
      </c>
      <c r="E412">
        <v>1.6365000000000001</v>
      </c>
      <c r="F412">
        <v>1334195.8999999999</v>
      </c>
      <c r="G412">
        <v>0</v>
      </c>
      <c r="L412" t="s">
        <v>8</v>
      </c>
      <c r="M412" t="s">
        <v>7</v>
      </c>
      <c r="N412" t="s">
        <v>7</v>
      </c>
      <c r="P412">
        <f t="shared" si="974"/>
        <v>0.86547085201794005</v>
      </c>
      <c r="Q412">
        <f t="shared" si="975"/>
        <v>1154707.6623318424</v>
      </c>
      <c r="R412">
        <f t="shared" si="976"/>
        <v>-6474206.1609108895</v>
      </c>
      <c r="S412">
        <f t="shared" si="977"/>
        <v>-64.742061609108902</v>
      </c>
      <c r="T412">
        <f t="shared" si="978"/>
        <v>-6.4742061609108906E-2</v>
      </c>
    </row>
    <row r="413" spans="1:20" x14ac:dyDescent="0.25">
      <c r="A413" s="5">
        <v>44180</v>
      </c>
      <c r="B413">
        <v>1.6079000000000001</v>
      </c>
      <c r="C413">
        <v>1.6245000000000001</v>
      </c>
      <c r="D413">
        <v>1.5641</v>
      </c>
      <c r="E413">
        <v>1.5769</v>
      </c>
      <c r="F413">
        <v>1011498.96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-0.5761589403973536</v>
      </c>
      <c r="Q413">
        <f t="shared" si="975"/>
        <v>-582784.16900662519</v>
      </c>
      <c r="R413">
        <f t="shared" si="976"/>
        <v>-7628913.8232427314</v>
      </c>
      <c r="S413">
        <f t="shared" si="977"/>
        <v>-76.28913823242732</v>
      </c>
      <c r="T413">
        <f t="shared" si="978"/>
        <v>-7.628913823242732E-2</v>
      </c>
    </row>
    <row r="414" spans="1:20" x14ac:dyDescent="0.25">
      <c r="A414" s="5">
        <v>44179</v>
      </c>
      <c r="B414">
        <v>1.5553999999999999</v>
      </c>
      <c r="C414">
        <v>1.611</v>
      </c>
      <c r="D414">
        <v>1.5139</v>
      </c>
      <c r="E414">
        <v>1.6071</v>
      </c>
      <c r="F414">
        <v>1059794.3999999999</v>
      </c>
      <c r="G414">
        <v>0</v>
      </c>
      <c r="L414" t="s">
        <v>7</v>
      </c>
      <c r="M414" t="s">
        <v>7</v>
      </c>
      <c r="N414" t="s">
        <v>7</v>
      </c>
      <c r="P414">
        <f t="shared" si="974"/>
        <v>0.91967044284243016</v>
      </c>
      <c r="Q414">
        <f t="shared" si="975"/>
        <v>974661.58516992745</v>
      </c>
      <c r="R414">
        <f t="shared" si="976"/>
        <v>-7046129.6542361062</v>
      </c>
      <c r="S414">
        <f t="shared" si="977"/>
        <v>-70.461296542361069</v>
      </c>
      <c r="T414">
        <f t="shared" si="978"/>
        <v>-7.0461296542361065E-2</v>
      </c>
    </row>
    <row r="415" spans="1:20" x14ac:dyDescent="0.25">
      <c r="A415" s="5">
        <v>44178</v>
      </c>
      <c r="B415">
        <v>1.5193000000000001</v>
      </c>
      <c r="C415">
        <v>1.6113</v>
      </c>
      <c r="D415">
        <v>1.5048999999999999</v>
      </c>
      <c r="E415">
        <v>1.5550999999999999</v>
      </c>
      <c r="F415">
        <v>830327.87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-5.6390977443609047E-2</v>
      </c>
      <c r="Q415">
        <f t="shared" si="975"/>
        <v>-46823.000187969948</v>
      </c>
      <c r="R415">
        <f t="shared" si="976"/>
        <v>-8020791.2394060334</v>
      </c>
      <c r="S415">
        <f t="shared" si="977"/>
        <v>-80.20791239406033</v>
      </c>
      <c r="T415">
        <f t="shared" si="978"/>
        <v>-8.0207912394060332E-2</v>
      </c>
    </row>
    <row r="416" spans="1:20" x14ac:dyDescent="0.25">
      <c r="A416" s="5">
        <v>44177</v>
      </c>
      <c r="B416">
        <v>1.4750000000000001</v>
      </c>
      <c r="C416">
        <v>1.5335000000000001</v>
      </c>
      <c r="D416">
        <v>1.4731000000000001</v>
      </c>
      <c r="E416">
        <v>1.5170999999999999</v>
      </c>
      <c r="F416">
        <v>740624.54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0.45695364238409969</v>
      </c>
      <c r="Q416">
        <f t="shared" si="975"/>
        <v>338431.08119204832</v>
      </c>
      <c r="R416">
        <f t="shared" si="976"/>
        <v>-7973968.2392180637</v>
      </c>
      <c r="S416">
        <f t="shared" si="977"/>
        <v>-79.73968239218064</v>
      </c>
      <c r="T416">
        <f t="shared" si="978"/>
        <v>-7.9739682392180641E-2</v>
      </c>
    </row>
    <row r="417" spans="1:20" x14ac:dyDescent="0.25">
      <c r="A417" s="5">
        <v>44176</v>
      </c>
      <c r="B417">
        <v>1.5027999999999999</v>
      </c>
      <c r="C417">
        <v>1.5063</v>
      </c>
      <c r="D417">
        <v>1.4131</v>
      </c>
      <c r="E417">
        <v>1.4726999999999999</v>
      </c>
      <c r="F417">
        <v>902500.39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0.2789699570815431</v>
      </c>
      <c r="Q417">
        <f t="shared" si="975"/>
        <v>251770.49506437592</v>
      </c>
      <c r="R417">
        <f t="shared" si="976"/>
        <v>-8312399.3204101119</v>
      </c>
      <c r="S417">
        <f t="shared" si="977"/>
        <v>-83.123993204101126</v>
      </c>
      <c r="T417">
        <f t="shared" si="978"/>
        <v>-8.3123993204101132E-2</v>
      </c>
    </row>
    <row r="418" spans="1:20" x14ac:dyDescent="0.25">
      <c r="A418" s="5">
        <v>44175</v>
      </c>
      <c r="B418">
        <v>1.5417000000000001</v>
      </c>
      <c r="C418">
        <v>1.5506</v>
      </c>
      <c r="D418">
        <v>1.4665999999999999</v>
      </c>
      <c r="E418">
        <v>1.5004</v>
      </c>
      <c r="F418">
        <v>1048264.58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-0.19523809523809471</v>
      </c>
      <c r="Q418">
        <f t="shared" si="975"/>
        <v>-204661.17990476135</v>
      </c>
      <c r="R418">
        <f t="shared" si="976"/>
        <v>-8564169.8154744878</v>
      </c>
      <c r="S418">
        <f t="shared" si="977"/>
        <v>-85.641698154744873</v>
      </c>
      <c r="T418">
        <f t="shared" si="978"/>
        <v>-8.5641698154744872E-2</v>
      </c>
    </row>
    <row r="419" spans="1:20" x14ac:dyDescent="0.25">
      <c r="A419" s="5">
        <v>44174</v>
      </c>
      <c r="B419">
        <v>1.5366</v>
      </c>
      <c r="C419">
        <v>1.5832999999999999</v>
      </c>
      <c r="D419">
        <v>1.4339999999999999</v>
      </c>
      <c r="E419">
        <v>1.5406</v>
      </c>
      <c r="F419">
        <v>1496507.24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0.42799732083054304</v>
      </c>
      <c r="Q419">
        <f t="shared" si="975"/>
        <v>640501.08932351042</v>
      </c>
      <c r="R419">
        <f t="shared" si="976"/>
        <v>-8359508.6355697261</v>
      </c>
      <c r="S419">
        <f t="shared" si="977"/>
        <v>-83.595086355697262</v>
      </c>
      <c r="T419">
        <f t="shared" si="978"/>
        <v>-8.3595086355697262E-2</v>
      </c>
    </row>
    <row r="420" spans="1:20" x14ac:dyDescent="0.25">
      <c r="A420" s="5">
        <v>44173</v>
      </c>
      <c r="B420">
        <v>1.6845000000000001</v>
      </c>
      <c r="C420">
        <v>1.6930000000000001</v>
      </c>
      <c r="D420">
        <v>1.5011000000000001</v>
      </c>
      <c r="E420">
        <v>1.5364</v>
      </c>
      <c r="F420">
        <v>2221635.2999999998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-0.63210005211047526</v>
      </c>
      <c r="Q420">
        <f t="shared" si="975"/>
        <v>-1404295.7889004713</v>
      </c>
      <c r="R420">
        <f t="shared" si="976"/>
        <v>-9000009.7248932365</v>
      </c>
      <c r="S420">
        <f t="shared" si="977"/>
        <v>-90.000097248932363</v>
      </c>
      <c r="T420">
        <f t="shared" si="978"/>
        <v>-9.0000097248932362E-2</v>
      </c>
    </row>
    <row r="421" spans="1:20" x14ac:dyDescent="0.25">
      <c r="A421" s="5">
        <v>44172</v>
      </c>
      <c r="B421">
        <v>1.6662999999999999</v>
      </c>
      <c r="C421">
        <v>1.69</v>
      </c>
      <c r="D421">
        <v>1.6177999999999999</v>
      </c>
      <c r="E421">
        <v>1.6839999999999999</v>
      </c>
      <c r="F421">
        <v>1131789.27</v>
      </c>
      <c r="G421">
        <v>0</v>
      </c>
      <c r="L421" t="s">
        <v>8</v>
      </c>
      <c r="M421" t="s">
        <v>7</v>
      </c>
      <c r="N421" t="s">
        <v>7</v>
      </c>
      <c r="P421">
        <f t="shared" si="974"/>
        <v>0.83379501385041543</v>
      </c>
      <c r="Q421">
        <f t="shared" si="975"/>
        <v>943680.25005540159</v>
      </c>
      <c r="R421">
        <f t="shared" si="976"/>
        <v>-7595713.9359927652</v>
      </c>
      <c r="S421">
        <f t="shared" si="977"/>
        <v>-75.957139359927652</v>
      </c>
      <c r="T421">
        <f t="shared" si="978"/>
        <v>-7.595713935992765E-2</v>
      </c>
    </row>
    <row r="422" spans="1:20" x14ac:dyDescent="0.25">
      <c r="A422" s="5">
        <v>44171</v>
      </c>
      <c r="B422">
        <v>1.7170000000000001</v>
      </c>
      <c r="C422">
        <v>1.7249000000000001</v>
      </c>
      <c r="D422">
        <v>1.6106</v>
      </c>
      <c r="E422">
        <v>1.6655</v>
      </c>
      <c r="F422">
        <v>1118309.8</v>
      </c>
      <c r="G422">
        <v>0</v>
      </c>
      <c r="L422" t="s">
        <v>8</v>
      </c>
      <c r="M422" t="s">
        <v>7</v>
      </c>
      <c r="N422" t="s">
        <v>7</v>
      </c>
      <c r="P422">
        <f t="shared" si="974"/>
        <v>-3.9370078740158951E-2</v>
      </c>
      <c r="Q422">
        <f t="shared" si="975"/>
        <v>-44027.94488189141</v>
      </c>
      <c r="R422">
        <f t="shared" si="976"/>
        <v>-8539394.1860481668</v>
      </c>
      <c r="S422">
        <f t="shared" si="977"/>
        <v>-85.393941860481675</v>
      </c>
      <c r="T422">
        <f t="shared" si="978"/>
        <v>-8.5393941860481673E-2</v>
      </c>
    </row>
    <row r="423" spans="1:20" x14ac:dyDescent="0.25">
      <c r="A423" s="5">
        <v>44170</v>
      </c>
      <c r="B423">
        <v>1.5889</v>
      </c>
      <c r="C423">
        <v>1.7299</v>
      </c>
      <c r="D423">
        <v>1.5640000000000001</v>
      </c>
      <c r="E423">
        <v>1.7179</v>
      </c>
      <c r="F423">
        <v>1442309.18</v>
      </c>
      <c r="G423">
        <v>0</v>
      </c>
      <c r="L423" t="s">
        <v>8</v>
      </c>
      <c r="M423" t="s">
        <v>7</v>
      </c>
      <c r="N423" t="s">
        <v>7</v>
      </c>
      <c r="P423">
        <f t="shared" si="974"/>
        <v>0.85533453887884248</v>
      </c>
      <c r="Q423">
        <f t="shared" si="975"/>
        <v>1233656.8573960213</v>
      </c>
      <c r="R423">
        <f t="shared" si="976"/>
        <v>-8495366.241166275</v>
      </c>
      <c r="S423">
        <f t="shared" si="977"/>
        <v>-84.953662411662748</v>
      </c>
      <c r="T423">
        <f t="shared" si="978"/>
        <v>-8.4953662411662745E-2</v>
      </c>
    </row>
    <row r="424" spans="1:20" x14ac:dyDescent="0.25">
      <c r="A424" s="5">
        <v>44169</v>
      </c>
      <c r="B424">
        <v>1.8158000000000001</v>
      </c>
      <c r="C424">
        <v>1.8203</v>
      </c>
      <c r="D424">
        <v>1.5732999999999999</v>
      </c>
      <c r="E424">
        <v>1.5887</v>
      </c>
      <c r="F424">
        <v>1902094.52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-0.87530364372469571</v>
      </c>
      <c r="Q424">
        <f t="shared" si="975"/>
        <v>-1664910.264064776</v>
      </c>
      <c r="R424">
        <f t="shared" si="976"/>
        <v>-9729023.0985622965</v>
      </c>
      <c r="S424">
        <f t="shared" si="977"/>
        <v>-97.290230985622969</v>
      </c>
      <c r="T424">
        <f t="shared" si="978"/>
        <v>-9.7290230985622964E-2</v>
      </c>
    </row>
    <row r="425" spans="1:20" x14ac:dyDescent="0.25">
      <c r="A425" s="5">
        <v>44168</v>
      </c>
      <c r="B425">
        <v>1.7459</v>
      </c>
      <c r="C425">
        <v>1.9</v>
      </c>
      <c r="D425">
        <v>1.7446999999999999</v>
      </c>
      <c r="E425">
        <v>1.8160000000000001</v>
      </c>
      <c r="F425">
        <v>2651769.2000000002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-8.1777205408884168E-2</v>
      </c>
      <c r="Q425">
        <f t="shared" si="975"/>
        <v>-216854.27456535245</v>
      </c>
      <c r="R425">
        <f t="shared" si="976"/>
        <v>-8064112.8344975198</v>
      </c>
      <c r="S425">
        <f t="shared" si="977"/>
        <v>-80.641128344975201</v>
      </c>
      <c r="T425">
        <f t="shared" si="978"/>
        <v>-8.0641128344975194E-2</v>
      </c>
    </row>
    <row r="426" spans="1:20" x14ac:dyDescent="0.25">
      <c r="A426" s="5">
        <v>44167</v>
      </c>
      <c r="B426">
        <v>1.6411</v>
      </c>
      <c r="C426">
        <v>1.7899</v>
      </c>
      <c r="D426">
        <v>1.6127</v>
      </c>
      <c r="E426">
        <v>1.7464</v>
      </c>
      <c r="F426">
        <v>2105341.7400000002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0.50902934537245947</v>
      </c>
      <c r="Q426">
        <f t="shared" si="975"/>
        <v>1071680.7276975149</v>
      </c>
      <c r="R426">
        <f t="shared" si="976"/>
        <v>-7847258.5599321676</v>
      </c>
      <c r="S426">
        <f t="shared" si="977"/>
        <v>-78.472585599321675</v>
      </c>
      <c r="T426">
        <f t="shared" si="978"/>
        <v>-7.8472585599321673E-2</v>
      </c>
    </row>
    <row r="427" spans="1:20" x14ac:dyDescent="0.25">
      <c r="A427" s="5">
        <v>44166</v>
      </c>
      <c r="B427">
        <v>1.6775</v>
      </c>
      <c r="C427">
        <v>1.8108</v>
      </c>
      <c r="D427">
        <v>1.5640000000000001</v>
      </c>
      <c r="E427">
        <v>1.6422000000000001</v>
      </c>
      <c r="F427">
        <v>3456521.26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-0.36628849270664443</v>
      </c>
      <c r="Q427">
        <f t="shared" si="975"/>
        <v>-1266083.9623338713</v>
      </c>
      <c r="R427">
        <f t="shared" si="976"/>
        <v>-8918939.2876296826</v>
      </c>
      <c r="S427">
        <f t="shared" si="977"/>
        <v>-89.189392876296822</v>
      </c>
      <c r="T427">
        <f t="shared" si="978"/>
        <v>-8.9189392876296819E-2</v>
      </c>
    </row>
    <row r="428" spans="1:20" x14ac:dyDescent="0.25">
      <c r="A428" s="5">
        <v>44165</v>
      </c>
      <c r="B428">
        <v>1.6528</v>
      </c>
      <c r="C428">
        <v>1.7423</v>
      </c>
      <c r="D428">
        <v>1.6032</v>
      </c>
      <c r="E428">
        <v>1.6821999999999999</v>
      </c>
      <c r="F428">
        <v>2816495.19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0.13587347232206987</v>
      </c>
      <c r="Q428">
        <f t="shared" si="975"/>
        <v>382686.98124370788</v>
      </c>
      <c r="R428">
        <f t="shared" si="976"/>
        <v>-7652855.3252958106</v>
      </c>
      <c r="S428">
        <f t="shared" si="977"/>
        <v>-76.528553252958105</v>
      </c>
      <c r="T428">
        <f t="shared" si="978"/>
        <v>-7.6528553252958098E-2</v>
      </c>
    </row>
    <row r="429" spans="1:20" x14ac:dyDescent="0.25">
      <c r="A429" s="5">
        <v>44164</v>
      </c>
      <c r="B429">
        <v>1.6225000000000001</v>
      </c>
      <c r="C429">
        <v>1.6998</v>
      </c>
      <c r="D429">
        <v>1.58</v>
      </c>
      <c r="E429">
        <v>1.6524000000000001</v>
      </c>
      <c r="F429">
        <v>1325361.1599999999</v>
      </c>
      <c r="G429">
        <v>0</v>
      </c>
      <c r="L429" t="s">
        <v>8</v>
      </c>
      <c r="M429" t="s">
        <v>7</v>
      </c>
      <c r="N429" t="s">
        <v>7</v>
      </c>
      <c r="P429">
        <f t="shared" si="974"/>
        <v>0.2086811352253769</v>
      </c>
      <c r="Q429">
        <f t="shared" si="975"/>
        <v>276577.87145242235</v>
      </c>
      <c r="R429">
        <f t="shared" si="976"/>
        <v>-8035542.3065395188</v>
      </c>
      <c r="S429">
        <f t="shared" si="977"/>
        <v>-80.355423065395186</v>
      </c>
      <c r="T429">
        <f t="shared" si="978"/>
        <v>-8.0355423065395185E-2</v>
      </c>
    </row>
    <row r="430" spans="1:20" x14ac:dyDescent="0.25">
      <c r="A430" s="5">
        <v>44163</v>
      </c>
      <c r="B430">
        <v>1.5755999999999999</v>
      </c>
      <c r="C430">
        <v>1.6733</v>
      </c>
      <c r="D430">
        <v>1.5335000000000001</v>
      </c>
      <c r="E430">
        <v>1.6225000000000001</v>
      </c>
      <c r="F430">
        <v>1684349.88</v>
      </c>
      <c r="G430">
        <v>0</v>
      </c>
      <c r="L430" t="s">
        <v>7</v>
      </c>
      <c r="M430" t="s">
        <v>7</v>
      </c>
      <c r="N430" t="s">
        <v>7</v>
      </c>
      <c r="P430">
        <f t="shared" si="974"/>
        <v>0.2732474964234623</v>
      </c>
      <c r="Q430">
        <f t="shared" si="975"/>
        <v>460244.38781115913</v>
      </c>
      <c r="R430">
        <f t="shared" si="976"/>
        <v>-8312120.1779919406</v>
      </c>
      <c r="S430">
        <f t="shared" si="977"/>
        <v>-83.121201779919403</v>
      </c>
      <c r="T430">
        <f t="shared" si="978"/>
        <v>-8.3121201779919399E-2</v>
      </c>
    </row>
    <row r="431" spans="1:20" x14ac:dyDescent="0.25">
      <c r="A431" s="5">
        <v>44162</v>
      </c>
      <c r="B431">
        <v>1.6108</v>
      </c>
      <c r="C431">
        <v>1.6489</v>
      </c>
      <c r="D431">
        <v>1.5</v>
      </c>
      <c r="E431">
        <v>1.5737000000000001</v>
      </c>
      <c r="F431">
        <v>2002334.11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-1.0073875083947848E-2</v>
      </c>
      <c r="Q431">
        <f t="shared" si="975"/>
        <v>-20171.263700467891</v>
      </c>
      <c r="R431">
        <f t="shared" si="976"/>
        <v>-8772364.5658030994</v>
      </c>
      <c r="S431">
        <f t="shared" si="977"/>
        <v>-87.723645658030989</v>
      </c>
      <c r="T431">
        <f t="shared" si="978"/>
        <v>-8.7723645658030994E-2</v>
      </c>
    </row>
    <row r="432" spans="1:20" x14ac:dyDescent="0.25">
      <c r="A432" s="5">
        <v>44161</v>
      </c>
      <c r="B432">
        <v>1.8917999999999999</v>
      </c>
      <c r="C432">
        <v>1.9517</v>
      </c>
      <c r="D432">
        <v>1.4672000000000001</v>
      </c>
      <c r="E432">
        <v>1.6126</v>
      </c>
      <c r="F432">
        <v>5131480.78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-0.39979360165118683</v>
      </c>
      <c r="Q432">
        <f t="shared" si="975"/>
        <v>-2051533.1828400416</v>
      </c>
      <c r="R432">
        <f t="shared" si="976"/>
        <v>-8752193.302102631</v>
      </c>
      <c r="S432">
        <f t="shared" si="977"/>
        <v>-87.521933021026314</v>
      </c>
      <c r="T432">
        <f t="shared" si="978"/>
        <v>-8.7521933021026316E-2</v>
      </c>
    </row>
    <row r="433" spans="1:20" x14ac:dyDescent="0.25">
      <c r="A433" s="5">
        <v>44160</v>
      </c>
      <c r="B433">
        <v>1.9881</v>
      </c>
      <c r="C433">
        <v>2.1139000000000001</v>
      </c>
      <c r="D433">
        <v>1.85</v>
      </c>
      <c r="E433">
        <v>1.8949</v>
      </c>
      <c r="F433">
        <v>3613931.42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-0.65971959075407405</v>
      </c>
      <c r="Q433">
        <f t="shared" si="975"/>
        <v>-2384181.3574156896</v>
      </c>
      <c r="R433">
        <f t="shared" si="976"/>
        <v>-6700660.1192625891</v>
      </c>
      <c r="S433">
        <f t="shared" si="977"/>
        <v>-67.006601192625894</v>
      </c>
      <c r="T433">
        <f t="shared" si="978"/>
        <v>-6.70066011926259E-2</v>
      </c>
    </row>
    <row r="434" spans="1:20" x14ac:dyDescent="0.25">
      <c r="A434" s="5">
        <v>44159</v>
      </c>
      <c r="B434">
        <v>1.9635</v>
      </c>
      <c r="C434">
        <v>2.1863000000000001</v>
      </c>
      <c r="D434">
        <v>1.855</v>
      </c>
      <c r="E434">
        <v>1.9881</v>
      </c>
      <c r="F434">
        <v>5196895.32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-0.19649864171445858</v>
      </c>
      <c r="Q434">
        <f t="shared" si="975"/>
        <v>-1021182.8715122266</v>
      </c>
      <c r="R434">
        <f t="shared" si="976"/>
        <v>-4316478.7618468991</v>
      </c>
      <c r="S434">
        <f t="shared" si="977"/>
        <v>-43.164787618468992</v>
      </c>
      <c r="T434">
        <f t="shared" si="978"/>
        <v>-4.3164787618468994E-2</v>
      </c>
    </row>
    <row r="435" spans="1:20" x14ac:dyDescent="0.25">
      <c r="A435" s="5">
        <v>44158</v>
      </c>
      <c r="B435">
        <v>1.8283</v>
      </c>
      <c r="C435">
        <v>2.0190999999999999</v>
      </c>
      <c r="D435">
        <v>1.7978000000000001</v>
      </c>
      <c r="E435">
        <v>1.9635</v>
      </c>
      <c r="F435">
        <v>3036346.2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0.49751468594667947</v>
      </c>
      <c r="Q435">
        <f t="shared" si="975"/>
        <v>1510626.8261183938</v>
      </c>
      <c r="R435">
        <f t="shared" si="976"/>
        <v>-3295295.8903346723</v>
      </c>
      <c r="S435">
        <f t="shared" si="977"/>
        <v>-32.952958903346726</v>
      </c>
      <c r="T435">
        <f t="shared" si="978"/>
        <v>-3.2952958903346728E-2</v>
      </c>
    </row>
    <row r="436" spans="1:20" x14ac:dyDescent="0.25">
      <c r="A436" s="5">
        <v>44157</v>
      </c>
      <c r="B436">
        <v>1.9632000000000001</v>
      </c>
      <c r="C436">
        <v>2.0127999999999999</v>
      </c>
      <c r="D436">
        <v>1.6940999999999999</v>
      </c>
      <c r="E436">
        <v>1.8269</v>
      </c>
      <c r="F436">
        <v>4297110.97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-0.16661437088170672</v>
      </c>
      <c r="Q436">
        <f t="shared" si="975"/>
        <v>-715960.44087543047</v>
      </c>
      <c r="R436">
        <f t="shared" si="976"/>
        <v>-4805922.7164530661</v>
      </c>
      <c r="S436">
        <f t="shared" si="977"/>
        <v>-48.059227164530661</v>
      </c>
      <c r="T436">
        <f t="shared" si="978"/>
        <v>-4.8059227164530663E-2</v>
      </c>
    </row>
    <row r="437" spans="1:20" x14ac:dyDescent="0.25">
      <c r="A437" s="5">
        <v>44156</v>
      </c>
      <c r="B437">
        <v>1.7975000000000001</v>
      </c>
      <c r="C437">
        <v>2.0617999999999999</v>
      </c>
      <c r="D437">
        <v>1.7779</v>
      </c>
      <c r="E437">
        <v>1.9652000000000001</v>
      </c>
      <c r="F437">
        <v>4303632.95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0.31947868967946558</v>
      </c>
      <c r="Q437">
        <f t="shared" si="975"/>
        <v>1374919.0157273731</v>
      </c>
      <c r="R437">
        <f t="shared" si="976"/>
        <v>-4089962.2755776355</v>
      </c>
      <c r="S437">
        <f t="shared" si="977"/>
        <v>-40.899622755776356</v>
      </c>
      <c r="T437">
        <f t="shared" si="978"/>
        <v>-4.0899622755776355E-2</v>
      </c>
    </row>
    <row r="438" spans="1:20" x14ac:dyDescent="0.25">
      <c r="A438" s="5">
        <v>44155</v>
      </c>
      <c r="B438">
        <v>1.6920999999999999</v>
      </c>
      <c r="C438">
        <v>1.88</v>
      </c>
      <c r="D438">
        <v>1.6845000000000001</v>
      </c>
      <c r="E438">
        <v>1.7992999999999999</v>
      </c>
      <c r="F438">
        <v>3221692.82</v>
      </c>
      <c r="G438">
        <v>0</v>
      </c>
      <c r="L438" t="s">
        <v>8</v>
      </c>
      <c r="M438" t="s">
        <v>7</v>
      </c>
      <c r="N438" t="s">
        <v>8</v>
      </c>
      <c r="P438">
        <f t="shared" si="974"/>
        <v>0.17442455242966667</v>
      </c>
      <c r="Q438">
        <f t="shared" si="975"/>
        <v>561942.32819437061</v>
      </c>
      <c r="R438">
        <f t="shared" si="976"/>
        <v>-5464881.2913050083</v>
      </c>
      <c r="S438">
        <f t="shared" si="977"/>
        <v>-54.648812913050087</v>
      </c>
      <c r="T438">
        <f t="shared" si="978"/>
        <v>-5.4648812913050085E-2</v>
      </c>
    </row>
    <row r="439" spans="1:20" x14ac:dyDescent="0.25">
      <c r="A439" s="5">
        <v>44154</v>
      </c>
      <c r="B439">
        <v>1.7158</v>
      </c>
      <c r="C439">
        <v>1.8</v>
      </c>
      <c r="D439">
        <v>1.6</v>
      </c>
      <c r="E439">
        <v>1.6922999999999999</v>
      </c>
      <c r="F439">
        <v>3890996.42</v>
      </c>
      <c r="G439">
        <v>0</v>
      </c>
      <c r="L439" t="s">
        <v>8</v>
      </c>
      <c r="M439" t="s">
        <v>7</v>
      </c>
      <c r="N439" t="s">
        <v>8</v>
      </c>
      <c r="P439">
        <f t="shared" si="974"/>
        <v>-7.7000000000001526E-2</v>
      </c>
      <c r="Q439">
        <f t="shared" si="975"/>
        <v>-299606.72434000595</v>
      </c>
      <c r="R439">
        <f t="shared" si="976"/>
        <v>-6026823.6194993788</v>
      </c>
      <c r="S439">
        <f t="shared" si="977"/>
        <v>-60.26823619499379</v>
      </c>
      <c r="T439">
        <f t="shared" si="978"/>
        <v>-6.0268236194993788E-2</v>
      </c>
    </row>
    <row r="440" spans="1:20" x14ac:dyDescent="0.25">
      <c r="A440" s="5">
        <v>44153</v>
      </c>
      <c r="B440">
        <v>1.8728</v>
      </c>
      <c r="C440">
        <v>1.9876</v>
      </c>
      <c r="D440">
        <v>1.5935999999999999</v>
      </c>
      <c r="E440">
        <v>1.7182999999999999</v>
      </c>
      <c r="F440">
        <v>5642298.6399999997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-0.36700507614213201</v>
      </c>
      <c r="Q440">
        <f t="shared" si="975"/>
        <v>-2070752.2419898477</v>
      </c>
      <c r="R440">
        <f t="shared" si="976"/>
        <v>-5727216.8951593731</v>
      </c>
      <c r="S440">
        <f t="shared" si="977"/>
        <v>-57.272168951593727</v>
      </c>
      <c r="T440">
        <f t="shared" si="978"/>
        <v>-5.7272168951593726E-2</v>
      </c>
    </row>
    <row r="441" spans="1:20" x14ac:dyDescent="0.25">
      <c r="A441" s="5">
        <v>44152</v>
      </c>
      <c r="B441">
        <v>1.7124999999999999</v>
      </c>
      <c r="C441">
        <v>1.9990000000000001</v>
      </c>
      <c r="D441">
        <v>1.6875</v>
      </c>
      <c r="E441">
        <v>1.8725000000000001</v>
      </c>
      <c r="F441">
        <v>8908761.6699999999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0.18780096308186189</v>
      </c>
      <c r="Q441">
        <f t="shared" si="975"/>
        <v>1673074.0214927762</v>
      </c>
      <c r="R441">
        <f t="shared" si="976"/>
        <v>-3656464.6531695249</v>
      </c>
      <c r="S441">
        <f t="shared" si="977"/>
        <v>-36.564646531695246</v>
      </c>
      <c r="T441">
        <f t="shared" si="978"/>
        <v>-3.6564646531695243E-2</v>
      </c>
    </row>
    <row r="442" spans="1:20" x14ac:dyDescent="0.25">
      <c r="A442" s="5">
        <v>44151</v>
      </c>
      <c r="B442">
        <v>1.4782999999999999</v>
      </c>
      <c r="C442">
        <v>1.9</v>
      </c>
      <c r="D442">
        <v>1.4616</v>
      </c>
      <c r="E442">
        <v>1.7124999999999999</v>
      </c>
      <c r="F442">
        <v>6233162.4100000001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0.1446167883211677</v>
      </c>
      <c r="Q442">
        <f t="shared" si="975"/>
        <v>901419.92881842959</v>
      </c>
      <c r="R442">
        <f t="shared" si="976"/>
        <v>-5329538.6746623013</v>
      </c>
      <c r="S442">
        <f t="shared" si="977"/>
        <v>-53.295386746623016</v>
      </c>
      <c r="T442">
        <f t="shared" si="978"/>
        <v>-5.3295386746623014E-2</v>
      </c>
    </row>
    <row r="443" spans="1:20" x14ac:dyDescent="0.25">
      <c r="A443" s="5">
        <v>44150</v>
      </c>
      <c r="B443">
        <v>1.4548000000000001</v>
      </c>
      <c r="C443">
        <v>1.5475000000000001</v>
      </c>
      <c r="D443">
        <v>1.4334</v>
      </c>
      <c r="E443">
        <v>1.4790000000000001</v>
      </c>
      <c r="F443">
        <v>2784497.36</v>
      </c>
      <c r="G443">
        <v>0</v>
      </c>
      <c r="L443" t="s">
        <v>8</v>
      </c>
      <c r="M443" t="s">
        <v>7</v>
      </c>
      <c r="N443" t="s">
        <v>8</v>
      </c>
      <c r="P443">
        <f t="shared" si="974"/>
        <v>-0.20070113935144523</v>
      </c>
      <c r="Q443">
        <f t="shared" si="975"/>
        <v>-558851.79267309129</v>
      </c>
      <c r="R443">
        <f t="shared" si="976"/>
        <v>-6230958.6034807311</v>
      </c>
      <c r="S443">
        <f t="shared" si="977"/>
        <v>-62.30958603480731</v>
      </c>
      <c r="T443">
        <f t="shared" si="978"/>
        <v>-6.230958603480731E-2</v>
      </c>
    </row>
    <row r="444" spans="1:20" x14ac:dyDescent="0.25">
      <c r="A444" s="5">
        <v>44149</v>
      </c>
      <c r="B444">
        <v>1.5188999999999999</v>
      </c>
      <c r="C444">
        <v>1.5314000000000001</v>
      </c>
      <c r="D444">
        <v>1.4048</v>
      </c>
      <c r="E444">
        <v>1.4519</v>
      </c>
      <c r="F444">
        <v>2226065.4500000002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-0.25592417061611528</v>
      </c>
      <c r="Q444">
        <f t="shared" si="975"/>
        <v>-569703.95402843948</v>
      </c>
      <c r="R444">
        <f t="shared" si="976"/>
        <v>-5672106.8108076397</v>
      </c>
      <c r="S444">
        <f t="shared" si="977"/>
        <v>-56.721068108076395</v>
      </c>
      <c r="T444">
        <f t="shared" si="978"/>
        <v>-5.6721068108076395E-2</v>
      </c>
    </row>
    <row r="445" spans="1:20" x14ac:dyDescent="0.25">
      <c r="A445" s="5">
        <v>44148</v>
      </c>
      <c r="B445">
        <v>1.4348000000000001</v>
      </c>
      <c r="C445">
        <v>1.5537000000000001</v>
      </c>
      <c r="D445">
        <v>1.4307000000000001</v>
      </c>
      <c r="E445">
        <v>1.5173000000000001</v>
      </c>
      <c r="F445">
        <v>2471579.2400000002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0.40813008130081319</v>
      </c>
      <c r="Q445">
        <f t="shared" si="975"/>
        <v>1008725.8361626022</v>
      </c>
      <c r="R445">
        <f t="shared" si="976"/>
        <v>-5102402.8567792</v>
      </c>
      <c r="S445">
        <f t="shared" si="977"/>
        <v>-51.024028567792001</v>
      </c>
      <c r="T445">
        <f t="shared" si="978"/>
        <v>-5.1024028567792E-2</v>
      </c>
    </row>
    <row r="446" spans="1:20" x14ac:dyDescent="0.25">
      <c r="A446" s="5">
        <v>44147</v>
      </c>
      <c r="B446">
        <v>1.4766999999999999</v>
      </c>
      <c r="C446">
        <v>1.53</v>
      </c>
      <c r="D446">
        <v>1.3952</v>
      </c>
      <c r="E446">
        <v>1.4383999999999999</v>
      </c>
      <c r="F446">
        <v>2689429.75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-0.35905044510385914</v>
      </c>
      <c r="Q446">
        <f t="shared" si="975"/>
        <v>-965640.94881306065</v>
      </c>
      <c r="R446">
        <f t="shared" si="976"/>
        <v>-6111128.6929418026</v>
      </c>
      <c r="S446">
        <f t="shared" si="977"/>
        <v>-61.111286929418029</v>
      </c>
      <c r="T446">
        <f t="shared" si="978"/>
        <v>-6.1111286929418029E-2</v>
      </c>
    </row>
    <row r="447" spans="1:20" x14ac:dyDescent="0.25">
      <c r="A447" s="5">
        <v>44146</v>
      </c>
      <c r="B447">
        <v>1.5719000000000001</v>
      </c>
      <c r="C447">
        <v>1.6693</v>
      </c>
      <c r="D447">
        <v>1.4662999999999999</v>
      </c>
      <c r="E447">
        <v>1.4770000000000001</v>
      </c>
      <c r="F447">
        <v>3153223.59</v>
      </c>
      <c r="G447">
        <v>0</v>
      </c>
      <c r="L447" t="s">
        <v>7</v>
      </c>
      <c r="M447" t="s">
        <v>8</v>
      </c>
      <c r="N447" t="s">
        <v>8</v>
      </c>
      <c r="P447">
        <f t="shared" si="974"/>
        <v>-0.89458128078817589</v>
      </c>
      <c r="Q447">
        <f t="shared" si="975"/>
        <v>-2820814.7977536898</v>
      </c>
      <c r="R447">
        <f t="shared" si="976"/>
        <v>-5145487.7441287423</v>
      </c>
      <c r="S447">
        <f t="shared" si="977"/>
        <v>-51.454877441287422</v>
      </c>
      <c r="T447">
        <f t="shared" si="978"/>
        <v>-5.1454877441287419E-2</v>
      </c>
    </row>
    <row r="448" spans="1:20" x14ac:dyDescent="0.25">
      <c r="A448" s="5">
        <v>44145</v>
      </c>
      <c r="B448">
        <v>1.4645999999999999</v>
      </c>
      <c r="C448">
        <v>1.65</v>
      </c>
      <c r="D448">
        <v>1.425</v>
      </c>
      <c r="E448">
        <v>1.5701000000000001</v>
      </c>
      <c r="F448">
        <v>3682050.95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0.28977777777777858</v>
      </c>
      <c r="Q448">
        <f t="shared" si="975"/>
        <v>1066976.5419555586</v>
      </c>
      <c r="R448">
        <f t="shared" si="976"/>
        <v>-2324672.9463750524</v>
      </c>
      <c r="S448">
        <f t="shared" si="977"/>
        <v>-23.246729463750526</v>
      </c>
      <c r="T448">
        <f t="shared" si="978"/>
        <v>-2.3246729463750525E-2</v>
      </c>
    </row>
    <row r="449" spans="1:20" x14ac:dyDescent="0.25">
      <c r="A449" s="5">
        <v>44144</v>
      </c>
      <c r="B449">
        <v>1.4681999999999999</v>
      </c>
      <c r="C449">
        <v>1.5188999999999999</v>
      </c>
      <c r="D449">
        <v>1.3716999999999999</v>
      </c>
      <c r="E449">
        <v>1.4645999999999999</v>
      </c>
      <c r="F449">
        <v>8825495.3599999994</v>
      </c>
      <c r="G449">
        <v>0</v>
      </c>
      <c r="L449" t="s">
        <v>7</v>
      </c>
      <c r="M449" t="s">
        <v>7</v>
      </c>
      <c r="N449" t="s">
        <v>8</v>
      </c>
      <c r="P449">
        <f t="shared" si="974"/>
        <v>0.26222826086956502</v>
      </c>
      <c r="Q449">
        <f t="shared" si="975"/>
        <v>2314294.2995652156</v>
      </c>
      <c r="R449">
        <f t="shared" si="976"/>
        <v>-3391649.488330611</v>
      </c>
      <c r="S449">
        <f t="shared" si="977"/>
        <v>-33.916494883306108</v>
      </c>
      <c r="T449">
        <f t="shared" si="978"/>
        <v>-3.3916494883306107E-2</v>
      </c>
    </row>
    <row r="450" spans="1:20" x14ac:dyDescent="0.25">
      <c r="A450" s="5">
        <v>44143</v>
      </c>
      <c r="B450">
        <v>1.4531000000000001</v>
      </c>
      <c r="C450">
        <v>1.5616000000000001</v>
      </c>
      <c r="D450">
        <v>1.4077</v>
      </c>
      <c r="E450">
        <v>1.4681</v>
      </c>
      <c r="F450">
        <v>3915397.31</v>
      </c>
      <c r="G450">
        <v>0</v>
      </c>
      <c r="L450" t="s">
        <v>7</v>
      </c>
      <c r="M450" t="s">
        <v>7</v>
      </c>
      <c r="N450" t="s">
        <v>8</v>
      </c>
      <c r="P450">
        <f t="shared" si="974"/>
        <v>-0.2150747238466543</v>
      </c>
      <c r="Q450">
        <f t="shared" si="975"/>
        <v>-842102.99519818311</v>
      </c>
      <c r="R450">
        <f t="shared" si="976"/>
        <v>-5705943.7878958266</v>
      </c>
      <c r="S450">
        <f t="shared" si="977"/>
        <v>-57.059437878958263</v>
      </c>
      <c r="T450">
        <f t="shared" si="978"/>
        <v>-5.7059437878958265E-2</v>
      </c>
    </row>
    <row r="451" spans="1:20" x14ac:dyDescent="0.25">
      <c r="A451" s="5">
        <v>44142</v>
      </c>
      <c r="B451">
        <v>1.5467</v>
      </c>
      <c r="C451">
        <v>1.7347999999999999</v>
      </c>
      <c r="D451">
        <v>1.35</v>
      </c>
      <c r="E451">
        <v>1.4516</v>
      </c>
      <c r="F451">
        <v>6982996.4199999999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-0.47193347193347213</v>
      </c>
      <c r="Q451">
        <f t="shared" si="975"/>
        <v>-3295509.7449896061</v>
      </c>
      <c r="R451">
        <f t="shared" si="976"/>
        <v>-4863840.7926976439</v>
      </c>
      <c r="S451">
        <f t="shared" si="977"/>
        <v>-48.638407926976441</v>
      </c>
      <c r="T451">
        <f t="shared" si="978"/>
        <v>-4.8638407926976442E-2</v>
      </c>
    </row>
    <row r="452" spans="1:20" x14ac:dyDescent="0.25">
      <c r="A452" s="5">
        <v>44141</v>
      </c>
      <c r="B452">
        <v>1.3041</v>
      </c>
      <c r="C452">
        <v>1.5495000000000001</v>
      </c>
      <c r="D452">
        <v>1.2930999999999999</v>
      </c>
      <c r="E452">
        <v>1.5467</v>
      </c>
      <c r="F452">
        <v>6499549.25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0.97815912636505353</v>
      </c>
      <c r="Q452">
        <f t="shared" si="975"/>
        <v>6357593.4161466388</v>
      </c>
      <c r="R452">
        <f t="shared" si="976"/>
        <v>-1568331.0477080382</v>
      </c>
      <c r="S452">
        <f t="shared" si="977"/>
        <v>-15.683310477080383</v>
      </c>
      <c r="T452">
        <f t="shared" si="978"/>
        <v>-1.5683310477080385E-2</v>
      </c>
    </row>
    <row r="453" spans="1:20" x14ac:dyDescent="0.25">
      <c r="A453" s="5">
        <v>44140</v>
      </c>
      <c r="B453">
        <v>1.2847999999999999</v>
      </c>
      <c r="C453">
        <v>1.3351</v>
      </c>
      <c r="D453">
        <v>1.22</v>
      </c>
      <c r="E453">
        <v>1.3043</v>
      </c>
      <c r="F453">
        <v>6178980.1200000001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0.46481320590790715</v>
      </c>
      <c r="Q453">
        <f t="shared" si="975"/>
        <v>2872071.5588184251</v>
      </c>
      <c r="R453">
        <f t="shared" si="976"/>
        <v>-7925924.463854677</v>
      </c>
      <c r="S453">
        <f t="shared" si="977"/>
        <v>-79.259244638546775</v>
      </c>
      <c r="T453">
        <f t="shared" si="978"/>
        <v>-7.9259244638546777E-2</v>
      </c>
    </row>
    <row r="454" spans="1:20" x14ac:dyDescent="0.25">
      <c r="A454" s="5">
        <v>44139</v>
      </c>
      <c r="B454">
        <v>1.3749</v>
      </c>
      <c r="C454">
        <v>1.3855999999999999</v>
      </c>
      <c r="D454">
        <v>1.1952</v>
      </c>
      <c r="E454">
        <v>1.2846</v>
      </c>
      <c r="F454">
        <v>11800046.619999999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-6.0924369747899478E-2</v>
      </c>
      <c r="Q454">
        <f t="shared" ref="Q454:Q517" si="980">F454*P454</f>
        <v>-718910.40331933147</v>
      </c>
      <c r="R454">
        <f t="shared" ref="R454:R517" si="981">R455+Q454</f>
        <v>-10797996.022673102</v>
      </c>
      <c r="S454">
        <f t="shared" ref="S454:S517" si="982">R454/100000</f>
        <v>-107.97996022673102</v>
      </c>
      <c r="T454">
        <f t="shared" ref="T454:T517" si="983">S454/1000</f>
        <v>-0.10797996022673102</v>
      </c>
    </row>
    <row r="455" spans="1:20" x14ac:dyDescent="0.25">
      <c r="A455" s="5">
        <v>44138</v>
      </c>
      <c r="B455">
        <v>1.5873999999999999</v>
      </c>
      <c r="C455">
        <v>1.6041000000000001</v>
      </c>
      <c r="D455">
        <v>1.3245</v>
      </c>
      <c r="E455">
        <v>1.375</v>
      </c>
      <c r="F455">
        <v>16922402.039999999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-0.63876967095851234</v>
      </c>
      <c r="Q455">
        <f t="shared" si="980"/>
        <v>-10809517.182918457</v>
      </c>
      <c r="R455">
        <f t="shared" si="981"/>
        <v>-10079085.619353771</v>
      </c>
      <c r="S455">
        <f t="shared" si="982"/>
        <v>-100.79085619353771</v>
      </c>
      <c r="T455">
        <f t="shared" si="983"/>
        <v>-0.10079085619353771</v>
      </c>
    </row>
    <row r="456" spans="1:20" x14ac:dyDescent="0.25">
      <c r="A456" s="5">
        <v>44137</v>
      </c>
      <c r="B456">
        <v>1.4957</v>
      </c>
      <c r="C456">
        <v>1.6601999999999999</v>
      </c>
      <c r="D456">
        <v>1.4954000000000001</v>
      </c>
      <c r="E456">
        <v>1.5876999999999999</v>
      </c>
      <c r="F456">
        <v>5422926.7300000004</v>
      </c>
      <c r="G456">
        <v>0</v>
      </c>
      <c r="L456" t="s">
        <v>8</v>
      </c>
      <c r="M456" t="s">
        <v>8</v>
      </c>
      <c r="N456" t="s">
        <v>7</v>
      </c>
      <c r="P456">
        <f t="shared" si="979"/>
        <v>0.12014563106796018</v>
      </c>
      <c r="Q456">
        <f t="shared" si="980"/>
        <v>651540.95421115973</v>
      </c>
      <c r="R456">
        <f t="shared" si="981"/>
        <v>730431.56356468622</v>
      </c>
      <c r="S456">
        <f t="shared" si="982"/>
        <v>7.3043156356468621</v>
      </c>
      <c r="T456">
        <f t="shared" si="983"/>
        <v>7.304315635646862E-3</v>
      </c>
    </row>
    <row r="457" spans="1:20" x14ac:dyDescent="0.25">
      <c r="A457" s="5">
        <v>44136</v>
      </c>
      <c r="B457">
        <v>1.4402999999999999</v>
      </c>
      <c r="C457">
        <v>1.5064</v>
      </c>
      <c r="D457">
        <v>1.4238999999999999</v>
      </c>
      <c r="E457">
        <v>1.4943</v>
      </c>
      <c r="F457">
        <v>1019664.19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0.70666666666666678</v>
      </c>
      <c r="Q457">
        <f t="shared" si="980"/>
        <v>720562.69426666677</v>
      </c>
      <c r="R457">
        <f t="shared" si="981"/>
        <v>78890.609353526495</v>
      </c>
      <c r="S457">
        <f t="shared" si="982"/>
        <v>0.78890609353526497</v>
      </c>
      <c r="T457">
        <f t="shared" si="983"/>
        <v>7.8890609353526495E-4</v>
      </c>
    </row>
    <row r="458" spans="1:20" x14ac:dyDescent="0.25">
      <c r="A458" s="5">
        <v>44135</v>
      </c>
      <c r="B458">
        <v>1.5121</v>
      </c>
      <c r="C458">
        <v>1.5840000000000001</v>
      </c>
      <c r="D458">
        <v>1.4330000000000001</v>
      </c>
      <c r="E458">
        <v>1.4423999999999999</v>
      </c>
      <c r="F458">
        <v>1717935.44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-0.87549668874172382</v>
      </c>
      <c r="Q458">
        <f t="shared" si="980"/>
        <v>-1504046.7891920563</v>
      </c>
      <c r="R458">
        <f t="shared" si="981"/>
        <v>-641672.08491314028</v>
      </c>
      <c r="S458">
        <f t="shared" si="982"/>
        <v>-6.4167208491314032</v>
      </c>
      <c r="T458">
        <f t="shared" si="983"/>
        <v>-6.4167208491314031E-3</v>
      </c>
    </row>
    <row r="459" spans="1:20" x14ac:dyDescent="0.25">
      <c r="A459" s="5">
        <v>44134</v>
      </c>
      <c r="B459">
        <v>1.45</v>
      </c>
      <c r="C459">
        <v>1.5549999999999999</v>
      </c>
      <c r="D459">
        <v>1.3828</v>
      </c>
      <c r="E459">
        <v>1.512</v>
      </c>
      <c r="F459">
        <v>1988928.31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0.50058072009291577</v>
      </c>
      <c r="Q459">
        <f t="shared" si="980"/>
        <v>995619.165632986</v>
      </c>
      <c r="R459">
        <f t="shared" si="981"/>
        <v>862374.704278916</v>
      </c>
      <c r="S459">
        <f t="shared" si="982"/>
        <v>8.6237470427891605</v>
      </c>
      <c r="T459">
        <f t="shared" si="983"/>
        <v>8.6237470427891604E-3</v>
      </c>
    </row>
    <row r="460" spans="1:20" x14ac:dyDescent="0.25">
      <c r="A460" s="5">
        <v>44133</v>
      </c>
      <c r="B460">
        <v>1.5723</v>
      </c>
      <c r="C460">
        <v>1.5915999999999999</v>
      </c>
      <c r="D460">
        <v>1.4013</v>
      </c>
      <c r="E460">
        <v>1.4505999999999999</v>
      </c>
      <c r="F460">
        <v>1322463.97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-0.48187073042564454</v>
      </c>
      <c r="Q460">
        <f t="shared" si="980"/>
        <v>-637256.67918549769</v>
      </c>
      <c r="R460">
        <f t="shared" si="981"/>
        <v>-133244.46135406999</v>
      </c>
      <c r="S460">
        <f t="shared" si="982"/>
        <v>-1.3324446135407</v>
      </c>
      <c r="T460">
        <f t="shared" si="983"/>
        <v>-1.3324446135406999E-3</v>
      </c>
    </row>
    <row r="461" spans="1:20" x14ac:dyDescent="0.25">
      <c r="A461" s="5">
        <v>44132</v>
      </c>
      <c r="B461">
        <v>1.7089000000000001</v>
      </c>
      <c r="C461">
        <v>1.7136</v>
      </c>
      <c r="D461">
        <v>1.5273000000000001</v>
      </c>
      <c r="E461">
        <v>1.5741000000000001</v>
      </c>
      <c r="F461">
        <v>1407891.59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-0.4975845410628022</v>
      </c>
      <c r="Q461">
        <f t="shared" si="980"/>
        <v>-700545.09067632887</v>
      </c>
      <c r="R461">
        <f t="shared" si="981"/>
        <v>504012.2178314277</v>
      </c>
      <c r="S461">
        <f t="shared" si="982"/>
        <v>5.0401221783142773</v>
      </c>
      <c r="T461">
        <f t="shared" si="983"/>
        <v>5.0401221783142776E-3</v>
      </c>
    </row>
    <row r="462" spans="1:20" x14ac:dyDescent="0.25">
      <c r="A462" s="5">
        <v>44131</v>
      </c>
      <c r="B462">
        <v>1.7330000000000001</v>
      </c>
      <c r="C462">
        <v>1.7627999999999999</v>
      </c>
      <c r="D462">
        <v>1.6888000000000001</v>
      </c>
      <c r="E462">
        <v>1.7108000000000001</v>
      </c>
      <c r="F462">
        <v>1129265.98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-0.4054054054054036</v>
      </c>
      <c r="Q462">
        <f t="shared" si="980"/>
        <v>-457810.53243243037</v>
      </c>
      <c r="R462">
        <f t="shared" si="981"/>
        <v>1204557.3085077566</v>
      </c>
      <c r="S462">
        <f t="shared" si="982"/>
        <v>12.045573085077566</v>
      </c>
      <c r="T462">
        <f t="shared" si="983"/>
        <v>1.2045573085077565E-2</v>
      </c>
    </row>
    <row r="463" spans="1:20" x14ac:dyDescent="0.25">
      <c r="A463" s="5">
        <v>44130</v>
      </c>
      <c r="B463">
        <v>1.8441000000000001</v>
      </c>
      <c r="C463">
        <v>1.8889</v>
      </c>
      <c r="D463">
        <v>1.6639999999999999</v>
      </c>
      <c r="E463">
        <v>1.7332000000000001</v>
      </c>
      <c r="F463">
        <v>1441167.69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-0.38461538461538353</v>
      </c>
      <c r="Q463">
        <f t="shared" si="980"/>
        <v>-554295.26538461377</v>
      </c>
      <c r="R463">
        <f t="shared" si="981"/>
        <v>1662367.840940187</v>
      </c>
      <c r="S463">
        <f t="shared" si="982"/>
        <v>16.623678409401869</v>
      </c>
      <c r="T463">
        <f t="shared" si="983"/>
        <v>1.6623678409401869E-2</v>
      </c>
    </row>
    <row r="464" spans="1:20" x14ac:dyDescent="0.25">
      <c r="A464" s="5">
        <v>44129</v>
      </c>
      <c r="B464">
        <v>1.9277</v>
      </c>
      <c r="C464">
        <v>1.9307000000000001</v>
      </c>
      <c r="D464">
        <v>1.8169999999999999</v>
      </c>
      <c r="E464">
        <v>1.8445</v>
      </c>
      <c r="F464">
        <v>768966.39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-0.51627088830254975</v>
      </c>
      <c r="Q464">
        <f t="shared" si="980"/>
        <v>-396994.96124010492</v>
      </c>
      <c r="R464">
        <f t="shared" si="981"/>
        <v>2216663.1063248008</v>
      </c>
      <c r="S464">
        <f t="shared" si="982"/>
        <v>22.166631063248008</v>
      </c>
      <c r="T464">
        <f t="shared" si="983"/>
        <v>2.2166631063248007E-2</v>
      </c>
    </row>
    <row r="465" spans="1:20" x14ac:dyDescent="0.25">
      <c r="A465" s="5">
        <v>44128</v>
      </c>
      <c r="B465">
        <v>1.9124000000000001</v>
      </c>
      <c r="C465">
        <v>1.95</v>
      </c>
      <c r="D465">
        <v>1.8766</v>
      </c>
      <c r="E465">
        <v>1.9318</v>
      </c>
      <c r="F465">
        <v>665200.41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0.50408719346049002</v>
      </c>
      <c r="Q465">
        <f t="shared" si="980"/>
        <v>335319.00776566728</v>
      </c>
      <c r="R465">
        <f t="shared" si="981"/>
        <v>2613658.0675649056</v>
      </c>
      <c r="S465">
        <f t="shared" si="982"/>
        <v>26.136580675649057</v>
      </c>
      <c r="T465">
        <f t="shared" si="983"/>
        <v>2.6136580675649057E-2</v>
      </c>
    </row>
    <row r="466" spans="1:20" x14ac:dyDescent="0.25">
      <c r="A466" s="5">
        <v>44127</v>
      </c>
      <c r="B466">
        <v>1.9701</v>
      </c>
      <c r="C466">
        <v>2.0447000000000002</v>
      </c>
      <c r="D466">
        <v>1.8671</v>
      </c>
      <c r="E466">
        <v>1.9118999999999999</v>
      </c>
      <c r="F466">
        <v>1562136.92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-0.4954954954954966</v>
      </c>
      <c r="Q466">
        <f t="shared" si="980"/>
        <v>-774031.80720720894</v>
      </c>
      <c r="R466">
        <f t="shared" si="981"/>
        <v>2278339.0597992386</v>
      </c>
      <c r="S466">
        <f t="shared" si="982"/>
        <v>22.783390597992387</v>
      </c>
      <c r="T466">
        <f t="shared" si="983"/>
        <v>2.2783390597992385E-2</v>
      </c>
    </row>
    <row r="467" spans="1:20" x14ac:dyDescent="0.25">
      <c r="A467" s="5">
        <v>44126</v>
      </c>
      <c r="B467">
        <v>1.8535999999999999</v>
      </c>
      <c r="C467">
        <v>2.0369000000000002</v>
      </c>
      <c r="D467">
        <v>1.8522000000000001</v>
      </c>
      <c r="E467">
        <v>1.9719</v>
      </c>
      <c r="F467">
        <v>1606462.82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0.2961559285327543</v>
      </c>
      <c r="Q467">
        <f t="shared" si="980"/>
        <v>475763.48811044695</v>
      </c>
      <c r="R467">
        <f t="shared" si="981"/>
        <v>3052370.8670064476</v>
      </c>
      <c r="S467">
        <f t="shared" si="982"/>
        <v>30.523708670064476</v>
      </c>
      <c r="T467">
        <f t="shared" si="983"/>
        <v>3.0523708670064476E-2</v>
      </c>
    </row>
    <row r="468" spans="1:20" x14ac:dyDescent="0.25">
      <c r="A468" s="5">
        <v>44125</v>
      </c>
      <c r="B468">
        <v>1.8045</v>
      </c>
      <c r="C468">
        <v>1.93</v>
      </c>
      <c r="D468">
        <v>1.7911999999999999</v>
      </c>
      <c r="E468">
        <v>1.8524</v>
      </c>
      <c r="F468">
        <v>1826786.67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-0.11815561959653995</v>
      </c>
      <c r="Q468">
        <f t="shared" si="980"/>
        <v>-215845.11086454993</v>
      </c>
      <c r="R468">
        <f t="shared" si="981"/>
        <v>2576607.3788960008</v>
      </c>
      <c r="S468">
        <f t="shared" si="982"/>
        <v>25.766073788960007</v>
      </c>
      <c r="T468">
        <f t="shared" si="983"/>
        <v>2.5766073788960005E-2</v>
      </c>
    </row>
    <row r="469" spans="1:20" x14ac:dyDescent="0.25">
      <c r="A469" s="5">
        <v>44124</v>
      </c>
      <c r="B469">
        <v>1.9519</v>
      </c>
      <c r="C469">
        <v>1.9759</v>
      </c>
      <c r="D469">
        <v>1.7749999999999999</v>
      </c>
      <c r="E469">
        <v>1.8045</v>
      </c>
      <c r="F469">
        <v>1599097.18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-0.70632155301144783</v>
      </c>
      <c r="Q469">
        <f t="shared" si="980"/>
        <v>-1129476.8035938267</v>
      </c>
      <c r="R469">
        <f t="shared" si="981"/>
        <v>2792452.4897605507</v>
      </c>
      <c r="S469">
        <f t="shared" si="982"/>
        <v>27.924524897605508</v>
      </c>
      <c r="T469">
        <f t="shared" si="983"/>
        <v>2.7924524897605506E-2</v>
      </c>
    </row>
    <row r="470" spans="1:20" x14ac:dyDescent="0.25">
      <c r="A470" s="5">
        <v>44123</v>
      </c>
      <c r="B470">
        <v>2.0550000000000002</v>
      </c>
      <c r="C470">
        <v>2.0632999999999999</v>
      </c>
      <c r="D470">
        <v>1.9322999999999999</v>
      </c>
      <c r="E470">
        <v>1.9497</v>
      </c>
      <c r="F470">
        <v>1203953.6000000001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-0.73435114503816667</v>
      </c>
      <c r="Q470">
        <f t="shared" si="980"/>
        <v>-884124.70473282295</v>
      </c>
      <c r="R470">
        <f t="shared" si="981"/>
        <v>3921929.2933543772</v>
      </c>
      <c r="S470">
        <f t="shared" si="982"/>
        <v>39.21929293354377</v>
      </c>
      <c r="T470">
        <f t="shared" si="983"/>
        <v>3.9219292933543773E-2</v>
      </c>
    </row>
    <row r="471" spans="1:20" x14ac:dyDescent="0.25">
      <c r="A471" s="5">
        <v>44122</v>
      </c>
      <c r="B471">
        <v>2.0333999999999999</v>
      </c>
      <c r="C471">
        <v>2.1240999999999999</v>
      </c>
      <c r="D471">
        <v>2.02</v>
      </c>
      <c r="E471">
        <v>2.0524</v>
      </c>
      <c r="F471">
        <v>800836.92</v>
      </c>
      <c r="G471">
        <v>0</v>
      </c>
      <c r="L471" t="s">
        <v>7</v>
      </c>
      <c r="M471" t="s">
        <v>7</v>
      </c>
      <c r="N471" t="s">
        <v>8</v>
      </c>
      <c r="P471">
        <f t="shared" si="979"/>
        <v>-0.37752161383285249</v>
      </c>
      <c r="Q471">
        <f t="shared" si="980"/>
        <v>-302333.24645533098</v>
      </c>
      <c r="R471">
        <f t="shared" si="981"/>
        <v>4806053.9980872003</v>
      </c>
      <c r="S471">
        <f t="shared" si="982"/>
        <v>48.060539980872001</v>
      </c>
      <c r="T471">
        <f t="shared" si="983"/>
        <v>4.8060539980872001E-2</v>
      </c>
    </row>
    <row r="472" spans="1:20" x14ac:dyDescent="0.25">
      <c r="A472" s="5">
        <v>44121</v>
      </c>
      <c r="B472">
        <v>2.0278</v>
      </c>
      <c r="C472">
        <v>2.1</v>
      </c>
      <c r="D472">
        <v>2</v>
      </c>
      <c r="E472">
        <v>2.0326</v>
      </c>
      <c r="F472">
        <v>1037772.85</v>
      </c>
      <c r="G472">
        <v>0</v>
      </c>
      <c r="L472" t="s">
        <v>7</v>
      </c>
      <c r="M472" t="s">
        <v>7</v>
      </c>
      <c r="N472" t="s">
        <v>8</v>
      </c>
      <c r="P472">
        <f t="shared" si="979"/>
        <v>-0.34800000000000131</v>
      </c>
      <c r="Q472">
        <f t="shared" si="980"/>
        <v>-361144.95180000138</v>
      </c>
      <c r="R472">
        <f t="shared" si="981"/>
        <v>5108387.2445425317</v>
      </c>
      <c r="S472">
        <f t="shared" si="982"/>
        <v>51.083872445425314</v>
      </c>
      <c r="T472">
        <f t="shared" si="983"/>
        <v>5.1083872445425317E-2</v>
      </c>
    </row>
    <row r="473" spans="1:20" x14ac:dyDescent="0.25">
      <c r="A473" s="5">
        <v>44120</v>
      </c>
      <c r="B473">
        <v>2.2705000000000002</v>
      </c>
      <c r="C473">
        <v>2.34</v>
      </c>
      <c r="D473">
        <v>2</v>
      </c>
      <c r="E473">
        <v>2.0247999999999999</v>
      </c>
      <c r="F473">
        <v>2052505.29</v>
      </c>
      <c r="G473">
        <v>0</v>
      </c>
      <c r="L473" t="s">
        <v>7</v>
      </c>
      <c r="M473" t="s">
        <v>7</v>
      </c>
      <c r="N473" t="s">
        <v>8</v>
      </c>
      <c r="P473">
        <f t="shared" si="979"/>
        <v>-0.85411764705882387</v>
      </c>
      <c r="Q473">
        <f t="shared" si="980"/>
        <v>-1753080.9888705891</v>
      </c>
      <c r="R473">
        <f t="shared" si="981"/>
        <v>5469532.1963425335</v>
      </c>
      <c r="S473">
        <f t="shared" si="982"/>
        <v>54.695321963425336</v>
      </c>
      <c r="T473">
        <f t="shared" si="983"/>
        <v>5.4695321963425338E-2</v>
      </c>
    </row>
    <row r="474" spans="1:20" x14ac:dyDescent="0.25">
      <c r="A474" s="5">
        <v>44119</v>
      </c>
      <c r="B474">
        <v>2.3656000000000001</v>
      </c>
      <c r="C474">
        <v>2.5068000000000001</v>
      </c>
      <c r="D474">
        <v>2.2440000000000002</v>
      </c>
      <c r="E474">
        <v>2.27</v>
      </c>
      <c r="F474">
        <v>2204448.46</v>
      </c>
      <c r="G474">
        <v>0</v>
      </c>
      <c r="L474" t="s">
        <v>8</v>
      </c>
      <c r="M474" t="s">
        <v>7</v>
      </c>
      <c r="N474" t="s">
        <v>8</v>
      </c>
      <c r="P474">
        <f t="shared" si="979"/>
        <v>-0.80213089802131043</v>
      </c>
      <c r="Q474">
        <f t="shared" si="980"/>
        <v>-1768256.2228614949</v>
      </c>
      <c r="R474">
        <f t="shared" si="981"/>
        <v>7222613.1852131225</v>
      </c>
      <c r="S474">
        <f t="shared" si="982"/>
        <v>72.226131852131232</v>
      </c>
      <c r="T474">
        <f t="shared" si="983"/>
        <v>7.2226131852131226E-2</v>
      </c>
    </row>
    <row r="475" spans="1:20" x14ac:dyDescent="0.25">
      <c r="A475" s="5">
        <v>44118</v>
      </c>
      <c r="B475">
        <v>2.2928999999999999</v>
      </c>
      <c r="C475">
        <v>2.4459</v>
      </c>
      <c r="D475">
        <v>2.2532999999999999</v>
      </c>
      <c r="E475">
        <v>2.3589000000000002</v>
      </c>
      <c r="F475">
        <v>1897423.67</v>
      </c>
      <c r="G475">
        <v>0</v>
      </c>
      <c r="L475" t="s">
        <v>8</v>
      </c>
      <c r="M475" t="s">
        <v>7</v>
      </c>
      <c r="N475" t="s">
        <v>8</v>
      </c>
      <c r="P475">
        <f t="shared" si="979"/>
        <v>9.657320872274458E-2</v>
      </c>
      <c r="Q475">
        <f t="shared" si="980"/>
        <v>183240.29211838602</v>
      </c>
      <c r="R475">
        <f t="shared" si="981"/>
        <v>8990869.4080746174</v>
      </c>
      <c r="S475">
        <f t="shared" si="982"/>
        <v>89.908694080746173</v>
      </c>
      <c r="T475">
        <f t="shared" si="983"/>
        <v>8.9908694080746171E-2</v>
      </c>
    </row>
    <row r="476" spans="1:20" x14ac:dyDescent="0.25">
      <c r="A476" s="5">
        <v>44117</v>
      </c>
      <c r="B476">
        <v>2.37</v>
      </c>
      <c r="C476">
        <v>2.4786000000000001</v>
      </c>
      <c r="D476">
        <v>2.2482000000000002</v>
      </c>
      <c r="E476">
        <v>2.2921</v>
      </c>
      <c r="F476">
        <v>1971933.26</v>
      </c>
      <c r="G476">
        <v>0</v>
      </c>
      <c r="L476" t="s">
        <v>7</v>
      </c>
      <c r="M476" t="s">
        <v>7</v>
      </c>
      <c r="N476" t="s">
        <v>8</v>
      </c>
      <c r="P476">
        <f t="shared" si="979"/>
        <v>-0.61892361111111249</v>
      </c>
      <c r="Q476">
        <f t="shared" si="980"/>
        <v>-1220476.0541493082</v>
      </c>
      <c r="R476">
        <f t="shared" si="981"/>
        <v>8807629.115956232</v>
      </c>
      <c r="S476">
        <f t="shared" si="982"/>
        <v>88.076291159562317</v>
      </c>
      <c r="T476">
        <f t="shared" si="983"/>
        <v>8.8076291159562323E-2</v>
      </c>
    </row>
    <row r="477" spans="1:20" x14ac:dyDescent="0.25">
      <c r="A477" s="5">
        <v>44116</v>
      </c>
      <c r="B477">
        <v>2.5409000000000002</v>
      </c>
      <c r="C477">
        <v>2.59</v>
      </c>
      <c r="D477">
        <v>2.3182</v>
      </c>
      <c r="E477">
        <v>2.3713000000000002</v>
      </c>
      <c r="F477">
        <v>3316354.06</v>
      </c>
      <c r="G477">
        <v>0</v>
      </c>
      <c r="L477" t="s">
        <v>7</v>
      </c>
      <c r="M477" t="s">
        <v>8</v>
      </c>
      <c r="N477" t="s">
        <v>8</v>
      </c>
      <c r="P477">
        <f t="shared" si="979"/>
        <v>-0.60927152317880662</v>
      </c>
      <c r="Q477">
        <f t="shared" si="980"/>
        <v>-2020560.0895364194</v>
      </c>
      <c r="R477">
        <f t="shared" si="981"/>
        <v>10028105.170105539</v>
      </c>
      <c r="S477">
        <f t="shared" si="982"/>
        <v>100.28105170105539</v>
      </c>
      <c r="T477">
        <f t="shared" si="983"/>
        <v>0.10028105170105539</v>
      </c>
    </row>
    <row r="478" spans="1:20" x14ac:dyDescent="0.25">
      <c r="A478" s="5">
        <v>44115</v>
      </c>
      <c r="B478">
        <v>2.2562000000000002</v>
      </c>
      <c r="C478">
        <v>2.6766000000000001</v>
      </c>
      <c r="D478">
        <v>2.1497999999999999</v>
      </c>
      <c r="E478">
        <v>2.5341</v>
      </c>
      <c r="F478">
        <v>3021585.27</v>
      </c>
      <c r="G478">
        <v>0</v>
      </c>
      <c r="L478" t="s">
        <v>8</v>
      </c>
      <c r="M478" t="s">
        <v>8</v>
      </c>
      <c r="N478" t="s">
        <v>8</v>
      </c>
      <c r="P478">
        <f t="shared" si="979"/>
        <v>0.45899772209567186</v>
      </c>
      <c r="Q478">
        <f t="shared" si="980"/>
        <v>1386900.7560478356</v>
      </c>
      <c r="R478">
        <f t="shared" si="981"/>
        <v>12048665.259641958</v>
      </c>
      <c r="S478">
        <f t="shared" si="982"/>
        <v>120.48665259641959</v>
      </c>
      <c r="T478">
        <f t="shared" si="983"/>
        <v>0.12048665259641959</v>
      </c>
    </row>
    <row r="479" spans="1:20" x14ac:dyDescent="0.25">
      <c r="A479" s="5">
        <v>44114</v>
      </c>
      <c r="B479">
        <v>2.1855000000000002</v>
      </c>
      <c r="C479">
        <v>2.3431000000000002</v>
      </c>
      <c r="D479">
        <v>2.1855000000000002</v>
      </c>
      <c r="E479">
        <v>2.2566999999999999</v>
      </c>
      <c r="F479">
        <v>1827561.8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-9.6446700507617708E-2</v>
      </c>
      <c r="Q479">
        <f t="shared" si="980"/>
        <v>-176262.30558376273</v>
      </c>
      <c r="R479">
        <f t="shared" si="981"/>
        <v>10661764.503594123</v>
      </c>
      <c r="S479">
        <f t="shared" si="982"/>
        <v>106.61764503594122</v>
      </c>
      <c r="T479">
        <f t="shared" si="983"/>
        <v>0.10661764503594122</v>
      </c>
    </row>
    <row r="480" spans="1:20" x14ac:dyDescent="0.25">
      <c r="A480" s="5">
        <v>44113</v>
      </c>
      <c r="B480">
        <v>1.9991000000000001</v>
      </c>
      <c r="C480">
        <v>2.2200000000000002</v>
      </c>
      <c r="D480">
        <v>1.9453</v>
      </c>
      <c r="E480">
        <v>2.1855000000000002</v>
      </c>
      <c r="F480">
        <v>1784835.06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0.74881689115398653</v>
      </c>
      <c r="Q480">
        <f t="shared" si="980"/>
        <v>1336514.640851839</v>
      </c>
      <c r="R480">
        <f t="shared" si="981"/>
        <v>10838026.809177885</v>
      </c>
      <c r="S480">
        <f t="shared" si="982"/>
        <v>108.38026809177885</v>
      </c>
      <c r="T480">
        <f t="shared" si="983"/>
        <v>0.10838026809177885</v>
      </c>
    </row>
    <row r="481" spans="1:20" x14ac:dyDescent="0.25">
      <c r="A481" s="5">
        <v>44112</v>
      </c>
      <c r="B481">
        <v>1.891</v>
      </c>
      <c r="C481">
        <v>2.0569999999999999</v>
      </c>
      <c r="D481">
        <v>1.7802</v>
      </c>
      <c r="E481">
        <v>1.9972000000000001</v>
      </c>
      <c r="F481">
        <v>1715821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0.56791907514450968</v>
      </c>
      <c r="Q481">
        <f t="shared" si="980"/>
        <v>974447.47543352772</v>
      </c>
      <c r="R481">
        <f t="shared" si="981"/>
        <v>9501512.1683260463</v>
      </c>
      <c r="S481">
        <f t="shared" si="982"/>
        <v>95.01512168326046</v>
      </c>
      <c r="T481">
        <f t="shared" si="983"/>
        <v>9.5015121683260456E-2</v>
      </c>
    </row>
    <row r="482" spans="1:20" x14ac:dyDescent="0.25">
      <c r="A482" s="5">
        <v>44111</v>
      </c>
      <c r="B482">
        <v>1.8455999999999999</v>
      </c>
      <c r="C482">
        <v>1.8982000000000001</v>
      </c>
      <c r="D482">
        <v>1.7375</v>
      </c>
      <c r="E482">
        <v>1.8856999999999999</v>
      </c>
      <c r="F482">
        <v>1662207.36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0.84443061605475822</v>
      </c>
      <c r="Q482">
        <f t="shared" si="980"/>
        <v>1403618.7850155535</v>
      </c>
      <c r="R482">
        <f t="shared" si="981"/>
        <v>8527064.6928925179</v>
      </c>
      <c r="S482">
        <f t="shared" si="982"/>
        <v>85.270646928925174</v>
      </c>
      <c r="T482">
        <f t="shared" si="983"/>
        <v>8.5270646928925178E-2</v>
      </c>
    </row>
    <row r="483" spans="1:20" x14ac:dyDescent="0.25">
      <c r="A483" s="5">
        <v>44110</v>
      </c>
      <c r="B483">
        <v>2.1497000000000002</v>
      </c>
      <c r="C483">
        <v>2.16</v>
      </c>
      <c r="D483">
        <v>1.8</v>
      </c>
      <c r="E483">
        <v>1.8488</v>
      </c>
      <c r="F483">
        <v>1997641.99</v>
      </c>
      <c r="G483">
        <v>0</v>
      </c>
      <c r="L483" t="s">
        <v>7</v>
      </c>
      <c r="M483" t="s">
        <v>7</v>
      </c>
      <c r="N483" t="s">
        <v>8</v>
      </c>
      <c r="P483">
        <f t="shared" si="979"/>
        <v>-0.72888888888888925</v>
      </c>
      <c r="Q483">
        <f t="shared" si="980"/>
        <v>-1456059.0504888897</v>
      </c>
      <c r="R483">
        <f t="shared" si="981"/>
        <v>7123445.9078769647</v>
      </c>
      <c r="S483">
        <f t="shared" si="982"/>
        <v>71.234459078769646</v>
      </c>
      <c r="T483">
        <f t="shared" si="983"/>
        <v>7.1234459078769644E-2</v>
      </c>
    </row>
    <row r="484" spans="1:20" x14ac:dyDescent="0.25">
      <c r="A484" s="5">
        <v>44109</v>
      </c>
      <c r="B484">
        <v>2.0526</v>
      </c>
      <c r="C484">
        <v>2.1793999999999998</v>
      </c>
      <c r="D484">
        <v>2.02</v>
      </c>
      <c r="E484">
        <v>2.1459999999999999</v>
      </c>
      <c r="F484">
        <v>1184747.04</v>
      </c>
      <c r="G484">
        <v>0</v>
      </c>
      <c r="L484" t="s">
        <v>8</v>
      </c>
      <c r="M484" t="s">
        <v>7</v>
      </c>
      <c r="N484" t="s">
        <v>8</v>
      </c>
      <c r="P484">
        <f t="shared" si="979"/>
        <v>0.58092848180677636</v>
      </c>
      <c r="Q484">
        <f t="shared" si="980"/>
        <v>688253.29927227215</v>
      </c>
      <c r="R484">
        <f t="shared" si="981"/>
        <v>8579504.9583658539</v>
      </c>
      <c r="S484">
        <f t="shared" si="982"/>
        <v>85.795049583658539</v>
      </c>
      <c r="T484">
        <f t="shared" si="983"/>
        <v>8.5795049583658536E-2</v>
      </c>
    </row>
    <row r="485" spans="1:20" x14ac:dyDescent="0.25">
      <c r="A485" s="5">
        <v>44108</v>
      </c>
      <c r="B485">
        <v>2.0634000000000001</v>
      </c>
      <c r="C485">
        <v>2.0846</v>
      </c>
      <c r="D485">
        <v>1.9899</v>
      </c>
      <c r="E485">
        <v>2.0541</v>
      </c>
      <c r="F485">
        <v>712943.57</v>
      </c>
      <c r="G485">
        <v>0</v>
      </c>
      <c r="L485" t="s">
        <v>7</v>
      </c>
      <c r="M485" t="s">
        <v>7</v>
      </c>
      <c r="N485" t="s">
        <v>8</v>
      </c>
      <c r="P485">
        <f t="shared" si="979"/>
        <v>0.3558606124604019</v>
      </c>
      <c r="Q485">
        <f t="shared" si="980"/>
        <v>253708.53546990539</v>
      </c>
      <c r="R485">
        <f t="shared" si="981"/>
        <v>7891251.6590935821</v>
      </c>
      <c r="S485">
        <f t="shared" si="982"/>
        <v>78.912516590935823</v>
      </c>
      <c r="T485">
        <f t="shared" si="983"/>
        <v>7.8912516590935816E-2</v>
      </c>
    </row>
    <row r="486" spans="1:20" x14ac:dyDescent="0.25">
      <c r="A486" s="5">
        <v>44107</v>
      </c>
      <c r="B486">
        <v>2.0994000000000002</v>
      </c>
      <c r="C486">
        <v>2.14</v>
      </c>
      <c r="D486">
        <v>2.0581</v>
      </c>
      <c r="E486">
        <v>2.0672000000000001</v>
      </c>
      <c r="F486">
        <v>768935.27</v>
      </c>
      <c r="G486">
        <v>0</v>
      </c>
      <c r="L486" t="s">
        <v>8</v>
      </c>
      <c r="M486" t="s">
        <v>7</v>
      </c>
      <c r="N486" t="s">
        <v>8</v>
      </c>
      <c r="P486">
        <f t="shared" si="979"/>
        <v>-0.77777777777777535</v>
      </c>
      <c r="Q486">
        <f t="shared" si="980"/>
        <v>-598060.76555555372</v>
      </c>
      <c r="R486">
        <f t="shared" si="981"/>
        <v>7637543.1236236766</v>
      </c>
      <c r="S486">
        <f t="shared" si="982"/>
        <v>76.375431236236764</v>
      </c>
      <c r="T486">
        <f t="shared" si="983"/>
        <v>7.637543123623676E-2</v>
      </c>
    </row>
    <row r="487" spans="1:20" x14ac:dyDescent="0.25">
      <c r="A487" s="5">
        <v>44106</v>
      </c>
      <c r="B487">
        <v>2.2237</v>
      </c>
      <c r="C487">
        <v>2.3012999999999999</v>
      </c>
      <c r="D487">
        <v>1.9330000000000001</v>
      </c>
      <c r="E487">
        <v>2.0994000000000002</v>
      </c>
      <c r="F487">
        <v>2508476.89</v>
      </c>
      <c r="G487">
        <v>0</v>
      </c>
      <c r="L487" t="s">
        <v>7</v>
      </c>
      <c r="M487" t="s">
        <v>7</v>
      </c>
      <c r="N487" t="s">
        <v>8</v>
      </c>
      <c r="P487">
        <f t="shared" si="979"/>
        <v>-9.6388813467281176E-2</v>
      </c>
      <c r="Q487">
        <f t="shared" si="980"/>
        <v>-241789.1110371956</v>
      </c>
      <c r="R487">
        <f t="shared" si="981"/>
        <v>8235603.8891792307</v>
      </c>
      <c r="S487">
        <f t="shared" si="982"/>
        <v>82.356038891792309</v>
      </c>
      <c r="T487">
        <f t="shared" si="983"/>
        <v>8.2356038891792313E-2</v>
      </c>
    </row>
    <row r="488" spans="1:20" x14ac:dyDescent="0.25">
      <c r="A488" s="5">
        <v>44105</v>
      </c>
      <c r="B488">
        <v>2.2902</v>
      </c>
      <c r="C488">
        <v>2.4845999999999999</v>
      </c>
      <c r="D488">
        <v>2.1349999999999998</v>
      </c>
      <c r="E488">
        <v>2.2265999999999999</v>
      </c>
      <c r="F488">
        <v>2141308.12</v>
      </c>
      <c r="G488">
        <v>0</v>
      </c>
      <c r="L488" t="s">
        <v>8</v>
      </c>
      <c r="M488" t="s">
        <v>8</v>
      </c>
      <c r="N488" t="s">
        <v>8</v>
      </c>
      <c r="P488">
        <f t="shared" si="979"/>
        <v>-0.47597254004576606</v>
      </c>
      <c r="Q488">
        <f t="shared" si="980"/>
        <v>-1019203.8648970241</v>
      </c>
      <c r="R488">
        <f t="shared" si="981"/>
        <v>8477393.0002164263</v>
      </c>
      <c r="S488">
        <f t="shared" si="982"/>
        <v>84.773930002164263</v>
      </c>
      <c r="T488">
        <f t="shared" si="983"/>
        <v>8.4773930002164266E-2</v>
      </c>
    </row>
    <row r="489" spans="1:20" x14ac:dyDescent="0.25">
      <c r="A489" s="5">
        <v>44104</v>
      </c>
      <c r="B489">
        <v>2.2507000000000001</v>
      </c>
      <c r="C489">
        <v>2.3083999999999998</v>
      </c>
      <c r="D489">
        <v>2.1823000000000001</v>
      </c>
      <c r="E489">
        <v>2.2884000000000002</v>
      </c>
      <c r="F489">
        <v>1030930.47</v>
      </c>
      <c r="G489">
        <v>0</v>
      </c>
      <c r="L489" t="s">
        <v>8</v>
      </c>
      <c r="M489" t="s">
        <v>8</v>
      </c>
      <c r="N489" t="s">
        <v>7</v>
      </c>
      <c r="P489">
        <f t="shared" si="979"/>
        <v>0.68279143536876086</v>
      </c>
      <c r="Q489">
        <f t="shared" si="980"/>
        <v>703910.49537669122</v>
      </c>
      <c r="R489">
        <f t="shared" si="981"/>
        <v>9496596.8651134502</v>
      </c>
      <c r="S489">
        <f t="shared" si="982"/>
        <v>94.965968651134503</v>
      </c>
      <c r="T489">
        <f t="shared" si="983"/>
        <v>9.4965968651134505E-2</v>
      </c>
    </row>
    <row r="490" spans="1:20" x14ac:dyDescent="0.25">
      <c r="A490" s="5">
        <v>44103</v>
      </c>
      <c r="B490">
        <v>2.1772999999999998</v>
      </c>
      <c r="C490">
        <v>2.2555999999999998</v>
      </c>
      <c r="D490">
        <v>2.1120999999999999</v>
      </c>
      <c r="E490">
        <v>2.2551000000000001</v>
      </c>
      <c r="F490">
        <v>1326001.23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0.99303135888502125</v>
      </c>
      <c r="Q490">
        <f t="shared" si="980"/>
        <v>1316760.8033101095</v>
      </c>
      <c r="R490">
        <f t="shared" si="981"/>
        <v>8792686.369736759</v>
      </c>
      <c r="S490">
        <f t="shared" si="982"/>
        <v>87.926863697367594</v>
      </c>
      <c r="T490">
        <f t="shared" si="983"/>
        <v>8.7926863697367588E-2</v>
      </c>
    </row>
    <row r="491" spans="1:20" x14ac:dyDescent="0.25">
      <c r="A491" s="5">
        <v>44102</v>
      </c>
      <c r="B491">
        <v>2.1469999999999998</v>
      </c>
      <c r="C491">
        <v>2.3409</v>
      </c>
      <c r="D491">
        <v>2.1402000000000001</v>
      </c>
      <c r="E491">
        <v>2.1770999999999998</v>
      </c>
      <c r="F491">
        <v>1627275.32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-0.63228699551569778</v>
      </c>
      <c r="Q491">
        <f t="shared" si="980"/>
        <v>-1028905.0229596457</v>
      </c>
      <c r="R491">
        <f t="shared" si="981"/>
        <v>7475925.5664266497</v>
      </c>
      <c r="S491">
        <f t="shared" si="982"/>
        <v>74.75925566426649</v>
      </c>
      <c r="T491">
        <f t="shared" si="983"/>
        <v>7.4759255664266486E-2</v>
      </c>
    </row>
    <row r="492" spans="1:20" x14ac:dyDescent="0.25">
      <c r="A492" s="5">
        <v>44101</v>
      </c>
      <c r="B492">
        <v>2.2168999999999999</v>
      </c>
      <c r="C492">
        <v>2.2919</v>
      </c>
      <c r="D492">
        <v>2.06</v>
      </c>
      <c r="E492">
        <v>2.1432000000000002</v>
      </c>
      <c r="F492">
        <v>1654150.7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-0.28244933160845048</v>
      </c>
      <c r="Q492">
        <f t="shared" si="980"/>
        <v>-467213.75959465047</v>
      </c>
      <c r="R492">
        <f t="shared" si="981"/>
        <v>8504830.5893862955</v>
      </c>
      <c r="S492">
        <f t="shared" si="982"/>
        <v>85.04830589386296</v>
      </c>
      <c r="T492">
        <f t="shared" si="983"/>
        <v>8.504830589386296E-2</v>
      </c>
    </row>
    <row r="493" spans="1:20" x14ac:dyDescent="0.25">
      <c r="A493" s="5">
        <v>44100</v>
      </c>
      <c r="B493">
        <v>2.1055000000000001</v>
      </c>
      <c r="C493">
        <v>2.27</v>
      </c>
      <c r="D493">
        <v>2.0951</v>
      </c>
      <c r="E493">
        <v>2.2168999999999999</v>
      </c>
      <c r="F493">
        <v>1453193.8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0.39279588336191962</v>
      </c>
      <c r="Q493">
        <f t="shared" si="980"/>
        <v>570808.54236706474</v>
      </c>
      <c r="R493">
        <f t="shared" si="981"/>
        <v>8972044.3489809465</v>
      </c>
      <c r="S493">
        <f t="shared" si="982"/>
        <v>89.720443489809469</v>
      </c>
      <c r="T493">
        <f t="shared" si="983"/>
        <v>8.9720443489809468E-2</v>
      </c>
    </row>
    <row r="494" spans="1:20" x14ac:dyDescent="0.25">
      <c r="A494" s="5">
        <v>44099</v>
      </c>
      <c r="B494">
        <v>1.9898</v>
      </c>
      <c r="C494">
        <v>2.23</v>
      </c>
      <c r="D494">
        <v>1.9119999999999999</v>
      </c>
      <c r="E494">
        <v>2.1061999999999999</v>
      </c>
      <c r="F494">
        <v>2660794.63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0.22138364779874145</v>
      </c>
      <c r="Q494">
        <f t="shared" si="980"/>
        <v>589056.42123270256</v>
      </c>
      <c r="R494">
        <f t="shared" si="981"/>
        <v>8401235.8066138811</v>
      </c>
      <c r="S494">
        <f t="shared" si="982"/>
        <v>84.012358066138816</v>
      </c>
      <c r="T494">
        <f t="shared" si="983"/>
        <v>8.4012358066138812E-2</v>
      </c>
    </row>
    <row r="495" spans="1:20" x14ac:dyDescent="0.25">
      <c r="A495" s="5">
        <v>44098</v>
      </c>
      <c r="B495">
        <v>1.8452</v>
      </c>
      <c r="C495">
        <v>2.1</v>
      </c>
      <c r="D495">
        <v>1.7374000000000001</v>
      </c>
      <c r="E495">
        <v>1.9934000000000001</v>
      </c>
      <c r="F495">
        <v>2860582.17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0.4120242691671262</v>
      </c>
      <c r="Q495">
        <f t="shared" si="980"/>
        <v>1178629.2779867619</v>
      </c>
      <c r="R495">
        <f t="shared" si="981"/>
        <v>7812179.385381178</v>
      </c>
      <c r="S495">
        <f t="shared" si="982"/>
        <v>78.121793853811781</v>
      </c>
      <c r="T495">
        <f t="shared" si="983"/>
        <v>7.812179385381178E-2</v>
      </c>
    </row>
    <row r="496" spans="1:20" x14ac:dyDescent="0.25">
      <c r="A496" s="5">
        <v>44097</v>
      </c>
      <c r="B496">
        <v>2.0438999999999998</v>
      </c>
      <c r="C496">
        <v>2.157</v>
      </c>
      <c r="D496">
        <v>1.8234999999999999</v>
      </c>
      <c r="E496">
        <v>1.8436999999999999</v>
      </c>
      <c r="F496">
        <v>2233545.4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-0.87886056971514248</v>
      </c>
      <c r="Q496">
        <f t="shared" si="980"/>
        <v>-1962974.9827286357</v>
      </c>
      <c r="R496">
        <f t="shared" si="981"/>
        <v>6633550.1073944159</v>
      </c>
      <c r="S496">
        <f t="shared" si="982"/>
        <v>66.335501073944158</v>
      </c>
      <c r="T496">
        <f t="shared" si="983"/>
        <v>6.6335501073944161E-2</v>
      </c>
    </row>
    <row r="497" spans="1:20" x14ac:dyDescent="0.25">
      <c r="A497" s="5">
        <v>44096</v>
      </c>
      <c r="B497">
        <v>2.0644999999999998</v>
      </c>
      <c r="C497">
        <v>2.1581000000000001</v>
      </c>
      <c r="D497">
        <v>1.92</v>
      </c>
      <c r="E497">
        <v>2.04</v>
      </c>
      <c r="F497">
        <v>1824019.99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7.9798404031919835E-3</v>
      </c>
      <c r="Q497">
        <f t="shared" si="980"/>
        <v>14555.388412431837</v>
      </c>
      <c r="R497">
        <f t="shared" si="981"/>
        <v>8596525.0901230518</v>
      </c>
      <c r="S497">
        <f t="shared" si="982"/>
        <v>85.965250901230519</v>
      </c>
      <c r="T497">
        <f t="shared" si="983"/>
        <v>8.5965250901230514E-2</v>
      </c>
    </row>
    <row r="498" spans="1:20" x14ac:dyDescent="0.25">
      <c r="A498" s="5">
        <v>44095</v>
      </c>
      <c r="B498">
        <v>2.4546999999999999</v>
      </c>
      <c r="C498">
        <v>2.6021000000000001</v>
      </c>
      <c r="D498">
        <v>1.9527000000000001</v>
      </c>
      <c r="E498">
        <v>2.0598999999999998</v>
      </c>
      <c r="F498">
        <v>2857863.15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-0.66984909146904914</v>
      </c>
      <c r="Q498">
        <f t="shared" si="980"/>
        <v>-1914337.0345703748</v>
      </c>
      <c r="R498">
        <f t="shared" si="981"/>
        <v>8581969.701710619</v>
      </c>
      <c r="S498">
        <f t="shared" si="982"/>
        <v>85.819697017106193</v>
      </c>
      <c r="T498">
        <f t="shared" si="983"/>
        <v>8.5819697017106192E-2</v>
      </c>
    </row>
    <row r="499" spans="1:20" x14ac:dyDescent="0.25">
      <c r="A499" s="5">
        <v>44094</v>
      </c>
      <c r="B499">
        <v>2.4781</v>
      </c>
      <c r="C499">
        <v>2.62</v>
      </c>
      <c r="D499">
        <v>2.3250000000000002</v>
      </c>
      <c r="E499">
        <v>2.4502999999999999</v>
      </c>
      <c r="F499">
        <v>1537110.37</v>
      </c>
      <c r="G499">
        <v>0</v>
      </c>
      <c r="L499" t="s">
        <v>7</v>
      </c>
      <c r="M499" t="s">
        <v>8</v>
      </c>
      <c r="N499" t="s">
        <v>8</v>
      </c>
      <c r="P499">
        <f t="shared" si="979"/>
        <v>-0.1505084745762727</v>
      </c>
      <c r="Q499">
        <f t="shared" si="980"/>
        <v>-231348.13704407014</v>
      </c>
      <c r="R499">
        <f t="shared" si="981"/>
        <v>10496306.736280994</v>
      </c>
      <c r="S499">
        <f t="shared" si="982"/>
        <v>104.96306736280995</v>
      </c>
      <c r="T499">
        <f t="shared" si="983"/>
        <v>0.10496306736280996</v>
      </c>
    </row>
    <row r="500" spans="1:20" x14ac:dyDescent="0.25">
      <c r="A500" s="5">
        <v>44093</v>
      </c>
      <c r="B500">
        <v>2.5154999999999998</v>
      </c>
      <c r="C500">
        <v>2.7644000000000002</v>
      </c>
      <c r="D500">
        <v>2.4397000000000002</v>
      </c>
      <c r="E500">
        <v>2.4824999999999999</v>
      </c>
      <c r="F500">
        <v>2473900.33</v>
      </c>
      <c r="G500">
        <v>0</v>
      </c>
      <c r="L500" t="s">
        <v>8</v>
      </c>
      <c r="M500" t="s">
        <v>8</v>
      </c>
      <c r="N500" t="s">
        <v>8</v>
      </c>
      <c r="P500">
        <f t="shared" si="979"/>
        <v>-0.73637203572528653</v>
      </c>
      <c r="Q500">
        <f t="shared" si="980"/>
        <v>-1821711.0221835582</v>
      </c>
      <c r="R500">
        <f t="shared" si="981"/>
        <v>10727654.873325065</v>
      </c>
      <c r="S500">
        <f t="shared" si="982"/>
        <v>107.27654873325065</v>
      </c>
      <c r="T500">
        <f t="shared" si="983"/>
        <v>0.10727654873325065</v>
      </c>
    </row>
    <row r="501" spans="1:20" x14ac:dyDescent="0.25">
      <c r="A501" s="5">
        <v>44092</v>
      </c>
      <c r="B501">
        <v>2.3858999999999999</v>
      </c>
      <c r="C501">
        <v>2.57</v>
      </c>
      <c r="D501">
        <v>2.2734999999999999</v>
      </c>
      <c r="E501">
        <v>2.5167999999999999</v>
      </c>
      <c r="F501">
        <v>1829595.77</v>
      </c>
      <c r="G501">
        <v>0</v>
      </c>
      <c r="L501" t="s">
        <v>7</v>
      </c>
      <c r="M501" t="s">
        <v>8</v>
      </c>
      <c r="N501" t="s">
        <v>8</v>
      </c>
      <c r="P501">
        <f t="shared" si="979"/>
        <v>0.64114671163575099</v>
      </c>
      <c r="Q501">
        <f t="shared" si="980"/>
        <v>1173039.3115581798</v>
      </c>
      <c r="R501">
        <f t="shared" si="981"/>
        <v>12549365.895508623</v>
      </c>
      <c r="S501">
        <f t="shared" si="982"/>
        <v>125.49365895508623</v>
      </c>
      <c r="T501">
        <f t="shared" si="983"/>
        <v>0.12549365895508624</v>
      </c>
    </row>
    <row r="502" spans="1:20" x14ac:dyDescent="0.25">
      <c r="A502" s="5">
        <v>44091</v>
      </c>
      <c r="B502">
        <v>2.4727999999999999</v>
      </c>
      <c r="C502">
        <v>2.5874000000000001</v>
      </c>
      <c r="D502">
        <v>2.2523</v>
      </c>
      <c r="E502">
        <v>2.3832</v>
      </c>
      <c r="F502">
        <v>1756612.16</v>
      </c>
      <c r="G502">
        <v>0</v>
      </c>
      <c r="L502" t="s">
        <v>8</v>
      </c>
      <c r="M502" t="s">
        <v>8</v>
      </c>
      <c r="N502" t="s">
        <v>8</v>
      </c>
      <c r="P502">
        <f t="shared" si="979"/>
        <v>-0.21874067442554493</v>
      </c>
      <c r="Q502">
        <f t="shared" si="980"/>
        <v>-384242.52858251322</v>
      </c>
      <c r="R502">
        <f t="shared" si="981"/>
        <v>11376326.583950443</v>
      </c>
      <c r="S502">
        <f t="shared" si="982"/>
        <v>113.76326583950443</v>
      </c>
      <c r="T502">
        <f t="shared" si="983"/>
        <v>0.11376326583950443</v>
      </c>
    </row>
    <row r="503" spans="1:20" x14ac:dyDescent="0.25">
      <c r="A503" s="5">
        <v>44090</v>
      </c>
      <c r="B503">
        <v>2.31</v>
      </c>
      <c r="C503">
        <v>2.5034000000000001</v>
      </c>
      <c r="D503">
        <v>2.1587999999999998</v>
      </c>
      <c r="E503">
        <v>2.4723999999999999</v>
      </c>
      <c r="F503">
        <v>1753952.34</v>
      </c>
      <c r="G503">
        <v>0</v>
      </c>
      <c r="L503" t="s">
        <v>7</v>
      </c>
      <c r="M503" t="s">
        <v>7</v>
      </c>
      <c r="N503" t="s">
        <v>8</v>
      </c>
      <c r="P503">
        <f t="shared" si="979"/>
        <v>0.82008125362739337</v>
      </c>
      <c r="Q503">
        <f t="shared" si="980"/>
        <v>1438383.4337899003</v>
      </c>
      <c r="R503">
        <f t="shared" si="981"/>
        <v>11760569.112532957</v>
      </c>
      <c r="S503">
        <f t="shared" si="982"/>
        <v>117.60569112532957</v>
      </c>
      <c r="T503">
        <f t="shared" si="983"/>
        <v>0.11760569112532956</v>
      </c>
    </row>
    <row r="504" spans="1:20" x14ac:dyDescent="0.25">
      <c r="A504" s="5">
        <v>44089</v>
      </c>
      <c r="B504">
        <v>2.6280000000000001</v>
      </c>
      <c r="C504">
        <v>2.6501000000000001</v>
      </c>
      <c r="D504">
        <v>2.2913999999999999</v>
      </c>
      <c r="E504">
        <v>2.3123999999999998</v>
      </c>
      <c r="F504">
        <v>1584863.51</v>
      </c>
      <c r="G504">
        <v>0</v>
      </c>
      <c r="L504" t="s">
        <v>7</v>
      </c>
      <c r="M504" t="s">
        <v>7</v>
      </c>
      <c r="N504" t="s">
        <v>8</v>
      </c>
      <c r="P504">
        <f t="shared" si="979"/>
        <v>-0.88291051017563482</v>
      </c>
      <c r="Q504">
        <f t="shared" si="980"/>
        <v>-1399292.6501728473</v>
      </c>
      <c r="R504">
        <f t="shared" si="981"/>
        <v>10322185.678743057</v>
      </c>
      <c r="S504">
        <f t="shared" si="982"/>
        <v>103.22185678743057</v>
      </c>
      <c r="T504">
        <f t="shared" si="983"/>
        <v>0.10322185678743057</v>
      </c>
    </row>
    <row r="505" spans="1:20" x14ac:dyDescent="0.25">
      <c r="A505" s="5">
        <v>44088</v>
      </c>
      <c r="B505">
        <v>2.7105999999999999</v>
      </c>
      <c r="C505">
        <v>2.7130999999999998</v>
      </c>
      <c r="D505">
        <v>2.5710000000000002</v>
      </c>
      <c r="E505">
        <v>2.6272000000000002</v>
      </c>
      <c r="F505">
        <v>1431942.5</v>
      </c>
      <c r="G505">
        <v>0</v>
      </c>
      <c r="L505" t="s">
        <v>7</v>
      </c>
      <c r="M505" t="s">
        <v>8</v>
      </c>
      <c r="N505" t="s">
        <v>8</v>
      </c>
      <c r="P505">
        <f t="shared" si="979"/>
        <v>-0.20900774102744324</v>
      </c>
      <c r="Q505">
        <f t="shared" si="980"/>
        <v>-299287.06720618962</v>
      </c>
      <c r="R505">
        <f t="shared" si="981"/>
        <v>11721478.328915903</v>
      </c>
      <c r="S505">
        <f t="shared" si="982"/>
        <v>117.21478328915903</v>
      </c>
      <c r="T505">
        <f t="shared" si="983"/>
        <v>0.11721478328915903</v>
      </c>
    </row>
    <row r="506" spans="1:20" x14ac:dyDescent="0.25">
      <c r="A506" s="5">
        <v>44087</v>
      </c>
      <c r="B506">
        <v>2.9567999999999999</v>
      </c>
      <c r="C506">
        <v>2.9897</v>
      </c>
      <c r="D506">
        <v>2.5407000000000002</v>
      </c>
      <c r="E506">
        <v>2.7084000000000001</v>
      </c>
      <c r="F506">
        <v>1863639.11</v>
      </c>
      <c r="G506">
        <v>0</v>
      </c>
      <c r="L506" t="s">
        <v>7</v>
      </c>
      <c r="M506" t="s">
        <v>8</v>
      </c>
      <c r="N506" t="s">
        <v>8</v>
      </c>
      <c r="P506">
        <f t="shared" si="979"/>
        <v>-0.25300668151447653</v>
      </c>
      <c r="Q506">
        <f t="shared" si="980"/>
        <v>-471513.14676169254</v>
      </c>
      <c r="R506">
        <f t="shared" si="981"/>
        <v>12020765.396122092</v>
      </c>
      <c r="S506">
        <f t="shared" si="982"/>
        <v>120.20765396122093</v>
      </c>
      <c r="T506">
        <f t="shared" si="983"/>
        <v>0.12020765396122093</v>
      </c>
    </row>
    <row r="507" spans="1:20" x14ac:dyDescent="0.25">
      <c r="A507" s="5">
        <v>44086</v>
      </c>
      <c r="B507">
        <v>2.6804000000000001</v>
      </c>
      <c r="C507">
        <v>2.9794</v>
      </c>
      <c r="D507">
        <v>2.6225999999999998</v>
      </c>
      <c r="E507">
        <v>2.9611000000000001</v>
      </c>
      <c r="F507">
        <v>1948073.95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0.89742152466367731</v>
      </c>
      <c r="Q507">
        <f t="shared" si="980"/>
        <v>1748243.4943665923</v>
      </c>
      <c r="R507">
        <f t="shared" si="981"/>
        <v>12492278.542883785</v>
      </c>
      <c r="S507">
        <f t="shared" si="982"/>
        <v>124.92278542883786</v>
      </c>
      <c r="T507">
        <f t="shared" si="983"/>
        <v>0.12492278542883785</v>
      </c>
    </row>
    <row r="508" spans="1:20" x14ac:dyDescent="0.25">
      <c r="A508" s="5">
        <v>44085</v>
      </c>
      <c r="B508">
        <v>2.8037000000000001</v>
      </c>
      <c r="C508">
        <v>2.8290000000000002</v>
      </c>
      <c r="D508">
        <v>2.5375999999999999</v>
      </c>
      <c r="E508">
        <v>2.6760999999999999</v>
      </c>
      <c r="F508">
        <v>1578635.8</v>
      </c>
      <c r="G508">
        <v>0</v>
      </c>
      <c r="L508" t="s">
        <v>7</v>
      </c>
      <c r="M508" t="s">
        <v>8</v>
      </c>
      <c r="N508" t="s">
        <v>8</v>
      </c>
      <c r="P508">
        <f t="shared" si="979"/>
        <v>-4.9416609471517416E-2</v>
      </c>
      <c r="Q508">
        <f t="shared" si="980"/>
        <v>-78010.828826356475</v>
      </c>
      <c r="R508">
        <f t="shared" si="981"/>
        <v>10744035.048517194</v>
      </c>
      <c r="S508">
        <f t="shared" si="982"/>
        <v>107.44035048517193</v>
      </c>
      <c r="T508">
        <f t="shared" si="983"/>
        <v>0.10744035048517193</v>
      </c>
    </row>
    <row r="509" spans="1:20" x14ac:dyDescent="0.25">
      <c r="A509" s="5">
        <v>44084</v>
      </c>
      <c r="B509">
        <v>2.4733999999999998</v>
      </c>
      <c r="C509">
        <v>2.88</v>
      </c>
      <c r="D509">
        <v>2.4700000000000002</v>
      </c>
      <c r="E509">
        <v>2.8026</v>
      </c>
      <c r="F509">
        <v>2812765.21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0.62243902439024401</v>
      </c>
      <c r="Q509">
        <f t="shared" si="980"/>
        <v>1750774.8331512199</v>
      </c>
      <c r="R509">
        <f t="shared" si="981"/>
        <v>10822045.87734355</v>
      </c>
      <c r="S509">
        <f t="shared" si="982"/>
        <v>108.22045877343551</v>
      </c>
      <c r="T509">
        <f t="shared" si="983"/>
        <v>0.10822045877343552</v>
      </c>
    </row>
    <row r="510" spans="1:20" x14ac:dyDescent="0.25">
      <c r="A510" s="5">
        <v>44083</v>
      </c>
      <c r="B510">
        <v>2.2964000000000002</v>
      </c>
      <c r="C510">
        <v>2.5829</v>
      </c>
      <c r="D510">
        <v>2.2202000000000002</v>
      </c>
      <c r="E510">
        <v>2.4733000000000001</v>
      </c>
      <c r="F510">
        <v>1667089.7</v>
      </c>
      <c r="G510">
        <v>0</v>
      </c>
      <c r="L510" t="s">
        <v>7</v>
      </c>
      <c r="M510" t="s">
        <v>8</v>
      </c>
      <c r="N510" t="s">
        <v>7</v>
      </c>
      <c r="P510">
        <f t="shared" si="979"/>
        <v>0.39564378274055706</v>
      </c>
      <c r="Q510">
        <f t="shared" si="980"/>
        <v>659573.67507582041</v>
      </c>
      <c r="R510">
        <f t="shared" si="981"/>
        <v>9071271.0441923309</v>
      </c>
      <c r="S510">
        <f t="shared" si="982"/>
        <v>90.712710441923306</v>
      </c>
      <c r="T510">
        <f t="shared" si="983"/>
        <v>9.0712710441923305E-2</v>
      </c>
    </row>
    <row r="511" spans="1:20" x14ac:dyDescent="0.25">
      <c r="A511" s="5">
        <v>44082</v>
      </c>
      <c r="B511">
        <v>2.4144999999999999</v>
      </c>
      <c r="C511">
        <v>2.5880000000000001</v>
      </c>
      <c r="D511">
        <v>2.2147999999999999</v>
      </c>
      <c r="E511">
        <v>2.2953999999999999</v>
      </c>
      <c r="F511">
        <v>2505684.33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-0.56806002143622747</v>
      </c>
      <c r="Q511">
        <f t="shared" si="980"/>
        <v>-1423379.0942122194</v>
      </c>
      <c r="R511">
        <f t="shared" si="981"/>
        <v>8411697.3691165112</v>
      </c>
      <c r="S511">
        <f t="shared" si="982"/>
        <v>84.116973691165114</v>
      </c>
      <c r="T511">
        <f t="shared" si="983"/>
        <v>8.4116973691165109E-2</v>
      </c>
    </row>
    <row r="512" spans="1:20" x14ac:dyDescent="0.25">
      <c r="A512" s="5">
        <v>44081</v>
      </c>
      <c r="B512">
        <v>2.3708999999999998</v>
      </c>
      <c r="C512">
        <v>2.5042</v>
      </c>
      <c r="D512">
        <v>2.0590000000000002</v>
      </c>
      <c r="E512">
        <v>2.4144999999999999</v>
      </c>
      <c r="F512">
        <v>2181527.27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0.59703504043126621</v>
      </c>
      <c r="Q512">
        <f t="shared" si="980"/>
        <v>1302448.2218463598</v>
      </c>
      <c r="R512">
        <f t="shared" si="981"/>
        <v>9835076.4633287303</v>
      </c>
      <c r="S512">
        <f t="shared" si="982"/>
        <v>98.350764633287298</v>
      </c>
      <c r="T512">
        <f t="shared" si="983"/>
        <v>9.8350764633287305E-2</v>
      </c>
    </row>
    <row r="513" spans="1:20" x14ac:dyDescent="0.25">
      <c r="A513" s="5">
        <v>44080</v>
      </c>
      <c r="B513">
        <v>2.2667000000000002</v>
      </c>
      <c r="C513">
        <v>2.4998999999999998</v>
      </c>
      <c r="D513">
        <v>2.0379999999999998</v>
      </c>
      <c r="E513">
        <v>2.3708</v>
      </c>
      <c r="F513">
        <v>2624024.9300000002</v>
      </c>
      <c r="G513">
        <v>0</v>
      </c>
      <c r="L513" t="s">
        <v>8</v>
      </c>
      <c r="M513" t="s">
        <v>8</v>
      </c>
      <c r="N513" t="s">
        <v>7</v>
      </c>
      <c r="P513">
        <f t="shared" si="979"/>
        <v>0.44100454643862402</v>
      </c>
      <c r="Q513">
        <f t="shared" si="980"/>
        <v>1157206.9240982921</v>
      </c>
      <c r="R513">
        <f t="shared" si="981"/>
        <v>8532628.2414823715</v>
      </c>
      <c r="S513">
        <f t="shared" si="982"/>
        <v>85.326282414823709</v>
      </c>
      <c r="T513">
        <f t="shared" si="983"/>
        <v>8.5326282414823706E-2</v>
      </c>
    </row>
    <row r="514" spans="1:20" x14ac:dyDescent="0.25">
      <c r="A514" s="5">
        <v>44079</v>
      </c>
      <c r="B514">
        <v>2.7795000000000001</v>
      </c>
      <c r="C514">
        <v>2.8653</v>
      </c>
      <c r="D514">
        <v>2.0003000000000002</v>
      </c>
      <c r="E514">
        <v>2.2650000000000001</v>
      </c>
      <c r="F514">
        <v>3532362.93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-0.38797687861271674</v>
      </c>
      <c r="Q514">
        <f t="shared" si="980"/>
        <v>-1370475.1437086705</v>
      </c>
      <c r="R514">
        <f t="shared" si="981"/>
        <v>7375421.3173840791</v>
      </c>
      <c r="S514">
        <f t="shared" si="982"/>
        <v>73.754213173840796</v>
      </c>
      <c r="T514">
        <f t="shared" si="983"/>
        <v>7.3754213173840802E-2</v>
      </c>
    </row>
    <row r="515" spans="1:20" x14ac:dyDescent="0.25">
      <c r="A515" s="5">
        <v>44078</v>
      </c>
      <c r="B515">
        <v>2.6013000000000002</v>
      </c>
      <c r="C515">
        <v>2.94</v>
      </c>
      <c r="D515">
        <v>2.3187000000000002</v>
      </c>
      <c r="E515">
        <v>2.7736999999999998</v>
      </c>
      <c r="F515">
        <v>4151416.22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0.46467085144052733</v>
      </c>
      <c r="Q515">
        <f t="shared" si="980"/>
        <v>1929042.1096314157</v>
      </c>
      <c r="R515">
        <f t="shared" si="981"/>
        <v>8745896.4610927496</v>
      </c>
      <c r="S515">
        <f t="shared" si="982"/>
        <v>87.458964610927495</v>
      </c>
      <c r="T515">
        <f t="shared" si="983"/>
        <v>8.7458964610927489E-2</v>
      </c>
    </row>
    <row r="516" spans="1:20" x14ac:dyDescent="0.25">
      <c r="A516" s="5">
        <v>44077</v>
      </c>
      <c r="B516">
        <v>3.5687000000000002</v>
      </c>
      <c r="C516">
        <v>3.6168999999999998</v>
      </c>
      <c r="D516">
        <v>2.4500000000000002</v>
      </c>
      <c r="E516">
        <v>2.6029</v>
      </c>
      <c r="F516">
        <v>3971075.07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-0.73793812666038239</v>
      </c>
      <c r="Q516">
        <f t="shared" si="980"/>
        <v>-2930407.6979835466</v>
      </c>
      <c r="R516">
        <f t="shared" si="981"/>
        <v>6816854.3514613342</v>
      </c>
      <c r="S516">
        <f t="shared" si="982"/>
        <v>68.168543514613347</v>
      </c>
      <c r="T516">
        <f t="shared" si="983"/>
        <v>6.816854351461335E-2</v>
      </c>
    </row>
    <row r="517" spans="1:20" x14ac:dyDescent="0.25">
      <c r="A517" s="5">
        <v>44076</v>
      </c>
      <c r="B517">
        <v>3.8980999999999999</v>
      </c>
      <c r="C517">
        <v>3.9653</v>
      </c>
      <c r="D517">
        <v>3.1345000000000001</v>
      </c>
      <c r="E517">
        <v>3.5712000000000002</v>
      </c>
      <c r="F517">
        <v>3324236.15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5.1275878671160562E-2</v>
      </c>
      <c r="Q517">
        <f t="shared" si="980"/>
        <v>170453.12950168591</v>
      </c>
      <c r="R517">
        <f t="shared" si="981"/>
        <v>9747262.0494448803</v>
      </c>
      <c r="S517">
        <f t="shared" si="982"/>
        <v>97.472620494448805</v>
      </c>
      <c r="T517">
        <f t="shared" si="983"/>
        <v>9.7472620494448811E-2</v>
      </c>
    </row>
    <row r="518" spans="1:20" x14ac:dyDescent="0.25">
      <c r="A518" s="5">
        <v>44075</v>
      </c>
      <c r="B518">
        <v>3.8732000000000002</v>
      </c>
      <c r="C518">
        <v>4.07</v>
      </c>
      <c r="D518">
        <v>3.8283</v>
      </c>
      <c r="E518">
        <v>3.8932000000000002</v>
      </c>
      <c r="F518">
        <v>2942258.1</v>
      </c>
      <c r="G518">
        <v>0</v>
      </c>
      <c r="L518" t="s">
        <v>7</v>
      </c>
      <c r="M518" t="s">
        <v>8</v>
      </c>
      <c r="N518" t="s">
        <v>7</v>
      </c>
      <c r="P518">
        <f t="shared" ref="P518:P581" si="984">IF(C518=D518,0,((E518-D518)-(C518-E518))/(C518-D518))</f>
        <v>-0.46297062474141404</v>
      </c>
      <c r="Q518">
        <f t="shared" ref="Q518:Q581" si="985">F518*P518</f>
        <v>-1362179.070707486</v>
      </c>
      <c r="R518">
        <f t="shared" ref="R518:R581" si="986">R519+Q518</f>
        <v>9576808.9199431948</v>
      </c>
      <c r="S518">
        <f t="shared" ref="S518:S581" si="987">R518/100000</f>
        <v>95.768089199431955</v>
      </c>
      <c r="T518">
        <f t="shared" ref="T518:T581" si="988">S518/1000</f>
        <v>9.5768089199431958E-2</v>
      </c>
    </row>
    <row r="519" spans="1:20" x14ac:dyDescent="0.25">
      <c r="A519" s="5">
        <v>44074</v>
      </c>
      <c r="B519">
        <v>4.3221999999999996</v>
      </c>
      <c r="C519">
        <v>4.3399000000000001</v>
      </c>
      <c r="D519">
        <v>3.8231000000000002</v>
      </c>
      <c r="E519">
        <v>3.8725999999999998</v>
      </c>
      <c r="F519">
        <v>2016756.13</v>
      </c>
      <c r="G519">
        <v>0</v>
      </c>
      <c r="L519" t="s">
        <v>7</v>
      </c>
      <c r="M519" t="s">
        <v>8</v>
      </c>
      <c r="N519" t="s">
        <v>7</v>
      </c>
      <c r="P519">
        <f t="shared" si="984"/>
        <v>-0.80843653250774128</v>
      </c>
      <c r="Q519">
        <f t="shared" si="985"/>
        <v>-1630419.3326509313</v>
      </c>
      <c r="R519">
        <f t="shared" si="986"/>
        <v>10938987.99065068</v>
      </c>
      <c r="S519">
        <f t="shared" si="987"/>
        <v>109.38987990650681</v>
      </c>
      <c r="T519">
        <f t="shared" si="988"/>
        <v>0.10938987990650681</v>
      </c>
    </row>
    <row r="520" spans="1:20" x14ac:dyDescent="0.25">
      <c r="A520" s="5">
        <v>44073</v>
      </c>
      <c r="B520">
        <v>4.0860000000000003</v>
      </c>
      <c r="C520">
        <v>4.5119999999999996</v>
      </c>
      <c r="D520">
        <v>4.0635000000000003</v>
      </c>
      <c r="E520">
        <v>4.3295000000000003</v>
      </c>
      <c r="F520">
        <v>2194630.54</v>
      </c>
      <c r="G520">
        <v>0</v>
      </c>
      <c r="L520" t="s">
        <v>8</v>
      </c>
      <c r="M520" t="s">
        <v>8</v>
      </c>
      <c r="N520" t="s">
        <v>7</v>
      </c>
      <c r="P520">
        <f t="shared" si="984"/>
        <v>0.18617614269788393</v>
      </c>
      <c r="Q520">
        <f t="shared" si="985"/>
        <v>408587.84858417406</v>
      </c>
      <c r="R520">
        <f t="shared" si="986"/>
        <v>12569407.323301611</v>
      </c>
      <c r="S520">
        <f t="shared" si="987"/>
        <v>125.69407323301611</v>
      </c>
      <c r="T520">
        <f t="shared" si="988"/>
        <v>0.12569407323301612</v>
      </c>
    </row>
    <row r="521" spans="1:20" x14ac:dyDescent="0.25">
      <c r="A521" s="5">
        <v>44072</v>
      </c>
      <c r="B521">
        <v>4.0728</v>
      </c>
      <c r="C521">
        <v>4.2</v>
      </c>
      <c r="D521">
        <v>4.0125000000000002</v>
      </c>
      <c r="E521">
        <v>4.0875000000000004</v>
      </c>
      <c r="F521">
        <v>1389091.8</v>
      </c>
      <c r="G521">
        <v>0</v>
      </c>
      <c r="L521" t="s">
        <v>8</v>
      </c>
      <c r="M521" t="s">
        <v>8</v>
      </c>
      <c r="N521" t="s">
        <v>7</v>
      </c>
      <c r="P521">
        <f t="shared" si="984"/>
        <v>-0.1999999999999981</v>
      </c>
      <c r="Q521">
        <f t="shared" si="985"/>
        <v>-277818.35999999737</v>
      </c>
      <c r="R521">
        <f t="shared" si="986"/>
        <v>12160819.474717438</v>
      </c>
      <c r="S521">
        <f t="shared" si="987"/>
        <v>121.60819474717438</v>
      </c>
      <c r="T521">
        <f t="shared" si="988"/>
        <v>0.12160819474717438</v>
      </c>
    </row>
    <row r="522" spans="1:20" x14ac:dyDescent="0.25">
      <c r="A522" s="5">
        <v>44071</v>
      </c>
      <c r="B522">
        <v>3.8925000000000001</v>
      </c>
      <c r="C522">
        <v>4.1383000000000001</v>
      </c>
      <c r="D522">
        <v>3.8050999999999999</v>
      </c>
      <c r="E522">
        <v>4.0717999999999996</v>
      </c>
      <c r="F522">
        <v>1637180.49</v>
      </c>
      <c r="G522">
        <v>0</v>
      </c>
      <c r="L522" t="s">
        <v>8</v>
      </c>
      <c r="M522" t="s">
        <v>8</v>
      </c>
      <c r="N522" t="s">
        <v>7</v>
      </c>
      <c r="P522">
        <f t="shared" si="984"/>
        <v>0.60084033613445131</v>
      </c>
      <c r="Q522">
        <f t="shared" si="985"/>
        <v>983684.07592436566</v>
      </c>
      <c r="R522">
        <f t="shared" si="986"/>
        <v>12438637.834717436</v>
      </c>
      <c r="S522">
        <f t="shared" si="987"/>
        <v>124.38637834717436</v>
      </c>
      <c r="T522">
        <f t="shared" si="988"/>
        <v>0.12438637834717435</v>
      </c>
    </row>
    <row r="523" spans="1:20" x14ac:dyDescent="0.25">
      <c r="A523" s="5">
        <v>44070</v>
      </c>
      <c r="B523">
        <v>4.0343</v>
      </c>
      <c r="C523">
        <v>4.2087000000000003</v>
      </c>
      <c r="D523">
        <v>3.7313000000000001</v>
      </c>
      <c r="E523">
        <v>3.8851</v>
      </c>
      <c r="F523">
        <v>2567136.48</v>
      </c>
      <c r="G523">
        <v>0</v>
      </c>
      <c r="L523" t="s">
        <v>7</v>
      </c>
      <c r="M523" t="s">
        <v>8</v>
      </c>
      <c r="N523" t="s">
        <v>7</v>
      </c>
      <c r="P523">
        <f t="shared" si="984"/>
        <v>-0.35567658148303372</v>
      </c>
      <c r="Q523">
        <f t="shared" si="985"/>
        <v>-913070.32740678836</v>
      </c>
      <c r="R523">
        <f t="shared" si="986"/>
        <v>11454953.758793071</v>
      </c>
      <c r="S523">
        <f t="shared" si="987"/>
        <v>114.54953758793071</v>
      </c>
      <c r="T523">
        <f t="shared" si="988"/>
        <v>0.11454953758793071</v>
      </c>
    </row>
    <row r="524" spans="1:20" x14ac:dyDescent="0.25">
      <c r="A524" s="5">
        <v>44069</v>
      </c>
      <c r="B524">
        <v>3.8967999999999998</v>
      </c>
      <c r="C524">
        <v>4.2458</v>
      </c>
      <c r="D524">
        <v>3.8361000000000001</v>
      </c>
      <c r="E524">
        <v>4.0270999999999999</v>
      </c>
      <c r="F524">
        <v>2325566.4500000002</v>
      </c>
      <c r="G524">
        <v>0</v>
      </c>
      <c r="L524" t="s">
        <v>8</v>
      </c>
      <c r="M524" t="s">
        <v>8</v>
      </c>
      <c r="N524" t="s">
        <v>7</v>
      </c>
      <c r="P524">
        <f t="shared" si="984"/>
        <v>-6.7610446668294563E-2</v>
      </c>
      <c r="Q524">
        <f t="shared" si="985"/>
        <v>-157232.58644130014</v>
      </c>
      <c r="R524">
        <f t="shared" si="986"/>
        <v>12368024.086199859</v>
      </c>
      <c r="S524">
        <f t="shared" si="987"/>
        <v>123.6802408619986</v>
      </c>
      <c r="T524">
        <f t="shared" si="988"/>
        <v>0.12368024086199859</v>
      </c>
    </row>
    <row r="525" spans="1:20" x14ac:dyDescent="0.25">
      <c r="A525" s="5">
        <v>44068</v>
      </c>
      <c r="B525">
        <v>4.1661000000000001</v>
      </c>
      <c r="C525">
        <v>4.2129000000000003</v>
      </c>
      <c r="D525">
        <v>3.7204999999999999</v>
      </c>
      <c r="E525">
        <v>3.8984999999999999</v>
      </c>
      <c r="F525">
        <v>2179501.63</v>
      </c>
      <c r="G525">
        <v>0</v>
      </c>
      <c r="L525" t="s">
        <v>7</v>
      </c>
      <c r="M525" t="s">
        <v>8</v>
      </c>
      <c r="N525" t="s">
        <v>7</v>
      </c>
      <c r="P525">
        <f t="shared" si="984"/>
        <v>-0.27701056051990336</v>
      </c>
      <c r="Q525">
        <f t="shared" si="985"/>
        <v>-603744.96818034304</v>
      </c>
      <c r="R525">
        <f t="shared" si="986"/>
        <v>12525256.67264116</v>
      </c>
      <c r="S525">
        <f t="shared" si="987"/>
        <v>125.2525667264116</v>
      </c>
      <c r="T525">
        <f t="shared" si="988"/>
        <v>0.12525256672641161</v>
      </c>
    </row>
    <row r="526" spans="1:20" x14ac:dyDescent="0.25">
      <c r="A526" s="5">
        <v>44067</v>
      </c>
      <c r="B526">
        <v>4.1512000000000002</v>
      </c>
      <c r="C526">
        <v>4.3132000000000001</v>
      </c>
      <c r="D526">
        <v>4.0155000000000003</v>
      </c>
      <c r="E526">
        <v>4.1647999999999996</v>
      </c>
      <c r="F526">
        <v>1841180.19</v>
      </c>
      <c r="G526">
        <v>0</v>
      </c>
      <c r="L526" t="s">
        <v>8</v>
      </c>
      <c r="M526" t="s">
        <v>8</v>
      </c>
      <c r="N526" t="s">
        <v>7</v>
      </c>
      <c r="P526">
        <f t="shared" si="984"/>
        <v>3.0231776956627177E-3</v>
      </c>
      <c r="Q526">
        <f t="shared" si="985"/>
        <v>5566.2148841040444</v>
      </c>
      <c r="R526">
        <f t="shared" si="986"/>
        <v>13129001.640821503</v>
      </c>
      <c r="S526">
        <f t="shared" si="987"/>
        <v>131.29001640821502</v>
      </c>
      <c r="T526">
        <f t="shared" si="988"/>
        <v>0.13129001640821503</v>
      </c>
    </row>
    <row r="527" spans="1:20" x14ac:dyDescent="0.25">
      <c r="A527" s="5">
        <v>44066</v>
      </c>
      <c r="B527">
        <v>3.9935999999999998</v>
      </c>
      <c r="C527">
        <v>4.2571000000000003</v>
      </c>
      <c r="D527">
        <v>3.7324000000000002</v>
      </c>
      <c r="E527">
        <v>4.1482999999999999</v>
      </c>
      <c r="F527">
        <v>2570905.59</v>
      </c>
      <c r="G527">
        <v>0</v>
      </c>
      <c r="L527" t="s">
        <v>8</v>
      </c>
      <c r="M527" t="s">
        <v>8</v>
      </c>
      <c r="N527" t="s">
        <v>7</v>
      </c>
      <c r="P527">
        <f t="shared" si="984"/>
        <v>0.58528683056984787</v>
      </c>
      <c r="Q527">
        <f t="shared" si="985"/>
        <v>1504717.1844654046</v>
      </c>
      <c r="R527">
        <f t="shared" si="986"/>
        <v>13123435.425937399</v>
      </c>
      <c r="S527">
        <f t="shared" si="987"/>
        <v>131.23435425937399</v>
      </c>
      <c r="T527">
        <f t="shared" si="988"/>
        <v>0.13123435425937399</v>
      </c>
    </row>
    <row r="528" spans="1:20" x14ac:dyDescent="0.25">
      <c r="A528" s="5">
        <v>44065</v>
      </c>
      <c r="B528">
        <v>3.8742000000000001</v>
      </c>
      <c r="C528">
        <v>4.1543999999999999</v>
      </c>
      <c r="D528">
        <v>3.5152999999999999</v>
      </c>
      <c r="E528">
        <v>3.9931000000000001</v>
      </c>
      <c r="F528">
        <v>4181219.61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0.49522766390236339</v>
      </c>
      <c r="Q528">
        <f t="shared" si="985"/>
        <v>2070655.6197230509</v>
      </c>
      <c r="R528">
        <f t="shared" si="986"/>
        <v>11618718.241471995</v>
      </c>
      <c r="S528">
        <f t="shared" si="987"/>
        <v>116.18718241471994</v>
      </c>
      <c r="T528">
        <f t="shared" si="988"/>
        <v>0.11618718241471994</v>
      </c>
    </row>
    <row r="529" spans="1:20" x14ac:dyDescent="0.25">
      <c r="A529" s="5">
        <v>44064</v>
      </c>
      <c r="B529">
        <v>4.55</v>
      </c>
      <c r="C529">
        <v>4.5773000000000001</v>
      </c>
      <c r="D529">
        <v>3.85</v>
      </c>
      <c r="E529">
        <v>3.8822000000000001</v>
      </c>
      <c r="F529">
        <v>3873933.41</v>
      </c>
      <c r="G529">
        <v>0</v>
      </c>
      <c r="L529" t="s">
        <v>7</v>
      </c>
      <c r="M529" t="s">
        <v>7</v>
      </c>
      <c r="N529" t="s">
        <v>8</v>
      </c>
      <c r="P529">
        <f t="shared" si="984"/>
        <v>-0.91145332050048122</v>
      </c>
      <c r="Q529">
        <f t="shared" si="985"/>
        <v>-3530909.4699422522</v>
      </c>
      <c r="R529">
        <f t="shared" si="986"/>
        <v>9548062.6217489429</v>
      </c>
      <c r="S529">
        <f t="shared" si="987"/>
        <v>95.48062621748943</v>
      </c>
      <c r="T529">
        <f t="shared" si="988"/>
        <v>9.5480626217489428E-2</v>
      </c>
    </row>
    <row r="530" spans="1:20" x14ac:dyDescent="0.25">
      <c r="A530" s="5">
        <v>44063</v>
      </c>
      <c r="B530">
        <v>4.1349999999999998</v>
      </c>
      <c r="C530">
        <v>4.8982000000000001</v>
      </c>
      <c r="D530">
        <v>4.1257999999999999</v>
      </c>
      <c r="E530">
        <v>4.55</v>
      </c>
      <c r="F530">
        <v>3253085.89</v>
      </c>
      <c r="G530">
        <v>0</v>
      </c>
      <c r="L530" t="s">
        <v>8</v>
      </c>
      <c r="M530" t="s">
        <v>8</v>
      </c>
      <c r="N530" t="s">
        <v>8</v>
      </c>
      <c r="P530">
        <f t="shared" si="984"/>
        <v>9.8394614189538585E-2</v>
      </c>
      <c r="Q530">
        <f t="shared" si="985"/>
        <v>320086.13107198174</v>
      </c>
      <c r="R530">
        <f t="shared" si="986"/>
        <v>13078972.091691194</v>
      </c>
      <c r="S530">
        <f t="shared" si="987"/>
        <v>130.78972091691193</v>
      </c>
      <c r="T530">
        <f t="shared" si="988"/>
        <v>0.13078972091691193</v>
      </c>
    </row>
    <row r="531" spans="1:20" x14ac:dyDescent="0.25">
      <c r="A531" s="5">
        <v>44062</v>
      </c>
      <c r="B531">
        <v>4.3204000000000002</v>
      </c>
      <c r="C531">
        <v>4.6100000000000003</v>
      </c>
      <c r="D531">
        <v>3.9405000000000001</v>
      </c>
      <c r="E531">
        <v>4.1235999999999997</v>
      </c>
      <c r="F531">
        <v>3415404.66</v>
      </c>
      <c r="G531">
        <v>0</v>
      </c>
      <c r="L531" t="s">
        <v>8</v>
      </c>
      <c r="M531" t="s">
        <v>8</v>
      </c>
      <c r="N531" t="s">
        <v>8</v>
      </c>
      <c r="P531">
        <f t="shared" si="984"/>
        <v>-0.45302464525765634</v>
      </c>
      <c r="Q531">
        <f t="shared" si="985"/>
        <v>-1547262.4845078464</v>
      </c>
      <c r="R531">
        <f t="shared" si="986"/>
        <v>12758885.960619213</v>
      </c>
      <c r="S531">
        <f t="shared" si="987"/>
        <v>127.58885960619213</v>
      </c>
      <c r="T531">
        <f t="shared" si="988"/>
        <v>0.12758885960619212</v>
      </c>
    </row>
    <row r="532" spans="1:20" x14ac:dyDescent="0.25">
      <c r="A532" s="5">
        <v>44061</v>
      </c>
      <c r="B532">
        <v>4.7226999999999997</v>
      </c>
      <c r="C532">
        <v>4.9400000000000004</v>
      </c>
      <c r="D532">
        <v>3.9</v>
      </c>
      <c r="E532">
        <v>4.3098000000000001</v>
      </c>
      <c r="F532">
        <v>4216033.93</v>
      </c>
      <c r="G532">
        <v>0</v>
      </c>
      <c r="L532" t="s">
        <v>7</v>
      </c>
      <c r="M532" t="s">
        <v>7</v>
      </c>
      <c r="N532" t="s">
        <v>8</v>
      </c>
      <c r="P532">
        <f t="shared" si="984"/>
        <v>-0.21192307692307696</v>
      </c>
      <c r="Q532">
        <f t="shared" si="985"/>
        <v>-893474.88285769243</v>
      </c>
      <c r="R532">
        <f t="shared" si="986"/>
        <v>14306148.445127059</v>
      </c>
      <c r="S532">
        <f t="shared" si="987"/>
        <v>143.06148445127059</v>
      </c>
      <c r="T532">
        <f t="shared" si="988"/>
        <v>0.14306148445127059</v>
      </c>
    </row>
    <row r="533" spans="1:20" x14ac:dyDescent="0.25">
      <c r="A533" s="5">
        <v>44060</v>
      </c>
      <c r="B533">
        <v>5.0955000000000004</v>
      </c>
      <c r="C533">
        <v>5.5343999999999998</v>
      </c>
      <c r="D533">
        <v>4.5199999999999996</v>
      </c>
      <c r="E533">
        <v>4.7141999999999999</v>
      </c>
      <c r="F533">
        <v>5081478.2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-0.6171135646687691</v>
      </c>
      <c r="Q533">
        <f t="shared" si="985"/>
        <v>-3135849.1257886407</v>
      </c>
      <c r="R533">
        <f t="shared" si="986"/>
        <v>15199623.32798475</v>
      </c>
      <c r="S533">
        <f t="shared" si="987"/>
        <v>151.9962332798475</v>
      </c>
      <c r="T533">
        <f t="shared" si="988"/>
        <v>0.15199623327984751</v>
      </c>
    </row>
    <row r="534" spans="1:20" x14ac:dyDescent="0.25">
      <c r="A534" s="5">
        <v>44059</v>
      </c>
      <c r="B534">
        <v>4.5525000000000002</v>
      </c>
      <c r="C534">
        <v>5.38</v>
      </c>
      <c r="D534">
        <v>4.4817999999999998</v>
      </c>
      <c r="E534">
        <v>5.0934999999999997</v>
      </c>
      <c r="F534">
        <v>7634151.96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0.36205744822979258</v>
      </c>
      <c r="Q534">
        <f t="shared" si="985"/>
        <v>2764001.5780360694</v>
      </c>
      <c r="R534">
        <f t="shared" si="986"/>
        <v>18335472.453773391</v>
      </c>
      <c r="S534">
        <f t="shared" si="987"/>
        <v>183.35472453773392</v>
      </c>
      <c r="T534">
        <f t="shared" si="988"/>
        <v>0.18335472453773391</v>
      </c>
    </row>
    <row r="535" spans="1:20" x14ac:dyDescent="0.25">
      <c r="A535" s="5">
        <v>44058</v>
      </c>
      <c r="B535">
        <v>4.3167999999999997</v>
      </c>
      <c r="C535">
        <v>4.8217999999999996</v>
      </c>
      <c r="D535">
        <v>4.09</v>
      </c>
      <c r="E535">
        <v>4.5525000000000002</v>
      </c>
      <c r="F535">
        <v>5059692.29</v>
      </c>
      <c r="G535">
        <v>0</v>
      </c>
      <c r="L535" t="s">
        <v>8</v>
      </c>
      <c r="M535" t="s">
        <v>8</v>
      </c>
      <c r="N535" t="s">
        <v>7</v>
      </c>
      <c r="P535">
        <f t="shared" si="984"/>
        <v>0.26400655916917326</v>
      </c>
      <c r="Q535">
        <f t="shared" si="985"/>
        <v>1335791.9519376948</v>
      </c>
      <c r="R535">
        <f t="shared" si="986"/>
        <v>15571470.875737321</v>
      </c>
      <c r="S535">
        <f t="shared" si="987"/>
        <v>155.71470875737322</v>
      </c>
      <c r="T535">
        <f t="shared" si="988"/>
        <v>0.15571470875737323</v>
      </c>
    </row>
    <row r="536" spans="1:20" x14ac:dyDescent="0.25">
      <c r="A536" s="5">
        <v>44057</v>
      </c>
      <c r="B536">
        <v>4.1609999999999996</v>
      </c>
      <c r="C536">
        <v>4.4810999999999996</v>
      </c>
      <c r="D536">
        <v>4.0854999999999997</v>
      </c>
      <c r="E536">
        <v>4.3167999999999997</v>
      </c>
      <c r="F536">
        <v>3854627.01</v>
      </c>
      <c r="G536">
        <v>0</v>
      </c>
      <c r="L536" t="s">
        <v>8</v>
      </c>
      <c r="M536" t="s">
        <v>8</v>
      </c>
      <c r="N536" t="s">
        <v>7</v>
      </c>
      <c r="P536">
        <f t="shared" si="984"/>
        <v>0.16936299292214402</v>
      </c>
      <c r="Q536">
        <f t="shared" si="985"/>
        <v>652831.16701213515</v>
      </c>
      <c r="R536">
        <f t="shared" si="986"/>
        <v>14235678.923799627</v>
      </c>
      <c r="S536">
        <f t="shared" si="987"/>
        <v>142.35678923799625</v>
      </c>
      <c r="T536">
        <f t="shared" si="988"/>
        <v>0.14235678923799625</v>
      </c>
    </row>
    <row r="537" spans="1:20" x14ac:dyDescent="0.25">
      <c r="A537" s="5">
        <v>44056</v>
      </c>
      <c r="B537">
        <v>4.5052000000000003</v>
      </c>
      <c r="C537">
        <v>4.5163000000000002</v>
      </c>
      <c r="D537">
        <v>3.93</v>
      </c>
      <c r="E537">
        <v>4.1577999999999999</v>
      </c>
      <c r="F537">
        <v>4679007.33</v>
      </c>
      <c r="G537">
        <v>0</v>
      </c>
      <c r="L537" t="s">
        <v>7</v>
      </c>
      <c r="M537" t="s">
        <v>8</v>
      </c>
      <c r="N537" t="s">
        <v>7</v>
      </c>
      <c r="P537">
        <f t="shared" si="984"/>
        <v>-0.22292341804537008</v>
      </c>
      <c r="Q537">
        <f t="shared" si="985"/>
        <v>-1043060.3070629409</v>
      </c>
      <c r="R537">
        <f t="shared" si="986"/>
        <v>13582847.756787492</v>
      </c>
      <c r="S537">
        <f t="shared" si="987"/>
        <v>135.82847756787493</v>
      </c>
      <c r="T537">
        <f t="shared" si="988"/>
        <v>0.13582847756787492</v>
      </c>
    </row>
    <row r="538" spans="1:20" x14ac:dyDescent="0.25">
      <c r="A538" s="5">
        <v>44055</v>
      </c>
      <c r="B538">
        <v>4.0957999999999997</v>
      </c>
      <c r="C538">
        <v>4.5766</v>
      </c>
      <c r="D538">
        <v>3.8</v>
      </c>
      <c r="E538">
        <v>4.5082000000000004</v>
      </c>
      <c r="F538">
        <v>5374645.4800000004</v>
      </c>
      <c r="G538">
        <v>0</v>
      </c>
      <c r="L538" t="s">
        <v>8</v>
      </c>
      <c r="M538" t="s">
        <v>8</v>
      </c>
      <c r="N538" t="s">
        <v>7</v>
      </c>
      <c r="P538">
        <f t="shared" si="984"/>
        <v>0.82384754056142273</v>
      </c>
      <c r="Q538">
        <f t="shared" si="985"/>
        <v>4427888.4600875676</v>
      </c>
      <c r="R538">
        <f t="shared" si="986"/>
        <v>14625908.063850433</v>
      </c>
      <c r="S538">
        <f t="shared" si="987"/>
        <v>146.25908063850432</v>
      </c>
      <c r="T538">
        <f t="shared" si="988"/>
        <v>0.14625908063850432</v>
      </c>
    </row>
    <row r="539" spans="1:20" x14ac:dyDescent="0.25">
      <c r="A539" s="5">
        <v>44054</v>
      </c>
      <c r="B539">
        <v>4.4649000000000001</v>
      </c>
      <c r="C539">
        <v>4.5871000000000004</v>
      </c>
      <c r="D539">
        <v>3.7162000000000002</v>
      </c>
      <c r="E539">
        <v>4.0876000000000001</v>
      </c>
      <c r="F539">
        <v>7914767.1200000001</v>
      </c>
      <c r="G539">
        <v>0</v>
      </c>
      <c r="L539" t="s">
        <v>7</v>
      </c>
      <c r="M539" t="s">
        <v>7</v>
      </c>
      <c r="N539" t="s">
        <v>7</v>
      </c>
      <c r="P539">
        <f t="shared" si="984"/>
        <v>-0.14708921805029312</v>
      </c>
      <c r="Q539">
        <f t="shared" si="985"/>
        <v>-1164176.9067309706</v>
      </c>
      <c r="R539">
        <f t="shared" si="986"/>
        <v>10198019.603762865</v>
      </c>
      <c r="S539">
        <f t="shared" si="987"/>
        <v>101.98019603762864</v>
      </c>
      <c r="T539">
        <f t="shared" si="988"/>
        <v>0.10198019603762865</v>
      </c>
    </row>
    <row r="540" spans="1:20" x14ac:dyDescent="0.25">
      <c r="A540" s="5">
        <v>44053</v>
      </c>
      <c r="B540">
        <v>4.6481000000000003</v>
      </c>
      <c r="C540">
        <v>5.0666000000000002</v>
      </c>
      <c r="D540">
        <v>3.9510000000000001</v>
      </c>
      <c r="E540">
        <v>4.4619</v>
      </c>
      <c r="F540">
        <v>10613694.32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-8.4080315525278157E-2</v>
      </c>
      <c r="Q540">
        <f t="shared" si="985"/>
        <v>-892402.76731445256</v>
      </c>
      <c r="R540">
        <f t="shared" si="986"/>
        <v>11362196.510493835</v>
      </c>
      <c r="S540">
        <f t="shared" si="987"/>
        <v>113.62196510493835</v>
      </c>
      <c r="T540">
        <f t="shared" si="988"/>
        <v>0.11362196510493835</v>
      </c>
    </row>
    <row r="541" spans="1:20" x14ac:dyDescent="0.25">
      <c r="A541" s="5">
        <v>44052</v>
      </c>
      <c r="B541">
        <v>4.2282999999999999</v>
      </c>
      <c r="C541">
        <v>4.6844000000000001</v>
      </c>
      <c r="D541">
        <v>3.9049999999999998</v>
      </c>
      <c r="E541">
        <v>4.649</v>
      </c>
      <c r="F541">
        <v>7495581.4500000002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0.909160892994611</v>
      </c>
      <c r="Q541">
        <f t="shared" si="985"/>
        <v>6814689.5245958418</v>
      </c>
      <c r="R541">
        <f t="shared" si="986"/>
        <v>12254599.277808288</v>
      </c>
      <c r="S541">
        <f t="shared" si="987"/>
        <v>122.54599277808288</v>
      </c>
      <c r="T541">
        <f t="shared" si="988"/>
        <v>0.12254599277808288</v>
      </c>
    </row>
    <row r="542" spans="1:20" x14ac:dyDescent="0.25">
      <c r="A542" s="5">
        <v>44051</v>
      </c>
      <c r="B542">
        <v>3.5305</v>
      </c>
      <c r="C542">
        <v>4.5198999999999998</v>
      </c>
      <c r="D542">
        <v>3.4285999999999999</v>
      </c>
      <c r="E542">
        <v>4.2401</v>
      </c>
      <c r="F542">
        <v>9696135.6400000006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0.48721708054613794</v>
      </c>
      <c r="Q542">
        <f t="shared" si="985"/>
        <v>4724122.8991001593</v>
      </c>
      <c r="R542">
        <f t="shared" si="986"/>
        <v>5439909.7532124463</v>
      </c>
      <c r="S542">
        <f t="shared" si="987"/>
        <v>54.399097532124465</v>
      </c>
      <c r="T542">
        <f t="shared" si="988"/>
        <v>5.4399097532124463E-2</v>
      </c>
    </row>
    <row r="543" spans="1:20" x14ac:dyDescent="0.25">
      <c r="A543" s="5">
        <v>44050</v>
      </c>
      <c r="B543">
        <v>3.3839000000000001</v>
      </c>
      <c r="C543">
        <v>3.7206999999999999</v>
      </c>
      <c r="D543">
        <v>3.1444000000000001</v>
      </c>
      <c r="E543">
        <v>3.5318000000000001</v>
      </c>
      <c r="F543">
        <v>5967974.5099999998</v>
      </c>
      <c r="G543">
        <v>0</v>
      </c>
      <c r="L543" t="s">
        <v>8</v>
      </c>
      <c r="M543" t="s">
        <v>8</v>
      </c>
      <c r="N543" t="s">
        <v>8</v>
      </c>
      <c r="P543">
        <f t="shared" si="984"/>
        <v>0.34443866041992049</v>
      </c>
      <c r="Q543">
        <f t="shared" si="985"/>
        <v>2055601.1456446312</v>
      </c>
      <c r="R543">
        <f t="shared" si="986"/>
        <v>715786.85411228752</v>
      </c>
      <c r="S543">
        <f t="shared" si="987"/>
        <v>7.1578685411228751</v>
      </c>
      <c r="T543">
        <f t="shared" si="988"/>
        <v>7.1578685411228752E-3</v>
      </c>
    </row>
    <row r="544" spans="1:20" x14ac:dyDescent="0.25">
      <c r="A544" s="5">
        <v>44049</v>
      </c>
      <c r="B544">
        <v>2.9798</v>
      </c>
      <c r="C544">
        <v>3.6690999999999998</v>
      </c>
      <c r="D544">
        <v>2.9731000000000001</v>
      </c>
      <c r="E544">
        <v>3.3791000000000002</v>
      </c>
      <c r="F544">
        <v>8849534.9900000002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0.16666666666666752</v>
      </c>
      <c r="Q544">
        <f t="shared" si="985"/>
        <v>1474922.498333341</v>
      </c>
      <c r="R544">
        <f t="shared" si="986"/>
        <v>-1339814.2915323437</v>
      </c>
      <c r="S544">
        <f t="shared" si="987"/>
        <v>-13.398142915323437</v>
      </c>
      <c r="T544">
        <f t="shared" si="988"/>
        <v>-1.3398142915323437E-2</v>
      </c>
    </row>
    <row r="545" spans="1:20" x14ac:dyDescent="0.25">
      <c r="A545" s="5">
        <v>44048</v>
      </c>
      <c r="B545">
        <v>2.7936000000000001</v>
      </c>
      <c r="C545">
        <v>2.9998999999999998</v>
      </c>
      <c r="D545">
        <v>2.6635</v>
      </c>
      <c r="E545">
        <v>2.9794999999999998</v>
      </c>
      <c r="F545">
        <v>4480148.88</v>
      </c>
      <c r="G545">
        <v>0</v>
      </c>
      <c r="L545" t="s">
        <v>8</v>
      </c>
      <c r="M545" t="s">
        <v>8</v>
      </c>
      <c r="N545" t="s">
        <v>8</v>
      </c>
      <c r="P545">
        <f t="shared" si="984"/>
        <v>0.87871581450653991</v>
      </c>
      <c r="Q545">
        <f t="shared" si="985"/>
        <v>3936777.6721997624</v>
      </c>
      <c r="R545">
        <f t="shared" si="986"/>
        <v>-2814736.7898656847</v>
      </c>
      <c r="S545">
        <f t="shared" si="987"/>
        <v>-28.147367898656846</v>
      </c>
      <c r="T545">
        <f t="shared" si="988"/>
        <v>-2.8147367898656846E-2</v>
      </c>
    </row>
    <row r="546" spans="1:20" x14ac:dyDescent="0.25">
      <c r="A546" s="5">
        <v>44047</v>
      </c>
      <c r="B546">
        <v>2.4369000000000001</v>
      </c>
      <c r="C546">
        <v>2.883</v>
      </c>
      <c r="D546">
        <v>2.4300000000000002</v>
      </c>
      <c r="E546">
        <v>2.7919</v>
      </c>
      <c r="F546">
        <v>4629097.6100000003</v>
      </c>
      <c r="G546">
        <v>0</v>
      </c>
      <c r="L546" t="s">
        <v>8</v>
      </c>
      <c r="M546" t="s">
        <v>8</v>
      </c>
      <c r="N546" t="s">
        <v>8</v>
      </c>
      <c r="P546">
        <f t="shared" si="984"/>
        <v>0.59779249448123628</v>
      </c>
      <c r="Q546">
        <f t="shared" si="985"/>
        <v>2767239.8074790291</v>
      </c>
      <c r="R546">
        <f t="shared" si="986"/>
        <v>-6751514.4620654471</v>
      </c>
      <c r="S546">
        <f t="shared" si="987"/>
        <v>-67.515144620654468</v>
      </c>
      <c r="T546">
        <f t="shared" si="988"/>
        <v>-6.7515144620654471E-2</v>
      </c>
    </row>
    <row r="547" spans="1:20" x14ac:dyDescent="0.25">
      <c r="A547" s="5">
        <v>44046</v>
      </c>
      <c r="B547">
        <v>2.3557000000000001</v>
      </c>
      <c r="C547">
        <v>2.5051999999999999</v>
      </c>
      <c r="D547">
        <v>2.3418000000000001</v>
      </c>
      <c r="E547">
        <v>2.4308000000000001</v>
      </c>
      <c r="F547">
        <v>2431783.89</v>
      </c>
      <c r="G547">
        <v>0</v>
      </c>
      <c r="L547" t="s">
        <v>8</v>
      </c>
      <c r="M547" t="s">
        <v>8</v>
      </c>
      <c r="N547" t="s">
        <v>7</v>
      </c>
      <c r="P547">
        <f t="shared" si="984"/>
        <v>8.9351285189719645E-2</v>
      </c>
      <c r="Q547">
        <f t="shared" si="985"/>
        <v>217283.01587515583</v>
      </c>
      <c r="R547">
        <f t="shared" si="986"/>
        <v>-9518754.2695444766</v>
      </c>
      <c r="S547">
        <f t="shared" si="987"/>
        <v>-95.187542695444762</v>
      </c>
      <c r="T547">
        <f t="shared" si="988"/>
        <v>-9.5187542695444757E-2</v>
      </c>
    </row>
    <row r="548" spans="1:20" x14ac:dyDescent="0.25">
      <c r="A548" s="5">
        <v>44045</v>
      </c>
      <c r="B548">
        <v>2.4117000000000002</v>
      </c>
      <c r="C548">
        <v>2.4655</v>
      </c>
      <c r="D548">
        <v>1.9153</v>
      </c>
      <c r="E548">
        <v>2.3479999999999999</v>
      </c>
      <c r="F548">
        <v>3433025.7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0.57288258814976312</v>
      </c>
      <c r="Q548">
        <f t="shared" si="985"/>
        <v>1966720.6482006523</v>
      </c>
      <c r="R548">
        <f t="shared" si="986"/>
        <v>-9736037.2854196317</v>
      </c>
      <c r="S548">
        <f t="shared" si="987"/>
        <v>-97.360372854196314</v>
      </c>
      <c r="T548">
        <f t="shared" si="988"/>
        <v>-9.7360372854196311E-2</v>
      </c>
    </row>
    <row r="549" spans="1:20" x14ac:dyDescent="0.25">
      <c r="A549" s="5">
        <v>44044</v>
      </c>
      <c r="B549">
        <v>2.4365999999999999</v>
      </c>
      <c r="C549">
        <v>2.5567000000000002</v>
      </c>
      <c r="D549">
        <v>2.4</v>
      </c>
      <c r="E549">
        <v>2.4115000000000002</v>
      </c>
      <c r="F549">
        <v>3024635.56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-0.85322271857051346</v>
      </c>
      <c r="Q549">
        <f t="shared" si="985"/>
        <v>-2580687.7751882472</v>
      </c>
      <c r="R549">
        <f t="shared" si="986"/>
        <v>-11702757.933620283</v>
      </c>
      <c r="S549">
        <f t="shared" si="987"/>
        <v>-117.02757933620283</v>
      </c>
      <c r="T549">
        <f t="shared" si="988"/>
        <v>-0.11702757933620284</v>
      </c>
    </row>
    <row r="550" spans="1:20" x14ac:dyDescent="0.25">
      <c r="A550" s="5">
        <v>44043</v>
      </c>
      <c r="B550">
        <v>2.4415</v>
      </c>
      <c r="C550">
        <v>2.4980000000000002</v>
      </c>
      <c r="D550">
        <v>2.3359999999999999</v>
      </c>
      <c r="E550">
        <v>2.4403000000000001</v>
      </c>
      <c r="F550">
        <v>3131810.33</v>
      </c>
      <c r="G550">
        <v>0</v>
      </c>
      <c r="L550" t="s">
        <v>8</v>
      </c>
      <c r="M550" t="s">
        <v>8</v>
      </c>
      <c r="N550" t="s">
        <v>8</v>
      </c>
      <c r="P550">
        <f t="shared" si="984"/>
        <v>0.28765432098765487</v>
      </c>
      <c r="Q550">
        <f t="shared" si="985"/>
        <v>900878.77393827331</v>
      </c>
      <c r="R550">
        <f t="shared" si="986"/>
        <v>-9122070.1584320366</v>
      </c>
      <c r="S550">
        <f t="shared" si="987"/>
        <v>-91.220701584320366</v>
      </c>
      <c r="T550">
        <f t="shared" si="988"/>
        <v>-9.1220701584320371E-2</v>
      </c>
    </row>
    <row r="551" spans="1:20" x14ac:dyDescent="0.25">
      <c r="A551" s="5">
        <v>44042</v>
      </c>
      <c r="B551">
        <v>2.5108000000000001</v>
      </c>
      <c r="C551">
        <v>2.5255000000000001</v>
      </c>
      <c r="D551">
        <v>2.33</v>
      </c>
      <c r="E551">
        <v>2.4339</v>
      </c>
      <c r="F551">
        <v>3466650.05</v>
      </c>
      <c r="G551">
        <v>0</v>
      </c>
      <c r="L551" t="s">
        <v>7</v>
      </c>
      <c r="M551" t="s">
        <v>8</v>
      </c>
      <c r="N551" t="s">
        <v>8</v>
      </c>
      <c r="P551">
        <f t="shared" si="984"/>
        <v>6.2915601023016646E-2</v>
      </c>
      <c r="Q551">
        <f t="shared" si="985"/>
        <v>218106.37143222068</v>
      </c>
      <c r="R551">
        <f t="shared" si="986"/>
        <v>-10022948.932370311</v>
      </c>
      <c r="S551">
        <f t="shared" si="987"/>
        <v>-100.22948932370311</v>
      </c>
      <c r="T551">
        <f t="shared" si="988"/>
        <v>-0.10022948932370311</v>
      </c>
    </row>
    <row r="552" spans="1:20" x14ac:dyDescent="0.25">
      <c r="A552" s="5">
        <v>44041</v>
      </c>
      <c r="B552">
        <v>2.5996000000000001</v>
      </c>
      <c r="C552">
        <v>2.73</v>
      </c>
      <c r="D552">
        <v>2.452</v>
      </c>
      <c r="E552">
        <v>2.5108000000000001</v>
      </c>
      <c r="F552">
        <v>4613096.4800000004</v>
      </c>
      <c r="G552">
        <v>0</v>
      </c>
      <c r="L552" t="s">
        <v>7</v>
      </c>
      <c r="M552" t="s">
        <v>8</v>
      </c>
      <c r="N552" t="s">
        <v>8</v>
      </c>
      <c r="P552">
        <f t="shared" si="984"/>
        <v>-0.57697841726618571</v>
      </c>
      <c r="Q552">
        <f t="shared" si="985"/>
        <v>-2661657.1057266127</v>
      </c>
      <c r="R552">
        <f t="shared" si="986"/>
        <v>-10241055.303802531</v>
      </c>
      <c r="S552">
        <f t="shared" si="987"/>
        <v>-102.41055303802531</v>
      </c>
      <c r="T552">
        <f t="shared" si="988"/>
        <v>-0.10241055303802531</v>
      </c>
    </row>
    <row r="553" spans="1:20" x14ac:dyDescent="0.25">
      <c r="A553" s="5">
        <v>44040</v>
      </c>
      <c r="B553">
        <v>2.0767000000000002</v>
      </c>
      <c r="C553">
        <v>2.7328000000000001</v>
      </c>
      <c r="D553">
        <v>2.0200999999999998</v>
      </c>
      <c r="E553">
        <v>2.5977000000000001</v>
      </c>
      <c r="F553">
        <v>9479320.4000000004</v>
      </c>
      <c r="G553">
        <v>0</v>
      </c>
      <c r="L553" t="s">
        <v>8</v>
      </c>
      <c r="M553" t="s">
        <v>8</v>
      </c>
      <c r="N553" t="s">
        <v>8</v>
      </c>
      <c r="P553">
        <f t="shared" si="984"/>
        <v>0.62087834993685997</v>
      </c>
      <c r="Q553">
        <f t="shared" si="985"/>
        <v>5885504.8084748155</v>
      </c>
      <c r="R553">
        <f t="shared" si="986"/>
        <v>-7579398.1980759175</v>
      </c>
      <c r="S553">
        <f t="shared" si="987"/>
        <v>-75.79398198075917</v>
      </c>
      <c r="T553">
        <f t="shared" si="988"/>
        <v>-7.5793981980759165E-2</v>
      </c>
    </row>
    <row r="554" spans="1:20" x14ac:dyDescent="0.25">
      <c r="A554" s="5">
        <v>44039</v>
      </c>
      <c r="B554">
        <v>2.3313000000000001</v>
      </c>
      <c r="C554">
        <v>2.41</v>
      </c>
      <c r="D554">
        <v>1.913</v>
      </c>
      <c r="E554">
        <v>2.0739000000000001</v>
      </c>
      <c r="F554">
        <v>6110943.7199999997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-0.35251509054325952</v>
      </c>
      <c r="Q554">
        <f t="shared" si="985"/>
        <v>-2154199.8787605632</v>
      </c>
      <c r="R554">
        <f t="shared" si="986"/>
        <v>-13464903.006550733</v>
      </c>
      <c r="S554">
        <f t="shared" si="987"/>
        <v>-134.64903006550733</v>
      </c>
      <c r="T554">
        <f t="shared" si="988"/>
        <v>-0.13464903006550732</v>
      </c>
    </row>
    <row r="555" spans="1:20" x14ac:dyDescent="0.25">
      <c r="A555" s="5">
        <v>44038</v>
      </c>
      <c r="B555">
        <v>2.3995000000000002</v>
      </c>
      <c r="C555">
        <v>2.4300000000000002</v>
      </c>
      <c r="D555">
        <v>2.1800000000000002</v>
      </c>
      <c r="E555">
        <v>2.3311000000000002</v>
      </c>
      <c r="F555">
        <v>3277681.4</v>
      </c>
      <c r="G555">
        <v>0</v>
      </c>
      <c r="L555" t="s">
        <v>7</v>
      </c>
      <c r="M555" t="s">
        <v>7</v>
      </c>
      <c r="N555" t="s">
        <v>7</v>
      </c>
      <c r="P555">
        <f t="shared" si="984"/>
        <v>0.2088000000000001</v>
      </c>
      <c r="Q555">
        <f t="shared" si="985"/>
        <v>684379.87632000027</v>
      </c>
      <c r="R555">
        <f t="shared" si="986"/>
        <v>-11310703.12779017</v>
      </c>
      <c r="S555">
        <f t="shared" si="987"/>
        <v>-113.1070312779017</v>
      </c>
      <c r="T555">
        <f t="shared" si="988"/>
        <v>-0.1131070312779017</v>
      </c>
    </row>
    <row r="556" spans="1:20" x14ac:dyDescent="0.25">
      <c r="A556" s="5">
        <v>44037</v>
      </c>
      <c r="B556">
        <v>2.4927000000000001</v>
      </c>
      <c r="C556">
        <v>2.6377000000000002</v>
      </c>
      <c r="D556">
        <v>2.3557999999999999</v>
      </c>
      <c r="E556">
        <v>2.3997000000000002</v>
      </c>
      <c r="F556">
        <v>2795620.06</v>
      </c>
      <c r="G556">
        <v>0</v>
      </c>
      <c r="L556" t="s">
        <v>7</v>
      </c>
      <c r="M556" t="s">
        <v>7</v>
      </c>
      <c r="N556" t="s">
        <v>7</v>
      </c>
      <c r="P556">
        <f t="shared" si="984"/>
        <v>-0.68854203618304199</v>
      </c>
      <c r="Q556">
        <f t="shared" si="985"/>
        <v>-1924901.9285065581</v>
      </c>
      <c r="R556">
        <f t="shared" si="986"/>
        <v>-11995083.004110171</v>
      </c>
      <c r="S556">
        <f t="shared" si="987"/>
        <v>-119.95083004110171</v>
      </c>
      <c r="T556">
        <f t="shared" si="988"/>
        <v>-0.11995083004110171</v>
      </c>
    </row>
    <row r="557" spans="1:20" x14ac:dyDescent="0.25">
      <c r="A557" s="5">
        <v>44036</v>
      </c>
      <c r="B557">
        <v>2.7162000000000002</v>
      </c>
      <c r="C557">
        <v>2.8540000000000001</v>
      </c>
      <c r="D557">
        <v>2.4253</v>
      </c>
      <c r="E557">
        <v>2.4929000000000001</v>
      </c>
      <c r="F557">
        <v>2691676.66</v>
      </c>
      <c r="G557">
        <v>0</v>
      </c>
      <c r="L557" t="s">
        <v>7</v>
      </c>
      <c r="M557" t="s">
        <v>7</v>
      </c>
      <c r="N557" t="s">
        <v>7</v>
      </c>
      <c r="P557">
        <f t="shared" si="984"/>
        <v>-0.68462794494984791</v>
      </c>
      <c r="Q557">
        <f t="shared" si="985"/>
        <v>-1842797.0602052705</v>
      </c>
      <c r="R557">
        <f t="shared" si="986"/>
        <v>-10070181.075603612</v>
      </c>
      <c r="S557">
        <f t="shared" si="987"/>
        <v>-100.70181075603612</v>
      </c>
      <c r="T557">
        <f t="shared" si="988"/>
        <v>-0.10070181075603613</v>
      </c>
    </row>
    <row r="558" spans="1:20" x14ac:dyDescent="0.25">
      <c r="A558" s="5">
        <v>44035</v>
      </c>
      <c r="B558">
        <v>2.7902</v>
      </c>
      <c r="C558">
        <v>3.1480000000000001</v>
      </c>
      <c r="D558">
        <v>2.6360999999999999</v>
      </c>
      <c r="E558">
        <v>2.7227999999999999</v>
      </c>
      <c r="F558">
        <v>4906636.5999999996</v>
      </c>
      <c r="G558">
        <v>0</v>
      </c>
      <c r="L558" t="s">
        <v>7</v>
      </c>
      <c r="M558" t="s">
        <v>7</v>
      </c>
      <c r="N558" t="s">
        <v>7</v>
      </c>
      <c r="P558">
        <f t="shared" si="984"/>
        <v>-0.66126196522758363</v>
      </c>
      <c r="Q558">
        <f t="shared" si="985"/>
        <v>-3244572.1607735888</v>
      </c>
      <c r="R558">
        <f t="shared" si="986"/>
        <v>-8227384.0153983403</v>
      </c>
      <c r="S558">
        <f t="shared" si="987"/>
        <v>-82.2738401539834</v>
      </c>
      <c r="T558">
        <f t="shared" si="988"/>
        <v>-8.2273840153983396E-2</v>
      </c>
    </row>
    <row r="559" spans="1:20" x14ac:dyDescent="0.25">
      <c r="A559" s="5">
        <v>44034</v>
      </c>
      <c r="B559">
        <v>2.9199000000000002</v>
      </c>
      <c r="C559">
        <v>3.1995</v>
      </c>
      <c r="D559">
        <v>2.7456999999999998</v>
      </c>
      <c r="E559">
        <v>2.7825000000000002</v>
      </c>
      <c r="F559">
        <v>4158286.1</v>
      </c>
      <c r="G559">
        <v>0</v>
      </c>
      <c r="L559" t="s">
        <v>8</v>
      </c>
      <c r="M559" t="s">
        <v>8</v>
      </c>
      <c r="N559" t="s">
        <v>7</v>
      </c>
      <c r="P559">
        <f t="shared" si="984"/>
        <v>-0.83781401498457309</v>
      </c>
      <c r="Q559">
        <f t="shared" si="985"/>
        <v>-3483870.3728955421</v>
      </c>
      <c r="R559">
        <f t="shared" si="986"/>
        <v>-4982811.854624752</v>
      </c>
      <c r="S559">
        <f t="shared" si="987"/>
        <v>-49.828118546247516</v>
      </c>
      <c r="T559">
        <f t="shared" si="988"/>
        <v>-4.9828118546247517E-2</v>
      </c>
    </row>
    <row r="560" spans="1:20" x14ac:dyDescent="0.25">
      <c r="A560" s="5">
        <v>44033</v>
      </c>
      <c r="B560">
        <v>2.6371000000000002</v>
      </c>
      <c r="C560">
        <v>3.1530999999999998</v>
      </c>
      <c r="D560">
        <v>2.4500000000000002</v>
      </c>
      <c r="E560">
        <v>2.9199000000000002</v>
      </c>
      <c r="F560">
        <v>6773641.7300000004</v>
      </c>
      <c r="G560">
        <v>0</v>
      </c>
      <c r="L560" t="s">
        <v>7</v>
      </c>
      <c r="M560" t="s">
        <v>7</v>
      </c>
      <c r="N560" t="s">
        <v>7</v>
      </c>
      <c r="P560">
        <f t="shared" si="984"/>
        <v>0.33665196984781748</v>
      </c>
      <c r="Q560">
        <f t="shared" si="985"/>
        <v>2280359.8314478784</v>
      </c>
      <c r="R560">
        <f t="shared" si="986"/>
        <v>-1498941.4817292099</v>
      </c>
      <c r="S560">
        <f t="shared" si="987"/>
        <v>-14.989414817292099</v>
      </c>
      <c r="T560">
        <f t="shared" si="988"/>
        <v>-1.4989414817292098E-2</v>
      </c>
    </row>
    <row r="561" spans="1:104" x14ac:dyDescent="0.25">
      <c r="A561" s="5">
        <v>44032</v>
      </c>
      <c r="B561">
        <v>2.9089</v>
      </c>
      <c r="C561">
        <v>3.58</v>
      </c>
      <c r="D561">
        <v>2.54</v>
      </c>
      <c r="E561">
        <v>2.6368</v>
      </c>
      <c r="F561">
        <v>11184079.34</v>
      </c>
      <c r="G561">
        <v>0</v>
      </c>
      <c r="L561" t="s">
        <v>8</v>
      </c>
      <c r="M561" t="s">
        <v>8</v>
      </c>
      <c r="N561" t="s">
        <v>8</v>
      </c>
      <c r="P561">
        <f t="shared" si="984"/>
        <v>-0.81384615384615389</v>
      </c>
      <c r="Q561">
        <f t="shared" si="985"/>
        <v>-9102119.9551692307</v>
      </c>
      <c r="R561">
        <f t="shared" si="986"/>
        <v>-3779301.3131770883</v>
      </c>
      <c r="S561">
        <f t="shared" si="987"/>
        <v>-37.793013131770884</v>
      </c>
      <c r="T561">
        <f t="shared" si="988"/>
        <v>-3.7793013131770886E-2</v>
      </c>
      <c r="CZ561" t="s">
        <v>7</v>
      </c>
    </row>
    <row r="562" spans="1:104" x14ac:dyDescent="0.25">
      <c r="A562" s="5">
        <v>44031</v>
      </c>
      <c r="B562">
        <v>2.4173</v>
      </c>
      <c r="C562">
        <v>3.0985999999999998</v>
      </c>
      <c r="D562">
        <v>2.3811</v>
      </c>
      <c r="E562">
        <v>2.9066999999999998</v>
      </c>
      <c r="F562">
        <v>6495728.2699999996</v>
      </c>
      <c r="G562">
        <v>0</v>
      </c>
      <c r="L562" t="s">
        <v>8</v>
      </c>
      <c r="M562" t="s">
        <v>8</v>
      </c>
      <c r="N562" t="s">
        <v>8</v>
      </c>
      <c r="P562">
        <f t="shared" si="984"/>
        <v>0.46508710801393727</v>
      </c>
      <c r="Q562">
        <f t="shared" si="985"/>
        <v>3021079.4755386757</v>
      </c>
      <c r="R562">
        <f t="shared" si="986"/>
        <v>5322818.6419921424</v>
      </c>
      <c r="S562">
        <f t="shared" si="987"/>
        <v>53.228186419921421</v>
      </c>
      <c r="T562">
        <f t="shared" si="988"/>
        <v>5.3228186419921421E-2</v>
      </c>
      <c r="CZ562" t="s">
        <v>7</v>
      </c>
    </row>
    <row r="563" spans="1:104" x14ac:dyDescent="0.25">
      <c r="A563" s="5">
        <v>44030</v>
      </c>
      <c r="B563">
        <v>2.1981999999999999</v>
      </c>
      <c r="C563">
        <v>2.4689000000000001</v>
      </c>
      <c r="D563">
        <v>2.0750000000000002</v>
      </c>
      <c r="E563">
        <v>2.4171999999999998</v>
      </c>
      <c r="F563">
        <v>3279856.43</v>
      </c>
      <c r="G563">
        <v>0</v>
      </c>
      <c r="L563" t="s">
        <v>8</v>
      </c>
      <c r="M563" t="s">
        <v>8</v>
      </c>
      <c r="N563" t="s">
        <v>8</v>
      </c>
      <c r="P563">
        <f t="shared" si="984"/>
        <v>0.7374968266057359</v>
      </c>
      <c r="Q563">
        <f t="shared" si="985"/>
        <v>2418883.708847418</v>
      </c>
      <c r="R563">
        <f t="shared" si="986"/>
        <v>2301739.1664534663</v>
      </c>
      <c r="S563">
        <f t="shared" si="987"/>
        <v>23.017391664534664</v>
      </c>
      <c r="T563">
        <f t="shared" si="988"/>
        <v>2.3017391664534665E-2</v>
      </c>
      <c r="CZ563" t="s">
        <v>7</v>
      </c>
    </row>
    <row r="564" spans="1:104" x14ac:dyDescent="0.25">
      <c r="A564" s="5">
        <v>44029</v>
      </c>
      <c r="B564">
        <v>1.9722</v>
      </c>
      <c r="C564">
        <v>2.2608000000000001</v>
      </c>
      <c r="D564">
        <v>1.925</v>
      </c>
      <c r="E564">
        <v>2.1981999999999999</v>
      </c>
      <c r="F564">
        <v>3477297.58</v>
      </c>
      <c r="G564">
        <v>0</v>
      </c>
      <c r="L564" t="s">
        <v>8</v>
      </c>
      <c r="M564" t="s">
        <v>8</v>
      </c>
      <c r="N564" t="s">
        <v>8</v>
      </c>
      <c r="P564">
        <f t="shared" si="984"/>
        <v>0.62715902322811079</v>
      </c>
      <c r="Q564">
        <f t="shared" si="985"/>
        <v>2180818.5537462733</v>
      </c>
      <c r="R564">
        <f t="shared" si="986"/>
        <v>-117144.54239395168</v>
      </c>
      <c r="S564">
        <f t="shared" si="987"/>
        <v>-1.1714454239395167</v>
      </c>
      <c r="T564">
        <f t="shared" si="988"/>
        <v>-1.1714454239395166E-3</v>
      </c>
    </row>
    <row r="565" spans="1:104" x14ac:dyDescent="0.25">
      <c r="A565" s="5">
        <v>44028</v>
      </c>
      <c r="B565">
        <v>2.1255000000000002</v>
      </c>
      <c r="C565">
        <v>2.1465999999999998</v>
      </c>
      <c r="D565">
        <v>1.77</v>
      </c>
      <c r="E565">
        <v>1.9752000000000001</v>
      </c>
      <c r="F565">
        <v>3515896.6</v>
      </c>
      <c r="G565">
        <v>0</v>
      </c>
      <c r="L565" t="s">
        <v>7</v>
      </c>
      <c r="M565" t="s">
        <v>7</v>
      </c>
      <c r="N565" t="s">
        <v>8</v>
      </c>
      <c r="P565">
        <f t="shared" si="984"/>
        <v>8.9750398300584941E-2</v>
      </c>
      <c r="Q565">
        <f t="shared" si="985"/>
        <v>315553.12023367238</v>
      </c>
      <c r="R565">
        <f t="shared" si="986"/>
        <v>-2297963.096140225</v>
      </c>
      <c r="S565">
        <f t="shared" si="987"/>
        <v>-22.97963096140225</v>
      </c>
      <c r="T565">
        <f t="shared" si="988"/>
        <v>-2.297963096140225E-2</v>
      </c>
    </row>
    <row r="566" spans="1:104" x14ac:dyDescent="0.25">
      <c r="A566" s="5">
        <v>44027</v>
      </c>
      <c r="B566">
        <v>1.9637</v>
      </c>
      <c r="C566">
        <v>2.1497999999999999</v>
      </c>
      <c r="D566">
        <v>1.9053</v>
      </c>
      <c r="E566">
        <v>2.1221999999999999</v>
      </c>
      <c r="F566">
        <v>3623995.08</v>
      </c>
      <c r="G566">
        <v>0</v>
      </c>
      <c r="L566" t="s">
        <v>8</v>
      </c>
      <c r="M566" t="s">
        <v>8</v>
      </c>
      <c r="N566" t="s">
        <v>8</v>
      </c>
      <c r="P566">
        <f t="shared" si="984"/>
        <v>0.77423312883435524</v>
      </c>
      <c r="Q566">
        <f t="shared" si="985"/>
        <v>2805817.0496687097</v>
      </c>
      <c r="R566">
        <f t="shared" si="986"/>
        <v>-2613516.2163738972</v>
      </c>
      <c r="S566">
        <f t="shared" si="987"/>
        <v>-26.135162163738972</v>
      </c>
      <c r="T566">
        <f t="shared" si="988"/>
        <v>-2.613516216373897E-2</v>
      </c>
    </row>
    <row r="567" spans="1:104" x14ac:dyDescent="0.25">
      <c r="A567" s="5">
        <v>44026</v>
      </c>
      <c r="B567">
        <v>1.6729000000000001</v>
      </c>
      <c r="C567">
        <v>2.0950000000000002</v>
      </c>
      <c r="D567">
        <v>1.5888</v>
      </c>
      <c r="E567">
        <v>1.9576</v>
      </c>
      <c r="F567">
        <v>4701986.9400000004</v>
      </c>
      <c r="G567">
        <v>0</v>
      </c>
      <c r="L567" t="s">
        <v>7</v>
      </c>
      <c r="M567" t="s">
        <v>8</v>
      </c>
      <c r="N567" t="s">
        <v>8</v>
      </c>
      <c r="P567">
        <f t="shared" si="984"/>
        <v>0.45713156854997972</v>
      </c>
      <c r="Q567">
        <f t="shared" si="985"/>
        <v>2149426.6651837197</v>
      </c>
      <c r="R567">
        <f t="shared" si="986"/>
        <v>-5419333.2660426069</v>
      </c>
      <c r="S567">
        <f t="shared" si="987"/>
        <v>-54.193332660426066</v>
      </c>
      <c r="T567">
        <f t="shared" si="988"/>
        <v>-5.4193332660426065E-2</v>
      </c>
    </row>
    <row r="568" spans="1:104" x14ac:dyDescent="0.25">
      <c r="A568" s="5">
        <v>44025</v>
      </c>
      <c r="B568">
        <v>1.903</v>
      </c>
      <c r="C568">
        <v>1.9137</v>
      </c>
      <c r="D568">
        <v>1.635</v>
      </c>
      <c r="E568">
        <v>1.6709000000000001</v>
      </c>
      <c r="F568">
        <v>2225989.4700000002</v>
      </c>
      <c r="G568">
        <v>0</v>
      </c>
      <c r="L568" t="s">
        <v>7</v>
      </c>
      <c r="M568" t="s">
        <v>8</v>
      </c>
      <c r="N568" t="s">
        <v>8</v>
      </c>
      <c r="P568">
        <f t="shared" si="984"/>
        <v>-0.74237531395766021</v>
      </c>
      <c r="Q568">
        <f t="shared" si="985"/>
        <v>-1652519.6316576959</v>
      </c>
      <c r="R568">
        <f t="shared" si="986"/>
        <v>-7568759.9312263262</v>
      </c>
      <c r="S568">
        <f t="shared" si="987"/>
        <v>-75.687599312263259</v>
      </c>
      <c r="T568">
        <f t="shared" si="988"/>
        <v>-7.5687599312263265E-2</v>
      </c>
    </row>
    <row r="569" spans="1:104" x14ac:dyDescent="0.25">
      <c r="A569" s="5">
        <v>44024</v>
      </c>
      <c r="B569">
        <v>1.7152000000000001</v>
      </c>
      <c r="C569">
        <v>1.9693000000000001</v>
      </c>
      <c r="D569">
        <v>1.7062999999999999</v>
      </c>
      <c r="E569">
        <v>1.8996</v>
      </c>
      <c r="F569">
        <v>3553765.59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0.46996197718631133</v>
      </c>
      <c r="Q569">
        <f t="shared" si="985"/>
        <v>1670134.7031330781</v>
      </c>
      <c r="R569">
        <f t="shared" si="986"/>
        <v>-5916240.2995686298</v>
      </c>
      <c r="S569">
        <f t="shared" si="987"/>
        <v>-59.1624029956863</v>
      </c>
      <c r="T569">
        <f t="shared" si="988"/>
        <v>-5.91624029956863E-2</v>
      </c>
    </row>
    <row r="570" spans="1:104" x14ac:dyDescent="0.25">
      <c r="A570" s="5">
        <v>44023</v>
      </c>
      <c r="B570">
        <v>1.4830000000000001</v>
      </c>
      <c r="C570">
        <v>1.9503999999999999</v>
      </c>
      <c r="D570">
        <v>1.4390000000000001</v>
      </c>
      <c r="E570">
        <v>1.7152000000000001</v>
      </c>
      <c r="F570">
        <v>7272073.3200000003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8.0172076652327257E-2</v>
      </c>
      <c r="Q570">
        <f t="shared" si="985"/>
        <v>583017.21963238402</v>
      </c>
      <c r="R570">
        <f t="shared" si="986"/>
        <v>-7586375.0027017081</v>
      </c>
      <c r="S570">
        <f t="shared" si="987"/>
        <v>-75.863750027017076</v>
      </c>
      <c r="T570">
        <f t="shared" si="988"/>
        <v>-7.5863750027017077E-2</v>
      </c>
    </row>
    <row r="571" spans="1:104" x14ac:dyDescent="0.25">
      <c r="A571" s="5">
        <v>44022</v>
      </c>
      <c r="B571">
        <v>1.3172999999999999</v>
      </c>
      <c r="C571">
        <v>1.49</v>
      </c>
      <c r="D571">
        <v>1.2750999999999999</v>
      </c>
      <c r="E571">
        <v>1.4826999999999999</v>
      </c>
      <c r="F571">
        <v>2667898.37</v>
      </c>
      <c r="G571">
        <v>0</v>
      </c>
      <c r="L571" t="s">
        <v>8</v>
      </c>
      <c r="M571" t="s">
        <v>8</v>
      </c>
      <c r="N571" t="s">
        <v>8</v>
      </c>
      <c r="P571">
        <f t="shared" si="984"/>
        <v>0.93206142391810065</v>
      </c>
      <c r="Q571">
        <f t="shared" si="985"/>
        <v>2486645.1536109797</v>
      </c>
      <c r="R571">
        <f t="shared" si="986"/>
        <v>-8169392.2223340925</v>
      </c>
      <c r="S571">
        <f t="shared" si="987"/>
        <v>-81.69392222334092</v>
      </c>
      <c r="T571">
        <f t="shared" si="988"/>
        <v>-8.1693922223340917E-2</v>
      </c>
    </row>
    <row r="572" spans="1:104" x14ac:dyDescent="0.25">
      <c r="A572" s="5">
        <v>44021</v>
      </c>
      <c r="B572">
        <v>1.3282</v>
      </c>
      <c r="C572">
        <v>1.3849</v>
      </c>
      <c r="D572">
        <v>1.2864</v>
      </c>
      <c r="E572">
        <v>1.3172999999999999</v>
      </c>
      <c r="F572">
        <v>1908076.9</v>
      </c>
      <c r="G572">
        <v>0</v>
      </c>
      <c r="L572" t="s">
        <v>8</v>
      </c>
      <c r="M572" t="s">
        <v>8</v>
      </c>
      <c r="N572" t="s">
        <v>8</v>
      </c>
      <c r="P572">
        <f t="shared" si="984"/>
        <v>-0.37258883248731134</v>
      </c>
      <c r="Q572">
        <f t="shared" si="985"/>
        <v>-710928.1444670083</v>
      </c>
      <c r="R572">
        <f t="shared" si="986"/>
        <v>-10656037.375945073</v>
      </c>
      <c r="S572">
        <f t="shared" si="987"/>
        <v>-106.56037375945073</v>
      </c>
      <c r="T572">
        <f t="shared" si="988"/>
        <v>-0.10656037375945072</v>
      </c>
    </row>
    <row r="573" spans="1:104" x14ac:dyDescent="0.25">
      <c r="A573" s="5">
        <v>44020</v>
      </c>
      <c r="B573">
        <v>1.3839999999999999</v>
      </c>
      <c r="C573">
        <v>1.3989</v>
      </c>
      <c r="D573">
        <v>1.2857000000000001</v>
      </c>
      <c r="E573">
        <v>1.3275999999999999</v>
      </c>
      <c r="F573">
        <v>1998806.05</v>
      </c>
      <c r="G573">
        <v>0</v>
      </c>
      <c r="L573" t="s">
        <v>7</v>
      </c>
      <c r="M573" t="s">
        <v>8</v>
      </c>
      <c r="N573" t="s">
        <v>8</v>
      </c>
      <c r="P573">
        <f t="shared" si="984"/>
        <v>-0.25971731448763535</v>
      </c>
      <c r="Q573">
        <f t="shared" si="985"/>
        <v>-519124.53948763822</v>
      </c>
      <c r="R573">
        <f t="shared" si="986"/>
        <v>-9945109.2314780653</v>
      </c>
      <c r="S573">
        <f t="shared" si="987"/>
        <v>-99.451092314780652</v>
      </c>
      <c r="T573">
        <f t="shared" si="988"/>
        <v>-9.9451092314780651E-2</v>
      </c>
    </row>
    <row r="574" spans="1:104" x14ac:dyDescent="0.25">
      <c r="A574" s="5">
        <v>44019</v>
      </c>
      <c r="B574">
        <v>1.3169999999999999</v>
      </c>
      <c r="C574">
        <v>1.4060999999999999</v>
      </c>
      <c r="D574">
        <v>1.3163</v>
      </c>
      <c r="E574">
        <v>1.3876999999999999</v>
      </c>
      <c r="F574">
        <v>2132081.11</v>
      </c>
      <c r="G574">
        <v>0</v>
      </c>
      <c r="L574" t="s">
        <v>8</v>
      </c>
      <c r="M574" t="s">
        <v>8</v>
      </c>
      <c r="N574" t="s">
        <v>8</v>
      </c>
      <c r="P574">
        <f t="shared" si="984"/>
        <v>0.5902004454342985</v>
      </c>
      <c r="Q574">
        <f t="shared" si="985"/>
        <v>1258355.2208240535</v>
      </c>
      <c r="R574">
        <f t="shared" si="986"/>
        <v>-9425984.6919904277</v>
      </c>
      <c r="S574">
        <f t="shared" si="987"/>
        <v>-94.259846919904277</v>
      </c>
      <c r="T574">
        <f t="shared" si="988"/>
        <v>-9.4259846919904272E-2</v>
      </c>
    </row>
    <row r="575" spans="1:104" x14ac:dyDescent="0.25">
      <c r="A575" s="5">
        <v>44018</v>
      </c>
      <c r="B575">
        <v>1.2234</v>
      </c>
      <c r="C575">
        <v>1.3489</v>
      </c>
      <c r="D575">
        <v>1.2133</v>
      </c>
      <c r="E575">
        <v>1.3196000000000001</v>
      </c>
      <c r="F575">
        <v>1584304.21</v>
      </c>
      <c r="G575">
        <v>0</v>
      </c>
      <c r="L575" t="s">
        <v>8</v>
      </c>
      <c r="M575" t="s">
        <v>8</v>
      </c>
      <c r="N575" t="s">
        <v>8</v>
      </c>
      <c r="P575">
        <f t="shared" si="984"/>
        <v>0.56784660766961803</v>
      </c>
      <c r="Q575">
        <f t="shared" si="985"/>
        <v>899641.77116519411</v>
      </c>
      <c r="R575">
        <f t="shared" si="986"/>
        <v>-10684339.912814481</v>
      </c>
      <c r="S575">
        <f t="shared" si="987"/>
        <v>-106.84339912814481</v>
      </c>
      <c r="T575">
        <f t="shared" si="988"/>
        <v>-0.10684339912814481</v>
      </c>
    </row>
    <row r="576" spans="1:104" x14ac:dyDescent="0.25">
      <c r="A576" s="5">
        <v>44017</v>
      </c>
      <c r="B576">
        <v>1.2484</v>
      </c>
      <c r="C576">
        <v>1.2698</v>
      </c>
      <c r="D576">
        <v>1.1850000000000001</v>
      </c>
      <c r="E576">
        <v>1.2201</v>
      </c>
      <c r="F576">
        <v>1479471.03</v>
      </c>
      <c r="G576">
        <v>0</v>
      </c>
      <c r="L576" t="s">
        <v>8</v>
      </c>
      <c r="M576" t="s">
        <v>8</v>
      </c>
      <c r="N576" t="s">
        <v>8</v>
      </c>
      <c r="P576">
        <f t="shared" si="984"/>
        <v>-0.17216981132075673</v>
      </c>
      <c r="Q576">
        <f t="shared" si="985"/>
        <v>-254720.24808962562</v>
      </c>
      <c r="R576">
        <f t="shared" si="986"/>
        <v>-11583981.683979675</v>
      </c>
      <c r="S576">
        <f t="shared" si="987"/>
        <v>-115.83981683979675</v>
      </c>
      <c r="T576">
        <f t="shared" si="988"/>
        <v>-0.11583981683979676</v>
      </c>
    </row>
    <row r="577" spans="1:20" x14ac:dyDescent="0.25">
      <c r="A577" s="5">
        <v>44016</v>
      </c>
      <c r="B577">
        <v>1.2970999999999999</v>
      </c>
      <c r="C577">
        <v>1.3033999999999999</v>
      </c>
      <c r="D577">
        <v>1.1873</v>
      </c>
      <c r="E577">
        <v>1.2447999999999999</v>
      </c>
      <c r="F577">
        <v>2007473.19</v>
      </c>
      <c r="G577">
        <v>0</v>
      </c>
      <c r="L577" t="s">
        <v>7</v>
      </c>
      <c r="M577" t="s">
        <v>8</v>
      </c>
      <c r="N577" t="s">
        <v>8</v>
      </c>
      <c r="P577">
        <f t="shared" si="984"/>
        <v>-9.4745908699405863E-3</v>
      </c>
      <c r="Q577">
        <f t="shared" si="985"/>
        <v>-19019.987157624502</v>
      </c>
      <c r="R577">
        <f t="shared" si="986"/>
        <v>-11329261.435890049</v>
      </c>
      <c r="S577">
        <f t="shared" si="987"/>
        <v>-113.29261435890049</v>
      </c>
      <c r="T577">
        <f t="shared" si="988"/>
        <v>-0.11329261435890049</v>
      </c>
    </row>
    <row r="578" spans="1:20" x14ac:dyDescent="0.25">
      <c r="A578" s="5">
        <v>44015</v>
      </c>
      <c r="B578">
        <v>1.1417999999999999</v>
      </c>
      <c r="C578">
        <v>1.3082</v>
      </c>
      <c r="D578">
        <v>1.1334</v>
      </c>
      <c r="E578">
        <v>1.2969999999999999</v>
      </c>
      <c r="F578">
        <v>2305034.41</v>
      </c>
      <c r="G578">
        <v>0</v>
      </c>
      <c r="L578" t="s">
        <v>8</v>
      </c>
      <c r="M578" t="s">
        <v>8</v>
      </c>
      <c r="N578" t="s">
        <v>8</v>
      </c>
      <c r="P578">
        <f t="shared" si="984"/>
        <v>0.87185354691075412</v>
      </c>
      <c r="Q578">
        <f t="shared" si="985"/>
        <v>2009652.4261098376</v>
      </c>
      <c r="R578">
        <f t="shared" si="986"/>
        <v>-11310241.448732425</v>
      </c>
      <c r="S578">
        <f t="shared" si="987"/>
        <v>-113.10241448732424</v>
      </c>
      <c r="T578">
        <f t="shared" si="988"/>
        <v>-0.11310241448732423</v>
      </c>
    </row>
    <row r="579" spans="1:20" x14ac:dyDescent="0.25">
      <c r="A579" s="5">
        <v>44014</v>
      </c>
      <c r="B579">
        <v>1.2322</v>
      </c>
      <c r="C579">
        <v>1.2549999999999999</v>
      </c>
      <c r="D579">
        <v>1.101</v>
      </c>
      <c r="E579">
        <v>1.1452</v>
      </c>
      <c r="F579">
        <v>2263527.77</v>
      </c>
      <c r="G579">
        <v>0</v>
      </c>
      <c r="L579" t="s">
        <v>7</v>
      </c>
      <c r="M579" t="s">
        <v>7</v>
      </c>
      <c r="N579" t="s">
        <v>8</v>
      </c>
      <c r="P579">
        <f t="shared" si="984"/>
        <v>-0.42597402597402545</v>
      </c>
      <c r="Q579">
        <f t="shared" si="985"/>
        <v>-964204.03709090792</v>
      </c>
      <c r="R579">
        <f t="shared" si="986"/>
        <v>-13319893.874842262</v>
      </c>
      <c r="S579">
        <f t="shared" si="987"/>
        <v>-133.19893874842262</v>
      </c>
      <c r="T579">
        <f t="shared" si="988"/>
        <v>-0.13319893874842262</v>
      </c>
    </row>
    <row r="580" spans="1:20" x14ac:dyDescent="0.25">
      <c r="A580" s="5">
        <v>44013</v>
      </c>
      <c r="B580">
        <v>1.2551000000000001</v>
      </c>
      <c r="C580">
        <v>1.2676000000000001</v>
      </c>
      <c r="D580">
        <v>1.1851</v>
      </c>
      <c r="E580">
        <v>1.2322</v>
      </c>
      <c r="F580">
        <v>2525127.31</v>
      </c>
      <c r="G580">
        <v>0</v>
      </c>
      <c r="L580" t="s">
        <v>7</v>
      </c>
      <c r="M580" t="s">
        <v>8</v>
      </c>
      <c r="N580" t="s">
        <v>8</v>
      </c>
      <c r="P580">
        <f t="shared" si="984"/>
        <v>0.14181818181817962</v>
      </c>
      <c r="Q580">
        <f t="shared" si="985"/>
        <v>358108.96396363084</v>
      </c>
      <c r="R580">
        <f t="shared" si="986"/>
        <v>-12355689.837751353</v>
      </c>
      <c r="S580">
        <f t="shared" si="987"/>
        <v>-123.55689837751353</v>
      </c>
      <c r="T580">
        <f t="shared" si="988"/>
        <v>-0.12355689837751353</v>
      </c>
    </row>
    <row r="581" spans="1:20" x14ac:dyDescent="0.25">
      <c r="A581" s="5">
        <v>44012</v>
      </c>
      <c r="B581">
        <v>1.2250000000000001</v>
      </c>
      <c r="C581">
        <v>1.3657999999999999</v>
      </c>
      <c r="D581">
        <v>1.2</v>
      </c>
      <c r="E581">
        <v>1.2551000000000001</v>
      </c>
      <c r="F581">
        <v>3462219.22</v>
      </c>
      <c r="G581">
        <v>0</v>
      </c>
      <c r="L581" t="s">
        <v>8</v>
      </c>
      <c r="M581" t="s">
        <v>8</v>
      </c>
      <c r="N581" t="s">
        <v>8</v>
      </c>
      <c r="P581">
        <f t="shared" si="984"/>
        <v>-0.3353437876960173</v>
      </c>
      <c r="Q581">
        <f t="shared" si="985"/>
        <v>-1161033.7070687506</v>
      </c>
      <c r="R581">
        <f t="shared" si="986"/>
        <v>-12713798.801714985</v>
      </c>
      <c r="S581">
        <f t="shared" si="987"/>
        <v>-127.13798801714985</v>
      </c>
      <c r="T581">
        <f t="shared" si="988"/>
        <v>-0.12713798801714984</v>
      </c>
    </row>
    <row r="582" spans="1:20" x14ac:dyDescent="0.25">
      <c r="A582" s="5">
        <v>44011</v>
      </c>
      <c r="B582">
        <v>1.1174999999999999</v>
      </c>
      <c r="C582">
        <v>1.3</v>
      </c>
      <c r="D582">
        <v>1.1086</v>
      </c>
      <c r="E582">
        <v>1.2256</v>
      </c>
      <c r="F582">
        <v>3607767.9</v>
      </c>
      <c r="G582">
        <v>0</v>
      </c>
      <c r="L582" t="s">
        <v>8</v>
      </c>
      <c r="M582" t="s">
        <v>8</v>
      </c>
      <c r="N582" t="s">
        <v>8</v>
      </c>
      <c r="P582">
        <f t="shared" ref="P582:P645" si="989">IF(C582=D582,0,((E582-D582)-(C582-E582))/(C582-D582))</f>
        <v>0.22257053291536033</v>
      </c>
      <c r="Q582">
        <f t="shared" ref="Q582:Q645" si="990">F582*P582</f>
        <v>802982.82413793041</v>
      </c>
      <c r="R582">
        <f t="shared" ref="R582:R645" si="991">R583+Q582</f>
        <v>-11552765.094646234</v>
      </c>
      <c r="S582">
        <f t="shared" ref="S582:S645" si="992">R582/100000</f>
        <v>-115.52765094646234</v>
      </c>
      <c r="T582">
        <f t="shared" ref="T582:T645" si="993">S582/1000</f>
        <v>-0.11552765094646235</v>
      </c>
    </row>
    <row r="583" spans="1:20" x14ac:dyDescent="0.25">
      <c r="A583" s="5">
        <v>44010</v>
      </c>
      <c r="B583">
        <v>1.1174999999999999</v>
      </c>
      <c r="C583">
        <v>1.137</v>
      </c>
      <c r="D583">
        <v>1.05</v>
      </c>
      <c r="E583">
        <v>1.1145</v>
      </c>
      <c r="F583">
        <v>1213042.8899999999</v>
      </c>
      <c r="G583">
        <v>0</v>
      </c>
      <c r="L583" t="s">
        <v>7</v>
      </c>
      <c r="M583" t="s">
        <v>8</v>
      </c>
      <c r="N583" t="s">
        <v>8</v>
      </c>
      <c r="P583">
        <f t="shared" si="989"/>
        <v>0.4827586206896558</v>
      </c>
      <c r="Q583">
        <f t="shared" si="990"/>
        <v>585606.91241379385</v>
      </c>
      <c r="R583">
        <f t="shared" si="991"/>
        <v>-12355747.918784164</v>
      </c>
      <c r="S583">
        <f t="shared" si="992"/>
        <v>-123.55747918784164</v>
      </c>
      <c r="T583">
        <f t="shared" si="993"/>
        <v>-0.12355747918784164</v>
      </c>
    </row>
    <row r="584" spans="1:20" x14ac:dyDescent="0.25">
      <c r="A584" s="5">
        <v>44009</v>
      </c>
      <c r="B584">
        <v>1.0942000000000001</v>
      </c>
      <c r="C584">
        <v>1.1656</v>
      </c>
      <c r="D584">
        <v>1.0629</v>
      </c>
      <c r="E584">
        <v>1.1208</v>
      </c>
      <c r="F584">
        <v>2251793.29</v>
      </c>
      <c r="G584">
        <v>0</v>
      </c>
      <c r="L584" t="s">
        <v>8</v>
      </c>
      <c r="M584" t="s">
        <v>8</v>
      </c>
      <c r="N584" t="s">
        <v>8</v>
      </c>
      <c r="P584">
        <f t="shared" si="989"/>
        <v>0.12755598831548307</v>
      </c>
      <c r="Q584">
        <f t="shared" si="990"/>
        <v>287229.71858812316</v>
      </c>
      <c r="R584">
        <f t="shared" si="991"/>
        <v>-12941354.831197958</v>
      </c>
      <c r="S584">
        <f t="shared" si="992"/>
        <v>-129.41354831197958</v>
      </c>
      <c r="T584">
        <f t="shared" si="993"/>
        <v>-0.12941354831197957</v>
      </c>
    </row>
    <row r="585" spans="1:20" x14ac:dyDescent="0.25">
      <c r="A585" s="5">
        <v>44008</v>
      </c>
      <c r="B585">
        <v>1.1611</v>
      </c>
      <c r="C585">
        <v>1.2045999999999999</v>
      </c>
      <c r="D585">
        <v>1.0585</v>
      </c>
      <c r="E585">
        <v>1.0925</v>
      </c>
      <c r="F585">
        <v>2499768.1</v>
      </c>
      <c r="G585">
        <v>0</v>
      </c>
      <c r="L585" t="s">
        <v>7</v>
      </c>
      <c r="M585" t="s">
        <v>8</v>
      </c>
      <c r="N585" t="s">
        <v>8</v>
      </c>
      <c r="P585">
        <f t="shared" si="989"/>
        <v>-0.53456536618754202</v>
      </c>
      <c r="Q585">
        <f t="shared" si="990"/>
        <v>-1336289.4497604363</v>
      </c>
      <c r="R585">
        <f t="shared" si="991"/>
        <v>-13228584.549786082</v>
      </c>
      <c r="S585">
        <f t="shared" si="992"/>
        <v>-132.28584549786081</v>
      </c>
      <c r="T585">
        <f t="shared" si="993"/>
        <v>-0.13228584549786079</v>
      </c>
    </row>
    <row r="586" spans="1:20" x14ac:dyDescent="0.25">
      <c r="A586" s="5">
        <v>44007</v>
      </c>
      <c r="B586">
        <v>1.1282000000000001</v>
      </c>
      <c r="C586">
        <v>1.2134</v>
      </c>
      <c r="D586">
        <v>1.03</v>
      </c>
      <c r="E586">
        <v>1.1647000000000001</v>
      </c>
      <c r="F586">
        <v>4242059.68</v>
      </c>
      <c r="G586">
        <v>0</v>
      </c>
      <c r="L586" t="s">
        <v>8</v>
      </c>
      <c r="M586" t="s">
        <v>8</v>
      </c>
      <c r="N586" t="s">
        <v>8</v>
      </c>
      <c r="P586">
        <f t="shared" si="989"/>
        <v>0.46892039258451512</v>
      </c>
      <c r="Q586">
        <f t="shared" si="990"/>
        <v>1989188.2905125425</v>
      </c>
      <c r="R586">
        <f t="shared" si="991"/>
        <v>-11892295.100025645</v>
      </c>
      <c r="S586">
        <f t="shared" si="992"/>
        <v>-118.92295100025645</v>
      </c>
      <c r="T586">
        <f t="shared" si="993"/>
        <v>-0.11892295100025645</v>
      </c>
    </row>
    <row r="587" spans="1:20" x14ac:dyDescent="0.25">
      <c r="A587" s="5">
        <v>44006</v>
      </c>
      <c r="B587">
        <v>1.0155000000000001</v>
      </c>
      <c r="C587">
        <v>1.1306</v>
      </c>
      <c r="D587">
        <v>0.98209999999999997</v>
      </c>
      <c r="E587">
        <v>1.1274999999999999</v>
      </c>
      <c r="F587">
        <v>2112005.4300000002</v>
      </c>
      <c r="G587">
        <v>0</v>
      </c>
      <c r="L587" t="s">
        <v>7</v>
      </c>
      <c r="M587" t="s">
        <v>8</v>
      </c>
      <c r="N587" t="s">
        <v>8</v>
      </c>
      <c r="P587">
        <f t="shared" si="989"/>
        <v>0.95824915824915691</v>
      </c>
      <c r="Q587">
        <f t="shared" si="990"/>
        <v>2023827.4255151488</v>
      </c>
      <c r="R587">
        <f t="shared" si="991"/>
        <v>-13881483.390538188</v>
      </c>
      <c r="S587">
        <f t="shared" si="992"/>
        <v>-138.81483390538187</v>
      </c>
      <c r="T587">
        <f t="shared" si="993"/>
        <v>-0.13881483390538188</v>
      </c>
    </row>
    <row r="588" spans="1:20" x14ac:dyDescent="0.25">
      <c r="A588" s="5">
        <v>44005</v>
      </c>
      <c r="B588">
        <v>1.0461</v>
      </c>
      <c r="C588">
        <v>1.0789</v>
      </c>
      <c r="D588">
        <v>1.0049999999999999</v>
      </c>
      <c r="E588">
        <v>1.0155000000000001</v>
      </c>
      <c r="F588">
        <v>1618909.84</v>
      </c>
      <c r="G588">
        <v>0</v>
      </c>
      <c r="L588" t="s">
        <v>7</v>
      </c>
      <c r="M588" t="s">
        <v>8</v>
      </c>
      <c r="N588" t="s">
        <v>8</v>
      </c>
      <c r="P588">
        <f t="shared" si="989"/>
        <v>-0.71583220568335137</v>
      </c>
      <c r="Q588">
        <f t="shared" si="990"/>
        <v>-1158867.8015696816</v>
      </c>
      <c r="R588">
        <f t="shared" si="991"/>
        <v>-15905310.816053336</v>
      </c>
      <c r="S588">
        <f t="shared" si="992"/>
        <v>-159.05310816053336</v>
      </c>
      <c r="T588">
        <f t="shared" si="993"/>
        <v>-0.15905310816053336</v>
      </c>
    </row>
    <row r="589" spans="1:20" x14ac:dyDescent="0.25">
      <c r="A589" s="5">
        <v>44004</v>
      </c>
      <c r="B589">
        <v>1.0465</v>
      </c>
      <c r="C589">
        <v>1.0908</v>
      </c>
      <c r="D589">
        <v>1.03</v>
      </c>
      <c r="E589">
        <v>1.0459000000000001</v>
      </c>
      <c r="F589">
        <v>1374390.82</v>
      </c>
      <c r="G589">
        <v>0</v>
      </c>
      <c r="L589" t="s">
        <v>8</v>
      </c>
      <c r="M589" t="s">
        <v>8</v>
      </c>
      <c r="N589" t="s">
        <v>8</v>
      </c>
      <c r="P589">
        <f t="shared" si="989"/>
        <v>-0.47697368421052516</v>
      </c>
      <c r="Q589">
        <f t="shared" si="990"/>
        <v>-655548.25296052475</v>
      </c>
      <c r="R589">
        <f t="shared" si="991"/>
        <v>-14746443.014483655</v>
      </c>
      <c r="S589">
        <f t="shared" si="992"/>
        <v>-147.46443014483654</v>
      </c>
      <c r="T589">
        <f t="shared" si="993"/>
        <v>-0.14746443014483654</v>
      </c>
    </row>
    <row r="590" spans="1:20" x14ac:dyDescent="0.25">
      <c r="A590" s="5">
        <v>44003</v>
      </c>
      <c r="B590">
        <v>1.0294000000000001</v>
      </c>
      <c r="C590">
        <v>1.0702</v>
      </c>
      <c r="D590">
        <v>1.026</v>
      </c>
      <c r="E590">
        <v>1.0477000000000001</v>
      </c>
      <c r="F590">
        <v>1296934.04</v>
      </c>
      <c r="G590">
        <v>0</v>
      </c>
      <c r="L590" t="s">
        <v>7</v>
      </c>
      <c r="M590" t="s">
        <v>8</v>
      </c>
      <c r="N590" t="s">
        <v>8</v>
      </c>
      <c r="P590">
        <f t="shared" si="989"/>
        <v>-1.8099547511310217E-2</v>
      </c>
      <c r="Q590">
        <f t="shared" si="990"/>
        <v>-23473.919276015506</v>
      </c>
      <c r="R590">
        <f t="shared" si="991"/>
        <v>-14090894.761523129</v>
      </c>
      <c r="S590">
        <f t="shared" si="992"/>
        <v>-140.90894761523128</v>
      </c>
      <c r="T590">
        <f t="shared" si="993"/>
        <v>-0.14090894761523129</v>
      </c>
    </row>
    <row r="591" spans="1:20" x14ac:dyDescent="0.25">
      <c r="A591" s="5">
        <v>44002</v>
      </c>
      <c r="B591">
        <v>1.0736000000000001</v>
      </c>
      <c r="C591">
        <v>1.1132</v>
      </c>
      <c r="D591">
        <v>1.0149999999999999</v>
      </c>
      <c r="E591">
        <v>1.0294000000000001</v>
      </c>
      <c r="F591">
        <v>1137420.1399999999</v>
      </c>
      <c r="G591">
        <v>0</v>
      </c>
      <c r="L591" t="s">
        <v>7</v>
      </c>
      <c r="M591" t="s">
        <v>8</v>
      </c>
      <c r="N591" t="s">
        <v>8</v>
      </c>
      <c r="P591">
        <f t="shared" si="989"/>
        <v>-0.70672097759673769</v>
      </c>
      <c r="Q591">
        <f t="shared" si="990"/>
        <v>-803838.67327901814</v>
      </c>
      <c r="R591">
        <f t="shared" si="991"/>
        <v>-14067420.842247114</v>
      </c>
      <c r="S591">
        <f t="shared" si="992"/>
        <v>-140.67420842247114</v>
      </c>
      <c r="T591">
        <f t="shared" si="993"/>
        <v>-0.14067420842247114</v>
      </c>
    </row>
    <row r="592" spans="1:20" x14ac:dyDescent="0.25">
      <c r="A592" s="5">
        <v>44001</v>
      </c>
      <c r="B592">
        <v>1.0277000000000001</v>
      </c>
      <c r="C592">
        <v>1.1148</v>
      </c>
      <c r="D592">
        <v>0.98609999999999998</v>
      </c>
      <c r="E592">
        <v>1.0741000000000001</v>
      </c>
      <c r="F592">
        <v>2436611.87</v>
      </c>
      <c r="G592">
        <v>0</v>
      </c>
      <c r="L592" t="s">
        <v>8</v>
      </c>
      <c r="M592" t="s">
        <v>8</v>
      </c>
      <c r="N592" t="s">
        <v>8</v>
      </c>
      <c r="P592">
        <f t="shared" si="989"/>
        <v>0.36752136752136833</v>
      </c>
      <c r="Q592">
        <f t="shared" si="990"/>
        <v>895506.92658119858</v>
      </c>
      <c r="R592">
        <f t="shared" si="991"/>
        <v>-13263582.168968096</v>
      </c>
      <c r="S592">
        <f t="shared" si="992"/>
        <v>-132.63582168968097</v>
      </c>
      <c r="T592">
        <f t="shared" si="993"/>
        <v>-0.13263582168968097</v>
      </c>
    </row>
    <row r="593" spans="1:20" x14ac:dyDescent="0.25">
      <c r="A593" s="5">
        <v>44000</v>
      </c>
      <c r="B593">
        <v>0.93600000000000005</v>
      </c>
      <c r="C593">
        <v>1.0650999999999999</v>
      </c>
      <c r="D593">
        <v>0.92879999999999996</v>
      </c>
      <c r="E593">
        <v>1.0277000000000001</v>
      </c>
      <c r="F593">
        <v>2920240.36</v>
      </c>
      <c r="G593">
        <v>0</v>
      </c>
      <c r="L593" t="s">
        <v>8</v>
      </c>
      <c r="M593" t="s">
        <v>8</v>
      </c>
      <c r="N593" t="s">
        <v>8</v>
      </c>
      <c r="P593">
        <f t="shared" si="989"/>
        <v>0.45121056493030248</v>
      </c>
      <c r="Q593">
        <f t="shared" si="990"/>
        <v>1317643.3025678699</v>
      </c>
      <c r="R593">
        <f t="shared" si="991"/>
        <v>-14159089.095549295</v>
      </c>
      <c r="S593">
        <f t="shared" si="992"/>
        <v>-141.59089095549294</v>
      </c>
      <c r="T593">
        <f t="shared" si="993"/>
        <v>-0.14159089095549293</v>
      </c>
    </row>
    <row r="594" spans="1:20" x14ac:dyDescent="0.25">
      <c r="A594" s="5">
        <v>43999</v>
      </c>
      <c r="B594">
        <v>0.93769999999999998</v>
      </c>
      <c r="C594">
        <v>0.94579999999999997</v>
      </c>
      <c r="D594">
        <v>0.90720000000000001</v>
      </c>
      <c r="E594">
        <v>0.93600000000000005</v>
      </c>
      <c r="F594">
        <v>1307467.3500000001</v>
      </c>
      <c r="G594">
        <v>0</v>
      </c>
      <c r="L594" t="s">
        <v>8</v>
      </c>
      <c r="M594" t="s">
        <v>7</v>
      </c>
      <c r="N594" t="s">
        <v>8</v>
      </c>
      <c r="P594">
        <f t="shared" si="989"/>
        <v>0.49222797927461515</v>
      </c>
      <c r="Q594">
        <f t="shared" si="990"/>
        <v>643572.01165803603</v>
      </c>
      <c r="R594">
        <f t="shared" si="991"/>
        <v>-15476732.398117164</v>
      </c>
      <c r="S594">
        <f t="shared" si="992"/>
        <v>-154.76732398117164</v>
      </c>
      <c r="T594">
        <f t="shared" si="993"/>
        <v>-0.15476732398117166</v>
      </c>
    </row>
    <row r="595" spans="1:20" x14ac:dyDescent="0.25">
      <c r="A595" s="5">
        <v>43998</v>
      </c>
      <c r="B595">
        <v>0.95730000000000004</v>
      </c>
      <c r="C595">
        <v>0.97340000000000004</v>
      </c>
      <c r="D595">
        <v>0.91590000000000005</v>
      </c>
      <c r="E595">
        <v>0.93710000000000004</v>
      </c>
      <c r="F595">
        <v>1783239.36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-0.26260869565217398</v>
      </c>
      <c r="Q595">
        <f t="shared" si="990"/>
        <v>-468294.16236521752</v>
      </c>
      <c r="R595">
        <f t="shared" si="991"/>
        <v>-16120304.409775199</v>
      </c>
      <c r="S595">
        <f t="shared" si="992"/>
        <v>-161.20304409775198</v>
      </c>
      <c r="T595">
        <f t="shared" si="993"/>
        <v>-0.16120304409775199</v>
      </c>
    </row>
    <row r="596" spans="1:20" x14ac:dyDescent="0.25">
      <c r="A596" s="5">
        <v>43997</v>
      </c>
      <c r="B596">
        <v>1.0033000000000001</v>
      </c>
      <c r="C596">
        <v>1.0033000000000001</v>
      </c>
      <c r="D596">
        <v>0.87309999999999999</v>
      </c>
      <c r="E596">
        <v>0.9587</v>
      </c>
      <c r="F596">
        <v>5650729.0700000003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0.31490015360983026</v>
      </c>
      <c r="Q596">
        <f t="shared" si="990"/>
        <v>1779415.4521505334</v>
      </c>
      <c r="R596">
        <f t="shared" si="991"/>
        <v>-15652010.247409983</v>
      </c>
      <c r="S596">
        <f t="shared" si="992"/>
        <v>-156.52010247409982</v>
      </c>
      <c r="T596">
        <f t="shared" si="993"/>
        <v>-0.15652010247409981</v>
      </c>
    </row>
    <row r="597" spans="1:20" x14ac:dyDescent="0.25">
      <c r="A597" s="5">
        <v>43996</v>
      </c>
      <c r="B597">
        <v>1.056</v>
      </c>
      <c r="C597">
        <v>1.0657000000000001</v>
      </c>
      <c r="D597">
        <v>0.98029999999999995</v>
      </c>
      <c r="E597">
        <v>1.0033000000000001</v>
      </c>
      <c r="F597">
        <v>1563284.76</v>
      </c>
      <c r="G597">
        <v>0</v>
      </c>
      <c r="L597" t="s">
        <v>7</v>
      </c>
      <c r="M597" t="s">
        <v>8</v>
      </c>
      <c r="N597" t="s">
        <v>8</v>
      </c>
      <c r="P597">
        <f t="shared" si="989"/>
        <v>-0.46135831381732806</v>
      </c>
      <c r="Q597">
        <f t="shared" si="990"/>
        <v>-721234.42088992638</v>
      </c>
      <c r="R597">
        <f t="shared" si="991"/>
        <v>-17431425.699560516</v>
      </c>
      <c r="S597">
        <f t="shared" si="992"/>
        <v>-174.31425699560515</v>
      </c>
      <c r="T597">
        <f t="shared" si="993"/>
        <v>-0.17431425699560515</v>
      </c>
    </row>
    <row r="598" spans="1:20" x14ac:dyDescent="0.25">
      <c r="A598" s="5">
        <v>43995</v>
      </c>
      <c r="B598">
        <v>1.0230999999999999</v>
      </c>
      <c r="C598">
        <v>1.0625</v>
      </c>
      <c r="D598">
        <v>1.0045999999999999</v>
      </c>
      <c r="E598">
        <v>1.0550999999999999</v>
      </c>
      <c r="F598">
        <v>1261912.6599999999</v>
      </c>
      <c r="G598">
        <v>0</v>
      </c>
      <c r="L598" t="s">
        <v>8</v>
      </c>
      <c r="M598" t="s">
        <v>8</v>
      </c>
      <c r="N598" t="s">
        <v>8</v>
      </c>
      <c r="P598">
        <f t="shared" si="989"/>
        <v>0.74438687392055047</v>
      </c>
      <c r="Q598">
        <f t="shared" si="990"/>
        <v>939351.22013816645</v>
      </c>
      <c r="R598">
        <f t="shared" si="991"/>
        <v>-16710191.27867059</v>
      </c>
      <c r="S598">
        <f t="shared" si="992"/>
        <v>-167.1019127867059</v>
      </c>
      <c r="T598">
        <f t="shared" si="993"/>
        <v>-0.16710191278670589</v>
      </c>
    </row>
    <row r="599" spans="1:20" x14ac:dyDescent="0.25">
      <c r="A599" s="5">
        <v>43994</v>
      </c>
      <c r="B599">
        <v>0.94979999999999998</v>
      </c>
      <c r="C599">
        <v>1.0586</v>
      </c>
      <c r="D599">
        <v>0.93</v>
      </c>
      <c r="E599">
        <v>1.0226999999999999</v>
      </c>
      <c r="F599">
        <v>2744128.95</v>
      </c>
      <c r="G599">
        <v>0</v>
      </c>
      <c r="L599" t="s">
        <v>8</v>
      </c>
      <c r="M599" t="s">
        <v>8</v>
      </c>
      <c r="N599" t="s">
        <v>8</v>
      </c>
      <c r="P599">
        <f t="shared" si="989"/>
        <v>0.44167962674961025</v>
      </c>
      <c r="Q599">
        <f t="shared" si="990"/>
        <v>1212025.8503888</v>
      </c>
      <c r="R599">
        <f t="shared" si="991"/>
        <v>-17649542.498808756</v>
      </c>
      <c r="S599">
        <f t="shared" si="992"/>
        <v>-176.49542498808756</v>
      </c>
      <c r="T599">
        <f t="shared" si="993"/>
        <v>-0.17649542498808757</v>
      </c>
    </row>
    <row r="600" spans="1:20" x14ac:dyDescent="0.25">
      <c r="A600" s="5">
        <v>43993</v>
      </c>
      <c r="B600">
        <v>1.1180000000000001</v>
      </c>
      <c r="C600">
        <v>1.1313</v>
      </c>
      <c r="D600">
        <v>0.89</v>
      </c>
      <c r="E600">
        <v>0.94910000000000005</v>
      </c>
      <c r="F600">
        <v>4744268.41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-0.51015333609614544</v>
      </c>
      <c r="Q600">
        <f t="shared" si="990"/>
        <v>-2420304.3566970555</v>
      </c>
      <c r="R600">
        <f t="shared" si="991"/>
        <v>-18861568.349197555</v>
      </c>
      <c r="S600">
        <f t="shared" si="992"/>
        <v>-188.61568349197555</v>
      </c>
      <c r="T600">
        <f t="shared" si="993"/>
        <v>-0.18861568349197555</v>
      </c>
    </row>
    <row r="601" spans="1:20" x14ac:dyDescent="0.25">
      <c r="A601" s="5">
        <v>43992</v>
      </c>
      <c r="B601">
        <v>1.1457999999999999</v>
      </c>
      <c r="C601">
        <v>1.1970000000000001</v>
      </c>
      <c r="D601">
        <v>1.0872999999999999</v>
      </c>
      <c r="E601">
        <v>1.1180000000000001</v>
      </c>
      <c r="F601">
        <v>5102122.2300000004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-0.44029170464904038</v>
      </c>
      <c r="Q601">
        <f t="shared" si="990"/>
        <v>-2246422.0939744636</v>
      </c>
      <c r="R601">
        <f t="shared" si="991"/>
        <v>-16441263.992500501</v>
      </c>
      <c r="S601">
        <f t="shared" si="992"/>
        <v>-164.41263992500501</v>
      </c>
      <c r="T601">
        <f t="shared" si="993"/>
        <v>-0.16441263992500502</v>
      </c>
    </row>
    <row r="602" spans="1:20" x14ac:dyDescent="0.25">
      <c r="A602" s="5">
        <v>43991</v>
      </c>
      <c r="B602">
        <v>1.1443000000000001</v>
      </c>
      <c r="C602">
        <v>1.1887000000000001</v>
      </c>
      <c r="D602">
        <v>1.054</v>
      </c>
      <c r="E602">
        <v>1.1456</v>
      </c>
      <c r="F602">
        <v>6454493.4000000004</v>
      </c>
      <c r="G602">
        <v>0</v>
      </c>
      <c r="L602" t="s">
        <v>7</v>
      </c>
      <c r="M602" t="s">
        <v>8</v>
      </c>
      <c r="N602" t="s">
        <v>8</v>
      </c>
      <c r="P602">
        <f t="shared" si="989"/>
        <v>0.36005939123979031</v>
      </c>
      <c r="Q602">
        <f t="shared" si="990"/>
        <v>2324000.9643652444</v>
      </c>
      <c r="R602">
        <f t="shared" si="991"/>
        <v>-14194841.898526037</v>
      </c>
      <c r="S602">
        <f t="shared" si="992"/>
        <v>-141.94841898526036</v>
      </c>
      <c r="T602">
        <f t="shared" si="993"/>
        <v>-0.14194841898526037</v>
      </c>
    </row>
    <row r="603" spans="1:20" x14ac:dyDescent="0.25">
      <c r="A603" s="5">
        <v>43990</v>
      </c>
      <c r="B603">
        <v>1.0742</v>
      </c>
      <c r="C603">
        <v>1.1890000000000001</v>
      </c>
      <c r="D603">
        <v>1.0339</v>
      </c>
      <c r="E603">
        <v>1.1443000000000001</v>
      </c>
      <c r="F603">
        <v>3716262.84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0.42359767891682842</v>
      </c>
      <c r="Q603">
        <f t="shared" si="990"/>
        <v>1574200.3132688608</v>
      </c>
      <c r="R603">
        <f t="shared" si="991"/>
        <v>-16518842.862891281</v>
      </c>
      <c r="S603">
        <f t="shared" si="992"/>
        <v>-165.18842862891282</v>
      </c>
      <c r="T603">
        <f t="shared" si="993"/>
        <v>-0.16518842862891281</v>
      </c>
    </row>
    <row r="604" spans="1:20" x14ac:dyDescent="0.25">
      <c r="A604" s="5">
        <v>43989</v>
      </c>
      <c r="B604">
        <v>1.0303</v>
      </c>
      <c r="C604">
        <v>1.095</v>
      </c>
      <c r="D604">
        <v>0.9889</v>
      </c>
      <c r="E604">
        <v>1.0732999999999999</v>
      </c>
      <c r="F604">
        <v>1844468.28</v>
      </c>
      <c r="G604">
        <v>0</v>
      </c>
      <c r="L604" t="s">
        <v>7</v>
      </c>
      <c r="M604" t="s">
        <v>7</v>
      </c>
      <c r="N604" t="s">
        <v>8</v>
      </c>
      <c r="P604">
        <f t="shared" si="989"/>
        <v>0.59095193213948993</v>
      </c>
      <c r="Q604">
        <f t="shared" si="990"/>
        <v>1089992.0938360018</v>
      </c>
      <c r="R604">
        <f t="shared" si="991"/>
        <v>-18093043.176160142</v>
      </c>
      <c r="S604">
        <f t="shared" si="992"/>
        <v>-180.93043176160143</v>
      </c>
      <c r="T604">
        <f t="shared" si="993"/>
        <v>-0.18093043176160142</v>
      </c>
    </row>
    <row r="605" spans="1:20" x14ac:dyDescent="0.25">
      <c r="A605" s="5">
        <v>43988</v>
      </c>
      <c r="B605">
        <v>1.026</v>
      </c>
      <c r="C605">
        <v>1.099</v>
      </c>
      <c r="D605">
        <v>1</v>
      </c>
      <c r="E605">
        <v>1.0279</v>
      </c>
      <c r="F605">
        <v>1729473.9</v>
      </c>
      <c r="G605">
        <v>0</v>
      </c>
      <c r="L605" t="s">
        <v>7</v>
      </c>
      <c r="M605" t="s">
        <v>8</v>
      </c>
      <c r="N605" t="s">
        <v>8</v>
      </c>
      <c r="P605">
        <f t="shared" si="989"/>
        <v>-0.43636363636363551</v>
      </c>
      <c r="Q605">
        <f t="shared" si="990"/>
        <v>-754679.51999999851</v>
      </c>
      <c r="R605">
        <f t="shared" si="991"/>
        <v>-19183035.269996144</v>
      </c>
      <c r="S605">
        <f t="shared" si="992"/>
        <v>-191.83035269996145</v>
      </c>
      <c r="T605">
        <f t="shared" si="993"/>
        <v>-0.19183035269996146</v>
      </c>
    </row>
    <row r="606" spans="1:20" x14ac:dyDescent="0.25">
      <c r="A606" s="5">
        <v>43987</v>
      </c>
      <c r="B606">
        <v>1.0865</v>
      </c>
      <c r="C606">
        <v>1.18</v>
      </c>
      <c r="D606">
        <v>1.026</v>
      </c>
      <c r="E606">
        <v>1.026</v>
      </c>
      <c r="F606">
        <v>2525002.62</v>
      </c>
      <c r="G606">
        <v>0</v>
      </c>
      <c r="L606" t="s">
        <v>8</v>
      </c>
      <c r="M606" t="s">
        <v>8</v>
      </c>
      <c r="N606" t="s">
        <v>8</v>
      </c>
      <c r="P606">
        <f t="shared" si="989"/>
        <v>-1</v>
      </c>
      <c r="Q606">
        <f t="shared" si="990"/>
        <v>-2525002.62</v>
      </c>
      <c r="R606">
        <f t="shared" si="991"/>
        <v>-18428355.749996144</v>
      </c>
      <c r="S606">
        <f t="shared" si="992"/>
        <v>-184.28355749996143</v>
      </c>
      <c r="T606">
        <f t="shared" si="993"/>
        <v>-0.18428355749996142</v>
      </c>
    </row>
    <row r="607" spans="1:20" x14ac:dyDescent="0.25">
      <c r="A607" s="5">
        <v>43986</v>
      </c>
      <c r="B607">
        <v>0.95369999999999999</v>
      </c>
      <c r="C607">
        <v>1.1660999999999999</v>
      </c>
      <c r="D607">
        <v>0.94069999999999998</v>
      </c>
      <c r="E607">
        <v>1.0833999999999999</v>
      </c>
      <c r="F607">
        <v>4128782.18</v>
      </c>
      <c r="G607">
        <v>0</v>
      </c>
      <c r="L607" t="s">
        <v>8</v>
      </c>
      <c r="M607" t="s">
        <v>8</v>
      </c>
      <c r="N607" t="s">
        <v>8</v>
      </c>
      <c r="P607">
        <f t="shared" si="989"/>
        <v>0.26619343389529709</v>
      </c>
      <c r="Q607">
        <f t="shared" si="990"/>
        <v>1099054.7062999106</v>
      </c>
      <c r="R607">
        <f t="shared" si="991"/>
        <v>-15903353.129996145</v>
      </c>
      <c r="S607">
        <f t="shared" si="992"/>
        <v>-159.03353129996145</v>
      </c>
      <c r="T607">
        <f t="shared" si="993"/>
        <v>-0.15903353129996145</v>
      </c>
    </row>
    <row r="608" spans="1:20" x14ac:dyDescent="0.25">
      <c r="A608" s="5">
        <v>43985</v>
      </c>
      <c r="B608">
        <v>0.90720000000000001</v>
      </c>
      <c r="C608">
        <v>0.97760000000000002</v>
      </c>
      <c r="D608">
        <v>0.90539999999999998</v>
      </c>
      <c r="E608">
        <v>0.95369999999999999</v>
      </c>
      <c r="F608">
        <v>2430424.56</v>
      </c>
      <c r="G608">
        <v>0</v>
      </c>
      <c r="L608" t="s">
        <v>8</v>
      </c>
      <c r="M608" t="s">
        <v>8</v>
      </c>
      <c r="N608" t="s">
        <v>8</v>
      </c>
      <c r="P608">
        <f t="shared" si="989"/>
        <v>0.33795013850415462</v>
      </c>
      <c r="Q608">
        <f t="shared" si="990"/>
        <v>821362.31667589908</v>
      </c>
      <c r="R608">
        <f t="shared" si="991"/>
        <v>-17002407.836296055</v>
      </c>
      <c r="S608">
        <f t="shared" si="992"/>
        <v>-170.02407836296055</v>
      </c>
      <c r="T608">
        <f t="shared" si="993"/>
        <v>-0.17002407836296055</v>
      </c>
    </row>
    <row r="609" spans="1:20" x14ac:dyDescent="0.25">
      <c r="A609" s="5">
        <v>43984</v>
      </c>
      <c r="B609">
        <v>0.89</v>
      </c>
      <c r="C609">
        <v>0.91190000000000004</v>
      </c>
      <c r="D609">
        <v>0.82</v>
      </c>
      <c r="E609">
        <v>0.9073</v>
      </c>
      <c r="F609">
        <v>2379962.7200000002</v>
      </c>
      <c r="G609">
        <v>0</v>
      </c>
      <c r="L609" t="s">
        <v>7</v>
      </c>
      <c r="M609" t="s">
        <v>7</v>
      </c>
      <c r="N609" t="s">
        <v>8</v>
      </c>
      <c r="P609">
        <f t="shared" si="989"/>
        <v>0.89989118607181628</v>
      </c>
      <c r="Q609">
        <f t="shared" si="990"/>
        <v>2141707.4749075063</v>
      </c>
      <c r="R609">
        <f t="shared" si="991"/>
        <v>-17823770.152971953</v>
      </c>
      <c r="S609">
        <f t="shared" si="992"/>
        <v>-178.23770152971954</v>
      </c>
      <c r="T609">
        <f t="shared" si="993"/>
        <v>-0.17823770152971954</v>
      </c>
    </row>
    <row r="610" spans="1:20" x14ac:dyDescent="0.25">
      <c r="A610" s="5">
        <v>43983</v>
      </c>
      <c r="B610">
        <v>0.84809999999999997</v>
      </c>
      <c r="C610">
        <v>0.92</v>
      </c>
      <c r="D610">
        <v>0.84309999999999996</v>
      </c>
      <c r="E610">
        <v>0.88990000000000002</v>
      </c>
      <c r="F610">
        <v>2662156.19</v>
      </c>
      <c r="G610">
        <v>0</v>
      </c>
      <c r="L610" t="s">
        <v>8</v>
      </c>
      <c r="M610" t="s">
        <v>7</v>
      </c>
      <c r="N610" t="s">
        <v>8</v>
      </c>
      <c r="P610">
        <f t="shared" si="989"/>
        <v>0.21716514954486385</v>
      </c>
      <c r="Q610">
        <f t="shared" si="990"/>
        <v>578127.54711313499</v>
      </c>
      <c r="R610">
        <f t="shared" si="991"/>
        <v>-19965477.627879459</v>
      </c>
      <c r="S610">
        <f t="shared" si="992"/>
        <v>-199.6547762787946</v>
      </c>
      <c r="T610">
        <f t="shared" si="993"/>
        <v>-0.1996547762787946</v>
      </c>
    </row>
    <row r="611" spans="1:20" x14ac:dyDescent="0.25">
      <c r="A611" s="5">
        <v>43982</v>
      </c>
      <c r="B611">
        <v>0.92549999999999999</v>
      </c>
      <c r="C611">
        <v>0.94650000000000001</v>
      </c>
      <c r="D611">
        <v>0.82099999999999995</v>
      </c>
      <c r="E611">
        <v>0.84430000000000005</v>
      </c>
      <c r="F611">
        <v>2535100.92</v>
      </c>
      <c r="G611">
        <v>0</v>
      </c>
      <c r="L611" t="s">
        <v>7</v>
      </c>
      <c r="M611" t="s">
        <v>7</v>
      </c>
      <c r="N611" t="s">
        <v>8</v>
      </c>
      <c r="P611">
        <f t="shared" si="989"/>
        <v>-0.62868525896414207</v>
      </c>
      <c r="Q611">
        <f t="shared" si="990"/>
        <v>-1593780.5783904349</v>
      </c>
      <c r="R611">
        <f t="shared" si="991"/>
        <v>-20543605.174992595</v>
      </c>
      <c r="S611">
        <f t="shared" si="992"/>
        <v>-205.43605174992595</v>
      </c>
      <c r="T611">
        <f t="shared" si="993"/>
        <v>-0.20543605174992596</v>
      </c>
    </row>
    <row r="612" spans="1:20" x14ac:dyDescent="0.25">
      <c r="A612" s="5">
        <v>43981</v>
      </c>
      <c r="B612">
        <v>0.92230000000000001</v>
      </c>
      <c r="C612">
        <v>0.95599999999999996</v>
      </c>
      <c r="D612">
        <v>0.90290000000000004</v>
      </c>
      <c r="E612">
        <v>0.92549999999999999</v>
      </c>
      <c r="F612">
        <v>2650032.21</v>
      </c>
      <c r="G612">
        <v>0</v>
      </c>
      <c r="L612" t="s">
        <v>7</v>
      </c>
      <c r="M612" t="s">
        <v>8</v>
      </c>
      <c r="N612" t="s">
        <v>8</v>
      </c>
      <c r="P612">
        <f t="shared" si="989"/>
        <v>-0.14877589453860696</v>
      </c>
      <c r="Q612">
        <f t="shared" si="990"/>
        <v>-394260.91259887151</v>
      </c>
      <c r="R612">
        <f t="shared" si="991"/>
        <v>-18949824.59660216</v>
      </c>
      <c r="S612">
        <f t="shared" si="992"/>
        <v>-189.49824596602161</v>
      </c>
      <c r="T612">
        <f t="shared" si="993"/>
        <v>-0.18949824596602161</v>
      </c>
    </row>
    <row r="613" spans="1:20" x14ac:dyDescent="0.25">
      <c r="A613" s="5">
        <v>43980</v>
      </c>
      <c r="B613">
        <v>0.91479999999999995</v>
      </c>
      <c r="C613">
        <v>1.0183</v>
      </c>
      <c r="D613">
        <v>0.90300000000000002</v>
      </c>
      <c r="E613">
        <v>0.92230000000000001</v>
      </c>
      <c r="F613">
        <v>2854620.94</v>
      </c>
      <c r="G613">
        <v>0</v>
      </c>
      <c r="L613" t="s">
        <v>8</v>
      </c>
      <c r="M613" t="s">
        <v>8</v>
      </c>
      <c r="N613" t="s">
        <v>8</v>
      </c>
      <c r="P613">
        <f t="shared" si="989"/>
        <v>-0.6652211621856029</v>
      </c>
      <c r="Q613">
        <f t="shared" si="990"/>
        <v>-1898954.2593061582</v>
      </c>
      <c r="R613">
        <f t="shared" si="991"/>
        <v>-18555563.68400329</v>
      </c>
      <c r="S613">
        <f t="shared" si="992"/>
        <v>-185.55563684003289</v>
      </c>
      <c r="T613">
        <f t="shared" si="993"/>
        <v>-0.1855556368400329</v>
      </c>
    </row>
    <row r="614" spans="1:20" x14ac:dyDescent="0.25">
      <c r="A614" s="5">
        <v>43979</v>
      </c>
      <c r="B614">
        <v>0.84160000000000001</v>
      </c>
      <c r="C614">
        <v>0.95140000000000002</v>
      </c>
      <c r="D614">
        <v>0.83120000000000005</v>
      </c>
      <c r="E614">
        <v>0.9133</v>
      </c>
      <c r="F614">
        <v>2614489.66</v>
      </c>
      <c r="G614">
        <v>0</v>
      </c>
      <c r="L614" t="s">
        <v>7</v>
      </c>
      <c r="M614" t="s">
        <v>8</v>
      </c>
      <c r="N614" t="s">
        <v>7</v>
      </c>
      <c r="P614">
        <f t="shared" si="989"/>
        <v>0.36605657237936723</v>
      </c>
      <c r="Q614">
        <f t="shared" si="990"/>
        <v>957051.12346089724</v>
      </c>
      <c r="R614">
        <f t="shared" si="991"/>
        <v>-16656609.424697131</v>
      </c>
      <c r="S614">
        <f t="shared" si="992"/>
        <v>-166.56609424697132</v>
      </c>
      <c r="T614">
        <f t="shared" si="993"/>
        <v>-0.16656609424697133</v>
      </c>
    </row>
    <row r="615" spans="1:20" x14ac:dyDescent="0.25">
      <c r="A615" s="5">
        <v>43978</v>
      </c>
      <c r="B615">
        <v>0.79959999999999998</v>
      </c>
      <c r="C615">
        <v>0.96699999999999997</v>
      </c>
      <c r="D615">
        <v>0.7661</v>
      </c>
      <c r="E615">
        <v>0.84340000000000004</v>
      </c>
      <c r="F615">
        <v>3610705.42</v>
      </c>
      <c r="G615">
        <v>0</v>
      </c>
      <c r="L615" t="s">
        <v>8</v>
      </c>
      <c r="M615" t="s">
        <v>8</v>
      </c>
      <c r="N615" t="s">
        <v>7</v>
      </c>
      <c r="P615">
        <f t="shared" si="989"/>
        <v>-0.23046291687406623</v>
      </c>
      <c r="Q615">
        <f t="shared" si="990"/>
        <v>-832133.70306620037</v>
      </c>
      <c r="R615">
        <f t="shared" si="991"/>
        <v>-17613660.548158027</v>
      </c>
      <c r="S615">
        <f t="shared" si="992"/>
        <v>-176.13660548158026</v>
      </c>
      <c r="T615">
        <f t="shared" si="993"/>
        <v>-0.17613660548158025</v>
      </c>
    </row>
    <row r="616" spans="1:20" x14ac:dyDescent="0.25">
      <c r="A616" s="5">
        <v>43977</v>
      </c>
      <c r="B616">
        <v>0.86419999999999997</v>
      </c>
      <c r="C616">
        <v>1.02</v>
      </c>
      <c r="D616">
        <v>0.74250000000000005</v>
      </c>
      <c r="E616">
        <v>0.79949999999999999</v>
      </c>
      <c r="F616">
        <v>6142225.0899999999</v>
      </c>
      <c r="G616">
        <v>0</v>
      </c>
      <c r="L616" t="s">
        <v>7</v>
      </c>
      <c r="M616" t="s">
        <v>7</v>
      </c>
      <c r="N616" t="s">
        <v>7</v>
      </c>
      <c r="P616">
        <f t="shared" si="989"/>
        <v>-0.58918918918918961</v>
      </c>
      <c r="Q616">
        <f t="shared" si="990"/>
        <v>-3618932.620594597</v>
      </c>
      <c r="R616">
        <f t="shared" si="991"/>
        <v>-16781526.845091827</v>
      </c>
      <c r="S616">
        <f t="shared" si="992"/>
        <v>-167.81526845091827</v>
      </c>
      <c r="T616">
        <f t="shared" si="993"/>
        <v>-0.16781526845091826</v>
      </c>
    </row>
    <row r="617" spans="1:20" x14ac:dyDescent="0.25">
      <c r="A617" s="5">
        <v>43976</v>
      </c>
      <c r="B617">
        <v>0.61750000000000005</v>
      </c>
      <c r="C617">
        <v>1.0550999999999999</v>
      </c>
      <c r="D617">
        <v>0.61499999999999999</v>
      </c>
      <c r="E617">
        <v>0.86419999999999997</v>
      </c>
      <c r="F617">
        <v>8183096.7599999998</v>
      </c>
      <c r="G617">
        <v>0</v>
      </c>
      <c r="L617" t="s">
        <v>8</v>
      </c>
      <c r="M617" t="s">
        <v>8</v>
      </c>
      <c r="N617" t="s">
        <v>8</v>
      </c>
      <c r="P617">
        <f t="shared" si="989"/>
        <v>0.1324698932060896</v>
      </c>
      <c r="Q617">
        <f t="shared" si="990"/>
        <v>1084013.9538922978</v>
      </c>
      <c r="R617">
        <f t="shared" si="991"/>
        <v>-13162594.224497229</v>
      </c>
      <c r="S617">
        <f t="shared" si="992"/>
        <v>-131.62594224497229</v>
      </c>
      <c r="T617">
        <f t="shared" si="993"/>
        <v>-0.13162594224497229</v>
      </c>
    </row>
    <row r="618" spans="1:20" x14ac:dyDescent="0.25">
      <c r="A618" s="5">
        <v>43975</v>
      </c>
      <c r="B618">
        <v>0.6855</v>
      </c>
      <c r="C618">
        <v>0.69299999999999995</v>
      </c>
      <c r="D618">
        <v>0.61750000000000005</v>
      </c>
      <c r="E618">
        <v>0.61750000000000005</v>
      </c>
      <c r="F618">
        <v>3047690.13</v>
      </c>
      <c r="G618">
        <v>0</v>
      </c>
      <c r="L618" t="s">
        <v>7</v>
      </c>
      <c r="M618" t="s">
        <v>8</v>
      </c>
      <c r="N618" t="s">
        <v>8</v>
      </c>
      <c r="P618">
        <f t="shared" si="989"/>
        <v>-1</v>
      </c>
      <c r="Q618">
        <f t="shared" si="990"/>
        <v>-3047690.13</v>
      </c>
      <c r="R618">
        <f t="shared" si="991"/>
        <v>-14246608.178389527</v>
      </c>
      <c r="S618">
        <f t="shared" si="992"/>
        <v>-142.46608178389528</v>
      </c>
      <c r="T618">
        <f t="shared" si="993"/>
        <v>-0.14246608178389528</v>
      </c>
    </row>
    <row r="619" spans="1:20" x14ac:dyDescent="0.25">
      <c r="A619" s="5">
        <v>43974</v>
      </c>
      <c r="B619">
        <v>0.70699999999999996</v>
      </c>
      <c r="C619">
        <v>0.72750000000000004</v>
      </c>
      <c r="D619">
        <v>0.6603</v>
      </c>
      <c r="E619">
        <v>0.68759999999999999</v>
      </c>
      <c r="F619">
        <v>2620613.71</v>
      </c>
      <c r="G619">
        <v>0</v>
      </c>
      <c r="L619" t="s">
        <v>7</v>
      </c>
      <c r="M619" t="s">
        <v>8</v>
      </c>
      <c r="N619" t="s">
        <v>8</v>
      </c>
      <c r="P619">
        <f t="shared" si="989"/>
        <v>-0.18750000000000072</v>
      </c>
      <c r="Q619">
        <f t="shared" si="990"/>
        <v>-491365.07062500186</v>
      </c>
      <c r="R619">
        <f t="shared" si="991"/>
        <v>-11198918.048389528</v>
      </c>
      <c r="S619">
        <f t="shared" si="992"/>
        <v>-111.98918048389528</v>
      </c>
      <c r="T619">
        <f t="shared" si="993"/>
        <v>-0.11198918048389528</v>
      </c>
    </row>
    <row r="620" spans="1:20" x14ac:dyDescent="0.25">
      <c r="A620" s="5">
        <v>43973</v>
      </c>
      <c r="B620">
        <v>0.70209999999999995</v>
      </c>
      <c r="C620">
        <v>0.73670000000000002</v>
      </c>
      <c r="D620">
        <v>0.63500000000000001</v>
      </c>
      <c r="E620">
        <v>0.70699999999999996</v>
      </c>
      <c r="F620">
        <v>4314113.07</v>
      </c>
      <c r="G620">
        <v>0</v>
      </c>
      <c r="L620" t="s">
        <v>8</v>
      </c>
      <c r="M620" t="s">
        <v>8</v>
      </c>
      <c r="N620" t="s">
        <v>8</v>
      </c>
      <c r="P620">
        <f t="shared" si="989"/>
        <v>0.41592920353982193</v>
      </c>
      <c r="Q620">
        <f t="shared" si="990"/>
        <v>1794365.6131858362</v>
      </c>
      <c r="R620">
        <f t="shared" si="991"/>
        <v>-10707552.977764526</v>
      </c>
      <c r="S620">
        <f t="shared" si="992"/>
        <v>-107.07552977764526</v>
      </c>
      <c r="T620">
        <f t="shared" si="993"/>
        <v>-0.10707552977764526</v>
      </c>
    </row>
    <row r="621" spans="1:20" x14ac:dyDescent="0.25">
      <c r="A621" s="5">
        <v>43972</v>
      </c>
      <c r="B621">
        <v>0.61529999999999996</v>
      </c>
      <c r="C621">
        <v>0.70920000000000005</v>
      </c>
      <c r="D621">
        <v>0.59009999999999996</v>
      </c>
      <c r="E621">
        <v>0.70340000000000003</v>
      </c>
      <c r="F621">
        <v>3729075.66</v>
      </c>
      <c r="G621">
        <v>0</v>
      </c>
      <c r="L621" t="s">
        <v>8</v>
      </c>
      <c r="M621" t="s">
        <v>8</v>
      </c>
      <c r="N621" t="s">
        <v>8</v>
      </c>
      <c r="P621">
        <f t="shared" si="989"/>
        <v>0.90260285474391233</v>
      </c>
      <c r="Q621">
        <f t="shared" si="990"/>
        <v>3365874.336272039</v>
      </c>
      <c r="R621">
        <f t="shared" si="991"/>
        <v>-12501918.590950362</v>
      </c>
      <c r="S621">
        <f t="shared" si="992"/>
        <v>-125.01918590950362</v>
      </c>
      <c r="T621">
        <f t="shared" si="993"/>
        <v>-0.12501918590950362</v>
      </c>
    </row>
    <row r="622" spans="1:20" x14ac:dyDescent="0.25">
      <c r="A622" s="5">
        <v>43971</v>
      </c>
      <c r="B622">
        <v>0.61929999999999996</v>
      </c>
      <c r="C622">
        <v>0.67610000000000003</v>
      </c>
      <c r="D622">
        <v>0.60140000000000005</v>
      </c>
      <c r="E622">
        <v>0.61599999999999999</v>
      </c>
      <c r="F622">
        <v>3377292.52</v>
      </c>
      <c r="G622">
        <v>0</v>
      </c>
      <c r="L622" t="s">
        <v>8</v>
      </c>
      <c r="M622" t="s">
        <v>8</v>
      </c>
      <c r="N622" t="s">
        <v>8</v>
      </c>
      <c r="P622">
        <f t="shared" si="989"/>
        <v>-0.60910307898259841</v>
      </c>
      <c r="Q622">
        <f t="shared" si="990"/>
        <v>-2057119.2725568989</v>
      </c>
      <c r="R622">
        <f t="shared" si="991"/>
        <v>-15867792.927222401</v>
      </c>
      <c r="S622">
        <f t="shared" si="992"/>
        <v>-158.67792927222402</v>
      </c>
      <c r="T622">
        <f t="shared" si="993"/>
        <v>-0.15867792927222402</v>
      </c>
    </row>
    <row r="623" spans="1:20" x14ac:dyDescent="0.25">
      <c r="A623" s="5">
        <v>43970</v>
      </c>
      <c r="B623">
        <v>0.5726</v>
      </c>
      <c r="C623">
        <v>0.63700000000000001</v>
      </c>
      <c r="D623">
        <v>0.5554</v>
      </c>
      <c r="E623">
        <v>0.61860000000000004</v>
      </c>
      <c r="F623">
        <v>3305103.5</v>
      </c>
      <c r="G623">
        <v>0</v>
      </c>
      <c r="L623" t="s">
        <v>8</v>
      </c>
      <c r="M623" t="s">
        <v>8</v>
      </c>
      <c r="N623" t="s">
        <v>8</v>
      </c>
      <c r="P623">
        <f t="shared" si="989"/>
        <v>0.54901960784313797</v>
      </c>
      <c r="Q623">
        <f t="shared" si="990"/>
        <v>1814566.6274509828</v>
      </c>
      <c r="R623">
        <f t="shared" si="991"/>
        <v>-13810673.654665502</v>
      </c>
      <c r="S623">
        <f t="shared" si="992"/>
        <v>-138.10673654665501</v>
      </c>
      <c r="T623">
        <f t="shared" si="993"/>
        <v>-0.13810673654665501</v>
      </c>
    </row>
    <row r="624" spans="1:20" x14ac:dyDescent="0.25">
      <c r="A624" s="5">
        <v>43969</v>
      </c>
      <c r="B624">
        <v>0.54900000000000004</v>
      </c>
      <c r="C624">
        <v>0.57609999999999995</v>
      </c>
      <c r="D624">
        <v>0.54900000000000004</v>
      </c>
      <c r="E624">
        <v>0.5726</v>
      </c>
      <c r="F624">
        <v>2615051.2999999998</v>
      </c>
      <c r="G624">
        <v>0</v>
      </c>
      <c r="L624" t="s">
        <v>8</v>
      </c>
      <c r="M624" t="s">
        <v>8</v>
      </c>
      <c r="N624" t="s">
        <v>8</v>
      </c>
      <c r="P624">
        <f t="shared" si="989"/>
        <v>0.74169741697417269</v>
      </c>
      <c r="Q624">
        <f t="shared" si="990"/>
        <v>1939576.7944649523</v>
      </c>
      <c r="R624">
        <f t="shared" si="991"/>
        <v>-15625240.282116484</v>
      </c>
      <c r="S624">
        <f t="shared" si="992"/>
        <v>-156.25240282116485</v>
      </c>
      <c r="T624">
        <f t="shared" si="993"/>
        <v>-0.15625240282116484</v>
      </c>
    </row>
    <row r="625" spans="1:20" x14ac:dyDescent="0.25">
      <c r="A625" s="5">
        <v>43968</v>
      </c>
      <c r="B625">
        <v>0.56810000000000005</v>
      </c>
      <c r="C625">
        <v>0.58389999999999997</v>
      </c>
      <c r="D625">
        <v>0.54869999999999997</v>
      </c>
      <c r="E625">
        <v>0.5494</v>
      </c>
      <c r="F625">
        <v>2286457.89</v>
      </c>
      <c r="G625">
        <v>0</v>
      </c>
      <c r="L625" t="s">
        <v>8</v>
      </c>
      <c r="M625" t="s">
        <v>8</v>
      </c>
      <c r="N625" t="s">
        <v>8</v>
      </c>
      <c r="P625">
        <f t="shared" si="989"/>
        <v>-0.96022727272727082</v>
      </c>
      <c r="Q625">
        <f t="shared" si="990"/>
        <v>-2195519.2239204501</v>
      </c>
      <c r="R625">
        <f t="shared" si="991"/>
        <v>-17564817.076581437</v>
      </c>
      <c r="S625">
        <f t="shared" si="992"/>
        <v>-175.64817076581437</v>
      </c>
      <c r="T625">
        <f t="shared" si="993"/>
        <v>-0.17564817076581438</v>
      </c>
    </row>
    <row r="626" spans="1:20" x14ac:dyDescent="0.25">
      <c r="A626" s="5">
        <v>43967</v>
      </c>
      <c r="B626">
        <v>0.51829999999999998</v>
      </c>
      <c r="C626">
        <v>0.57230000000000003</v>
      </c>
      <c r="D626">
        <v>0.51670000000000005</v>
      </c>
      <c r="E626">
        <v>0.56869999999999998</v>
      </c>
      <c r="F626">
        <v>2962376.66</v>
      </c>
      <c r="G626">
        <v>0</v>
      </c>
      <c r="L626" t="s">
        <v>7</v>
      </c>
      <c r="M626" t="s">
        <v>8</v>
      </c>
      <c r="N626" t="s">
        <v>8</v>
      </c>
      <c r="P626">
        <f t="shared" si="989"/>
        <v>0.87050359712230041</v>
      </c>
      <c r="Q626">
        <f t="shared" si="990"/>
        <v>2578759.5385611462</v>
      </c>
      <c r="R626">
        <f t="shared" si="991"/>
        <v>-15369297.852660988</v>
      </c>
      <c r="S626">
        <f t="shared" si="992"/>
        <v>-153.69297852660986</v>
      </c>
      <c r="T626">
        <f t="shared" si="993"/>
        <v>-0.15369297852660987</v>
      </c>
    </row>
    <row r="627" spans="1:20" x14ac:dyDescent="0.25">
      <c r="A627" s="5">
        <v>43966</v>
      </c>
      <c r="B627">
        <v>0.52600000000000002</v>
      </c>
      <c r="C627">
        <v>0.57230000000000003</v>
      </c>
      <c r="D627">
        <v>0.5131</v>
      </c>
      <c r="E627">
        <v>0.51919999999999999</v>
      </c>
      <c r="F627">
        <v>2801881.9</v>
      </c>
      <c r="G627">
        <v>0</v>
      </c>
      <c r="L627" t="s">
        <v>8</v>
      </c>
      <c r="M627" t="s">
        <v>8</v>
      </c>
      <c r="N627" t="s">
        <v>8</v>
      </c>
      <c r="P627">
        <f t="shared" si="989"/>
        <v>-0.79391891891891919</v>
      </c>
      <c r="Q627">
        <f t="shared" si="990"/>
        <v>-2224467.0489864871</v>
      </c>
      <c r="R627">
        <f t="shared" si="991"/>
        <v>-17948057.391222134</v>
      </c>
      <c r="S627">
        <f t="shared" si="992"/>
        <v>-179.48057391222133</v>
      </c>
      <c r="T627">
        <f t="shared" si="993"/>
        <v>-0.17948057391222133</v>
      </c>
    </row>
    <row r="628" spans="1:20" x14ac:dyDescent="0.25">
      <c r="A628" s="5">
        <v>43965</v>
      </c>
      <c r="B628">
        <v>0.4894</v>
      </c>
      <c r="C628">
        <v>0.53659999999999997</v>
      </c>
      <c r="D628">
        <v>0.4894</v>
      </c>
      <c r="E628">
        <v>0.52429999999999999</v>
      </c>
      <c r="F628">
        <v>2579312.87</v>
      </c>
      <c r="G628">
        <v>0</v>
      </c>
      <c r="L628" t="s">
        <v>8</v>
      </c>
      <c r="M628" t="s">
        <v>8</v>
      </c>
      <c r="N628" t="s">
        <v>7</v>
      </c>
      <c r="P628">
        <f t="shared" si="989"/>
        <v>0.47881355932203445</v>
      </c>
      <c r="Q628">
        <f t="shared" si="990"/>
        <v>1235009.975889832</v>
      </c>
      <c r="R628">
        <f t="shared" si="991"/>
        <v>-15723590.342235647</v>
      </c>
      <c r="S628">
        <f t="shared" si="992"/>
        <v>-157.23590342235647</v>
      </c>
      <c r="T628">
        <f t="shared" si="993"/>
        <v>-0.15723590342235647</v>
      </c>
    </row>
    <row r="629" spans="1:20" x14ac:dyDescent="0.25">
      <c r="A629" s="5">
        <v>43964</v>
      </c>
      <c r="B629">
        <v>0.46779999999999999</v>
      </c>
      <c r="C629">
        <v>0.50490000000000002</v>
      </c>
      <c r="D629">
        <v>0.45979999999999999</v>
      </c>
      <c r="E629">
        <v>0.48930000000000001</v>
      </c>
      <c r="F629">
        <v>2589840.38</v>
      </c>
      <c r="G629">
        <v>0</v>
      </c>
      <c r="L629" t="s">
        <v>8</v>
      </c>
      <c r="M629" t="s">
        <v>7</v>
      </c>
      <c r="N629" t="s">
        <v>7</v>
      </c>
      <c r="P629">
        <f t="shared" si="989"/>
        <v>0.3082039911308207</v>
      </c>
      <c r="Q629">
        <f t="shared" si="990"/>
        <v>798199.14150776132</v>
      </c>
      <c r="R629">
        <f t="shared" si="991"/>
        <v>-16958600.318125479</v>
      </c>
      <c r="S629">
        <f t="shared" si="992"/>
        <v>-169.5860031812548</v>
      </c>
      <c r="T629">
        <f t="shared" si="993"/>
        <v>-0.1695860031812548</v>
      </c>
    </row>
    <row r="630" spans="1:20" x14ac:dyDescent="0.25">
      <c r="A630" s="5">
        <v>43963</v>
      </c>
      <c r="B630">
        <v>0.43859999999999999</v>
      </c>
      <c r="C630">
        <v>0.49959999999999999</v>
      </c>
      <c r="D630">
        <v>0.43530000000000002</v>
      </c>
      <c r="E630">
        <v>0.4672</v>
      </c>
      <c r="F630">
        <v>2838244.59</v>
      </c>
      <c r="G630">
        <v>0</v>
      </c>
      <c r="L630" t="s">
        <v>8</v>
      </c>
      <c r="M630" t="s">
        <v>7</v>
      </c>
      <c r="N630" t="s">
        <v>7</v>
      </c>
      <c r="P630">
        <f t="shared" si="989"/>
        <v>-7.7760497667185178E-3</v>
      </c>
      <c r="Q630">
        <f t="shared" si="990"/>
        <v>-22070.331181959595</v>
      </c>
      <c r="R630">
        <f t="shared" si="991"/>
        <v>-17756799.459633239</v>
      </c>
      <c r="S630">
        <f t="shared" si="992"/>
        <v>-177.5679945963324</v>
      </c>
      <c r="T630">
        <f t="shared" si="993"/>
        <v>-0.17756799459633241</v>
      </c>
    </row>
    <row r="631" spans="1:20" x14ac:dyDescent="0.25">
      <c r="A631" s="5">
        <v>43962</v>
      </c>
      <c r="B631">
        <v>0.4642</v>
      </c>
      <c r="C631">
        <v>0.4713</v>
      </c>
      <c r="D631">
        <v>0.41610000000000003</v>
      </c>
      <c r="E631">
        <v>0.4395</v>
      </c>
      <c r="F631">
        <v>3430446.05</v>
      </c>
      <c r="G631">
        <v>0</v>
      </c>
      <c r="L631" t="s">
        <v>7</v>
      </c>
      <c r="M631" t="s">
        <v>7</v>
      </c>
      <c r="N631" t="s">
        <v>7</v>
      </c>
      <c r="P631">
        <f t="shared" si="989"/>
        <v>-0.15217391304347869</v>
      </c>
      <c r="Q631">
        <f t="shared" si="990"/>
        <v>-522024.39891304489</v>
      </c>
      <c r="R631">
        <f t="shared" si="991"/>
        <v>-17734729.12845128</v>
      </c>
      <c r="S631">
        <f t="shared" si="992"/>
        <v>-177.34729128451281</v>
      </c>
      <c r="T631">
        <f t="shared" si="993"/>
        <v>-0.17734729128451282</v>
      </c>
    </row>
    <row r="632" spans="1:20" x14ac:dyDescent="0.25">
      <c r="A632" s="5">
        <v>43961</v>
      </c>
      <c r="B632">
        <v>0.51139999999999997</v>
      </c>
      <c r="C632">
        <v>0.51149999999999995</v>
      </c>
      <c r="D632">
        <v>0.44409999999999999</v>
      </c>
      <c r="E632">
        <v>0.46700000000000003</v>
      </c>
      <c r="F632">
        <v>4066421.15</v>
      </c>
      <c r="G632">
        <v>0</v>
      </c>
      <c r="L632" t="s">
        <v>7</v>
      </c>
      <c r="M632" t="s">
        <v>7</v>
      </c>
      <c r="N632" t="s">
        <v>7</v>
      </c>
      <c r="P632">
        <f t="shared" si="989"/>
        <v>-0.3204747774480699</v>
      </c>
      <c r="Q632">
        <f t="shared" si="990"/>
        <v>-1303185.4130563745</v>
      </c>
      <c r="R632">
        <f t="shared" si="991"/>
        <v>-17212704.729538236</v>
      </c>
      <c r="S632">
        <f t="shared" si="992"/>
        <v>-172.12704729538237</v>
      </c>
      <c r="T632">
        <f t="shared" si="993"/>
        <v>-0.17212704729538236</v>
      </c>
    </row>
    <row r="633" spans="1:20" x14ac:dyDescent="0.25">
      <c r="A633" s="5">
        <v>43960</v>
      </c>
      <c r="B633">
        <v>0.52249999999999996</v>
      </c>
      <c r="C633">
        <v>0.55079999999999996</v>
      </c>
      <c r="D633">
        <v>0.50849999999999995</v>
      </c>
      <c r="E633">
        <v>0.51039999999999996</v>
      </c>
      <c r="F633">
        <v>2480396.7599999998</v>
      </c>
      <c r="G633">
        <v>0</v>
      </c>
      <c r="L633" t="s">
        <v>8</v>
      </c>
      <c r="M633" t="s">
        <v>7</v>
      </c>
      <c r="N633" t="s">
        <v>8</v>
      </c>
      <c r="P633">
        <f t="shared" si="989"/>
        <v>-0.91016548463356917</v>
      </c>
      <c r="Q633">
        <f t="shared" si="990"/>
        <v>-2257571.5191489346</v>
      </c>
      <c r="R633">
        <f t="shared" si="991"/>
        <v>-15909519.31648186</v>
      </c>
      <c r="S633">
        <f t="shared" si="992"/>
        <v>-159.0951931648186</v>
      </c>
      <c r="T633">
        <f t="shared" si="993"/>
        <v>-0.1590951931648186</v>
      </c>
    </row>
    <row r="634" spans="1:20" x14ac:dyDescent="0.25">
      <c r="A634" s="5">
        <v>43959</v>
      </c>
      <c r="B634">
        <v>0.50139999999999996</v>
      </c>
      <c r="C634">
        <v>0.53800000000000003</v>
      </c>
      <c r="D634">
        <v>0.50109999999999999</v>
      </c>
      <c r="E634">
        <v>0.52359999999999995</v>
      </c>
      <c r="F634">
        <v>2747947.41</v>
      </c>
      <c r="G634">
        <v>0</v>
      </c>
      <c r="L634" t="s">
        <v>8</v>
      </c>
      <c r="M634" t="s">
        <v>7</v>
      </c>
      <c r="N634" t="s">
        <v>8</v>
      </c>
      <c r="P634">
        <f t="shared" si="989"/>
        <v>0.21951219512194783</v>
      </c>
      <c r="Q634">
        <f t="shared" si="990"/>
        <v>603207.96804877126</v>
      </c>
      <c r="R634">
        <f t="shared" si="991"/>
        <v>-13651947.797332926</v>
      </c>
      <c r="S634">
        <f t="shared" si="992"/>
        <v>-136.51947797332926</v>
      </c>
      <c r="T634">
        <f t="shared" si="993"/>
        <v>-0.13651947797332925</v>
      </c>
    </row>
    <row r="635" spans="1:20" x14ac:dyDescent="0.25">
      <c r="A635" s="5">
        <v>43958</v>
      </c>
      <c r="B635">
        <v>0.52110000000000001</v>
      </c>
      <c r="C635">
        <v>0.52900000000000003</v>
      </c>
      <c r="D635">
        <v>0.48110000000000003</v>
      </c>
      <c r="E635">
        <v>0.50119999999999998</v>
      </c>
      <c r="F635">
        <v>2661900.5499999998</v>
      </c>
      <c r="G635">
        <v>0</v>
      </c>
      <c r="L635" t="s">
        <v>7</v>
      </c>
      <c r="M635" t="s">
        <v>7</v>
      </c>
      <c r="N635" t="s">
        <v>8</v>
      </c>
      <c r="P635">
        <f t="shared" si="989"/>
        <v>-0.16075156576200617</v>
      </c>
      <c r="Q635">
        <f t="shared" si="990"/>
        <v>-427904.68131524534</v>
      </c>
      <c r="R635">
        <f t="shared" si="991"/>
        <v>-14255155.765381698</v>
      </c>
      <c r="S635">
        <f t="shared" si="992"/>
        <v>-142.55155765381699</v>
      </c>
      <c r="T635">
        <f t="shared" si="993"/>
        <v>-0.142551557653817</v>
      </c>
    </row>
    <row r="636" spans="1:20" x14ac:dyDescent="0.25">
      <c r="A636" s="5">
        <v>43957</v>
      </c>
      <c r="B636">
        <v>0.54259999999999997</v>
      </c>
      <c r="C636">
        <v>0.54669999999999996</v>
      </c>
      <c r="D636">
        <v>0.5212</v>
      </c>
      <c r="E636">
        <v>0.52290000000000003</v>
      </c>
      <c r="F636">
        <v>2949176.45</v>
      </c>
      <c r="G636">
        <v>0</v>
      </c>
      <c r="L636" t="s">
        <v>7</v>
      </c>
      <c r="M636" t="s">
        <v>7</v>
      </c>
      <c r="N636" t="s">
        <v>8</v>
      </c>
      <c r="P636">
        <f t="shared" si="989"/>
        <v>-0.86666666666666381</v>
      </c>
      <c r="Q636">
        <f t="shared" si="990"/>
        <v>-2555952.923333325</v>
      </c>
      <c r="R636">
        <f t="shared" si="991"/>
        <v>-13827251.084066452</v>
      </c>
      <c r="S636">
        <f t="shared" si="992"/>
        <v>-138.27251084066452</v>
      </c>
      <c r="T636">
        <f t="shared" si="993"/>
        <v>-0.13827251084066453</v>
      </c>
    </row>
    <row r="637" spans="1:20" x14ac:dyDescent="0.25">
      <c r="A637" s="5">
        <v>43956</v>
      </c>
      <c r="B637">
        <v>0.55610000000000004</v>
      </c>
      <c r="C637">
        <v>0.56869999999999998</v>
      </c>
      <c r="D637">
        <v>0.53</v>
      </c>
      <c r="E637">
        <v>0.54249999999999998</v>
      </c>
      <c r="F637">
        <v>2560695.96</v>
      </c>
      <c r="G637">
        <v>0</v>
      </c>
      <c r="L637" t="s">
        <v>8</v>
      </c>
      <c r="M637" t="s">
        <v>7</v>
      </c>
      <c r="N637" t="s">
        <v>8</v>
      </c>
      <c r="P637">
        <f t="shared" si="989"/>
        <v>-0.35400516795865788</v>
      </c>
      <c r="Q637">
        <f t="shared" si="990"/>
        <v>-906499.60341085668</v>
      </c>
      <c r="R637">
        <f t="shared" si="991"/>
        <v>-11271298.160733128</v>
      </c>
      <c r="S637">
        <f t="shared" si="992"/>
        <v>-112.71298160733129</v>
      </c>
      <c r="T637">
        <f t="shared" si="993"/>
        <v>-0.11271298160733129</v>
      </c>
    </row>
    <row r="638" spans="1:20" x14ac:dyDescent="0.25">
      <c r="A638" s="5">
        <v>43955</v>
      </c>
      <c r="B638">
        <v>0.5716</v>
      </c>
      <c r="C638">
        <v>0.57909999999999995</v>
      </c>
      <c r="D638">
        <v>0.52790000000000004</v>
      </c>
      <c r="E638">
        <v>0.55769999999999997</v>
      </c>
      <c r="F638">
        <v>2415378.6</v>
      </c>
      <c r="G638">
        <v>0</v>
      </c>
      <c r="L638" t="s">
        <v>7</v>
      </c>
      <c r="M638" t="s">
        <v>7</v>
      </c>
      <c r="N638" t="s">
        <v>8</v>
      </c>
      <c r="P638">
        <f t="shared" si="989"/>
        <v>0.16406249999999956</v>
      </c>
      <c r="Q638">
        <f t="shared" si="990"/>
        <v>396273.05156249896</v>
      </c>
      <c r="R638">
        <f t="shared" si="991"/>
        <v>-10364798.557322271</v>
      </c>
      <c r="S638">
        <f t="shared" si="992"/>
        <v>-103.64798557322271</v>
      </c>
      <c r="T638">
        <f t="shared" si="993"/>
        <v>-0.10364798557322272</v>
      </c>
    </row>
    <row r="639" spans="1:20" x14ac:dyDescent="0.25">
      <c r="A639" s="5">
        <v>43954</v>
      </c>
      <c r="B639">
        <v>0.60150000000000003</v>
      </c>
      <c r="C639">
        <v>0.60740000000000005</v>
      </c>
      <c r="D639">
        <v>0.56299999999999994</v>
      </c>
      <c r="E639">
        <v>0.57250000000000001</v>
      </c>
      <c r="F639">
        <v>2653623.06</v>
      </c>
      <c r="G639">
        <v>0</v>
      </c>
      <c r="L639" t="s">
        <v>7</v>
      </c>
      <c r="M639" t="s">
        <v>8</v>
      </c>
      <c r="N639" t="s">
        <v>8</v>
      </c>
      <c r="P639">
        <f t="shared" si="989"/>
        <v>-0.57207207207207023</v>
      </c>
      <c r="Q639">
        <f t="shared" si="990"/>
        <v>-1518063.6424324275</v>
      </c>
      <c r="R639">
        <f t="shared" si="991"/>
        <v>-10761071.60888477</v>
      </c>
      <c r="S639">
        <f t="shared" si="992"/>
        <v>-107.61071608884771</v>
      </c>
      <c r="T639">
        <f t="shared" si="993"/>
        <v>-0.10761071608884772</v>
      </c>
    </row>
    <row r="640" spans="1:20" x14ac:dyDescent="0.25">
      <c r="A640" s="5">
        <v>43953</v>
      </c>
      <c r="B640">
        <v>0.59209999999999996</v>
      </c>
      <c r="C640">
        <v>0.60470000000000002</v>
      </c>
      <c r="D640">
        <v>0.59079999999999999</v>
      </c>
      <c r="E640">
        <v>0.60150000000000003</v>
      </c>
      <c r="F640">
        <v>2120239.89</v>
      </c>
      <c r="G640">
        <v>0</v>
      </c>
      <c r="L640" t="s">
        <v>8</v>
      </c>
      <c r="M640" t="s">
        <v>8</v>
      </c>
      <c r="N640" t="s">
        <v>8</v>
      </c>
      <c r="P640">
        <f t="shared" si="989"/>
        <v>0.53956834532374454</v>
      </c>
      <c r="Q640">
        <f t="shared" si="990"/>
        <v>1144014.3291366983</v>
      </c>
      <c r="R640">
        <f t="shared" si="991"/>
        <v>-9243007.9664523434</v>
      </c>
      <c r="S640">
        <f t="shared" si="992"/>
        <v>-92.430079664523433</v>
      </c>
      <c r="T640">
        <f t="shared" si="993"/>
        <v>-9.2430079664523435E-2</v>
      </c>
    </row>
    <row r="641" spans="1:20" x14ac:dyDescent="0.25">
      <c r="A641" s="5">
        <v>43952</v>
      </c>
      <c r="B641">
        <v>0.57979999999999998</v>
      </c>
      <c r="C641">
        <v>0.61499999999999999</v>
      </c>
      <c r="D641">
        <v>0.57909999999999995</v>
      </c>
      <c r="E641">
        <v>0.59219999999999995</v>
      </c>
      <c r="F641">
        <v>2041667.58</v>
      </c>
      <c r="G641">
        <v>0</v>
      </c>
      <c r="L641" t="s">
        <v>8</v>
      </c>
      <c r="M641" t="s">
        <v>8</v>
      </c>
      <c r="N641" t="s">
        <v>8</v>
      </c>
      <c r="P641">
        <f t="shared" si="989"/>
        <v>-0.27019498607242426</v>
      </c>
      <c r="Q641">
        <f t="shared" si="990"/>
        <v>-551648.34334262018</v>
      </c>
      <c r="R641">
        <f t="shared" si="991"/>
        <v>-10387022.295589041</v>
      </c>
      <c r="S641">
        <f t="shared" si="992"/>
        <v>-103.87022295589041</v>
      </c>
      <c r="T641">
        <f t="shared" si="993"/>
        <v>-0.10387022295589041</v>
      </c>
    </row>
    <row r="642" spans="1:20" x14ac:dyDescent="0.25">
      <c r="A642" s="5">
        <v>43951</v>
      </c>
      <c r="B642">
        <v>0.62250000000000005</v>
      </c>
      <c r="C642">
        <v>0.64600000000000002</v>
      </c>
      <c r="D642">
        <v>0.5716</v>
      </c>
      <c r="E642">
        <v>0.57989999999999997</v>
      </c>
      <c r="F642">
        <v>4434645.32</v>
      </c>
      <c r="G642">
        <v>0</v>
      </c>
      <c r="L642" t="s">
        <v>7</v>
      </c>
      <c r="M642" t="s">
        <v>8</v>
      </c>
      <c r="N642" t="s">
        <v>8</v>
      </c>
      <c r="P642">
        <f t="shared" si="989"/>
        <v>-0.77688172043010828</v>
      </c>
      <c r="Q642">
        <f t="shared" si="990"/>
        <v>-3445194.8856989285</v>
      </c>
      <c r="R642">
        <f t="shared" si="991"/>
        <v>-9835373.9522464201</v>
      </c>
      <c r="S642">
        <f t="shared" si="992"/>
        <v>-98.353739522464195</v>
      </c>
      <c r="T642">
        <f t="shared" si="993"/>
        <v>-9.8353739522464192E-2</v>
      </c>
    </row>
    <row r="643" spans="1:20" x14ac:dyDescent="0.25">
      <c r="A643" s="5">
        <v>43950</v>
      </c>
      <c r="B643">
        <v>0.60229999999999995</v>
      </c>
      <c r="C643">
        <v>0.63480000000000003</v>
      </c>
      <c r="D643">
        <v>0.5978</v>
      </c>
      <c r="E643">
        <v>0.62239999999999995</v>
      </c>
      <c r="F643">
        <v>4363870.28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0.32972972972972614</v>
      </c>
      <c r="Q643">
        <f t="shared" si="990"/>
        <v>1438897.7679999843</v>
      </c>
      <c r="R643">
        <f t="shared" si="991"/>
        <v>-6390179.0665474907</v>
      </c>
      <c r="S643">
        <f t="shared" si="992"/>
        <v>-63.901790665474905</v>
      </c>
      <c r="T643">
        <f t="shared" si="993"/>
        <v>-6.3901790665474911E-2</v>
      </c>
    </row>
    <row r="644" spans="1:20" x14ac:dyDescent="0.25">
      <c r="A644" s="5">
        <v>43949</v>
      </c>
      <c r="B644">
        <v>0.59870000000000001</v>
      </c>
      <c r="C644">
        <v>0.61040000000000005</v>
      </c>
      <c r="D644">
        <v>0.5907</v>
      </c>
      <c r="E644">
        <v>0.60129999999999995</v>
      </c>
      <c r="F644">
        <v>1348277.82</v>
      </c>
      <c r="G644">
        <v>0</v>
      </c>
      <c r="L644" t="s">
        <v>8</v>
      </c>
      <c r="M644" t="s">
        <v>8</v>
      </c>
      <c r="N644" t="s">
        <v>8</v>
      </c>
      <c r="P644">
        <f t="shared" si="989"/>
        <v>7.6142131979686847E-2</v>
      </c>
      <c r="Q644">
        <f t="shared" si="990"/>
        <v>102660.74771572447</v>
      </c>
      <c r="R644">
        <f t="shared" si="991"/>
        <v>-7829076.834547475</v>
      </c>
      <c r="S644">
        <f t="shared" si="992"/>
        <v>-78.290768345474746</v>
      </c>
      <c r="T644">
        <f t="shared" si="993"/>
        <v>-7.8290768345474743E-2</v>
      </c>
    </row>
    <row r="645" spans="1:20" x14ac:dyDescent="0.25">
      <c r="A645" s="5">
        <v>43948</v>
      </c>
      <c r="B645">
        <v>0.61680000000000001</v>
      </c>
      <c r="C645">
        <v>0.63700000000000001</v>
      </c>
      <c r="D645">
        <v>0.56989999999999996</v>
      </c>
      <c r="E645">
        <v>0.60050000000000003</v>
      </c>
      <c r="F645">
        <v>3017039.63</v>
      </c>
      <c r="G645">
        <v>0</v>
      </c>
      <c r="L645" t="s">
        <v>7</v>
      </c>
      <c r="M645" t="s">
        <v>8</v>
      </c>
      <c r="N645" t="s">
        <v>8</v>
      </c>
      <c r="P645">
        <f t="shared" si="989"/>
        <v>-8.7928464977643825E-2</v>
      </c>
      <c r="Q645">
        <f t="shared" si="990"/>
        <v>-265283.66344261845</v>
      </c>
      <c r="R645">
        <f t="shared" si="991"/>
        <v>-7931737.5822631996</v>
      </c>
      <c r="S645">
        <f t="shared" si="992"/>
        <v>-79.317375822632002</v>
      </c>
      <c r="T645">
        <f t="shared" si="993"/>
        <v>-7.9317375822632E-2</v>
      </c>
    </row>
    <row r="646" spans="1:20" x14ac:dyDescent="0.25">
      <c r="A646" s="5">
        <v>43947</v>
      </c>
      <c r="B646">
        <v>0.5726</v>
      </c>
      <c r="C646">
        <v>0.63460000000000005</v>
      </c>
      <c r="D646">
        <v>0.56889999999999996</v>
      </c>
      <c r="E646">
        <v>0.6159</v>
      </c>
      <c r="F646">
        <v>3364485.05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0.4307458143074574</v>
      </c>
      <c r="Q646">
        <f t="shared" ref="Q646:Q709" si="995">F646*P646</f>
        <v>1449237.8525875164</v>
      </c>
      <c r="R646">
        <f t="shared" ref="R646:R709" si="996">R647+Q646</f>
        <v>-7666453.9188205814</v>
      </c>
      <c r="S646">
        <f t="shared" ref="S646:S709" si="997">R646/100000</f>
        <v>-76.664539188205808</v>
      </c>
      <c r="T646">
        <f t="shared" ref="T646:T709" si="998">S646/1000</f>
        <v>-7.6664539188205802E-2</v>
      </c>
    </row>
    <row r="647" spans="1:20" x14ac:dyDescent="0.25">
      <c r="A647" s="5">
        <v>43946</v>
      </c>
      <c r="B647">
        <v>0.55320000000000003</v>
      </c>
      <c r="C647">
        <v>0.57979999999999998</v>
      </c>
      <c r="D647">
        <v>0.54500000000000004</v>
      </c>
      <c r="E647">
        <v>0.5726</v>
      </c>
      <c r="F647">
        <v>2937757.69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0.58620689655172431</v>
      </c>
      <c r="Q647">
        <f t="shared" si="995"/>
        <v>1722133.8182758626</v>
      </c>
      <c r="R647">
        <f t="shared" si="996"/>
        <v>-9115691.7714080978</v>
      </c>
      <c r="S647">
        <f t="shared" si="997"/>
        <v>-91.156917714080976</v>
      </c>
      <c r="T647">
        <f t="shared" si="998"/>
        <v>-9.1156917714080979E-2</v>
      </c>
    </row>
    <row r="648" spans="1:20" x14ac:dyDescent="0.25">
      <c r="A648" s="5">
        <v>43945</v>
      </c>
      <c r="B648">
        <v>0.53490000000000004</v>
      </c>
      <c r="C648">
        <v>0.55320000000000003</v>
      </c>
      <c r="D648">
        <v>0.53100000000000003</v>
      </c>
      <c r="E648">
        <v>0.55320000000000003</v>
      </c>
      <c r="F648">
        <v>2660462.46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1</v>
      </c>
      <c r="Q648">
        <f t="shared" si="995"/>
        <v>2660462.46</v>
      </c>
      <c r="R648">
        <f t="shared" si="996"/>
        <v>-10837825.589683961</v>
      </c>
      <c r="S648">
        <f t="shared" si="997"/>
        <v>-108.3782558968396</v>
      </c>
      <c r="T648">
        <f t="shared" si="998"/>
        <v>-0.10837825589683961</v>
      </c>
    </row>
    <row r="649" spans="1:20" x14ac:dyDescent="0.25">
      <c r="A649" s="5">
        <v>43944</v>
      </c>
      <c r="B649">
        <v>0.53039999999999998</v>
      </c>
      <c r="C649">
        <v>0.55700000000000005</v>
      </c>
      <c r="D649">
        <v>0.52049999999999996</v>
      </c>
      <c r="E649">
        <v>0.53200000000000003</v>
      </c>
      <c r="F649">
        <v>2567149.35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-0.36986301369862806</v>
      </c>
      <c r="Q649">
        <f t="shared" si="995"/>
        <v>-949493.59520547418</v>
      </c>
      <c r="R649">
        <f t="shared" si="996"/>
        <v>-13498288.049683962</v>
      </c>
      <c r="S649">
        <f t="shared" si="997"/>
        <v>-134.98288049683961</v>
      </c>
      <c r="T649">
        <f t="shared" si="998"/>
        <v>-0.13498288049683962</v>
      </c>
    </row>
    <row r="650" spans="1:20" x14ac:dyDescent="0.25">
      <c r="A650" s="5">
        <v>43943</v>
      </c>
      <c r="B650">
        <v>0.52539999999999998</v>
      </c>
      <c r="C650">
        <v>0.54559999999999997</v>
      </c>
      <c r="D650">
        <v>0.51629999999999998</v>
      </c>
      <c r="E650">
        <v>0.53</v>
      </c>
      <c r="F650">
        <v>2913494.21</v>
      </c>
      <c r="G650">
        <v>0</v>
      </c>
      <c r="L650" t="s">
        <v>7</v>
      </c>
      <c r="M650" t="s">
        <v>8</v>
      </c>
      <c r="N650" t="s">
        <v>8</v>
      </c>
      <c r="P650">
        <f t="shared" si="994"/>
        <v>-6.4846416382249222E-2</v>
      </c>
      <c r="Q650">
        <f t="shared" si="995"/>
        <v>-188929.65866893224</v>
      </c>
      <c r="R650">
        <f t="shared" si="996"/>
        <v>-12548794.454478487</v>
      </c>
      <c r="S650">
        <f t="shared" si="997"/>
        <v>-125.48794454478487</v>
      </c>
      <c r="T650">
        <f t="shared" si="998"/>
        <v>-0.12548794454478487</v>
      </c>
    </row>
    <row r="651" spans="1:20" x14ac:dyDescent="0.25">
      <c r="A651" s="5">
        <v>43942</v>
      </c>
      <c r="B651">
        <v>0.52710000000000001</v>
      </c>
      <c r="C651">
        <v>0.52829999999999999</v>
      </c>
      <c r="D651">
        <v>0.51060000000000005</v>
      </c>
      <c r="E651">
        <v>0.52529999999999999</v>
      </c>
      <c r="F651">
        <v>3758735.32</v>
      </c>
      <c r="G651">
        <v>0</v>
      </c>
      <c r="L651" t="s">
        <v>7</v>
      </c>
      <c r="M651" t="s">
        <v>8</v>
      </c>
      <c r="N651" t="s">
        <v>8</v>
      </c>
      <c r="P651">
        <f t="shared" si="994"/>
        <v>0.66101694915254083</v>
      </c>
      <c r="Q651">
        <f t="shared" si="995"/>
        <v>2484587.7538982993</v>
      </c>
      <c r="R651">
        <f t="shared" si="996"/>
        <v>-12359864.795809556</v>
      </c>
      <c r="S651">
        <f t="shared" si="997"/>
        <v>-123.59864795809555</v>
      </c>
      <c r="T651">
        <f t="shared" si="998"/>
        <v>-0.12359864795809555</v>
      </c>
    </row>
    <row r="652" spans="1:20" x14ac:dyDescent="0.25">
      <c r="A652" s="5">
        <v>43941</v>
      </c>
      <c r="B652">
        <v>0.54390000000000005</v>
      </c>
      <c r="C652">
        <v>0.55320000000000003</v>
      </c>
      <c r="D652">
        <v>0.52</v>
      </c>
      <c r="E652">
        <v>0.52669999999999995</v>
      </c>
      <c r="F652">
        <v>6906688.1500000004</v>
      </c>
      <c r="G652">
        <v>0</v>
      </c>
      <c r="L652" t="s">
        <v>7</v>
      </c>
      <c r="M652" t="s">
        <v>8</v>
      </c>
      <c r="N652" t="s">
        <v>8</v>
      </c>
      <c r="P652">
        <f t="shared" si="994"/>
        <v>-0.59638554216867912</v>
      </c>
      <c r="Q652">
        <f t="shared" si="995"/>
        <v>-4119048.9569277414</v>
      </c>
      <c r="R652">
        <f t="shared" si="996"/>
        <v>-14844452.549707856</v>
      </c>
      <c r="S652">
        <f t="shared" si="997"/>
        <v>-148.44452549707856</v>
      </c>
      <c r="T652">
        <f t="shared" si="998"/>
        <v>-0.14844452549707857</v>
      </c>
    </row>
    <row r="653" spans="1:20" x14ac:dyDescent="0.25">
      <c r="A653" s="5">
        <v>43940</v>
      </c>
      <c r="B653">
        <v>0.57069999999999999</v>
      </c>
      <c r="C653">
        <v>0.57079999999999997</v>
      </c>
      <c r="D653">
        <v>0.53259999999999996</v>
      </c>
      <c r="E653">
        <v>0.54500000000000004</v>
      </c>
      <c r="F653">
        <v>6297690.1799999997</v>
      </c>
      <c r="G653">
        <v>0</v>
      </c>
      <c r="L653" t="s">
        <v>8</v>
      </c>
      <c r="M653" t="s">
        <v>8</v>
      </c>
      <c r="N653" t="s">
        <v>8</v>
      </c>
      <c r="P653">
        <f t="shared" si="994"/>
        <v>-0.35078534031413228</v>
      </c>
      <c r="Q653">
        <f t="shared" si="995"/>
        <v>-2209137.3929842687</v>
      </c>
      <c r="R653">
        <f t="shared" si="996"/>
        <v>-10725403.592780115</v>
      </c>
      <c r="S653">
        <f t="shared" si="997"/>
        <v>-107.25403592780116</v>
      </c>
      <c r="T653">
        <f t="shared" si="998"/>
        <v>-0.10725403592780115</v>
      </c>
    </row>
    <row r="654" spans="1:20" x14ac:dyDescent="0.25">
      <c r="A654" s="5">
        <v>43939</v>
      </c>
      <c r="B654">
        <v>0.51839999999999997</v>
      </c>
      <c r="C654">
        <v>0.57169999999999999</v>
      </c>
      <c r="D654">
        <v>0.51819999999999999</v>
      </c>
      <c r="E654">
        <v>0.57079999999999997</v>
      </c>
      <c r="F654">
        <v>5733321.6699999999</v>
      </c>
      <c r="G654">
        <v>0</v>
      </c>
      <c r="L654" t="s">
        <v>8</v>
      </c>
      <c r="M654" t="s">
        <v>8</v>
      </c>
      <c r="N654" t="s">
        <v>8</v>
      </c>
      <c r="P654">
        <f t="shared" si="994"/>
        <v>0.96635514018691548</v>
      </c>
      <c r="Q654">
        <f t="shared" si="995"/>
        <v>5540424.8661495307</v>
      </c>
      <c r="R654">
        <f t="shared" si="996"/>
        <v>-8516266.1997958459</v>
      </c>
      <c r="S654">
        <f t="shared" si="997"/>
        <v>-85.162661997958466</v>
      </c>
      <c r="T654">
        <f t="shared" si="998"/>
        <v>-8.5162661997958466E-2</v>
      </c>
    </row>
    <row r="655" spans="1:20" x14ac:dyDescent="0.25">
      <c r="A655" s="5">
        <v>43938</v>
      </c>
      <c r="B655">
        <v>0.52500000000000002</v>
      </c>
      <c r="C655">
        <v>0.53300000000000003</v>
      </c>
      <c r="D655">
        <v>0.51759999999999995</v>
      </c>
      <c r="E655">
        <v>0.52029999999999998</v>
      </c>
      <c r="F655">
        <v>2103916.21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-0.64935064935064657</v>
      </c>
      <c r="Q655">
        <f t="shared" si="995"/>
        <v>-1366179.3571428512</v>
      </c>
      <c r="R655">
        <f t="shared" si="996"/>
        <v>-14056691.065945378</v>
      </c>
      <c r="S655">
        <f t="shared" si="997"/>
        <v>-140.56691065945378</v>
      </c>
      <c r="T655">
        <f t="shared" si="998"/>
        <v>-0.14056691065945379</v>
      </c>
    </row>
    <row r="656" spans="1:20" x14ac:dyDescent="0.25">
      <c r="A656" s="5">
        <v>43937</v>
      </c>
      <c r="B656">
        <v>0.49440000000000001</v>
      </c>
      <c r="C656">
        <v>0.54</v>
      </c>
      <c r="D656">
        <v>0.46589999999999998</v>
      </c>
      <c r="E656">
        <v>0.52500000000000002</v>
      </c>
      <c r="F656">
        <v>2705363.45</v>
      </c>
      <c r="G656">
        <v>0</v>
      </c>
      <c r="L656" t="s">
        <v>7</v>
      </c>
      <c r="M656" t="s">
        <v>7</v>
      </c>
      <c r="N656" t="s">
        <v>8</v>
      </c>
      <c r="P656">
        <f t="shared" si="994"/>
        <v>0.59514170040485825</v>
      </c>
      <c r="Q656">
        <f t="shared" si="995"/>
        <v>1610074.6038461539</v>
      </c>
      <c r="R656">
        <f t="shared" si="996"/>
        <v>-12690511.708802527</v>
      </c>
      <c r="S656">
        <f t="shared" si="997"/>
        <v>-126.90511708802526</v>
      </c>
      <c r="T656">
        <f t="shared" si="998"/>
        <v>-0.12690511708802527</v>
      </c>
    </row>
    <row r="657" spans="1:20" x14ac:dyDescent="0.25">
      <c r="A657" s="5">
        <v>43936</v>
      </c>
      <c r="B657">
        <v>0.52080000000000004</v>
      </c>
      <c r="C657">
        <v>0.52490000000000003</v>
      </c>
      <c r="D657">
        <v>0.49</v>
      </c>
      <c r="E657">
        <v>0.49430000000000002</v>
      </c>
      <c r="F657">
        <v>2714607.53</v>
      </c>
      <c r="G657">
        <v>0</v>
      </c>
      <c r="L657" t="s">
        <v>7</v>
      </c>
      <c r="M657" t="s">
        <v>8</v>
      </c>
      <c r="N657" t="s">
        <v>8</v>
      </c>
      <c r="P657">
        <f t="shared" si="994"/>
        <v>-0.75358166189111631</v>
      </c>
      <c r="Q657">
        <f t="shared" si="995"/>
        <v>-2045678.4538395382</v>
      </c>
      <c r="R657">
        <f t="shared" si="996"/>
        <v>-14300586.31264868</v>
      </c>
      <c r="S657">
        <f t="shared" si="997"/>
        <v>-143.00586312648679</v>
      </c>
      <c r="T657">
        <f t="shared" si="998"/>
        <v>-0.14300586312648678</v>
      </c>
    </row>
    <row r="658" spans="1:20" x14ac:dyDescent="0.25">
      <c r="A658" s="5">
        <v>43935</v>
      </c>
      <c r="B658">
        <v>0.50800000000000001</v>
      </c>
      <c r="C658">
        <v>0.57650000000000001</v>
      </c>
      <c r="D658">
        <v>0.50580000000000003</v>
      </c>
      <c r="E658">
        <v>0.52170000000000005</v>
      </c>
      <c r="F658">
        <v>2482115.54</v>
      </c>
      <c r="G658">
        <v>0</v>
      </c>
      <c r="L658" t="s">
        <v>8</v>
      </c>
      <c r="M658" t="s">
        <v>8</v>
      </c>
      <c r="N658" t="s">
        <v>8</v>
      </c>
      <c r="P658">
        <f t="shared" si="994"/>
        <v>-0.55021216407354945</v>
      </c>
      <c r="Q658">
        <f t="shared" si="995"/>
        <v>-1365690.1627439868</v>
      </c>
      <c r="R658">
        <f t="shared" si="996"/>
        <v>-12254907.858809141</v>
      </c>
      <c r="S658">
        <f t="shared" si="997"/>
        <v>-122.54907858809142</v>
      </c>
      <c r="T658">
        <f t="shared" si="998"/>
        <v>-0.12254907858809141</v>
      </c>
    </row>
    <row r="659" spans="1:20" x14ac:dyDescent="0.25">
      <c r="A659" s="5">
        <v>43934</v>
      </c>
      <c r="B659">
        <v>0.51249999999999996</v>
      </c>
      <c r="C659">
        <v>0.51359999999999995</v>
      </c>
      <c r="D659">
        <v>0.47870000000000001</v>
      </c>
      <c r="E659">
        <v>0.50649999999999995</v>
      </c>
      <c r="F659">
        <v>3462230.01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0.59312320916905392</v>
      </c>
      <c r="Q659">
        <f t="shared" si="995"/>
        <v>2053528.9744126056</v>
      </c>
      <c r="R659">
        <f t="shared" si="996"/>
        <v>-10889217.696065154</v>
      </c>
      <c r="S659">
        <f t="shared" si="997"/>
        <v>-108.89217696065154</v>
      </c>
      <c r="T659">
        <f t="shared" si="998"/>
        <v>-0.10889217696065154</v>
      </c>
    </row>
    <row r="660" spans="1:20" x14ac:dyDescent="0.25">
      <c r="A660" s="5">
        <v>43933</v>
      </c>
      <c r="B660">
        <v>0.4909</v>
      </c>
      <c r="C660">
        <v>0.5403</v>
      </c>
      <c r="D660">
        <v>0.48370000000000002</v>
      </c>
      <c r="E660">
        <v>0.51370000000000005</v>
      </c>
      <c r="F660">
        <v>3232943.19</v>
      </c>
      <c r="G660">
        <v>0</v>
      </c>
      <c r="L660" t="s">
        <v>8</v>
      </c>
      <c r="M660" t="s">
        <v>7</v>
      </c>
      <c r="N660" t="s">
        <v>8</v>
      </c>
      <c r="P660">
        <f t="shared" si="994"/>
        <v>6.0070671378093118E-2</v>
      </c>
      <c r="Q660">
        <f t="shared" si="995"/>
        <v>194205.06795053405</v>
      </c>
      <c r="R660">
        <f t="shared" si="996"/>
        <v>-12942746.670477759</v>
      </c>
      <c r="S660">
        <f t="shared" si="997"/>
        <v>-129.4274667047776</v>
      </c>
      <c r="T660">
        <f t="shared" si="998"/>
        <v>-0.12942746670477759</v>
      </c>
    </row>
    <row r="661" spans="1:20" x14ac:dyDescent="0.25">
      <c r="A661" s="5">
        <v>43932</v>
      </c>
      <c r="B661">
        <v>0.5</v>
      </c>
      <c r="C661">
        <v>0.51200000000000001</v>
      </c>
      <c r="D661">
        <v>0.47760000000000002</v>
      </c>
      <c r="E661">
        <v>0.49149999999999999</v>
      </c>
      <c r="F661">
        <v>2345265.9500000002</v>
      </c>
      <c r="G661">
        <v>0</v>
      </c>
      <c r="L661" t="s">
        <v>7</v>
      </c>
      <c r="M661" t="s">
        <v>7</v>
      </c>
      <c r="N661" t="s">
        <v>8</v>
      </c>
      <c r="P661">
        <f t="shared" si="994"/>
        <v>-0.1918604651162806</v>
      </c>
      <c r="Q661">
        <f t="shared" si="995"/>
        <v>-449963.81598837575</v>
      </c>
      <c r="R661">
        <f t="shared" si="996"/>
        <v>-13136951.738428293</v>
      </c>
      <c r="S661">
        <f t="shared" si="997"/>
        <v>-131.36951738428291</v>
      </c>
      <c r="T661">
        <f t="shared" si="998"/>
        <v>-0.1313695173842829</v>
      </c>
    </row>
    <row r="662" spans="1:20" x14ac:dyDescent="0.25">
      <c r="A662" s="5">
        <v>43931</v>
      </c>
      <c r="B662">
        <v>0.55289999999999995</v>
      </c>
      <c r="C662">
        <v>0.55430000000000001</v>
      </c>
      <c r="D662">
        <v>0.48680000000000001</v>
      </c>
      <c r="E662">
        <v>0.49990000000000001</v>
      </c>
      <c r="F662">
        <v>4666938.97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-0.61185185185185187</v>
      </c>
      <c r="Q662">
        <f t="shared" si="995"/>
        <v>-2855475.251274074</v>
      </c>
      <c r="R662">
        <f t="shared" si="996"/>
        <v>-12686987.922439918</v>
      </c>
      <c r="S662">
        <f t="shared" si="997"/>
        <v>-126.86987922439918</v>
      </c>
      <c r="T662">
        <f t="shared" si="998"/>
        <v>-0.12686987922439918</v>
      </c>
    </row>
    <row r="663" spans="1:20" x14ac:dyDescent="0.25">
      <c r="A663" s="5">
        <v>43930</v>
      </c>
      <c r="B663">
        <v>0.57509999999999994</v>
      </c>
      <c r="C663">
        <v>0.58340000000000003</v>
      </c>
      <c r="D663">
        <v>0.54549999999999998</v>
      </c>
      <c r="E663">
        <v>0.55169999999999997</v>
      </c>
      <c r="F663">
        <v>3792848.17</v>
      </c>
      <c r="G663">
        <v>0</v>
      </c>
      <c r="L663" t="s">
        <v>7</v>
      </c>
      <c r="M663" t="s">
        <v>8</v>
      </c>
      <c r="N663" t="s">
        <v>8</v>
      </c>
      <c r="P663">
        <f t="shared" si="994"/>
        <v>-0.67282321899736275</v>
      </c>
      <c r="Q663">
        <f t="shared" si="995"/>
        <v>-2551916.3149076565</v>
      </c>
      <c r="R663">
        <f t="shared" si="996"/>
        <v>-9831512.6711658444</v>
      </c>
      <c r="S663">
        <f t="shared" si="997"/>
        <v>-98.315126711658451</v>
      </c>
      <c r="T663">
        <f t="shared" si="998"/>
        <v>-9.8315126711658457E-2</v>
      </c>
    </row>
    <row r="664" spans="1:20" x14ac:dyDescent="0.25">
      <c r="A664" s="5">
        <v>43929</v>
      </c>
      <c r="B664">
        <v>0.56899999999999995</v>
      </c>
      <c r="C664">
        <v>0.58089999999999997</v>
      </c>
      <c r="D664">
        <v>0.55779999999999996</v>
      </c>
      <c r="E664">
        <v>0.57640000000000002</v>
      </c>
      <c r="F664">
        <v>4078370.38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0.61038961038961503</v>
      </c>
      <c r="Q664">
        <f t="shared" si="995"/>
        <v>2489394.9072727463</v>
      </c>
      <c r="R664">
        <f t="shared" si="996"/>
        <v>-7279596.3562581874</v>
      </c>
      <c r="S664">
        <f t="shared" si="997"/>
        <v>-72.795963562581875</v>
      </c>
      <c r="T664">
        <f t="shared" si="998"/>
        <v>-7.2795963562581875E-2</v>
      </c>
    </row>
    <row r="665" spans="1:20" x14ac:dyDescent="0.25">
      <c r="A665" s="5">
        <v>43928</v>
      </c>
      <c r="B665">
        <v>0.60060000000000002</v>
      </c>
      <c r="C665">
        <v>0.61470000000000002</v>
      </c>
      <c r="D665">
        <v>0.55379999999999996</v>
      </c>
      <c r="E665">
        <v>0.56830000000000003</v>
      </c>
      <c r="F665">
        <v>11054061.130000001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-0.52380952380952206</v>
      </c>
      <c r="Q665">
        <f t="shared" si="995"/>
        <v>-5790222.4966666475</v>
      </c>
      <c r="R665">
        <f t="shared" si="996"/>
        <v>-9768991.2635309342</v>
      </c>
      <c r="S665">
        <f t="shared" si="997"/>
        <v>-97.689912635309341</v>
      </c>
      <c r="T665">
        <f t="shared" si="998"/>
        <v>-9.7689912635309337E-2</v>
      </c>
    </row>
    <row r="666" spans="1:20" x14ac:dyDescent="0.25">
      <c r="A666" s="5">
        <v>43927</v>
      </c>
      <c r="B666">
        <v>0.53500000000000003</v>
      </c>
      <c r="C666">
        <v>0.60229999999999995</v>
      </c>
      <c r="D666">
        <v>0.52649999999999997</v>
      </c>
      <c r="E666">
        <v>0.60140000000000005</v>
      </c>
      <c r="F666">
        <v>15853291.140000001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0.97625329815303696</v>
      </c>
      <c r="Q666">
        <f t="shared" si="995"/>
        <v>15476827.76200532</v>
      </c>
      <c r="R666">
        <f t="shared" si="996"/>
        <v>-3978768.7668642867</v>
      </c>
      <c r="S666">
        <f t="shared" si="997"/>
        <v>-39.787687668642867</v>
      </c>
      <c r="T666">
        <f t="shared" si="998"/>
        <v>-3.9787687668642865E-2</v>
      </c>
    </row>
    <row r="667" spans="1:20" x14ac:dyDescent="0.25">
      <c r="A667" s="5">
        <v>43926</v>
      </c>
      <c r="B667">
        <v>0.51490000000000002</v>
      </c>
      <c r="C667">
        <v>0.56999999999999995</v>
      </c>
      <c r="D667">
        <v>0.50560000000000005</v>
      </c>
      <c r="E667">
        <v>0.53600000000000003</v>
      </c>
      <c r="F667">
        <v>6978276.1600000001</v>
      </c>
      <c r="G667">
        <v>0</v>
      </c>
      <c r="L667" t="s">
        <v>8</v>
      </c>
      <c r="M667" t="s">
        <v>8</v>
      </c>
      <c r="N667" t="s">
        <v>8</v>
      </c>
      <c r="P667">
        <f t="shared" si="994"/>
        <v>-5.5900621118011522E-2</v>
      </c>
      <c r="Q667">
        <f t="shared" si="995"/>
        <v>-390089.97167701233</v>
      </c>
      <c r="R667">
        <f t="shared" si="996"/>
        <v>-19455596.528869607</v>
      </c>
      <c r="S667">
        <f t="shared" si="997"/>
        <v>-194.55596528869606</v>
      </c>
      <c r="T667">
        <f t="shared" si="998"/>
        <v>-0.19455596528869606</v>
      </c>
    </row>
    <row r="668" spans="1:20" x14ac:dyDescent="0.25">
      <c r="A668" s="5">
        <v>43925</v>
      </c>
      <c r="B668">
        <v>0.50939999999999996</v>
      </c>
      <c r="C668">
        <v>0.52110000000000001</v>
      </c>
      <c r="D668">
        <v>0.49099999999999999</v>
      </c>
      <c r="E668">
        <v>0.5141</v>
      </c>
      <c r="F668">
        <v>10537811.24</v>
      </c>
      <c r="G668">
        <v>0</v>
      </c>
      <c r="L668" t="s">
        <v>7</v>
      </c>
      <c r="M668" t="s">
        <v>8</v>
      </c>
      <c r="N668" t="s">
        <v>8</v>
      </c>
      <c r="P668">
        <f t="shared" si="994"/>
        <v>0.5348837209302324</v>
      </c>
      <c r="Q668">
        <f t="shared" si="995"/>
        <v>5636503.6865116265</v>
      </c>
      <c r="R668">
        <f t="shared" si="996"/>
        <v>-19065506.557192594</v>
      </c>
      <c r="S668">
        <f t="shared" si="997"/>
        <v>-190.65506557192595</v>
      </c>
      <c r="T668">
        <f t="shared" si="998"/>
        <v>-0.19065506557192594</v>
      </c>
    </row>
    <row r="669" spans="1:20" x14ac:dyDescent="0.25">
      <c r="A669" s="5">
        <v>43924</v>
      </c>
      <c r="B669">
        <v>0.50829999999999997</v>
      </c>
      <c r="C669">
        <v>0.54259999999999997</v>
      </c>
      <c r="D669">
        <v>0.49809999999999999</v>
      </c>
      <c r="E669">
        <v>0.51160000000000005</v>
      </c>
      <c r="F669">
        <v>667778.04</v>
      </c>
      <c r="G669">
        <v>0</v>
      </c>
      <c r="L669" t="s">
        <v>7</v>
      </c>
      <c r="M669" t="s">
        <v>8</v>
      </c>
      <c r="N669" t="s">
        <v>8</v>
      </c>
      <c r="P669">
        <f t="shared" si="994"/>
        <v>-0.39325842696628888</v>
      </c>
      <c r="Q669">
        <f t="shared" si="995"/>
        <v>-262609.34157303156</v>
      </c>
      <c r="R669">
        <f t="shared" si="996"/>
        <v>-24702010.243704222</v>
      </c>
      <c r="S669">
        <f t="shared" si="997"/>
        <v>-247.02010243704223</v>
      </c>
      <c r="T669">
        <f t="shared" si="998"/>
        <v>-0.24702010243704223</v>
      </c>
    </row>
    <row r="670" spans="1:20" x14ac:dyDescent="0.25">
      <c r="A670" s="5">
        <v>43923</v>
      </c>
      <c r="B670">
        <v>0.48949999999999999</v>
      </c>
      <c r="C670">
        <v>0.54549999999999998</v>
      </c>
      <c r="D670">
        <v>0.47349999999999998</v>
      </c>
      <c r="E670">
        <v>0.50690000000000002</v>
      </c>
      <c r="F670">
        <v>1080046.8799999999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-7.2222222222221202E-2</v>
      </c>
      <c r="Q670">
        <f t="shared" si="995"/>
        <v>-78003.385777776668</v>
      </c>
      <c r="R670">
        <f t="shared" si="996"/>
        <v>-24439400.902131192</v>
      </c>
      <c r="S670">
        <f t="shared" si="997"/>
        <v>-244.39400902131192</v>
      </c>
      <c r="T670">
        <f t="shared" si="998"/>
        <v>-0.24439400902131192</v>
      </c>
    </row>
    <row r="671" spans="1:20" x14ac:dyDescent="0.25">
      <c r="A671" s="5">
        <v>43922</v>
      </c>
      <c r="B671">
        <v>0.48849999999999999</v>
      </c>
      <c r="C671">
        <v>0.50580000000000003</v>
      </c>
      <c r="D671">
        <v>0.44869999999999999</v>
      </c>
      <c r="E671">
        <v>0.48949999999999999</v>
      </c>
      <c r="F671">
        <v>778096.51</v>
      </c>
      <c r="G671">
        <v>0</v>
      </c>
      <c r="L671" t="s">
        <v>7</v>
      </c>
      <c r="M671" t="s">
        <v>8</v>
      </c>
      <c r="N671" t="s">
        <v>8</v>
      </c>
      <c r="P671">
        <f t="shared" si="994"/>
        <v>0.42907180385288879</v>
      </c>
      <c r="Q671">
        <f t="shared" si="995"/>
        <v>333859.27311733732</v>
      </c>
      <c r="R671">
        <f t="shared" si="996"/>
        <v>-24361397.516353417</v>
      </c>
      <c r="S671">
        <f t="shared" si="997"/>
        <v>-243.61397516353418</v>
      </c>
      <c r="T671">
        <f t="shared" si="998"/>
        <v>-0.24361397516353417</v>
      </c>
    </row>
    <row r="672" spans="1:20" x14ac:dyDescent="0.25">
      <c r="A672" s="5">
        <v>43921</v>
      </c>
      <c r="B672">
        <v>0.4672</v>
      </c>
      <c r="C672">
        <v>0.51619999999999999</v>
      </c>
      <c r="D672">
        <v>0.4672</v>
      </c>
      <c r="E672">
        <v>0.4864</v>
      </c>
      <c r="F672">
        <v>623762.87</v>
      </c>
      <c r="G672">
        <v>0</v>
      </c>
      <c r="L672" t="s">
        <v>8</v>
      </c>
      <c r="M672" t="s">
        <v>8</v>
      </c>
      <c r="N672" t="s">
        <v>8</v>
      </c>
      <c r="P672">
        <f t="shared" si="994"/>
        <v>-0.21632653061224491</v>
      </c>
      <c r="Q672">
        <f t="shared" si="995"/>
        <v>-134936.45759183675</v>
      </c>
      <c r="R672">
        <f t="shared" si="996"/>
        <v>-24695256.789470755</v>
      </c>
      <c r="S672">
        <f t="shared" si="997"/>
        <v>-246.95256789470756</v>
      </c>
      <c r="T672">
        <f t="shared" si="998"/>
        <v>-0.24695256789470757</v>
      </c>
    </row>
    <row r="673" spans="1:20" x14ac:dyDescent="0.25">
      <c r="A673" s="5">
        <v>43920</v>
      </c>
      <c r="B673">
        <v>0.42409999999999998</v>
      </c>
      <c r="C673">
        <v>0.49940000000000001</v>
      </c>
      <c r="D673">
        <v>0.42380000000000001</v>
      </c>
      <c r="E673">
        <v>0.46610000000000001</v>
      </c>
      <c r="F673">
        <v>489238.43</v>
      </c>
      <c r="G673">
        <v>0</v>
      </c>
      <c r="L673" t="s">
        <v>8</v>
      </c>
      <c r="M673" t="s">
        <v>8</v>
      </c>
      <c r="N673" t="s">
        <v>8</v>
      </c>
      <c r="P673">
        <f t="shared" si="994"/>
        <v>0.11904761904761915</v>
      </c>
      <c r="Q673">
        <f t="shared" si="995"/>
        <v>58242.670238095285</v>
      </c>
      <c r="R673">
        <f t="shared" si="996"/>
        <v>-24560320.331878919</v>
      </c>
      <c r="S673">
        <f t="shared" si="997"/>
        <v>-245.60320331878918</v>
      </c>
      <c r="T673">
        <f t="shared" si="998"/>
        <v>-0.24560320331878918</v>
      </c>
    </row>
    <row r="674" spans="1:20" x14ac:dyDescent="0.25">
      <c r="A674" s="5">
        <v>43919</v>
      </c>
      <c r="B674">
        <v>0.45469999999999999</v>
      </c>
      <c r="C674">
        <v>0.45660000000000001</v>
      </c>
      <c r="D674">
        <v>0.41549999999999998</v>
      </c>
      <c r="E674">
        <v>0.4269</v>
      </c>
      <c r="F674">
        <v>350289.11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-0.44525547445255403</v>
      </c>
      <c r="Q674">
        <f t="shared" si="995"/>
        <v>-155968.14386861288</v>
      </c>
      <c r="R674">
        <f t="shared" si="996"/>
        <v>-24618563.002117015</v>
      </c>
      <c r="S674">
        <f t="shared" si="997"/>
        <v>-246.18563002117014</v>
      </c>
      <c r="T674">
        <f t="shared" si="998"/>
        <v>-0.24618563002117014</v>
      </c>
    </row>
    <row r="675" spans="1:20" x14ac:dyDescent="0.25">
      <c r="A675" s="5">
        <v>43918</v>
      </c>
      <c r="B675">
        <v>0.45269999999999999</v>
      </c>
      <c r="C675">
        <v>0.47410000000000002</v>
      </c>
      <c r="D675">
        <v>0.43059999999999998</v>
      </c>
      <c r="E675">
        <v>0.4546</v>
      </c>
      <c r="F675">
        <v>712101.75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0.10344827586206896</v>
      </c>
      <c r="Q675">
        <f t="shared" si="995"/>
        <v>73665.698275862072</v>
      </c>
      <c r="R675">
        <f t="shared" si="996"/>
        <v>-24462594.858248401</v>
      </c>
      <c r="S675">
        <f t="shared" si="997"/>
        <v>-244.62594858248403</v>
      </c>
      <c r="T675">
        <f t="shared" si="998"/>
        <v>-0.24462594858248402</v>
      </c>
    </row>
    <row r="676" spans="1:20" x14ac:dyDescent="0.25">
      <c r="A676" s="5">
        <v>43917</v>
      </c>
      <c r="B676">
        <v>0.51160000000000005</v>
      </c>
      <c r="C676">
        <v>0.51980000000000004</v>
      </c>
      <c r="D676">
        <v>0.45040000000000002</v>
      </c>
      <c r="E676">
        <v>0.45710000000000001</v>
      </c>
      <c r="F676">
        <v>438486.74</v>
      </c>
      <c r="G676">
        <v>0</v>
      </c>
      <c r="L676" t="s">
        <v>7</v>
      </c>
      <c r="M676" t="s">
        <v>7</v>
      </c>
      <c r="N676" t="s">
        <v>8</v>
      </c>
      <c r="P676">
        <f t="shared" si="994"/>
        <v>-0.8069164265129688</v>
      </c>
      <c r="Q676">
        <f t="shared" si="995"/>
        <v>-353822.15331412124</v>
      </c>
      <c r="R676">
        <f t="shared" si="996"/>
        <v>-24536260.556524262</v>
      </c>
      <c r="S676">
        <f t="shared" si="997"/>
        <v>-245.36260556524263</v>
      </c>
      <c r="T676">
        <f t="shared" si="998"/>
        <v>-0.24536260556524264</v>
      </c>
    </row>
    <row r="677" spans="1:20" x14ac:dyDescent="0.25">
      <c r="A677" s="5">
        <v>43916</v>
      </c>
      <c r="B677">
        <v>0.51680000000000004</v>
      </c>
      <c r="C677">
        <v>0.55089999999999995</v>
      </c>
      <c r="D677">
        <v>0.47670000000000001</v>
      </c>
      <c r="E677">
        <v>0.50860000000000005</v>
      </c>
      <c r="F677">
        <v>1333684.6100000001</v>
      </c>
      <c r="G677">
        <v>0</v>
      </c>
      <c r="L677" t="s">
        <v>8</v>
      </c>
      <c r="M677" t="s">
        <v>8</v>
      </c>
      <c r="N677" t="s">
        <v>8</v>
      </c>
      <c r="P677">
        <f t="shared" si="994"/>
        <v>-0.14016172506738361</v>
      </c>
      <c r="Q677">
        <f t="shared" si="995"/>
        <v>-186931.53563342075</v>
      </c>
      <c r="R677">
        <f t="shared" si="996"/>
        <v>-24182438.403210141</v>
      </c>
      <c r="S677">
        <f t="shared" si="997"/>
        <v>-241.82438403210142</v>
      </c>
      <c r="T677">
        <f t="shared" si="998"/>
        <v>-0.24182438403210141</v>
      </c>
    </row>
    <row r="678" spans="1:20" x14ac:dyDescent="0.25">
      <c r="A678" s="5">
        <v>43915</v>
      </c>
      <c r="B678">
        <v>0.44440000000000002</v>
      </c>
      <c r="C678">
        <v>0.52500000000000002</v>
      </c>
      <c r="D678">
        <v>0.43020000000000003</v>
      </c>
      <c r="E678">
        <v>0.5151</v>
      </c>
      <c r="F678">
        <v>833723.8</v>
      </c>
      <c r="G678">
        <v>0</v>
      </c>
      <c r="L678" t="s">
        <v>8</v>
      </c>
      <c r="M678" t="s">
        <v>8</v>
      </c>
      <c r="N678" t="s">
        <v>8</v>
      </c>
      <c r="P678">
        <f t="shared" si="994"/>
        <v>0.79113924050632867</v>
      </c>
      <c r="Q678">
        <f t="shared" si="995"/>
        <v>659591.61392405035</v>
      </c>
      <c r="R678">
        <f t="shared" si="996"/>
        <v>-23995506.867576718</v>
      </c>
      <c r="S678">
        <f t="shared" si="997"/>
        <v>-239.95506867576719</v>
      </c>
      <c r="T678">
        <f t="shared" si="998"/>
        <v>-0.23995506867576719</v>
      </c>
    </row>
    <row r="679" spans="1:20" x14ac:dyDescent="0.25">
      <c r="A679" s="5">
        <v>43914</v>
      </c>
      <c r="B679">
        <v>0.43990000000000001</v>
      </c>
      <c r="C679">
        <v>0.46689999999999998</v>
      </c>
      <c r="D679">
        <v>0.42380000000000001</v>
      </c>
      <c r="E679">
        <v>0.44180000000000003</v>
      </c>
      <c r="F679">
        <v>417252.09</v>
      </c>
      <c r="G679">
        <v>0</v>
      </c>
      <c r="L679" t="s">
        <v>8</v>
      </c>
      <c r="M679" t="s">
        <v>8</v>
      </c>
      <c r="N679" t="s">
        <v>8</v>
      </c>
      <c r="P679">
        <f t="shared" si="994"/>
        <v>-0.16473317865429105</v>
      </c>
      <c r="Q679">
        <f t="shared" si="995"/>
        <v>-68735.263085846324</v>
      </c>
      <c r="R679">
        <f t="shared" si="996"/>
        <v>-24655098.481500767</v>
      </c>
      <c r="S679">
        <f t="shared" si="997"/>
        <v>-246.55098481500767</v>
      </c>
      <c r="T679">
        <f t="shared" si="998"/>
        <v>-0.24655098481500767</v>
      </c>
    </row>
    <row r="680" spans="1:20" x14ac:dyDescent="0.25">
      <c r="A680" s="5">
        <v>43913</v>
      </c>
      <c r="B680">
        <v>0.38419999999999999</v>
      </c>
      <c r="C680">
        <v>0.44390000000000002</v>
      </c>
      <c r="D680">
        <v>0.38019999999999998</v>
      </c>
      <c r="E680">
        <v>0.43930000000000002</v>
      </c>
      <c r="F680">
        <v>461607.56</v>
      </c>
      <c r="G680">
        <v>0</v>
      </c>
      <c r="L680" t="s">
        <v>8</v>
      </c>
      <c r="M680" t="s">
        <v>7</v>
      </c>
      <c r="N680" t="s">
        <v>8</v>
      </c>
      <c r="P680">
        <f t="shared" si="994"/>
        <v>0.85557299843014156</v>
      </c>
      <c r="Q680">
        <f t="shared" si="995"/>
        <v>394938.96420722146</v>
      </c>
      <c r="R680">
        <f t="shared" si="996"/>
        <v>-24586363.218414921</v>
      </c>
      <c r="S680">
        <f t="shared" si="997"/>
        <v>-245.86363218414922</v>
      </c>
      <c r="T680">
        <f t="shared" si="998"/>
        <v>-0.24586363218414922</v>
      </c>
    </row>
    <row r="681" spans="1:20" x14ac:dyDescent="0.25">
      <c r="A681" s="5">
        <v>43912</v>
      </c>
      <c r="B681">
        <v>0.42430000000000001</v>
      </c>
      <c r="C681">
        <v>0.43869999999999998</v>
      </c>
      <c r="D681">
        <v>0.38429999999999997</v>
      </c>
      <c r="E681">
        <v>0.38790000000000002</v>
      </c>
      <c r="F681">
        <v>217712.67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-0.86764705882352766</v>
      </c>
      <c r="Q681">
        <f t="shared" si="995"/>
        <v>-188897.75779411726</v>
      </c>
      <c r="R681">
        <f t="shared" si="996"/>
        <v>-24981302.182622142</v>
      </c>
      <c r="S681">
        <f t="shared" si="997"/>
        <v>-249.81302182622142</v>
      </c>
      <c r="T681">
        <f t="shared" si="998"/>
        <v>-0.24981302182622142</v>
      </c>
    </row>
    <row r="682" spans="1:20" x14ac:dyDescent="0.25">
      <c r="A682" s="5">
        <v>43911</v>
      </c>
      <c r="B682">
        <v>0.4229</v>
      </c>
      <c r="C682">
        <v>0.44259999999999999</v>
      </c>
      <c r="D682">
        <v>0.39710000000000001</v>
      </c>
      <c r="E682">
        <v>0.42609999999999998</v>
      </c>
      <c r="F682">
        <v>295662.5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0.27472527472527386</v>
      </c>
      <c r="Q682">
        <f t="shared" si="995"/>
        <v>81225.961538461284</v>
      </c>
      <c r="R682">
        <f t="shared" si="996"/>
        <v>-24792404.424828026</v>
      </c>
      <c r="S682">
        <f t="shared" si="997"/>
        <v>-247.92404424828027</v>
      </c>
      <c r="T682">
        <f t="shared" si="998"/>
        <v>-0.24792404424828027</v>
      </c>
    </row>
    <row r="683" spans="1:20" x14ac:dyDescent="0.25">
      <c r="A683" s="5">
        <v>43910</v>
      </c>
      <c r="B683">
        <v>0.42780000000000001</v>
      </c>
      <c r="C683">
        <v>0.48799999999999999</v>
      </c>
      <c r="D683">
        <v>0.37</v>
      </c>
      <c r="E683">
        <v>0.42280000000000001</v>
      </c>
      <c r="F683">
        <v>787656.32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-0.10508474576271158</v>
      </c>
      <c r="Q683">
        <f t="shared" si="995"/>
        <v>-82770.66413559299</v>
      </c>
      <c r="R683">
        <f t="shared" si="996"/>
        <v>-24873630.386366487</v>
      </c>
      <c r="S683">
        <f t="shared" si="997"/>
        <v>-248.73630386366486</v>
      </c>
      <c r="T683">
        <f t="shared" si="998"/>
        <v>-0.24873630386366485</v>
      </c>
    </row>
    <row r="684" spans="1:20" x14ac:dyDescent="0.25">
      <c r="A684" s="5">
        <v>43909</v>
      </c>
      <c r="B684">
        <v>0.39079999999999998</v>
      </c>
      <c r="C684">
        <v>0.44990000000000002</v>
      </c>
      <c r="D684">
        <v>0.35049999999999998</v>
      </c>
      <c r="E684">
        <v>0.42580000000000001</v>
      </c>
      <c r="F684">
        <v>1108387.99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0.51509054325955739</v>
      </c>
      <c r="Q684">
        <f t="shared" si="995"/>
        <v>570920.17191146885</v>
      </c>
      <c r="R684">
        <f t="shared" si="996"/>
        <v>-24790859.722230893</v>
      </c>
      <c r="S684">
        <f t="shared" si="997"/>
        <v>-247.90859722230891</v>
      </c>
      <c r="T684">
        <f t="shared" si="998"/>
        <v>-0.2479085972223089</v>
      </c>
    </row>
    <row r="685" spans="1:20" x14ac:dyDescent="0.25">
      <c r="A685" s="5">
        <v>43908</v>
      </c>
      <c r="B685">
        <v>0.38600000000000001</v>
      </c>
      <c r="C685">
        <v>0.39269999999999999</v>
      </c>
      <c r="D685">
        <v>0.34560000000000002</v>
      </c>
      <c r="E685">
        <v>0.38850000000000001</v>
      </c>
      <c r="F685">
        <v>605148.01</v>
      </c>
      <c r="G685">
        <v>0</v>
      </c>
      <c r="L685" t="s">
        <v>7</v>
      </c>
      <c r="M685" t="s">
        <v>8</v>
      </c>
      <c r="N685" t="s">
        <v>7</v>
      </c>
      <c r="P685">
        <f t="shared" si="994"/>
        <v>0.82165605095541472</v>
      </c>
      <c r="Q685">
        <f t="shared" si="995"/>
        <v>497223.52414012782</v>
      </c>
      <c r="R685">
        <f t="shared" si="996"/>
        <v>-25361779.894142363</v>
      </c>
      <c r="S685">
        <f t="shared" si="997"/>
        <v>-253.61779894142364</v>
      </c>
      <c r="T685">
        <f t="shared" si="998"/>
        <v>-0.25361779894142367</v>
      </c>
    </row>
    <row r="686" spans="1:20" x14ac:dyDescent="0.25">
      <c r="A686" s="5">
        <v>43907</v>
      </c>
      <c r="B686">
        <v>0.34499999999999997</v>
      </c>
      <c r="C686">
        <v>0.40260000000000001</v>
      </c>
      <c r="D686">
        <v>0.33950000000000002</v>
      </c>
      <c r="E686">
        <v>0.38429999999999997</v>
      </c>
      <c r="F686">
        <v>477382.11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0.41996830427892101</v>
      </c>
      <c r="Q686">
        <f t="shared" si="995"/>
        <v>200485.35522979335</v>
      </c>
      <c r="R686">
        <f t="shared" si="996"/>
        <v>-25859003.41828249</v>
      </c>
      <c r="S686">
        <f t="shared" si="997"/>
        <v>-258.59003418282492</v>
      </c>
      <c r="T686">
        <f t="shared" si="998"/>
        <v>-0.25859003418282495</v>
      </c>
    </row>
    <row r="687" spans="1:20" x14ac:dyDescent="0.25">
      <c r="A687" s="5">
        <v>43906</v>
      </c>
      <c r="B687">
        <v>0.41360000000000002</v>
      </c>
      <c r="C687">
        <v>0.41449999999999998</v>
      </c>
      <c r="D687">
        <v>0.30840000000000001</v>
      </c>
      <c r="E687">
        <v>0.34499999999999997</v>
      </c>
      <c r="F687">
        <v>997826.39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-0.31008482563619272</v>
      </c>
      <c r="Q687">
        <f t="shared" si="995"/>
        <v>-309410.82215834165</v>
      </c>
      <c r="R687">
        <f t="shared" si="996"/>
        <v>-26059488.773512285</v>
      </c>
      <c r="S687">
        <f t="shared" si="997"/>
        <v>-260.59488773512282</v>
      </c>
      <c r="T687">
        <f t="shared" si="998"/>
        <v>-0.26059488773512285</v>
      </c>
    </row>
    <row r="688" spans="1:20" x14ac:dyDescent="0.25">
      <c r="A688" s="5">
        <v>43905</v>
      </c>
      <c r="B688">
        <v>0.40699999999999997</v>
      </c>
      <c r="C688">
        <v>0.4698</v>
      </c>
      <c r="D688">
        <v>0.4002</v>
      </c>
      <c r="E688">
        <v>0.41389999999999999</v>
      </c>
      <c r="F688">
        <v>847359.21</v>
      </c>
      <c r="G688">
        <v>0</v>
      </c>
      <c r="L688" t="s">
        <v>7</v>
      </c>
      <c r="M688" t="s">
        <v>8</v>
      </c>
      <c r="N688" t="s">
        <v>8</v>
      </c>
      <c r="P688">
        <f t="shared" si="994"/>
        <v>-0.60632183908046</v>
      </c>
      <c r="Q688">
        <f t="shared" si="995"/>
        <v>-513772.39456896571</v>
      </c>
      <c r="R688">
        <f t="shared" si="996"/>
        <v>-25750077.951353945</v>
      </c>
      <c r="S688">
        <f t="shared" si="997"/>
        <v>-257.50077951353944</v>
      </c>
      <c r="T688">
        <f t="shared" si="998"/>
        <v>-0.25750077951353945</v>
      </c>
    </row>
    <row r="689" spans="1:20" x14ac:dyDescent="0.25">
      <c r="A689" s="5">
        <v>43904</v>
      </c>
      <c r="B689">
        <v>0.45150000000000001</v>
      </c>
      <c r="C689">
        <v>0.47120000000000001</v>
      </c>
      <c r="D689">
        <v>0.39300000000000002</v>
      </c>
      <c r="E689">
        <v>0.40550000000000003</v>
      </c>
      <c r="F689">
        <v>994625.78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-0.68030690537084371</v>
      </c>
      <c r="Q689">
        <f t="shared" si="995"/>
        <v>-676650.78639386164</v>
      </c>
      <c r="R689">
        <f t="shared" si="996"/>
        <v>-25236305.55678498</v>
      </c>
      <c r="S689">
        <f t="shared" si="997"/>
        <v>-252.36305556784981</v>
      </c>
      <c r="T689">
        <f t="shared" si="998"/>
        <v>-0.25236305556784983</v>
      </c>
    </row>
    <row r="690" spans="1:20" x14ac:dyDescent="0.25">
      <c r="A690" s="5">
        <v>43903</v>
      </c>
      <c r="B690">
        <v>0.38</v>
      </c>
      <c r="C690">
        <v>0.51990000000000003</v>
      </c>
      <c r="D690">
        <v>0.24030000000000001</v>
      </c>
      <c r="E690">
        <v>0.44180000000000003</v>
      </c>
      <c r="F690">
        <v>2229141.35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0.44134477825464952</v>
      </c>
      <c r="Q690">
        <f t="shared" si="995"/>
        <v>983819.89481402014</v>
      </c>
      <c r="R690">
        <f t="shared" si="996"/>
        <v>-24559654.770391118</v>
      </c>
      <c r="S690">
        <f t="shared" si="997"/>
        <v>-245.59654770391117</v>
      </c>
      <c r="T690">
        <f t="shared" si="998"/>
        <v>-0.24559654770391118</v>
      </c>
    </row>
    <row r="691" spans="1:20" x14ac:dyDescent="0.25">
      <c r="A691" s="5">
        <v>43902</v>
      </c>
      <c r="B691">
        <v>0.88080000000000003</v>
      </c>
      <c r="C691">
        <v>0.89629999999999999</v>
      </c>
      <c r="D691">
        <v>0.36380000000000001</v>
      </c>
      <c r="E691">
        <v>0.38</v>
      </c>
      <c r="F691">
        <v>3711875.76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-0.93915492957746483</v>
      </c>
      <c r="Q691">
        <f t="shared" si="995"/>
        <v>-3486026.4179830984</v>
      </c>
      <c r="R691">
        <f t="shared" si="996"/>
        <v>-25543474.66520514</v>
      </c>
      <c r="S691">
        <f t="shared" si="997"/>
        <v>-255.43474665205139</v>
      </c>
      <c r="T691">
        <f t="shared" si="998"/>
        <v>-0.2554347466520514</v>
      </c>
    </row>
    <row r="692" spans="1:20" x14ac:dyDescent="0.25">
      <c r="A692" s="5">
        <v>43901</v>
      </c>
      <c r="B692">
        <v>0.8972</v>
      </c>
      <c r="C692">
        <v>0.98960000000000004</v>
      </c>
      <c r="D692">
        <v>0.80920000000000003</v>
      </c>
      <c r="E692">
        <v>0.88080000000000003</v>
      </c>
      <c r="F692">
        <v>3127462.69</v>
      </c>
      <c r="G692">
        <v>0</v>
      </c>
      <c r="L692" t="s">
        <v>8</v>
      </c>
      <c r="M692" t="s">
        <v>8</v>
      </c>
      <c r="N692" t="s">
        <v>7</v>
      </c>
      <c r="P692">
        <f t="shared" si="994"/>
        <v>-0.2062084257206209</v>
      </c>
      <c r="Q692">
        <f t="shared" si="995"/>
        <v>-644909.1578048782</v>
      </c>
      <c r="R692">
        <f t="shared" si="996"/>
        <v>-22057448.24722204</v>
      </c>
      <c r="S692">
        <f t="shared" si="997"/>
        <v>-220.57448247222041</v>
      </c>
      <c r="T692">
        <f t="shared" si="998"/>
        <v>-0.22057448247222042</v>
      </c>
    </row>
    <row r="693" spans="1:20" x14ac:dyDescent="0.25">
      <c r="A693" s="5">
        <v>43900</v>
      </c>
      <c r="B693">
        <v>0.82589999999999997</v>
      </c>
      <c r="C693">
        <v>0.93</v>
      </c>
      <c r="D693">
        <v>0.78</v>
      </c>
      <c r="E693">
        <v>0.89770000000000005</v>
      </c>
      <c r="F693">
        <v>1728430.05</v>
      </c>
      <c r="G693">
        <v>0</v>
      </c>
      <c r="L693" t="s">
        <v>8</v>
      </c>
      <c r="M693" t="s">
        <v>8</v>
      </c>
      <c r="N693" t="s">
        <v>7</v>
      </c>
      <c r="P693">
        <f t="shared" si="994"/>
        <v>0.56933333333333347</v>
      </c>
      <c r="Q693">
        <f t="shared" si="995"/>
        <v>984052.84180000029</v>
      </c>
      <c r="R693">
        <f t="shared" si="996"/>
        <v>-21412539.089417163</v>
      </c>
      <c r="S693">
        <f t="shared" si="997"/>
        <v>-214.12539089417163</v>
      </c>
      <c r="T693">
        <f t="shared" si="998"/>
        <v>-0.21412539089417162</v>
      </c>
    </row>
    <row r="694" spans="1:20" x14ac:dyDescent="0.25">
      <c r="A694" s="5">
        <v>43899</v>
      </c>
      <c r="B694">
        <v>0.80220000000000002</v>
      </c>
      <c r="C694">
        <v>0.85499999999999998</v>
      </c>
      <c r="D694">
        <v>0.77</v>
      </c>
      <c r="E694">
        <v>0.82589999999999997</v>
      </c>
      <c r="F694">
        <v>1151507.6499999999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0.31529411764705817</v>
      </c>
      <c r="Q694">
        <f t="shared" si="995"/>
        <v>363063.58847058745</v>
      </c>
      <c r="R694">
        <f t="shared" si="996"/>
        <v>-22396591.931217164</v>
      </c>
      <c r="S694">
        <f t="shared" si="997"/>
        <v>-223.96591931217165</v>
      </c>
      <c r="T694">
        <f t="shared" si="998"/>
        <v>-0.22396591931217166</v>
      </c>
    </row>
    <row r="695" spans="1:20" x14ac:dyDescent="0.25">
      <c r="A695" s="5">
        <v>43898</v>
      </c>
      <c r="B695">
        <v>0.85199999999999998</v>
      </c>
      <c r="C695">
        <v>0.95299999999999996</v>
      </c>
      <c r="D695">
        <v>0.79890000000000005</v>
      </c>
      <c r="E695">
        <v>0.80520000000000003</v>
      </c>
      <c r="F695">
        <v>2323966.37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-0.91823491239454935</v>
      </c>
      <c r="Q695">
        <f t="shared" si="995"/>
        <v>-2133947.0561648291</v>
      </c>
      <c r="R695">
        <f t="shared" si="996"/>
        <v>-22759655.519687749</v>
      </c>
      <c r="S695">
        <f t="shared" si="997"/>
        <v>-227.59655519687749</v>
      </c>
      <c r="T695">
        <f t="shared" si="998"/>
        <v>-0.22759655519687749</v>
      </c>
    </row>
    <row r="696" spans="1:20" x14ac:dyDescent="0.25">
      <c r="A696" s="5">
        <v>43897</v>
      </c>
      <c r="B696">
        <v>0.89129999999999998</v>
      </c>
      <c r="C696">
        <v>0.94220000000000004</v>
      </c>
      <c r="D696">
        <v>0.8427</v>
      </c>
      <c r="E696">
        <v>0.85340000000000005</v>
      </c>
      <c r="F696">
        <v>1041489.75</v>
      </c>
      <c r="G696">
        <v>0</v>
      </c>
      <c r="L696" t="s">
        <v>7</v>
      </c>
      <c r="M696" t="s">
        <v>8</v>
      </c>
      <c r="N696" t="s">
        <v>7</v>
      </c>
      <c r="P696">
        <f t="shared" si="994"/>
        <v>-0.78492462311557709</v>
      </c>
      <c r="Q696">
        <f t="shared" si="995"/>
        <v>-817490.94949748658</v>
      </c>
      <c r="R696">
        <f t="shared" si="996"/>
        <v>-20625708.463522919</v>
      </c>
      <c r="S696">
        <f t="shared" si="997"/>
        <v>-206.25708463522918</v>
      </c>
      <c r="T696">
        <f t="shared" si="998"/>
        <v>-0.20625708463522918</v>
      </c>
    </row>
    <row r="697" spans="1:20" x14ac:dyDescent="0.25">
      <c r="A697" s="5">
        <v>43896</v>
      </c>
      <c r="B697">
        <v>0.92130000000000001</v>
      </c>
      <c r="C697">
        <v>0.9355</v>
      </c>
      <c r="D697">
        <v>0.88</v>
      </c>
      <c r="E697">
        <v>0.8911</v>
      </c>
      <c r="F697">
        <v>576071.23</v>
      </c>
      <c r="G697">
        <v>0</v>
      </c>
      <c r="L697" t="s">
        <v>7</v>
      </c>
      <c r="M697" t="s">
        <v>8</v>
      </c>
      <c r="N697" t="s">
        <v>7</v>
      </c>
      <c r="P697">
        <f t="shared" si="994"/>
        <v>-0.6</v>
      </c>
      <c r="Q697">
        <f t="shared" si="995"/>
        <v>-345642.73799999995</v>
      </c>
      <c r="R697">
        <f t="shared" si="996"/>
        <v>-19808217.514025431</v>
      </c>
      <c r="S697">
        <f t="shared" si="997"/>
        <v>-198.08217514025432</v>
      </c>
      <c r="T697">
        <f t="shared" si="998"/>
        <v>-0.19808217514025434</v>
      </c>
    </row>
    <row r="698" spans="1:20" x14ac:dyDescent="0.25">
      <c r="A698" s="5">
        <v>43895</v>
      </c>
      <c r="B698">
        <v>0.92059999999999997</v>
      </c>
      <c r="C698">
        <v>0.96779999999999999</v>
      </c>
      <c r="D698">
        <v>0.89970000000000006</v>
      </c>
      <c r="E698">
        <v>0.92479999999999996</v>
      </c>
      <c r="F698">
        <v>1219232.96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-0.26284875183553824</v>
      </c>
      <c r="Q698">
        <f t="shared" si="995"/>
        <v>-320473.86173274869</v>
      </c>
      <c r="R698">
        <f t="shared" si="996"/>
        <v>-19462574.776025429</v>
      </c>
      <c r="S698">
        <f t="shared" si="997"/>
        <v>-194.62574776025428</v>
      </c>
      <c r="T698">
        <f t="shared" si="998"/>
        <v>-0.19462574776025429</v>
      </c>
    </row>
    <row r="699" spans="1:20" x14ac:dyDescent="0.25">
      <c r="A699" s="5">
        <v>43894</v>
      </c>
      <c r="B699">
        <v>0.88070000000000004</v>
      </c>
      <c r="C699">
        <v>0.93610000000000004</v>
      </c>
      <c r="D699">
        <v>0.86599999999999999</v>
      </c>
      <c r="E699">
        <v>0.92059999999999997</v>
      </c>
      <c r="F699">
        <v>1183932.6599999999</v>
      </c>
      <c r="G699">
        <v>0</v>
      </c>
      <c r="L699" t="s">
        <v>7</v>
      </c>
      <c r="M699" t="s">
        <v>8</v>
      </c>
      <c r="N699" t="s">
        <v>7</v>
      </c>
      <c r="P699">
        <f t="shared" si="994"/>
        <v>0.55777460770327936</v>
      </c>
      <c r="Q699">
        <f t="shared" si="995"/>
        <v>660367.57497860002</v>
      </c>
      <c r="R699">
        <f t="shared" si="996"/>
        <v>-19142100.914292682</v>
      </c>
      <c r="S699">
        <f t="shared" si="997"/>
        <v>-191.42100914292681</v>
      </c>
      <c r="T699">
        <f t="shared" si="998"/>
        <v>-0.19142100914292681</v>
      </c>
    </row>
    <row r="700" spans="1:20" x14ac:dyDescent="0.25">
      <c r="A700" s="5">
        <v>43893</v>
      </c>
      <c r="B700">
        <v>0.85709999999999997</v>
      </c>
      <c r="C700">
        <v>0.92549999999999999</v>
      </c>
      <c r="D700">
        <v>0.85050000000000003</v>
      </c>
      <c r="E700">
        <v>0.88070000000000004</v>
      </c>
      <c r="F700">
        <v>849550.07</v>
      </c>
      <c r="G700">
        <v>0</v>
      </c>
      <c r="L700" t="s">
        <v>8</v>
      </c>
      <c r="M700" t="s">
        <v>8</v>
      </c>
      <c r="N700" t="s">
        <v>7</v>
      </c>
      <c r="P700">
        <f t="shared" si="994"/>
        <v>-0.19466666666666607</v>
      </c>
      <c r="Q700">
        <f t="shared" si="995"/>
        <v>-165379.08029333281</v>
      </c>
      <c r="R700">
        <f t="shared" si="996"/>
        <v>-19802468.489271283</v>
      </c>
      <c r="S700">
        <f t="shared" si="997"/>
        <v>-198.02468489271283</v>
      </c>
      <c r="T700">
        <f t="shared" si="998"/>
        <v>-0.19802468489271283</v>
      </c>
    </row>
    <row r="701" spans="1:20" x14ac:dyDescent="0.25">
      <c r="A701" s="5">
        <v>43892</v>
      </c>
      <c r="B701">
        <v>0.82540000000000002</v>
      </c>
      <c r="C701">
        <v>0.87849999999999995</v>
      </c>
      <c r="D701">
        <v>0.82250000000000001</v>
      </c>
      <c r="E701">
        <v>0.85570000000000002</v>
      </c>
      <c r="F701">
        <v>526411.88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0.18571428571428727</v>
      </c>
      <c r="Q701">
        <f t="shared" si="995"/>
        <v>97762.206285715103</v>
      </c>
      <c r="R701">
        <f t="shared" si="996"/>
        <v>-19637089.408977952</v>
      </c>
      <c r="S701">
        <f t="shared" si="997"/>
        <v>-196.37089408977951</v>
      </c>
      <c r="T701">
        <f t="shared" si="998"/>
        <v>-0.19637089408977951</v>
      </c>
    </row>
    <row r="702" spans="1:20" x14ac:dyDescent="0.25">
      <c r="A702" s="5">
        <v>43891</v>
      </c>
      <c r="B702">
        <v>0.81210000000000004</v>
      </c>
      <c r="C702">
        <v>0.8569</v>
      </c>
      <c r="D702">
        <v>0.77900000000000003</v>
      </c>
      <c r="E702">
        <v>0.82979999999999998</v>
      </c>
      <c r="F702">
        <v>352477.67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0.30423620025673881</v>
      </c>
      <c r="Q702">
        <f t="shared" si="995"/>
        <v>107236.46699614869</v>
      </c>
      <c r="R702">
        <f t="shared" si="996"/>
        <v>-19734851.615263667</v>
      </c>
      <c r="S702">
        <f t="shared" si="997"/>
        <v>-197.34851615263668</v>
      </c>
      <c r="T702">
        <f t="shared" si="998"/>
        <v>-0.19734851615263668</v>
      </c>
    </row>
    <row r="703" spans="1:20" x14ac:dyDescent="0.25">
      <c r="A703" s="5">
        <v>43890</v>
      </c>
      <c r="B703">
        <v>0.81599999999999995</v>
      </c>
      <c r="C703">
        <v>0.84930000000000005</v>
      </c>
      <c r="D703">
        <v>0.8</v>
      </c>
      <c r="E703">
        <v>0.81210000000000004</v>
      </c>
      <c r="F703">
        <v>375936.61</v>
      </c>
      <c r="G703">
        <v>0</v>
      </c>
      <c r="L703" t="s">
        <v>7</v>
      </c>
      <c r="M703" t="s">
        <v>7</v>
      </c>
      <c r="N703" t="s">
        <v>7</v>
      </c>
      <c r="P703">
        <f t="shared" si="994"/>
        <v>-0.50912778904665323</v>
      </c>
      <c r="Q703">
        <f t="shared" si="995"/>
        <v>-191399.77507099393</v>
      </c>
      <c r="R703">
        <f t="shared" si="996"/>
        <v>-19842088.082259815</v>
      </c>
      <c r="S703">
        <f t="shared" si="997"/>
        <v>-198.42088082259815</v>
      </c>
      <c r="T703">
        <f t="shared" si="998"/>
        <v>-0.19842088082259815</v>
      </c>
    </row>
    <row r="704" spans="1:20" x14ac:dyDescent="0.25">
      <c r="A704" s="5">
        <v>43889</v>
      </c>
      <c r="B704">
        <v>0.83440000000000003</v>
      </c>
      <c r="C704">
        <v>0.88149999999999995</v>
      </c>
      <c r="D704">
        <v>0.79179999999999995</v>
      </c>
      <c r="E704">
        <v>0.81730000000000003</v>
      </c>
      <c r="F704">
        <v>642561.82999999996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-0.43143812709029927</v>
      </c>
      <c r="Q704">
        <f t="shared" si="995"/>
        <v>-277225.67247491528</v>
      </c>
      <c r="R704">
        <f t="shared" si="996"/>
        <v>-19650688.30718882</v>
      </c>
      <c r="S704">
        <f t="shared" si="997"/>
        <v>-196.50688307188821</v>
      </c>
      <c r="T704">
        <f t="shared" si="998"/>
        <v>-0.19650688307188821</v>
      </c>
    </row>
    <row r="705" spans="1:20" x14ac:dyDescent="0.25">
      <c r="A705" s="5">
        <v>43888</v>
      </c>
      <c r="B705">
        <v>0.83799999999999997</v>
      </c>
      <c r="C705">
        <v>0.88239999999999996</v>
      </c>
      <c r="D705">
        <v>0.80130000000000001</v>
      </c>
      <c r="E705">
        <v>0.83440000000000003</v>
      </c>
      <c r="F705">
        <v>810325.08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-0.18372379778051692</v>
      </c>
      <c r="Q705">
        <f t="shared" si="995"/>
        <v>-148876.00113440119</v>
      </c>
      <c r="R705">
        <f t="shared" si="996"/>
        <v>-19373462.634713903</v>
      </c>
      <c r="S705">
        <f t="shared" si="997"/>
        <v>-193.73462634713903</v>
      </c>
      <c r="T705">
        <f t="shared" si="998"/>
        <v>-0.19373462634713903</v>
      </c>
    </row>
    <row r="706" spans="1:20" x14ac:dyDescent="0.25">
      <c r="A706" s="5">
        <v>43887</v>
      </c>
      <c r="B706">
        <v>0.84</v>
      </c>
      <c r="C706">
        <v>0.95</v>
      </c>
      <c r="D706">
        <v>0.76</v>
      </c>
      <c r="E706">
        <v>0.83660000000000001</v>
      </c>
      <c r="F706">
        <v>2035893.88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-0.19368421052631554</v>
      </c>
      <c r="Q706">
        <f t="shared" si="995"/>
        <v>-394320.49886315735</v>
      </c>
      <c r="R706">
        <f t="shared" si="996"/>
        <v>-19224586.633579504</v>
      </c>
      <c r="S706">
        <f t="shared" si="997"/>
        <v>-192.24586633579503</v>
      </c>
      <c r="T706">
        <f t="shared" si="998"/>
        <v>-0.19224586633579502</v>
      </c>
    </row>
    <row r="707" spans="1:20" x14ac:dyDescent="0.25">
      <c r="A707" s="5">
        <v>43886</v>
      </c>
      <c r="B707">
        <v>0.88460000000000005</v>
      </c>
      <c r="C707">
        <v>0.89890000000000003</v>
      </c>
      <c r="D707">
        <v>0.82430000000000003</v>
      </c>
      <c r="E707">
        <v>0.84489999999999998</v>
      </c>
      <c r="F707">
        <v>443060.09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-0.44772117962466618</v>
      </c>
      <c r="Q707">
        <f t="shared" si="995"/>
        <v>-198367.38613941078</v>
      </c>
      <c r="R707">
        <f t="shared" si="996"/>
        <v>-18830266.134716347</v>
      </c>
      <c r="S707">
        <f t="shared" si="997"/>
        <v>-188.30266134716348</v>
      </c>
      <c r="T707">
        <f t="shared" si="998"/>
        <v>-0.18830266134716347</v>
      </c>
    </row>
    <row r="708" spans="1:20" x14ac:dyDescent="0.25">
      <c r="A708" s="5">
        <v>43885</v>
      </c>
      <c r="B708">
        <v>0.95760000000000001</v>
      </c>
      <c r="C708">
        <v>0.97989999999999999</v>
      </c>
      <c r="D708">
        <v>0.85129999999999995</v>
      </c>
      <c r="E708">
        <v>0.88460000000000005</v>
      </c>
      <c r="F708">
        <v>1080576.72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-0.48211508553654597</v>
      </c>
      <c r="Q708">
        <f t="shared" si="995"/>
        <v>-520962.33779160026</v>
      </c>
      <c r="R708">
        <f t="shared" si="996"/>
        <v>-18631898.748576935</v>
      </c>
      <c r="S708">
        <f t="shared" si="997"/>
        <v>-186.31898748576936</v>
      </c>
      <c r="T708">
        <f t="shared" si="998"/>
        <v>-0.18631898748576936</v>
      </c>
    </row>
    <row r="709" spans="1:20" x14ac:dyDescent="0.25">
      <c r="A709" s="5">
        <v>43884</v>
      </c>
      <c r="B709">
        <v>0.89249999999999996</v>
      </c>
      <c r="C709">
        <v>0.98</v>
      </c>
      <c r="D709">
        <v>0.88700000000000001</v>
      </c>
      <c r="E709">
        <v>0.95760000000000001</v>
      </c>
      <c r="F709">
        <v>925911.16</v>
      </c>
      <c r="G709">
        <v>0</v>
      </c>
      <c r="L709" t="s">
        <v>8</v>
      </c>
      <c r="M709" t="s">
        <v>7</v>
      </c>
      <c r="N709" t="s">
        <v>7</v>
      </c>
      <c r="P709">
        <f t="shared" si="994"/>
        <v>0.51827956989247348</v>
      </c>
      <c r="Q709">
        <f t="shared" si="995"/>
        <v>479880.8377634412</v>
      </c>
      <c r="R709">
        <f t="shared" si="996"/>
        <v>-18110936.410785336</v>
      </c>
      <c r="S709">
        <f t="shared" si="997"/>
        <v>-181.10936410785337</v>
      </c>
      <c r="T709">
        <f t="shared" si="998"/>
        <v>-0.18110936410785336</v>
      </c>
    </row>
    <row r="710" spans="1:20" x14ac:dyDescent="0.25">
      <c r="A710" s="5">
        <v>43883</v>
      </c>
      <c r="B710">
        <v>0.87970000000000004</v>
      </c>
      <c r="C710">
        <v>0.89890000000000003</v>
      </c>
      <c r="D710">
        <v>0.85399999999999998</v>
      </c>
      <c r="E710">
        <v>0.88549999999999995</v>
      </c>
      <c r="F710">
        <v>330647.83</v>
      </c>
      <c r="G710">
        <v>0</v>
      </c>
      <c r="L710" t="s">
        <v>7</v>
      </c>
      <c r="M710" t="s">
        <v>7</v>
      </c>
      <c r="N710" t="s">
        <v>7</v>
      </c>
      <c r="P710">
        <f t="shared" ref="P710:P766" si="999">IF(C710=D710,0,((E710-D710)-(C710-E710))/(C710-D710))</f>
        <v>0.40311804008908403</v>
      </c>
      <c r="Q710">
        <f t="shared" ref="Q710:Q766" si="1000">F710*P710</f>
        <v>133290.10518930864</v>
      </c>
      <c r="R710">
        <f t="shared" ref="R710:R766" si="1001">R711+Q710</f>
        <v>-18590817.248548776</v>
      </c>
      <c r="S710">
        <f t="shared" ref="S710:S766" si="1002">R710/100000</f>
        <v>-185.90817248548777</v>
      </c>
      <c r="T710">
        <f t="shared" ref="T710:T766" si="1003">S710/1000</f>
        <v>-0.18590817248548777</v>
      </c>
    </row>
    <row r="711" spans="1:20" x14ac:dyDescent="0.25">
      <c r="A711" s="5">
        <v>43882</v>
      </c>
      <c r="B711">
        <v>0.88739999999999997</v>
      </c>
      <c r="C711">
        <v>0.93289999999999995</v>
      </c>
      <c r="D711">
        <v>0.86309999999999998</v>
      </c>
      <c r="E711">
        <v>0.87970000000000004</v>
      </c>
      <c r="F711">
        <v>855382.31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-0.52435530085959703</v>
      </c>
      <c r="Q711">
        <f t="shared" si="1000"/>
        <v>-448524.24851002713</v>
      </c>
      <c r="R711">
        <f t="shared" si="1001"/>
        <v>-18724107.353738084</v>
      </c>
      <c r="S711">
        <f t="shared" si="1002"/>
        <v>-187.24107353738086</v>
      </c>
      <c r="T711">
        <f t="shared" si="1003"/>
        <v>-0.18724107353738087</v>
      </c>
    </row>
    <row r="712" spans="1:20" x14ac:dyDescent="0.25">
      <c r="A712" s="5">
        <v>43881</v>
      </c>
      <c r="B712">
        <v>0.85260000000000002</v>
      </c>
      <c r="C712">
        <v>0.89790000000000003</v>
      </c>
      <c r="D712">
        <v>0.82609999999999995</v>
      </c>
      <c r="E712">
        <v>0.88670000000000004</v>
      </c>
      <c r="F712">
        <v>1719331.73</v>
      </c>
      <c r="G712">
        <v>0</v>
      </c>
      <c r="L712" t="s">
        <v>8</v>
      </c>
      <c r="M712" t="s">
        <v>7</v>
      </c>
      <c r="N712" t="s">
        <v>7</v>
      </c>
      <c r="P712">
        <f t="shared" si="999"/>
        <v>0.68802228412256339</v>
      </c>
      <c r="Q712">
        <f t="shared" si="1000"/>
        <v>1182938.5440389984</v>
      </c>
      <c r="R712">
        <f t="shared" si="1001"/>
        <v>-18275583.105228059</v>
      </c>
      <c r="S712">
        <f t="shared" si="1002"/>
        <v>-182.7558310522806</v>
      </c>
      <c r="T712">
        <f t="shared" si="1003"/>
        <v>-0.1827558310522806</v>
      </c>
    </row>
    <row r="713" spans="1:20" x14ac:dyDescent="0.25">
      <c r="A713" s="5">
        <v>43880</v>
      </c>
      <c r="B713">
        <v>0.97</v>
      </c>
      <c r="C713">
        <v>1.0025999999999999</v>
      </c>
      <c r="D713">
        <v>0.83050000000000002</v>
      </c>
      <c r="E713">
        <v>0.85709999999999997</v>
      </c>
      <c r="F713">
        <v>1564768.5</v>
      </c>
      <c r="G713">
        <v>0</v>
      </c>
      <c r="L713" t="s">
        <v>7</v>
      </c>
      <c r="M713" t="s">
        <v>7</v>
      </c>
      <c r="N713" t="s">
        <v>7</v>
      </c>
      <c r="P713">
        <f t="shared" si="999"/>
        <v>-0.69087739686228977</v>
      </c>
      <c r="Q713">
        <f t="shared" si="1000"/>
        <v>-1081063.1879721098</v>
      </c>
      <c r="R713">
        <f t="shared" si="1001"/>
        <v>-19458521.649267059</v>
      </c>
      <c r="S713">
        <f t="shared" si="1002"/>
        <v>-194.58521649267058</v>
      </c>
      <c r="T713">
        <f t="shared" si="1003"/>
        <v>-0.19458521649267058</v>
      </c>
    </row>
    <row r="714" spans="1:20" x14ac:dyDescent="0.25">
      <c r="A714" s="5">
        <v>43879</v>
      </c>
      <c r="B714">
        <v>0.98070000000000002</v>
      </c>
      <c r="C714">
        <v>1.0361</v>
      </c>
      <c r="D714">
        <v>0.95169999999999999</v>
      </c>
      <c r="E714">
        <v>0.97</v>
      </c>
      <c r="F714">
        <v>1357682.51</v>
      </c>
      <c r="G714">
        <v>0</v>
      </c>
      <c r="L714" t="s">
        <v>7</v>
      </c>
      <c r="M714" t="s">
        <v>7</v>
      </c>
      <c r="N714" t="s">
        <v>7</v>
      </c>
      <c r="P714">
        <f t="shared" si="999"/>
        <v>-0.56635071090047451</v>
      </c>
      <c r="Q714">
        <f t="shared" si="1000"/>
        <v>-768924.45471564063</v>
      </c>
      <c r="R714">
        <f t="shared" si="1001"/>
        <v>-18377458.461294949</v>
      </c>
      <c r="S714">
        <f t="shared" si="1002"/>
        <v>-183.7745846129495</v>
      </c>
      <c r="T714">
        <f t="shared" si="1003"/>
        <v>-0.18377458461294949</v>
      </c>
    </row>
    <row r="715" spans="1:20" x14ac:dyDescent="0.25">
      <c r="A715" s="5">
        <v>43878</v>
      </c>
      <c r="B715">
        <v>1.0485</v>
      </c>
      <c r="C715">
        <v>1.05</v>
      </c>
      <c r="D715">
        <v>0.91500000000000004</v>
      </c>
      <c r="E715">
        <v>0.97540000000000004</v>
      </c>
      <c r="F715">
        <v>954122.78</v>
      </c>
      <c r="G715">
        <v>0</v>
      </c>
      <c r="L715" t="s">
        <v>8</v>
      </c>
      <c r="M715" t="s">
        <v>7</v>
      </c>
      <c r="N715" t="s">
        <v>7</v>
      </c>
      <c r="P715">
        <f t="shared" si="999"/>
        <v>-0.1051851851851851</v>
      </c>
      <c r="Q715">
        <f t="shared" si="1000"/>
        <v>-100359.58130370363</v>
      </c>
      <c r="R715">
        <f t="shared" si="1001"/>
        <v>-17608534.00657931</v>
      </c>
      <c r="S715">
        <f t="shared" si="1002"/>
        <v>-176.0853400657931</v>
      </c>
      <c r="T715">
        <f t="shared" si="1003"/>
        <v>-0.1760853400657931</v>
      </c>
    </row>
    <row r="716" spans="1:20" x14ac:dyDescent="0.25">
      <c r="A716" s="5">
        <v>43877</v>
      </c>
      <c r="B716">
        <v>1.1093999999999999</v>
      </c>
      <c r="C716">
        <v>1.1242000000000001</v>
      </c>
      <c r="D716">
        <v>0.92079999999999995</v>
      </c>
      <c r="E716">
        <v>1.048</v>
      </c>
      <c r="F716">
        <v>963842.99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0.2507374631268437</v>
      </c>
      <c r="Q716">
        <f t="shared" si="1000"/>
        <v>241671.54616519177</v>
      </c>
      <c r="R716">
        <f t="shared" si="1001"/>
        <v>-17508174.425275605</v>
      </c>
      <c r="S716">
        <f t="shared" si="1002"/>
        <v>-175.08174425275604</v>
      </c>
      <c r="T716">
        <f t="shared" si="1003"/>
        <v>-0.17508174425275605</v>
      </c>
    </row>
    <row r="717" spans="1:20" x14ac:dyDescent="0.25">
      <c r="A717" s="5">
        <v>43876</v>
      </c>
      <c r="B717">
        <v>1.21</v>
      </c>
      <c r="C717">
        <v>1.2305999999999999</v>
      </c>
      <c r="D717">
        <v>1.0927</v>
      </c>
      <c r="E717">
        <v>1.1093999999999999</v>
      </c>
      <c r="F717">
        <v>589976.81999999995</v>
      </c>
      <c r="G717">
        <v>0</v>
      </c>
      <c r="L717" t="s">
        <v>7</v>
      </c>
      <c r="M717" t="s">
        <v>7</v>
      </c>
      <c r="N717" t="s">
        <v>8</v>
      </c>
      <c r="P717">
        <f t="shared" si="999"/>
        <v>-0.75779550398839812</v>
      </c>
      <c r="Q717">
        <f t="shared" si="1000"/>
        <v>-447081.7816533724</v>
      </c>
      <c r="R717">
        <f t="shared" si="1001"/>
        <v>-17749845.971440796</v>
      </c>
      <c r="S717">
        <f t="shared" si="1002"/>
        <v>-177.49845971440797</v>
      </c>
      <c r="T717">
        <f t="shared" si="1003"/>
        <v>-0.17749845971440797</v>
      </c>
    </row>
    <row r="718" spans="1:20" x14ac:dyDescent="0.25">
      <c r="A718" s="5">
        <v>43875</v>
      </c>
      <c r="B718">
        <v>1.1611</v>
      </c>
      <c r="C718">
        <v>1.2350000000000001</v>
      </c>
      <c r="D718">
        <v>1.1488</v>
      </c>
      <c r="E718">
        <v>1.2082999999999999</v>
      </c>
      <c r="F718">
        <v>603386.9</v>
      </c>
      <c r="G718">
        <v>0</v>
      </c>
      <c r="L718" t="s">
        <v>7</v>
      </c>
      <c r="M718" t="s">
        <v>7</v>
      </c>
      <c r="N718" t="s">
        <v>8</v>
      </c>
      <c r="P718">
        <f t="shared" si="999"/>
        <v>0.38051044083526331</v>
      </c>
      <c r="Q718">
        <f t="shared" si="1000"/>
        <v>229595.01531322295</v>
      </c>
      <c r="R718">
        <f t="shared" si="1001"/>
        <v>-17302764.189787425</v>
      </c>
      <c r="S718">
        <f t="shared" si="1002"/>
        <v>-173.02764189787425</v>
      </c>
      <c r="T718">
        <f t="shared" si="1003"/>
        <v>-0.17302764189787426</v>
      </c>
    </row>
    <row r="719" spans="1:20" x14ac:dyDescent="0.25">
      <c r="A719" s="5">
        <v>43874</v>
      </c>
      <c r="B719">
        <v>1.2186999999999999</v>
      </c>
      <c r="C719">
        <v>1.2512000000000001</v>
      </c>
      <c r="D719">
        <v>1.1558999999999999</v>
      </c>
      <c r="E719">
        <v>1.1615</v>
      </c>
      <c r="F719">
        <v>797424.51</v>
      </c>
      <c r="G719">
        <v>0</v>
      </c>
      <c r="L719" t="s">
        <v>7</v>
      </c>
      <c r="M719" t="s">
        <v>7</v>
      </c>
      <c r="N719" t="s">
        <v>8</v>
      </c>
      <c r="P719">
        <f t="shared" si="999"/>
        <v>-0.88247639034627412</v>
      </c>
      <c r="Q719">
        <f t="shared" si="1000"/>
        <v>-703708.30315844633</v>
      </c>
      <c r="R719">
        <f t="shared" si="1001"/>
        <v>-17532359.205100648</v>
      </c>
      <c r="S719">
        <f t="shared" si="1002"/>
        <v>-175.32359205100647</v>
      </c>
      <c r="T719">
        <f t="shared" si="1003"/>
        <v>-0.17532359205100648</v>
      </c>
    </row>
    <row r="720" spans="1:20" x14ac:dyDescent="0.25">
      <c r="A720" s="5">
        <v>43873</v>
      </c>
      <c r="B720">
        <v>1.1745000000000001</v>
      </c>
      <c r="C720">
        <v>1.2889999999999999</v>
      </c>
      <c r="D720">
        <v>1.1516999999999999</v>
      </c>
      <c r="E720">
        <v>1.2185999999999999</v>
      </c>
      <c r="F720">
        <v>1670070.65</v>
      </c>
      <c r="G720">
        <v>0</v>
      </c>
      <c r="L720" t="s">
        <v>8</v>
      </c>
      <c r="M720" t="s">
        <v>7</v>
      </c>
      <c r="N720" t="s">
        <v>8</v>
      </c>
      <c r="P720">
        <f t="shared" si="999"/>
        <v>-2.5491624180626796E-2</v>
      </c>
      <c r="Q720">
        <f t="shared" si="1000"/>
        <v>-42572.813364895104</v>
      </c>
      <c r="R720">
        <f t="shared" si="1001"/>
        <v>-16828650.901942201</v>
      </c>
      <c r="S720">
        <f t="shared" si="1002"/>
        <v>-168.286509019422</v>
      </c>
      <c r="T720">
        <f t="shared" si="1003"/>
        <v>-0.16828650901942199</v>
      </c>
    </row>
    <row r="721" spans="1:20" x14ac:dyDescent="0.25">
      <c r="A721" s="5">
        <v>43872</v>
      </c>
      <c r="B721">
        <v>1.1585000000000001</v>
      </c>
      <c r="C721">
        <v>1.181</v>
      </c>
      <c r="D721">
        <v>1.139</v>
      </c>
      <c r="E721">
        <v>1.1745000000000001</v>
      </c>
      <c r="F721">
        <v>644475.93999999994</v>
      </c>
      <c r="G721">
        <v>0</v>
      </c>
      <c r="L721" t="s">
        <v>7</v>
      </c>
      <c r="M721" t="s">
        <v>7</v>
      </c>
      <c r="N721" t="s">
        <v>8</v>
      </c>
      <c r="P721">
        <f t="shared" si="999"/>
        <v>0.69047619047619313</v>
      </c>
      <c r="Q721">
        <f t="shared" si="1000"/>
        <v>444995.29190476355</v>
      </c>
      <c r="R721">
        <f t="shared" si="1001"/>
        <v>-16786078.088577304</v>
      </c>
      <c r="S721">
        <f t="shared" si="1002"/>
        <v>-167.86078088577304</v>
      </c>
      <c r="T721">
        <f t="shared" si="1003"/>
        <v>-0.16786078088577303</v>
      </c>
    </row>
    <row r="722" spans="1:20" x14ac:dyDescent="0.25">
      <c r="A722" s="5">
        <v>43871</v>
      </c>
      <c r="B722">
        <v>1.1918</v>
      </c>
      <c r="C722">
        <v>1.1991000000000001</v>
      </c>
      <c r="D722">
        <v>1.1400999999999999</v>
      </c>
      <c r="E722">
        <v>1.159</v>
      </c>
      <c r="F722">
        <v>523396.54</v>
      </c>
      <c r="G722">
        <v>0</v>
      </c>
      <c r="L722" t="s">
        <v>7</v>
      </c>
      <c r="M722" t="s">
        <v>7</v>
      </c>
      <c r="N722" t="s">
        <v>8</v>
      </c>
      <c r="P722">
        <f t="shared" si="999"/>
        <v>-0.35932203389830214</v>
      </c>
      <c r="Q722">
        <f t="shared" si="1000"/>
        <v>-188067.90928813405</v>
      </c>
      <c r="R722">
        <f t="shared" si="1001"/>
        <v>-17231073.380482066</v>
      </c>
      <c r="S722">
        <f t="shared" si="1002"/>
        <v>-172.31073380482067</v>
      </c>
      <c r="T722">
        <f t="shared" si="1003"/>
        <v>-0.17231073380482068</v>
      </c>
    </row>
    <row r="723" spans="1:20" x14ac:dyDescent="0.25">
      <c r="A723" s="5">
        <v>43870</v>
      </c>
      <c r="B723">
        <v>1.1519999999999999</v>
      </c>
      <c r="C723">
        <v>1.222</v>
      </c>
      <c r="D723">
        <v>1.1516999999999999</v>
      </c>
      <c r="E723">
        <v>1.1898</v>
      </c>
      <c r="F723">
        <v>534442.86</v>
      </c>
      <c r="G723">
        <v>0</v>
      </c>
      <c r="L723" t="s">
        <v>8</v>
      </c>
      <c r="M723" t="s">
        <v>7</v>
      </c>
      <c r="N723" t="s">
        <v>8</v>
      </c>
      <c r="P723">
        <f t="shared" si="999"/>
        <v>8.3926031294452544E-2</v>
      </c>
      <c r="Q723">
        <f t="shared" si="1000"/>
        <v>44853.668193456717</v>
      </c>
      <c r="R723">
        <f t="shared" si="1001"/>
        <v>-17043005.471193932</v>
      </c>
      <c r="S723">
        <f t="shared" si="1002"/>
        <v>-170.43005471193931</v>
      </c>
      <c r="T723">
        <f t="shared" si="1003"/>
        <v>-0.17043005471193931</v>
      </c>
    </row>
    <row r="724" spans="1:20" x14ac:dyDescent="0.25">
      <c r="A724" s="5">
        <v>43869</v>
      </c>
      <c r="B724">
        <v>1.2370000000000001</v>
      </c>
      <c r="C724">
        <v>1.2397</v>
      </c>
      <c r="D724">
        <v>1.1271</v>
      </c>
      <c r="E724">
        <v>1.1519999999999999</v>
      </c>
      <c r="F724">
        <v>1032963.91</v>
      </c>
      <c r="G724">
        <v>0</v>
      </c>
      <c r="L724" t="s">
        <v>7</v>
      </c>
      <c r="M724" t="s">
        <v>7</v>
      </c>
      <c r="N724" t="s">
        <v>8</v>
      </c>
      <c r="P724">
        <f t="shared" si="999"/>
        <v>-0.55772646536412229</v>
      </c>
      <c r="Q724">
        <f t="shared" si="1000"/>
        <v>-576111.31037300336</v>
      </c>
      <c r="R724">
        <f t="shared" si="1001"/>
        <v>-17087859.139387388</v>
      </c>
      <c r="S724">
        <f t="shared" si="1002"/>
        <v>-170.87859139387388</v>
      </c>
      <c r="T724">
        <f t="shared" si="1003"/>
        <v>-0.17087859139387387</v>
      </c>
    </row>
    <row r="725" spans="1:20" x14ac:dyDescent="0.25">
      <c r="A725" s="5">
        <v>43868</v>
      </c>
      <c r="B725">
        <v>1.2869999999999999</v>
      </c>
      <c r="C725">
        <v>1.3599000000000001</v>
      </c>
      <c r="D725">
        <v>1.2323999999999999</v>
      </c>
      <c r="E725">
        <v>1.2370000000000001</v>
      </c>
      <c r="F725">
        <v>506754.83</v>
      </c>
      <c r="G725">
        <v>0</v>
      </c>
      <c r="L725" t="s">
        <v>7</v>
      </c>
      <c r="M725" t="s">
        <v>8</v>
      </c>
      <c r="N725" t="s">
        <v>8</v>
      </c>
      <c r="P725">
        <f t="shared" si="999"/>
        <v>-0.92784313725489953</v>
      </c>
      <c r="Q725">
        <f t="shared" si="1000"/>
        <v>-470188.99128627329</v>
      </c>
      <c r="R725">
        <f t="shared" si="1001"/>
        <v>-16511747.829014383</v>
      </c>
      <c r="S725">
        <f t="shared" si="1002"/>
        <v>-165.11747829014382</v>
      </c>
      <c r="T725">
        <f t="shared" si="1003"/>
        <v>-0.16511747829014381</v>
      </c>
    </row>
    <row r="726" spans="1:20" x14ac:dyDescent="0.25">
      <c r="A726" s="5">
        <v>43867</v>
      </c>
      <c r="B726">
        <v>1.2003999999999999</v>
      </c>
      <c r="C726">
        <v>1.4</v>
      </c>
      <c r="D726">
        <v>1.2</v>
      </c>
      <c r="E726">
        <v>1.2869999999999999</v>
      </c>
      <c r="F726">
        <v>983879.44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-0.13000000000000014</v>
      </c>
      <c r="Q726">
        <f t="shared" si="1000"/>
        <v>-127904.32720000013</v>
      </c>
      <c r="R726">
        <f t="shared" si="1001"/>
        <v>-16041558.837728109</v>
      </c>
      <c r="S726">
        <f t="shared" si="1002"/>
        <v>-160.4155883772811</v>
      </c>
      <c r="T726">
        <f t="shared" si="1003"/>
        <v>-0.16041558837728109</v>
      </c>
    </row>
    <row r="727" spans="1:20" x14ac:dyDescent="0.25">
      <c r="A727" s="5">
        <v>43866</v>
      </c>
      <c r="B727">
        <v>1.1501999999999999</v>
      </c>
      <c r="C727">
        <v>1.2729999999999999</v>
      </c>
      <c r="D727">
        <v>1.0851999999999999</v>
      </c>
      <c r="E727">
        <v>1.2001999999999999</v>
      </c>
      <c r="F727">
        <v>2134950.06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0.22470713525026637</v>
      </c>
      <c r="Q727">
        <f t="shared" si="1000"/>
        <v>479738.51188498433</v>
      </c>
      <c r="R727">
        <f t="shared" si="1001"/>
        <v>-15913654.51052811</v>
      </c>
      <c r="S727">
        <f t="shared" si="1002"/>
        <v>-159.1365451052811</v>
      </c>
      <c r="T727">
        <f t="shared" si="1003"/>
        <v>-0.15913654510528111</v>
      </c>
    </row>
    <row r="728" spans="1:20" x14ac:dyDescent="0.25">
      <c r="A728" s="5">
        <v>43865</v>
      </c>
      <c r="B728">
        <v>1.0551999999999999</v>
      </c>
      <c r="C728">
        <v>1.21</v>
      </c>
      <c r="D728">
        <v>1.0442</v>
      </c>
      <c r="E728">
        <v>1.1501999999999999</v>
      </c>
      <c r="F728">
        <v>2338230.92</v>
      </c>
      <c r="G728">
        <v>0</v>
      </c>
      <c r="L728" t="s">
        <v>8</v>
      </c>
      <c r="M728" t="s">
        <v>8</v>
      </c>
      <c r="N728" t="s">
        <v>8</v>
      </c>
      <c r="P728">
        <f t="shared" si="999"/>
        <v>0.27864897466827387</v>
      </c>
      <c r="Q728">
        <f t="shared" si="1000"/>
        <v>651545.64839565475</v>
      </c>
      <c r="R728">
        <f t="shared" si="1001"/>
        <v>-16393393.022413094</v>
      </c>
      <c r="S728">
        <f t="shared" si="1002"/>
        <v>-163.93393022413093</v>
      </c>
      <c r="T728">
        <f t="shared" si="1003"/>
        <v>-0.16393393022413094</v>
      </c>
    </row>
    <row r="729" spans="1:20" x14ac:dyDescent="0.25">
      <c r="A729" s="5">
        <v>43864</v>
      </c>
      <c r="B729">
        <v>1.0494000000000001</v>
      </c>
      <c r="C729">
        <v>1.0654999999999999</v>
      </c>
      <c r="D729">
        <v>1.0399</v>
      </c>
      <c r="E729">
        <v>1.0552999999999999</v>
      </c>
      <c r="F729">
        <v>565482.76</v>
      </c>
      <c r="G729">
        <v>0</v>
      </c>
      <c r="L729" t="s">
        <v>7</v>
      </c>
      <c r="M729" t="s">
        <v>7</v>
      </c>
      <c r="N729" t="s">
        <v>8</v>
      </c>
      <c r="P729">
        <f t="shared" si="999"/>
        <v>0.2031249999999962</v>
      </c>
      <c r="Q729">
        <f t="shared" si="1000"/>
        <v>114863.68562499784</v>
      </c>
      <c r="R729">
        <f t="shared" si="1001"/>
        <v>-17044938.670808747</v>
      </c>
      <c r="S729">
        <f t="shared" si="1002"/>
        <v>-170.44938670808747</v>
      </c>
      <c r="T729">
        <f t="shared" si="1003"/>
        <v>-0.17044938670808749</v>
      </c>
    </row>
    <row r="730" spans="1:20" x14ac:dyDescent="0.25">
      <c r="A730" s="5">
        <v>43863</v>
      </c>
      <c r="B730">
        <v>1.0565</v>
      </c>
      <c r="C730">
        <v>1.0637000000000001</v>
      </c>
      <c r="D730">
        <v>1.0373000000000001</v>
      </c>
      <c r="E730">
        <v>1.0506</v>
      </c>
      <c r="F730">
        <v>425035.28</v>
      </c>
      <c r="G730">
        <v>0</v>
      </c>
      <c r="L730" t="s">
        <v>7</v>
      </c>
      <c r="M730" t="s">
        <v>7</v>
      </c>
      <c r="N730" t="s">
        <v>8</v>
      </c>
      <c r="P730">
        <f t="shared" si="999"/>
        <v>7.5757575757483368E-3</v>
      </c>
      <c r="Q730">
        <f t="shared" si="1000"/>
        <v>3219.9642424203157</v>
      </c>
      <c r="R730">
        <f t="shared" si="1001"/>
        <v>-17159802.356433745</v>
      </c>
      <c r="S730">
        <f t="shared" si="1002"/>
        <v>-171.59802356433747</v>
      </c>
      <c r="T730">
        <f t="shared" si="1003"/>
        <v>-0.17159802356433745</v>
      </c>
    </row>
    <row r="731" spans="1:20" x14ac:dyDescent="0.25">
      <c r="A731" s="5">
        <v>43862</v>
      </c>
      <c r="B731">
        <v>1.0564</v>
      </c>
      <c r="C731">
        <v>1.08</v>
      </c>
      <c r="D731">
        <v>1.0515000000000001</v>
      </c>
      <c r="E731">
        <v>1.0563</v>
      </c>
      <c r="F731">
        <v>452931.33</v>
      </c>
      <c r="G731">
        <v>0</v>
      </c>
      <c r="L731" t="s">
        <v>8</v>
      </c>
      <c r="M731" t="s">
        <v>7</v>
      </c>
      <c r="N731" t="s">
        <v>8</v>
      </c>
      <c r="P731">
        <f t="shared" si="999"/>
        <v>-0.66315789473684772</v>
      </c>
      <c r="Q731">
        <f t="shared" si="1000"/>
        <v>-300364.98726316047</v>
      </c>
      <c r="R731">
        <f t="shared" si="1001"/>
        <v>-17163022.320676167</v>
      </c>
      <c r="S731">
        <f t="shared" si="1002"/>
        <v>-171.63022320676166</v>
      </c>
      <c r="T731">
        <f t="shared" si="1003"/>
        <v>-0.17163022320676166</v>
      </c>
    </row>
    <row r="732" spans="1:20" x14ac:dyDescent="0.25">
      <c r="A732" s="5">
        <v>43861</v>
      </c>
      <c r="B732">
        <v>1.0461</v>
      </c>
      <c r="C732">
        <v>1.115</v>
      </c>
      <c r="D732">
        <v>1.0425</v>
      </c>
      <c r="E732">
        <v>1.0565</v>
      </c>
      <c r="F732">
        <v>1324576.01</v>
      </c>
      <c r="G732">
        <v>0</v>
      </c>
      <c r="L732" t="s">
        <v>8</v>
      </c>
      <c r="M732" t="s">
        <v>7</v>
      </c>
      <c r="N732" t="s">
        <v>8</v>
      </c>
      <c r="P732">
        <f t="shared" si="999"/>
        <v>-0.61379310344827553</v>
      </c>
      <c r="Q732">
        <f t="shared" si="1000"/>
        <v>-813015.61993103405</v>
      </c>
      <c r="R732">
        <f t="shared" si="1001"/>
        <v>-16862657.333413005</v>
      </c>
      <c r="S732">
        <f t="shared" si="1002"/>
        <v>-168.62657333413006</v>
      </c>
      <c r="T732">
        <f t="shared" si="1003"/>
        <v>-0.16862657333413006</v>
      </c>
    </row>
    <row r="733" spans="1:20" x14ac:dyDescent="0.25">
      <c r="A733" s="5">
        <v>43860</v>
      </c>
      <c r="B733">
        <v>1.0386</v>
      </c>
      <c r="C733">
        <v>1.0714999999999999</v>
      </c>
      <c r="D733">
        <v>1.0385</v>
      </c>
      <c r="E733">
        <v>1.0479000000000001</v>
      </c>
      <c r="F733">
        <v>379866.96</v>
      </c>
      <c r="G733">
        <v>0</v>
      </c>
      <c r="L733" t="s">
        <v>7</v>
      </c>
      <c r="M733" t="s">
        <v>7</v>
      </c>
      <c r="N733" t="s">
        <v>8</v>
      </c>
      <c r="P733">
        <f t="shared" si="999"/>
        <v>-0.43030303030302436</v>
      </c>
      <c r="Q733">
        <f t="shared" si="1000"/>
        <v>-163457.90399999774</v>
      </c>
      <c r="R733">
        <f t="shared" si="1001"/>
        <v>-16049641.71348197</v>
      </c>
      <c r="S733">
        <f t="shared" si="1002"/>
        <v>-160.49641713481969</v>
      </c>
      <c r="T733">
        <f t="shared" si="1003"/>
        <v>-0.16049641713481969</v>
      </c>
    </row>
    <row r="734" spans="1:20" x14ac:dyDescent="0.25">
      <c r="A734" s="5">
        <v>43859</v>
      </c>
      <c r="B734">
        <v>1.0671999999999999</v>
      </c>
      <c r="C734">
        <v>1.0721000000000001</v>
      </c>
      <c r="D734">
        <v>1.0381</v>
      </c>
      <c r="E734">
        <v>1.0385</v>
      </c>
      <c r="F734">
        <v>398305.48</v>
      </c>
      <c r="G734">
        <v>0</v>
      </c>
      <c r="L734" t="s">
        <v>7</v>
      </c>
      <c r="M734" t="s">
        <v>7</v>
      </c>
      <c r="N734" t="s">
        <v>8</v>
      </c>
      <c r="P734">
        <f t="shared" si="999"/>
        <v>-0.97647058823529675</v>
      </c>
      <c r="Q734">
        <f t="shared" si="1000"/>
        <v>-388933.58635294222</v>
      </c>
      <c r="R734">
        <f t="shared" si="1001"/>
        <v>-15886183.809481973</v>
      </c>
      <c r="S734">
        <f t="shared" si="1002"/>
        <v>-158.86183809481972</v>
      </c>
      <c r="T734">
        <f t="shared" si="1003"/>
        <v>-0.15886183809481971</v>
      </c>
    </row>
    <row r="735" spans="1:20" x14ac:dyDescent="0.25">
      <c r="A735" s="5">
        <v>43858</v>
      </c>
      <c r="B735">
        <v>1.0981000000000001</v>
      </c>
      <c r="C735">
        <v>1.1055999999999999</v>
      </c>
      <c r="D735">
        <v>1.0546</v>
      </c>
      <c r="E735">
        <v>1.0722</v>
      </c>
      <c r="F735">
        <v>377466.63</v>
      </c>
      <c r="G735">
        <v>0</v>
      </c>
      <c r="L735" t="s">
        <v>7</v>
      </c>
      <c r="M735" t="s">
        <v>7</v>
      </c>
      <c r="N735" t="s">
        <v>8</v>
      </c>
      <c r="P735">
        <f t="shared" si="999"/>
        <v>-0.30980392156862419</v>
      </c>
      <c r="Q735">
        <f t="shared" si="1000"/>
        <v>-116940.64223529289</v>
      </c>
      <c r="R735">
        <f t="shared" si="1001"/>
        <v>-15497250.22312903</v>
      </c>
      <c r="S735">
        <f t="shared" si="1002"/>
        <v>-154.97250223129029</v>
      </c>
      <c r="T735">
        <f t="shared" si="1003"/>
        <v>-0.1549725022312903</v>
      </c>
    </row>
    <row r="736" spans="1:20" x14ac:dyDescent="0.25">
      <c r="A736" s="5">
        <v>43857</v>
      </c>
      <c r="B736">
        <v>1.1080000000000001</v>
      </c>
      <c r="C736">
        <v>1.1182000000000001</v>
      </c>
      <c r="D736">
        <v>1.08</v>
      </c>
      <c r="E736">
        <v>1.0987</v>
      </c>
      <c r="F736">
        <v>292469.71000000002</v>
      </c>
      <c r="G736">
        <v>0</v>
      </c>
      <c r="L736" t="s">
        <v>8</v>
      </c>
      <c r="M736" t="s">
        <v>7</v>
      </c>
      <c r="N736" t="s">
        <v>8</v>
      </c>
      <c r="P736">
        <f t="shared" si="999"/>
        <v>-2.0942408376966849E-2</v>
      </c>
      <c r="Q736">
        <f t="shared" si="1000"/>
        <v>-6125.0201047130658</v>
      </c>
      <c r="R736">
        <f t="shared" si="1001"/>
        <v>-15380309.580893738</v>
      </c>
      <c r="S736">
        <f t="shared" si="1002"/>
        <v>-153.80309580893737</v>
      </c>
      <c r="T736">
        <f t="shared" si="1003"/>
        <v>-0.15380309580893736</v>
      </c>
    </row>
    <row r="737" spans="1:20" x14ac:dyDescent="0.25">
      <c r="A737" s="5">
        <v>43856</v>
      </c>
      <c r="B737">
        <v>1.1184000000000001</v>
      </c>
      <c r="C737">
        <v>1.1299999999999999</v>
      </c>
      <c r="D737">
        <v>1.1000000000000001</v>
      </c>
      <c r="E737">
        <v>1.1045</v>
      </c>
      <c r="F737">
        <v>139683.39000000001</v>
      </c>
      <c r="G737">
        <v>0</v>
      </c>
      <c r="L737" t="s">
        <v>8</v>
      </c>
      <c r="M737" t="s">
        <v>7</v>
      </c>
      <c r="N737" t="s">
        <v>8</v>
      </c>
      <c r="P737">
        <f t="shared" si="999"/>
        <v>-0.70000000000000151</v>
      </c>
      <c r="Q737">
        <f t="shared" si="1000"/>
        <v>-97778.373000000225</v>
      </c>
      <c r="R737">
        <f t="shared" si="1001"/>
        <v>-15374184.560789024</v>
      </c>
      <c r="S737">
        <f t="shared" si="1002"/>
        <v>-153.74184560789024</v>
      </c>
      <c r="T737">
        <f t="shared" si="1003"/>
        <v>-0.15374184560789025</v>
      </c>
    </row>
    <row r="738" spans="1:20" x14ac:dyDescent="0.25">
      <c r="A738" s="5">
        <v>43855</v>
      </c>
      <c r="B738">
        <v>1.0621</v>
      </c>
      <c r="C738">
        <v>1.1298999999999999</v>
      </c>
      <c r="D738">
        <v>1.0558000000000001</v>
      </c>
      <c r="E738">
        <v>1.1184000000000001</v>
      </c>
      <c r="F738">
        <v>359913.61</v>
      </c>
      <c r="G738">
        <v>0</v>
      </c>
      <c r="L738" t="s">
        <v>8</v>
      </c>
      <c r="M738" t="s">
        <v>7</v>
      </c>
      <c r="N738" t="s">
        <v>8</v>
      </c>
      <c r="P738">
        <f t="shared" si="999"/>
        <v>0.68960863697706154</v>
      </c>
      <c r="Q738">
        <f t="shared" si="1000"/>
        <v>248199.53402159369</v>
      </c>
      <c r="R738">
        <f t="shared" si="1001"/>
        <v>-15276406.187789025</v>
      </c>
      <c r="S738">
        <f t="shared" si="1002"/>
        <v>-152.76406187789024</v>
      </c>
      <c r="T738">
        <f t="shared" si="1003"/>
        <v>-0.15276406187789024</v>
      </c>
    </row>
    <row r="739" spans="1:20" x14ac:dyDescent="0.25">
      <c r="A739" s="5">
        <v>43854</v>
      </c>
      <c r="B739">
        <v>1.089</v>
      </c>
      <c r="C739">
        <v>1.0981000000000001</v>
      </c>
      <c r="D739">
        <v>1.0490999999999999</v>
      </c>
      <c r="E739">
        <v>1.0621</v>
      </c>
      <c r="F739">
        <v>148357.04999999999</v>
      </c>
      <c r="G739">
        <v>0</v>
      </c>
      <c r="L739" t="s">
        <v>7</v>
      </c>
      <c r="M739" t="s">
        <v>7</v>
      </c>
      <c r="N739" t="s">
        <v>8</v>
      </c>
      <c r="P739">
        <f t="shared" si="999"/>
        <v>-0.46938775510203751</v>
      </c>
      <c r="Q739">
        <f t="shared" si="1000"/>
        <v>-69636.982653060724</v>
      </c>
      <c r="R739">
        <f t="shared" si="1001"/>
        <v>-15524605.721810618</v>
      </c>
      <c r="S739">
        <f t="shared" si="1002"/>
        <v>-155.24605721810619</v>
      </c>
      <c r="T739">
        <f t="shared" si="1003"/>
        <v>-0.15524605721810619</v>
      </c>
    </row>
    <row r="740" spans="1:20" x14ac:dyDescent="0.25">
      <c r="A740" s="5">
        <v>43853</v>
      </c>
      <c r="B740">
        <v>1.069</v>
      </c>
      <c r="C740">
        <v>1.1299999999999999</v>
      </c>
      <c r="D740">
        <v>1.0544</v>
      </c>
      <c r="E740">
        <v>1.0822000000000001</v>
      </c>
      <c r="F740">
        <v>484210.6</v>
      </c>
      <c r="G740">
        <v>0</v>
      </c>
      <c r="L740" t="s">
        <v>8</v>
      </c>
      <c r="M740" t="s">
        <v>7</v>
      </c>
      <c r="N740" t="s">
        <v>8</v>
      </c>
      <c r="P740">
        <f t="shared" si="999"/>
        <v>-0.26455026455026226</v>
      </c>
      <c r="Q740">
        <f t="shared" si="1000"/>
        <v>-128098.04232804121</v>
      </c>
      <c r="R740">
        <f t="shared" si="1001"/>
        <v>-15454968.739157557</v>
      </c>
      <c r="S740">
        <f t="shared" si="1002"/>
        <v>-154.54968739157559</v>
      </c>
      <c r="T740">
        <f t="shared" si="1003"/>
        <v>-0.1545496873915756</v>
      </c>
    </row>
    <row r="741" spans="1:20" x14ac:dyDescent="0.25">
      <c r="A741" s="5">
        <v>43852</v>
      </c>
      <c r="B741">
        <v>1.0730999999999999</v>
      </c>
      <c r="C741">
        <v>1.0784</v>
      </c>
      <c r="D741">
        <v>1.0481</v>
      </c>
      <c r="E741">
        <v>1.069</v>
      </c>
      <c r="F741">
        <v>126504.09</v>
      </c>
      <c r="G741">
        <v>0</v>
      </c>
      <c r="L741" t="s">
        <v>7</v>
      </c>
      <c r="M741" t="s">
        <v>7</v>
      </c>
      <c r="N741" t="s">
        <v>8</v>
      </c>
      <c r="P741">
        <f t="shared" si="999"/>
        <v>0.37953795379537447</v>
      </c>
      <c r="Q741">
        <f t="shared" si="1000"/>
        <v>48013.103465345892</v>
      </c>
      <c r="R741">
        <f t="shared" si="1001"/>
        <v>-15326870.696829516</v>
      </c>
      <c r="S741">
        <f t="shared" si="1002"/>
        <v>-153.26870696829516</v>
      </c>
      <c r="T741">
        <f t="shared" si="1003"/>
        <v>-0.15326870696829517</v>
      </c>
    </row>
    <row r="742" spans="1:20" x14ac:dyDescent="0.25">
      <c r="A742" s="5">
        <v>43851</v>
      </c>
      <c r="B742">
        <v>1.0613999999999999</v>
      </c>
      <c r="C742">
        <v>1.0860000000000001</v>
      </c>
      <c r="D742">
        <v>1.0305</v>
      </c>
      <c r="E742">
        <v>1.0799000000000001</v>
      </c>
      <c r="F742">
        <v>218182.82</v>
      </c>
      <c r="G742">
        <v>0</v>
      </c>
      <c r="L742" t="s">
        <v>7</v>
      </c>
      <c r="M742" t="s">
        <v>7</v>
      </c>
      <c r="N742" t="s">
        <v>8</v>
      </c>
      <c r="P742">
        <f t="shared" si="999"/>
        <v>0.78018018018018076</v>
      </c>
      <c r="Q742">
        <f t="shared" si="1000"/>
        <v>170221.91181981994</v>
      </c>
      <c r="R742">
        <f t="shared" si="1001"/>
        <v>-15374883.800294863</v>
      </c>
      <c r="S742">
        <f t="shared" si="1002"/>
        <v>-153.74883800294862</v>
      </c>
      <c r="T742">
        <f t="shared" si="1003"/>
        <v>-0.15374883800294861</v>
      </c>
    </row>
    <row r="743" spans="1:20" x14ac:dyDescent="0.25">
      <c r="A743" s="5">
        <v>43850</v>
      </c>
      <c r="B743">
        <v>1.0501</v>
      </c>
      <c r="C743">
        <v>1.07</v>
      </c>
      <c r="D743">
        <v>1.0401</v>
      </c>
      <c r="E743">
        <v>1.0609999999999999</v>
      </c>
      <c r="F743">
        <v>178759.89</v>
      </c>
      <c r="G743">
        <v>0</v>
      </c>
      <c r="L743" t="s">
        <v>7</v>
      </c>
      <c r="M743" t="s">
        <v>7</v>
      </c>
      <c r="N743" t="s">
        <v>8</v>
      </c>
      <c r="P743">
        <f t="shared" si="999"/>
        <v>0.39799331103678209</v>
      </c>
      <c r="Q743">
        <f t="shared" si="1000"/>
        <v>71145.240501670953</v>
      </c>
      <c r="R743">
        <f t="shared" si="1001"/>
        <v>-15545105.712114682</v>
      </c>
      <c r="S743">
        <f t="shared" si="1002"/>
        <v>-155.45105712114682</v>
      </c>
      <c r="T743">
        <f t="shared" si="1003"/>
        <v>-0.15545105712114682</v>
      </c>
    </row>
    <row r="744" spans="1:20" x14ac:dyDescent="0.25">
      <c r="A744" s="5">
        <v>43849</v>
      </c>
      <c r="B744">
        <v>1.0593999999999999</v>
      </c>
      <c r="C744">
        <v>1.0810999999999999</v>
      </c>
      <c r="D744">
        <v>1.03</v>
      </c>
      <c r="E744">
        <v>1.0484</v>
      </c>
      <c r="F744">
        <v>307269.65000000002</v>
      </c>
      <c r="G744">
        <v>0</v>
      </c>
      <c r="L744" t="s">
        <v>7</v>
      </c>
      <c r="M744" t="s">
        <v>7</v>
      </c>
      <c r="N744" t="s">
        <v>8</v>
      </c>
      <c r="P744">
        <f t="shared" si="999"/>
        <v>-0.27984344422700591</v>
      </c>
      <c r="Q744">
        <f t="shared" si="1000"/>
        <v>-85987.397162426627</v>
      </c>
      <c r="R744">
        <f t="shared" si="1001"/>
        <v>-15616250.952616353</v>
      </c>
      <c r="S744">
        <f t="shared" si="1002"/>
        <v>-156.16250952616352</v>
      </c>
      <c r="T744">
        <f t="shared" si="1003"/>
        <v>-0.15616250952616351</v>
      </c>
    </row>
    <row r="745" spans="1:20" x14ac:dyDescent="0.25">
      <c r="A745" s="5">
        <v>43848</v>
      </c>
      <c r="B745">
        <v>1.1112</v>
      </c>
      <c r="C745">
        <v>1.1182000000000001</v>
      </c>
      <c r="D745">
        <v>1.036</v>
      </c>
      <c r="E745">
        <v>1.0531999999999999</v>
      </c>
      <c r="F745">
        <v>321762.73</v>
      </c>
      <c r="G745">
        <v>0</v>
      </c>
      <c r="L745" t="s">
        <v>7</v>
      </c>
      <c r="M745" t="s">
        <v>7</v>
      </c>
      <c r="N745" t="s">
        <v>8</v>
      </c>
      <c r="P745">
        <f t="shared" si="999"/>
        <v>-0.58150851581508833</v>
      </c>
      <c r="Q745">
        <f t="shared" si="1000"/>
        <v>-187107.76756691097</v>
      </c>
      <c r="R745">
        <f t="shared" si="1001"/>
        <v>-15530263.555453926</v>
      </c>
      <c r="S745">
        <f t="shared" si="1002"/>
        <v>-155.30263555453925</v>
      </c>
      <c r="T745">
        <f t="shared" si="1003"/>
        <v>-0.15530263555453924</v>
      </c>
    </row>
    <row r="746" spans="1:20" x14ac:dyDescent="0.25">
      <c r="A746" s="5">
        <v>43847</v>
      </c>
      <c r="B746">
        <v>1.0982000000000001</v>
      </c>
      <c r="C746">
        <v>1.145</v>
      </c>
      <c r="D746">
        <v>1.0951</v>
      </c>
      <c r="E746">
        <v>1.1125</v>
      </c>
      <c r="F746">
        <v>597761.89</v>
      </c>
      <c r="G746">
        <v>0</v>
      </c>
      <c r="L746" t="s">
        <v>8</v>
      </c>
      <c r="M746" t="s">
        <v>7</v>
      </c>
      <c r="N746" t="s">
        <v>8</v>
      </c>
      <c r="P746">
        <f t="shared" si="999"/>
        <v>-0.30260521042083915</v>
      </c>
      <c r="Q746">
        <f t="shared" si="1000"/>
        <v>-180885.86250500852</v>
      </c>
      <c r="R746">
        <f t="shared" si="1001"/>
        <v>-15343155.787887014</v>
      </c>
      <c r="S746">
        <f t="shared" si="1002"/>
        <v>-153.43155787887014</v>
      </c>
      <c r="T746">
        <f t="shared" si="1003"/>
        <v>-0.15343155787887014</v>
      </c>
    </row>
    <row r="747" spans="1:20" x14ac:dyDescent="0.25">
      <c r="A747" s="5">
        <v>43846</v>
      </c>
      <c r="B747">
        <v>1.0229999999999999</v>
      </c>
      <c r="C747">
        <v>1.133</v>
      </c>
      <c r="D747">
        <v>1.0194000000000001</v>
      </c>
      <c r="E747">
        <v>1.0981000000000001</v>
      </c>
      <c r="F747">
        <v>1072129.46</v>
      </c>
      <c r="G747">
        <v>0</v>
      </c>
      <c r="L747" t="s">
        <v>8</v>
      </c>
      <c r="M747" t="s">
        <v>7</v>
      </c>
      <c r="N747" t="s">
        <v>8</v>
      </c>
      <c r="P747">
        <f t="shared" si="999"/>
        <v>0.38556338028169096</v>
      </c>
      <c r="Q747">
        <f t="shared" si="1000"/>
        <v>413373.85869718395</v>
      </c>
      <c r="R747">
        <f t="shared" si="1001"/>
        <v>-15162269.925382005</v>
      </c>
      <c r="S747">
        <f t="shared" si="1002"/>
        <v>-151.62269925382006</v>
      </c>
      <c r="T747">
        <f t="shared" si="1003"/>
        <v>-0.15162269925382005</v>
      </c>
    </row>
    <row r="748" spans="1:20" x14ac:dyDescent="0.25">
      <c r="A748" s="5">
        <v>43845</v>
      </c>
      <c r="B748">
        <v>1.014</v>
      </c>
      <c r="C748">
        <v>1.0589999999999999</v>
      </c>
      <c r="D748">
        <v>1.0085</v>
      </c>
      <c r="E748">
        <v>1.0229999999999999</v>
      </c>
      <c r="F748">
        <v>669511.97</v>
      </c>
      <c r="G748">
        <v>0</v>
      </c>
      <c r="L748" t="s">
        <v>7</v>
      </c>
      <c r="M748" t="s">
        <v>7</v>
      </c>
      <c r="N748" t="s">
        <v>8</v>
      </c>
      <c r="P748">
        <f t="shared" si="999"/>
        <v>-0.42574257425742729</v>
      </c>
      <c r="Q748">
        <f t="shared" si="1000"/>
        <v>-285039.74960396142</v>
      </c>
      <c r="R748">
        <f t="shared" si="1001"/>
        <v>-15575643.784079188</v>
      </c>
      <c r="S748">
        <f t="shared" si="1002"/>
        <v>-155.75643784079188</v>
      </c>
      <c r="T748">
        <f t="shared" si="1003"/>
        <v>-0.15575643784079188</v>
      </c>
    </row>
    <row r="749" spans="1:20" x14ac:dyDescent="0.25">
      <c r="A749" s="5">
        <v>43844</v>
      </c>
      <c r="B749">
        <v>1.0126999999999999</v>
      </c>
      <c r="C749">
        <v>1.04</v>
      </c>
      <c r="D749">
        <v>0.997</v>
      </c>
      <c r="E749">
        <v>1.0137</v>
      </c>
      <c r="F749">
        <v>821468.8</v>
      </c>
      <c r="G749">
        <v>0</v>
      </c>
      <c r="L749" t="s">
        <v>7</v>
      </c>
      <c r="M749" t="s">
        <v>7</v>
      </c>
      <c r="N749" t="s">
        <v>8</v>
      </c>
      <c r="P749">
        <f t="shared" si="999"/>
        <v>-0.22325581395348681</v>
      </c>
      <c r="Q749">
        <f t="shared" si="1000"/>
        <v>-183397.68558139409</v>
      </c>
      <c r="R749">
        <f t="shared" si="1001"/>
        <v>-15290604.034475228</v>
      </c>
      <c r="S749">
        <f t="shared" si="1002"/>
        <v>-152.90604034475228</v>
      </c>
      <c r="T749">
        <f t="shared" si="1003"/>
        <v>-0.15290604034475228</v>
      </c>
    </row>
    <row r="750" spans="1:20" x14ac:dyDescent="0.25">
      <c r="A750" s="5">
        <v>43843</v>
      </c>
      <c r="B750">
        <v>1.0362</v>
      </c>
      <c r="C750">
        <v>1.0369999999999999</v>
      </c>
      <c r="D750">
        <v>0.99470000000000003</v>
      </c>
      <c r="E750">
        <v>1.0133000000000001</v>
      </c>
      <c r="F750">
        <v>427752.7</v>
      </c>
      <c r="G750">
        <v>0</v>
      </c>
      <c r="L750" t="s">
        <v>7</v>
      </c>
      <c r="M750" t="s">
        <v>7</v>
      </c>
      <c r="N750" t="s">
        <v>8</v>
      </c>
      <c r="P750">
        <f t="shared" si="999"/>
        <v>-0.12056737588651972</v>
      </c>
      <c r="Q750">
        <f t="shared" si="1000"/>
        <v>-51573.020567373707</v>
      </c>
      <c r="R750">
        <f t="shared" si="1001"/>
        <v>-15107206.348893834</v>
      </c>
      <c r="S750">
        <f t="shared" si="1002"/>
        <v>-151.07206348893834</v>
      </c>
      <c r="T750">
        <f t="shared" si="1003"/>
        <v>-0.15107206348893834</v>
      </c>
    </row>
    <row r="751" spans="1:20" x14ac:dyDescent="0.25">
      <c r="A751" s="5">
        <v>43842</v>
      </c>
      <c r="B751">
        <v>1.0249999999999999</v>
      </c>
      <c r="C751">
        <v>1.0431999999999999</v>
      </c>
      <c r="D751">
        <v>1.0232000000000001</v>
      </c>
      <c r="E751">
        <v>1.0361</v>
      </c>
      <c r="F751">
        <v>148339.1</v>
      </c>
      <c r="G751">
        <v>0</v>
      </c>
      <c r="L751" t="s">
        <v>7</v>
      </c>
      <c r="M751" t="s">
        <v>7</v>
      </c>
      <c r="N751" t="s">
        <v>8</v>
      </c>
      <c r="P751">
        <f t="shared" si="999"/>
        <v>0.29000000000000431</v>
      </c>
      <c r="Q751">
        <f t="shared" si="1000"/>
        <v>43018.33900000064</v>
      </c>
      <c r="R751">
        <f t="shared" si="1001"/>
        <v>-15055633.32832646</v>
      </c>
      <c r="S751">
        <f t="shared" si="1002"/>
        <v>-150.55633328326459</v>
      </c>
      <c r="T751">
        <f t="shared" si="1003"/>
        <v>-0.15055633328326459</v>
      </c>
    </row>
    <row r="752" spans="1:20" x14ac:dyDescent="0.25">
      <c r="A752" s="5">
        <v>43841</v>
      </c>
      <c r="B752">
        <v>1.0499000000000001</v>
      </c>
      <c r="C752">
        <v>1.0504</v>
      </c>
      <c r="D752">
        <v>1.0226999999999999</v>
      </c>
      <c r="E752">
        <v>1.0249999999999999</v>
      </c>
      <c r="F752">
        <v>426350.21</v>
      </c>
      <c r="G752">
        <v>0</v>
      </c>
      <c r="L752" t="s">
        <v>7</v>
      </c>
      <c r="M752" t="s">
        <v>7</v>
      </c>
      <c r="N752" t="s">
        <v>8</v>
      </c>
      <c r="P752">
        <f t="shared" si="999"/>
        <v>-0.83393501805054415</v>
      </c>
      <c r="Q752">
        <f t="shared" si="1000"/>
        <v>-355548.37007220328</v>
      </c>
      <c r="R752">
        <f t="shared" si="1001"/>
        <v>-15098651.667326462</v>
      </c>
      <c r="S752">
        <f t="shared" si="1002"/>
        <v>-150.98651667326462</v>
      </c>
      <c r="T752">
        <f t="shared" si="1003"/>
        <v>-0.15098651667326463</v>
      </c>
    </row>
    <row r="753" spans="1:20" x14ac:dyDescent="0.25">
      <c r="A753" s="5">
        <v>43840</v>
      </c>
      <c r="B753">
        <v>1.0265</v>
      </c>
      <c r="C753">
        <v>1.05</v>
      </c>
      <c r="D753">
        <v>0.98719999999999997</v>
      </c>
      <c r="E753">
        <v>1.05</v>
      </c>
      <c r="F753">
        <v>457170.58</v>
      </c>
      <c r="G753">
        <v>0</v>
      </c>
      <c r="L753" t="s">
        <v>7</v>
      </c>
      <c r="M753" t="s">
        <v>7</v>
      </c>
      <c r="N753" t="s">
        <v>8</v>
      </c>
      <c r="P753">
        <f t="shared" si="999"/>
        <v>1</v>
      </c>
      <c r="Q753">
        <f t="shared" si="1000"/>
        <v>457170.58</v>
      </c>
      <c r="R753">
        <f t="shared" si="1001"/>
        <v>-14743103.297254259</v>
      </c>
      <c r="S753">
        <f t="shared" si="1002"/>
        <v>-147.4310329725426</v>
      </c>
      <c r="T753">
        <f t="shared" si="1003"/>
        <v>-0.14743103297254259</v>
      </c>
    </row>
    <row r="754" spans="1:20" x14ac:dyDescent="0.25">
      <c r="A754" s="5">
        <v>43839</v>
      </c>
      <c r="B754">
        <v>1.0731999999999999</v>
      </c>
      <c r="C754">
        <v>1.0779000000000001</v>
      </c>
      <c r="D754">
        <v>1.0249999999999999</v>
      </c>
      <c r="E754">
        <v>1.0261</v>
      </c>
      <c r="F754">
        <v>789710.95</v>
      </c>
      <c r="G754">
        <v>0</v>
      </c>
      <c r="L754" t="s">
        <v>7</v>
      </c>
      <c r="M754" t="s">
        <v>7</v>
      </c>
      <c r="N754" t="s">
        <v>8</v>
      </c>
      <c r="P754">
        <f t="shared" si="999"/>
        <v>-0.95841209829867302</v>
      </c>
      <c r="Q754">
        <f t="shared" si="1000"/>
        <v>-756868.52863893844</v>
      </c>
      <c r="R754">
        <f t="shared" si="1001"/>
        <v>-15200273.877254259</v>
      </c>
      <c r="S754">
        <f t="shared" si="1002"/>
        <v>-152.00273877254259</v>
      </c>
      <c r="T754">
        <f t="shared" si="1003"/>
        <v>-0.15200273877254258</v>
      </c>
    </row>
    <row r="755" spans="1:20" x14ac:dyDescent="0.25">
      <c r="A755" s="5">
        <v>43838</v>
      </c>
      <c r="B755">
        <v>1.0951</v>
      </c>
      <c r="C755">
        <v>1.0992</v>
      </c>
      <c r="D755">
        <v>1.0331999999999999</v>
      </c>
      <c r="E755">
        <v>1.07</v>
      </c>
      <c r="F755">
        <v>786480.92</v>
      </c>
      <c r="G755">
        <v>0</v>
      </c>
      <c r="L755" t="s">
        <v>7</v>
      </c>
      <c r="M755" t="s">
        <v>7</v>
      </c>
      <c r="N755" t="s">
        <v>8</v>
      </c>
      <c r="P755">
        <f t="shared" si="999"/>
        <v>0.11515151515151918</v>
      </c>
      <c r="Q755">
        <f t="shared" si="1000"/>
        <v>90564.469575760755</v>
      </c>
      <c r="R755">
        <f t="shared" si="1001"/>
        <v>-14443405.34861532</v>
      </c>
      <c r="S755">
        <f t="shared" si="1002"/>
        <v>-144.4340534861532</v>
      </c>
      <c r="T755">
        <f t="shared" si="1003"/>
        <v>-0.14443405348615321</v>
      </c>
    </row>
    <row r="756" spans="1:20" x14ac:dyDescent="0.25">
      <c r="A756" s="5">
        <v>43837</v>
      </c>
      <c r="B756">
        <v>1.0562</v>
      </c>
      <c r="C756">
        <v>1.1496999999999999</v>
      </c>
      <c r="D756">
        <v>1.0468</v>
      </c>
      <c r="E756">
        <v>1.0881000000000001</v>
      </c>
      <c r="F756">
        <v>1532631.16</v>
      </c>
      <c r="G756">
        <v>0</v>
      </c>
      <c r="L756" t="s">
        <v>8</v>
      </c>
      <c r="M756" t="s">
        <v>7</v>
      </c>
      <c r="N756" t="s">
        <v>8</v>
      </c>
      <c r="P756">
        <f t="shared" si="999"/>
        <v>-0.19727891156462357</v>
      </c>
      <c r="Q756">
        <f t="shared" si="1000"/>
        <v>-302355.80707482644</v>
      </c>
      <c r="R756">
        <f t="shared" si="1001"/>
        <v>-14533969.818191081</v>
      </c>
      <c r="S756">
        <f t="shared" si="1002"/>
        <v>-145.33969818191082</v>
      </c>
      <c r="T756">
        <f t="shared" si="1003"/>
        <v>-0.14533969818191081</v>
      </c>
    </row>
    <row r="757" spans="1:20" x14ac:dyDescent="0.25">
      <c r="A757" s="5">
        <v>43836</v>
      </c>
      <c r="B757">
        <v>1.0309999999999999</v>
      </c>
      <c r="C757">
        <v>1.0578000000000001</v>
      </c>
      <c r="D757">
        <v>1.0229999999999999</v>
      </c>
      <c r="E757">
        <v>1.0528999999999999</v>
      </c>
      <c r="F757">
        <v>832457.68</v>
      </c>
      <c r="G757">
        <v>0</v>
      </c>
      <c r="L757" t="s">
        <v>8</v>
      </c>
      <c r="M757" t="s">
        <v>7</v>
      </c>
      <c r="N757" t="s">
        <v>8</v>
      </c>
      <c r="P757">
        <f t="shared" si="999"/>
        <v>0.71839080459769522</v>
      </c>
      <c r="Q757">
        <f t="shared" si="1000"/>
        <v>598029.94252873072</v>
      </c>
      <c r="R757">
        <f t="shared" si="1001"/>
        <v>-14231614.011116255</v>
      </c>
      <c r="S757">
        <f t="shared" si="1002"/>
        <v>-142.31614011116255</v>
      </c>
      <c r="T757">
        <f t="shared" si="1003"/>
        <v>-0.14231614011116256</v>
      </c>
    </row>
    <row r="758" spans="1:20" x14ac:dyDescent="0.25">
      <c r="A758" s="5">
        <v>43835</v>
      </c>
      <c r="B758">
        <v>1.0401</v>
      </c>
      <c r="C758">
        <v>1.0649999999999999</v>
      </c>
      <c r="D758">
        <v>1.0234000000000001</v>
      </c>
      <c r="E758">
        <v>1.0309999999999999</v>
      </c>
      <c r="F758">
        <v>497836.73</v>
      </c>
      <c r="G758">
        <v>0</v>
      </c>
      <c r="L758" t="s">
        <v>8</v>
      </c>
      <c r="M758" t="s">
        <v>7</v>
      </c>
      <c r="N758" t="s">
        <v>8</v>
      </c>
      <c r="P758">
        <f t="shared" si="999"/>
        <v>-0.63461538461539158</v>
      </c>
      <c r="Q758">
        <f t="shared" si="1000"/>
        <v>-315934.84788461885</v>
      </c>
      <c r="R758">
        <f t="shared" si="1001"/>
        <v>-14829643.953644985</v>
      </c>
      <c r="S758">
        <f t="shared" si="1002"/>
        <v>-148.29643953644987</v>
      </c>
      <c r="T758">
        <f t="shared" si="1003"/>
        <v>-0.14829643953644986</v>
      </c>
    </row>
    <row r="759" spans="1:20" x14ac:dyDescent="0.25">
      <c r="A759" s="5">
        <v>43834</v>
      </c>
      <c r="B759">
        <v>1.0241</v>
      </c>
      <c r="C759">
        <v>1.0578000000000001</v>
      </c>
      <c r="D759">
        <v>1.0221</v>
      </c>
      <c r="E759">
        <v>1.0401</v>
      </c>
      <c r="F759">
        <v>637514.28</v>
      </c>
      <c r="G759">
        <v>0</v>
      </c>
      <c r="L759" t="s">
        <v>8</v>
      </c>
      <c r="M759" t="s">
        <v>7</v>
      </c>
      <c r="N759" t="s">
        <v>8</v>
      </c>
      <c r="P759">
        <f t="shared" si="999"/>
        <v>8.4033613445368745E-3</v>
      </c>
      <c r="Q759">
        <f t="shared" si="1000"/>
        <v>5357.2628571422574</v>
      </c>
      <c r="R759">
        <f t="shared" si="1001"/>
        <v>-14513709.105760366</v>
      </c>
      <c r="S759">
        <f t="shared" si="1002"/>
        <v>-145.13709105760367</v>
      </c>
      <c r="T759">
        <f t="shared" si="1003"/>
        <v>-0.14513709105760367</v>
      </c>
    </row>
    <row r="760" spans="1:20" x14ac:dyDescent="0.25">
      <c r="A760" s="5">
        <v>43833</v>
      </c>
      <c r="B760">
        <v>1.0175000000000001</v>
      </c>
      <c r="C760">
        <v>1.099</v>
      </c>
      <c r="D760">
        <v>1.0111000000000001</v>
      </c>
      <c r="E760">
        <v>1.0241</v>
      </c>
      <c r="F760">
        <v>1094809.1299999999</v>
      </c>
      <c r="G760">
        <v>0</v>
      </c>
      <c r="L760" t="s">
        <v>8</v>
      </c>
      <c r="M760" t="s">
        <v>7</v>
      </c>
      <c r="N760" t="s">
        <v>8</v>
      </c>
      <c r="P760">
        <f t="shared" si="999"/>
        <v>-0.70420932878270948</v>
      </c>
      <c r="Q760">
        <f t="shared" si="1000"/>
        <v>-770974.80258248199</v>
      </c>
      <c r="R760">
        <f t="shared" si="1001"/>
        <v>-14519066.368617509</v>
      </c>
      <c r="S760">
        <f t="shared" si="1002"/>
        <v>-145.1906636861751</v>
      </c>
      <c r="T760">
        <f t="shared" si="1003"/>
        <v>-0.14519066368617509</v>
      </c>
    </row>
    <row r="761" spans="1:20" x14ac:dyDescent="0.25">
      <c r="A761" s="5">
        <v>43832</v>
      </c>
      <c r="B761">
        <v>1.1363000000000001</v>
      </c>
      <c r="C761">
        <v>1.1434</v>
      </c>
      <c r="D761">
        <v>1.0127999999999999</v>
      </c>
      <c r="E761">
        <v>1.0172000000000001</v>
      </c>
      <c r="F761">
        <v>648150.64</v>
      </c>
      <c r="G761">
        <v>0</v>
      </c>
      <c r="L761" t="s">
        <v>7</v>
      </c>
      <c r="M761" t="s">
        <v>7</v>
      </c>
      <c r="N761" t="s">
        <v>8</v>
      </c>
      <c r="P761">
        <f t="shared" si="999"/>
        <v>-0.93261868300152861</v>
      </c>
      <c r="Q761">
        <f t="shared" si="1000"/>
        <v>-604477.39626339788</v>
      </c>
      <c r="R761">
        <f t="shared" si="1001"/>
        <v>-13748091.566035027</v>
      </c>
      <c r="S761">
        <f t="shared" si="1002"/>
        <v>-137.48091566035026</v>
      </c>
      <c r="T761">
        <f t="shared" si="1003"/>
        <v>-0.13748091566035026</v>
      </c>
    </row>
    <row r="762" spans="1:20" x14ac:dyDescent="0.25">
      <c r="A762" s="5">
        <v>43831</v>
      </c>
      <c r="B762">
        <v>1.1185</v>
      </c>
      <c r="C762">
        <v>1.1399999999999999</v>
      </c>
      <c r="D762">
        <v>1.0745</v>
      </c>
      <c r="E762">
        <v>1.1364000000000001</v>
      </c>
      <c r="F762">
        <v>453949.55</v>
      </c>
      <c r="G762">
        <v>0</v>
      </c>
      <c r="L762" t="s">
        <v>7</v>
      </c>
      <c r="M762" t="s">
        <v>7</v>
      </c>
      <c r="N762" t="s">
        <v>8</v>
      </c>
      <c r="P762">
        <f t="shared" si="999"/>
        <v>0.89007633587786772</v>
      </c>
      <c r="Q762">
        <f t="shared" si="1000"/>
        <v>404049.7521374069</v>
      </c>
      <c r="R762">
        <f t="shared" si="1001"/>
        <v>-13143614.169771628</v>
      </c>
      <c r="S762">
        <f t="shared" si="1002"/>
        <v>-131.43614169771629</v>
      </c>
      <c r="T762">
        <f t="shared" si="1003"/>
        <v>-0.13143614169771631</v>
      </c>
    </row>
    <row r="763" spans="1:20" x14ac:dyDescent="0.25">
      <c r="A763" s="5">
        <v>43830</v>
      </c>
      <c r="B763">
        <v>1.1367</v>
      </c>
      <c r="C763">
        <v>1.19</v>
      </c>
      <c r="D763">
        <v>1.1163000000000001</v>
      </c>
      <c r="E763">
        <v>1.1185</v>
      </c>
      <c r="F763">
        <v>491908.67</v>
      </c>
      <c r="G763">
        <v>0</v>
      </c>
      <c r="L763" t="s">
        <v>7</v>
      </c>
      <c r="M763" t="s">
        <v>8</v>
      </c>
      <c r="N763" t="s">
        <v>8</v>
      </c>
      <c r="P763">
        <f t="shared" si="999"/>
        <v>-0.94029850746268706</v>
      </c>
      <c r="Q763">
        <f t="shared" si="1000"/>
        <v>-462540.98820895544</v>
      </c>
      <c r="R763">
        <f t="shared" si="1001"/>
        <v>-13547663.921909036</v>
      </c>
      <c r="S763">
        <f t="shared" si="1002"/>
        <v>-135.47663921909037</v>
      </c>
      <c r="T763">
        <f t="shared" si="1003"/>
        <v>-0.13547663921909037</v>
      </c>
    </row>
    <row r="764" spans="1:20" x14ac:dyDescent="0.25">
      <c r="A764" s="5">
        <v>43829</v>
      </c>
      <c r="B764">
        <v>1.1547000000000001</v>
      </c>
      <c r="C764">
        <v>1.204</v>
      </c>
      <c r="D764">
        <v>1.127</v>
      </c>
      <c r="E764">
        <v>1.1367</v>
      </c>
      <c r="F764">
        <v>729643.28</v>
      </c>
      <c r="G764">
        <v>0</v>
      </c>
      <c r="L764" t="s">
        <v>8</v>
      </c>
      <c r="M764" t="s">
        <v>8</v>
      </c>
      <c r="N764" t="s">
        <v>8</v>
      </c>
      <c r="P764">
        <f t="shared" si="999"/>
        <v>-0.74805194805194686</v>
      </c>
      <c r="Q764">
        <f t="shared" si="1000"/>
        <v>-545811.07698701217</v>
      </c>
      <c r="R764">
        <f t="shared" si="1001"/>
        <v>-13085122.933700081</v>
      </c>
      <c r="S764">
        <f t="shared" si="1002"/>
        <v>-130.8512293370008</v>
      </c>
      <c r="T764">
        <f t="shared" si="1003"/>
        <v>-0.1308512293370008</v>
      </c>
    </row>
    <row r="765" spans="1:20" x14ac:dyDescent="0.25">
      <c r="A765" s="5">
        <v>43828</v>
      </c>
      <c r="B765">
        <v>1.1759999999999999</v>
      </c>
      <c r="C765">
        <v>1.2126999999999999</v>
      </c>
      <c r="D765">
        <v>1.1154999999999999</v>
      </c>
      <c r="E765">
        <v>1.1549</v>
      </c>
      <c r="F765">
        <v>871270.05</v>
      </c>
      <c r="G765">
        <v>0</v>
      </c>
      <c r="L765" t="s">
        <v>7</v>
      </c>
      <c r="M765" t="s">
        <v>8</v>
      </c>
      <c r="N765" t="s">
        <v>8</v>
      </c>
      <c r="P765">
        <f t="shared" si="999"/>
        <v>-0.18930041152263127</v>
      </c>
      <c r="Q765">
        <f t="shared" si="1000"/>
        <v>-164931.77901234353</v>
      </c>
      <c r="R765">
        <f t="shared" si="1001"/>
        <v>-12539311.85671307</v>
      </c>
      <c r="S765">
        <f t="shared" si="1002"/>
        <v>-125.3931185671307</v>
      </c>
      <c r="T765">
        <f t="shared" si="1003"/>
        <v>-0.1253931185671307</v>
      </c>
    </row>
    <row r="766" spans="1:20" x14ac:dyDescent="0.25">
      <c r="A766" s="5">
        <v>43827</v>
      </c>
      <c r="B766">
        <v>1.1995</v>
      </c>
      <c r="C766">
        <v>1.3201000000000001</v>
      </c>
      <c r="D766">
        <v>1.171</v>
      </c>
      <c r="E766">
        <v>1.1728000000000001</v>
      </c>
      <c r="F766">
        <v>1455734.65</v>
      </c>
      <c r="G766">
        <v>0</v>
      </c>
      <c r="L766" t="s">
        <v>8</v>
      </c>
      <c r="M766" t="s">
        <v>8</v>
      </c>
      <c r="N766" t="s">
        <v>8</v>
      </c>
      <c r="P766">
        <f t="shared" si="999"/>
        <v>-0.97585513078470798</v>
      </c>
      <c r="Q766">
        <f t="shared" si="1000"/>
        <v>-1420586.1272635809</v>
      </c>
      <c r="R766">
        <f t="shared" si="1001"/>
        <v>-12374380.077700727</v>
      </c>
      <c r="S766">
        <f t="shared" si="1002"/>
        <v>-123.74380077700727</v>
      </c>
      <c r="T766">
        <f t="shared" si="1003"/>
        <v>-0.12374380077700727</v>
      </c>
    </row>
    <row r="767" spans="1:20" x14ac:dyDescent="0.25">
      <c r="A767" s="5">
        <v>43826</v>
      </c>
      <c r="B767">
        <v>1.0835999999999999</v>
      </c>
      <c r="C767">
        <v>1.2074</v>
      </c>
      <c r="D767">
        <v>1.0835999999999999</v>
      </c>
      <c r="E767">
        <v>1.1991000000000001</v>
      </c>
      <c r="F767">
        <v>1023734.5</v>
      </c>
      <c r="G767">
        <v>0</v>
      </c>
      <c r="L767" t="s">
        <v>8</v>
      </c>
      <c r="M767" t="s">
        <v>8</v>
      </c>
      <c r="N767" t="s">
        <v>8</v>
      </c>
      <c r="P767">
        <f t="shared" ref="P767:P830" si="1004">IF(C767=D767,0,((E767-D767)-(C767-E767))/(C767-D767))</f>
        <v>0.86591276252019445</v>
      </c>
      <c r="Q767">
        <f t="shared" ref="Q767:Q830" si="1005">F767*P767</f>
        <v>886464.76898222999</v>
      </c>
      <c r="R767">
        <f t="shared" ref="R767:R830" si="1006">R768+Q767</f>
        <v>-10953793.950437145</v>
      </c>
      <c r="S767">
        <f t="shared" ref="S767:S830" si="1007">R767/100000</f>
        <v>-109.53793950437145</v>
      </c>
      <c r="T767">
        <f t="shared" ref="T767:T830" si="1008">S767/1000</f>
        <v>-0.10953793950437145</v>
      </c>
    </row>
    <row r="768" spans="1:20" x14ac:dyDescent="0.25">
      <c r="A768" s="5">
        <v>43825</v>
      </c>
      <c r="B768">
        <v>1.0621</v>
      </c>
      <c r="C768">
        <v>1.1359999999999999</v>
      </c>
      <c r="D768">
        <v>1.0621</v>
      </c>
      <c r="E768">
        <v>1.0835999999999999</v>
      </c>
      <c r="F768">
        <v>940483.32</v>
      </c>
      <c r="G768">
        <v>0</v>
      </c>
      <c r="L768" t="s">
        <v>8</v>
      </c>
      <c r="M768" t="s">
        <v>7</v>
      </c>
      <c r="N768" t="s">
        <v>8</v>
      </c>
      <c r="P768">
        <f t="shared" si="1004"/>
        <v>-0.4181326116373506</v>
      </c>
      <c r="Q768">
        <f t="shared" si="1005"/>
        <v>-393246.74679296609</v>
      </c>
      <c r="R768">
        <f t="shared" si="1006"/>
        <v>-11840258.719419375</v>
      </c>
      <c r="S768">
        <f t="shared" si="1007"/>
        <v>-118.40258719419376</v>
      </c>
      <c r="T768">
        <f t="shared" si="1008"/>
        <v>-0.11840258719419376</v>
      </c>
    </row>
    <row r="769" spans="1:20" x14ac:dyDescent="0.25">
      <c r="A769" s="5">
        <v>43824</v>
      </c>
      <c r="B769">
        <v>1.0666</v>
      </c>
      <c r="C769">
        <v>1.0871</v>
      </c>
      <c r="D769">
        <v>1.0286999999999999</v>
      </c>
      <c r="E769">
        <v>1.0678000000000001</v>
      </c>
      <c r="F769">
        <v>460903.26</v>
      </c>
      <c r="G769">
        <v>0</v>
      </c>
      <c r="L769" t="s">
        <v>7</v>
      </c>
      <c r="M769" t="s">
        <v>7</v>
      </c>
      <c r="N769" t="s">
        <v>8</v>
      </c>
      <c r="P769">
        <f t="shared" si="1004"/>
        <v>0.33904109589041542</v>
      </c>
      <c r="Q769">
        <f t="shared" si="1005"/>
        <v>156265.14636986508</v>
      </c>
      <c r="R769">
        <f t="shared" si="1006"/>
        <v>-11447011.972626409</v>
      </c>
      <c r="S769">
        <f t="shared" si="1007"/>
        <v>-114.47011972626409</v>
      </c>
      <c r="T769">
        <f t="shared" si="1008"/>
        <v>-0.11447011972626409</v>
      </c>
    </row>
    <row r="770" spans="1:20" x14ac:dyDescent="0.25">
      <c r="A770" s="5">
        <v>43823</v>
      </c>
      <c r="B770">
        <v>1.0009999999999999</v>
      </c>
      <c r="C770">
        <v>1.1120000000000001</v>
      </c>
      <c r="D770">
        <v>0.99009999999999998</v>
      </c>
      <c r="E770">
        <v>1.071</v>
      </c>
      <c r="F770">
        <v>1036282.48</v>
      </c>
      <c r="G770">
        <v>0</v>
      </c>
      <c r="L770" t="s">
        <v>8</v>
      </c>
      <c r="M770" t="s">
        <v>7</v>
      </c>
      <c r="N770" t="s">
        <v>8</v>
      </c>
      <c r="P770">
        <f t="shared" si="1004"/>
        <v>0.32731747333880051</v>
      </c>
      <c r="Q770">
        <f t="shared" si="1005"/>
        <v>339193.36301886605</v>
      </c>
      <c r="R770">
        <f t="shared" si="1006"/>
        <v>-11603277.118996274</v>
      </c>
      <c r="S770">
        <f t="shared" si="1007"/>
        <v>-116.03277118996273</v>
      </c>
      <c r="T770">
        <f t="shared" si="1008"/>
        <v>-0.11603277118996273</v>
      </c>
    </row>
    <row r="771" spans="1:20" x14ac:dyDescent="0.25">
      <c r="A771" s="5">
        <v>43822</v>
      </c>
      <c r="B771">
        <v>1.0720000000000001</v>
      </c>
      <c r="C771">
        <v>1.0847</v>
      </c>
      <c r="D771">
        <v>0.97</v>
      </c>
      <c r="E771">
        <v>1.0005999999999999</v>
      </c>
      <c r="F771">
        <v>733154.36</v>
      </c>
      <c r="G771">
        <v>0</v>
      </c>
      <c r="L771" t="s">
        <v>7</v>
      </c>
      <c r="M771" t="s">
        <v>7</v>
      </c>
      <c r="N771" t="s">
        <v>8</v>
      </c>
      <c r="P771">
        <f t="shared" si="1004"/>
        <v>-0.46643417611159627</v>
      </c>
      <c r="Q771">
        <f t="shared" si="1005"/>
        <v>-341968.24986922462</v>
      </c>
      <c r="R771">
        <f t="shared" si="1006"/>
        <v>-11942470.48201514</v>
      </c>
      <c r="S771">
        <f t="shared" si="1007"/>
        <v>-119.4247048201514</v>
      </c>
      <c r="T771">
        <f t="shared" si="1008"/>
        <v>-0.11942470482015141</v>
      </c>
    </row>
    <row r="772" spans="1:20" x14ac:dyDescent="0.25">
      <c r="A772" s="5">
        <v>43821</v>
      </c>
      <c r="B772">
        <v>1.0589</v>
      </c>
      <c r="C772">
        <v>1.1299999999999999</v>
      </c>
      <c r="D772">
        <v>1.0490999999999999</v>
      </c>
      <c r="E772">
        <v>1.0688</v>
      </c>
      <c r="F772">
        <v>939183.43</v>
      </c>
      <c r="G772">
        <v>0</v>
      </c>
      <c r="L772" t="s">
        <v>7</v>
      </c>
      <c r="M772" t="s">
        <v>8</v>
      </c>
      <c r="N772" t="s">
        <v>8</v>
      </c>
      <c r="P772">
        <f t="shared" si="1004"/>
        <v>-0.51297898640296524</v>
      </c>
      <c r="Q772">
        <f t="shared" si="1005"/>
        <v>-481781.36396786029</v>
      </c>
      <c r="R772">
        <f t="shared" si="1006"/>
        <v>-11600502.232145915</v>
      </c>
      <c r="S772">
        <f t="shared" si="1007"/>
        <v>-116.00502232145915</v>
      </c>
      <c r="T772">
        <f t="shared" si="1008"/>
        <v>-0.11600502232145915</v>
      </c>
    </row>
    <row r="773" spans="1:20" x14ac:dyDescent="0.25">
      <c r="A773" s="5">
        <v>43820</v>
      </c>
      <c r="B773">
        <v>1.0313000000000001</v>
      </c>
      <c r="C773">
        <v>1.1627000000000001</v>
      </c>
      <c r="D773">
        <v>1.0226</v>
      </c>
      <c r="E773">
        <v>1.0589</v>
      </c>
      <c r="F773">
        <v>1696582.87</v>
      </c>
      <c r="G773">
        <v>0</v>
      </c>
      <c r="L773" t="s">
        <v>8</v>
      </c>
      <c r="M773" t="s">
        <v>8</v>
      </c>
      <c r="N773" t="s">
        <v>8</v>
      </c>
      <c r="P773">
        <f t="shared" si="1004"/>
        <v>-0.48179871520342654</v>
      </c>
      <c r="Q773">
        <f t="shared" si="1005"/>
        <v>-817411.44700214209</v>
      </c>
      <c r="R773">
        <f t="shared" si="1006"/>
        <v>-11118720.868178055</v>
      </c>
      <c r="S773">
        <f t="shared" si="1007"/>
        <v>-111.18720868178055</v>
      </c>
      <c r="T773">
        <f t="shared" si="1008"/>
        <v>-0.11118720868178054</v>
      </c>
    </row>
    <row r="774" spans="1:20" x14ac:dyDescent="0.25">
      <c r="A774" s="5">
        <v>43819</v>
      </c>
      <c r="B774">
        <v>0.98129999999999995</v>
      </c>
      <c r="C774">
        <v>1.0459000000000001</v>
      </c>
      <c r="D774">
        <v>0.95309999999999995</v>
      </c>
      <c r="E774">
        <v>1.0348999999999999</v>
      </c>
      <c r="F774">
        <v>736362.73</v>
      </c>
      <c r="G774">
        <v>0</v>
      </c>
      <c r="L774" t="s">
        <v>8</v>
      </c>
      <c r="M774" t="s">
        <v>8</v>
      </c>
      <c r="N774" t="s">
        <v>7</v>
      </c>
      <c r="P774">
        <f t="shared" si="1004"/>
        <v>0.76293103448275623</v>
      </c>
      <c r="Q774">
        <f t="shared" si="1005"/>
        <v>561793.97935344651</v>
      </c>
      <c r="R774">
        <f t="shared" si="1006"/>
        <v>-10301309.421175912</v>
      </c>
      <c r="S774">
        <f t="shared" si="1007"/>
        <v>-103.01309421175912</v>
      </c>
      <c r="T774">
        <f t="shared" si="1008"/>
        <v>-0.10301309421175912</v>
      </c>
    </row>
    <row r="775" spans="1:20" x14ac:dyDescent="0.25">
      <c r="A775" s="5">
        <v>43818</v>
      </c>
      <c r="B775">
        <v>0.99480000000000002</v>
      </c>
      <c r="C775">
        <v>1.0353000000000001</v>
      </c>
      <c r="D775">
        <v>0.96060000000000001</v>
      </c>
      <c r="E775">
        <v>0.97950000000000004</v>
      </c>
      <c r="F775">
        <v>719847.19</v>
      </c>
      <c r="G775">
        <v>0</v>
      </c>
      <c r="L775" t="s">
        <v>8</v>
      </c>
      <c r="M775" t="s">
        <v>8</v>
      </c>
      <c r="N775" t="s">
        <v>7</v>
      </c>
      <c r="P775">
        <f t="shared" si="1004"/>
        <v>-0.49397590361445776</v>
      </c>
      <c r="Q775">
        <f t="shared" si="1005"/>
        <v>-355587.16614457825</v>
      </c>
      <c r="R775">
        <f t="shared" si="1006"/>
        <v>-10863103.400529359</v>
      </c>
      <c r="S775">
        <f t="shared" si="1007"/>
        <v>-108.63103400529359</v>
      </c>
      <c r="T775">
        <f t="shared" si="1008"/>
        <v>-0.10863103400529359</v>
      </c>
    </row>
    <row r="776" spans="1:20" x14ac:dyDescent="0.25">
      <c r="A776" s="5">
        <v>43817</v>
      </c>
      <c r="B776">
        <v>1.0447</v>
      </c>
      <c r="C776">
        <v>1.0751999999999999</v>
      </c>
      <c r="D776">
        <v>0.91300000000000003</v>
      </c>
      <c r="E776">
        <v>0.99480000000000002</v>
      </c>
      <c r="F776">
        <v>1816153.03</v>
      </c>
      <c r="G776">
        <v>0</v>
      </c>
      <c r="L776" t="s">
        <v>7</v>
      </c>
      <c r="M776" t="s">
        <v>8</v>
      </c>
      <c r="N776" t="s">
        <v>7</v>
      </c>
      <c r="P776">
        <f t="shared" si="1004"/>
        <v>8.6313193588167005E-3</v>
      </c>
      <c r="Q776">
        <f t="shared" si="1005"/>
        <v>15675.796806412607</v>
      </c>
      <c r="R776">
        <f t="shared" si="1006"/>
        <v>-10507516.234384781</v>
      </c>
      <c r="S776">
        <f t="shared" si="1007"/>
        <v>-105.07516234384781</v>
      </c>
      <c r="T776">
        <f t="shared" si="1008"/>
        <v>-0.10507516234384781</v>
      </c>
    </row>
    <row r="777" spans="1:20" x14ac:dyDescent="0.25">
      <c r="A777" s="5">
        <v>43816</v>
      </c>
      <c r="B777">
        <v>0.95950000000000002</v>
      </c>
      <c r="C777">
        <v>1.1000000000000001</v>
      </c>
      <c r="D777">
        <v>0.95330000000000004</v>
      </c>
      <c r="E777">
        <v>1.0447</v>
      </c>
      <c r="F777">
        <v>2425968.96</v>
      </c>
      <c r="G777">
        <v>0</v>
      </c>
      <c r="L777" t="s">
        <v>8</v>
      </c>
      <c r="M777" t="s">
        <v>8</v>
      </c>
      <c r="N777" t="s">
        <v>7</v>
      </c>
      <c r="P777">
        <f t="shared" si="1004"/>
        <v>0.24608043626448389</v>
      </c>
      <c r="Q777">
        <f t="shared" si="1005"/>
        <v>596983.50004089624</v>
      </c>
      <c r="R777">
        <f t="shared" si="1006"/>
        <v>-10523192.031191193</v>
      </c>
      <c r="S777">
        <f t="shared" si="1007"/>
        <v>-105.23192031191192</v>
      </c>
      <c r="T777">
        <f t="shared" si="1008"/>
        <v>-0.10523192031191192</v>
      </c>
    </row>
    <row r="778" spans="1:20" x14ac:dyDescent="0.25">
      <c r="A778" s="5">
        <v>43815</v>
      </c>
      <c r="B778">
        <v>1.0489999999999999</v>
      </c>
      <c r="C778">
        <v>1.07</v>
      </c>
      <c r="D778">
        <v>0.95330000000000004</v>
      </c>
      <c r="E778">
        <v>0.95699999999999996</v>
      </c>
      <c r="F778">
        <v>997943.94</v>
      </c>
      <c r="G778">
        <v>0</v>
      </c>
      <c r="L778" t="s">
        <v>7</v>
      </c>
      <c r="M778" t="s">
        <v>8</v>
      </c>
      <c r="N778" t="s">
        <v>7</v>
      </c>
      <c r="P778">
        <f t="shared" si="1004"/>
        <v>-0.93658954584404586</v>
      </c>
      <c r="Q778">
        <f t="shared" si="1005"/>
        <v>-934663.86154241767</v>
      </c>
      <c r="R778">
        <f t="shared" si="1006"/>
        <v>-11120175.531232089</v>
      </c>
      <c r="S778">
        <f t="shared" si="1007"/>
        <v>-111.20175531232088</v>
      </c>
      <c r="T778">
        <f t="shared" si="1008"/>
        <v>-0.11120175531232089</v>
      </c>
    </row>
    <row r="779" spans="1:20" x14ac:dyDescent="0.25">
      <c r="A779" s="5">
        <v>43814</v>
      </c>
      <c r="B779">
        <v>0.94130000000000003</v>
      </c>
      <c r="C779">
        <v>1.0978000000000001</v>
      </c>
      <c r="D779">
        <v>0.89119999999999999</v>
      </c>
      <c r="E779">
        <v>1.0489999999999999</v>
      </c>
      <c r="F779">
        <v>1872819.11</v>
      </c>
      <c r="G779">
        <v>0</v>
      </c>
      <c r="L779" t="s">
        <v>8</v>
      </c>
      <c r="M779" t="s">
        <v>8</v>
      </c>
      <c r="N779" t="s">
        <v>7</v>
      </c>
      <c r="P779">
        <f t="shared" si="1004"/>
        <v>0.52758954501451938</v>
      </c>
      <c r="Q779">
        <f t="shared" si="1005"/>
        <v>988079.78213939723</v>
      </c>
      <c r="R779">
        <f t="shared" si="1006"/>
        <v>-10185511.66968967</v>
      </c>
      <c r="S779">
        <f t="shared" si="1007"/>
        <v>-101.8551166968967</v>
      </c>
      <c r="T779">
        <f t="shared" si="1008"/>
        <v>-0.1018551166968967</v>
      </c>
    </row>
    <row r="780" spans="1:20" x14ac:dyDescent="0.25">
      <c r="A780" s="5">
        <v>43813</v>
      </c>
      <c r="B780">
        <v>0.96299999999999997</v>
      </c>
      <c r="C780">
        <v>1.0490999999999999</v>
      </c>
      <c r="D780">
        <v>0.8921</v>
      </c>
      <c r="E780">
        <v>0.93620000000000003</v>
      </c>
      <c r="F780">
        <v>1317205.42</v>
      </c>
      <c r="G780">
        <v>0</v>
      </c>
      <c r="L780" t="s">
        <v>8</v>
      </c>
      <c r="M780" t="s">
        <v>8</v>
      </c>
      <c r="N780" t="s">
        <v>7</v>
      </c>
      <c r="P780">
        <f t="shared" si="1004"/>
        <v>-0.43821656050955349</v>
      </c>
      <c r="Q780">
        <f t="shared" si="1005"/>
        <v>-577221.22863694176</v>
      </c>
      <c r="R780">
        <f t="shared" si="1006"/>
        <v>-11173591.451829068</v>
      </c>
      <c r="S780">
        <f t="shared" si="1007"/>
        <v>-111.73591451829068</v>
      </c>
      <c r="T780">
        <f t="shared" si="1008"/>
        <v>-0.11173591451829068</v>
      </c>
    </row>
    <row r="781" spans="1:20" x14ac:dyDescent="0.25">
      <c r="A781" s="5">
        <v>43812</v>
      </c>
      <c r="B781">
        <v>0.83609999999999995</v>
      </c>
      <c r="C781">
        <v>0.99</v>
      </c>
      <c r="D781">
        <v>0.81579999999999997</v>
      </c>
      <c r="E781">
        <v>0.9667</v>
      </c>
      <c r="F781">
        <v>1747143.55</v>
      </c>
      <c r="G781">
        <v>0</v>
      </c>
      <c r="L781" t="s">
        <v>8</v>
      </c>
      <c r="M781" t="s">
        <v>8</v>
      </c>
      <c r="N781" t="s">
        <v>7</v>
      </c>
      <c r="P781">
        <f t="shared" si="1004"/>
        <v>0.73249138920780732</v>
      </c>
      <c r="Q781">
        <f t="shared" si="1005"/>
        <v>1279767.6060849603</v>
      </c>
      <c r="R781">
        <f t="shared" si="1006"/>
        <v>-10596370.223192127</v>
      </c>
      <c r="S781">
        <f t="shared" si="1007"/>
        <v>-105.96370223192127</v>
      </c>
      <c r="T781">
        <f t="shared" si="1008"/>
        <v>-0.10596370223192128</v>
      </c>
    </row>
    <row r="782" spans="1:20" x14ac:dyDescent="0.25">
      <c r="A782" s="5">
        <v>43811</v>
      </c>
      <c r="B782">
        <v>0.82220000000000004</v>
      </c>
      <c r="C782">
        <v>0.83640000000000003</v>
      </c>
      <c r="D782">
        <v>0.80100000000000005</v>
      </c>
      <c r="E782">
        <v>0.83609999999999995</v>
      </c>
      <c r="F782">
        <v>322232.25</v>
      </c>
      <c r="G782">
        <v>0</v>
      </c>
      <c r="L782" t="s">
        <v>7</v>
      </c>
      <c r="M782" t="s">
        <v>7</v>
      </c>
      <c r="N782" t="s">
        <v>7</v>
      </c>
      <c r="P782">
        <f t="shared" si="1004"/>
        <v>0.98305084745762272</v>
      </c>
      <c r="Q782">
        <f t="shared" si="1005"/>
        <v>316770.68644067657</v>
      </c>
      <c r="R782">
        <f t="shared" si="1006"/>
        <v>-11876137.829277087</v>
      </c>
      <c r="S782">
        <f t="shared" si="1007"/>
        <v>-118.76137829277087</v>
      </c>
      <c r="T782">
        <f t="shared" si="1008"/>
        <v>-0.11876137829277088</v>
      </c>
    </row>
    <row r="783" spans="1:20" x14ac:dyDescent="0.25">
      <c r="A783" s="5">
        <v>43810</v>
      </c>
      <c r="B783">
        <v>0.80259999999999998</v>
      </c>
      <c r="C783">
        <v>0.83630000000000004</v>
      </c>
      <c r="D783">
        <v>0.79900000000000004</v>
      </c>
      <c r="E783">
        <v>0.82</v>
      </c>
      <c r="F783">
        <v>381526.93</v>
      </c>
      <c r="G783">
        <v>0</v>
      </c>
      <c r="L783" t="s">
        <v>7</v>
      </c>
      <c r="M783" t="s">
        <v>7</v>
      </c>
      <c r="N783" t="s">
        <v>7</v>
      </c>
      <c r="P783">
        <f t="shared" si="1004"/>
        <v>0.12600536193028997</v>
      </c>
      <c r="Q783">
        <f t="shared" si="1005"/>
        <v>48074.438900802401</v>
      </c>
      <c r="R783">
        <f t="shared" si="1006"/>
        <v>-12192908.515717763</v>
      </c>
      <c r="S783">
        <f t="shared" si="1007"/>
        <v>-121.92908515717764</v>
      </c>
      <c r="T783">
        <f t="shared" si="1008"/>
        <v>-0.12192908515717764</v>
      </c>
    </row>
    <row r="784" spans="1:20" x14ac:dyDescent="0.25">
      <c r="A784" s="5">
        <v>43809</v>
      </c>
      <c r="B784">
        <v>0.91610000000000003</v>
      </c>
      <c r="C784">
        <v>0.9173</v>
      </c>
      <c r="D784">
        <v>0.77559999999999996</v>
      </c>
      <c r="E784">
        <v>0.80259999999999998</v>
      </c>
      <c r="F784">
        <v>1059213.68</v>
      </c>
      <c r="G784">
        <v>0</v>
      </c>
      <c r="L784" t="s">
        <v>7</v>
      </c>
      <c r="M784" t="s">
        <v>7</v>
      </c>
      <c r="N784" t="s">
        <v>7</v>
      </c>
      <c r="P784">
        <f t="shared" si="1004"/>
        <v>-0.61891319689484803</v>
      </c>
      <c r="Q784">
        <f t="shared" si="1005"/>
        <v>-655561.32488355646</v>
      </c>
      <c r="R784">
        <f t="shared" si="1006"/>
        <v>-12240982.954618566</v>
      </c>
      <c r="S784">
        <f t="shared" si="1007"/>
        <v>-122.40982954618566</v>
      </c>
      <c r="T784">
        <f t="shared" si="1008"/>
        <v>-0.12240982954618566</v>
      </c>
    </row>
    <row r="785" spans="1:20" x14ac:dyDescent="0.25">
      <c r="A785" s="5">
        <v>43808</v>
      </c>
      <c r="B785">
        <v>0.95860000000000001</v>
      </c>
      <c r="C785">
        <v>0.97250000000000003</v>
      </c>
      <c r="D785">
        <v>0.90700000000000003</v>
      </c>
      <c r="E785">
        <v>0.91610000000000003</v>
      </c>
      <c r="F785">
        <v>360056.08</v>
      </c>
      <c r="G785">
        <v>0</v>
      </c>
      <c r="L785" t="s">
        <v>7</v>
      </c>
      <c r="M785" t="s">
        <v>7</v>
      </c>
      <c r="N785" t="s">
        <v>7</v>
      </c>
      <c r="P785">
        <f t="shared" si="1004"/>
        <v>-0.72213740458015274</v>
      </c>
      <c r="Q785">
        <f t="shared" si="1005"/>
        <v>-260009.96311450386</v>
      </c>
      <c r="R785">
        <f t="shared" si="1006"/>
        <v>-11585421.62973501</v>
      </c>
      <c r="S785">
        <f t="shared" si="1007"/>
        <v>-115.85421629735009</v>
      </c>
      <c r="T785">
        <f t="shared" si="1008"/>
        <v>-0.1158542162973501</v>
      </c>
    </row>
    <row r="786" spans="1:20" x14ac:dyDescent="0.25">
      <c r="A786" s="5">
        <v>43807</v>
      </c>
      <c r="B786">
        <v>0.98109999999999997</v>
      </c>
      <c r="C786">
        <v>0.98560000000000003</v>
      </c>
      <c r="D786">
        <v>0.94769999999999999</v>
      </c>
      <c r="E786">
        <v>0.95840000000000003</v>
      </c>
      <c r="F786">
        <v>477944.03</v>
      </c>
      <c r="G786">
        <v>0</v>
      </c>
      <c r="L786" t="s">
        <v>7</v>
      </c>
      <c r="M786" t="s">
        <v>7</v>
      </c>
      <c r="N786" t="s">
        <v>7</v>
      </c>
      <c r="P786">
        <f t="shared" si="1004"/>
        <v>-0.43535620052770291</v>
      </c>
      <c r="Q786">
        <f t="shared" si="1005"/>
        <v>-208075.89696569846</v>
      </c>
      <c r="R786">
        <f t="shared" si="1006"/>
        <v>-11325411.666620506</v>
      </c>
      <c r="S786">
        <f t="shared" si="1007"/>
        <v>-113.25411666620506</v>
      </c>
      <c r="T786">
        <f t="shared" si="1008"/>
        <v>-0.11325411666620507</v>
      </c>
    </row>
    <row r="787" spans="1:20" x14ac:dyDescent="0.25">
      <c r="A787" s="5">
        <v>43806</v>
      </c>
      <c r="B787">
        <v>0.97230000000000005</v>
      </c>
      <c r="C787">
        <v>1.01</v>
      </c>
      <c r="D787">
        <v>0.9476</v>
      </c>
      <c r="E787">
        <v>0.98170000000000002</v>
      </c>
      <c r="F787">
        <v>527485.1</v>
      </c>
      <c r="G787">
        <v>0</v>
      </c>
      <c r="L787" t="s">
        <v>7</v>
      </c>
      <c r="M787" t="s">
        <v>7</v>
      </c>
      <c r="N787" t="s">
        <v>7</v>
      </c>
      <c r="P787">
        <f t="shared" si="1004"/>
        <v>9.2948717948718368E-2</v>
      </c>
      <c r="Q787">
        <f t="shared" si="1005"/>
        <v>49029.063782051504</v>
      </c>
      <c r="R787">
        <f t="shared" si="1006"/>
        <v>-11117335.769654807</v>
      </c>
      <c r="S787">
        <f t="shared" si="1007"/>
        <v>-111.17335769654807</v>
      </c>
      <c r="T787">
        <f t="shared" si="1008"/>
        <v>-0.11117335769654807</v>
      </c>
    </row>
    <row r="788" spans="1:20" x14ac:dyDescent="0.25">
      <c r="A788" s="5">
        <v>43805</v>
      </c>
      <c r="B788">
        <v>0.92579999999999996</v>
      </c>
      <c r="C788">
        <v>1.0309999999999999</v>
      </c>
      <c r="D788">
        <v>0.90890000000000004</v>
      </c>
      <c r="E788">
        <v>0.97760000000000002</v>
      </c>
      <c r="F788">
        <v>1133416.29</v>
      </c>
      <c r="G788">
        <v>0</v>
      </c>
      <c r="L788" t="s">
        <v>8</v>
      </c>
      <c r="M788" t="s">
        <v>7</v>
      </c>
      <c r="N788" t="s">
        <v>7</v>
      </c>
      <c r="P788">
        <f t="shared" si="1004"/>
        <v>0.12530712530712618</v>
      </c>
      <c r="Q788">
        <f t="shared" si="1005"/>
        <v>142025.13707616806</v>
      </c>
      <c r="R788">
        <f t="shared" si="1006"/>
        <v>-11166364.833436858</v>
      </c>
      <c r="S788">
        <f t="shared" si="1007"/>
        <v>-111.66364833436857</v>
      </c>
      <c r="T788">
        <f t="shared" si="1008"/>
        <v>-0.11166364833436858</v>
      </c>
    </row>
    <row r="789" spans="1:20" x14ac:dyDescent="0.25">
      <c r="A789" s="5">
        <v>43804</v>
      </c>
      <c r="B789">
        <v>0.9425</v>
      </c>
      <c r="C789">
        <v>1.0014000000000001</v>
      </c>
      <c r="D789">
        <v>0.88109999999999999</v>
      </c>
      <c r="E789">
        <v>0.92579999999999996</v>
      </c>
      <c r="F789">
        <v>1103152.98</v>
      </c>
      <c r="G789">
        <v>0</v>
      </c>
      <c r="L789" t="s">
        <v>7</v>
      </c>
      <c r="M789" t="s">
        <v>7</v>
      </c>
      <c r="N789" t="s">
        <v>7</v>
      </c>
      <c r="P789">
        <f t="shared" si="1004"/>
        <v>-0.25685785536159711</v>
      </c>
      <c r="Q789">
        <f t="shared" si="1005"/>
        <v>-283353.50857855484</v>
      </c>
      <c r="R789">
        <f t="shared" si="1006"/>
        <v>-11308389.970513025</v>
      </c>
      <c r="S789">
        <f t="shared" si="1007"/>
        <v>-113.08389970513025</v>
      </c>
      <c r="T789">
        <f t="shared" si="1008"/>
        <v>-0.11308389970513025</v>
      </c>
    </row>
    <row r="790" spans="1:20" x14ac:dyDescent="0.25">
      <c r="A790" s="5">
        <v>43803</v>
      </c>
      <c r="B790">
        <v>1.0447</v>
      </c>
      <c r="C790">
        <v>1.0622</v>
      </c>
      <c r="D790">
        <v>0.92259999999999998</v>
      </c>
      <c r="E790">
        <v>0.94040000000000001</v>
      </c>
      <c r="F790">
        <v>1074715.24</v>
      </c>
      <c r="G790">
        <v>0</v>
      </c>
      <c r="L790" t="s">
        <v>7</v>
      </c>
      <c r="M790" t="s">
        <v>7</v>
      </c>
      <c r="N790" t="s">
        <v>7</v>
      </c>
      <c r="P790">
        <f t="shared" si="1004"/>
        <v>-0.74498567335243504</v>
      </c>
      <c r="Q790">
        <f t="shared" si="1005"/>
        <v>-800647.45673352387</v>
      </c>
      <c r="R790">
        <f t="shared" si="1006"/>
        <v>-11025036.46193447</v>
      </c>
      <c r="S790">
        <f t="shared" si="1007"/>
        <v>-110.25036461934469</v>
      </c>
      <c r="T790">
        <f t="shared" si="1008"/>
        <v>-0.11025036461934469</v>
      </c>
    </row>
    <row r="791" spans="1:20" x14ac:dyDescent="0.25">
      <c r="A791" s="5">
        <v>43802</v>
      </c>
      <c r="B791">
        <v>1.0175000000000001</v>
      </c>
      <c r="C791">
        <v>1.0565</v>
      </c>
      <c r="D791">
        <v>1.01</v>
      </c>
      <c r="E791">
        <v>1.0447</v>
      </c>
      <c r="F791">
        <v>553849.51</v>
      </c>
      <c r="G791">
        <v>0</v>
      </c>
      <c r="L791" t="s">
        <v>7</v>
      </c>
      <c r="M791" t="s">
        <v>7</v>
      </c>
      <c r="N791" t="s">
        <v>7</v>
      </c>
      <c r="P791">
        <f t="shared" si="1004"/>
        <v>0.49247311827956836</v>
      </c>
      <c r="Q791">
        <f t="shared" si="1005"/>
        <v>272755.99524731096</v>
      </c>
      <c r="R791">
        <f t="shared" si="1006"/>
        <v>-10224389.005200945</v>
      </c>
      <c r="S791">
        <f t="shared" si="1007"/>
        <v>-102.24389005200945</v>
      </c>
      <c r="T791">
        <f t="shared" si="1008"/>
        <v>-0.10224389005200944</v>
      </c>
    </row>
    <row r="792" spans="1:20" x14ac:dyDescent="0.25">
      <c r="A792" s="5">
        <v>43801</v>
      </c>
      <c r="B792">
        <v>1.0663</v>
      </c>
      <c r="C792">
        <v>1.0663</v>
      </c>
      <c r="D792">
        <v>1.0095000000000001</v>
      </c>
      <c r="E792">
        <v>1.0218</v>
      </c>
      <c r="F792">
        <v>522904.92</v>
      </c>
      <c r="G792">
        <v>0</v>
      </c>
      <c r="L792" t="s">
        <v>7</v>
      </c>
      <c r="M792" t="s">
        <v>7</v>
      </c>
      <c r="N792" t="s">
        <v>7</v>
      </c>
      <c r="P792">
        <f t="shared" si="1004"/>
        <v>-0.56690140845070469</v>
      </c>
      <c r="Q792">
        <f t="shared" si="1005"/>
        <v>-296435.53563380305</v>
      </c>
      <c r="R792">
        <f t="shared" si="1006"/>
        <v>-10497145.000448255</v>
      </c>
      <c r="S792">
        <f t="shared" si="1007"/>
        <v>-104.97145000448255</v>
      </c>
      <c r="T792">
        <f t="shared" si="1008"/>
        <v>-0.10497145000448255</v>
      </c>
    </row>
    <row r="793" spans="1:20" x14ac:dyDescent="0.25">
      <c r="A793" s="5">
        <v>43800</v>
      </c>
      <c r="B793">
        <v>1.0782</v>
      </c>
      <c r="C793">
        <v>1.0783</v>
      </c>
      <c r="D793">
        <v>1.0073000000000001</v>
      </c>
      <c r="E793">
        <v>1.0630999999999999</v>
      </c>
      <c r="F793">
        <v>703203.13</v>
      </c>
      <c r="G793">
        <v>0</v>
      </c>
      <c r="L793" t="s">
        <v>7</v>
      </c>
      <c r="M793" t="s">
        <v>7</v>
      </c>
      <c r="N793" t="s">
        <v>7</v>
      </c>
      <c r="P793">
        <f t="shared" si="1004"/>
        <v>0.57183098591548975</v>
      </c>
      <c r="Q793">
        <f t="shared" si="1005"/>
        <v>402113.33912675834</v>
      </c>
      <c r="R793">
        <f t="shared" si="1006"/>
        <v>-10200709.464814452</v>
      </c>
      <c r="S793">
        <f t="shared" si="1007"/>
        <v>-102.00709464814453</v>
      </c>
      <c r="T793">
        <f t="shared" si="1008"/>
        <v>-0.10200709464814453</v>
      </c>
    </row>
    <row r="794" spans="1:20" x14ac:dyDescent="0.25">
      <c r="A794" s="5">
        <v>43799</v>
      </c>
      <c r="B794">
        <v>1.0860000000000001</v>
      </c>
      <c r="C794">
        <v>1.0947</v>
      </c>
      <c r="D794">
        <v>1.06</v>
      </c>
      <c r="E794">
        <v>1.0787</v>
      </c>
      <c r="F794">
        <v>669721.65</v>
      </c>
      <c r="G794">
        <v>0</v>
      </c>
      <c r="L794" t="s">
        <v>8</v>
      </c>
      <c r="M794" t="s">
        <v>7</v>
      </c>
      <c r="N794" t="s">
        <v>7</v>
      </c>
      <c r="P794">
        <f t="shared" si="1004"/>
        <v>7.7809798270891309E-2</v>
      </c>
      <c r="Q794">
        <f t="shared" si="1005"/>
        <v>52110.90648414848</v>
      </c>
      <c r="R794">
        <f t="shared" si="1006"/>
        <v>-10602822.803941211</v>
      </c>
      <c r="S794">
        <f t="shared" si="1007"/>
        <v>-106.02822803941211</v>
      </c>
      <c r="T794">
        <f t="shared" si="1008"/>
        <v>-0.10602822803941211</v>
      </c>
    </row>
    <row r="795" spans="1:20" x14ac:dyDescent="0.25">
      <c r="A795" s="5">
        <v>43798</v>
      </c>
      <c r="B795">
        <v>1.0662</v>
      </c>
      <c r="C795">
        <v>1.1255999999999999</v>
      </c>
      <c r="D795">
        <v>1.0601</v>
      </c>
      <c r="E795">
        <v>1.0861000000000001</v>
      </c>
      <c r="F795">
        <v>972690.32</v>
      </c>
      <c r="G795">
        <v>0</v>
      </c>
      <c r="L795" t="s">
        <v>8</v>
      </c>
      <c r="M795" t="s">
        <v>7</v>
      </c>
      <c r="N795" t="s">
        <v>7</v>
      </c>
      <c r="P795">
        <f t="shared" si="1004"/>
        <v>-0.20610687022900562</v>
      </c>
      <c r="Q795">
        <f t="shared" si="1005"/>
        <v>-200478.15755724994</v>
      </c>
      <c r="R795">
        <f t="shared" si="1006"/>
        <v>-10654933.71042536</v>
      </c>
      <c r="S795">
        <f t="shared" si="1007"/>
        <v>-106.5493371042536</v>
      </c>
      <c r="T795">
        <f t="shared" si="1008"/>
        <v>-0.1065493371042536</v>
      </c>
    </row>
    <row r="796" spans="1:20" x14ac:dyDescent="0.25">
      <c r="A796" s="5">
        <v>43797</v>
      </c>
      <c r="B796">
        <v>1.0651999999999999</v>
      </c>
      <c r="C796">
        <v>1.0980000000000001</v>
      </c>
      <c r="D796">
        <v>1.032</v>
      </c>
      <c r="E796">
        <v>1.0610999999999999</v>
      </c>
      <c r="F796">
        <v>630862.49</v>
      </c>
      <c r="G796">
        <v>0</v>
      </c>
      <c r="L796" t="s">
        <v>8</v>
      </c>
      <c r="M796" t="s">
        <v>7</v>
      </c>
      <c r="N796" t="s">
        <v>7</v>
      </c>
      <c r="P796">
        <f t="shared" si="1004"/>
        <v>-0.11818181818182188</v>
      </c>
      <c r="Q796">
        <f t="shared" si="1005"/>
        <v>-74556.476090911427</v>
      </c>
      <c r="R796">
        <f t="shared" si="1006"/>
        <v>-10454455.552868111</v>
      </c>
      <c r="S796">
        <f t="shared" si="1007"/>
        <v>-104.54455552868112</v>
      </c>
      <c r="T796">
        <f t="shared" si="1008"/>
        <v>-0.10454455552868111</v>
      </c>
    </row>
    <row r="797" spans="1:20" x14ac:dyDescent="0.25">
      <c r="A797" s="5">
        <v>43796</v>
      </c>
      <c r="B797">
        <v>1.0918000000000001</v>
      </c>
      <c r="C797">
        <v>1.0983000000000001</v>
      </c>
      <c r="D797">
        <v>1.0165999999999999</v>
      </c>
      <c r="E797">
        <v>1.0651999999999999</v>
      </c>
      <c r="F797">
        <v>1457034.1</v>
      </c>
      <c r="G797">
        <v>0</v>
      </c>
      <c r="L797" t="s">
        <v>7</v>
      </c>
      <c r="M797" t="s">
        <v>7</v>
      </c>
      <c r="N797" t="s">
        <v>7</v>
      </c>
      <c r="P797">
        <f t="shared" si="1004"/>
        <v>0.18971848225213986</v>
      </c>
      <c r="Q797">
        <f t="shared" si="1005"/>
        <v>276426.29804161261</v>
      </c>
      <c r="R797">
        <f t="shared" si="1006"/>
        <v>-10379899.076777199</v>
      </c>
      <c r="S797">
        <f t="shared" si="1007"/>
        <v>-103.798990767772</v>
      </c>
      <c r="T797">
        <f t="shared" si="1008"/>
        <v>-0.10379899076777199</v>
      </c>
    </row>
    <row r="798" spans="1:20" x14ac:dyDescent="0.25">
      <c r="A798" s="5">
        <v>43795</v>
      </c>
      <c r="B798">
        <v>1.089</v>
      </c>
      <c r="C798">
        <v>1.1379999999999999</v>
      </c>
      <c r="D798">
        <v>1.0709</v>
      </c>
      <c r="E798">
        <v>1.0914999999999999</v>
      </c>
      <c r="F798">
        <v>1229805.3400000001</v>
      </c>
      <c r="G798">
        <v>0</v>
      </c>
      <c r="L798" t="s">
        <v>8</v>
      </c>
      <c r="M798" t="s">
        <v>7</v>
      </c>
      <c r="N798" t="s">
        <v>7</v>
      </c>
      <c r="P798">
        <f t="shared" si="1004"/>
        <v>-0.38599105812220652</v>
      </c>
      <c r="Q798">
        <f t="shared" si="1005"/>
        <v>-474693.86447093997</v>
      </c>
      <c r="R798">
        <f t="shared" si="1006"/>
        <v>-10656325.374818811</v>
      </c>
      <c r="S798">
        <f t="shared" si="1007"/>
        <v>-106.56325374818812</v>
      </c>
      <c r="T798">
        <f t="shared" si="1008"/>
        <v>-0.10656325374818812</v>
      </c>
    </row>
    <row r="799" spans="1:20" x14ac:dyDescent="0.25">
      <c r="A799" s="5">
        <v>43794</v>
      </c>
      <c r="B799">
        <v>1.1949000000000001</v>
      </c>
      <c r="C799">
        <v>1.1949000000000001</v>
      </c>
      <c r="D799">
        <v>0.99239999999999995</v>
      </c>
      <c r="E799">
        <v>1.089</v>
      </c>
      <c r="F799">
        <v>2736230.11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-4.5925925925926321E-2</v>
      </c>
      <c r="Q799">
        <f t="shared" si="1005"/>
        <v>-125663.90134814923</v>
      </c>
      <c r="R799">
        <f t="shared" si="1006"/>
        <v>-10181631.510347871</v>
      </c>
      <c r="S799">
        <f t="shared" si="1007"/>
        <v>-101.81631510347871</v>
      </c>
      <c r="T799">
        <f t="shared" si="1008"/>
        <v>-0.10181631510347872</v>
      </c>
    </row>
    <row r="800" spans="1:20" x14ac:dyDescent="0.25">
      <c r="A800" s="5">
        <v>43793</v>
      </c>
      <c r="B800">
        <v>1.1485000000000001</v>
      </c>
      <c r="C800">
        <v>1.2289000000000001</v>
      </c>
      <c r="D800">
        <v>1.1307</v>
      </c>
      <c r="E800">
        <v>1.1949000000000001</v>
      </c>
      <c r="F800">
        <v>2144576.15</v>
      </c>
      <c r="G800">
        <v>0</v>
      </c>
      <c r="L800" t="s">
        <v>8</v>
      </c>
      <c r="M800" t="s">
        <v>8</v>
      </c>
      <c r="N800" t="s">
        <v>7</v>
      </c>
      <c r="P800">
        <f t="shared" si="1004"/>
        <v>0.30753564154786134</v>
      </c>
      <c r="Q800">
        <f t="shared" si="1005"/>
        <v>659533.60213849251</v>
      </c>
      <c r="R800">
        <f t="shared" si="1006"/>
        <v>-10055967.608999722</v>
      </c>
      <c r="S800">
        <f t="shared" si="1007"/>
        <v>-100.55967608999721</v>
      </c>
      <c r="T800">
        <f t="shared" si="1008"/>
        <v>-0.1005596760899972</v>
      </c>
    </row>
    <row r="801" spans="1:20" x14ac:dyDescent="0.25">
      <c r="A801" s="5">
        <v>43792</v>
      </c>
      <c r="B801">
        <v>1.1048</v>
      </c>
      <c r="C801">
        <v>1.19</v>
      </c>
      <c r="D801">
        <v>1.0927</v>
      </c>
      <c r="E801">
        <v>1.1499999999999999</v>
      </c>
      <c r="F801">
        <v>1524300.85</v>
      </c>
      <c r="G801">
        <v>0</v>
      </c>
      <c r="L801" t="s">
        <v>7</v>
      </c>
      <c r="M801" t="s">
        <v>7</v>
      </c>
      <c r="N801" t="s">
        <v>7</v>
      </c>
      <c r="P801">
        <f t="shared" si="1004"/>
        <v>0.17780061664953628</v>
      </c>
      <c r="Q801">
        <f t="shared" si="1005"/>
        <v>271021.63108941232</v>
      </c>
      <c r="R801">
        <f t="shared" si="1006"/>
        <v>-10715501.211138215</v>
      </c>
      <c r="S801">
        <f t="shared" si="1007"/>
        <v>-107.15501211138215</v>
      </c>
      <c r="T801">
        <f t="shared" si="1008"/>
        <v>-0.10715501211138215</v>
      </c>
    </row>
    <row r="802" spans="1:20" x14ac:dyDescent="0.25">
      <c r="A802" s="5">
        <v>43791</v>
      </c>
      <c r="B802">
        <v>1.1620999999999999</v>
      </c>
      <c r="C802">
        <v>1.2131000000000001</v>
      </c>
      <c r="D802">
        <v>1.06</v>
      </c>
      <c r="E802">
        <v>1.1025</v>
      </c>
      <c r="F802">
        <v>2944183.98</v>
      </c>
      <c r="G802">
        <v>0</v>
      </c>
      <c r="L802" t="s">
        <v>8</v>
      </c>
      <c r="M802" t="s">
        <v>7</v>
      </c>
      <c r="N802" t="s">
        <v>7</v>
      </c>
      <c r="P802">
        <f t="shared" si="1004"/>
        <v>-0.44480731548007868</v>
      </c>
      <c r="Q802">
        <f t="shared" si="1005"/>
        <v>-1309594.5724232537</v>
      </c>
      <c r="R802">
        <f t="shared" si="1006"/>
        <v>-10986522.842227627</v>
      </c>
      <c r="S802">
        <f t="shared" si="1007"/>
        <v>-109.86522842227626</v>
      </c>
      <c r="T802">
        <f t="shared" si="1008"/>
        <v>-0.10986522842227626</v>
      </c>
    </row>
    <row r="803" spans="1:20" x14ac:dyDescent="0.25">
      <c r="A803" s="5">
        <v>43790</v>
      </c>
      <c r="B803">
        <v>1.1970000000000001</v>
      </c>
      <c r="C803">
        <v>1.2016</v>
      </c>
      <c r="D803">
        <v>1.0429999999999999</v>
      </c>
      <c r="E803">
        <v>1.1631</v>
      </c>
      <c r="F803">
        <v>2353515.17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0.5145018915510724</v>
      </c>
      <c r="Q803">
        <f t="shared" si="1005"/>
        <v>1210888.0067591437</v>
      </c>
      <c r="R803">
        <f t="shared" si="1006"/>
        <v>-9676928.2698043734</v>
      </c>
      <c r="S803">
        <f t="shared" si="1007"/>
        <v>-96.769282698043739</v>
      </c>
      <c r="T803">
        <f t="shared" si="1008"/>
        <v>-9.6769282698043732E-2</v>
      </c>
    </row>
    <row r="804" spans="1:20" x14ac:dyDescent="0.25">
      <c r="A804" s="5">
        <v>43789</v>
      </c>
      <c r="B804">
        <v>1.26</v>
      </c>
      <c r="C804">
        <v>1.4681</v>
      </c>
      <c r="D804">
        <v>1.17</v>
      </c>
      <c r="E804">
        <v>1.1970000000000001</v>
      </c>
      <c r="F804">
        <v>6923323.4299999997</v>
      </c>
      <c r="G804">
        <v>0</v>
      </c>
      <c r="L804" t="s">
        <v>8</v>
      </c>
      <c r="M804" t="s">
        <v>8</v>
      </c>
      <c r="N804" t="s">
        <v>8</v>
      </c>
      <c r="P804">
        <f t="shared" si="1004"/>
        <v>-0.81885273398188441</v>
      </c>
      <c r="Q804">
        <f t="shared" si="1005"/>
        <v>-5669182.3188963374</v>
      </c>
      <c r="R804">
        <f t="shared" si="1006"/>
        <v>-10887816.276563518</v>
      </c>
      <c r="S804">
        <f t="shared" si="1007"/>
        <v>-108.87816276563518</v>
      </c>
      <c r="T804">
        <f t="shared" si="1008"/>
        <v>-0.10887816276563518</v>
      </c>
    </row>
    <row r="805" spans="1:20" x14ac:dyDescent="0.25">
      <c r="A805" s="5">
        <v>43788</v>
      </c>
      <c r="B805">
        <v>1.1473</v>
      </c>
      <c r="C805">
        <v>1.3061</v>
      </c>
      <c r="D805">
        <v>1.1383000000000001</v>
      </c>
      <c r="E805">
        <v>1.26</v>
      </c>
      <c r="F805">
        <v>5173952.6900000004</v>
      </c>
      <c r="G805">
        <v>0</v>
      </c>
      <c r="L805" t="s">
        <v>8</v>
      </c>
      <c r="M805" t="s">
        <v>8</v>
      </c>
      <c r="N805" t="s">
        <v>7</v>
      </c>
      <c r="P805">
        <f t="shared" si="1004"/>
        <v>0.450536352800953</v>
      </c>
      <c r="Q805">
        <f t="shared" si="1005"/>
        <v>2331053.77451728</v>
      </c>
      <c r="R805">
        <f t="shared" si="1006"/>
        <v>-5218633.9576671794</v>
      </c>
      <c r="S805">
        <f t="shared" si="1007"/>
        <v>-52.186339576671791</v>
      </c>
      <c r="T805">
        <f t="shared" si="1008"/>
        <v>-5.2186339576671792E-2</v>
      </c>
    </row>
    <row r="806" spans="1:20" x14ac:dyDescent="0.25">
      <c r="A806" s="5">
        <v>43787</v>
      </c>
      <c r="B806">
        <v>1.0716000000000001</v>
      </c>
      <c r="C806">
        <v>1.2141999999999999</v>
      </c>
      <c r="D806">
        <v>1.0660000000000001</v>
      </c>
      <c r="E806">
        <v>1.1474</v>
      </c>
      <c r="F806">
        <v>3875454.26</v>
      </c>
      <c r="G806">
        <v>0</v>
      </c>
      <c r="L806" t="s">
        <v>8</v>
      </c>
      <c r="M806" t="s">
        <v>8</v>
      </c>
      <c r="N806" t="s">
        <v>7</v>
      </c>
      <c r="P806">
        <f t="shared" si="1004"/>
        <v>9.8515519568150856E-2</v>
      </c>
      <c r="Q806">
        <f t="shared" si="1005"/>
        <v>381792.38998650358</v>
      </c>
      <c r="R806">
        <f t="shared" si="1006"/>
        <v>-7549687.7321844595</v>
      </c>
      <c r="S806">
        <f t="shared" si="1007"/>
        <v>-75.496877321844593</v>
      </c>
      <c r="T806">
        <f t="shared" si="1008"/>
        <v>-7.5496877321844597E-2</v>
      </c>
    </row>
    <row r="807" spans="1:20" x14ac:dyDescent="0.25">
      <c r="A807" s="5">
        <v>43786</v>
      </c>
      <c r="B807">
        <v>1.0956999999999999</v>
      </c>
      <c r="C807">
        <v>1.1221000000000001</v>
      </c>
      <c r="D807">
        <v>1.0550999999999999</v>
      </c>
      <c r="E807">
        <v>1.0716000000000001</v>
      </c>
      <c r="F807">
        <v>1169707.81</v>
      </c>
      <c r="G807">
        <v>0</v>
      </c>
      <c r="L807" t="s">
        <v>7</v>
      </c>
      <c r="M807" t="s">
        <v>8</v>
      </c>
      <c r="N807" t="s">
        <v>7</v>
      </c>
      <c r="P807">
        <f t="shared" si="1004"/>
        <v>-0.50746268656715998</v>
      </c>
      <c r="Q807">
        <f t="shared" si="1005"/>
        <v>-593583.06776118919</v>
      </c>
      <c r="R807">
        <f t="shared" si="1006"/>
        <v>-7931480.1221709633</v>
      </c>
      <c r="S807">
        <f t="shared" si="1007"/>
        <v>-79.314801221709629</v>
      </c>
      <c r="T807">
        <f t="shared" si="1008"/>
        <v>-7.9314801221709627E-2</v>
      </c>
    </row>
    <row r="808" spans="1:20" x14ac:dyDescent="0.25">
      <c r="A808" s="5">
        <v>43785</v>
      </c>
      <c r="B808">
        <v>1.0426</v>
      </c>
      <c r="C808">
        <v>1.1619999999999999</v>
      </c>
      <c r="D808">
        <v>1.0237000000000001</v>
      </c>
      <c r="E808">
        <v>1.0998000000000001</v>
      </c>
      <c r="F808">
        <v>2855570.15</v>
      </c>
      <c r="G808">
        <v>0</v>
      </c>
      <c r="L808" t="s">
        <v>8</v>
      </c>
      <c r="M808" t="s">
        <v>8</v>
      </c>
      <c r="N808" t="s">
        <v>7</v>
      </c>
      <c r="P808">
        <f t="shared" si="1004"/>
        <v>0.10050614605929327</v>
      </c>
      <c r="Q808">
        <f t="shared" si="1005"/>
        <v>287002.35057845799</v>
      </c>
      <c r="R808">
        <f t="shared" si="1006"/>
        <v>-7337897.054409774</v>
      </c>
      <c r="S808">
        <f t="shared" si="1007"/>
        <v>-73.37897054409774</v>
      </c>
      <c r="T808">
        <f t="shared" si="1008"/>
        <v>-7.3378970544097741E-2</v>
      </c>
    </row>
    <row r="809" spans="1:20" x14ac:dyDescent="0.25">
      <c r="A809" s="5">
        <v>43784</v>
      </c>
      <c r="B809">
        <v>1.0422</v>
      </c>
      <c r="C809">
        <v>1.0701000000000001</v>
      </c>
      <c r="D809">
        <v>1.0102</v>
      </c>
      <c r="E809">
        <v>1.0449999999999999</v>
      </c>
      <c r="F809">
        <v>1387490.97</v>
      </c>
      <c r="G809">
        <v>0</v>
      </c>
      <c r="L809" t="s">
        <v>8</v>
      </c>
      <c r="M809" t="s">
        <v>7</v>
      </c>
      <c r="N809" t="s">
        <v>7</v>
      </c>
      <c r="P809">
        <f t="shared" si="1004"/>
        <v>0.16193656093488831</v>
      </c>
      <c r="Q809">
        <f t="shared" si="1005"/>
        <v>224685.51601001227</v>
      </c>
      <c r="R809">
        <f t="shared" si="1006"/>
        <v>-7624899.4049882321</v>
      </c>
      <c r="S809">
        <f t="shared" si="1007"/>
        <v>-76.248994049882327</v>
      </c>
      <c r="T809">
        <f t="shared" si="1008"/>
        <v>-7.6248994049882321E-2</v>
      </c>
    </row>
    <row r="810" spans="1:20" x14ac:dyDescent="0.25">
      <c r="A810" s="5">
        <v>43783</v>
      </c>
      <c r="B810">
        <v>1.0693999999999999</v>
      </c>
      <c r="C810">
        <v>1.085</v>
      </c>
      <c r="D810">
        <v>0.98750000000000004</v>
      </c>
      <c r="E810">
        <v>1.0408999999999999</v>
      </c>
      <c r="F810">
        <v>1683584.38</v>
      </c>
      <c r="G810">
        <v>0</v>
      </c>
      <c r="L810" t="s">
        <v>7</v>
      </c>
      <c r="M810" t="s">
        <v>7</v>
      </c>
      <c r="N810" t="s">
        <v>7</v>
      </c>
      <c r="P810">
        <f t="shared" si="1004"/>
        <v>9.5384615384614069E-2</v>
      </c>
      <c r="Q810">
        <f t="shared" si="1005"/>
        <v>160588.04855384392</v>
      </c>
      <c r="R810">
        <f t="shared" si="1006"/>
        <v>-7849584.9209982445</v>
      </c>
      <c r="S810">
        <f t="shared" si="1007"/>
        <v>-78.495849209982453</v>
      </c>
      <c r="T810">
        <f t="shared" si="1008"/>
        <v>-7.8495849209982455E-2</v>
      </c>
    </row>
    <row r="811" spans="1:20" x14ac:dyDescent="0.25">
      <c r="A811" s="5">
        <v>43782</v>
      </c>
      <c r="B811">
        <v>1.089</v>
      </c>
      <c r="C811">
        <v>1.1100000000000001</v>
      </c>
      <c r="D811">
        <v>1.0601</v>
      </c>
      <c r="E811">
        <v>1.0685</v>
      </c>
      <c r="F811">
        <v>736102.41</v>
      </c>
      <c r="G811">
        <v>0</v>
      </c>
      <c r="L811" t="s">
        <v>7</v>
      </c>
      <c r="M811" t="s">
        <v>8</v>
      </c>
      <c r="N811" t="s">
        <v>7</v>
      </c>
      <c r="P811">
        <f t="shared" si="1004"/>
        <v>-0.66332665330661511</v>
      </c>
      <c r="Q811">
        <f t="shared" si="1005"/>
        <v>-488276.34811623389</v>
      </c>
      <c r="R811">
        <f t="shared" si="1006"/>
        <v>-8010172.9695520885</v>
      </c>
      <c r="S811">
        <f t="shared" si="1007"/>
        <v>-80.101729695520888</v>
      </c>
      <c r="T811">
        <f t="shared" si="1008"/>
        <v>-8.0101729695520887E-2</v>
      </c>
    </row>
    <row r="812" spans="1:20" x14ac:dyDescent="0.25">
      <c r="A812" s="5">
        <v>43781</v>
      </c>
      <c r="B812">
        <v>1.1578999999999999</v>
      </c>
      <c r="C812">
        <v>1.17</v>
      </c>
      <c r="D812">
        <v>1.0513999999999999</v>
      </c>
      <c r="E812">
        <v>1.089</v>
      </c>
      <c r="F812">
        <v>2063123.14</v>
      </c>
      <c r="G812">
        <v>0</v>
      </c>
      <c r="L812" t="s">
        <v>7</v>
      </c>
      <c r="M812" t="s">
        <v>8</v>
      </c>
      <c r="N812" t="s">
        <v>7</v>
      </c>
      <c r="P812">
        <f t="shared" si="1004"/>
        <v>-0.36593591905564815</v>
      </c>
      <c r="Q812">
        <f t="shared" si="1005"/>
        <v>-754970.86236087466</v>
      </c>
      <c r="R812">
        <f t="shared" si="1006"/>
        <v>-7521896.6214358546</v>
      </c>
      <c r="S812">
        <f t="shared" si="1007"/>
        <v>-75.218966214358545</v>
      </c>
      <c r="T812">
        <f t="shared" si="1008"/>
        <v>-7.5218966214358543E-2</v>
      </c>
    </row>
    <row r="813" spans="1:20" x14ac:dyDescent="0.25">
      <c r="A813" s="5">
        <v>43780</v>
      </c>
      <c r="B813">
        <v>1.149</v>
      </c>
      <c r="C813">
        <v>1.1999</v>
      </c>
      <c r="D813">
        <v>1.1100000000000001</v>
      </c>
      <c r="E813">
        <v>1.1578999999999999</v>
      </c>
      <c r="F813">
        <v>2080656.39</v>
      </c>
      <c r="G813">
        <v>0</v>
      </c>
      <c r="L813" t="s">
        <v>7</v>
      </c>
      <c r="M813" t="s">
        <v>8</v>
      </c>
      <c r="N813" t="s">
        <v>7</v>
      </c>
      <c r="P813">
        <f t="shared" si="1004"/>
        <v>6.5628476084536189E-2</v>
      </c>
      <c r="Q813">
        <f t="shared" si="1005"/>
        <v>136550.30813125239</v>
      </c>
      <c r="R813">
        <f t="shared" si="1006"/>
        <v>-6766925.7590749804</v>
      </c>
      <c r="S813">
        <f t="shared" si="1007"/>
        <v>-67.669257590749808</v>
      </c>
      <c r="T813">
        <f t="shared" si="1008"/>
        <v>-6.7669257590749807E-2</v>
      </c>
    </row>
    <row r="814" spans="1:20" x14ac:dyDescent="0.25">
      <c r="A814" s="5">
        <v>43779</v>
      </c>
      <c r="B814">
        <v>1.1321000000000001</v>
      </c>
      <c r="C814">
        <v>1.2354000000000001</v>
      </c>
      <c r="D814">
        <v>1.0732999999999999</v>
      </c>
      <c r="E814">
        <v>1.1447000000000001</v>
      </c>
      <c r="F814">
        <v>4035377.67</v>
      </c>
      <c r="G814">
        <v>0</v>
      </c>
      <c r="L814" t="s">
        <v>8</v>
      </c>
      <c r="M814" t="s">
        <v>8</v>
      </c>
      <c r="N814" t="s">
        <v>7</v>
      </c>
      <c r="P814">
        <f t="shared" si="1004"/>
        <v>-0.11906230721776592</v>
      </c>
      <c r="Q814">
        <f t="shared" si="1005"/>
        <v>-480461.37588525243</v>
      </c>
      <c r="R814">
        <f t="shared" si="1006"/>
        <v>-6903476.0672062328</v>
      </c>
      <c r="S814">
        <f t="shared" si="1007"/>
        <v>-69.034760672062333</v>
      </c>
      <c r="T814">
        <f t="shared" si="1008"/>
        <v>-6.9034760672062337E-2</v>
      </c>
    </row>
    <row r="815" spans="1:20" x14ac:dyDescent="0.25">
      <c r="A815" s="5">
        <v>43778</v>
      </c>
      <c r="B815">
        <v>1.0528999999999999</v>
      </c>
      <c r="C815">
        <v>1.1653</v>
      </c>
      <c r="D815">
        <v>1.0207999999999999</v>
      </c>
      <c r="E815">
        <v>1.1369</v>
      </c>
      <c r="F815">
        <v>3257314.17</v>
      </c>
      <c r="G815">
        <v>0</v>
      </c>
      <c r="L815" t="s">
        <v>7</v>
      </c>
      <c r="M815" t="s">
        <v>8</v>
      </c>
      <c r="N815" t="s">
        <v>7</v>
      </c>
      <c r="P815">
        <f t="shared" si="1004"/>
        <v>0.60692041522491391</v>
      </c>
      <c r="Q815">
        <f t="shared" si="1005"/>
        <v>1976930.4685743959</v>
      </c>
      <c r="R815">
        <f t="shared" si="1006"/>
        <v>-6423014.69132098</v>
      </c>
      <c r="S815">
        <f t="shared" si="1007"/>
        <v>-64.230146913209794</v>
      </c>
      <c r="T815">
        <f t="shared" si="1008"/>
        <v>-6.4230146913209787E-2</v>
      </c>
    </row>
    <row r="816" spans="1:20" x14ac:dyDescent="0.25">
      <c r="A816" s="5">
        <v>43777</v>
      </c>
      <c r="B816">
        <v>1.0584</v>
      </c>
      <c r="C816">
        <v>1.1919</v>
      </c>
      <c r="D816">
        <v>1.0201</v>
      </c>
      <c r="E816">
        <v>1.0528999999999999</v>
      </c>
      <c r="F816">
        <v>5776695.2300000004</v>
      </c>
      <c r="G816">
        <v>0</v>
      </c>
      <c r="L816" t="s">
        <v>8</v>
      </c>
      <c r="M816" t="s">
        <v>8</v>
      </c>
      <c r="N816" t="s">
        <v>7</v>
      </c>
      <c r="P816">
        <f t="shared" si="1004"/>
        <v>-0.6181606519208388</v>
      </c>
      <c r="Q816">
        <f t="shared" si="1005"/>
        <v>-3570925.6893247999</v>
      </c>
      <c r="R816">
        <f t="shared" si="1006"/>
        <v>-8399945.1598953754</v>
      </c>
      <c r="S816">
        <f t="shared" si="1007"/>
        <v>-83.999451598953755</v>
      </c>
      <c r="T816">
        <f t="shared" si="1008"/>
        <v>-8.399945159895375E-2</v>
      </c>
    </row>
    <row r="817" spans="1:20" x14ac:dyDescent="0.25">
      <c r="A817" s="5">
        <v>43776</v>
      </c>
      <c r="B817">
        <v>0.96860000000000002</v>
      </c>
      <c r="C817">
        <v>1.1000000000000001</v>
      </c>
      <c r="D817">
        <v>0.95179999999999998</v>
      </c>
      <c r="E817">
        <v>1.0609</v>
      </c>
      <c r="F817">
        <v>3029139.22</v>
      </c>
      <c r="G817">
        <v>0</v>
      </c>
      <c r="L817" t="s">
        <v>8</v>
      </c>
      <c r="M817" t="s">
        <v>7</v>
      </c>
      <c r="N817" t="s">
        <v>7</v>
      </c>
      <c r="P817">
        <f t="shared" si="1004"/>
        <v>0.47233468286099722</v>
      </c>
      <c r="Q817">
        <f t="shared" si="1005"/>
        <v>1430767.5128205086</v>
      </c>
      <c r="R817">
        <f t="shared" si="1006"/>
        <v>-4829019.4705705754</v>
      </c>
      <c r="S817">
        <f t="shared" si="1007"/>
        <v>-48.290194705705751</v>
      </c>
      <c r="T817">
        <f t="shared" si="1008"/>
        <v>-4.8290194705705752E-2</v>
      </c>
    </row>
    <row r="818" spans="1:20" x14ac:dyDescent="0.25">
      <c r="A818" s="5">
        <v>43775</v>
      </c>
      <c r="B818">
        <v>1.0533999999999999</v>
      </c>
      <c r="C818">
        <v>1.1000000000000001</v>
      </c>
      <c r="D818">
        <v>0.95</v>
      </c>
      <c r="E818">
        <v>0.96579999999999999</v>
      </c>
      <c r="F818">
        <v>2844899.11</v>
      </c>
      <c r="G818">
        <v>0</v>
      </c>
      <c r="L818" t="s">
        <v>7</v>
      </c>
      <c r="M818" t="s">
        <v>7</v>
      </c>
      <c r="N818" t="s">
        <v>7</v>
      </c>
      <c r="P818">
        <f t="shared" si="1004"/>
        <v>-0.789333333333333</v>
      </c>
      <c r="Q818">
        <f t="shared" si="1005"/>
        <v>-2245573.6974933324</v>
      </c>
      <c r="R818">
        <f t="shared" si="1006"/>
        <v>-6259786.9833910838</v>
      </c>
      <c r="S818">
        <f t="shared" si="1007"/>
        <v>-62.597869833910835</v>
      </c>
      <c r="T818">
        <f t="shared" si="1008"/>
        <v>-6.259786983391083E-2</v>
      </c>
    </row>
    <row r="819" spans="1:20" x14ac:dyDescent="0.25">
      <c r="A819" s="5">
        <v>43774</v>
      </c>
      <c r="B819">
        <v>1.1556999999999999</v>
      </c>
      <c r="C819">
        <v>1.18</v>
      </c>
      <c r="D819">
        <v>1.0250999999999999</v>
      </c>
      <c r="E819">
        <v>1.0504</v>
      </c>
      <c r="F819">
        <v>4385750.16</v>
      </c>
      <c r="G819">
        <v>0</v>
      </c>
      <c r="L819" t="s">
        <v>7</v>
      </c>
      <c r="M819" t="s">
        <v>7</v>
      </c>
      <c r="N819" t="s">
        <v>8</v>
      </c>
      <c r="P819">
        <f t="shared" si="1004"/>
        <v>-0.67333763718527961</v>
      </c>
      <c r="Q819">
        <f t="shared" si="1005"/>
        <v>-2953090.6500193621</v>
      </c>
      <c r="R819">
        <f t="shared" si="1006"/>
        <v>-4014213.2858977518</v>
      </c>
      <c r="S819">
        <f t="shared" si="1007"/>
        <v>-40.142132858977519</v>
      </c>
      <c r="T819">
        <f t="shared" si="1008"/>
        <v>-4.0142132858977518E-2</v>
      </c>
    </row>
    <row r="820" spans="1:20" x14ac:dyDescent="0.25">
      <c r="A820" s="5">
        <v>43773</v>
      </c>
      <c r="B820">
        <v>1.1706000000000001</v>
      </c>
      <c r="C820">
        <v>1.3879999999999999</v>
      </c>
      <c r="D820">
        <v>1.0784</v>
      </c>
      <c r="E820">
        <v>1.1579999999999999</v>
      </c>
      <c r="F820">
        <v>7974245.29</v>
      </c>
      <c r="G820">
        <v>0</v>
      </c>
      <c r="L820" t="s">
        <v>8</v>
      </c>
      <c r="M820" t="s">
        <v>8</v>
      </c>
      <c r="N820" t="s">
        <v>8</v>
      </c>
      <c r="P820">
        <f t="shared" si="1004"/>
        <v>-0.48578811369509095</v>
      </c>
      <c r="Q820">
        <f t="shared" si="1005"/>
        <v>-3873793.5775710633</v>
      </c>
      <c r="R820">
        <f t="shared" si="1006"/>
        <v>-1061122.6358783897</v>
      </c>
      <c r="S820">
        <f t="shared" si="1007"/>
        <v>-10.611226358783897</v>
      </c>
      <c r="T820">
        <f t="shared" si="1008"/>
        <v>-1.0611226358783896E-2</v>
      </c>
    </row>
    <row r="821" spans="1:20" x14ac:dyDescent="0.25">
      <c r="A821" s="5">
        <v>43772</v>
      </c>
      <c r="B821">
        <v>0.95009999999999994</v>
      </c>
      <c r="C821">
        <v>1.2751999999999999</v>
      </c>
      <c r="D821">
        <v>0.94199999999999995</v>
      </c>
      <c r="E821">
        <v>1.1706000000000001</v>
      </c>
      <c r="F821">
        <v>10514830.74</v>
      </c>
      <c r="G821">
        <v>0</v>
      </c>
      <c r="L821" t="s">
        <v>8</v>
      </c>
      <c r="M821" t="s">
        <v>8</v>
      </c>
      <c r="N821" t="s">
        <v>8</v>
      </c>
      <c r="P821">
        <f t="shared" si="1004"/>
        <v>0.3721488595438186</v>
      </c>
      <c r="Q821">
        <f t="shared" si="1005"/>
        <v>3913082.2681872863</v>
      </c>
      <c r="R821">
        <f t="shared" si="1006"/>
        <v>2812670.9416926736</v>
      </c>
      <c r="S821">
        <f t="shared" si="1007"/>
        <v>28.126709416926737</v>
      </c>
      <c r="T821">
        <f t="shared" si="1008"/>
        <v>2.8126709416926736E-2</v>
      </c>
    </row>
    <row r="822" spans="1:20" x14ac:dyDescent="0.25">
      <c r="A822" s="5">
        <v>43771</v>
      </c>
      <c r="B822">
        <v>0.83240000000000003</v>
      </c>
      <c r="C822">
        <v>0.99299999999999999</v>
      </c>
      <c r="D822">
        <v>0.82199999999999995</v>
      </c>
      <c r="E822">
        <v>0.95009999999999994</v>
      </c>
      <c r="F822">
        <v>4037814.98</v>
      </c>
      <c r="G822">
        <v>0</v>
      </c>
      <c r="L822" t="s">
        <v>8</v>
      </c>
      <c r="M822" t="s">
        <v>8</v>
      </c>
      <c r="N822" t="s">
        <v>7</v>
      </c>
      <c r="P822">
        <f t="shared" si="1004"/>
        <v>0.49824561403508727</v>
      </c>
      <c r="Q822">
        <f t="shared" si="1005"/>
        <v>2011823.6040701736</v>
      </c>
      <c r="R822">
        <f t="shared" si="1006"/>
        <v>-1100411.3264946127</v>
      </c>
      <c r="S822">
        <f t="shared" si="1007"/>
        <v>-11.004113264946128</v>
      </c>
      <c r="T822">
        <f t="shared" si="1008"/>
        <v>-1.1004113264946127E-2</v>
      </c>
    </row>
    <row r="823" spans="1:20" x14ac:dyDescent="0.25">
      <c r="A823" s="5">
        <v>43770</v>
      </c>
      <c r="B823">
        <v>0.79979999999999996</v>
      </c>
      <c r="C823">
        <v>0.86150000000000004</v>
      </c>
      <c r="D823">
        <v>0.76990000000000003</v>
      </c>
      <c r="E823">
        <v>0.83240000000000003</v>
      </c>
      <c r="F823">
        <v>1976372.17</v>
      </c>
      <c r="G823">
        <v>0</v>
      </c>
      <c r="L823" t="s">
        <v>7</v>
      </c>
      <c r="M823" t="s">
        <v>7</v>
      </c>
      <c r="N823" t="s">
        <v>7</v>
      </c>
      <c r="P823">
        <f t="shared" si="1004"/>
        <v>0.36462882096069849</v>
      </c>
      <c r="Q823">
        <f t="shared" si="1005"/>
        <v>720642.25412663713</v>
      </c>
      <c r="R823">
        <f t="shared" si="1006"/>
        <v>-3112234.9305647863</v>
      </c>
      <c r="S823">
        <f t="shared" si="1007"/>
        <v>-31.122349305647862</v>
      </c>
      <c r="T823">
        <f t="shared" si="1008"/>
        <v>-3.1122349305647862E-2</v>
      </c>
    </row>
    <row r="824" spans="1:20" x14ac:dyDescent="0.25">
      <c r="A824" s="5">
        <v>43769</v>
      </c>
      <c r="B824">
        <v>0.85299999999999998</v>
      </c>
      <c r="C824">
        <v>0.85650000000000004</v>
      </c>
      <c r="D824">
        <v>0.77549999999999997</v>
      </c>
      <c r="E824">
        <v>0.79990000000000006</v>
      </c>
      <c r="F824">
        <v>1238606.17</v>
      </c>
      <c r="G824">
        <v>0</v>
      </c>
      <c r="L824" t="s">
        <v>7</v>
      </c>
      <c r="M824" t="s">
        <v>7</v>
      </c>
      <c r="N824" t="s">
        <v>7</v>
      </c>
      <c r="P824">
        <f t="shared" si="1004"/>
        <v>-0.3975308641975292</v>
      </c>
      <c r="Q824">
        <f t="shared" si="1005"/>
        <v>-492384.18116049172</v>
      </c>
      <c r="R824">
        <f t="shared" si="1006"/>
        <v>-3832877.1846914236</v>
      </c>
      <c r="S824">
        <f t="shared" si="1007"/>
        <v>-38.328771846914236</v>
      </c>
      <c r="T824">
        <f t="shared" si="1008"/>
        <v>-3.8328771846914238E-2</v>
      </c>
    </row>
    <row r="825" spans="1:20" x14ac:dyDescent="0.25">
      <c r="A825" s="5">
        <v>43768</v>
      </c>
      <c r="B825">
        <v>0.86799999999999999</v>
      </c>
      <c r="C825">
        <v>0.90359999999999996</v>
      </c>
      <c r="D825">
        <v>0.80010000000000003</v>
      </c>
      <c r="E825">
        <v>0.85650000000000004</v>
      </c>
      <c r="F825">
        <v>2281113.86</v>
      </c>
      <c r="G825">
        <v>0</v>
      </c>
      <c r="L825" t="s">
        <v>7</v>
      </c>
      <c r="M825" t="s">
        <v>7</v>
      </c>
      <c r="N825" t="s">
        <v>7</v>
      </c>
      <c r="P825">
        <f t="shared" si="1004"/>
        <v>8.9855072463769017E-2</v>
      </c>
      <c r="Q825">
        <f t="shared" si="1005"/>
        <v>204969.65118840785</v>
      </c>
      <c r="R825">
        <f t="shared" si="1006"/>
        <v>-3340493.0035309317</v>
      </c>
      <c r="S825">
        <f t="shared" si="1007"/>
        <v>-33.404930035309313</v>
      </c>
      <c r="T825">
        <f t="shared" si="1008"/>
        <v>-3.340493003530931E-2</v>
      </c>
    </row>
    <row r="826" spans="1:20" x14ac:dyDescent="0.25">
      <c r="A826" s="5">
        <v>43767</v>
      </c>
      <c r="B826">
        <v>0.91049999999999998</v>
      </c>
      <c r="C826">
        <v>0.96560000000000001</v>
      </c>
      <c r="D826">
        <v>0.83140000000000003</v>
      </c>
      <c r="E826">
        <v>0.86939999999999995</v>
      </c>
      <c r="F826">
        <v>4917546.3099999996</v>
      </c>
      <c r="G826">
        <v>0</v>
      </c>
      <c r="L826" t="s">
        <v>8</v>
      </c>
      <c r="M826" t="s">
        <v>8</v>
      </c>
      <c r="N826" t="s">
        <v>7</v>
      </c>
      <c r="P826">
        <f t="shared" si="1004"/>
        <v>-0.43368107302533643</v>
      </c>
      <c r="Q826">
        <f t="shared" si="1005"/>
        <v>-2132646.7603725833</v>
      </c>
      <c r="R826">
        <f t="shared" si="1006"/>
        <v>-3545462.6547193397</v>
      </c>
      <c r="S826">
        <f t="shared" si="1007"/>
        <v>-35.454626547193399</v>
      </c>
      <c r="T826">
        <f t="shared" si="1008"/>
        <v>-3.5454626547193398E-2</v>
      </c>
    </row>
    <row r="827" spans="1:20" x14ac:dyDescent="0.25">
      <c r="A827" s="5">
        <v>43766</v>
      </c>
      <c r="B827">
        <v>0.81269999999999998</v>
      </c>
      <c r="C827">
        <v>1.0749</v>
      </c>
      <c r="D827">
        <v>0.73350000000000004</v>
      </c>
      <c r="E827">
        <v>0.90790000000000004</v>
      </c>
      <c r="F827">
        <v>9038951.4499999993</v>
      </c>
      <c r="G827">
        <v>0</v>
      </c>
      <c r="L827" t="s">
        <v>7</v>
      </c>
      <c r="M827" t="s">
        <v>7</v>
      </c>
      <c r="N827" t="s">
        <v>7</v>
      </c>
      <c r="P827">
        <f t="shared" si="1004"/>
        <v>2.1675454012888326E-2</v>
      </c>
      <c r="Q827">
        <f t="shared" si="1005"/>
        <v>195923.37647920524</v>
      </c>
      <c r="R827">
        <f t="shared" si="1006"/>
        <v>-1412815.8943467564</v>
      </c>
      <c r="S827">
        <f t="shared" si="1007"/>
        <v>-14.128158943467565</v>
      </c>
      <c r="T827">
        <f t="shared" si="1008"/>
        <v>-1.4128158943467565E-2</v>
      </c>
    </row>
    <row r="828" spans="1:20" x14ac:dyDescent="0.25">
      <c r="A828" s="5">
        <v>43765</v>
      </c>
      <c r="B828">
        <v>0.97499999999999998</v>
      </c>
      <c r="C828">
        <v>0.99960000000000004</v>
      </c>
      <c r="D828">
        <v>0.77110000000000001</v>
      </c>
      <c r="E828">
        <v>0.80679999999999996</v>
      </c>
      <c r="F828">
        <v>7005026.4699999997</v>
      </c>
      <c r="G828">
        <v>0</v>
      </c>
      <c r="L828" t="s">
        <v>7</v>
      </c>
      <c r="M828" t="s">
        <v>7</v>
      </c>
      <c r="N828" t="s">
        <v>7</v>
      </c>
      <c r="P828">
        <f t="shared" si="1004"/>
        <v>-0.68752735229759343</v>
      </c>
      <c r="Q828">
        <f t="shared" si="1005"/>
        <v>-4816147.3016936574</v>
      </c>
      <c r="R828">
        <f t="shared" si="1006"/>
        <v>-1608739.2708259616</v>
      </c>
      <c r="S828">
        <f t="shared" si="1007"/>
        <v>-16.087392708259618</v>
      </c>
      <c r="T828">
        <f t="shared" si="1008"/>
        <v>-1.6087392708259617E-2</v>
      </c>
    </row>
    <row r="829" spans="1:20" x14ac:dyDescent="0.25">
      <c r="A829" s="5">
        <v>43764</v>
      </c>
      <c r="B829">
        <v>1.2966</v>
      </c>
      <c r="C829">
        <v>1.3612</v>
      </c>
      <c r="D829">
        <v>0.9355</v>
      </c>
      <c r="E829">
        <v>0.97619999999999996</v>
      </c>
      <c r="F829">
        <v>12400051.140000001</v>
      </c>
      <c r="G829">
        <v>0</v>
      </c>
      <c r="L829" t="s">
        <v>8</v>
      </c>
      <c r="M829" t="s">
        <v>8</v>
      </c>
      <c r="N829" t="s">
        <v>8</v>
      </c>
      <c r="P829">
        <f t="shared" si="1004"/>
        <v>-0.80878552971576245</v>
      </c>
      <c r="Q829">
        <f t="shared" si="1005"/>
        <v>-10028981.929767445</v>
      </c>
      <c r="R829">
        <f t="shared" si="1006"/>
        <v>3207408.0308676958</v>
      </c>
      <c r="S829">
        <f t="shared" si="1007"/>
        <v>32.074080308676955</v>
      </c>
      <c r="T829">
        <f t="shared" si="1008"/>
        <v>3.2074080308676957E-2</v>
      </c>
    </row>
    <row r="830" spans="1:20" x14ac:dyDescent="0.25">
      <c r="A830" s="5">
        <v>43763</v>
      </c>
      <c r="B830">
        <v>0.46</v>
      </c>
      <c r="C830">
        <v>1.6439999999999999</v>
      </c>
      <c r="D830">
        <v>0.46</v>
      </c>
      <c r="E830">
        <v>1.2983</v>
      </c>
      <c r="F830">
        <v>31814627.920000002</v>
      </c>
      <c r="G830">
        <v>0</v>
      </c>
      <c r="P830">
        <f t="shared" si="1004"/>
        <v>0.41604729729729745</v>
      </c>
      <c r="Q830">
        <f t="shared" si="1005"/>
        <v>13236389.960635141</v>
      </c>
      <c r="R830">
        <f t="shared" si="1006"/>
        <v>13236389.960635141</v>
      </c>
      <c r="S830">
        <f t="shared" si="1007"/>
        <v>132.3638996063514</v>
      </c>
      <c r="T830">
        <f t="shared" si="1008"/>
        <v>0.13236389960635139</v>
      </c>
    </row>
    <row r="831" spans="1:20" x14ac:dyDescent="0.25">
      <c r="A831" s="5"/>
      <c r="C831" s="4"/>
      <c r="D831" s="4"/>
    </row>
    <row r="832" spans="1:20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OZ529" sqref="OZ529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$A$528</v>
      </c>
      <c r="D111" s="1" t="str">
        <f>ADDRESS(C121-1,D121,1,1)</f>
        <v>$OZ$528</v>
      </c>
      <c r="E111"/>
    </row>
    <row r="112" spans="1:5" x14ac:dyDescent="0.25">
      <c r="A112" s="7">
        <v>12164.144957890772</v>
      </c>
      <c r="C112" s="1" t="str">
        <f>ADDRESS(C121,1,1,1)</f>
        <v>$A$529</v>
      </c>
      <c r="D112" s="1" t="str">
        <f>ADDRESS(C121,D121-1,1,1)</f>
        <v>$OY$529</v>
      </c>
      <c r="E112"/>
    </row>
    <row r="113" spans="1:5" x14ac:dyDescent="0.25">
      <c r="A113" s="7">
        <v>11925.63231165762</v>
      </c>
      <c r="C113" s="1" t="str">
        <f>ADDRESS(C121+1,1,1,1)</f>
        <v>$A$530</v>
      </c>
      <c r="D113" s="1" t="str">
        <f>ADDRESS(C121-1,D121+1,1,1)</f>
        <v>$PA$528</v>
      </c>
    </row>
    <row r="114" spans="1:5" x14ac:dyDescent="0.25">
      <c r="A114" s="7">
        <v>11691.796383978059</v>
      </c>
      <c r="C114" s="1" t="str">
        <f>ADDRESS(C121,D121,1,1)</f>
        <v>$OZ$529</v>
      </c>
      <c r="D114" s="1" t="str">
        <f>ADDRESS(C121+1,D121+1,1,1)</f>
        <v>$PA$530</v>
      </c>
    </row>
    <row r="115" spans="1:5" x14ac:dyDescent="0.25">
      <c r="A115" s="7">
        <v>11462.545474488292</v>
      </c>
      <c r="C115" s="1" t="str">
        <f>ADDRESS(C121+1,D121,1,1)</f>
        <v>$OZ$530</v>
      </c>
    </row>
    <row r="116" spans="1:5" x14ac:dyDescent="0.25">
      <c r="A116" s="7">
        <v>11237.789680870874</v>
      </c>
      <c r="C116" s="1">
        <f>C117-1</f>
        <v>528</v>
      </c>
    </row>
    <row r="117" spans="1:5" x14ac:dyDescent="0.25">
      <c r="A117" s="7">
        <v>11017.440863598895</v>
      </c>
      <c r="C117" s="1">
        <f>C121</f>
        <v>529</v>
      </c>
      <c r="D117" s="1">
        <f>D121</f>
        <v>416</v>
      </c>
    </row>
    <row r="118" spans="1:5" x14ac:dyDescent="0.25">
      <c r="A118" s="7">
        <v>10801.412611371465</v>
      </c>
      <c r="C118" s="1">
        <f>C117+1</f>
        <v>530</v>
      </c>
      <c r="D118" s="1">
        <f>D117+1</f>
        <v>417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529</v>
      </c>
      <c r="D121" s="19">
        <v>416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R529</v>
      </c>
      <c r="D123" s="1" t="str">
        <f>"C"&amp;D121</f>
        <v>C416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3.1536243640574906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345" x14ac:dyDescent="0.25">
      <c r="A465" s="7">
        <v>11.200075620783522</v>
      </c>
      <c r="B465"/>
      <c r="C465"/>
      <c r="D465"/>
      <c r="E465"/>
    </row>
    <row r="466" spans="1:345" x14ac:dyDescent="0.25">
      <c r="A466" s="7">
        <v>10.980466294885806</v>
      </c>
      <c r="B466"/>
      <c r="C466"/>
      <c r="D466"/>
      <c r="E466"/>
    </row>
    <row r="467" spans="1:345" x14ac:dyDescent="0.25">
      <c r="A467" s="7">
        <v>10.765163034201771</v>
      </c>
      <c r="B467"/>
      <c r="C467"/>
      <c r="D467"/>
      <c r="E467"/>
    </row>
    <row r="468" spans="1:345" x14ac:dyDescent="0.25">
      <c r="A468" s="7">
        <v>10.554081406080169</v>
      </c>
      <c r="B468"/>
      <c r="C468"/>
      <c r="D468"/>
      <c r="E468"/>
    </row>
    <row r="469" spans="1:345" x14ac:dyDescent="0.25">
      <c r="A469" s="7">
        <v>10.34713863341193</v>
      </c>
      <c r="B469"/>
      <c r="C469"/>
      <c r="D469"/>
      <c r="E469"/>
    </row>
    <row r="470" spans="1:345" x14ac:dyDescent="0.25">
      <c r="A470" s="7">
        <v>10.14425356216856</v>
      </c>
      <c r="B470"/>
      <c r="C470"/>
      <c r="D470"/>
      <c r="E470"/>
    </row>
    <row r="471" spans="1:345" x14ac:dyDescent="0.25">
      <c r="A471" s="7">
        <v>9.9453466295770188</v>
      </c>
      <c r="B471"/>
      <c r="C471"/>
      <c r="D471"/>
      <c r="E471"/>
    </row>
    <row r="472" spans="1:345" x14ac:dyDescent="0.25">
      <c r="A472" s="7">
        <v>9.7503398329186464</v>
      </c>
      <c r="B472"/>
      <c r="C472"/>
      <c r="D472"/>
      <c r="E472"/>
    </row>
    <row r="473" spans="1:345" x14ac:dyDescent="0.25">
      <c r="A473" s="7">
        <v>9.5591566989398498</v>
      </c>
      <c r="B473"/>
      <c r="C473"/>
      <c r="D473"/>
      <c r="E473"/>
    </row>
    <row r="474" spans="1:345" x14ac:dyDescent="0.25">
      <c r="A474" s="7">
        <v>9.3717222538625968</v>
      </c>
      <c r="B474"/>
      <c r="C474"/>
      <c r="D474"/>
      <c r="E474"/>
    </row>
    <row r="475" spans="1:345" x14ac:dyDescent="0.25">
      <c r="A475" s="7">
        <v>9.1879629939829375</v>
      </c>
      <c r="B475"/>
      <c r="C475"/>
      <c r="D475"/>
      <c r="E475"/>
    </row>
    <row r="476" spans="1:345" x14ac:dyDescent="0.25">
      <c r="A476" s="7">
        <v>9.0078068568460168</v>
      </c>
      <c r="B476"/>
      <c r="C476"/>
      <c r="D476"/>
      <c r="E476"/>
    </row>
    <row r="477" spans="1:345" x14ac:dyDescent="0.25">
      <c r="A477" s="7">
        <v>8.8311831929862912</v>
      </c>
      <c r="B477"/>
      <c r="C477"/>
      <c r="D477"/>
      <c r="E477"/>
    </row>
    <row r="478" spans="1:345" x14ac:dyDescent="0.25">
      <c r="A478" s="7">
        <v>8.6580227382218542</v>
      </c>
      <c r="B478"/>
      <c r="C478"/>
      <c r="D478"/>
      <c r="E478"/>
      <c r="MA478" s="27" t="s">
        <v>8</v>
      </c>
      <c r="ME478" s="27" t="s">
        <v>8</v>
      </c>
    </row>
    <row r="479" spans="1:345" x14ac:dyDescent="0.25">
      <c r="A479" s="7">
        <v>8.4882575864920131</v>
      </c>
      <c r="B479"/>
      <c r="C479"/>
      <c r="D479"/>
      <c r="E479"/>
      <c r="MA479" s="27" t="s">
        <v>8</v>
      </c>
      <c r="MB479" s="27" t="s">
        <v>7</v>
      </c>
      <c r="ME479" s="27" t="s">
        <v>8</v>
      </c>
      <c r="MF479" s="27" t="s">
        <v>7</v>
      </c>
    </row>
    <row r="480" spans="1:345" x14ac:dyDescent="0.25">
      <c r="A480" s="7">
        <v>8.3218211632274635</v>
      </c>
      <c r="B480"/>
      <c r="C480"/>
      <c r="D480"/>
      <c r="E480"/>
      <c r="MA480" s="27" t="s">
        <v>8</v>
      </c>
      <c r="MB480" s="27" t="s">
        <v>7</v>
      </c>
      <c r="ME480" s="27" t="s">
        <v>8</v>
      </c>
      <c r="MF480" s="27" t="s">
        <v>7</v>
      </c>
      <c r="MG480" s="27" t="s">
        <v>8</v>
      </c>
    </row>
    <row r="481" spans="1:373" x14ac:dyDescent="0.25">
      <c r="A481" s="7">
        <v>8.1586481992426112</v>
      </c>
      <c r="B481"/>
      <c r="C481"/>
      <c r="D481"/>
      <c r="E481"/>
      <c r="MA481" s="27" t="s">
        <v>8</v>
      </c>
      <c r="MB481" s="27" t="s">
        <v>7</v>
      </c>
      <c r="MC481" s="27" t="s">
        <v>8</v>
      </c>
      <c r="ME481" s="27" t="s">
        <v>8</v>
      </c>
      <c r="MF481" s="27" t="s">
        <v>7</v>
      </c>
      <c r="MG481" s="27" t="s">
        <v>8</v>
      </c>
      <c r="MH481" s="27" t="s">
        <v>7</v>
      </c>
    </row>
    <row r="482" spans="1:373" x14ac:dyDescent="0.25">
      <c r="A482" s="7">
        <v>7.9986747051398144</v>
      </c>
      <c r="B482"/>
      <c r="C482"/>
      <c r="D482"/>
      <c r="E482"/>
      <c r="JK482" s="27" t="s">
        <v>8</v>
      </c>
      <c r="MA482" s="27" t="s">
        <v>8</v>
      </c>
      <c r="MB482" s="27" t="s">
        <v>7</v>
      </c>
      <c r="MC482" s="27" t="s">
        <v>8</v>
      </c>
      <c r="MD482" s="27" t="s">
        <v>7</v>
      </c>
      <c r="ME482" s="27" t="s">
        <v>8</v>
      </c>
      <c r="MF482" s="27" t="s">
        <v>7</v>
      </c>
      <c r="MG482" s="27" t="s">
        <v>8</v>
      </c>
      <c r="MH482" s="27" t="s">
        <v>7</v>
      </c>
    </row>
    <row r="483" spans="1:373" x14ac:dyDescent="0.25">
      <c r="A483" s="7">
        <v>7.8418379462155041</v>
      </c>
      <c r="B483"/>
      <c r="C483"/>
      <c r="D483"/>
      <c r="E483"/>
      <c r="JK483" s="27" t="s">
        <v>8</v>
      </c>
      <c r="JL483" s="27" t="s">
        <v>7</v>
      </c>
      <c r="JM483" s="27" t="s">
        <v>8</v>
      </c>
      <c r="MA483" s="27" t="s">
        <v>8</v>
      </c>
      <c r="MB483" s="27" t="s">
        <v>7</v>
      </c>
      <c r="MC483" s="27" t="s">
        <v>8</v>
      </c>
      <c r="MD483" s="27" t="s">
        <v>7</v>
      </c>
      <c r="ME483" s="27" t="s">
        <v>8</v>
      </c>
      <c r="MF483" s="27" t="s">
        <v>7</v>
      </c>
      <c r="MG483" s="27" t="s">
        <v>8</v>
      </c>
      <c r="MH483" s="27" t="s">
        <v>7</v>
      </c>
    </row>
    <row r="484" spans="1:373" x14ac:dyDescent="0.25">
      <c r="A484" s="7">
        <v>7.688076417858337</v>
      </c>
      <c r="B484"/>
      <c r="C484"/>
      <c r="D484"/>
      <c r="E484"/>
      <c r="JK484" s="27" t="s">
        <v>8</v>
      </c>
      <c r="JL484" s="27" t="s">
        <v>7</v>
      </c>
      <c r="JM484" s="27" t="s">
        <v>8</v>
      </c>
      <c r="JN484" s="27" t="s">
        <v>7</v>
      </c>
      <c r="MA484" s="27" t="s">
        <v>8</v>
      </c>
      <c r="MB484" s="27" t="s">
        <v>7</v>
      </c>
      <c r="MC484" s="27" t="s">
        <v>8</v>
      </c>
      <c r="MD484" s="27" t="s">
        <v>7</v>
      </c>
      <c r="ME484" s="27" t="s">
        <v>8</v>
      </c>
      <c r="MF484" s="27" t="s">
        <v>7</v>
      </c>
      <c r="MG484" s="27" t="s">
        <v>8</v>
      </c>
      <c r="MH484" s="27" t="s">
        <v>7</v>
      </c>
    </row>
    <row r="485" spans="1:373" x14ac:dyDescent="0.25">
      <c r="A485" s="7">
        <v>7.5373298214297417</v>
      </c>
      <c r="B485"/>
      <c r="C485"/>
      <c r="D485"/>
      <c r="E485"/>
      <c r="JK485" s="27" t="s">
        <v>8</v>
      </c>
      <c r="JL485" s="27" t="s">
        <v>7</v>
      </c>
      <c r="JM485" s="27" t="s">
        <v>8</v>
      </c>
      <c r="JN485" s="27" t="s">
        <v>7</v>
      </c>
      <c r="MA485" s="27" t="s">
        <v>8</v>
      </c>
      <c r="MB485" s="27" t="s">
        <v>7</v>
      </c>
      <c r="MD485" s="27" t="s">
        <v>7</v>
      </c>
      <c r="ME485" s="27" t="s">
        <v>8</v>
      </c>
      <c r="MF485" s="27" t="s">
        <v>7</v>
      </c>
      <c r="MG485" s="27" t="s">
        <v>8</v>
      </c>
      <c r="MH485" s="27" t="s">
        <v>7</v>
      </c>
    </row>
    <row r="486" spans="1:373" x14ac:dyDescent="0.25">
      <c r="A486" s="7">
        <v>7.389539040617394</v>
      </c>
      <c r="B486"/>
      <c r="C486"/>
      <c r="D486"/>
      <c r="E486"/>
      <c r="IY486" s="27" t="s">
        <v>8</v>
      </c>
      <c r="JK486" s="27" t="s">
        <v>8</v>
      </c>
      <c r="JL486" s="27" t="s">
        <v>7</v>
      </c>
      <c r="JM486" s="27" t="s">
        <v>8</v>
      </c>
      <c r="JN486" s="27" t="s">
        <v>7</v>
      </c>
      <c r="MA486" s="27" t="s">
        <v>8</v>
      </c>
      <c r="MD486" s="27" t="s">
        <v>7</v>
      </c>
      <c r="ME486" s="27" t="s">
        <v>8</v>
      </c>
      <c r="MF486" s="27" t="s">
        <v>7</v>
      </c>
      <c r="MH486" s="27" t="s">
        <v>7</v>
      </c>
    </row>
    <row r="487" spans="1:373" x14ac:dyDescent="0.25">
      <c r="A487" s="7">
        <v>7.2446461182523469</v>
      </c>
      <c r="B487"/>
      <c r="C487"/>
      <c r="D487"/>
      <c r="E487"/>
      <c r="IY487" s="27" t="s">
        <v>8</v>
      </c>
      <c r="IZ487" s="27" t="s">
        <v>7</v>
      </c>
      <c r="JI487" s="27" t="s">
        <v>8</v>
      </c>
      <c r="JK487" s="27" t="s">
        <v>8</v>
      </c>
      <c r="JL487" s="27" t="s">
        <v>7</v>
      </c>
      <c r="JM487" s="27" t="s">
        <v>8</v>
      </c>
      <c r="JN487" s="27" t="s">
        <v>7</v>
      </c>
      <c r="LY487" s="27" t="s">
        <v>8</v>
      </c>
      <c r="MA487" s="27" t="s">
        <v>8</v>
      </c>
      <c r="MD487" s="27" t="s">
        <v>7</v>
      </c>
      <c r="MH487" s="27" t="s">
        <v>7</v>
      </c>
    </row>
    <row r="488" spans="1:373" x14ac:dyDescent="0.25">
      <c r="A488" s="7">
        <v>7.1025942335807324</v>
      </c>
      <c r="B488"/>
      <c r="C488"/>
      <c r="D488"/>
      <c r="E488"/>
      <c r="IY488" s="27" t="s">
        <v>8</v>
      </c>
      <c r="IZ488" s="27" t="s">
        <v>7</v>
      </c>
      <c r="JI488" s="27" t="s">
        <v>8</v>
      </c>
      <c r="JJ488" s="27" t="s">
        <v>7</v>
      </c>
      <c r="JK488" s="27" t="s">
        <v>8</v>
      </c>
      <c r="JL488" s="27" t="s">
        <v>7</v>
      </c>
      <c r="JM488" s="27" t="s">
        <v>8</v>
      </c>
      <c r="JN488" s="27" t="s">
        <v>7</v>
      </c>
      <c r="JO488" s="27" t="s">
        <v>8</v>
      </c>
      <c r="JQ488" s="27" t="s">
        <v>8</v>
      </c>
      <c r="LY488" s="27" t="s">
        <v>8</v>
      </c>
      <c r="LZ488" s="27" t="s">
        <v>7</v>
      </c>
      <c r="MA488" s="27" t="s">
        <v>8</v>
      </c>
      <c r="MH488" s="27" t="s">
        <v>7</v>
      </c>
      <c r="MI488" s="27" t="s">
        <v>8</v>
      </c>
    </row>
    <row r="489" spans="1:373" x14ac:dyDescent="0.25">
      <c r="A489" s="7">
        <v>6.9633276799811101</v>
      </c>
      <c r="B489"/>
      <c r="C489"/>
      <c r="D489"/>
      <c r="E489"/>
      <c r="IY489" s="27" t="s">
        <v>8</v>
      </c>
      <c r="IZ489" s="27" t="s">
        <v>7</v>
      </c>
      <c r="JA489" s="27" t="s">
        <v>8</v>
      </c>
      <c r="JI489" s="27" t="s">
        <v>8</v>
      </c>
      <c r="JJ489" s="27" t="s">
        <v>7</v>
      </c>
      <c r="JK489" s="27" t="s">
        <v>8</v>
      </c>
      <c r="JL489" s="27" t="s">
        <v>7</v>
      </c>
      <c r="JM489" s="27" t="s">
        <v>8</v>
      </c>
      <c r="JN489" s="27" t="s">
        <v>7</v>
      </c>
      <c r="JO489" s="27" t="s">
        <v>8</v>
      </c>
      <c r="JP489" s="27" t="s">
        <v>7</v>
      </c>
      <c r="JQ489" s="27" t="s">
        <v>8</v>
      </c>
      <c r="JR489" s="27" t="s">
        <v>7</v>
      </c>
      <c r="KA489" s="27" t="s">
        <v>8</v>
      </c>
      <c r="KC489" s="27" t="s">
        <v>8</v>
      </c>
      <c r="LY489" s="27" t="s">
        <v>8</v>
      </c>
      <c r="LZ489" s="27" t="s">
        <v>7</v>
      </c>
      <c r="MA489" s="27" t="s">
        <v>8</v>
      </c>
      <c r="MH489" s="27" t="s">
        <v>7</v>
      </c>
      <c r="MI489" s="27" t="s">
        <v>8</v>
      </c>
      <c r="MJ489" s="27" t="s">
        <v>7</v>
      </c>
    </row>
    <row r="490" spans="1:373" x14ac:dyDescent="0.25">
      <c r="A490" s="7">
        <v>6.8267918431187349</v>
      </c>
      <c r="B490"/>
      <c r="C490"/>
      <c r="D490"/>
      <c r="E490"/>
      <c r="IY490" s="27" t="s">
        <v>8</v>
      </c>
      <c r="IZ490" s="27" t="s">
        <v>7</v>
      </c>
      <c r="JA490" s="27" t="s">
        <v>8</v>
      </c>
      <c r="JB490" s="27" t="s">
        <v>7</v>
      </c>
      <c r="JI490" s="27" t="s">
        <v>8</v>
      </c>
      <c r="JJ490" s="27" t="s">
        <v>7</v>
      </c>
      <c r="JK490" s="27" t="s">
        <v>8</v>
      </c>
      <c r="JL490" s="27" t="s">
        <v>7</v>
      </c>
      <c r="JM490" s="27" t="s">
        <v>8</v>
      </c>
      <c r="JN490" s="27" t="s">
        <v>7</v>
      </c>
      <c r="JO490" s="27" t="s">
        <v>8</v>
      </c>
      <c r="JP490" s="27" t="s">
        <v>7</v>
      </c>
      <c r="JQ490" s="27" t="s">
        <v>8</v>
      </c>
      <c r="JR490" s="27" t="s">
        <v>7</v>
      </c>
      <c r="KA490" s="27" t="s">
        <v>8</v>
      </c>
      <c r="KB490" s="27" t="s">
        <v>7</v>
      </c>
      <c r="KC490" s="27" t="s">
        <v>8</v>
      </c>
      <c r="KD490" s="27" t="s">
        <v>7</v>
      </c>
      <c r="LW490" s="27" t="s">
        <v>8</v>
      </c>
      <c r="LY490" s="27" t="s">
        <v>8</v>
      </c>
      <c r="LZ490" s="27" t="s">
        <v>7</v>
      </c>
      <c r="MA490" s="27" t="s">
        <v>8</v>
      </c>
      <c r="MH490" s="27" t="s">
        <v>7</v>
      </c>
      <c r="MI490" s="27" t="s">
        <v>8</v>
      </c>
      <c r="MJ490" s="27" t="s">
        <v>7</v>
      </c>
      <c r="MK490" s="27" t="s">
        <v>8</v>
      </c>
      <c r="MU490" s="27" t="s">
        <v>8</v>
      </c>
    </row>
    <row r="491" spans="1:373" x14ac:dyDescent="0.25">
      <c r="A491" s="7">
        <v>6.692933179528171</v>
      </c>
      <c r="B491"/>
      <c r="C491"/>
      <c r="D491"/>
      <c r="E491"/>
      <c r="IY491" s="27" t="s">
        <v>8</v>
      </c>
      <c r="IZ491" s="27" t="s">
        <v>7</v>
      </c>
      <c r="JA491" s="27" t="s">
        <v>8</v>
      </c>
      <c r="JB491" s="27" t="s">
        <v>7</v>
      </c>
      <c r="JI491" s="27" t="s">
        <v>8</v>
      </c>
      <c r="JJ491" s="27" t="s">
        <v>7</v>
      </c>
      <c r="JK491" s="27" t="s">
        <v>8</v>
      </c>
      <c r="JL491" s="27" t="s">
        <v>7</v>
      </c>
      <c r="JM491" s="27" t="s">
        <v>8</v>
      </c>
      <c r="JN491" s="27" t="s">
        <v>7</v>
      </c>
      <c r="JO491" s="27" t="s">
        <v>8</v>
      </c>
      <c r="JP491" s="27" t="s">
        <v>7</v>
      </c>
      <c r="JQ491" s="27" t="s">
        <v>8</v>
      </c>
      <c r="JR491" s="27" t="s">
        <v>7</v>
      </c>
      <c r="KA491" s="27" t="s">
        <v>8</v>
      </c>
      <c r="KB491" s="27" t="s">
        <v>7</v>
      </c>
      <c r="KC491" s="27" t="s">
        <v>8</v>
      </c>
      <c r="KD491" s="27" t="s">
        <v>7</v>
      </c>
      <c r="LQ491" s="27" t="s">
        <v>8</v>
      </c>
      <c r="LW491" s="27" t="s">
        <v>8</v>
      </c>
      <c r="LX491" s="27" t="s">
        <v>7</v>
      </c>
      <c r="LY491" s="27" t="s">
        <v>8</v>
      </c>
      <c r="LZ491" s="27" t="s">
        <v>7</v>
      </c>
      <c r="MA491" s="27" t="s">
        <v>8</v>
      </c>
      <c r="MH491" s="27" t="s">
        <v>7</v>
      </c>
      <c r="MI491" s="27" t="s">
        <v>8</v>
      </c>
      <c r="MJ491" s="27" t="s">
        <v>7</v>
      </c>
      <c r="MK491" s="27" t="s">
        <v>8</v>
      </c>
      <c r="ML491" s="27" t="s">
        <v>7</v>
      </c>
      <c r="MU491" s="27" t="s">
        <v>8</v>
      </c>
      <c r="MV491" s="27" t="s">
        <v>7</v>
      </c>
    </row>
    <row r="492" spans="1:373" x14ac:dyDescent="0.25">
      <c r="A492" s="7">
        <v>6.5616991956158541</v>
      </c>
      <c r="B492"/>
      <c r="C492"/>
      <c r="D492"/>
      <c r="E492"/>
      <c r="IY492" s="27" t="s">
        <v>8</v>
      </c>
      <c r="IZ492" s="27" t="s">
        <v>7</v>
      </c>
      <c r="JA492" s="27" t="s">
        <v>8</v>
      </c>
      <c r="JB492" s="27" t="s">
        <v>7</v>
      </c>
      <c r="JG492" s="27" t="s">
        <v>8</v>
      </c>
      <c r="JI492" s="27" t="s">
        <v>8</v>
      </c>
      <c r="JJ492" s="27" t="s">
        <v>7</v>
      </c>
      <c r="JK492" s="27" t="s">
        <v>8</v>
      </c>
      <c r="JL492" s="27" t="s">
        <v>7</v>
      </c>
      <c r="JM492" s="27" t="s">
        <v>8</v>
      </c>
      <c r="JN492" s="27" t="s">
        <v>7</v>
      </c>
      <c r="JO492" s="27" t="s">
        <v>8</v>
      </c>
      <c r="JP492" s="27" t="s">
        <v>7</v>
      </c>
      <c r="JQ492" s="27" t="s">
        <v>8</v>
      </c>
      <c r="JR492" s="27" t="s">
        <v>7</v>
      </c>
      <c r="KA492" s="27" t="s">
        <v>8</v>
      </c>
      <c r="KB492" s="27" t="s">
        <v>7</v>
      </c>
      <c r="KC492" s="27" t="s">
        <v>8</v>
      </c>
      <c r="KD492" s="27" t="s">
        <v>7</v>
      </c>
      <c r="LQ492" s="27" t="s">
        <v>8</v>
      </c>
      <c r="LR492" s="27" t="s">
        <v>7</v>
      </c>
      <c r="LW492" s="27" t="s">
        <v>8</v>
      </c>
      <c r="LX492" s="27" t="s">
        <v>7</v>
      </c>
      <c r="LY492" s="27" t="s">
        <v>8</v>
      </c>
      <c r="LZ492" s="27" t="s">
        <v>7</v>
      </c>
      <c r="MA492" s="27" t="s">
        <v>8</v>
      </c>
      <c r="MH492" s="27" t="s">
        <v>7</v>
      </c>
      <c r="MI492" s="27" t="s">
        <v>8</v>
      </c>
      <c r="MJ492" s="27" t="s">
        <v>7</v>
      </c>
      <c r="MK492" s="27" t="s">
        <v>8</v>
      </c>
      <c r="ML492" s="27" t="s">
        <v>7</v>
      </c>
      <c r="MM492" s="27" t="s">
        <v>8</v>
      </c>
      <c r="MS492" s="27" t="s">
        <v>8</v>
      </c>
      <c r="MU492" s="27" t="s">
        <v>8</v>
      </c>
      <c r="MV492" s="27" t="s">
        <v>7</v>
      </c>
    </row>
    <row r="493" spans="1:373" x14ac:dyDescent="0.25">
      <c r="A493" s="7">
        <v>6.4330384270743668</v>
      </c>
      <c r="B493"/>
      <c r="C493"/>
      <c r="D493"/>
      <c r="E493"/>
      <c r="IY493" s="27" t="s">
        <v>8</v>
      </c>
      <c r="IZ493" s="27" t="s">
        <v>7</v>
      </c>
      <c r="JA493" s="27" t="s">
        <v>8</v>
      </c>
      <c r="JB493" s="27" t="s">
        <v>7</v>
      </c>
      <c r="JG493" s="27" t="s">
        <v>8</v>
      </c>
      <c r="JH493" s="27" t="s">
        <v>7</v>
      </c>
      <c r="JI493" s="27" t="s">
        <v>8</v>
      </c>
      <c r="JJ493" s="27" t="s">
        <v>7</v>
      </c>
      <c r="JK493" s="27" t="s">
        <v>8</v>
      </c>
      <c r="JL493" s="27" t="s">
        <v>7</v>
      </c>
      <c r="JM493" s="27" t="s">
        <v>8</v>
      </c>
      <c r="JN493" s="27" t="s">
        <v>7</v>
      </c>
      <c r="JO493" s="27" t="s">
        <v>8</v>
      </c>
      <c r="JP493" s="27" t="s">
        <v>7</v>
      </c>
      <c r="JQ493" s="27" t="s">
        <v>8</v>
      </c>
      <c r="JR493" s="27" t="s">
        <v>7</v>
      </c>
      <c r="KA493" s="27" t="s">
        <v>8</v>
      </c>
      <c r="KB493" s="27" t="s">
        <v>7</v>
      </c>
      <c r="KC493" s="27" t="s">
        <v>8</v>
      </c>
      <c r="KD493" s="27" t="s">
        <v>7</v>
      </c>
      <c r="KE493" s="27" t="s">
        <v>8</v>
      </c>
      <c r="LQ493" s="27" t="s">
        <v>8</v>
      </c>
      <c r="LR493" s="27" t="s">
        <v>7</v>
      </c>
      <c r="LU493" s="27" t="s">
        <v>8</v>
      </c>
      <c r="LW493" s="27" t="s">
        <v>8</v>
      </c>
      <c r="LX493" s="27" t="s">
        <v>7</v>
      </c>
      <c r="LY493" s="27" t="s">
        <v>8</v>
      </c>
      <c r="LZ493" s="27" t="s">
        <v>7</v>
      </c>
      <c r="MA493" s="27" t="s">
        <v>8</v>
      </c>
      <c r="MH493" s="27" t="s">
        <v>7</v>
      </c>
      <c r="MI493" s="27" t="s">
        <v>8</v>
      </c>
      <c r="MJ493" s="27" t="s">
        <v>7</v>
      </c>
      <c r="MK493" s="27" t="s">
        <v>8</v>
      </c>
      <c r="ML493" s="27" t="s">
        <v>7</v>
      </c>
      <c r="MM493" s="27" t="s">
        <v>8</v>
      </c>
      <c r="MN493" s="27" t="s">
        <v>7</v>
      </c>
      <c r="MO493" s="27" t="s">
        <v>8</v>
      </c>
      <c r="MS493" s="27" t="s">
        <v>8</v>
      </c>
      <c r="MT493" s="27" t="s">
        <v>7</v>
      </c>
      <c r="MU493" s="27" t="s">
        <v>8</v>
      </c>
      <c r="MV493" s="27" t="s">
        <v>7</v>
      </c>
      <c r="NE493" s="27" t="s">
        <v>8</v>
      </c>
    </row>
    <row r="494" spans="1:373" x14ac:dyDescent="0.25">
      <c r="A494" s="7">
        <v>6.3069004187003594</v>
      </c>
      <c r="B494"/>
      <c r="C494"/>
      <c r="D494"/>
      <c r="E494"/>
      <c r="IY494" s="27" t="s">
        <v>8</v>
      </c>
      <c r="IZ494" s="27" t="s">
        <v>7</v>
      </c>
      <c r="JA494" s="27" t="s">
        <v>8</v>
      </c>
      <c r="JB494" s="27" t="s">
        <v>7</v>
      </c>
      <c r="JE494" s="27" t="s">
        <v>8</v>
      </c>
      <c r="JG494" s="27" t="s">
        <v>8</v>
      </c>
      <c r="JH494" s="27" t="s">
        <v>7</v>
      </c>
      <c r="JI494" s="27" t="s">
        <v>8</v>
      </c>
      <c r="JJ494" s="27" t="s">
        <v>7</v>
      </c>
      <c r="JK494" s="27" t="s">
        <v>8</v>
      </c>
      <c r="JL494" s="27" t="s">
        <v>7</v>
      </c>
      <c r="JM494" s="27" t="s">
        <v>8</v>
      </c>
      <c r="JN494" s="27" t="s">
        <v>7</v>
      </c>
      <c r="JO494" s="27" t="s">
        <v>8</v>
      </c>
      <c r="JP494" s="27" t="s">
        <v>7</v>
      </c>
      <c r="JR494" s="27" t="s">
        <v>7</v>
      </c>
      <c r="KA494" s="27" t="s">
        <v>8</v>
      </c>
      <c r="KB494" s="27" t="s">
        <v>7</v>
      </c>
      <c r="KC494" s="27" t="s">
        <v>8</v>
      </c>
      <c r="KD494" s="27" t="s">
        <v>7</v>
      </c>
      <c r="KE494" s="27" t="s">
        <v>8</v>
      </c>
      <c r="KF494" s="27" t="s">
        <v>7</v>
      </c>
      <c r="LQ494" s="27" t="s">
        <v>8</v>
      </c>
      <c r="LR494" s="27" t="s">
        <v>7</v>
      </c>
      <c r="LU494" s="27" t="s">
        <v>8</v>
      </c>
      <c r="LV494" s="27" t="s">
        <v>7</v>
      </c>
      <c r="LW494" s="27" t="s">
        <v>8</v>
      </c>
      <c r="LX494" s="27" t="s">
        <v>7</v>
      </c>
      <c r="LZ494" s="27" t="s">
        <v>7</v>
      </c>
      <c r="MA494" s="27" t="s">
        <v>8</v>
      </c>
      <c r="MH494" s="27" t="s">
        <v>7</v>
      </c>
      <c r="MI494" s="27" t="s">
        <v>8</v>
      </c>
      <c r="MJ494" s="27" t="s">
        <v>7</v>
      </c>
      <c r="MK494" s="27" t="s">
        <v>8</v>
      </c>
      <c r="ML494" s="27" t="s">
        <v>7</v>
      </c>
      <c r="MM494" s="27" t="s">
        <v>8</v>
      </c>
      <c r="MN494" s="27" t="s">
        <v>7</v>
      </c>
      <c r="MO494" s="27" t="s">
        <v>8</v>
      </c>
      <c r="MP494" s="27" t="s">
        <v>7</v>
      </c>
      <c r="MS494" s="27" t="s">
        <v>8</v>
      </c>
      <c r="MT494" s="27" t="s">
        <v>7</v>
      </c>
      <c r="MU494" s="27" t="s">
        <v>8</v>
      </c>
      <c r="MV494" s="27" t="s">
        <v>7</v>
      </c>
      <c r="NE494" s="27" t="s">
        <v>8</v>
      </c>
      <c r="NF494" s="27" t="s">
        <v>7</v>
      </c>
    </row>
    <row r="495" spans="1:373" x14ac:dyDescent="0.25">
      <c r="A495" s="7">
        <v>6.1832357046081956</v>
      </c>
      <c r="B495"/>
      <c r="C495"/>
      <c r="D495"/>
      <c r="E495"/>
      <c r="IY495" s="27" t="s">
        <v>8</v>
      </c>
      <c r="IZ495" s="27" t="s">
        <v>7</v>
      </c>
      <c r="JA495" s="27" t="s">
        <v>8</v>
      </c>
      <c r="JB495" s="27" t="s">
        <v>7</v>
      </c>
      <c r="JC495" s="27" t="s">
        <v>8</v>
      </c>
      <c r="JE495" s="27" t="s">
        <v>8</v>
      </c>
      <c r="JF495" s="27" t="s">
        <v>7</v>
      </c>
      <c r="JG495" s="27" t="s">
        <v>8</v>
      </c>
      <c r="JH495" s="27" t="s">
        <v>7</v>
      </c>
      <c r="JI495" s="27" t="s">
        <v>8</v>
      </c>
      <c r="JJ495" s="27" t="s">
        <v>7</v>
      </c>
      <c r="JL495" s="27" t="s">
        <v>7</v>
      </c>
      <c r="JN495" s="27" t="s">
        <v>7</v>
      </c>
      <c r="JR495" s="27" t="s">
        <v>7</v>
      </c>
      <c r="KA495" s="27" t="s">
        <v>8</v>
      </c>
      <c r="KB495" s="27" t="s">
        <v>7</v>
      </c>
      <c r="KC495" s="27" t="s">
        <v>8</v>
      </c>
      <c r="KD495" s="27" t="s">
        <v>7</v>
      </c>
      <c r="KE495" s="27" t="s">
        <v>8</v>
      </c>
      <c r="KF495" s="27" t="s">
        <v>7</v>
      </c>
      <c r="LQ495" s="27" t="s">
        <v>8</v>
      </c>
      <c r="LR495" s="27" t="s">
        <v>7</v>
      </c>
      <c r="LS495" s="27" t="s">
        <v>8</v>
      </c>
      <c r="LU495" s="27" t="s">
        <v>8</v>
      </c>
      <c r="LV495" s="27" t="s">
        <v>7</v>
      </c>
      <c r="LW495" s="27" t="s">
        <v>8</v>
      </c>
      <c r="LZ495" s="27" t="s">
        <v>7</v>
      </c>
      <c r="MA495" s="27" t="s">
        <v>8</v>
      </c>
      <c r="MH495" s="27" t="s">
        <v>7</v>
      </c>
      <c r="MI495" s="27" t="s">
        <v>8</v>
      </c>
      <c r="MJ495" s="27" t="s">
        <v>7</v>
      </c>
      <c r="ML495" s="27" t="s">
        <v>7</v>
      </c>
      <c r="MM495" s="27" t="s">
        <v>8</v>
      </c>
      <c r="MN495" s="27" t="s">
        <v>7</v>
      </c>
      <c r="MO495" s="27" t="s">
        <v>8</v>
      </c>
      <c r="MP495" s="27" t="s">
        <v>7</v>
      </c>
      <c r="MS495" s="27" t="s">
        <v>8</v>
      </c>
      <c r="MT495" s="27" t="s">
        <v>7</v>
      </c>
      <c r="MU495" s="27" t="s">
        <v>8</v>
      </c>
      <c r="MV495" s="27" t="s">
        <v>7</v>
      </c>
      <c r="MW495" s="27" t="s">
        <v>8</v>
      </c>
      <c r="NE495" s="27" t="s">
        <v>8</v>
      </c>
      <c r="NF495" s="27" t="s">
        <v>7</v>
      </c>
      <c r="NG495" s="27" t="s">
        <v>8</v>
      </c>
    </row>
    <row r="496" spans="1:373" x14ac:dyDescent="0.25">
      <c r="A496" s="7">
        <v>6.0619957888315641</v>
      </c>
      <c r="B496"/>
      <c r="C496"/>
      <c r="D496"/>
      <c r="E496"/>
      <c r="IY496" s="27" t="s">
        <v>8</v>
      </c>
      <c r="IZ496" s="27" t="s">
        <v>7</v>
      </c>
      <c r="JA496" s="27" t="s">
        <v>8</v>
      </c>
      <c r="JB496" s="27" t="s">
        <v>7</v>
      </c>
      <c r="JC496" s="27" t="s">
        <v>8</v>
      </c>
      <c r="JD496" s="27" t="s">
        <v>7</v>
      </c>
      <c r="JE496" s="27" t="s">
        <v>8</v>
      </c>
      <c r="JF496" s="27" t="s">
        <v>7</v>
      </c>
      <c r="JG496" s="27" t="s">
        <v>8</v>
      </c>
      <c r="JH496" s="27" t="s">
        <v>7</v>
      </c>
      <c r="JI496" s="27" t="s">
        <v>8</v>
      </c>
      <c r="JR496" s="27" t="s">
        <v>7</v>
      </c>
      <c r="JY496" s="27" t="s">
        <v>8</v>
      </c>
      <c r="KA496" s="27" t="s">
        <v>8</v>
      </c>
      <c r="KB496" s="27" t="s">
        <v>7</v>
      </c>
      <c r="KC496" s="27" t="s">
        <v>8</v>
      </c>
      <c r="KD496" s="27" t="s">
        <v>7</v>
      </c>
      <c r="KE496" s="27" t="s">
        <v>8</v>
      </c>
      <c r="KF496" s="27" t="s">
        <v>7</v>
      </c>
      <c r="LQ496" s="27" t="s">
        <v>8</v>
      </c>
      <c r="LR496" s="27" t="s">
        <v>7</v>
      </c>
      <c r="LS496" s="27" t="s">
        <v>8</v>
      </c>
      <c r="LT496" s="27" t="s">
        <v>7</v>
      </c>
      <c r="LU496" s="27" t="s">
        <v>8</v>
      </c>
      <c r="LV496" s="27" t="s">
        <v>7</v>
      </c>
      <c r="LW496" s="27" t="s">
        <v>8</v>
      </c>
      <c r="LZ496" s="27" t="s">
        <v>7</v>
      </c>
      <c r="MH496" s="27" t="s">
        <v>7</v>
      </c>
      <c r="MI496" s="27" t="s">
        <v>8</v>
      </c>
      <c r="ML496" s="27" t="s">
        <v>7</v>
      </c>
      <c r="MM496" s="27" t="s">
        <v>8</v>
      </c>
      <c r="MN496" s="27" t="s">
        <v>7</v>
      </c>
      <c r="MO496" s="27" t="s">
        <v>8</v>
      </c>
      <c r="MP496" s="27" t="s">
        <v>7</v>
      </c>
      <c r="MQ496" s="27" t="s">
        <v>8</v>
      </c>
      <c r="MS496" s="27" t="s">
        <v>8</v>
      </c>
      <c r="MT496" s="27" t="s">
        <v>7</v>
      </c>
      <c r="MV496" s="27" t="s">
        <v>7</v>
      </c>
      <c r="MW496" s="27" t="s">
        <v>8</v>
      </c>
      <c r="MX496" s="27" t="s">
        <v>7</v>
      </c>
      <c r="NC496" s="27" t="s">
        <v>8</v>
      </c>
      <c r="NE496" s="27" t="s">
        <v>8</v>
      </c>
      <c r="NF496" s="27" t="s">
        <v>7</v>
      </c>
      <c r="NG496" s="27" t="s">
        <v>8</v>
      </c>
      <c r="NH496" s="27" t="s">
        <v>7</v>
      </c>
      <c r="NI496" s="27" t="s">
        <v>8</v>
      </c>
    </row>
    <row r="497" spans="1:412" x14ac:dyDescent="0.25">
      <c r="A497" s="7">
        <v>5.9431331263054545</v>
      </c>
      <c r="B497"/>
      <c r="C497"/>
      <c r="D497"/>
      <c r="E497"/>
      <c r="IY497" s="27" t="s">
        <v>8</v>
      </c>
      <c r="IZ497" s="27" t="s">
        <v>7</v>
      </c>
      <c r="JA497" s="27" t="s">
        <v>8</v>
      </c>
      <c r="JB497" s="27" t="s">
        <v>7</v>
      </c>
      <c r="JC497" s="27" t="s">
        <v>8</v>
      </c>
      <c r="JD497" s="27" t="s">
        <v>7</v>
      </c>
      <c r="JE497" s="27" t="s">
        <v>8</v>
      </c>
      <c r="JF497" s="27" t="s">
        <v>7</v>
      </c>
      <c r="JG497" s="27" t="s">
        <v>8</v>
      </c>
      <c r="JH497" s="27" t="s">
        <v>7</v>
      </c>
      <c r="JI497" s="27" t="s">
        <v>8</v>
      </c>
      <c r="JR497" s="27" t="s">
        <v>7</v>
      </c>
      <c r="JY497" s="27" t="s">
        <v>8</v>
      </c>
      <c r="JZ497" s="27" t="s">
        <v>7</v>
      </c>
      <c r="KA497" s="27" t="s">
        <v>8</v>
      </c>
      <c r="KB497" s="27" t="s">
        <v>7</v>
      </c>
      <c r="KC497" s="27" t="s">
        <v>8</v>
      </c>
      <c r="KD497" s="27" t="s">
        <v>7</v>
      </c>
      <c r="KE497" s="27" t="s">
        <v>8</v>
      </c>
      <c r="KF497" s="27" t="s">
        <v>7</v>
      </c>
      <c r="LQ497" s="27" t="s">
        <v>8</v>
      </c>
      <c r="LR497" s="27" t="s">
        <v>7</v>
      </c>
      <c r="LS497" s="27" t="s">
        <v>8</v>
      </c>
      <c r="LT497" s="27" t="s">
        <v>7</v>
      </c>
      <c r="LU497" s="27" t="s">
        <v>8</v>
      </c>
      <c r="LV497" s="27" t="s">
        <v>7</v>
      </c>
      <c r="LW497" s="27" t="s">
        <v>8</v>
      </c>
      <c r="MH497" s="27" t="s">
        <v>7</v>
      </c>
      <c r="MI497" s="27" t="s">
        <v>8</v>
      </c>
      <c r="ML497" s="27" t="s">
        <v>7</v>
      </c>
      <c r="MN497" s="27" t="s">
        <v>7</v>
      </c>
      <c r="MO497" s="27" t="s">
        <v>8</v>
      </c>
      <c r="MP497" s="27" t="s">
        <v>7</v>
      </c>
      <c r="MQ497" s="27" t="s">
        <v>8</v>
      </c>
      <c r="MR497" s="27" t="s">
        <v>7</v>
      </c>
      <c r="MS497" s="27" t="s">
        <v>8</v>
      </c>
      <c r="MV497" s="27" t="s">
        <v>7</v>
      </c>
      <c r="MW497" s="27" t="s">
        <v>8</v>
      </c>
      <c r="MX497" s="27" t="s">
        <v>7</v>
      </c>
      <c r="NA497" s="27" t="s">
        <v>8</v>
      </c>
      <c r="NC497" s="27" t="s">
        <v>8</v>
      </c>
      <c r="ND497" s="27" t="s">
        <v>7</v>
      </c>
      <c r="NE497" s="27" t="s">
        <v>8</v>
      </c>
      <c r="NF497" s="27" t="s">
        <v>7</v>
      </c>
      <c r="NG497" s="27" t="s">
        <v>8</v>
      </c>
      <c r="NH497" s="27" t="s">
        <v>7</v>
      </c>
      <c r="NI497" s="27" t="s">
        <v>8</v>
      </c>
      <c r="NJ497" s="27" t="s">
        <v>7</v>
      </c>
    </row>
    <row r="498" spans="1:412" x14ac:dyDescent="0.25">
      <c r="A498" s="7">
        <v>5.8266011042210337</v>
      </c>
      <c r="B498"/>
      <c r="C498"/>
      <c r="D498"/>
      <c r="E498"/>
      <c r="IY498" s="27" t="s">
        <v>8</v>
      </c>
      <c r="IZ498" s="27" t="s">
        <v>7</v>
      </c>
      <c r="JA498" s="27" t="s">
        <v>8</v>
      </c>
      <c r="JB498" s="27" t="s">
        <v>7</v>
      </c>
      <c r="JC498" s="27" t="s">
        <v>8</v>
      </c>
      <c r="JD498" s="27" t="s">
        <v>7</v>
      </c>
      <c r="JE498" s="27" t="s">
        <v>8</v>
      </c>
      <c r="JF498" s="27" t="s">
        <v>7</v>
      </c>
      <c r="JG498" s="27" t="s">
        <v>8</v>
      </c>
      <c r="JH498" s="27" t="s">
        <v>7</v>
      </c>
      <c r="JI498" s="27" t="s">
        <v>8</v>
      </c>
      <c r="JR498" s="27" t="s">
        <v>7</v>
      </c>
      <c r="JS498" s="27" t="s">
        <v>8</v>
      </c>
      <c r="JY498" s="27" t="s">
        <v>8</v>
      </c>
      <c r="JZ498" s="27" t="s">
        <v>7</v>
      </c>
      <c r="KA498" s="27" t="s">
        <v>8</v>
      </c>
      <c r="KB498" s="27" t="s">
        <v>7</v>
      </c>
      <c r="KC498" s="27" t="s">
        <v>8</v>
      </c>
      <c r="KD498" s="27" t="s">
        <v>7</v>
      </c>
      <c r="KE498" s="27" t="s">
        <v>8</v>
      </c>
      <c r="KF498" s="27" t="s">
        <v>7</v>
      </c>
      <c r="KG498" s="27" t="s">
        <v>8</v>
      </c>
      <c r="LQ498" s="27" t="s">
        <v>8</v>
      </c>
      <c r="LR498" s="27" t="s">
        <v>7</v>
      </c>
      <c r="LT498" s="27" t="s">
        <v>7</v>
      </c>
      <c r="LU498" s="27" t="s">
        <v>8</v>
      </c>
      <c r="LV498" s="27" t="s">
        <v>7</v>
      </c>
      <c r="LW498" s="27" t="s">
        <v>8</v>
      </c>
      <c r="MH498" s="27" t="s">
        <v>7</v>
      </c>
      <c r="MI498" s="27" t="s">
        <v>8</v>
      </c>
      <c r="MN498" s="27" t="s">
        <v>7</v>
      </c>
      <c r="MO498" s="27" t="s">
        <v>8</v>
      </c>
      <c r="MP498" s="27" t="s">
        <v>7</v>
      </c>
      <c r="MQ498" s="27" t="s">
        <v>8</v>
      </c>
      <c r="MR498" s="27" t="s">
        <v>7</v>
      </c>
      <c r="MS498" s="27" t="s">
        <v>8</v>
      </c>
      <c r="MV498" s="27" t="s">
        <v>7</v>
      </c>
      <c r="MW498" s="27" t="s">
        <v>8</v>
      </c>
      <c r="MX498" s="27" t="s">
        <v>7</v>
      </c>
      <c r="NA498" s="27" t="s">
        <v>8</v>
      </c>
      <c r="NB498" s="27" t="s">
        <v>7</v>
      </c>
      <c r="NC498" s="27" t="s">
        <v>8</v>
      </c>
      <c r="ND498" s="27" t="s">
        <v>7</v>
      </c>
      <c r="NE498" s="27" t="s">
        <v>8</v>
      </c>
      <c r="NF498" s="27" t="s">
        <v>7</v>
      </c>
      <c r="NG498" s="27" t="s">
        <v>8</v>
      </c>
      <c r="NH498" s="27" t="s">
        <v>7</v>
      </c>
      <c r="NI498" s="27" t="s">
        <v>8</v>
      </c>
      <c r="NJ498" s="27" t="s">
        <v>7</v>
      </c>
      <c r="NK498" s="27" t="s">
        <v>8</v>
      </c>
      <c r="OU498" s="27" t="s">
        <v>8</v>
      </c>
    </row>
    <row r="499" spans="1:412" x14ac:dyDescent="0.25">
      <c r="A499" s="7">
        <v>5.7123540237461112</v>
      </c>
      <c r="B499"/>
      <c r="C499"/>
      <c r="D499"/>
      <c r="E499"/>
      <c r="IY499" s="27" t="s">
        <v>8</v>
      </c>
      <c r="IZ499" s="27" t="s">
        <v>7</v>
      </c>
      <c r="JA499" s="27" t="s">
        <v>8</v>
      </c>
      <c r="JB499" s="27" t="s">
        <v>7</v>
      </c>
      <c r="JD499" s="27" t="s">
        <v>7</v>
      </c>
      <c r="JE499" s="27" t="s">
        <v>8</v>
      </c>
      <c r="JF499" s="27" t="s">
        <v>7</v>
      </c>
      <c r="JG499" s="27" t="s">
        <v>8</v>
      </c>
      <c r="JH499" s="27" t="s">
        <v>7</v>
      </c>
      <c r="JR499" s="27" t="s">
        <v>7</v>
      </c>
      <c r="JS499" s="27" t="s">
        <v>8</v>
      </c>
      <c r="JT499" s="27" t="s">
        <v>7</v>
      </c>
      <c r="JY499" s="27" t="s">
        <v>8</v>
      </c>
      <c r="JZ499" s="27" t="s">
        <v>7</v>
      </c>
      <c r="KA499" s="27" t="s">
        <v>8</v>
      </c>
      <c r="KB499" s="27" t="s">
        <v>7</v>
      </c>
      <c r="KC499" s="27" t="s">
        <v>8</v>
      </c>
      <c r="KD499" s="27" t="s">
        <v>7</v>
      </c>
      <c r="KE499" s="27" t="s">
        <v>8</v>
      </c>
      <c r="KF499" s="27" t="s">
        <v>7</v>
      </c>
      <c r="KG499" s="27" t="s">
        <v>8</v>
      </c>
      <c r="KH499" s="27" t="s">
        <v>7</v>
      </c>
      <c r="LO499" s="27" t="s">
        <v>8</v>
      </c>
      <c r="LQ499" s="27" t="s">
        <v>8</v>
      </c>
      <c r="LT499" s="27" t="s">
        <v>7</v>
      </c>
      <c r="LU499" s="27" t="s">
        <v>8</v>
      </c>
      <c r="LV499" s="27" t="s">
        <v>7</v>
      </c>
      <c r="MH499" s="27" t="s">
        <v>7</v>
      </c>
      <c r="MI499" s="27" t="s">
        <v>8</v>
      </c>
      <c r="MN499" s="27" t="s">
        <v>7</v>
      </c>
      <c r="MO499" s="27" t="s">
        <v>8</v>
      </c>
      <c r="MP499" s="27" t="s">
        <v>7</v>
      </c>
      <c r="MQ499" s="27" t="s">
        <v>8</v>
      </c>
      <c r="MR499" s="27" t="s">
        <v>7</v>
      </c>
      <c r="MS499" s="27" t="s">
        <v>8</v>
      </c>
      <c r="MV499" s="27" t="s">
        <v>7</v>
      </c>
      <c r="MW499" s="27" t="s">
        <v>8</v>
      </c>
      <c r="MX499" s="27" t="s">
        <v>7</v>
      </c>
      <c r="MY499" s="27" t="s">
        <v>8</v>
      </c>
      <c r="NA499" s="27" t="s">
        <v>8</v>
      </c>
      <c r="NB499" s="27" t="s">
        <v>7</v>
      </c>
      <c r="NC499" s="27" t="s">
        <v>8</v>
      </c>
      <c r="ND499" s="27" t="s">
        <v>7</v>
      </c>
      <c r="NE499" s="27" t="s">
        <v>8</v>
      </c>
      <c r="NF499" s="27" t="s">
        <v>7</v>
      </c>
      <c r="NH499" s="27" t="s">
        <v>7</v>
      </c>
      <c r="NI499" s="27" t="s">
        <v>8</v>
      </c>
      <c r="NJ499" s="27" t="s">
        <v>7</v>
      </c>
      <c r="NK499" s="27" t="s">
        <v>8</v>
      </c>
      <c r="NL499" s="27" t="s">
        <v>7</v>
      </c>
      <c r="OU499" s="27" t="s">
        <v>8</v>
      </c>
      <c r="OV499" s="27" t="s">
        <v>7</v>
      </c>
    </row>
    <row r="500" spans="1:412" x14ac:dyDescent="0.25">
      <c r="A500" s="7">
        <v>5.6003470821040304</v>
      </c>
      <c r="B500"/>
      <c r="C500"/>
      <c r="D500"/>
      <c r="E500"/>
      <c r="IY500" s="27" t="s">
        <v>8</v>
      </c>
      <c r="IZ500" s="27" t="s">
        <v>7</v>
      </c>
      <c r="JA500" s="27" t="s">
        <v>8</v>
      </c>
      <c r="JD500" s="27" t="s">
        <v>7</v>
      </c>
      <c r="JE500" s="27" t="s">
        <v>8</v>
      </c>
      <c r="JF500" s="27" t="s">
        <v>7</v>
      </c>
      <c r="JG500" s="27" t="s">
        <v>8</v>
      </c>
      <c r="JR500" s="27" t="s">
        <v>7</v>
      </c>
      <c r="JS500" s="27" t="s">
        <v>8</v>
      </c>
      <c r="JT500" s="27" t="s">
        <v>7</v>
      </c>
      <c r="JY500" s="27" t="s">
        <v>8</v>
      </c>
      <c r="JZ500" s="27" t="s">
        <v>7</v>
      </c>
      <c r="KA500" s="27" t="s">
        <v>8</v>
      </c>
      <c r="KB500" s="27" t="s">
        <v>7</v>
      </c>
      <c r="KD500" s="27" t="s">
        <v>7</v>
      </c>
      <c r="KE500" s="27" t="s">
        <v>8</v>
      </c>
      <c r="KF500" s="27" t="s">
        <v>7</v>
      </c>
      <c r="KG500" s="27" t="s">
        <v>8</v>
      </c>
      <c r="KH500" s="27" t="s">
        <v>7</v>
      </c>
      <c r="KO500" s="27" t="s">
        <v>8</v>
      </c>
      <c r="LM500" s="27" t="s">
        <v>8</v>
      </c>
      <c r="LO500" s="27" t="s">
        <v>8</v>
      </c>
      <c r="LP500" s="27" t="s">
        <v>7</v>
      </c>
      <c r="LQ500" s="27" t="s">
        <v>8</v>
      </c>
      <c r="LT500" s="27" t="s">
        <v>7</v>
      </c>
      <c r="LU500" s="27" t="s">
        <v>8</v>
      </c>
      <c r="MH500" s="27" t="s">
        <v>7</v>
      </c>
      <c r="MI500" s="27" t="s">
        <v>8</v>
      </c>
      <c r="MN500" s="27" t="s">
        <v>7</v>
      </c>
      <c r="MO500" s="27" t="s">
        <v>8</v>
      </c>
      <c r="MP500" s="27" t="s">
        <v>7</v>
      </c>
      <c r="MQ500" s="27" t="s">
        <v>8</v>
      </c>
      <c r="MR500" s="27" t="s">
        <v>7</v>
      </c>
      <c r="MS500" s="27" t="s">
        <v>8</v>
      </c>
      <c r="MV500" s="27" t="s">
        <v>7</v>
      </c>
      <c r="MX500" s="27" t="s">
        <v>7</v>
      </c>
      <c r="MY500" s="27" t="s">
        <v>8</v>
      </c>
      <c r="MZ500" s="27" t="s">
        <v>7</v>
      </c>
      <c r="NA500" s="27" t="s">
        <v>8</v>
      </c>
      <c r="NB500" s="27" t="s">
        <v>7</v>
      </c>
      <c r="ND500" s="27" t="s">
        <v>7</v>
      </c>
      <c r="NE500" s="27" t="s">
        <v>8</v>
      </c>
      <c r="NH500" s="27" t="s">
        <v>7</v>
      </c>
      <c r="NI500" s="27" t="s">
        <v>8</v>
      </c>
      <c r="NJ500" s="27" t="s">
        <v>7</v>
      </c>
      <c r="NK500" s="27" t="s">
        <v>8</v>
      </c>
      <c r="NL500" s="27" t="s">
        <v>7</v>
      </c>
      <c r="OU500" s="27" t="s">
        <v>8</v>
      </c>
      <c r="OV500" s="27" t="s">
        <v>7</v>
      </c>
    </row>
    <row r="501" spans="1:412" x14ac:dyDescent="0.25">
      <c r="A501" s="7">
        <v>5.4905363550039512</v>
      </c>
      <c r="B501"/>
      <c r="C501"/>
      <c r="D501"/>
      <c r="E501"/>
      <c r="EU501" s="27" t="s">
        <v>8</v>
      </c>
      <c r="IK501" s="27" t="s">
        <v>8</v>
      </c>
      <c r="IY501" s="27" t="s">
        <v>8</v>
      </c>
      <c r="IZ501" s="27" t="s">
        <v>7</v>
      </c>
      <c r="JA501" s="27" t="s">
        <v>8</v>
      </c>
      <c r="JD501" s="27" t="s">
        <v>7</v>
      </c>
      <c r="JE501" s="27" t="s">
        <v>8</v>
      </c>
      <c r="JF501" s="27" t="s">
        <v>7</v>
      </c>
      <c r="JG501" s="27" t="s">
        <v>8</v>
      </c>
      <c r="JR501" s="27" t="s">
        <v>7</v>
      </c>
      <c r="JS501" s="27" t="s">
        <v>8</v>
      </c>
      <c r="JT501" s="27" t="s">
        <v>7</v>
      </c>
      <c r="JY501" s="27" t="s">
        <v>8</v>
      </c>
      <c r="JZ501" s="27" t="s">
        <v>7</v>
      </c>
      <c r="KD501" s="27" t="s">
        <v>7</v>
      </c>
      <c r="KE501" s="27" t="s">
        <v>8</v>
      </c>
      <c r="KF501" s="27" t="s">
        <v>7</v>
      </c>
      <c r="KG501" s="27" t="s">
        <v>8</v>
      </c>
      <c r="KH501" s="27" t="s">
        <v>7</v>
      </c>
      <c r="KO501" s="27" t="s">
        <v>8</v>
      </c>
      <c r="KP501" s="27" t="s">
        <v>7</v>
      </c>
      <c r="LM501" s="27" t="s">
        <v>8</v>
      </c>
      <c r="LN501" s="27" t="s">
        <v>7</v>
      </c>
      <c r="LO501" s="27" t="s">
        <v>8</v>
      </c>
      <c r="LP501" s="27" t="s">
        <v>7</v>
      </c>
      <c r="LQ501" s="27" t="s">
        <v>8</v>
      </c>
      <c r="LT501" s="27" t="s">
        <v>7</v>
      </c>
      <c r="MH501" s="27" t="s">
        <v>7</v>
      </c>
      <c r="MI501" s="27" t="s">
        <v>8</v>
      </c>
      <c r="MN501" s="27" t="s">
        <v>7</v>
      </c>
      <c r="MO501" s="27" t="s">
        <v>8</v>
      </c>
      <c r="MP501" s="27" t="s">
        <v>7</v>
      </c>
      <c r="MQ501" s="27" t="s">
        <v>8</v>
      </c>
      <c r="MR501" s="27" t="s">
        <v>7</v>
      </c>
      <c r="MS501" s="27" t="s">
        <v>8</v>
      </c>
      <c r="MX501" s="27" t="s">
        <v>7</v>
      </c>
      <c r="MY501" s="27" t="s">
        <v>8</v>
      </c>
      <c r="MZ501" s="27" t="s">
        <v>7</v>
      </c>
      <c r="NA501" s="27" t="s">
        <v>8</v>
      </c>
      <c r="ND501" s="27" t="s">
        <v>7</v>
      </c>
      <c r="NE501" s="27" t="s">
        <v>8</v>
      </c>
      <c r="NH501" s="27" t="s">
        <v>7</v>
      </c>
      <c r="NJ501" s="27" t="s">
        <v>7</v>
      </c>
      <c r="NK501" s="27" t="s">
        <v>8</v>
      </c>
      <c r="NL501" s="27" t="s">
        <v>7</v>
      </c>
      <c r="NQ501" s="27" t="s">
        <v>8</v>
      </c>
      <c r="NU501" s="27" t="s">
        <v>8</v>
      </c>
      <c r="OU501" s="27" t="s">
        <v>8</v>
      </c>
      <c r="OV501" s="27" t="s">
        <v>7</v>
      </c>
    </row>
    <row r="502" spans="1:412" x14ac:dyDescent="0.25">
      <c r="A502" s="7">
        <v>5.3828787794156385</v>
      </c>
      <c r="B502"/>
      <c r="C502"/>
      <c r="D502"/>
      <c r="E502"/>
      <c r="EU502" s="27" t="s">
        <v>8</v>
      </c>
      <c r="EV502" s="27" t="s">
        <v>7</v>
      </c>
      <c r="IK502" s="27" t="s">
        <v>8</v>
      </c>
      <c r="IL502" s="27" t="s">
        <v>7</v>
      </c>
      <c r="IY502" s="27" t="s">
        <v>8</v>
      </c>
      <c r="IZ502" s="27" t="s">
        <v>7</v>
      </c>
      <c r="JA502" s="27" t="s">
        <v>8</v>
      </c>
      <c r="JD502" s="27" t="s">
        <v>7</v>
      </c>
      <c r="JE502" s="27" t="s">
        <v>8</v>
      </c>
      <c r="JF502" s="27" t="s">
        <v>7</v>
      </c>
      <c r="JR502" s="27" t="s">
        <v>7</v>
      </c>
      <c r="JS502" s="27" t="s">
        <v>8</v>
      </c>
      <c r="JT502" s="27" t="s">
        <v>7</v>
      </c>
      <c r="JW502" s="27" t="s">
        <v>8</v>
      </c>
      <c r="JY502" s="27" t="s">
        <v>8</v>
      </c>
      <c r="KD502" s="27" t="s">
        <v>7</v>
      </c>
      <c r="KE502" s="27" t="s">
        <v>8</v>
      </c>
      <c r="KF502" s="27" t="s">
        <v>7</v>
      </c>
      <c r="KG502" s="27" t="s">
        <v>8</v>
      </c>
      <c r="KH502" s="27" t="s">
        <v>7</v>
      </c>
      <c r="KO502" s="27" t="s">
        <v>8</v>
      </c>
      <c r="KP502" s="27" t="s">
        <v>7</v>
      </c>
      <c r="LM502" s="27" t="s">
        <v>8</v>
      </c>
      <c r="LN502" s="27" t="s">
        <v>7</v>
      </c>
      <c r="LO502" s="27" t="s">
        <v>8</v>
      </c>
      <c r="LP502" s="27" t="s">
        <v>7</v>
      </c>
      <c r="LQ502" s="27" t="s">
        <v>8</v>
      </c>
      <c r="MH502" s="27" t="s">
        <v>7</v>
      </c>
      <c r="MN502" s="27" t="s">
        <v>7</v>
      </c>
      <c r="MO502" s="27" t="s">
        <v>8</v>
      </c>
      <c r="MP502" s="27" t="s">
        <v>7</v>
      </c>
      <c r="MR502" s="27" t="s">
        <v>7</v>
      </c>
      <c r="MS502" s="27" t="s">
        <v>8</v>
      </c>
      <c r="MX502" s="27" t="s">
        <v>7</v>
      </c>
      <c r="MZ502" s="27" t="s">
        <v>7</v>
      </c>
      <c r="ND502" s="27" t="s">
        <v>7</v>
      </c>
      <c r="NE502" s="27" t="s">
        <v>8</v>
      </c>
      <c r="NJ502" s="27" t="s">
        <v>7</v>
      </c>
      <c r="NK502" s="27" t="s">
        <v>8</v>
      </c>
      <c r="NL502" s="27" t="s">
        <v>7</v>
      </c>
      <c r="NM502" s="27" t="s">
        <v>8</v>
      </c>
      <c r="NQ502" s="27" t="s">
        <v>8</v>
      </c>
      <c r="NR502" s="27" t="s">
        <v>7</v>
      </c>
      <c r="NU502" s="27" t="s">
        <v>8</v>
      </c>
      <c r="NV502" s="27" t="s">
        <v>7</v>
      </c>
      <c r="OU502" s="27" t="s">
        <v>8</v>
      </c>
      <c r="OV502" s="27" t="s">
        <v>7</v>
      </c>
    </row>
    <row r="503" spans="1:412" x14ac:dyDescent="0.25">
      <c r="A503" s="7">
        <v>5.2773321366819985</v>
      </c>
      <c r="B503"/>
      <c r="C503"/>
      <c r="D503"/>
      <c r="E503"/>
      <c r="EU503" s="27" t="s">
        <v>8</v>
      </c>
      <c r="EV503" s="27" t="s">
        <v>7</v>
      </c>
      <c r="IK503" s="27" t="s">
        <v>8</v>
      </c>
      <c r="IL503" s="27" t="s">
        <v>7</v>
      </c>
      <c r="IO503" s="27" t="s">
        <v>8</v>
      </c>
      <c r="IY503" s="27" t="s">
        <v>8</v>
      </c>
      <c r="IZ503" s="27" t="s">
        <v>7</v>
      </c>
      <c r="JA503" s="27" t="s">
        <v>8</v>
      </c>
      <c r="JD503" s="27" t="s">
        <v>7</v>
      </c>
      <c r="JE503" s="27" t="s">
        <v>8</v>
      </c>
      <c r="JR503" s="27" t="s">
        <v>7</v>
      </c>
      <c r="JS503" s="27" t="s">
        <v>8</v>
      </c>
      <c r="JT503" s="27" t="s">
        <v>7</v>
      </c>
      <c r="JW503" s="27" t="s">
        <v>8</v>
      </c>
      <c r="JX503" s="27" t="s">
        <v>7</v>
      </c>
      <c r="JY503" s="27" t="s">
        <v>8</v>
      </c>
      <c r="KD503" s="27" t="s">
        <v>7</v>
      </c>
      <c r="KF503" s="27" t="s">
        <v>7</v>
      </c>
      <c r="KG503" s="27" t="s">
        <v>8</v>
      </c>
      <c r="KH503" s="27" t="s">
        <v>7</v>
      </c>
      <c r="KO503" s="27" t="s">
        <v>8</v>
      </c>
      <c r="KP503" s="27" t="s">
        <v>7</v>
      </c>
      <c r="KQ503" s="27" t="s">
        <v>8</v>
      </c>
      <c r="LM503" s="27" t="s">
        <v>8</v>
      </c>
      <c r="LN503" s="27" t="s">
        <v>7</v>
      </c>
      <c r="LO503" s="27" t="s">
        <v>8</v>
      </c>
      <c r="LP503" s="27" t="s">
        <v>7</v>
      </c>
      <c r="LQ503" s="27" t="s">
        <v>8</v>
      </c>
      <c r="MN503" s="27" t="s">
        <v>7</v>
      </c>
      <c r="MO503" s="27" t="s">
        <v>8</v>
      </c>
      <c r="MR503" s="27" t="s">
        <v>7</v>
      </c>
      <c r="MS503" s="27" t="s">
        <v>8</v>
      </c>
      <c r="ND503" s="27" t="s">
        <v>7</v>
      </c>
      <c r="NE503" s="27" t="s">
        <v>8</v>
      </c>
      <c r="NJ503" s="27" t="s">
        <v>7</v>
      </c>
      <c r="NK503" s="27" t="s">
        <v>8</v>
      </c>
      <c r="NL503" s="27" t="s">
        <v>7</v>
      </c>
      <c r="NM503" s="27" t="s">
        <v>8</v>
      </c>
      <c r="NN503" s="27" t="s">
        <v>7</v>
      </c>
      <c r="NO503" s="27" t="s">
        <v>8</v>
      </c>
      <c r="NQ503" s="27" t="s">
        <v>8</v>
      </c>
      <c r="NR503" s="27" t="s">
        <v>7</v>
      </c>
      <c r="NU503" s="27" t="s">
        <v>8</v>
      </c>
      <c r="NV503" s="27" t="s">
        <v>7</v>
      </c>
      <c r="OU503" s="27" t="s">
        <v>8</v>
      </c>
      <c r="OV503" s="27" t="s">
        <v>7</v>
      </c>
    </row>
    <row r="504" spans="1:412" x14ac:dyDescent="0.25">
      <c r="A504" s="7">
        <v>5.1738550359627435</v>
      </c>
      <c r="B504"/>
      <c r="C504"/>
      <c r="D504"/>
      <c r="E504"/>
      <c r="EU504" s="27" t="s">
        <v>8</v>
      </c>
      <c r="EV504" s="27" t="s">
        <v>7</v>
      </c>
      <c r="IK504" s="27" t="s">
        <v>8</v>
      </c>
      <c r="IL504" s="27" t="s">
        <v>7</v>
      </c>
      <c r="IM504" s="27" t="s">
        <v>8</v>
      </c>
      <c r="IO504" s="27" t="s">
        <v>8</v>
      </c>
      <c r="IP504" s="27" t="s">
        <v>7</v>
      </c>
      <c r="IY504" s="27" t="s">
        <v>8</v>
      </c>
      <c r="IZ504" s="27" t="s">
        <v>7</v>
      </c>
      <c r="JA504" s="27" t="s">
        <v>8</v>
      </c>
      <c r="JD504" s="27" t="s">
        <v>7</v>
      </c>
      <c r="JE504" s="27" t="s">
        <v>8</v>
      </c>
      <c r="JR504" s="27" t="s">
        <v>7</v>
      </c>
      <c r="JS504" s="27" t="s">
        <v>8</v>
      </c>
      <c r="JT504" s="27" t="s">
        <v>7</v>
      </c>
      <c r="JW504" s="27" t="s">
        <v>8</v>
      </c>
      <c r="JX504" s="27" t="s">
        <v>7</v>
      </c>
      <c r="JY504" s="27" t="s">
        <v>8</v>
      </c>
      <c r="KF504" s="27" t="s">
        <v>7</v>
      </c>
      <c r="KG504" s="27" t="s">
        <v>8</v>
      </c>
      <c r="KH504" s="27" t="s">
        <v>7</v>
      </c>
      <c r="KO504" s="27" t="s">
        <v>8</v>
      </c>
      <c r="KP504" s="27" t="s">
        <v>7</v>
      </c>
      <c r="KQ504" s="27" t="s">
        <v>8</v>
      </c>
      <c r="KR504" s="27" t="s">
        <v>7</v>
      </c>
      <c r="LM504" s="27" t="s">
        <v>8</v>
      </c>
      <c r="LN504" s="27" t="s">
        <v>7</v>
      </c>
      <c r="LO504" s="27" t="s">
        <v>8</v>
      </c>
      <c r="LP504" s="27" t="s">
        <v>7</v>
      </c>
      <c r="LQ504" s="27" t="s">
        <v>8</v>
      </c>
      <c r="MN504" s="27" t="s">
        <v>7</v>
      </c>
      <c r="MO504" s="27" t="s">
        <v>8</v>
      </c>
      <c r="MR504" s="27" t="s">
        <v>7</v>
      </c>
      <c r="MS504" s="27" t="s">
        <v>8</v>
      </c>
      <c r="ND504" s="27" t="s">
        <v>7</v>
      </c>
      <c r="NE504" s="27" t="s">
        <v>8</v>
      </c>
      <c r="NJ504" s="27" t="s">
        <v>7</v>
      </c>
      <c r="NK504" s="27" t="s">
        <v>8</v>
      </c>
      <c r="NL504" s="27" t="s">
        <v>7</v>
      </c>
      <c r="NM504" s="27" t="s">
        <v>8</v>
      </c>
      <c r="NN504" s="27" t="s">
        <v>7</v>
      </c>
      <c r="NO504" s="27" t="s">
        <v>8</v>
      </c>
      <c r="NP504" s="27" t="s">
        <v>7</v>
      </c>
      <c r="NQ504" s="27" t="s">
        <v>8</v>
      </c>
      <c r="NR504" s="27" t="s">
        <v>7</v>
      </c>
      <c r="NS504" s="27" t="s">
        <v>8</v>
      </c>
      <c r="NU504" s="27" t="s">
        <v>8</v>
      </c>
      <c r="NV504" s="27" t="s">
        <v>7</v>
      </c>
      <c r="OS504" s="27" t="s">
        <v>8</v>
      </c>
      <c r="OU504" s="27" t="s">
        <v>8</v>
      </c>
      <c r="OV504" s="27" t="s">
        <v>7</v>
      </c>
    </row>
    <row r="505" spans="1:412" x14ac:dyDescent="0.25">
      <c r="A505" s="7">
        <v>5.07240689800269</v>
      </c>
      <c r="B505"/>
      <c r="C505"/>
      <c r="D505"/>
      <c r="E505"/>
      <c r="EU505" s="27" t="s">
        <v>8</v>
      </c>
      <c r="EV505" s="27" t="s">
        <v>7</v>
      </c>
      <c r="IK505" s="27" t="s">
        <v>8</v>
      </c>
      <c r="IL505" s="27" t="s">
        <v>7</v>
      </c>
      <c r="IM505" s="27" t="s">
        <v>8</v>
      </c>
      <c r="IN505" s="27" t="s">
        <v>7</v>
      </c>
      <c r="IO505" s="27" t="s">
        <v>8</v>
      </c>
      <c r="IP505" s="27" t="s">
        <v>7</v>
      </c>
      <c r="IY505" s="27" t="s">
        <v>8</v>
      </c>
      <c r="IZ505" s="27" t="s">
        <v>7</v>
      </c>
      <c r="JD505" s="27" t="s">
        <v>7</v>
      </c>
      <c r="JE505" s="27" t="s">
        <v>8</v>
      </c>
      <c r="JR505" s="27" t="s">
        <v>7</v>
      </c>
      <c r="JS505" s="27" t="s">
        <v>8</v>
      </c>
      <c r="JT505" s="27" t="s">
        <v>7</v>
      </c>
      <c r="JW505" s="27" t="s">
        <v>8</v>
      </c>
      <c r="JX505" s="27" t="s">
        <v>7</v>
      </c>
      <c r="JY505" s="27" t="s">
        <v>8</v>
      </c>
      <c r="KF505" s="27" t="s">
        <v>7</v>
      </c>
      <c r="KG505" s="27" t="s">
        <v>8</v>
      </c>
      <c r="KH505" s="27" t="s">
        <v>7</v>
      </c>
      <c r="KI505" s="27" t="s">
        <v>8</v>
      </c>
      <c r="KO505" s="27" t="s">
        <v>8</v>
      </c>
      <c r="KP505" s="27" t="s">
        <v>7</v>
      </c>
      <c r="KQ505" s="27" t="s">
        <v>8</v>
      </c>
      <c r="KR505" s="27" t="s">
        <v>7</v>
      </c>
      <c r="LM505" s="27" t="s">
        <v>8</v>
      </c>
      <c r="LN505" s="27" t="s">
        <v>7</v>
      </c>
      <c r="LO505" s="27" t="s">
        <v>8</v>
      </c>
      <c r="LP505" s="27" t="s">
        <v>7</v>
      </c>
      <c r="LQ505" s="27" t="s">
        <v>8</v>
      </c>
      <c r="MN505" s="27" t="s">
        <v>7</v>
      </c>
      <c r="MO505" s="27" t="s">
        <v>8</v>
      </c>
      <c r="MR505" s="27" t="s">
        <v>7</v>
      </c>
      <c r="MS505" s="27" t="s">
        <v>8</v>
      </c>
      <c r="ND505" s="27" t="s">
        <v>7</v>
      </c>
      <c r="NE505" s="27" t="s">
        <v>8</v>
      </c>
      <c r="NJ505" s="27" t="s">
        <v>7</v>
      </c>
      <c r="NL505" s="27" t="s">
        <v>7</v>
      </c>
      <c r="NM505" s="27" t="s">
        <v>8</v>
      </c>
      <c r="NN505" s="27" t="s">
        <v>7</v>
      </c>
      <c r="NO505" s="27" t="s">
        <v>8</v>
      </c>
      <c r="NP505" s="27" t="s">
        <v>7</v>
      </c>
      <c r="NQ505" s="27" t="s">
        <v>8</v>
      </c>
      <c r="NR505" s="27" t="s">
        <v>7</v>
      </c>
      <c r="NS505" s="27" t="s">
        <v>8</v>
      </c>
      <c r="NT505" s="27" t="s">
        <v>7</v>
      </c>
      <c r="NU505" s="27" t="s">
        <v>8</v>
      </c>
      <c r="NV505" s="27" t="s">
        <v>7</v>
      </c>
      <c r="OO505" s="27" t="s">
        <v>8</v>
      </c>
      <c r="OQ505" s="27" t="s">
        <v>8</v>
      </c>
      <c r="OS505" s="27" t="s">
        <v>8</v>
      </c>
      <c r="OT505" s="27" t="s">
        <v>7</v>
      </c>
      <c r="OU505" s="27" t="s">
        <v>8</v>
      </c>
      <c r="OV505" s="27" t="s">
        <v>7</v>
      </c>
    </row>
    <row r="506" spans="1:412" x14ac:dyDescent="0.25">
      <c r="A506" s="7">
        <v>4.9729479392183231</v>
      </c>
      <c r="B506"/>
      <c r="C506"/>
      <c r="D506"/>
      <c r="E506"/>
      <c r="EQ506" s="27" t="s">
        <v>8</v>
      </c>
      <c r="EU506" s="27" t="s">
        <v>8</v>
      </c>
      <c r="EV506" s="27" t="s">
        <v>7</v>
      </c>
      <c r="IK506" s="27" t="s">
        <v>8</v>
      </c>
      <c r="IL506" s="27" t="s">
        <v>7</v>
      </c>
      <c r="IM506" s="27" t="s">
        <v>8</v>
      </c>
      <c r="IN506" s="27" t="s">
        <v>7</v>
      </c>
      <c r="IO506" s="27" t="s">
        <v>8</v>
      </c>
      <c r="IP506" s="27" t="s">
        <v>7</v>
      </c>
      <c r="IY506" s="27" t="s">
        <v>8</v>
      </c>
      <c r="JD506" s="27" t="s">
        <v>7</v>
      </c>
      <c r="JE506" s="27" t="s">
        <v>8</v>
      </c>
      <c r="JR506" s="27" t="s">
        <v>7</v>
      </c>
      <c r="JS506" s="27" t="s">
        <v>8</v>
      </c>
      <c r="JT506" s="27" t="s">
        <v>7</v>
      </c>
      <c r="JW506" s="27" t="s">
        <v>8</v>
      </c>
      <c r="JX506" s="27" t="s">
        <v>7</v>
      </c>
      <c r="JY506" s="27" t="s">
        <v>8</v>
      </c>
      <c r="KF506" s="27" t="s">
        <v>7</v>
      </c>
      <c r="KG506" s="27" t="s">
        <v>8</v>
      </c>
      <c r="KH506" s="27" t="s">
        <v>7</v>
      </c>
      <c r="KI506" s="27" t="s">
        <v>8</v>
      </c>
      <c r="KJ506" s="27" t="s">
        <v>7</v>
      </c>
      <c r="KO506" s="27" t="s">
        <v>8</v>
      </c>
      <c r="KP506" s="27" t="s">
        <v>7</v>
      </c>
      <c r="KQ506" s="27" t="s">
        <v>8</v>
      </c>
      <c r="KR506" s="27" t="s">
        <v>7</v>
      </c>
      <c r="LC506" s="27" t="s">
        <v>8</v>
      </c>
      <c r="LM506" s="27" t="s">
        <v>8</v>
      </c>
      <c r="LN506" s="27" t="s">
        <v>7</v>
      </c>
      <c r="LO506" s="27" t="s">
        <v>8</v>
      </c>
      <c r="LP506" s="27" t="s">
        <v>7</v>
      </c>
      <c r="MN506" s="27" t="s">
        <v>7</v>
      </c>
      <c r="MO506" s="27" t="s">
        <v>8</v>
      </c>
      <c r="MR506" s="27" t="s">
        <v>7</v>
      </c>
      <c r="ND506" s="27" t="s">
        <v>7</v>
      </c>
      <c r="NL506" s="27" t="s">
        <v>7</v>
      </c>
      <c r="NM506" s="27" t="s">
        <v>8</v>
      </c>
      <c r="NN506" s="27" t="s">
        <v>7</v>
      </c>
      <c r="NO506" s="27" t="s">
        <v>8</v>
      </c>
      <c r="NP506" s="27" t="s">
        <v>7</v>
      </c>
      <c r="NR506" s="27" t="s">
        <v>7</v>
      </c>
      <c r="NS506" s="27" t="s">
        <v>8</v>
      </c>
      <c r="NT506" s="27" t="s">
        <v>7</v>
      </c>
      <c r="NU506" s="27" t="s">
        <v>8</v>
      </c>
      <c r="NV506" s="27" t="s">
        <v>7</v>
      </c>
      <c r="OO506" s="27" t="s">
        <v>8</v>
      </c>
      <c r="OP506" s="27" t="s">
        <v>7</v>
      </c>
      <c r="OQ506" s="27" t="s">
        <v>8</v>
      </c>
      <c r="OR506" s="27" t="s">
        <v>7</v>
      </c>
      <c r="OS506" s="27" t="s">
        <v>8</v>
      </c>
      <c r="OT506" s="27" t="s">
        <v>7</v>
      </c>
      <c r="OU506" s="27" t="s">
        <v>8</v>
      </c>
      <c r="OV506" s="27" t="s">
        <v>7</v>
      </c>
    </row>
    <row r="507" spans="1:412" x14ac:dyDescent="0.25">
      <c r="A507" s="7">
        <v>4.8754391560963954</v>
      </c>
      <c r="B507"/>
      <c r="C507"/>
      <c r="D507"/>
      <c r="E507"/>
      <c r="EQ507" s="27" t="s">
        <v>8</v>
      </c>
      <c r="ER507" s="27" t="s">
        <v>7</v>
      </c>
      <c r="EU507" s="27" t="s">
        <v>8</v>
      </c>
      <c r="EV507" s="27" t="s">
        <v>7</v>
      </c>
      <c r="EW507" s="27" t="s">
        <v>8</v>
      </c>
      <c r="IK507" s="27" t="s">
        <v>8</v>
      </c>
      <c r="IL507" s="27" t="s">
        <v>7</v>
      </c>
      <c r="IM507" s="27" t="s">
        <v>8</v>
      </c>
      <c r="IN507" s="27" t="s">
        <v>7</v>
      </c>
      <c r="IO507" s="27" t="s">
        <v>8</v>
      </c>
      <c r="IP507" s="27" t="s">
        <v>7</v>
      </c>
      <c r="IU507" s="27" t="s">
        <v>8</v>
      </c>
      <c r="IY507" s="27" t="s">
        <v>8</v>
      </c>
      <c r="JD507" s="27" t="s">
        <v>7</v>
      </c>
      <c r="JE507" s="27" t="s">
        <v>8</v>
      </c>
      <c r="JR507" s="27" t="s">
        <v>7</v>
      </c>
      <c r="JS507" s="27" t="s">
        <v>8</v>
      </c>
      <c r="JT507" s="27" t="s">
        <v>7</v>
      </c>
      <c r="JW507" s="27" t="s">
        <v>8</v>
      </c>
      <c r="JX507" s="27" t="s">
        <v>7</v>
      </c>
      <c r="KF507" s="27" t="s">
        <v>7</v>
      </c>
      <c r="KH507" s="27" t="s">
        <v>7</v>
      </c>
      <c r="KI507" s="27" t="s">
        <v>8</v>
      </c>
      <c r="KJ507" s="27" t="s">
        <v>7</v>
      </c>
      <c r="KO507" s="27" t="s">
        <v>8</v>
      </c>
      <c r="KP507" s="27" t="s">
        <v>7</v>
      </c>
      <c r="KQ507" s="27" t="s">
        <v>8</v>
      </c>
      <c r="KR507" s="27" t="s">
        <v>7</v>
      </c>
      <c r="LC507" s="27" t="s">
        <v>8</v>
      </c>
      <c r="LD507" s="27" t="s">
        <v>7</v>
      </c>
      <c r="LM507" s="27" t="s">
        <v>8</v>
      </c>
      <c r="LN507" s="27" t="s">
        <v>7</v>
      </c>
      <c r="LO507" s="27" t="s">
        <v>8</v>
      </c>
      <c r="MN507" s="27" t="s">
        <v>7</v>
      </c>
      <c r="MO507" s="27" t="s">
        <v>8</v>
      </c>
      <c r="NL507" s="27" t="s">
        <v>7</v>
      </c>
      <c r="NM507" s="27" t="s">
        <v>8</v>
      </c>
      <c r="NN507" s="27" t="s">
        <v>7</v>
      </c>
      <c r="NO507" s="27" t="s">
        <v>8</v>
      </c>
      <c r="NR507" s="27" t="s">
        <v>7</v>
      </c>
      <c r="NS507" s="27" t="s">
        <v>8</v>
      </c>
      <c r="NT507" s="27" t="s">
        <v>7</v>
      </c>
      <c r="NU507" s="27" t="s">
        <v>8</v>
      </c>
      <c r="NV507" s="27" t="s">
        <v>7</v>
      </c>
      <c r="OO507" s="27" t="s">
        <v>8</v>
      </c>
      <c r="OP507" s="27" t="s">
        <v>7</v>
      </c>
      <c r="OQ507" s="27" t="s">
        <v>8</v>
      </c>
      <c r="OR507" s="27" t="s">
        <v>7</v>
      </c>
      <c r="OS507" s="27" t="s">
        <v>8</v>
      </c>
      <c r="OT507" s="27" t="s">
        <v>7</v>
      </c>
      <c r="OU507" s="27" t="s">
        <v>8</v>
      </c>
      <c r="OV507" s="27" t="s">
        <v>7</v>
      </c>
    </row>
    <row r="508" spans="1:412" x14ac:dyDescent="0.25">
      <c r="A508" s="7">
        <v>4.7798423098984264</v>
      </c>
      <c r="B508"/>
      <c r="C508"/>
      <c r="D508"/>
      <c r="E508"/>
      <c r="EQ508" s="27" t="s">
        <v>8</v>
      </c>
      <c r="ER508" s="27" t="s">
        <v>7</v>
      </c>
      <c r="EU508" s="27" t="s">
        <v>8</v>
      </c>
      <c r="EV508" s="27" t="s">
        <v>7</v>
      </c>
      <c r="EW508" s="27" t="s">
        <v>8</v>
      </c>
      <c r="EX508" s="27" t="s">
        <v>7</v>
      </c>
      <c r="IK508" s="27" t="s">
        <v>8</v>
      </c>
      <c r="IL508" s="27" t="s">
        <v>7</v>
      </c>
      <c r="IM508" s="27" t="s">
        <v>8</v>
      </c>
      <c r="IN508" s="27" t="s">
        <v>7</v>
      </c>
      <c r="IO508" s="27" t="s">
        <v>8</v>
      </c>
      <c r="IP508" s="27" t="s">
        <v>7</v>
      </c>
      <c r="IQ508" s="27" t="s">
        <v>8</v>
      </c>
      <c r="IU508" s="27" t="s">
        <v>8</v>
      </c>
      <c r="IV508" s="27" t="s">
        <v>7</v>
      </c>
      <c r="IY508" s="27" t="s">
        <v>8</v>
      </c>
      <c r="JD508" s="27" t="s">
        <v>7</v>
      </c>
      <c r="JE508" s="27" t="s">
        <v>8</v>
      </c>
      <c r="JR508" s="27" t="s">
        <v>7</v>
      </c>
      <c r="JS508" s="27" t="s">
        <v>8</v>
      </c>
      <c r="JT508" s="27" t="s">
        <v>7</v>
      </c>
      <c r="JW508" s="27" t="s">
        <v>8</v>
      </c>
      <c r="KH508" s="27" t="s">
        <v>7</v>
      </c>
      <c r="KI508" s="27" t="s">
        <v>8</v>
      </c>
      <c r="KJ508" s="27" t="s">
        <v>7</v>
      </c>
      <c r="KO508" s="27" t="s">
        <v>8</v>
      </c>
      <c r="KP508" s="27" t="s">
        <v>7</v>
      </c>
      <c r="KQ508" s="27" t="s">
        <v>8</v>
      </c>
      <c r="KR508" s="27" t="s">
        <v>7</v>
      </c>
      <c r="LC508" s="27" t="s">
        <v>8</v>
      </c>
      <c r="LD508" s="27" t="s">
        <v>7</v>
      </c>
      <c r="LM508" s="27" t="s">
        <v>8</v>
      </c>
      <c r="LN508" s="27" t="s">
        <v>7</v>
      </c>
      <c r="MN508" s="27" t="s">
        <v>7</v>
      </c>
      <c r="MO508" s="27" t="s">
        <v>8</v>
      </c>
      <c r="NL508" s="27" t="s">
        <v>7</v>
      </c>
      <c r="NN508" s="27" t="s">
        <v>7</v>
      </c>
      <c r="NR508" s="27" t="s">
        <v>7</v>
      </c>
      <c r="NT508" s="27" t="s">
        <v>7</v>
      </c>
      <c r="NU508" s="27" t="s">
        <v>8</v>
      </c>
      <c r="NV508" s="27" t="s">
        <v>7</v>
      </c>
      <c r="OO508" s="27" t="s">
        <v>8</v>
      </c>
      <c r="OP508" s="27" t="s">
        <v>7</v>
      </c>
      <c r="OQ508" s="27" t="s">
        <v>8</v>
      </c>
      <c r="OR508" s="27" t="s">
        <v>7</v>
      </c>
      <c r="OS508" s="27" t="s">
        <v>8</v>
      </c>
      <c r="OT508" s="27" t="s">
        <v>7</v>
      </c>
      <c r="OU508" s="27" t="s">
        <v>8</v>
      </c>
      <c r="OV508" s="27" t="s">
        <v>7</v>
      </c>
    </row>
    <row r="509" spans="1:412" x14ac:dyDescent="0.25">
      <c r="A509" s="7">
        <v>4.6861199116651235</v>
      </c>
      <c r="B509"/>
      <c r="C509"/>
      <c r="D509"/>
      <c r="E509"/>
      <c r="EQ509" s="27" t="s">
        <v>8</v>
      </c>
      <c r="ER509" s="27" t="s">
        <v>7</v>
      </c>
      <c r="EU509" s="27" t="s">
        <v>8</v>
      </c>
      <c r="EV509" s="27" t="s">
        <v>7</v>
      </c>
      <c r="EW509" s="27" t="s">
        <v>8</v>
      </c>
      <c r="EX509" s="27" t="s">
        <v>7</v>
      </c>
      <c r="IK509" s="27" t="s">
        <v>8</v>
      </c>
      <c r="IL509" s="27" t="s">
        <v>7</v>
      </c>
      <c r="IM509" s="27" t="s">
        <v>8</v>
      </c>
      <c r="IN509" s="27" t="s">
        <v>7</v>
      </c>
      <c r="IO509" s="27" t="s">
        <v>8</v>
      </c>
      <c r="IP509" s="27" t="s">
        <v>7</v>
      </c>
      <c r="IQ509" s="27" t="s">
        <v>8</v>
      </c>
      <c r="IR509" s="27" t="s">
        <v>7</v>
      </c>
      <c r="IU509" s="27" t="s">
        <v>8</v>
      </c>
      <c r="IV509" s="27" t="s">
        <v>7</v>
      </c>
      <c r="IY509" s="27" t="s">
        <v>8</v>
      </c>
      <c r="JD509" s="27" t="s">
        <v>7</v>
      </c>
      <c r="JE509" s="27" t="s">
        <v>8</v>
      </c>
      <c r="JR509" s="27" t="s">
        <v>7</v>
      </c>
      <c r="JS509" s="27" t="s">
        <v>8</v>
      </c>
      <c r="JT509" s="27" t="s">
        <v>7</v>
      </c>
      <c r="JW509" s="27" t="s">
        <v>8</v>
      </c>
      <c r="KH509" s="27" t="s">
        <v>7</v>
      </c>
      <c r="KI509" s="27" t="s">
        <v>8</v>
      </c>
      <c r="KJ509" s="27" t="s">
        <v>7</v>
      </c>
      <c r="KO509" s="27" t="s">
        <v>8</v>
      </c>
      <c r="KP509" s="27" t="s">
        <v>7</v>
      </c>
      <c r="KQ509" s="27" t="s">
        <v>8</v>
      </c>
      <c r="KR509" s="27" t="s">
        <v>7</v>
      </c>
      <c r="LC509" s="27" t="s">
        <v>8</v>
      </c>
      <c r="LD509" s="27" t="s">
        <v>7</v>
      </c>
      <c r="LM509" s="27" t="s">
        <v>8</v>
      </c>
      <c r="MN509" s="27" t="s">
        <v>7</v>
      </c>
      <c r="MO509" s="27" t="s">
        <v>8</v>
      </c>
      <c r="NT509" s="27" t="s">
        <v>7</v>
      </c>
      <c r="NU509" s="27" t="s">
        <v>8</v>
      </c>
      <c r="NV509" s="27" t="s">
        <v>7</v>
      </c>
      <c r="OO509" s="27" t="s">
        <v>8</v>
      </c>
      <c r="OP509" s="27" t="s">
        <v>7</v>
      </c>
      <c r="OQ509" s="27" t="s">
        <v>8</v>
      </c>
      <c r="OR509" s="27" t="s">
        <v>7</v>
      </c>
      <c r="OS509" s="27" t="s">
        <v>8</v>
      </c>
      <c r="OT509" s="27" t="s">
        <v>7</v>
      </c>
      <c r="OV509" s="27" t="s">
        <v>7</v>
      </c>
    </row>
    <row r="510" spans="1:412" x14ac:dyDescent="0.25">
      <c r="A510" s="7">
        <v>4.5942352075148269</v>
      </c>
      <c r="B510"/>
      <c r="C510"/>
      <c r="D510"/>
      <c r="E510"/>
      <c r="EQ510" s="27" t="s">
        <v>8</v>
      </c>
      <c r="ER510" s="27" t="s">
        <v>7</v>
      </c>
      <c r="EU510" s="27" t="s">
        <v>8</v>
      </c>
      <c r="EV510" s="27" t="s">
        <v>7</v>
      </c>
      <c r="EW510" s="27" t="s">
        <v>8</v>
      </c>
      <c r="EX510" s="27" t="s">
        <v>7</v>
      </c>
      <c r="IK510" s="27" t="s">
        <v>8</v>
      </c>
      <c r="IL510" s="27" t="s">
        <v>7</v>
      </c>
      <c r="IM510" s="27" t="s">
        <v>8</v>
      </c>
      <c r="IN510" s="27" t="s">
        <v>7</v>
      </c>
      <c r="IO510" s="27" t="s">
        <v>8</v>
      </c>
      <c r="IP510" s="27" t="s">
        <v>7</v>
      </c>
      <c r="IQ510" s="27" t="s">
        <v>8</v>
      </c>
      <c r="IR510" s="27" t="s">
        <v>7</v>
      </c>
      <c r="IU510" s="27" t="s">
        <v>8</v>
      </c>
      <c r="IV510" s="27" t="s">
        <v>7</v>
      </c>
      <c r="IY510" s="27" t="s">
        <v>8</v>
      </c>
      <c r="JD510" s="27" t="s">
        <v>7</v>
      </c>
      <c r="JE510" s="27" t="s">
        <v>8</v>
      </c>
      <c r="JR510" s="27" t="s">
        <v>7</v>
      </c>
      <c r="JS510" s="27" t="s">
        <v>8</v>
      </c>
      <c r="JT510" s="27" t="s">
        <v>7</v>
      </c>
      <c r="JW510" s="27" t="s">
        <v>8</v>
      </c>
      <c r="KH510" s="27" t="s">
        <v>7</v>
      </c>
      <c r="KI510" s="27" t="s">
        <v>8</v>
      </c>
      <c r="KJ510" s="27" t="s">
        <v>7</v>
      </c>
      <c r="KO510" s="27" t="s">
        <v>8</v>
      </c>
      <c r="KP510" s="27" t="s">
        <v>7</v>
      </c>
      <c r="KQ510" s="27" t="s">
        <v>8</v>
      </c>
      <c r="KR510" s="27" t="s">
        <v>7</v>
      </c>
      <c r="LC510" s="27" t="s">
        <v>8</v>
      </c>
      <c r="LD510" s="27" t="s">
        <v>7</v>
      </c>
      <c r="LE510" s="27" t="s">
        <v>8</v>
      </c>
      <c r="LK510" s="27" t="s">
        <v>8</v>
      </c>
      <c r="LM510" s="27" t="s">
        <v>8</v>
      </c>
      <c r="MN510" s="27" t="s">
        <v>7</v>
      </c>
      <c r="NT510" s="27" t="s">
        <v>7</v>
      </c>
      <c r="NV510" s="27" t="s">
        <v>7</v>
      </c>
      <c r="OO510" s="27" t="s">
        <v>8</v>
      </c>
      <c r="OP510" s="27" t="s">
        <v>7</v>
      </c>
      <c r="OQ510" s="27" t="s">
        <v>8</v>
      </c>
      <c r="OR510" s="27" t="s">
        <v>7</v>
      </c>
      <c r="OS510" s="27" t="s">
        <v>8</v>
      </c>
      <c r="OV510" s="27" t="s">
        <v>7</v>
      </c>
    </row>
    <row r="511" spans="1:412" x14ac:dyDescent="0.25">
      <c r="A511" s="7">
        <v>4.5041521642302227</v>
      </c>
      <c r="B511"/>
      <c r="C511"/>
      <c r="D511"/>
      <c r="E511"/>
      <c r="EQ511" s="27" t="s">
        <v>8</v>
      </c>
      <c r="ER511" s="27" t="s">
        <v>7</v>
      </c>
      <c r="ES511" s="27" t="s">
        <v>8</v>
      </c>
      <c r="EU511" s="27" t="s">
        <v>8</v>
      </c>
      <c r="EV511" s="27" t="s">
        <v>7</v>
      </c>
      <c r="EW511" s="27" t="s">
        <v>8</v>
      </c>
      <c r="EX511" s="27" t="s">
        <v>7</v>
      </c>
      <c r="FC511" s="27" t="s">
        <v>8</v>
      </c>
      <c r="IK511" s="27" t="s">
        <v>8</v>
      </c>
      <c r="IL511" s="27" t="s">
        <v>7</v>
      </c>
      <c r="IM511" s="27" t="s">
        <v>8</v>
      </c>
      <c r="IN511" s="27" t="s">
        <v>7</v>
      </c>
      <c r="IO511" s="27" t="s">
        <v>8</v>
      </c>
      <c r="IP511" s="27" t="s">
        <v>7</v>
      </c>
      <c r="IQ511" s="27" t="s">
        <v>8</v>
      </c>
      <c r="IR511" s="27" t="s">
        <v>7</v>
      </c>
      <c r="IU511" s="27" t="s">
        <v>8</v>
      </c>
      <c r="IV511" s="27" t="s">
        <v>7</v>
      </c>
      <c r="IY511" s="27" t="s">
        <v>8</v>
      </c>
      <c r="JD511" s="27" t="s">
        <v>7</v>
      </c>
      <c r="JE511" s="27" t="s">
        <v>8</v>
      </c>
      <c r="JR511" s="27" t="s">
        <v>7</v>
      </c>
      <c r="JS511" s="27" t="s">
        <v>8</v>
      </c>
      <c r="JT511" s="27" t="s">
        <v>7</v>
      </c>
      <c r="JU511" s="27" t="s">
        <v>8</v>
      </c>
      <c r="JW511" s="27" t="s">
        <v>8</v>
      </c>
      <c r="KH511" s="27" t="s">
        <v>7</v>
      </c>
      <c r="KJ511" s="27" t="s">
        <v>7</v>
      </c>
      <c r="KO511" s="27" t="s">
        <v>8</v>
      </c>
      <c r="KP511" s="27" t="s">
        <v>7</v>
      </c>
      <c r="KQ511" s="27" t="s">
        <v>8</v>
      </c>
      <c r="KR511" s="27" t="s">
        <v>7</v>
      </c>
      <c r="KU511" s="27" t="s">
        <v>8</v>
      </c>
      <c r="LA511" s="27" t="s">
        <v>8</v>
      </c>
      <c r="LC511" s="27" t="s">
        <v>8</v>
      </c>
      <c r="LD511" s="27" t="s">
        <v>7</v>
      </c>
      <c r="LE511" s="27" t="s">
        <v>8</v>
      </c>
      <c r="LF511" s="27" t="s">
        <v>7</v>
      </c>
      <c r="LK511" s="27" t="s">
        <v>8</v>
      </c>
      <c r="LL511" s="27" t="s">
        <v>7</v>
      </c>
      <c r="LM511" s="27" t="s">
        <v>8</v>
      </c>
      <c r="NV511" s="27" t="s">
        <v>7</v>
      </c>
      <c r="OO511" s="27" t="s">
        <v>8</v>
      </c>
      <c r="OP511" s="27" t="s">
        <v>7</v>
      </c>
      <c r="OQ511" s="27" t="s">
        <v>8</v>
      </c>
      <c r="OR511" s="27" t="s">
        <v>7</v>
      </c>
      <c r="OS511" s="27" t="s">
        <v>8</v>
      </c>
      <c r="OV511" s="27" t="s">
        <v>7</v>
      </c>
    </row>
    <row r="512" spans="1:412" x14ac:dyDescent="0.25">
      <c r="A512" s="7">
        <v>4.4158354551276693</v>
      </c>
      <c r="B512"/>
      <c r="C512"/>
      <c r="D512"/>
      <c r="E512"/>
      <c r="EQ512" s="27" t="s">
        <v>8</v>
      </c>
      <c r="ER512" s="27" t="s">
        <v>7</v>
      </c>
      <c r="ES512" s="27" t="s">
        <v>8</v>
      </c>
      <c r="ET512" s="27" t="s">
        <v>7</v>
      </c>
      <c r="EU512" s="27" t="s">
        <v>8</v>
      </c>
      <c r="EV512" s="27" t="s">
        <v>7</v>
      </c>
      <c r="EW512" s="27" t="s">
        <v>8</v>
      </c>
      <c r="EX512" s="27" t="s">
        <v>7</v>
      </c>
      <c r="FC512" s="27" t="s">
        <v>8</v>
      </c>
      <c r="FD512" s="27" t="s">
        <v>7</v>
      </c>
      <c r="IK512" s="27" t="s">
        <v>8</v>
      </c>
      <c r="IL512" s="27" t="s">
        <v>7</v>
      </c>
      <c r="IM512" s="27" t="s">
        <v>8</v>
      </c>
      <c r="IN512" s="27" t="s">
        <v>7</v>
      </c>
      <c r="IO512" s="27" t="s">
        <v>8</v>
      </c>
      <c r="IP512" s="27" t="s">
        <v>7</v>
      </c>
      <c r="IQ512" s="27" t="s">
        <v>8</v>
      </c>
      <c r="IR512" s="27" t="s">
        <v>7</v>
      </c>
      <c r="IU512" s="27" t="s">
        <v>8</v>
      </c>
      <c r="IV512" s="27" t="s">
        <v>7</v>
      </c>
      <c r="IW512" s="27" t="s">
        <v>8</v>
      </c>
      <c r="IY512" s="27" t="s">
        <v>8</v>
      </c>
      <c r="JD512" s="27" t="s">
        <v>7</v>
      </c>
      <c r="JE512" s="27" t="s">
        <v>8</v>
      </c>
      <c r="JR512" s="27" t="s">
        <v>7</v>
      </c>
      <c r="JS512" s="27" t="s">
        <v>8</v>
      </c>
      <c r="JT512" s="27" t="s">
        <v>7</v>
      </c>
      <c r="JU512" s="27" t="s">
        <v>8</v>
      </c>
      <c r="JV512" s="27" t="s">
        <v>7</v>
      </c>
      <c r="JW512" s="27" t="s">
        <v>8</v>
      </c>
      <c r="KJ512" s="27" t="s">
        <v>7</v>
      </c>
      <c r="KO512" s="27" t="s">
        <v>8</v>
      </c>
      <c r="KP512" s="27" t="s">
        <v>7</v>
      </c>
      <c r="KR512" s="27" t="s">
        <v>7</v>
      </c>
      <c r="KU512" s="27" t="s">
        <v>8</v>
      </c>
      <c r="KV512" s="27" t="s">
        <v>7</v>
      </c>
      <c r="LA512" s="27" t="s">
        <v>8</v>
      </c>
      <c r="LB512" s="27" t="s">
        <v>7</v>
      </c>
      <c r="LC512" s="27" t="s">
        <v>8</v>
      </c>
      <c r="LD512" s="27" t="s">
        <v>7</v>
      </c>
      <c r="LE512" s="27" t="s">
        <v>8</v>
      </c>
      <c r="LF512" s="27" t="s">
        <v>7</v>
      </c>
      <c r="LK512" s="27" t="s">
        <v>8</v>
      </c>
      <c r="LL512" s="27" t="s">
        <v>7</v>
      </c>
      <c r="LM512" s="27" t="s">
        <v>8</v>
      </c>
      <c r="NV512" s="27" t="s">
        <v>7</v>
      </c>
      <c r="OO512" s="27" t="s">
        <v>8</v>
      </c>
      <c r="OP512" s="27" t="s">
        <v>7</v>
      </c>
      <c r="OQ512" s="27" t="s">
        <v>8</v>
      </c>
      <c r="OR512" s="27" t="s">
        <v>7</v>
      </c>
      <c r="OS512" s="27" t="s">
        <v>8</v>
      </c>
      <c r="OV512" s="27" t="s">
        <v>7</v>
      </c>
    </row>
    <row r="513" spans="1:416" x14ac:dyDescent="0.25">
      <c r="A513" s="7">
        <v>4.3292504462035977</v>
      </c>
      <c r="B513"/>
      <c r="C513"/>
      <c r="D513"/>
      <c r="E513"/>
      <c r="EQ513" s="27" t="s">
        <v>8</v>
      </c>
      <c r="ER513" s="27" t="s">
        <v>7</v>
      </c>
      <c r="ES513" s="27" t="s">
        <v>8</v>
      </c>
      <c r="ET513" s="27" t="s">
        <v>7</v>
      </c>
      <c r="EU513" s="27" t="s">
        <v>8</v>
      </c>
      <c r="EV513" s="27" t="s">
        <v>7</v>
      </c>
      <c r="EW513" s="27" t="s">
        <v>8</v>
      </c>
      <c r="EX513" s="27" t="s">
        <v>7</v>
      </c>
      <c r="FC513" s="27" t="s">
        <v>8</v>
      </c>
      <c r="FD513" s="27" t="s">
        <v>7</v>
      </c>
      <c r="IK513" s="27" t="s">
        <v>8</v>
      </c>
      <c r="IL513" s="27" t="s">
        <v>7</v>
      </c>
      <c r="IM513" s="27" t="s">
        <v>8</v>
      </c>
      <c r="IN513" s="27" t="s">
        <v>7</v>
      </c>
      <c r="IO513" s="27" t="s">
        <v>8</v>
      </c>
      <c r="IP513" s="27" t="s">
        <v>7</v>
      </c>
      <c r="IR513" s="27" t="s">
        <v>7</v>
      </c>
      <c r="IU513" s="27" t="s">
        <v>8</v>
      </c>
      <c r="IV513" s="27" t="s">
        <v>7</v>
      </c>
      <c r="IW513" s="27" t="s">
        <v>8</v>
      </c>
      <c r="IX513" s="27" t="s">
        <v>7</v>
      </c>
      <c r="IY513" s="27" t="s">
        <v>8</v>
      </c>
      <c r="JD513" s="27" t="s">
        <v>7</v>
      </c>
      <c r="JR513" s="27" t="s">
        <v>7</v>
      </c>
      <c r="JS513" s="27" t="s">
        <v>8</v>
      </c>
      <c r="JT513" s="27" t="s">
        <v>7</v>
      </c>
      <c r="JU513" s="27" t="s">
        <v>8</v>
      </c>
      <c r="JV513" s="27" t="s">
        <v>7</v>
      </c>
      <c r="JW513" s="27" t="s">
        <v>8</v>
      </c>
      <c r="KJ513" s="27" t="s">
        <v>7</v>
      </c>
      <c r="KO513" s="27" t="s">
        <v>8</v>
      </c>
      <c r="KR513" s="27" t="s">
        <v>7</v>
      </c>
      <c r="KU513" s="27" t="s">
        <v>8</v>
      </c>
      <c r="KV513" s="27" t="s">
        <v>7</v>
      </c>
      <c r="LA513" s="27" t="s">
        <v>8</v>
      </c>
      <c r="LB513" s="27" t="s">
        <v>7</v>
      </c>
      <c r="LC513" s="27" t="s">
        <v>8</v>
      </c>
      <c r="LD513" s="27" t="s">
        <v>7</v>
      </c>
      <c r="LE513" s="27" t="s">
        <v>8</v>
      </c>
      <c r="LF513" s="27" t="s">
        <v>7</v>
      </c>
      <c r="LK513" s="27" t="s">
        <v>8</v>
      </c>
      <c r="LL513" s="27" t="s">
        <v>7</v>
      </c>
      <c r="LM513" s="27" t="s">
        <v>8</v>
      </c>
      <c r="NV513" s="27" t="s">
        <v>7</v>
      </c>
      <c r="OO513" s="27" t="s">
        <v>8</v>
      </c>
      <c r="OP513" s="27" t="s">
        <v>7</v>
      </c>
      <c r="OQ513" s="27" t="s">
        <v>8</v>
      </c>
      <c r="OR513" s="27" t="s">
        <v>7</v>
      </c>
      <c r="OS513" s="27" t="s">
        <v>8</v>
      </c>
      <c r="OV513" s="27" t="s">
        <v>7</v>
      </c>
    </row>
    <row r="514" spans="1:416" x14ac:dyDescent="0.25">
      <c r="A514" s="7">
        <v>4.2443631825525463</v>
      </c>
      <c r="B514"/>
      <c r="C514"/>
      <c r="D514"/>
      <c r="E514"/>
      <c r="EQ514" s="27" t="s">
        <v>8</v>
      </c>
      <c r="ER514" s="27" t="s">
        <v>7</v>
      </c>
      <c r="ES514" s="27" t="s">
        <v>8</v>
      </c>
      <c r="ET514" s="27" t="s">
        <v>7</v>
      </c>
      <c r="EU514" s="27" t="s">
        <v>8</v>
      </c>
      <c r="EV514" s="27" t="s">
        <v>7</v>
      </c>
      <c r="EW514" s="27" t="s">
        <v>8</v>
      </c>
      <c r="EX514" s="27" t="s">
        <v>7</v>
      </c>
      <c r="EY514" s="27" t="s">
        <v>8</v>
      </c>
      <c r="FA514" s="27" t="s">
        <v>8</v>
      </c>
      <c r="FC514" s="27" t="s">
        <v>8</v>
      </c>
      <c r="FD514" s="27" t="s">
        <v>7</v>
      </c>
      <c r="IK514" s="27" t="s">
        <v>8</v>
      </c>
      <c r="IL514" s="27" t="s">
        <v>7</v>
      </c>
      <c r="IM514" s="27" t="s">
        <v>8</v>
      </c>
      <c r="IN514" s="27" t="s">
        <v>7</v>
      </c>
      <c r="IR514" s="27" t="s">
        <v>7</v>
      </c>
      <c r="IS514" s="27" t="s">
        <v>8</v>
      </c>
      <c r="IU514" s="27" t="s">
        <v>8</v>
      </c>
      <c r="IV514" s="27" t="s">
        <v>7</v>
      </c>
      <c r="IW514" s="27" t="s">
        <v>8</v>
      </c>
      <c r="IX514" s="27" t="s">
        <v>7</v>
      </c>
      <c r="IY514" s="27" t="s">
        <v>8</v>
      </c>
      <c r="JR514" s="27" t="s">
        <v>7</v>
      </c>
      <c r="JS514" s="27" t="s">
        <v>8</v>
      </c>
      <c r="JT514" s="27" t="s">
        <v>7</v>
      </c>
      <c r="JU514" s="27" t="s">
        <v>8</v>
      </c>
      <c r="JV514" s="27" t="s">
        <v>7</v>
      </c>
      <c r="JW514" s="27" t="s">
        <v>8</v>
      </c>
      <c r="KJ514" s="27" t="s">
        <v>7</v>
      </c>
      <c r="KO514" s="27" t="s">
        <v>8</v>
      </c>
      <c r="KR514" s="27" t="s">
        <v>7</v>
      </c>
      <c r="KS514" s="27" t="s">
        <v>8</v>
      </c>
      <c r="KU514" s="27" t="s">
        <v>8</v>
      </c>
      <c r="KV514" s="27" t="s">
        <v>7</v>
      </c>
      <c r="LA514" s="27" t="s">
        <v>8</v>
      </c>
      <c r="LB514" s="27" t="s">
        <v>7</v>
      </c>
      <c r="LC514" s="27" t="s">
        <v>8</v>
      </c>
      <c r="LD514" s="27" t="s">
        <v>7</v>
      </c>
      <c r="LE514" s="27" t="s">
        <v>8</v>
      </c>
      <c r="LF514" s="27" t="s">
        <v>7</v>
      </c>
      <c r="LK514" s="27" t="s">
        <v>8</v>
      </c>
      <c r="LL514" s="27" t="s">
        <v>7</v>
      </c>
      <c r="NV514" s="27" t="s">
        <v>7</v>
      </c>
      <c r="OM514" s="27" t="s">
        <v>8</v>
      </c>
      <c r="OO514" s="27" t="s">
        <v>8</v>
      </c>
      <c r="OP514" s="27" t="s">
        <v>7</v>
      </c>
      <c r="OQ514" s="27" t="s">
        <v>8</v>
      </c>
      <c r="OR514" s="27" t="s">
        <v>7</v>
      </c>
      <c r="OS514" s="27" t="s">
        <v>8</v>
      </c>
      <c r="OV514" s="27" t="s">
        <v>7</v>
      </c>
    </row>
    <row r="515" spans="1:416" x14ac:dyDescent="0.25">
      <c r="A515" s="7">
        <v>4.1611403750515157</v>
      </c>
      <c r="B515"/>
      <c r="C515"/>
      <c r="D515"/>
      <c r="E515"/>
      <c r="EQ515" s="27" t="s">
        <v>8</v>
      </c>
      <c r="ER515" s="27" t="s">
        <v>7</v>
      </c>
      <c r="ES515" s="27" t="s">
        <v>8</v>
      </c>
      <c r="ET515" s="27" t="s">
        <v>7</v>
      </c>
      <c r="EU515" s="27" t="s">
        <v>8</v>
      </c>
      <c r="EV515" s="27" t="s">
        <v>7</v>
      </c>
      <c r="EW515" s="27" t="s">
        <v>8</v>
      </c>
      <c r="EX515" s="27" t="s">
        <v>7</v>
      </c>
      <c r="EY515" s="27" t="s">
        <v>8</v>
      </c>
      <c r="EZ515" s="27" t="s">
        <v>7</v>
      </c>
      <c r="FA515" s="27" t="s">
        <v>8</v>
      </c>
      <c r="FB515" s="27" t="s">
        <v>7</v>
      </c>
      <c r="FC515" s="27" t="s">
        <v>8</v>
      </c>
      <c r="FD515" s="27" t="s">
        <v>7</v>
      </c>
      <c r="IK515" s="27" t="s">
        <v>8</v>
      </c>
      <c r="IL515" s="27" t="s">
        <v>7</v>
      </c>
      <c r="IM515" s="27" t="s">
        <v>8</v>
      </c>
      <c r="IR515" s="27" t="s">
        <v>7</v>
      </c>
      <c r="IS515" s="27" t="s">
        <v>8</v>
      </c>
      <c r="IT515" s="27" t="s">
        <v>7</v>
      </c>
      <c r="IU515" s="27" t="s">
        <v>8</v>
      </c>
      <c r="IV515" s="27" t="s">
        <v>7</v>
      </c>
      <c r="IW515" s="27" t="s">
        <v>8</v>
      </c>
      <c r="IX515" s="27" t="s">
        <v>7</v>
      </c>
      <c r="IY515" s="27" t="s">
        <v>8</v>
      </c>
      <c r="JR515" s="27" t="s">
        <v>7</v>
      </c>
      <c r="JS515" s="27" t="s">
        <v>8</v>
      </c>
      <c r="JT515" s="27" t="s">
        <v>7</v>
      </c>
      <c r="JU515" s="27" t="s">
        <v>8</v>
      </c>
      <c r="JV515" s="27" t="s">
        <v>7</v>
      </c>
      <c r="JW515" s="27" t="s">
        <v>8</v>
      </c>
      <c r="KJ515" s="27" t="s">
        <v>7</v>
      </c>
      <c r="KM515" s="27" t="s">
        <v>8</v>
      </c>
      <c r="KO515" s="27" t="s">
        <v>8</v>
      </c>
      <c r="KR515" s="27" t="s">
        <v>7</v>
      </c>
      <c r="KS515" s="27" t="s">
        <v>8</v>
      </c>
      <c r="KT515" s="27" t="s">
        <v>7</v>
      </c>
      <c r="KU515" s="27" t="s">
        <v>8</v>
      </c>
      <c r="KV515" s="27" t="s">
        <v>7</v>
      </c>
      <c r="LA515" s="27" t="s">
        <v>8</v>
      </c>
      <c r="LB515" s="27" t="s">
        <v>7</v>
      </c>
      <c r="LC515" s="27" t="s">
        <v>8</v>
      </c>
      <c r="LD515" s="27" t="s">
        <v>7</v>
      </c>
      <c r="LF515" s="27" t="s">
        <v>7</v>
      </c>
      <c r="LG515" s="27" t="s">
        <v>8</v>
      </c>
      <c r="LK515" s="27" t="s">
        <v>8</v>
      </c>
      <c r="NV515" s="27" t="s">
        <v>7</v>
      </c>
      <c r="OM515" s="27" t="s">
        <v>8</v>
      </c>
      <c r="ON515" s="27" t="s">
        <v>7</v>
      </c>
      <c r="OO515" s="27" t="s">
        <v>8</v>
      </c>
      <c r="OP515" s="27" t="s">
        <v>7</v>
      </c>
      <c r="OQ515" s="27" t="s">
        <v>8</v>
      </c>
      <c r="OR515" s="27" t="s">
        <v>7</v>
      </c>
      <c r="OS515" s="27" t="s">
        <v>8</v>
      </c>
      <c r="OV515" s="27" t="s">
        <v>7</v>
      </c>
    </row>
    <row r="516" spans="1:416" x14ac:dyDescent="0.25">
      <c r="A516" s="7">
        <v>4.0795493873054074</v>
      </c>
      <c r="B516"/>
      <c r="C516"/>
      <c r="D516"/>
      <c r="E516"/>
      <c r="EQ516" s="27" t="s">
        <v>8</v>
      </c>
      <c r="ER516" s="27" t="s">
        <v>7</v>
      </c>
      <c r="ES516" s="27" t="s">
        <v>8</v>
      </c>
      <c r="ET516" s="27" t="s">
        <v>7</v>
      </c>
      <c r="EU516" s="27" t="s">
        <v>8</v>
      </c>
      <c r="EV516" s="27" t="s">
        <v>7</v>
      </c>
      <c r="EW516" s="27" t="s">
        <v>8</v>
      </c>
      <c r="EX516" s="27" t="s">
        <v>7</v>
      </c>
      <c r="EY516" s="27" t="s">
        <v>8</v>
      </c>
      <c r="EZ516" s="27" t="s">
        <v>7</v>
      </c>
      <c r="FA516" s="27" t="s">
        <v>8</v>
      </c>
      <c r="FB516" s="27" t="s">
        <v>7</v>
      </c>
      <c r="FC516" s="27" t="s">
        <v>8</v>
      </c>
      <c r="FD516" s="27" t="s">
        <v>7</v>
      </c>
      <c r="IK516" s="27" t="s">
        <v>8</v>
      </c>
      <c r="IL516" s="27" t="s">
        <v>7</v>
      </c>
      <c r="IM516" s="27" t="s">
        <v>8</v>
      </c>
      <c r="IR516" s="27" t="s">
        <v>7</v>
      </c>
      <c r="IS516" s="27" t="s">
        <v>8</v>
      </c>
      <c r="IT516" s="27" t="s">
        <v>7</v>
      </c>
      <c r="IU516" s="27" t="s">
        <v>8</v>
      </c>
      <c r="IV516" s="27" t="s">
        <v>7</v>
      </c>
      <c r="IW516" s="27" t="s">
        <v>8</v>
      </c>
      <c r="IX516" s="27" t="s">
        <v>7</v>
      </c>
      <c r="IY516" s="27" t="s">
        <v>8</v>
      </c>
      <c r="JR516" s="27" t="s">
        <v>7</v>
      </c>
      <c r="JT516" s="27" t="s">
        <v>7</v>
      </c>
      <c r="JU516" s="27" t="s">
        <v>8</v>
      </c>
      <c r="JV516" s="27" t="s">
        <v>7</v>
      </c>
      <c r="JW516" s="27" t="s">
        <v>8</v>
      </c>
      <c r="KJ516" s="27" t="s">
        <v>7</v>
      </c>
      <c r="KK516" s="27" t="s">
        <v>8</v>
      </c>
      <c r="KM516" s="27" t="s">
        <v>8</v>
      </c>
      <c r="KN516" s="27" t="s">
        <v>7</v>
      </c>
      <c r="KO516" s="27" t="s">
        <v>8</v>
      </c>
      <c r="KR516" s="27" t="s">
        <v>7</v>
      </c>
      <c r="KS516" s="27" t="s">
        <v>8</v>
      </c>
      <c r="KT516" s="27" t="s">
        <v>7</v>
      </c>
      <c r="KU516" s="27" t="s">
        <v>8</v>
      </c>
      <c r="KV516" s="27" t="s">
        <v>7</v>
      </c>
      <c r="KW516" s="27" t="s">
        <v>8</v>
      </c>
      <c r="LA516" s="27" t="s">
        <v>8</v>
      </c>
      <c r="LB516" s="27" t="s">
        <v>7</v>
      </c>
      <c r="LC516" s="27" t="s">
        <v>8</v>
      </c>
      <c r="LF516" s="27" t="s">
        <v>7</v>
      </c>
      <c r="LG516" s="27" t="s">
        <v>8</v>
      </c>
      <c r="LH516" s="27" t="s">
        <v>7</v>
      </c>
      <c r="LI516" s="27" t="s">
        <v>8</v>
      </c>
      <c r="LK516" s="27" t="s">
        <v>8</v>
      </c>
      <c r="NV516" s="27" t="s">
        <v>7</v>
      </c>
      <c r="NW516" s="27" t="s">
        <v>8</v>
      </c>
      <c r="NY516" s="27" t="s">
        <v>8</v>
      </c>
      <c r="OG516" s="27" t="s">
        <v>8</v>
      </c>
      <c r="OK516" s="27" t="s">
        <v>8</v>
      </c>
      <c r="OM516" s="27" t="s">
        <v>8</v>
      </c>
      <c r="ON516" s="27" t="s">
        <v>7</v>
      </c>
      <c r="OO516" s="27" t="s">
        <v>8</v>
      </c>
      <c r="OP516" s="27" t="s">
        <v>7</v>
      </c>
      <c r="OQ516" s="27" t="s">
        <v>8</v>
      </c>
      <c r="OR516" s="27" t="s">
        <v>7</v>
      </c>
      <c r="OV516" s="27" t="s">
        <v>7</v>
      </c>
    </row>
    <row r="517" spans="1:416" x14ac:dyDescent="0.25">
      <c r="A517" s="7">
        <v>3.9995582228484383</v>
      </c>
      <c r="B517"/>
      <c r="C517"/>
      <c r="D517"/>
      <c r="E517"/>
      <c r="EQ517" s="27" t="s">
        <v>8</v>
      </c>
      <c r="ER517" s="27" t="s">
        <v>7</v>
      </c>
      <c r="ES517" s="27" t="s">
        <v>8</v>
      </c>
      <c r="ET517" s="27" t="s">
        <v>7</v>
      </c>
      <c r="EV517" s="27" t="s">
        <v>7</v>
      </c>
      <c r="EW517" s="27" t="s">
        <v>8</v>
      </c>
      <c r="EX517" s="27" t="s">
        <v>7</v>
      </c>
      <c r="EY517" s="27" t="s">
        <v>8</v>
      </c>
      <c r="EZ517" s="27" t="s">
        <v>7</v>
      </c>
      <c r="FA517" s="27" t="s">
        <v>8</v>
      </c>
      <c r="FB517" s="27" t="s">
        <v>7</v>
      </c>
      <c r="FC517" s="27" t="s">
        <v>8</v>
      </c>
      <c r="FD517" s="27" t="s">
        <v>7</v>
      </c>
      <c r="IK517" s="27" t="s">
        <v>8</v>
      </c>
      <c r="IL517" s="27" t="s">
        <v>7</v>
      </c>
      <c r="IM517" s="27" t="s">
        <v>8</v>
      </c>
      <c r="IR517" s="27" t="s">
        <v>7</v>
      </c>
      <c r="IS517" s="27" t="s">
        <v>8</v>
      </c>
      <c r="IT517" s="27" t="s">
        <v>7</v>
      </c>
      <c r="IU517" s="27" t="s">
        <v>8</v>
      </c>
      <c r="IV517" s="27" t="s">
        <v>7</v>
      </c>
      <c r="IW517" s="27" t="s">
        <v>8</v>
      </c>
      <c r="IX517" s="27" t="s">
        <v>7</v>
      </c>
      <c r="IY517" s="27" t="s">
        <v>8</v>
      </c>
      <c r="JT517" s="27" t="s">
        <v>7</v>
      </c>
      <c r="JU517" s="27" t="s">
        <v>8</v>
      </c>
      <c r="JV517" s="27" t="s">
        <v>7</v>
      </c>
      <c r="JW517" s="27" t="s">
        <v>8</v>
      </c>
      <c r="KJ517" s="27" t="s">
        <v>7</v>
      </c>
      <c r="KK517" s="27" t="s">
        <v>8</v>
      </c>
      <c r="KL517" s="27" t="s">
        <v>7</v>
      </c>
      <c r="KM517" s="27" t="s">
        <v>8</v>
      </c>
      <c r="KN517" s="27" t="s">
        <v>7</v>
      </c>
      <c r="KO517" s="27" t="s">
        <v>8</v>
      </c>
      <c r="KR517" s="27" t="s">
        <v>7</v>
      </c>
      <c r="KS517" s="27" t="s">
        <v>8</v>
      </c>
      <c r="KT517" s="27" t="s">
        <v>7</v>
      </c>
      <c r="KU517" s="27" t="s">
        <v>8</v>
      </c>
      <c r="KV517" s="27" t="s">
        <v>7</v>
      </c>
      <c r="KW517" s="27" t="s">
        <v>8</v>
      </c>
      <c r="KX517" s="27" t="s">
        <v>7</v>
      </c>
      <c r="LA517" s="27" t="s">
        <v>8</v>
      </c>
      <c r="LB517" s="27" t="s">
        <v>7</v>
      </c>
      <c r="LC517" s="27" t="s">
        <v>8</v>
      </c>
      <c r="LF517" s="27" t="s">
        <v>7</v>
      </c>
      <c r="LG517" s="27" t="s">
        <v>8</v>
      </c>
      <c r="LH517" s="27" t="s">
        <v>7</v>
      </c>
      <c r="LI517" s="27" t="s">
        <v>8</v>
      </c>
      <c r="LJ517" s="27" t="s">
        <v>7</v>
      </c>
      <c r="LK517" s="27" t="s">
        <v>8</v>
      </c>
      <c r="NV517" s="27" t="s">
        <v>7</v>
      </c>
      <c r="NW517" s="27" t="s">
        <v>8</v>
      </c>
      <c r="NX517" s="27" t="s">
        <v>7</v>
      </c>
      <c r="NY517" s="27" t="s">
        <v>8</v>
      </c>
      <c r="NZ517" s="27" t="s">
        <v>7</v>
      </c>
      <c r="OG517" s="27" t="s">
        <v>8</v>
      </c>
      <c r="OH517" s="27" t="s">
        <v>7</v>
      </c>
      <c r="OI517" s="27" t="s">
        <v>8</v>
      </c>
      <c r="OK517" s="27" t="s">
        <v>8</v>
      </c>
      <c r="OL517" s="27" t="s">
        <v>7</v>
      </c>
      <c r="OM517" s="27" t="s">
        <v>8</v>
      </c>
      <c r="ON517" s="27" t="s">
        <v>7</v>
      </c>
      <c r="OO517" s="27" t="s">
        <v>8</v>
      </c>
      <c r="OP517" s="27" t="s">
        <v>7</v>
      </c>
      <c r="OQ517" s="27" t="s">
        <v>8</v>
      </c>
      <c r="OV517" s="27" t="s">
        <v>7</v>
      </c>
    </row>
    <row r="518" spans="1:416" x14ac:dyDescent="0.25">
      <c r="A518" s="7">
        <v>3.9211355125965079</v>
      </c>
      <c r="B518"/>
      <c r="C518"/>
      <c r="D518"/>
      <c r="E518"/>
      <c r="EQ518" s="27" t="s">
        <v>8</v>
      </c>
      <c r="ER518" s="27" t="s">
        <v>7</v>
      </c>
      <c r="ES518" s="27" t="s">
        <v>8</v>
      </c>
      <c r="EV518" s="27" t="s">
        <v>7</v>
      </c>
      <c r="EX518" s="27" t="s">
        <v>7</v>
      </c>
      <c r="EY518" s="27" t="s">
        <v>8</v>
      </c>
      <c r="EZ518" s="27" t="s">
        <v>7</v>
      </c>
      <c r="FA518" s="27" t="s">
        <v>8</v>
      </c>
      <c r="FB518" s="27" t="s">
        <v>7</v>
      </c>
      <c r="FC518" s="27" t="s">
        <v>8</v>
      </c>
      <c r="FD518" s="27" t="s">
        <v>7</v>
      </c>
      <c r="IK518" s="27" t="s">
        <v>8</v>
      </c>
      <c r="IL518" s="27" t="s">
        <v>7</v>
      </c>
      <c r="IM518" s="27" t="s">
        <v>8</v>
      </c>
      <c r="IR518" s="27" t="s">
        <v>7</v>
      </c>
      <c r="IS518" s="27" t="s">
        <v>8</v>
      </c>
      <c r="IT518" s="27" t="s">
        <v>7</v>
      </c>
      <c r="IU518" s="27" t="s">
        <v>8</v>
      </c>
      <c r="IV518" s="27" t="s">
        <v>7</v>
      </c>
      <c r="IW518" s="27" t="s">
        <v>8</v>
      </c>
      <c r="IX518" s="27" t="s">
        <v>7</v>
      </c>
      <c r="IY518" s="27" t="s">
        <v>8</v>
      </c>
      <c r="JT518" s="27" t="s">
        <v>7</v>
      </c>
      <c r="JU518" s="27" t="s">
        <v>8</v>
      </c>
      <c r="JV518" s="27" t="s">
        <v>7</v>
      </c>
      <c r="KJ518" s="27" t="s">
        <v>7</v>
      </c>
      <c r="KK518" s="27" t="s">
        <v>8</v>
      </c>
      <c r="KL518" s="27" t="s">
        <v>7</v>
      </c>
      <c r="KM518" s="27" t="s">
        <v>8</v>
      </c>
      <c r="KN518" s="27" t="s">
        <v>7</v>
      </c>
      <c r="KO518" s="27" t="s">
        <v>8</v>
      </c>
      <c r="KR518" s="27" t="s">
        <v>7</v>
      </c>
      <c r="KS518" s="27" t="s">
        <v>8</v>
      </c>
      <c r="KT518" s="27" t="s">
        <v>7</v>
      </c>
      <c r="KU518" s="27" t="s">
        <v>8</v>
      </c>
      <c r="KV518" s="27" t="s">
        <v>7</v>
      </c>
      <c r="KW518" s="27" t="s">
        <v>8</v>
      </c>
      <c r="KX518" s="27" t="s">
        <v>7</v>
      </c>
      <c r="LA518" s="27" t="s">
        <v>8</v>
      </c>
      <c r="LB518" s="27" t="s">
        <v>7</v>
      </c>
      <c r="LC518" s="27" t="s">
        <v>8</v>
      </c>
      <c r="LF518" s="27" t="s">
        <v>7</v>
      </c>
      <c r="LG518" s="27" t="s">
        <v>8</v>
      </c>
      <c r="LH518" s="27" t="s">
        <v>7</v>
      </c>
      <c r="LI518" s="27" t="s">
        <v>8</v>
      </c>
      <c r="LJ518" s="27" t="s">
        <v>7</v>
      </c>
      <c r="LK518" s="27" t="s">
        <v>8</v>
      </c>
      <c r="NV518" s="27" t="s">
        <v>7</v>
      </c>
      <c r="NW518" s="27" t="s">
        <v>8</v>
      </c>
      <c r="NX518" s="27" t="s">
        <v>7</v>
      </c>
      <c r="NY518" s="27" t="s">
        <v>8</v>
      </c>
      <c r="NZ518" s="27" t="s">
        <v>7</v>
      </c>
      <c r="OG518" s="27" t="s">
        <v>8</v>
      </c>
      <c r="OH518" s="27" t="s">
        <v>7</v>
      </c>
      <c r="OI518" s="27" t="s">
        <v>8</v>
      </c>
      <c r="OJ518" s="27" t="s">
        <v>7</v>
      </c>
      <c r="OK518" s="27" t="s">
        <v>8</v>
      </c>
      <c r="OL518" s="27" t="s">
        <v>7</v>
      </c>
      <c r="OM518" s="27" t="s">
        <v>8</v>
      </c>
      <c r="ON518" s="27" t="s">
        <v>7</v>
      </c>
      <c r="OO518" s="27" t="s">
        <v>8</v>
      </c>
      <c r="OP518" s="27" t="s">
        <v>7</v>
      </c>
      <c r="OQ518" s="27" t="s">
        <v>8</v>
      </c>
      <c r="OV518" s="27" t="s">
        <v>7</v>
      </c>
    </row>
    <row r="519" spans="1:416" x14ac:dyDescent="0.25">
      <c r="A519" s="7">
        <v>3.844250502545596</v>
      </c>
      <c r="B519"/>
      <c r="C519"/>
      <c r="D519"/>
      <c r="E519"/>
      <c r="EQ519" s="27" t="s">
        <v>8</v>
      </c>
      <c r="ER519" s="27" t="s">
        <v>7</v>
      </c>
      <c r="ES519" s="27" t="s">
        <v>8</v>
      </c>
      <c r="EX519" s="27" t="s">
        <v>7</v>
      </c>
      <c r="EY519" s="27" t="s">
        <v>8</v>
      </c>
      <c r="EZ519" s="27" t="s">
        <v>7</v>
      </c>
      <c r="FA519" s="27" t="s">
        <v>8</v>
      </c>
      <c r="FB519" s="27" t="s">
        <v>7</v>
      </c>
      <c r="FC519" s="27" t="s">
        <v>8</v>
      </c>
      <c r="FD519" s="27" t="s">
        <v>7</v>
      </c>
      <c r="IK519" s="27" t="s">
        <v>8</v>
      </c>
      <c r="IL519" s="27" t="s">
        <v>7</v>
      </c>
      <c r="IM519" s="27" t="s">
        <v>8</v>
      </c>
      <c r="IR519" s="27" t="s">
        <v>7</v>
      </c>
      <c r="IS519" s="27" t="s">
        <v>8</v>
      </c>
      <c r="IT519" s="27" t="s">
        <v>7</v>
      </c>
      <c r="IU519" s="27" t="s">
        <v>8</v>
      </c>
      <c r="IV519" s="27" t="s">
        <v>7</v>
      </c>
      <c r="IW519" s="27" t="s">
        <v>8</v>
      </c>
      <c r="IX519" s="27" t="s">
        <v>7</v>
      </c>
      <c r="IY519" s="27" t="s">
        <v>8</v>
      </c>
      <c r="JT519" s="27" t="s">
        <v>7</v>
      </c>
      <c r="JU519" s="27" t="s">
        <v>8</v>
      </c>
      <c r="KJ519" s="27" t="s">
        <v>7</v>
      </c>
      <c r="KK519" s="27" t="s">
        <v>8</v>
      </c>
      <c r="KL519" s="27" t="s">
        <v>7</v>
      </c>
      <c r="KM519" s="27" t="s">
        <v>8</v>
      </c>
      <c r="KN519" s="27" t="s">
        <v>7</v>
      </c>
      <c r="KO519" s="27" t="s">
        <v>8</v>
      </c>
      <c r="KR519" s="27" t="s">
        <v>7</v>
      </c>
      <c r="KS519" s="27" t="s">
        <v>8</v>
      </c>
      <c r="KT519" s="27" t="s">
        <v>7</v>
      </c>
      <c r="KU519" s="27" t="s">
        <v>8</v>
      </c>
      <c r="KV519" s="27" t="s">
        <v>7</v>
      </c>
      <c r="KW519" s="27" t="s">
        <v>8</v>
      </c>
      <c r="KX519" s="27" t="s">
        <v>7</v>
      </c>
      <c r="LA519" s="27" t="s">
        <v>8</v>
      </c>
      <c r="LB519" s="27" t="s">
        <v>7</v>
      </c>
      <c r="LC519" s="27" t="s">
        <v>8</v>
      </c>
      <c r="LF519" s="27" t="s">
        <v>7</v>
      </c>
      <c r="LG519" s="27" t="s">
        <v>8</v>
      </c>
      <c r="LH519" s="27" t="s">
        <v>7</v>
      </c>
      <c r="LI519" s="27" t="s">
        <v>8</v>
      </c>
      <c r="LJ519" s="27" t="s">
        <v>7</v>
      </c>
      <c r="LK519" s="27" t="s">
        <v>8</v>
      </c>
      <c r="NV519" s="27" t="s">
        <v>7</v>
      </c>
      <c r="NW519" s="27" t="s">
        <v>8</v>
      </c>
      <c r="NX519" s="27" t="s">
        <v>7</v>
      </c>
      <c r="NY519" s="27" t="s">
        <v>8</v>
      </c>
      <c r="NZ519" s="27" t="s">
        <v>7</v>
      </c>
      <c r="OE519" s="27" t="s">
        <v>8</v>
      </c>
      <c r="OG519" s="27" t="s">
        <v>8</v>
      </c>
      <c r="OH519" s="27" t="s">
        <v>7</v>
      </c>
      <c r="OI519" s="27" t="s">
        <v>8</v>
      </c>
      <c r="OJ519" s="27" t="s">
        <v>7</v>
      </c>
      <c r="OK519" s="27" t="s">
        <v>8</v>
      </c>
      <c r="OL519" s="27" t="s">
        <v>7</v>
      </c>
      <c r="ON519" s="27" t="s">
        <v>7</v>
      </c>
      <c r="OO519" s="27" t="s">
        <v>8</v>
      </c>
      <c r="OP519" s="27" t="s">
        <v>7</v>
      </c>
      <c r="OV519" s="27" t="s">
        <v>7</v>
      </c>
    </row>
    <row r="520" spans="1:416" x14ac:dyDescent="0.25">
      <c r="A520" s="7">
        <v>3.7688730417113687</v>
      </c>
      <c r="B520"/>
      <c r="C520"/>
      <c r="D520"/>
      <c r="E520"/>
      <c r="EQ520" s="27" t="s">
        <v>8</v>
      </c>
      <c r="ER520" s="27" t="s">
        <v>7</v>
      </c>
      <c r="EX520" s="27" t="s">
        <v>7</v>
      </c>
      <c r="EY520" s="27" t="s">
        <v>8</v>
      </c>
      <c r="EZ520" s="27" t="s">
        <v>7</v>
      </c>
      <c r="FB520" s="27" t="s">
        <v>7</v>
      </c>
      <c r="FD520" s="27" t="s">
        <v>7</v>
      </c>
      <c r="IK520" s="27" t="s">
        <v>8</v>
      </c>
      <c r="IL520" s="27" t="s">
        <v>7</v>
      </c>
      <c r="IM520" s="27" t="s">
        <v>8</v>
      </c>
      <c r="IR520" s="27" t="s">
        <v>7</v>
      </c>
      <c r="IS520" s="27" t="s">
        <v>8</v>
      </c>
      <c r="IT520" s="27" t="s">
        <v>7</v>
      </c>
      <c r="IU520" s="27" t="s">
        <v>8</v>
      </c>
      <c r="IV520" s="27" t="s">
        <v>7</v>
      </c>
      <c r="IW520" s="27" t="s">
        <v>8</v>
      </c>
      <c r="IX520" s="27" t="s">
        <v>7</v>
      </c>
      <c r="JT520" s="27" t="s">
        <v>7</v>
      </c>
      <c r="JU520" s="27" t="s">
        <v>8</v>
      </c>
      <c r="KJ520" s="27" t="s">
        <v>7</v>
      </c>
      <c r="KK520" s="27" t="s">
        <v>8</v>
      </c>
      <c r="KL520" s="27" t="s">
        <v>7</v>
      </c>
      <c r="KM520" s="27" t="s">
        <v>8</v>
      </c>
      <c r="KN520" s="27" t="s">
        <v>7</v>
      </c>
      <c r="KO520" s="27" t="s">
        <v>8</v>
      </c>
      <c r="KR520" s="27" t="s">
        <v>7</v>
      </c>
      <c r="KS520" s="27" t="s">
        <v>8</v>
      </c>
      <c r="KT520" s="27" t="s">
        <v>7</v>
      </c>
      <c r="KU520" s="27" t="s">
        <v>8</v>
      </c>
      <c r="KV520" s="27" t="s">
        <v>7</v>
      </c>
      <c r="KW520" s="27" t="s">
        <v>8</v>
      </c>
      <c r="KX520" s="27" t="s">
        <v>7</v>
      </c>
      <c r="LA520" s="27" t="s">
        <v>8</v>
      </c>
      <c r="LB520" s="27" t="s">
        <v>7</v>
      </c>
      <c r="LF520" s="27" t="s">
        <v>7</v>
      </c>
      <c r="LH520" s="27" t="s">
        <v>7</v>
      </c>
      <c r="LI520" s="27" t="s">
        <v>8</v>
      </c>
      <c r="LJ520" s="27" t="s">
        <v>7</v>
      </c>
      <c r="LK520" s="27" t="s">
        <v>8</v>
      </c>
      <c r="NV520" s="27" t="s">
        <v>7</v>
      </c>
      <c r="NW520" s="27" t="s">
        <v>8</v>
      </c>
      <c r="NX520" s="27" t="s">
        <v>7</v>
      </c>
      <c r="NY520" s="27" t="s">
        <v>8</v>
      </c>
      <c r="NZ520" s="27" t="s">
        <v>7</v>
      </c>
      <c r="OE520" s="27" t="s">
        <v>8</v>
      </c>
      <c r="OF520" s="27" t="s">
        <v>7</v>
      </c>
      <c r="OG520" s="27" t="s">
        <v>8</v>
      </c>
      <c r="OH520" s="27" t="s">
        <v>7</v>
      </c>
      <c r="OI520" s="27" t="s">
        <v>8</v>
      </c>
      <c r="OJ520" s="27" t="s">
        <v>7</v>
      </c>
      <c r="OK520" s="27" t="s">
        <v>8</v>
      </c>
      <c r="ON520" s="27" t="s">
        <v>7</v>
      </c>
      <c r="OO520" s="27" t="s">
        <v>8</v>
      </c>
      <c r="OV520" s="27" t="s">
        <v>7</v>
      </c>
    </row>
    <row r="521" spans="1:416" x14ac:dyDescent="0.25">
      <c r="A521" s="7">
        <v>3.6949735703052635</v>
      </c>
      <c r="B521"/>
      <c r="C521"/>
      <c r="D521"/>
      <c r="E521"/>
      <c r="EQ521" s="27" t="s">
        <v>8</v>
      </c>
      <c r="EX521" s="27" t="s">
        <v>7</v>
      </c>
      <c r="EY521" s="27" t="s">
        <v>8</v>
      </c>
      <c r="FD521" s="27" t="s">
        <v>7</v>
      </c>
      <c r="IK521" s="27" t="s">
        <v>8</v>
      </c>
      <c r="IL521" s="27" t="s">
        <v>7</v>
      </c>
      <c r="IM521" s="27" t="s">
        <v>8</v>
      </c>
      <c r="IR521" s="27" t="s">
        <v>7</v>
      </c>
      <c r="IS521" s="27" t="s">
        <v>8</v>
      </c>
      <c r="IT521" s="27" t="s">
        <v>7</v>
      </c>
      <c r="IU521" s="27" t="s">
        <v>8</v>
      </c>
      <c r="IV521" s="27" t="s">
        <v>7</v>
      </c>
      <c r="JT521" s="27" t="s">
        <v>7</v>
      </c>
      <c r="JU521" s="27" t="s">
        <v>8</v>
      </c>
      <c r="KJ521" s="27" t="s">
        <v>7</v>
      </c>
      <c r="KK521" s="27" t="s">
        <v>8</v>
      </c>
      <c r="KL521" s="27" t="s">
        <v>7</v>
      </c>
      <c r="KM521" s="27" t="s">
        <v>8</v>
      </c>
      <c r="KN521" s="27" t="s">
        <v>7</v>
      </c>
      <c r="KO521" s="27" t="s">
        <v>8</v>
      </c>
      <c r="KR521" s="27" t="s">
        <v>7</v>
      </c>
      <c r="KT521" s="27" t="s">
        <v>7</v>
      </c>
      <c r="KU521" s="27" t="s">
        <v>8</v>
      </c>
      <c r="KV521" s="27" t="s">
        <v>7</v>
      </c>
      <c r="KW521" s="27" t="s">
        <v>8</v>
      </c>
      <c r="KX521" s="27" t="s">
        <v>7</v>
      </c>
      <c r="LA521" s="27" t="s">
        <v>8</v>
      </c>
      <c r="LH521" s="27" t="s">
        <v>7</v>
      </c>
      <c r="LI521" s="27" t="s">
        <v>8</v>
      </c>
      <c r="LJ521" s="27" t="s">
        <v>7</v>
      </c>
      <c r="LK521" s="27" t="s">
        <v>8</v>
      </c>
      <c r="NV521" s="27" t="s">
        <v>7</v>
      </c>
      <c r="NW521" s="27" t="s">
        <v>8</v>
      </c>
      <c r="NX521" s="27" t="s">
        <v>7</v>
      </c>
      <c r="NY521" s="27" t="s">
        <v>8</v>
      </c>
      <c r="NZ521" s="27" t="s">
        <v>7</v>
      </c>
      <c r="OE521" s="27" t="s">
        <v>8</v>
      </c>
      <c r="OF521" s="27" t="s">
        <v>7</v>
      </c>
      <c r="OG521" s="27" t="s">
        <v>8</v>
      </c>
      <c r="OH521" s="27" t="s">
        <v>7</v>
      </c>
      <c r="OI521" s="27" t="s">
        <v>8</v>
      </c>
      <c r="OJ521" s="27" t="s">
        <v>7</v>
      </c>
      <c r="OK521" s="27" t="s">
        <v>8</v>
      </c>
      <c r="ON521" s="27" t="s">
        <v>7</v>
      </c>
      <c r="OO521" s="27" t="s">
        <v>8</v>
      </c>
      <c r="OV521" s="27" t="s">
        <v>7</v>
      </c>
    </row>
    <row r="522" spans="1:416" x14ac:dyDescent="0.25">
      <c r="A522" s="7">
        <v>3.6225231081424152</v>
      </c>
      <c r="B522"/>
      <c r="C522"/>
      <c r="D522"/>
      <c r="E522"/>
      <c r="EQ522" s="27" t="s">
        <v>8</v>
      </c>
      <c r="EX522" s="27" t="s">
        <v>7</v>
      </c>
      <c r="EY522" s="27" t="s">
        <v>8</v>
      </c>
      <c r="FD522" s="27" t="s">
        <v>7</v>
      </c>
      <c r="IK522" s="27" t="s">
        <v>8</v>
      </c>
      <c r="IL522" s="27" t="s">
        <v>7</v>
      </c>
      <c r="IR522" s="27" t="s">
        <v>7</v>
      </c>
      <c r="IS522" s="27" t="s">
        <v>8</v>
      </c>
      <c r="IT522" s="27" t="s">
        <v>7</v>
      </c>
      <c r="IU522" s="27" t="s">
        <v>8</v>
      </c>
      <c r="JT522" s="27" t="s">
        <v>7</v>
      </c>
      <c r="JU522" s="27" t="s">
        <v>8</v>
      </c>
      <c r="KJ522" s="27" t="s">
        <v>7</v>
      </c>
      <c r="KK522" s="27" t="s">
        <v>8</v>
      </c>
      <c r="KL522" s="27" t="s">
        <v>7</v>
      </c>
      <c r="KM522" s="27" t="s">
        <v>8</v>
      </c>
      <c r="KN522" s="27" t="s">
        <v>7</v>
      </c>
      <c r="KO522" s="27" t="s">
        <v>8</v>
      </c>
      <c r="KT522" s="27" t="s">
        <v>7</v>
      </c>
      <c r="KU522" s="27" t="s">
        <v>8</v>
      </c>
      <c r="KV522" s="27" t="s">
        <v>7</v>
      </c>
      <c r="KX522" s="27" t="s">
        <v>7</v>
      </c>
      <c r="KY522" s="27" t="s">
        <v>8</v>
      </c>
      <c r="LA522" s="27" t="s">
        <v>8</v>
      </c>
      <c r="LH522" s="27" t="s">
        <v>7</v>
      </c>
      <c r="LJ522" s="18" t="s">
        <v>7</v>
      </c>
      <c r="LK522" s="27" t="s">
        <v>8</v>
      </c>
      <c r="NV522" s="27" t="s">
        <v>7</v>
      </c>
      <c r="NW522" s="27" t="s">
        <v>8</v>
      </c>
      <c r="NX522" s="27" t="s">
        <v>7</v>
      </c>
      <c r="NY522" s="27" t="s">
        <v>8</v>
      </c>
      <c r="NZ522" s="27" t="s">
        <v>7</v>
      </c>
      <c r="OA522" s="27" t="s">
        <v>8</v>
      </c>
      <c r="OC522" s="27" t="s">
        <v>8</v>
      </c>
      <c r="OE522" s="27" t="s">
        <v>8</v>
      </c>
      <c r="OF522" s="27" t="s">
        <v>7</v>
      </c>
      <c r="OG522" s="27" t="s">
        <v>8</v>
      </c>
      <c r="OH522" s="27" t="s">
        <v>7</v>
      </c>
      <c r="OI522" s="27" t="s">
        <v>8</v>
      </c>
      <c r="OJ522" s="27" t="s">
        <v>7</v>
      </c>
      <c r="ON522" s="27" t="s">
        <v>7</v>
      </c>
      <c r="OO522" s="27" t="s">
        <v>8</v>
      </c>
      <c r="OV522" s="27" t="s">
        <v>7</v>
      </c>
    </row>
    <row r="523" spans="1:416" x14ac:dyDescent="0.25">
      <c r="A523" s="7">
        <v>3.5514932432768775</v>
      </c>
      <c r="B523"/>
      <c r="C523"/>
      <c r="D523"/>
      <c r="E523"/>
      <c r="EI523" s="27" t="s">
        <v>8</v>
      </c>
      <c r="EQ523" s="27" t="s">
        <v>8</v>
      </c>
      <c r="EX523" s="27" t="s">
        <v>7</v>
      </c>
      <c r="FD523" s="27" t="s">
        <v>7</v>
      </c>
      <c r="IK523" s="27" t="s">
        <v>8</v>
      </c>
      <c r="IR523" s="27" t="s">
        <v>7</v>
      </c>
      <c r="IS523" s="27" t="s">
        <v>8</v>
      </c>
      <c r="IT523" s="27" t="s">
        <v>7</v>
      </c>
      <c r="IU523" s="27" t="s">
        <v>8</v>
      </c>
      <c r="JT523" s="27" t="s">
        <v>7</v>
      </c>
      <c r="JU523" s="27" t="s">
        <v>8</v>
      </c>
      <c r="KJ523" s="27" t="s">
        <v>7</v>
      </c>
      <c r="KK523" s="27" t="s">
        <v>8</v>
      </c>
      <c r="KL523" s="27" t="s">
        <v>7</v>
      </c>
      <c r="KM523" s="27" t="s">
        <v>8</v>
      </c>
      <c r="KN523" s="27" t="s">
        <v>7</v>
      </c>
      <c r="KO523" s="27" t="s">
        <v>8</v>
      </c>
      <c r="KT523" s="27" t="s">
        <v>7</v>
      </c>
      <c r="KU523" s="27" t="s">
        <v>8</v>
      </c>
      <c r="KX523" s="27" t="s">
        <v>7</v>
      </c>
      <c r="KY523" s="27" t="s">
        <v>8</v>
      </c>
      <c r="KZ523" s="27" t="s">
        <v>7</v>
      </c>
      <c r="LA523" s="27" t="s">
        <v>8</v>
      </c>
      <c r="LJ523" s="27" t="s">
        <v>7</v>
      </c>
      <c r="LK523" s="27" t="s">
        <v>8</v>
      </c>
      <c r="NV523" s="27" t="s">
        <v>7</v>
      </c>
      <c r="NW523" s="27" t="s">
        <v>8</v>
      </c>
      <c r="NX523" s="27" t="s">
        <v>7</v>
      </c>
      <c r="NY523" s="27" t="s">
        <v>8</v>
      </c>
      <c r="NZ523" s="27" t="s">
        <v>7</v>
      </c>
      <c r="OA523" s="27" t="s">
        <v>8</v>
      </c>
      <c r="OB523" s="27" t="s">
        <v>7</v>
      </c>
      <c r="OC523" s="27" t="s">
        <v>8</v>
      </c>
      <c r="OD523" s="27" t="s">
        <v>7</v>
      </c>
      <c r="OE523" s="27" t="s">
        <v>8</v>
      </c>
      <c r="OF523" s="27" t="s">
        <v>7</v>
      </c>
      <c r="OG523" s="27" t="s">
        <v>8</v>
      </c>
      <c r="OH523" s="27" t="s">
        <v>7</v>
      </c>
      <c r="OI523" s="27" t="s">
        <v>8</v>
      </c>
      <c r="ON523" s="27" t="s">
        <v>7</v>
      </c>
      <c r="OO523" s="27" t="s">
        <v>8</v>
      </c>
      <c r="OV523" s="27" t="s">
        <v>7</v>
      </c>
    </row>
    <row r="524" spans="1:416" x14ac:dyDescent="0.25">
      <c r="A524" s="7">
        <v>3.4818561208596837</v>
      </c>
      <c r="B524"/>
      <c r="C524"/>
      <c r="D524"/>
      <c r="E524"/>
      <c r="EI524" s="27" t="s">
        <v>8</v>
      </c>
      <c r="EJ524" s="27" t="s">
        <v>7</v>
      </c>
      <c r="EQ524" s="27" t="s">
        <v>8</v>
      </c>
      <c r="FD524" s="27" t="s">
        <v>7</v>
      </c>
      <c r="II524" s="27" t="s">
        <v>8</v>
      </c>
      <c r="IK524" s="27" t="s">
        <v>8</v>
      </c>
      <c r="IR524" s="27" t="s">
        <v>7</v>
      </c>
      <c r="IS524" s="27" t="s">
        <v>8</v>
      </c>
      <c r="IT524" s="27" t="s">
        <v>7</v>
      </c>
      <c r="IU524" s="27" t="s">
        <v>8</v>
      </c>
      <c r="JT524" s="27" t="s">
        <v>7</v>
      </c>
      <c r="KJ524" s="27" t="s">
        <v>7</v>
      </c>
      <c r="KK524" s="27" t="s">
        <v>8</v>
      </c>
      <c r="KL524" s="27" t="s">
        <v>7</v>
      </c>
      <c r="KM524" s="27" t="s">
        <v>8</v>
      </c>
      <c r="KN524" s="27" t="s">
        <v>7</v>
      </c>
      <c r="KO524" s="27" t="s">
        <v>8</v>
      </c>
      <c r="KT524" s="27" t="s">
        <v>7</v>
      </c>
      <c r="KU524" s="27" t="s">
        <v>8</v>
      </c>
      <c r="KX524" s="27" t="s">
        <v>7</v>
      </c>
      <c r="KY524" s="27" t="s">
        <v>8</v>
      </c>
      <c r="KZ524" s="27" t="s">
        <v>7</v>
      </c>
      <c r="LA524" s="27" t="s">
        <v>8</v>
      </c>
      <c r="LJ524" s="27" t="s">
        <v>7</v>
      </c>
      <c r="LK524" s="27" t="s">
        <v>8</v>
      </c>
      <c r="NV524" s="27" t="s">
        <v>7</v>
      </c>
      <c r="NW524" s="27" t="s">
        <v>8</v>
      </c>
      <c r="NX524" s="27" t="s">
        <v>7</v>
      </c>
      <c r="NY524" s="27" t="s">
        <v>8</v>
      </c>
      <c r="NZ524" s="27" t="s">
        <v>7</v>
      </c>
      <c r="OA524" s="27" t="s">
        <v>8</v>
      </c>
      <c r="OB524" s="27" t="s">
        <v>7</v>
      </c>
      <c r="OC524" s="27" t="s">
        <v>8</v>
      </c>
      <c r="OD524" s="27" t="s">
        <v>7</v>
      </c>
      <c r="OE524" s="27" t="s">
        <v>8</v>
      </c>
      <c r="OF524" s="27" t="s">
        <v>7</v>
      </c>
      <c r="OH524" s="27" t="s">
        <v>7</v>
      </c>
      <c r="OI524" s="27" t="s">
        <v>8</v>
      </c>
      <c r="ON524" s="27" t="s">
        <v>7</v>
      </c>
      <c r="OV524" s="27" t="s">
        <v>7</v>
      </c>
    </row>
    <row r="525" spans="1:416" x14ac:dyDescent="0.25">
      <c r="A525" s="7">
        <v>3.4135844322153761</v>
      </c>
      <c r="B525"/>
      <c r="C525"/>
      <c r="D525"/>
      <c r="E525"/>
      <c r="EI525" s="27" t="s">
        <v>8</v>
      </c>
      <c r="EJ525" s="27" t="s">
        <v>7</v>
      </c>
      <c r="EQ525" s="27" t="s">
        <v>8</v>
      </c>
      <c r="FD525" s="27" t="s">
        <v>7</v>
      </c>
      <c r="II525" s="27" t="s">
        <v>8</v>
      </c>
      <c r="IJ525" s="27" t="s">
        <v>7</v>
      </c>
      <c r="IK525" s="27" t="s">
        <v>8</v>
      </c>
      <c r="IR525" s="27" t="s">
        <v>7</v>
      </c>
      <c r="IS525" s="27" t="s">
        <v>8</v>
      </c>
      <c r="IT525" s="27" t="s">
        <v>7</v>
      </c>
      <c r="IU525" s="27" t="s">
        <v>8</v>
      </c>
      <c r="KJ525" s="27" t="s">
        <v>7</v>
      </c>
      <c r="KK525" s="27" t="s">
        <v>8</v>
      </c>
      <c r="KL525" s="27" t="s">
        <v>7</v>
      </c>
      <c r="KM525" s="27" t="s">
        <v>8</v>
      </c>
      <c r="KN525" s="27" t="s">
        <v>7</v>
      </c>
      <c r="KO525" s="27" t="s">
        <v>8</v>
      </c>
      <c r="KT525" s="27" t="s">
        <v>7</v>
      </c>
      <c r="KU525" s="27" t="s">
        <v>8</v>
      </c>
      <c r="KX525" s="27" t="s">
        <v>7</v>
      </c>
      <c r="KY525" s="27" t="s">
        <v>8</v>
      </c>
      <c r="KZ525" s="27" t="s">
        <v>7</v>
      </c>
      <c r="LA525" s="27" t="s">
        <v>8</v>
      </c>
      <c r="LJ525" s="27" t="s">
        <v>7</v>
      </c>
      <c r="LK525" s="27" t="s">
        <v>8</v>
      </c>
      <c r="NV525" s="27" t="s">
        <v>7</v>
      </c>
      <c r="NW525" s="27" t="s">
        <v>8</v>
      </c>
      <c r="NX525" s="27" t="s">
        <v>7</v>
      </c>
      <c r="NZ525" s="27" t="s">
        <v>7</v>
      </c>
      <c r="OB525" s="27" t="s">
        <v>7</v>
      </c>
      <c r="OC525" s="27" t="s">
        <v>8</v>
      </c>
      <c r="OD525" s="27" t="s">
        <v>7</v>
      </c>
      <c r="OE525" s="27" t="s">
        <v>8</v>
      </c>
      <c r="OH525" s="27" t="s">
        <v>7</v>
      </c>
      <c r="OV525" s="27" t="s">
        <v>7</v>
      </c>
      <c r="OW525" s="27" t="s">
        <v>8</v>
      </c>
      <c r="OY525" s="27" t="s">
        <v>8</v>
      </c>
    </row>
    <row r="526" spans="1:416" x14ac:dyDescent="0.25">
      <c r="A526" s="7">
        <v>3.3466514041327216</v>
      </c>
      <c r="B526"/>
      <c r="C526"/>
      <c r="D526"/>
      <c r="E526"/>
      <c r="EI526" s="27" t="s">
        <v>8</v>
      </c>
      <c r="EJ526" s="27" t="s">
        <v>7</v>
      </c>
      <c r="EQ526" s="27" t="s">
        <v>8</v>
      </c>
      <c r="FD526" s="27" t="s">
        <v>7</v>
      </c>
      <c r="II526" s="27" t="s">
        <v>8</v>
      </c>
      <c r="IJ526" s="27" t="s">
        <v>7</v>
      </c>
      <c r="IK526" s="27" t="s">
        <v>8</v>
      </c>
      <c r="IR526" s="27" t="s">
        <v>7</v>
      </c>
      <c r="IS526" s="27" t="s">
        <v>8</v>
      </c>
      <c r="IT526" s="27" t="s">
        <v>7</v>
      </c>
      <c r="IU526" s="27" t="s">
        <v>8</v>
      </c>
      <c r="KJ526" s="27" t="s">
        <v>7</v>
      </c>
      <c r="KK526" s="27" t="s">
        <v>8</v>
      </c>
      <c r="KL526" s="27" t="s">
        <v>7</v>
      </c>
      <c r="KM526" s="27" t="s">
        <v>8</v>
      </c>
      <c r="KN526" s="27" t="s">
        <v>7</v>
      </c>
      <c r="KO526" s="27" t="s">
        <v>8</v>
      </c>
      <c r="KT526" s="27" t="s">
        <v>7</v>
      </c>
      <c r="KX526" s="27" t="s">
        <v>7</v>
      </c>
      <c r="KY526" s="27" t="s">
        <v>8</v>
      </c>
      <c r="KZ526" s="27" t="s">
        <v>7</v>
      </c>
      <c r="LA526" s="27" t="s">
        <v>8</v>
      </c>
      <c r="LJ526" s="27" t="s">
        <v>7</v>
      </c>
      <c r="LK526" s="27" t="s">
        <v>8</v>
      </c>
      <c r="NV526" s="27" t="s">
        <v>7</v>
      </c>
      <c r="NW526" s="27" t="s">
        <v>8</v>
      </c>
      <c r="OB526" s="27" t="s">
        <v>7</v>
      </c>
      <c r="OC526" s="27" t="s">
        <v>8</v>
      </c>
      <c r="OD526" s="27" t="s">
        <v>7</v>
      </c>
      <c r="OE526" s="27" t="s">
        <v>8</v>
      </c>
      <c r="OV526" s="27" t="s">
        <v>7</v>
      </c>
      <c r="OW526" s="27" t="s">
        <v>8</v>
      </c>
      <c r="OX526" s="27" t="s">
        <v>7</v>
      </c>
      <c r="OY526" s="27" t="s">
        <v>8</v>
      </c>
      <c r="OZ526" s="27" t="s">
        <v>7</v>
      </c>
    </row>
    <row r="527" spans="1:416" x14ac:dyDescent="0.25">
      <c r="A527" s="7">
        <v>3.2810307883654133</v>
      </c>
      <c r="B527"/>
      <c r="C527"/>
      <c r="D527"/>
      <c r="E527"/>
      <c r="EI527" s="27" t="s">
        <v>8</v>
      </c>
      <c r="EJ527" s="27" t="s">
        <v>7</v>
      </c>
      <c r="EQ527" s="27" t="s">
        <v>8</v>
      </c>
      <c r="FD527" s="27" t="s">
        <v>7</v>
      </c>
      <c r="II527" s="27" t="s">
        <v>8</v>
      </c>
      <c r="IJ527" s="27" t="s">
        <v>7</v>
      </c>
      <c r="IK527" s="27" t="s">
        <v>8</v>
      </c>
      <c r="IR527" s="27" t="s">
        <v>7</v>
      </c>
      <c r="IS527" s="27" t="s">
        <v>8</v>
      </c>
      <c r="IT527" s="27" t="s">
        <v>7</v>
      </c>
      <c r="IU527" s="27" t="s">
        <v>8</v>
      </c>
      <c r="KJ527" s="27" t="s">
        <v>7</v>
      </c>
      <c r="KK527" s="27" t="s">
        <v>8</v>
      </c>
      <c r="KL527" s="27" t="s">
        <v>7</v>
      </c>
      <c r="KM527" s="27" t="s">
        <v>8</v>
      </c>
      <c r="KN527" s="27" t="s">
        <v>7</v>
      </c>
      <c r="KO527" s="27" t="s">
        <v>8</v>
      </c>
      <c r="KX527" s="27" t="s">
        <v>7</v>
      </c>
      <c r="KY527" s="27" t="s">
        <v>8</v>
      </c>
      <c r="KZ527" s="27" t="s">
        <v>7</v>
      </c>
      <c r="LA527" s="27" t="s">
        <v>8</v>
      </c>
      <c r="LJ527" s="27" t="s">
        <v>7</v>
      </c>
      <c r="LK527" s="27" t="s">
        <v>8</v>
      </c>
      <c r="NV527" s="27" t="s">
        <v>7</v>
      </c>
      <c r="NW527" s="27" t="s">
        <v>8</v>
      </c>
      <c r="OB527" s="27" t="s">
        <v>7</v>
      </c>
      <c r="OC527" s="27" t="s">
        <v>8</v>
      </c>
      <c r="OD527" s="27" t="s">
        <v>7</v>
      </c>
      <c r="OE527" s="27" t="s">
        <v>8</v>
      </c>
      <c r="OV527" s="27" t="s">
        <v>7</v>
      </c>
      <c r="OW527" s="27" t="s">
        <v>8</v>
      </c>
      <c r="OX527" s="27" t="s">
        <v>7</v>
      </c>
      <c r="OY527" s="27" t="s">
        <v>8</v>
      </c>
      <c r="OZ527" s="27" t="s">
        <v>7</v>
      </c>
    </row>
    <row r="528" spans="1:416" x14ac:dyDescent="0.25">
      <c r="A528" s="7">
        <v>3.2166968513386403</v>
      </c>
      <c r="B528"/>
      <c r="C528"/>
      <c r="D528"/>
      <c r="E528"/>
      <c r="EI528" s="27" t="s">
        <v>8</v>
      </c>
      <c r="EJ528" s="27" t="s">
        <v>7</v>
      </c>
      <c r="EQ528" s="27" t="s">
        <v>8</v>
      </c>
      <c r="FD528" s="27" t="s">
        <v>7</v>
      </c>
      <c r="II528" s="27" t="s">
        <v>8</v>
      </c>
      <c r="IJ528" s="27" t="s">
        <v>7</v>
      </c>
      <c r="IK528" s="27" t="s">
        <v>8</v>
      </c>
      <c r="IR528" s="27" t="s">
        <v>7</v>
      </c>
      <c r="IS528" s="27" t="s">
        <v>8</v>
      </c>
      <c r="IT528" s="27" t="s">
        <v>7</v>
      </c>
      <c r="IU528" s="27" t="s">
        <v>8</v>
      </c>
      <c r="KJ528" s="27" t="s">
        <v>7</v>
      </c>
      <c r="KK528" s="27" t="s">
        <v>8</v>
      </c>
      <c r="KL528" s="27" t="s">
        <v>7</v>
      </c>
      <c r="KM528" s="27" t="s">
        <v>8</v>
      </c>
      <c r="KN528" s="27" t="s">
        <v>7</v>
      </c>
      <c r="KO528" s="27" t="s">
        <v>8</v>
      </c>
      <c r="KX528" s="27" t="s">
        <v>7</v>
      </c>
      <c r="KY528" s="27" t="s">
        <v>8</v>
      </c>
      <c r="KZ528" s="27" t="s">
        <v>7</v>
      </c>
      <c r="LJ528" s="27" t="s">
        <v>7</v>
      </c>
      <c r="NV528" s="27" t="s">
        <v>7</v>
      </c>
      <c r="NW528" s="27" t="s">
        <v>8</v>
      </c>
      <c r="OB528" s="27" t="s">
        <v>7</v>
      </c>
      <c r="OD528" s="27" t="s">
        <v>7</v>
      </c>
      <c r="OV528" s="27" t="s">
        <v>7</v>
      </c>
      <c r="OW528" s="27" t="s">
        <v>8</v>
      </c>
      <c r="OX528" s="27" t="s">
        <v>7</v>
      </c>
      <c r="OY528" s="27" t="s">
        <v>8</v>
      </c>
      <c r="OZ528" s="27" t="s">
        <v>7</v>
      </c>
    </row>
    <row r="529" spans="1:416" x14ac:dyDescent="0.25">
      <c r="A529" s="7">
        <v>3.1536243640574906</v>
      </c>
      <c r="B529"/>
      <c r="C529"/>
      <c r="D529"/>
      <c r="E529"/>
      <c r="EI529" s="27" t="s">
        <v>8</v>
      </c>
      <c r="EJ529" s="27" t="s">
        <v>7</v>
      </c>
      <c r="EK529" s="27" t="s">
        <v>8</v>
      </c>
      <c r="EQ529" s="27" t="s">
        <v>8</v>
      </c>
      <c r="FD529" s="27" t="s">
        <v>7</v>
      </c>
      <c r="II529" s="27" t="s">
        <v>8</v>
      </c>
      <c r="IJ529" s="27" t="s">
        <v>7</v>
      </c>
      <c r="IK529" s="27" t="s">
        <v>8</v>
      </c>
      <c r="IR529" s="27" t="s">
        <v>7</v>
      </c>
      <c r="IS529" s="27" t="s">
        <v>8</v>
      </c>
      <c r="IT529" s="27" t="s">
        <v>7</v>
      </c>
      <c r="IU529" s="27" t="s">
        <v>8</v>
      </c>
      <c r="KJ529" s="27" t="s">
        <v>7</v>
      </c>
      <c r="KK529" s="27" t="s">
        <v>8</v>
      </c>
      <c r="KL529" s="27" t="s">
        <v>7</v>
      </c>
      <c r="KM529" s="27" t="s">
        <v>8</v>
      </c>
      <c r="KN529" s="27" t="s">
        <v>7</v>
      </c>
      <c r="KO529" s="27" t="s">
        <v>8</v>
      </c>
      <c r="KX529" s="27" t="s">
        <v>7</v>
      </c>
      <c r="KY529" s="27" t="s">
        <v>8</v>
      </c>
      <c r="NV529" s="27" t="s">
        <v>7</v>
      </c>
      <c r="NW529" s="27" t="s">
        <v>8</v>
      </c>
      <c r="OV529" s="27" t="s">
        <v>7</v>
      </c>
      <c r="OW529" s="27" t="s">
        <v>8</v>
      </c>
      <c r="OX529" s="27" t="s">
        <v>7</v>
      </c>
      <c r="OY529" s="27" t="s">
        <v>8</v>
      </c>
      <c r="OZ529" s="27" t="s">
        <v>7</v>
      </c>
    </row>
    <row r="530" spans="1:416" x14ac:dyDescent="0.25">
      <c r="A530" s="7">
        <v>3.0917885922132262</v>
      </c>
      <c r="B530"/>
      <c r="C530"/>
      <c r="D530"/>
      <c r="E530"/>
      <c r="EI530" s="27" t="s">
        <v>8</v>
      </c>
      <c r="EJ530" s="27" t="s">
        <v>7</v>
      </c>
      <c r="EK530" s="27" t="s">
        <v>8</v>
      </c>
      <c r="EL530" s="27" t="s">
        <v>7</v>
      </c>
      <c r="EQ530" s="27" t="s">
        <v>8</v>
      </c>
      <c r="FD530" s="27" t="s">
        <v>7</v>
      </c>
      <c r="II530" s="27" t="s">
        <v>8</v>
      </c>
      <c r="IJ530" s="27" t="s">
        <v>7</v>
      </c>
      <c r="IK530" s="27" t="s">
        <v>8</v>
      </c>
      <c r="IR530" s="27" t="s">
        <v>7</v>
      </c>
      <c r="IS530" s="27" t="s">
        <v>8</v>
      </c>
      <c r="IT530" s="27" t="s">
        <v>7</v>
      </c>
      <c r="IU530" s="27" t="s">
        <v>8</v>
      </c>
      <c r="KJ530" s="27" t="s">
        <v>7</v>
      </c>
      <c r="KK530" s="27" t="s">
        <v>8</v>
      </c>
      <c r="KL530" s="27" t="s">
        <v>7</v>
      </c>
      <c r="KM530" s="27" t="s">
        <v>8</v>
      </c>
      <c r="KN530" s="27" t="s">
        <v>7</v>
      </c>
      <c r="KO530" s="27" t="s">
        <v>8</v>
      </c>
      <c r="KX530" s="27" t="s">
        <v>7</v>
      </c>
      <c r="KY530" s="27" t="s">
        <v>8</v>
      </c>
      <c r="NV530" s="27" t="s">
        <v>7</v>
      </c>
      <c r="OV530" s="27" t="s">
        <v>7</v>
      </c>
      <c r="OW530" s="27" t="s">
        <v>8</v>
      </c>
      <c r="OX530" s="27" t="s">
        <v>7</v>
      </c>
      <c r="OY530" s="27" t="s">
        <v>8</v>
      </c>
    </row>
    <row r="531" spans="1:416" x14ac:dyDescent="0.25">
      <c r="A531" s="7">
        <v>3.0311652864835552</v>
      </c>
      <c r="B531"/>
      <c r="C531"/>
      <c r="D531"/>
      <c r="E531"/>
      <c r="EI531" s="27" t="s">
        <v>8</v>
      </c>
      <c r="EJ531" s="27" t="s">
        <v>7</v>
      </c>
      <c r="EK531" s="27" t="s">
        <v>8</v>
      </c>
      <c r="EL531" s="27" t="s">
        <v>7</v>
      </c>
      <c r="EQ531" s="27" t="s">
        <v>8</v>
      </c>
      <c r="FD531" s="27" t="s">
        <v>7</v>
      </c>
      <c r="II531" s="27" t="s">
        <v>8</v>
      </c>
      <c r="IJ531" s="27" t="s">
        <v>7</v>
      </c>
      <c r="IK531" s="27" t="s">
        <v>8</v>
      </c>
      <c r="IR531" s="27" t="s">
        <v>7</v>
      </c>
      <c r="IS531" s="27" t="s">
        <v>8</v>
      </c>
      <c r="IT531" s="27" t="s">
        <v>7</v>
      </c>
      <c r="KJ531" s="27" t="s">
        <v>7</v>
      </c>
      <c r="KK531" s="27" t="s">
        <v>8</v>
      </c>
      <c r="KL531" s="27" t="s">
        <v>7</v>
      </c>
      <c r="KM531" s="27" t="s">
        <v>8</v>
      </c>
      <c r="KN531" s="27" t="s">
        <v>7</v>
      </c>
      <c r="KO531" s="27" t="s">
        <v>8</v>
      </c>
      <c r="KX531" s="27" t="s">
        <v>7</v>
      </c>
      <c r="KY531" s="27" t="s">
        <v>8</v>
      </c>
      <c r="OV531" s="27" t="s">
        <v>7</v>
      </c>
      <c r="OX531" s="27" t="s">
        <v>7</v>
      </c>
      <c r="OY531" s="27" t="s">
        <v>8</v>
      </c>
    </row>
    <row r="532" spans="1:416" x14ac:dyDescent="0.25">
      <c r="A532" s="7">
        <v>2.9717306730230932</v>
      </c>
      <c r="B532"/>
      <c r="C532"/>
      <c r="D532"/>
      <c r="E532"/>
      <c r="EI532" s="27" t="s">
        <v>8</v>
      </c>
      <c r="EJ532" s="27" t="s">
        <v>7</v>
      </c>
      <c r="EK532" s="27" t="s">
        <v>8</v>
      </c>
      <c r="EL532" s="27" t="s">
        <v>7</v>
      </c>
      <c r="EQ532" s="27" t="s">
        <v>8</v>
      </c>
      <c r="FD532" s="27" t="s">
        <v>7</v>
      </c>
      <c r="FK532" s="27" t="s">
        <v>8</v>
      </c>
      <c r="II532" s="27" t="s">
        <v>8</v>
      </c>
      <c r="IJ532" s="27" t="s">
        <v>7</v>
      </c>
      <c r="IR532" s="27" t="s">
        <v>7</v>
      </c>
      <c r="IS532" s="27" t="s">
        <v>8</v>
      </c>
      <c r="KJ532" s="27" t="s">
        <v>7</v>
      </c>
      <c r="KK532" s="27" t="s">
        <v>8</v>
      </c>
      <c r="KL532" s="27" t="s">
        <v>7</v>
      </c>
      <c r="KM532" s="27" t="s">
        <v>8</v>
      </c>
      <c r="KN532" s="27" t="s">
        <v>7</v>
      </c>
      <c r="KX532" s="27" t="s">
        <v>7</v>
      </c>
      <c r="KY532" s="27" t="s">
        <v>8</v>
      </c>
      <c r="OX532" s="27" t="s">
        <v>7</v>
      </c>
      <c r="OY532" s="27" t="s">
        <v>8</v>
      </c>
    </row>
    <row r="533" spans="1:416" x14ac:dyDescent="0.25">
      <c r="A533" s="7">
        <v>2.9134614441402875</v>
      </c>
      <c r="B533"/>
      <c r="C533"/>
      <c r="D533"/>
      <c r="E533"/>
      <c r="EI533" s="27" t="s">
        <v>8</v>
      </c>
      <c r="EJ533" s="27" t="s">
        <v>7</v>
      </c>
      <c r="EK533" s="27" t="s">
        <v>8</v>
      </c>
      <c r="EL533" s="27" t="s">
        <v>7</v>
      </c>
      <c r="EQ533" s="27" t="s">
        <v>8</v>
      </c>
      <c r="FD533" s="27" t="s">
        <v>7</v>
      </c>
      <c r="FK533" s="27" t="s">
        <v>8</v>
      </c>
      <c r="FL533" s="27" t="s">
        <v>7</v>
      </c>
      <c r="II533" s="27" t="s">
        <v>8</v>
      </c>
      <c r="IR533" s="27" t="s">
        <v>7</v>
      </c>
      <c r="IS533" s="27" t="s">
        <v>8</v>
      </c>
      <c r="KJ533" s="27" t="s">
        <v>7</v>
      </c>
      <c r="KL533" s="27" t="s">
        <v>7</v>
      </c>
      <c r="KM533" s="27" t="s">
        <v>8</v>
      </c>
      <c r="KX533" s="27" t="s">
        <v>7</v>
      </c>
      <c r="KY533" s="27" t="s">
        <v>8</v>
      </c>
      <c r="OX533" s="27" t="s">
        <v>7</v>
      </c>
      <c r="OY533" s="27" t="s">
        <v>8</v>
      </c>
    </row>
    <row r="534" spans="1:416" x14ac:dyDescent="0.25">
      <c r="A534" s="7">
        <v>2.8563347491571447</v>
      </c>
      <c r="B534"/>
      <c r="C534"/>
      <c r="D534"/>
      <c r="E534"/>
      <c r="EI534" s="27" t="s">
        <v>8</v>
      </c>
      <c r="EJ534" s="27" t="s">
        <v>7</v>
      </c>
      <c r="EK534" s="27" t="s">
        <v>8</v>
      </c>
      <c r="EL534" s="27" t="s">
        <v>7</v>
      </c>
      <c r="EQ534" s="27" t="s">
        <v>8</v>
      </c>
      <c r="FD534" s="27" t="s">
        <v>7</v>
      </c>
      <c r="FI534" s="27" t="s">
        <v>8</v>
      </c>
      <c r="FK534" s="27" t="s">
        <v>8</v>
      </c>
      <c r="FL534" s="27" t="s">
        <v>7</v>
      </c>
      <c r="II534" s="27" t="s">
        <v>8</v>
      </c>
      <c r="IR534" s="27" t="s">
        <v>7</v>
      </c>
      <c r="IS534" s="27" t="s">
        <v>8</v>
      </c>
      <c r="KL534" s="27" t="s">
        <v>7</v>
      </c>
      <c r="KM534" s="27" t="s">
        <v>8</v>
      </c>
      <c r="KX534" s="27" t="s">
        <v>7</v>
      </c>
      <c r="KY534" s="27" t="s">
        <v>8</v>
      </c>
      <c r="OX534" s="27" t="s">
        <v>7</v>
      </c>
    </row>
    <row r="535" spans="1:416" x14ac:dyDescent="0.25">
      <c r="A535" s="7">
        <v>2.8003281854481812</v>
      </c>
      <c r="B535"/>
      <c r="C535"/>
      <c r="D535"/>
      <c r="E535"/>
      <c r="EI535" s="27" t="s">
        <v>8</v>
      </c>
      <c r="EJ535" s="27" t="s">
        <v>7</v>
      </c>
      <c r="EK535" s="27" t="s">
        <v>8</v>
      </c>
      <c r="EL535" s="27" t="s">
        <v>7</v>
      </c>
      <c r="EQ535" s="27" t="s">
        <v>8</v>
      </c>
      <c r="FD535" s="27" t="s">
        <v>7</v>
      </c>
      <c r="FI535" s="27" t="s">
        <v>8</v>
      </c>
      <c r="FJ535" s="27" t="s">
        <v>7</v>
      </c>
      <c r="FK535" s="27" t="s">
        <v>8</v>
      </c>
      <c r="FL535" s="27" t="s">
        <v>7</v>
      </c>
      <c r="II535" s="27" t="s">
        <v>8</v>
      </c>
      <c r="IR535" s="27" t="s">
        <v>7</v>
      </c>
      <c r="IS535" s="27" t="s">
        <v>8</v>
      </c>
      <c r="KL535" s="27" t="s">
        <v>7</v>
      </c>
      <c r="KM535" s="27" t="s">
        <v>8</v>
      </c>
      <c r="KX535" s="27" t="s">
        <v>7</v>
      </c>
      <c r="KY535" s="27" t="s">
        <v>8</v>
      </c>
    </row>
    <row r="536" spans="1:416" x14ac:dyDescent="0.25">
      <c r="A536" s="7">
        <v>2.7454197896550796</v>
      </c>
      <c r="B536"/>
      <c r="C536"/>
      <c r="D536"/>
      <c r="E536"/>
      <c r="EI536" s="27" t="s">
        <v>8</v>
      </c>
      <c r="EJ536" s="27" t="s">
        <v>7</v>
      </c>
      <c r="EK536" s="27" t="s">
        <v>8</v>
      </c>
      <c r="EL536" s="27" t="s">
        <v>7</v>
      </c>
      <c r="EQ536" s="27" t="s">
        <v>8</v>
      </c>
      <c r="FD536" s="27" t="s">
        <v>7</v>
      </c>
      <c r="FI536" s="27" t="s">
        <v>8</v>
      </c>
      <c r="FJ536" s="27" t="s">
        <v>7</v>
      </c>
      <c r="FK536" s="27" t="s">
        <v>8</v>
      </c>
      <c r="FL536" s="27" t="s">
        <v>7</v>
      </c>
      <c r="FO536" s="27" t="s">
        <v>8</v>
      </c>
      <c r="II536" s="27" t="s">
        <v>8</v>
      </c>
      <c r="IR536" s="27" t="s">
        <v>7</v>
      </c>
      <c r="IS536" s="27" t="s">
        <v>8</v>
      </c>
      <c r="KL536" s="27" t="s">
        <v>7</v>
      </c>
      <c r="KM536" s="27" t="s">
        <v>8</v>
      </c>
      <c r="KX536" s="27" t="s">
        <v>7</v>
      </c>
      <c r="KY536" s="27" t="s">
        <v>8</v>
      </c>
    </row>
    <row r="537" spans="1:416" x14ac:dyDescent="0.25">
      <c r="A537" s="7">
        <v>2.6915880290736074</v>
      </c>
      <c r="B537"/>
      <c r="C537"/>
      <c r="D537"/>
      <c r="E537"/>
      <c r="EI537" s="27" t="s">
        <v>8</v>
      </c>
      <c r="EJ537" s="27" t="s">
        <v>7</v>
      </c>
      <c r="EK537" s="27" t="s">
        <v>8</v>
      </c>
      <c r="EL537" s="27" t="s">
        <v>7</v>
      </c>
      <c r="EM537" s="27" t="s">
        <v>8</v>
      </c>
      <c r="EQ537" s="27" t="s">
        <v>8</v>
      </c>
      <c r="FD537" s="27" t="s">
        <v>7</v>
      </c>
      <c r="FI537" s="27" t="s">
        <v>8</v>
      </c>
      <c r="FJ537" s="27" t="s">
        <v>7</v>
      </c>
      <c r="FK537" s="27" t="s">
        <v>8</v>
      </c>
      <c r="FL537" s="27" t="s">
        <v>7</v>
      </c>
      <c r="FO537" s="27" t="s">
        <v>8</v>
      </c>
      <c r="FP537" s="27" t="s">
        <v>7</v>
      </c>
      <c r="II537" s="27" t="s">
        <v>8</v>
      </c>
      <c r="IR537" s="27" t="s">
        <v>7</v>
      </c>
      <c r="KL537" s="27" t="s">
        <v>7</v>
      </c>
      <c r="KM537" s="27" t="s">
        <v>8</v>
      </c>
      <c r="KX537" s="27" t="s">
        <v>7</v>
      </c>
      <c r="KY537" s="27" t="s">
        <v>8</v>
      </c>
    </row>
    <row r="538" spans="1:416" x14ac:dyDescent="0.25">
      <c r="A538" s="7">
        <v>2.6388117932094191</v>
      </c>
      <c r="B538"/>
      <c r="C538"/>
      <c r="D538"/>
      <c r="E538"/>
      <c r="EI538" s="27" t="s">
        <v>8</v>
      </c>
      <c r="EJ538" s="27" t="s">
        <v>7</v>
      </c>
      <c r="EK538" s="27" t="s">
        <v>8</v>
      </c>
      <c r="EL538" s="27" t="s">
        <v>7</v>
      </c>
      <c r="EM538" s="27" t="s">
        <v>8</v>
      </c>
      <c r="EN538" s="27" t="s">
        <v>7</v>
      </c>
      <c r="EQ538" s="27" t="s">
        <v>8</v>
      </c>
      <c r="FD538" s="27" t="s">
        <v>7</v>
      </c>
      <c r="FI538" s="27" t="s">
        <v>8</v>
      </c>
      <c r="FJ538" s="27" t="s">
        <v>7</v>
      </c>
      <c r="FK538" s="27" t="s">
        <v>8</v>
      </c>
      <c r="FL538" s="27" t="s">
        <v>7</v>
      </c>
      <c r="FO538" s="27" t="s">
        <v>8</v>
      </c>
      <c r="FP538" s="27" t="s">
        <v>7</v>
      </c>
      <c r="GA538" s="27" t="s">
        <v>8</v>
      </c>
      <c r="IC538" s="27" t="s">
        <v>8</v>
      </c>
      <c r="II538" s="27" t="s">
        <v>8</v>
      </c>
      <c r="KL538" s="27" t="s">
        <v>7</v>
      </c>
      <c r="KM538" s="27" t="s">
        <v>8</v>
      </c>
      <c r="KX538" s="27" t="s">
        <v>7</v>
      </c>
      <c r="KY538" s="27" t="s">
        <v>8</v>
      </c>
    </row>
    <row r="539" spans="1:416" x14ac:dyDescent="0.25">
      <c r="A539" s="7">
        <v>2.5870703854994304</v>
      </c>
      <c r="B539"/>
      <c r="C539"/>
      <c r="D539"/>
      <c r="E539"/>
      <c r="EI539" s="27" t="s">
        <v>8</v>
      </c>
      <c r="EJ539" s="27" t="s">
        <v>7</v>
      </c>
      <c r="EK539" s="27" t="s">
        <v>8</v>
      </c>
      <c r="EL539" s="27" t="s">
        <v>7</v>
      </c>
      <c r="EM539" s="27" t="s">
        <v>8</v>
      </c>
      <c r="EN539" s="27" t="s">
        <v>7</v>
      </c>
      <c r="EQ539" s="27" t="s">
        <v>8</v>
      </c>
      <c r="FD539" s="27" t="s">
        <v>7</v>
      </c>
      <c r="FG539" s="27" t="s">
        <v>8</v>
      </c>
      <c r="FI539" s="27" t="s">
        <v>8</v>
      </c>
      <c r="FJ539" s="27" t="s">
        <v>7</v>
      </c>
      <c r="FL539" s="27" t="s">
        <v>7</v>
      </c>
      <c r="FM539" s="27" t="s">
        <v>8</v>
      </c>
      <c r="FO539" s="27" t="s">
        <v>8</v>
      </c>
      <c r="FP539" s="27" t="s">
        <v>7</v>
      </c>
      <c r="GA539" s="27" t="s">
        <v>8</v>
      </c>
      <c r="GB539" s="27" t="s">
        <v>7</v>
      </c>
      <c r="IC539" s="27" t="s">
        <v>8</v>
      </c>
      <c r="ID539" s="27" t="s">
        <v>7</v>
      </c>
      <c r="II539" s="27" t="s">
        <v>8</v>
      </c>
      <c r="KL539" s="27" t="s">
        <v>7</v>
      </c>
      <c r="KM539" s="27" t="s">
        <v>8</v>
      </c>
      <c r="KX539" s="27" t="s">
        <v>7</v>
      </c>
    </row>
    <row r="540" spans="1:416" x14ac:dyDescent="0.25">
      <c r="A540" s="7">
        <v>2.53634351519552</v>
      </c>
      <c r="B540"/>
      <c r="C540"/>
      <c r="D540"/>
      <c r="E540"/>
      <c r="EI540" s="27" t="s">
        <v>8</v>
      </c>
      <c r="EJ540" s="27" t="s">
        <v>7</v>
      </c>
      <c r="EK540" s="27" t="s">
        <v>8</v>
      </c>
      <c r="EL540" s="27" t="s">
        <v>7</v>
      </c>
      <c r="EM540" s="27" t="s">
        <v>8</v>
      </c>
      <c r="EN540" s="27" t="s">
        <v>7</v>
      </c>
      <c r="EO540" s="27" t="s">
        <v>8</v>
      </c>
      <c r="EQ540" s="27" t="s">
        <v>8</v>
      </c>
      <c r="FD540" s="27" t="s">
        <v>7</v>
      </c>
      <c r="FG540" s="27" t="s">
        <v>8</v>
      </c>
      <c r="FH540" s="27" t="s">
        <v>7</v>
      </c>
      <c r="FI540" s="27" t="s">
        <v>8</v>
      </c>
      <c r="FL540" s="27" t="s">
        <v>7</v>
      </c>
      <c r="FM540" s="27" t="s">
        <v>8</v>
      </c>
      <c r="FN540" s="27" t="s">
        <v>7</v>
      </c>
      <c r="FO540" s="27" t="s">
        <v>8</v>
      </c>
      <c r="FP540" s="27" t="s">
        <v>7</v>
      </c>
      <c r="GA540" s="27" t="s">
        <v>8</v>
      </c>
      <c r="GB540" s="27" t="s">
        <v>7</v>
      </c>
      <c r="IC540" s="27" t="s">
        <v>8</v>
      </c>
      <c r="ID540" s="27" t="s">
        <v>7</v>
      </c>
      <c r="II540" s="27" t="s">
        <v>8</v>
      </c>
      <c r="KL540" s="27" t="s">
        <v>7</v>
      </c>
      <c r="KM540" s="27" t="s">
        <v>8</v>
      </c>
    </row>
    <row r="541" spans="1:416" x14ac:dyDescent="0.25">
      <c r="A541" s="7">
        <v>2.4866112894073726</v>
      </c>
      <c r="B541"/>
      <c r="C541"/>
      <c r="D541"/>
      <c r="E541"/>
      <c r="EI541" s="27" t="s">
        <v>8</v>
      </c>
      <c r="EJ541" s="27" t="s">
        <v>7</v>
      </c>
      <c r="EL541" s="27" t="s">
        <v>7</v>
      </c>
      <c r="EM541" s="27" t="s">
        <v>8</v>
      </c>
      <c r="EN541" s="27" t="s">
        <v>7</v>
      </c>
      <c r="EO541" s="27" t="s">
        <v>8</v>
      </c>
      <c r="EP541" s="27" t="s">
        <v>7</v>
      </c>
      <c r="EQ541" s="27" t="s">
        <v>8</v>
      </c>
      <c r="FD541" s="27" t="s">
        <v>7</v>
      </c>
      <c r="FE541" s="27" t="s">
        <v>8</v>
      </c>
      <c r="FG541" s="27" t="s">
        <v>8</v>
      </c>
      <c r="FH541" s="27" t="s">
        <v>7</v>
      </c>
      <c r="FI541" s="27" t="s">
        <v>8</v>
      </c>
      <c r="FL541" s="27" t="s">
        <v>7</v>
      </c>
      <c r="FM541" s="27" t="s">
        <v>8</v>
      </c>
      <c r="FN541" s="27" t="s">
        <v>7</v>
      </c>
      <c r="FO541" s="27" t="s">
        <v>8</v>
      </c>
      <c r="FP541" s="27" t="s">
        <v>7</v>
      </c>
      <c r="GA541" s="27" t="s">
        <v>8</v>
      </c>
      <c r="GB541" s="27" t="s">
        <v>7</v>
      </c>
      <c r="GC541" s="27" t="s">
        <v>8</v>
      </c>
      <c r="IA541" s="27" t="s">
        <v>8</v>
      </c>
      <c r="IC541" s="27" t="s">
        <v>8</v>
      </c>
      <c r="ID541" s="27" t="s">
        <v>7</v>
      </c>
      <c r="II541" s="27" t="s">
        <v>8</v>
      </c>
      <c r="KL541" s="27" t="s">
        <v>7</v>
      </c>
      <c r="KM541" s="27" t="s">
        <v>8</v>
      </c>
    </row>
    <row r="542" spans="1:416" x14ac:dyDescent="0.25">
      <c r="A542" s="7">
        <v>2.4378542053013459</v>
      </c>
      <c r="B542"/>
      <c r="C542"/>
      <c r="D542"/>
      <c r="E542"/>
      <c r="EI542" s="27" t="s">
        <v>8</v>
      </c>
      <c r="EL542" s="27" t="s">
        <v>7</v>
      </c>
      <c r="EM542" s="27" t="s">
        <v>8</v>
      </c>
      <c r="EN542" s="27" t="s">
        <v>7</v>
      </c>
      <c r="EO542" s="27" t="s">
        <v>8</v>
      </c>
      <c r="EP542" s="27" t="s">
        <v>7</v>
      </c>
      <c r="EQ542" s="27" t="s">
        <v>8</v>
      </c>
      <c r="FD542" s="27" t="s">
        <v>7</v>
      </c>
      <c r="FE542" s="27" t="s">
        <v>8</v>
      </c>
      <c r="FF542" s="27" t="s">
        <v>7</v>
      </c>
      <c r="FG542" s="27" t="s">
        <v>8</v>
      </c>
      <c r="FH542" s="27" t="s">
        <v>7</v>
      </c>
      <c r="FI542" s="27" t="s">
        <v>8</v>
      </c>
      <c r="FL542" s="27" t="s">
        <v>7</v>
      </c>
      <c r="FM542" s="27" t="s">
        <v>8</v>
      </c>
      <c r="FN542" s="27" t="s">
        <v>7</v>
      </c>
      <c r="FO542" s="27" t="s">
        <v>8</v>
      </c>
      <c r="FP542" s="27" t="s">
        <v>7</v>
      </c>
      <c r="FU542" s="27" t="s">
        <v>8</v>
      </c>
      <c r="GA542" s="27" t="s">
        <v>8</v>
      </c>
      <c r="GB542" s="27" t="s">
        <v>7</v>
      </c>
      <c r="GC542" s="27" t="s">
        <v>8</v>
      </c>
      <c r="GD542" s="27" t="s">
        <v>7</v>
      </c>
      <c r="HY542" s="27" t="s">
        <v>8</v>
      </c>
      <c r="IA542" s="27" t="s">
        <v>8</v>
      </c>
      <c r="IB542" s="27" t="s">
        <v>7</v>
      </c>
      <c r="IC542" s="27" t="s">
        <v>8</v>
      </c>
      <c r="ID542" s="27" t="s">
        <v>7</v>
      </c>
      <c r="IG542" s="27" t="s">
        <v>8</v>
      </c>
      <c r="II542" s="27" t="s">
        <v>8</v>
      </c>
      <c r="KL542" s="27" t="s">
        <v>7</v>
      </c>
      <c r="KM542" s="27" t="s">
        <v>8</v>
      </c>
    </row>
    <row r="543" spans="1:416" x14ac:dyDescent="0.25">
      <c r="A543" s="7">
        <v>2.3900531424522997</v>
      </c>
      <c r="B543"/>
      <c r="C543"/>
      <c r="D543"/>
      <c r="E543"/>
      <c r="EI543" s="27" t="s">
        <v>8</v>
      </c>
      <c r="EL543" s="27" t="s">
        <v>7</v>
      </c>
      <c r="EM543" s="27" t="s">
        <v>8</v>
      </c>
      <c r="EN543" s="27" t="s">
        <v>7</v>
      </c>
      <c r="EO543" s="27" t="s">
        <v>8</v>
      </c>
      <c r="EP543" s="27" t="s">
        <v>7</v>
      </c>
      <c r="EQ543" s="27" t="s">
        <v>8</v>
      </c>
      <c r="FD543" s="27" t="s">
        <v>7</v>
      </c>
      <c r="FE543" s="27" t="s">
        <v>8</v>
      </c>
      <c r="FF543" s="27" t="s">
        <v>7</v>
      </c>
      <c r="FG543" s="27" t="s">
        <v>8</v>
      </c>
      <c r="FH543" s="27" t="s">
        <v>7</v>
      </c>
      <c r="FI543" s="27" t="s">
        <v>8</v>
      </c>
      <c r="FL543" s="27" t="s">
        <v>7</v>
      </c>
      <c r="FM543" s="27" t="s">
        <v>8</v>
      </c>
      <c r="FN543" s="27" t="s">
        <v>7</v>
      </c>
      <c r="FO543" s="27" t="s">
        <v>8</v>
      </c>
      <c r="FP543" s="27" t="s">
        <v>7</v>
      </c>
      <c r="FU543" s="27" t="s">
        <v>8</v>
      </c>
      <c r="FV543" s="27" t="s">
        <v>7</v>
      </c>
      <c r="GA543" s="27" t="s">
        <v>8</v>
      </c>
      <c r="GB543" s="27" t="s">
        <v>7</v>
      </c>
      <c r="GC543" s="27" t="s">
        <v>8</v>
      </c>
      <c r="GD543" s="27" t="s">
        <v>7</v>
      </c>
      <c r="HY543" s="27" t="s">
        <v>8</v>
      </c>
      <c r="HZ543" s="27" t="s">
        <v>7</v>
      </c>
      <c r="IA543" s="27" t="s">
        <v>8</v>
      </c>
      <c r="IB543" s="27" t="s">
        <v>7</v>
      </c>
      <c r="IC543" s="27" t="s">
        <v>8</v>
      </c>
      <c r="ID543" s="27" t="s">
        <v>7</v>
      </c>
      <c r="IE543" s="27" t="s">
        <v>8</v>
      </c>
      <c r="IG543" s="27" t="s">
        <v>8</v>
      </c>
      <c r="IH543" s="27" t="s">
        <v>7</v>
      </c>
      <c r="II543" s="27" t="s">
        <v>8</v>
      </c>
      <c r="KL543" s="27" t="s">
        <v>7</v>
      </c>
      <c r="KM543" s="27" t="s">
        <v>8</v>
      </c>
    </row>
    <row r="544" spans="1:416" x14ac:dyDescent="0.25">
      <c r="A544" s="7">
        <v>2.343189355345392</v>
      </c>
      <c r="B544"/>
      <c r="C544"/>
      <c r="D544"/>
      <c r="E544"/>
      <c r="EI544" s="27" t="s">
        <v>8</v>
      </c>
      <c r="EL544" s="27" t="s">
        <v>7</v>
      </c>
      <c r="EM544" s="27" t="s">
        <v>8</v>
      </c>
      <c r="EN544" s="27" t="s">
        <v>7</v>
      </c>
      <c r="EP544" s="27" t="s">
        <v>7</v>
      </c>
      <c r="EQ544" s="27" t="s">
        <v>8</v>
      </c>
      <c r="FD544" s="27" t="s">
        <v>7</v>
      </c>
      <c r="FE544" s="27" t="s">
        <v>8</v>
      </c>
      <c r="FF544" s="27" t="s">
        <v>7</v>
      </c>
      <c r="FG544" s="27" t="s">
        <v>8</v>
      </c>
      <c r="FH544" s="27" t="s">
        <v>7</v>
      </c>
      <c r="FI544" s="27" t="s">
        <v>8</v>
      </c>
      <c r="FL544" s="27" t="s">
        <v>7</v>
      </c>
      <c r="FM544" s="27" t="s">
        <v>8</v>
      </c>
      <c r="FN544" s="27" t="s">
        <v>7</v>
      </c>
      <c r="FO544" s="27" t="s">
        <v>8</v>
      </c>
      <c r="FP544" s="27" t="s">
        <v>7</v>
      </c>
      <c r="FU544" s="27" t="s">
        <v>8</v>
      </c>
      <c r="FV544" s="27" t="s">
        <v>7</v>
      </c>
      <c r="GA544" s="27" t="s">
        <v>8</v>
      </c>
      <c r="GB544" s="27" t="s">
        <v>7</v>
      </c>
      <c r="GC544" s="27" t="s">
        <v>8</v>
      </c>
      <c r="GD544" s="27" t="s">
        <v>7</v>
      </c>
      <c r="HY544" s="27" t="s">
        <v>8</v>
      </c>
      <c r="HZ544" s="27" t="s">
        <v>7</v>
      </c>
      <c r="IA544" s="27" t="s">
        <v>8</v>
      </c>
      <c r="IB544" s="27" t="s">
        <v>7</v>
      </c>
      <c r="IC544" s="27" t="s">
        <v>8</v>
      </c>
      <c r="ID544" s="27" t="s">
        <v>7</v>
      </c>
      <c r="IE544" s="27" t="s">
        <v>8</v>
      </c>
      <c r="IF544" s="27" t="s">
        <v>7</v>
      </c>
      <c r="IG544" s="27" t="s">
        <v>8</v>
      </c>
      <c r="IH544" s="27" t="s">
        <v>7</v>
      </c>
      <c r="II544" s="27" t="s">
        <v>8</v>
      </c>
      <c r="KL544" s="27" t="s">
        <v>7</v>
      </c>
    </row>
    <row r="545" spans="1:243" x14ac:dyDescent="0.25">
      <c r="A545" s="7">
        <v>2.2972444660248938</v>
      </c>
      <c r="B545"/>
      <c r="C545"/>
      <c r="D545"/>
      <c r="E545"/>
      <c r="EI545" s="27" t="s">
        <v>8</v>
      </c>
      <c r="EL545" s="27" t="s">
        <v>7</v>
      </c>
      <c r="EM545" s="27" t="s">
        <v>8</v>
      </c>
      <c r="EP545" s="27" t="s">
        <v>7</v>
      </c>
      <c r="EQ545" s="27" t="s">
        <v>8</v>
      </c>
      <c r="FD545" s="27" t="s">
        <v>7</v>
      </c>
      <c r="FE545" s="27" t="s">
        <v>8</v>
      </c>
      <c r="FF545" s="27" t="s">
        <v>7</v>
      </c>
      <c r="FG545" s="27" t="s">
        <v>8</v>
      </c>
      <c r="FH545" s="27" t="s">
        <v>7</v>
      </c>
      <c r="FI545" s="27" t="s">
        <v>8</v>
      </c>
      <c r="FL545" s="27" t="s">
        <v>7</v>
      </c>
      <c r="FM545" s="27" t="s">
        <v>8</v>
      </c>
      <c r="FN545" s="27" t="s">
        <v>7</v>
      </c>
      <c r="FP545" s="27" t="s">
        <v>7</v>
      </c>
      <c r="FS545" s="27" t="s">
        <v>8</v>
      </c>
      <c r="FU545" s="27" t="s">
        <v>8</v>
      </c>
      <c r="FV545" s="27" t="s">
        <v>7</v>
      </c>
      <c r="GA545" s="27" t="s">
        <v>8</v>
      </c>
      <c r="GB545" s="27" t="s">
        <v>7</v>
      </c>
      <c r="GC545" s="27" t="s">
        <v>8</v>
      </c>
      <c r="GD545" s="27" t="s">
        <v>7</v>
      </c>
      <c r="HY545" s="27" t="s">
        <v>8</v>
      </c>
      <c r="HZ545" s="27" t="s">
        <v>7</v>
      </c>
      <c r="IA545" s="27" t="s">
        <v>8</v>
      </c>
      <c r="IB545" s="27" t="s">
        <v>7</v>
      </c>
      <c r="IC545" s="27" t="s">
        <v>8</v>
      </c>
      <c r="ID545" s="27" t="s">
        <v>7</v>
      </c>
      <c r="IE545" s="27" t="s">
        <v>8</v>
      </c>
      <c r="IF545" s="27" t="s">
        <v>7</v>
      </c>
      <c r="IG545" s="27" t="s">
        <v>8</v>
      </c>
      <c r="IH545" s="27" t="s">
        <v>7</v>
      </c>
      <c r="II545" s="27" t="s">
        <v>8</v>
      </c>
    </row>
    <row r="546" spans="1:243" x14ac:dyDescent="0.25">
      <c r="A546" s="7">
        <v>2.252200456887151</v>
      </c>
      <c r="B546"/>
      <c r="C546"/>
      <c r="D546"/>
      <c r="E546"/>
      <c r="EI546" s="27" t="s">
        <v>8</v>
      </c>
      <c r="EL546" s="27" t="s">
        <v>7</v>
      </c>
      <c r="EM546" s="27" t="s">
        <v>8</v>
      </c>
      <c r="EP546" s="27" t="s">
        <v>7</v>
      </c>
      <c r="EQ546" s="27" t="s">
        <v>8</v>
      </c>
      <c r="FD546" s="27" t="s">
        <v>7</v>
      </c>
      <c r="FE546" s="27" t="s">
        <v>8</v>
      </c>
      <c r="FF546" s="27" t="s">
        <v>7</v>
      </c>
      <c r="FG546" s="27" t="s">
        <v>8</v>
      </c>
      <c r="FH546" s="27" t="s">
        <v>7</v>
      </c>
      <c r="FL546" s="27" t="s">
        <v>7</v>
      </c>
      <c r="FM546" s="27" t="s">
        <v>8</v>
      </c>
      <c r="FP546" s="27" t="s">
        <v>7</v>
      </c>
      <c r="FQ546" s="27" t="s">
        <v>8</v>
      </c>
      <c r="FS546" s="27" t="s">
        <v>8</v>
      </c>
      <c r="FT546" s="27" t="s">
        <v>7</v>
      </c>
      <c r="FU546" s="27" t="s">
        <v>8</v>
      </c>
      <c r="FV546" s="27" t="s">
        <v>7</v>
      </c>
      <c r="GA546" s="27" t="s">
        <v>8</v>
      </c>
      <c r="GB546" s="27" t="s">
        <v>7</v>
      </c>
      <c r="GD546" s="27" t="s">
        <v>7</v>
      </c>
      <c r="HY546" s="27" t="s">
        <v>8</v>
      </c>
      <c r="HZ546" s="27" t="s">
        <v>7</v>
      </c>
      <c r="IA546" s="27" t="s">
        <v>8</v>
      </c>
      <c r="IB546" s="27" t="s">
        <v>7</v>
      </c>
      <c r="IC546" s="27" t="s">
        <v>8</v>
      </c>
      <c r="ID546" s="27" t="s">
        <v>7</v>
      </c>
      <c r="IE546" s="27" t="s">
        <v>8</v>
      </c>
      <c r="IF546" s="27" t="s">
        <v>7</v>
      </c>
      <c r="IG546" s="27" t="s">
        <v>8</v>
      </c>
      <c r="IH546" s="27" t="s">
        <v>7</v>
      </c>
      <c r="II546" s="27" t="s">
        <v>8</v>
      </c>
    </row>
    <row r="547" spans="1:243" x14ac:dyDescent="0.25">
      <c r="A547" s="7">
        <v>2.208039663614854</v>
      </c>
      <c r="B547"/>
      <c r="C547"/>
      <c r="D547"/>
      <c r="E547"/>
      <c r="EI547" s="27" t="s">
        <v>8</v>
      </c>
      <c r="EL547" s="27" t="s">
        <v>7</v>
      </c>
      <c r="EM547" s="27" t="s">
        <v>8</v>
      </c>
      <c r="EP547" s="27" t="s">
        <v>7</v>
      </c>
      <c r="EQ547" s="27" t="s">
        <v>8</v>
      </c>
      <c r="FD547" s="27" t="s">
        <v>7</v>
      </c>
      <c r="FE547" s="27" t="s">
        <v>8</v>
      </c>
      <c r="FF547" s="27" t="s">
        <v>7</v>
      </c>
      <c r="FG547" s="27" t="s">
        <v>8</v>
      </c>
      <c r="FL547" s="27" t="s">
        <v>7</v>
      </c>
      <c r="FM547" s="27" t="s">
        <v>8</v>
      </c>
      <c r="FP547" s="27" t="s">
        <v>7</v>
      </c>
      <c r="FQ547" s="27" t="s">
        <v>8</v>
      </c>
      <c r="FR547" s="27" t="s">
        <v>7</v>
      </c>
      <c r="FS547" s="27" t="s">
        <v>8</v>
      </c>
      <c r="FT547" s="27" t="s">
        <v>7</v>
      </c>
      <c r="FU547" s="27" t="s">
        <v>8</v>
      </c>
      <c r="FV547" s="27" t="s">
        <v>7</v>
      </c>
      <c r="GA547" s="27" t="s">
        <v>8</v>
      </c>
      <c r="GD547" s="27" t="s">
        <v>7</v>
      </c>
      <c r="HY547" s="27" t="s">
        <v>8</v>
      </c>
      <c r="HZ547" s="27" t="s">
        <v>7</v>
      </c>
      <c r="IA547" s="27" t="s">
        <v>8</v>
      </c>
      <c r="IB547" s="27" t="s">
        <v>7</v>
      </c>
      <c r="IC547" s="27" t="s">
        <v>8</v>
      </c>
      <c r="ID547" s="27" t="s">
        <v>7</v>
      </c>
      <c r="IE547" s="27" t="s">
        <v>8</v>
      </c>
      <c r="IF547" s="27" t="s">
        <v>7</v>
      </c>
      <c r="IG547" s="27" t="s">
        <v>8</v>
      </c>
      <c r="IH547" s="27" t="s">
        <v>7</v>
      </c>
      <c r="II547" s="27" t="s">
        <v>8</v>
      </c>
    </row>
    <row r="548" spans="1:243" x14ac:dyDescent="0.25">
      <c r="A548" s="7">
        <v>2.1647447682498568</v>
      </c>
      <c r="B548"/>
      <c r="C548"/>
      <c r="D548"/>
      <c r="E548"/>
      <c r="EI548" s="27" t="s">
        <v>8</v>
      </c>
      <c r="EL548" s="27" t="s">
        <v>7</v>
      </c>
      <c r="EM548" s="27" t="s">
        <v>8</v>
      </c>
      <c r="EP548" s="27" t="s">
        <v>7</v>
      </c>
      <c r="EQ548" s="27" t="s">
        <v>8</v>
      </c>
      <c r="FD548" s="27" t="s">
        <v>7</v>
      </c>
      <c r="FE548" s="27" t="s">
        <v>8</v>
      </c>
      <c r="FF548" s="27" t="s">
        <v>7</v>
      </c>
      <c r="FG548" s="27" t="s">
        <v>8</v>
      </c>
      <c r="FL548" s="27" t="s">
        <v>7</v>
      </c>
      <c r="FP548" s="27" t="s">
        <v>7</v>
      </c>
      <c r="FQ548" s="27" t="s">
        <v>8</v>
      </c>
      <c r="FR548" s="27" t="s">
        <v>7</v>
      </c>
      <c r="FS548" s="27" t="s">
        <v>8</v>
      </c>
      <c r="FT548" s="27" t="s">
        <v>7</v>
      </c>
      <c r="FU548" s="27" t="s">
        <v>8</v>
      </c>
      <c r="FV548" s="27" t="s">
        <v>7</v>
      </c>
      <c r="FY548" s="27" t="s">
        <v>8</v>
      </c>
      <c r="GA548" s="27" t="s">
        <v>8</v>
      </c>
      <c r="GD548" s="27" t="s">
        <v>7</v>
      </c>
      <c r="GU548" s="27" t="s">
        <v>8</v>
      </c>
      <c r="HY548" s="27" t="s">
        <v>8</v>
      </c>
      <c r="HZ548" s="27" t="s">
        <v>7</v>
      </c>
      <c r="IA548" s="27" t="s">
        <v>8</v>
      </c>
      <c r="IB548" s="27" t="s">
        <v>7</v>
      </c>
      <c r="IC548" s="27" t="s">
        <v>8</v>
      </c>
      <c r="ID548" s="27" t="s">
        <v>7</v>
      </c>
      <c r="IE548" s="27" t="s">
        <v>8</v>
      </c>
      <c r="IF548" s="27" t="s">
        <v>7</v>
      </c>
      <c r="IH548" s="27" t="s">
        <v>7</v>
      </c>
      <c r="II548" s="27" t="s">
        <v>8</v>
      </c>
    </row>
    <row r="549" spans="1:243" x14ac:dyDescent="0.25">
      <c r="A549" s="7">
        <v>2.1222987924018204</v>
      </c>
      <c r="B549"/>
      <c r="C549"/>
      <c r="D549"/>
      <c r="E549"/>
      <c r="EG549" s="27" t="s">
        <v>8</v>
      </c>
      <c r="EI549" s="27" t="s">
        <v>8</v>
      </c>
      <c r="EL549" s="27" t="s">
        <v>7</v>
      </c>
      <c r="EM549" s="27" t="s">
        <v>8</v>
      </c>
      <c r="EP549" s="27" t="s">
        <v>7</v>
      </c>
      <c r="EQ549" s="27" t="s">
        <v>8</v>
      </c>
      <c r="FD549" s="27" t="s">
        <v>7</v>
      </c>
      <c r="FE549" s="27" t="s">
        <v>8</v>
      </c>
      <c r="FF549" s="27" t="s">
        <v>7</v>
      </c>
      <c r="FG549" s="27" t="s">
        <v>8</v>
      </c>
      <c r="FP549" s="27" t="s">
        <v>7</v>
      </c>
      <c r="FQ549" s="27" t="s">
        <v>8</v>
      </c>
      <c r="FR549" s="27" t="s">
        <v>7</v>
      </c>
      <c r="FS549" s="27" t="s">
        <v>8</v>
      </c>
      <c r="FT549" s="27" t="s">
        <v>7</v>
      </c>
      <c r="FV549" s="27" t="s">
        <v>7</v>
      </c>
      <c r="FW549" s="27" t="s">
        <v>8</v>
      </c>
      <c r="FY549" s="27" t="s">
        <v>8</v>
      </c>
      <c r="FZ549" s="27" t="s">
        <v>7</v>
      </c>
      <c r="GA549" s="27" t="s">
        <v>8</v>
      </c>
      <c r="GD549" s="27" t="s">
        <v>7</v>
      </c>
      <c r="GU549" s="27" t="s">
        <v>8</v>
      </c>
      <c r="GV549" s="27" t="s">
        <v>7</v>
      </c>
      <c r="HY549" s="27" t="s">
        <v>8</v>
      </c>
      <c r="HZ549" s="27" t="s">
        <v>7</v>
      </c>
      <c r="IA549" s="27" t="s">
        <v>8</v>
      </c>
      <c r="IB549" s="27" t="s">
        <v>7</v>
      </c>
      <c r="IC549" s="27" t="s">
        <v>8</v>
      </c>
      <c r="ID549" s="27" t="s">
        <v>7</v>
      </c>
      <c r="IE549" s="27" t="s">
        <v>8</v>
      </c>
      <c r="IH549" s="27" t="s">
        <v>7</v>
      </c>
      <c r="II549" s="27" t="s">
        <v>8</v>
      </c>
    </row>
    <row r="550" spans="1:243" x14ac:dyDescent="0.25">
      <c r="A550" s="7">
        <v>2.0806850905900198</v>
      </c>
      <c r="B550"/>
      <c r="C550"/>
      <c r="D550"/>
      <c r="E550"/>
      <c r="EG550" s="27" t="s">
        <v>8</v>
      </c>
      <c r="EH550" s="27" t="s">
        <v>7</v>
      </c>
      <c r="EI550" s="27" t="s">
        <v>8</v>
      </c>
      <c r="EL550" s="27" t="s">
        <v>7</v>
      </c>
      <c r="EM550" s="27" t="s">
        <v>8</v>
      </c>
      <c r="EP550" s="27" t="s">
        <v>7</v>
      </c>
      <c r="EQ550" s="27" t="s">
        <v>8</v>
      </c>
      <c r="FD550" s="27" t="s">
        <v>7</v>
      </c>
      <c r="FE550" s="27" t="s">
        <v>8</v>
      </c>
      <c r="FF550" s="27" t="s">
        <v>7</v>
      </c>
      <c r="FP550" s="27" t="s">
        <v>7</v>
      </c>
      <c r="FQ550" s="27" t="s">
        <v>8</v>
      </c>
      <c r="FR550" s="27" t="s">
        <v>7</v>
      </c>
      <c r="FV550" s="27" t="s">
        <v>7</v>
      </c>
      <c r="FW550" s="27" t="s">
        <v>8</v>
      </c>
      <c r="FX550" s="27" t="s">
        <v>7</v>
      </c>
      <c r="FY550" s="27" t="s">
        <v>8</v>
      </c>
      <c r="FZ550" s="27" t="s">
        <v>7</v>
      </c>
      <c r="GA550" s="27" t="s">
        <v>8</v>
      </c>
      <c r="GD550" s="27" t="s">
        <v>7</v>
      </c>
      <c r="GU550" s="27" t="s">
        <v>8</v>
      </c>
      <c r="GV550" s="27" t="s">
        <v>7</v>
      </c>
      <c r="HY550" s="27" t="s">
        <v>8</v>
      </c>
      <c r="HZ550" s="27" t="s">
        <v>7</v>
      </c>
      <c r="IA550" s="27" t="s">
        <v>8</v>
      </c>
      <c r="IB550" s="27" t="s">
        <v>7</v>
      </c>
      <c r="IC550" s="27" t="s">
        <v>8</v>
      </c>
      <c r="ID550" s="27" t="s">
        <v>7</v>
      </c>
      <c r="IE550" s="27" t="s">
        <v>8</v>
      </c>
      <c r="IH550" s="27" t="s">
        <v>7</v>
      </c>
    </row>
    <row r="551" spans="1:243" x14ac:dyDescent="0.25">
      <c r="A551" s="7">
        <v>2.0398873437157055</v>
      </c>
      <c r="B551"/>
      <c r="C551"/>
      <c r="D551"/>
      <c r="E551"/>
      <c r="EG551" s="27" t="s">
        <v>8</v>
      </c>
      <c r="EH551" s="27" t="s">
        <v>7</v>
      </c>
      <c r="EI551" s="27" t="s">
        <v>8</v>
      </c>
      <c r="EL551" s="27" t="s">
        <v>7</v>
      </c>
      <c r="EM551" s="27" t="s">
        <v>8</v>
      </c>
      <c r="EP551" s="27" t="s">
        <v>7</v>
      </c>
      <c r="EQ551" s="27" t="s">
        <v>8</v>
      </c>
      <c r="FD551" s="27" t="s">
        <v>7</v>
      </c>
      <c r="FP551" s="27" t="s">
        <v>7</v>
      </c>
      <c r="FQ551" s="27" t="s">
        <v>8</v>
      </c>
      <c r="FV551" s="27" t="s">
        <v>7</v>
      </c>
      <c r="FW551" s="27" t="s">
        <v>8</v>
      </c>
      <c r="FX551" s="27" t="s">
        <v>7</v>
      </c>
      <c r="FY551" s="27" t="s">
        <v>8</v>
      </c>
      <c r="FZ551" s="27" t="s">
        <v>7</v>
      </c>
      <c r="GA551" s="27" t="s">
        <v>8</v>
      </c>
      <c r="GD551" s="27" t="s">
        <v>7</v>
      </c>
      <c r="GE551" s="27" t="s">
        <v>8</v>
      </c>
      <c r="GS551" s="27" t="s">
        <v>8</v>
      </c>
      <c r="GU551" s="27" t="s">
        <v>8</v>
      </c>
      <c r="GV551" s="27" t="s">
        <v>7</v>
      </c>
      <c r="HW551" s="27" t="s">
        <v>8</v>
      </c>
      <c r="HY551" s="27" t="s">
        <v>8</v>
      </c>
      <c r="HZ551" s="27" t="s">
        <v>7</v>
      </c>
      <c r="IA551" s="27" t="s">
        <v>8</v>
      </c>
      <c r="IB551" s="27" t="s">
        <v>7</v>
      </c>
      <c r="IC551" s="27" t="s">
        <v>8</v>
      </c>
      <c r="ID551" s="27" t="s">
        <v>7</v>
      </c>
    </row>
    <row r="552" spans="1:243" x14ac:dyDescent="0.25">
      <c r="A552" s="7">
        <v>1.9998895526624565</v>
      </c>
      <c r="B552"/>
      <c r="C552"/>
      <c r="D552"/>
      <c r="E552"/>
      <c r="EG552" s="27" t="s">
        <v>8</v>
      </c>
      <c r="EH552" s="27" t="s">
        <v>7</v>
      </c>
      <c r="EI552" s="27" t="s">
        <v>8</v>
      </c>
      <c r="EL552" s="27" t="s">
        <v>7</v>
      </c>
      <c r="EM552" s="27" t="s">
        <v>8</v>
      </c>
      <c r="EP552" s="27" t="s">
        <v>7</v>
      </c>
      <c r="EQ552" s="27" t="s">
        <v>8</v>
      </c>
      <c r="FP552" s="27" t="s">
        <v>7</v>
      </c>
      <c r="FQ552" s="27" t="s">
        <v>8</v>
      </c>
      <c r="FV552" s="27" t="s">
        <v>7</v>
      </c>
      <c r="FW552" s="27" t="s">
        <v>8</v>
      </c>
      <c r="FX552" s="27" t="s">
        <v>7</v>
      </c>
      <c r="FZ552" s="27" t="s">
        <v>7</v>
      </c>
      <c r="GA552" s="27" t="s">
        <v>8</v>
      </c>
      <c r="GD552" s="27" t="s">
        <v>7</v>
      </c>
      <c r="GE552" s="27" t="s">
        <v>8</v>
      </c>
      <c r="GF552" s="27" t="s">
        <v>7</v>
      </c>
      <c r="GS552" s="27" t="s">
        <v>8</v>
      </c>
      <c r="GT552" s="27" t="s">
        <v>7</v>
      </c>
      <c r="GU552" s="27" t="s">
        <v>8</v>
      </c>
      <c r="GV552" s="27" t="s">
        <v>7</v>
      </c>
      <c r="HW552" s="27" t="s">
        <v>8</v>
      </c>
      <c r="HX552" s="27" t="s">
        <v>7</v>
      </c>
      <c r="HY552" s="27" t="s">
        <v>8</v>
      </c>
      <c r="HZ552" s="27" t="s">
        <v>7</v>
      </c>
      <c r="IA552" s="27" t="s">
        <v>8</v>
      </c>
      <c r="IB552" s="27" t="s">
        <v>7</v>
      </c>
      <c r="IC552" s="27" t="s">
        <v>8</v>
      </c>
    </row>
    <row r="553" spans="1:243" x14ac:dyDescent="0.25">
      <c r="A553" s="7">
        <v>1.9606760320220162</v>
      </c>
      <c r="B553"/>
      <c r="C553"/>
      <c r="D553"/>
      <c r="E553"/>
      <c r="EE553" s="27" t="s">
        <v>8</v>
      </c>
      <c r="EG553" s="27" t="s">
        <v>8</v>
      </c>
      <c r="EH553" s="27" t="s">
        <v>7</v>
      </c>
      <c r="EI553" s="27" t="s">
        <v>8</v>
      </c>
      <c r="EL553" s="27" t="s">
        <v>7</v>
      </c>
      <c r="EM553" s="27" t="s">
        <v>8</v>
      </c>
      <c r="EP553" s="27" t="s">
        <v>7</v>
      </c>
      <c r="EQ553" s="27" t="s">
        <v>8</v>
      </c>
      <c r="FP553" s="27" t="s">
        <v>7</v>
      </c>
      <c r="FQ553" s="27" t="s">
        <v>8</v>
      </c>
      <c r="FV553" s="27" t="s">
        <v>7</v>
      </c>
      <c r="FZ553" s="27" t="s">
        <v>7</v>
      </c>
      <c r="GA553" s="27" t="s">
        <v>8</v>
      </c>
      <c r="GD553" s="27" t="s">
        <v>7</v>
      </c>
      <c r="GE553" s="27" t="s">
        <v>8</v>
      </c>
      <c r="GF553" s="27" t="s">
        <v>7</v>
      </c>
      <c r="GQ553" s="27" t="s">
        <v>8</v>
      </c>
      <c r="GS553" s="27" t="s">
        <v>8</v>
      </c>
      <c r="GT553" s="27" t="s">
        <v>7</v>
      </c>
      <c r="GU553" s="27" t="s">
        <v>8</v>
      </c>
      <c r="GV553" s="27" t="s">
        <v>7</v>
      </c>
      <c r="HW553" s="27" t="s">
        <v>8</v>
      </c>
      <c r="HX553" s="27" t="s">
        <v>7</v>
      </c>
      <c r="HY553" s="27" t="s">
        <v>8</v>
      </c>
      <c r="HZ553" s="27" t="s">
        <v>7</v>
      </c>
      <c r="IA553" s="27" t="s">
        <v>8</v>
      </c>
      <c r="IB553" s="27" t="s">
        <v>7</v>
      </c>
      <c r="IC553" s="27" t="s">
        <v>8</v>
      </c>
    </row>
    <row r="554" spans="1:243" x14ac:dyDescent="0.25">
      <c r="A554" s="7">
        <v>1.9222314039431532</v>
      </c>
      <c r="B554"/>
      <c r="C554"/>
      <c r="D554"/>
      <c r="E554"/>
      <c r="EE554" s="27" t="s">
        <v>8</v>
      </c>
      <c r="EF554" s="27" t="s">
        <v>7</v>
      </c>
      <c r="EG554" s="27" t="s">
        <v>8</v>
      </c>
      <c r="EH554" s="27" t="s">
        <v>7</v>
      </c>
      <c r="EI554" s="27" t="s">
        <v>8</v>
      </c>
      <c r="EL554" s="27" t="s">
        <v>7</v>
      </c>
      <c r="EP554" s="27" t="s">
        <v>7</v>
      </c>
      <c r="FP554" s="27" t="s">
        <v>7</v>
      </c>
      <c r="FQ554" s="27" t="s">
        <v>8</v>
      </c>
      <c r="FZ554" s="27" t="s">
        <v>7</v>
      </c>
      <c r="GA554" s="27" t="s">
        <v>8</v>
      </c>
      <c r="GD554" s="27" t="s">
        <v>7</v>
      </c>
      <c r="GE554" s="27" t="s">
        <v>8</v>
      </c>
      <c r="GF554" s="27" t="s">
        <v>7</v>
      </c>
      <c r="GQ554" s="27" t="s">
        <v>8</v>
      </c>
      <c r="GR554" s="27" t="s">
        <v>7</v>
      </c>
      <c r="GS554" s="27" t="s">
        <v>8</v>
      </c>
      <c r="GT554" s="27" t="s">
        <v>7</v>
      </c>
      <c r="GU554" s="27" t="s">
        <v>8</v>
      </c>
      <c r="GV554" s="27" t="s">
        <v>7</v>
      </c>
      <c r="HU554" s="27" t="s">
        <v>8</v>
      </c>
      <c r="HW554" s="27" t="s">
        <v>8</v>
      </c>
      <c r="HX554" s="27" t="s">
        <v>7</v>
      </c>
      <c r="HY554" s="27" t="s">
        <v>8</v>
      </c>
      <c r="HZ554" s="27" t="s">
        <v>7</v>
      </c>
      <c r="IB554" s="27" t="s">
        <v>7</v>
      </c>
      <c r="IC554" s="27" t="s">
        <v>8</v>
      </c>
    </row>
    <row r="555" spans="1:243" x14ac:dyDescent="0.25">
      <c r="A555" s="7">
        <v>1.8845405921011305</v>
      </c>
      <c r="B555"/>
      <c r="C555"/>
      <c r="D555"/>
      <c r="E555"/>
      <c r="EE555" s="27" t="s">
        <v>8</v>
      </c>
      <c r="EF555" s="27" t="s">
        <v>7</v>
      </c>
      <c r="EG555" s="27" t="s">
        <v>8</v>
      </c>
      <c r="EH555" s="27" t="s">
        <v>7</v>
      </c>
      <c r="EI555" s="27" t="s">
        <v>8</v>
      </c>
      <c r="FP555" s="27" t="s">
        <v>7</v>
      </c>
      <c r="FQ555" s="27" t="s">
        <v>8</v>
      </c>
      <c r="FZ555" s="27" t="s">
        <v>7</v>
      </c>
      <c r="GA555" s="27" t="s">
        <v>8</v>
      </c>
      <c r="GD555" s="27" t="s">
        <v>7</v>
      </c>
      <c r="GE555" s="27" t="s">
        <v>8</v>
      </c>
      <c r="GF555" s="27" t="s">
        <v>7</v>
      </c>
      <c r="GQ555" s="27" t="s">
        <v>8</v>
      </c>
      <c r="GR555" s="27" t="s">
        <v>7</v>
      </c>
      <c r="GS555" s="27" t="s">
        <v>8</v>
      </c>
      <c r="GT555" s="27" t="s">
        <v>7</v>
      </c>
      <c r="GU555" s="27" t="s">
        <v>8</v>
      </c>
      <c r="GV555" s="27" t="s">
        <v>7</v>
      </c>
      <c r="HA555" s="27" t="s">
        <v>8</v>
      </c>
      <c r="HU555" s="27" t="s">
        <v>8</v>
      </c>
      <c r="HV555" s="27" t="s">
        <v>7</v>
      </c>
      <c r="HW555" s="27" t="s">
        <v>8</v>
      </c>
      <c r="HX555" s="27" t="s">
        <v>7</v>
      </c>
      <c r="HY555" s="27" t="s">
        <v>8</v>
      </c>
      <c r="IB555" s="27" t="s">
        <v>7</v>
      </c>
      <c r="IC555" s="27" t="s">
        <v>8</v>
      </c>
    </row>
    <row r="556" spans="1:243" x14ac:dyDescent="0.25">
      <c r="A556" s="7">
        <v>1.8475888157854219</v>
      </c>
      <c r="B556"/>
      <c r="C556"/>
      <c r="D556"/>
      <c r="E556"/>
      <c r="EE556" s="27" t="s">
        <v>8</v>
      </c>
      <c r="EF556" s="27" t="s">
        <v>7</v>
      </c>
      <c r="EG556" s="27" t="s">
        <v>8</v>
      </c>
      <c r="EH556" s="27" t="s">
        <v>7</v>
      </c>
      <c r="EI556" s="27" t="s">
        <v>8</v>
      </c>
      <c r="FP556" s="27" t="s">
        <v>7</v>
      </c>
      <c r="FQ556" s="27" t="s">
        <v>8</v>
      </c>
      <c r="FZ556" s="27" t="s">
        <v>7</v>
      </c>
      <c r="GA556" s="27" t="s">
        <v>8</v>
      </c>
      <c r="GD556" s="27" t="s">
        <v>7</v>
      </c>
      <c r="GE556" s="27" t="s">
        <v>8</v>
      </c>
      <c r="GF556" s="27" t="s">
        <v>7</v>
      </c>
      <c r="GQ556" s="27" t="s">
        <v>8</v>
      </c>
      <c r="GR556" s="27" t="s">
        <v>7</v>
      </c>
      <c r="GS556" s="27" t="s">
        <v>8</v>
      </c>
      <c r="GT556" s="27" t="s">
        <v>7</v>
      </c>
      <c r="GU556" s="27" t="s">
        <v>8</v>
      </c>
      <c r="GV556" s="27" t="s">
        <v>7</v>
      </c>
      <c r="HA556" s="27" t="s">
        <v>8</v>
      </c>
      <c r="HB556" s="27" t="s">
        <v>7</v>
      </c>
      <c r="HU556" s="27" t="s">
        <v>8</v>
      </c>
      <c r="HV556" s="27" t="s">
        <v>7</v>
      </c>
      <c r="HW556" s="27" t="s">
        <v>8</v>
      </c>
      <c r="HX556" s="27" t="s">
        <v>7</v>
      </c>
      <c r="HY556" s="27" t="s">
        <v>8</v>
      </c>
      <c r="IB556" s="27" t="s">
        <v>7</v>
      </c>
      <c r="IC556" s="27" t="s">
        <v>8</v>
      </c>
    </row>
    <row r="557" spans="1:243" x14ac:dyDescent="0.25">
      <c r="A557" s="7">
        <v>1.8113615841033548</v>
      </c>
      <c r="B557"/>
      <c r="C557"/>
      <c r="D557"/>
      <c r="E557"/>
      <c r="EE557" s="27" t="s">
        <v>8</v>
      </c>
      <c r="EF557" s="27" t="s">
        <v>7</v>
      </c>
      <c r="EG557" s="27" t="s">
        <v>8</v>
      </c>
      <c r="EH557" s="27" t="s">
        <v>7</v>
      </c>
      <c r="EI557" s="27" t="s">
        <v>8</v>
      </c>
      <c r="FP557" s="27" t="s">
        <v>7</v>
      </c>
      <c r="FQ557" s="27" t="s">
        <v>8</v>
      </c>
      <c r="FZ557" s="27" t="s">
        <v>7</v>
      </c>
      <c r="GA557" s="27" t="s">
        <v>8</v>
      </c>
      <c r="GD557" s="27" t="s">
        <v>7</v>
      </c>
      <c r="GE557" s="27" t="s">
        <v>8</v>
      </c>
      <c r="GF557" s="27" t="s">
        <v>7</v>
      </c>
      <c r="GQ557" s="27" t="s">
        <v>8</v>
      </c>
      <c r="GR557" s="27" t="s">
        <v>7</v>
      </c>
      <c r="GS557" s="27" t="s">
        <v>8</v>
      </c>
      <c r="GT557" s="27" t="s">
        <v>7</v>
      </c>
      <c r="GU557" s="27" t="s">
        <v>8</v>
      </c>
      <c r="GV557" s="27" t="s">
        <v>7</v>
      </c>
      <c r="HA557" s="27" t="s">
        <v>8</v>
      </c>
      <c r="HB557" s="27" t="s">
        <v>7</v>
      </c>
      <c r="HU557" s="27" t="s">
        <v>8</v>
      </c>
      <c r="HV557" s="27" t="s">
        <v>7</v>
      </c>
      <c r="HW557" s="27" t="s">
        <v>8</v>
      </c>
      <c r="HX557" s="27" t="s">
        <v>7</v>
      </c>
      <c r="HY557" s="27" t="s">
        <v>8</v>
      </c>
      <c r="IB557" s="27" t="s">
        <v>7</v>
      </c>
      <c r="IC557" s="27" t="s">
        <v>8</v>
      </c>
    </row>
    <row r="558" spans="1:243" x14ac:dyDescent="0.25">
      <c r="A558" s="7">
        <v>1.7758446902974065</v>
      </c>
      <c r="B558"/>
      <c r="C558"/>
      <c r="D558"/>
      <c r="E558"/>
      <c r="EE558" s="27" t="s">
        <v>8</v>
      </c>
      <c r="EF558" s="27" t="s">
        <v>7</v>
      </c>
      <c r="EG558" s="27" t="s">
        <v>8</v>
      </c>
      <c r="EH558" s="27" t="s">
        <v>7</v>
      </c>
      <c r="FP558" s="27" t="s">
        <v>7</v>
      </c>
      <c r="FQ558" s="27" t="s">
        <v>8</v>
      </c>
      <c r="FZ558" s="27" t="s">
        <v>7</v>
      </c>
      <c r="GA558" s="27" t="s">
        <v>8</v>
      </c>
      <c r="GD558" s="27" t="s">
        <v>7</v>
      </c>
      <c r="GF558" s="27" t="s">
        <v>7</v>
      </c>
      <c r="GQ558" s="27" t="s">
        <v>8</v>
      </c>
      <c r="GR558" s="27" t="s">
        <v>7</v>
      </c>
      <c r="GS558" s="27" t="s">
        <v>8</v>
      </c>
      <c r="GT558" s="27" t="s">
        <v>7</v>
      </c>
      <c r="GU558" s="27" t="s">
        <v>8</v>
      </c>
      <c r="GV558" s="27" t="s">
        <v>7</v>
      </c>
      <c r="GY558" s="27" t="s">
        <v>8</v>
      </c>
      <c r="HA558" s="27" t="s">
        <v>8</v>
      </c>
      <c r="HB558" s="27" t="s">
        <v>7</v>
      </c>
      <c r="HU558" s="27" t="s">
        <v>8</v>
      </c>
      <c r="HV558" s="27" t="s">
        <v>7</v>
      </c>
      <c r="HW558" s="27" t="s">
        <v>8</v>
      </c>
      <c r="HX558" s="27" t="s">
        <v>7</v>
      </c>
      <c r="HY558" s="27" t="s">
        <v>8</v>
      </c>
      <c r="IB558" s="27" t="s">
        <v>7</v>
      </c>
      <c r="IC558" s="27" t="s">
        <v>8</v>
      </c>
    </row>
    <row r="559" spans="1:243" x14ac:dyDescent="0.25">
      <c r="A559" s="7">
        <v>1.7410242061739281</v>
      </c>
      <c r="B559"/>
      <c r="C559"/>
      <c r="D559"/>
      <c r="E559"/>
      <c r="EE559" s="27" t="s">
        <v>8</v>
      </c>
      <c r="EF559" s="27" t="s">
        <v>7</v>
      </c>
      <c r="EG559" s="27" t="s">
        <v>8</v>
      </c>
      <c r="FP559" s="27" t="s">
        <v>7</v>
      </c>
      <c r="FZ559" s="27" t="s">
        <v>7</v>
      </c>
      <c r="GF559" s="27" t="s">
        <v>7</v>
      </c>
      <c r="GQ559" s="27" t="s">
        <v>8</v>
      </c>
      <c r="GR559" s="27" t="s">
        <v>7</v>
      </c>
      <c r="GS559" s="27" t="s">
        <v>8</v>
      </c>
      <c r="GT559" s="27" t="s">
        <v>7</v>
      </c>
      <c r="GU559" s="27" t="s">
        <v>8</v>
      </c>
      <c r="GV559" s="27" t="s">
        <v>7</v>
      </c>
      <c r="GY559" s="27" t="s">
        <v>8</v>
      </c>
      <c r="GZ559" s="27" t="s">
        <v>7</v>
      </c>
      <c r="HA559" s="27" t="s">
        <v>8</v>
      </c>
      <c r="HB559" s="27" t="s">
        <v>7</v>
      </c>
      <c r="HU559" s="27" t="s">
        <v>8</v>
      </c>
      <c r="HV559" s="27" t="s">
        <v>7</v>
      </c>
      <c r="HW559" s="27" t="s">
        <v>8</v>
      </c>
      <c r="HX559" s="27" t="s">
        <v>7</v>
      </c>
      <c r="HY559" s="27" t="s">
        <v>8</v>
      </c>
      <c r="IB559" s="27" t="s">
        <v>7</v>
      </c>
    </row>
    <row r="560" spans="1:243" x14ac:dyDescent="0.25">
      <c r="A560" s="7">
        <v>1.7068864766411058</v>
      </c>
      <c r="B560"/>
      <c r="C560"/>
      <c r="D560"/>
      <c r="E560"/>
      <c r="EE560" s="27" t="s">
        <v>8</v>
      </c>
      <c r="EF560" s="27" t="s">
        <v>7</v>
      </c>
      <c r="EG560" s="27" t="s">
        <v>8</v>
      </c>
      <c r="GF560" s="27" t="s">
        <v>7</v>
      </c>
      <c r="GK560" s="27" t="s">
        <v>8</v>
      </c>
      <c r="GQ560" s="27" t="s">
        <v>8</v>
      </c>
      <c r="GR560" s="27" t="s">
        <v>7</v>
      </c>
      <c r="GS560" s="27" t="s">
        <v>8</v>
      </c>
      <c r="GT560" s="27" t="s">
        <v>7</v>
      </c>
      <c r="GV560" s="27" t="s">
        <v>7</v>
      </c>
      <c r="GY560" s="27" t="s">
        <v>8</v>
      </c>
      <c r="GZ560" s="27" t="s">
        <v>7</v>
      </c>
      <c r="HA560" s="27" t="s">
        <v>8</v>
      </c>
      <c r="HB560" s="27" t="s">
        <v>7</v>
      </c>
      <c r="HC560" s="27" t="s">
        <v>8</v>
      </c>
      <c r="HK560" s="27" t="s">
        <v>8</v>
      </c>
      <c r="HU560" s="27" t="s">
        <v>8</v>
      </c>
      <c r="HV560" s="27" t="s">
        <v>7</v>
      </c>
      <c r="HW560" s="27" t="s">
        <v>8</v>
      </c>
      <c r="HX560" s="27" t="s">
        <v>7</v>
      </c>
      <c r="HY560" s="27" t="s">
        <v>8</v>
      </c>
    </row>
    <row r="561" spans="1:233" x14ac:dyDescent="0.25">
      <c r="A561" s="7">
        <v>1.6734181143540252</v>
      </c>
      <c r="B561"/>
      <c r="C561"/>
      <c r="D561"/>
      <c r="E561"/>
      <c r="EE561" s="27" t="s">
        <v>8</v>
      </c>
      <c r="EF561" s="27" t="s">
        <v>7</v>
      </c>
      <c r="EG561" s="27" t="s">
        <v>8</v>
      </c>
      <c r="GF561" s="27" t="s">
        <v>7</v>
      </c>
      <c r="GK561" s="27" t="s">
        <v>8</v>
      </c>
      <c r="GL561" s="27" t="s">
        <v>7</v>
      </c>
      <c r="GQ561" s="27" t="s">
        <v>8</v>
      </c>
      <c r="GR561" s="27" t="s">
        <v>7</v>
      </c>
      <c r="GS561" s="27" t="s">
        <v>8</v>
      </c>
      <c r="GV561" s="27" t="s">
        <v>7</v>
      </c>
      <c r="GY561" s="27" t="s">
        <v>8</v>
      </c>
      <c r="GZ561" s="27" t="s">
        <v>7</v>
      </c>
      <c r="HA561" s="27" t="s">
        <v>8</v>
      </c>
      <c r="HB561" s="27" t="s">
        <v>7</v>
      </c>
      <c r="HC561" s="27" t="s">
        <v>8</v>
      </c>
      <c r="HD561" s="27" t="s">
        <v>7</v>
      </c>
      <c r="HI561" s="27" t="s">
        <v>8</v>
      </c>
      <c r="HK561" s="27" t="s">
        <v>8</v>
      </c>
      <c r="HL561" s="27" t="s">
        <v>7</v>
      </c>
      <c r="HU561" s="27" t="s">
        <v>8</v>
      </c>
      <c r="HV561" s="27" t="s">
        <v>7</v>
      </c>
      <c r="HW561" s="27" t="s">
        <v>8</v>
      </c>
      <c r="HX561" s="27" t="s">
        <v>7</v>
      </c>
      <c r="HY561" s="27" t="s">
        <v>8</v>
      </c>
    </row>
    <row r="562" spans="1:233" x14ac:dyDescent="0.25">
      <c r="A562" s="7">
        <v>1.6406059944647307</v>
      </c>
      <c r="B562"/>
      <c r="C562"/>
      <c r="D562"/>
      <c r="E562"/>
      <c r="EE562" s="27" t="s">
        <v>8</v>
      </c>
      <c r="EF562" s="27" t="s">
        <v>7</v>
      </c>
      <c r="EG562" s="27" t="s">
        <v>8</v>
      </c>
      <c r="GF562" s="27" t="s">
        <v>7</v>
      </c>
      <c r="GI562" s="27" t="s">
        <v>8</v>
      </c>
      <c r="GK562" s="27" t="s">
        <v>8</v>
      </c>
      <c r="GL562" s="27" t="s">
        <v>7</v>
      </c>
      <c r="GM562" s="27" t="s">
        <v>8</v>
      </c>
      <c r="GQ562" s="27" t="s">
        <v>8</v>
      </c>
      <c r="GR562" s="27" t="s">
        <v>7</v>
      </c>
      <c r="GS562" s="27" t="s">
        <v>8</v>
      </c>
      <c r="GV562" s="27" t="s">
        <v>7</v>
      </c>
      <c r="GW562" s="27" t="s">
        <v>8</v>
      </c>
      <c r="GY562" s="27" t="s">
        <v>8</v>
      </c>
      <c r="GZ562" s="27" t="s">
        <v>7</v>
      </c>
      <c r="HB562" s="27" t="s">
        <v>7</v>
      </c>
      <c r="HC562" s="27" t="s">
        <v>8</v>
      </c>
      <c r="HD562" s="27" t="s">
        <v>7</v>
      </c>
      <c r="HI562" s="27" t="s">
        <v>8</v>
      </c>
      <c r="HJ562" s="27" t="s">
        <v>7</v>
      </c>
      <c r="HK562" s="27" t="s">
        <v>8</v>
      </c>
      <c r="HL562" s="27" t="s">
        <v>7</v>
      </c>
      <c r="HU562" s="27" t="s">
        <v>8</v>
      </c>
      <c r="HV562" s="27" t="s">
        <v>7</v>
      </c>
      <c r="HW562" s="27" t="s">
        <v>8</v>
      </c>
      <c r="HX562" s="27" t="s">
        <v>7</v>
      </c>
      <c r="HY562" s="27" t="s">
        <v>8</v>
      </c>
    </row>
    <row r="563" spans="1:233" x14ac:dyDescent="0.25">
      <c r="A563" s="7">
        <v>1.6084372494752261</v>
      </c>
      <c r="B563"/>
      <c r="C563"/>
      <c r="D563"/>
      <c r="E563"/>
      <c r="EE563" s="27" t="s">
        <v>8</v>
      </c>
      <c r="EF563" s="27" t="s">
        <v>7</v>
      </c>
      <c r="GF563" s="27" t="s">
        <v>7</v>
      </c>
      <c r="GI563" s="27" t="s">
        <v>8</v>
      </c>
      <c r="GJ563" s="27" t="s">
        <v>7</v>
      </c>
      <c r="GK563" s="27" t="s">
        <v>8</v>
      </c>
      <c r="GL563" s="27" t="s">
        <v>7</v>
      </c>
      <c r="GM563" s="27" t="s">
        <v>8</v>
      </c>
      <c r="GN563" s="27" t="s">
        <v>7</v>
      </c>
      <c r="GQ563" s="27" t="s">
        <v>8</v>
      </c>
      <c r="GR563" s="27" t="s">
        <v>7</v>
      </c>
      <c r="GV563" s="27" t="s">
        <v>7</v>
      </c>
      <c r="GW563" s="27" t="s">
        <v>8</v>
      </c>
      <c r="GX563" s="27" t="s">
        <v>7</v>
      </c>
      <c r="GY563" s="27" t="s">
        <v>8</v>
      </c>
      <c r="HB563" s="27" t="s">
        <v>7</v>
      </c>
      <c r="HC563" s="27" t="s">
        <v>8</v>
      </c>
      <c r="HD563" s="27" t="s">
        <v>7</v>
      </c>
      <c r="HG563" s="27" t="s">
        <v>8</v>
      </c>
      <c r="HI563" s="27" t="s">
        <v>8</v>
      </c>
      <c r="HJ563" s="27" t="s">
        <v>7</v>
      </c>
      <c r="HK563" s="27" t="s">
        <v>8</v>
      </c>
      <c r="HL563" s="27" t="s">
        <v>7</v>
      </c>
      <c r="HU563" s="27" t="s">
        <v>8</v>
      </c>
      <c r="HV563" s="27" t="s">
        <v>7</v>
      </c>
      <c r="HW563" s="27" t="s">
        <v>8</v>
      </c>
      <c r="HX563" s="27" t="s">
        <v>7</v>
      </c>
      <c r="HY563" s="27" t="s">
        <v>8</v>
      </c>
    </row>
    <row r="564" spans="1:233" x14ac:dyDescent="0.25">
      <c r="A564" s="7">
        <v>1.5768992641913981</v>
      </c>
      <c r="B564"/>
      <c r="C564"/>
      <c r="D564"/>
      <c r="E564"/>
      <c r="EE564" s="27" t="s">
        <v>8</v>
      </c>
      <c r="GF564" s="27" t="s">
        <v>7</v>
      </c>
      <c r="GG564" s="27" t="s">
        <v>8</v>
      </c>
      <c r="GI564" s="27" t="s">
        <v>8</v>
      </c>
      <c r="GJ564" s="27" t="s">
        <v>7</v>
      </c>
      <c r="GK564" s="27" t="s">
        <v>8</v>
      </c>
      <c r="GL564" s="27" t="s">
        <v>7</v>
      </c>
      <c r="GM564" s="27" t="s">
        <v>8</v>
      </c>
      <c r="GN564" s="27" t="s">
        <v>7</v>
      </c>
      <c r="GQ564" s="27" t="s">
        <v>8</v>
      </c>
      <c r="GV564" s="27" t="s">
        <v>7</v>
      </c>
      <c r="GW564" s="27" t="s">
        <v>8</v>
      </c>
      <c r="GX564" s="27" t="s">
        <v>7</v>
      </c>
      <c r="GY564" s="27" t="s">
        <v>8</v>
      </c>
      <c r="HB564" s="27" t="s">
        <v>7</v>
      </c>
      <c r="HD564" s="27" t="s">
        <v>7</v>
      </c>
      <c r="HG564" s="27" t="s">
        <v>8</v>
      </c>
      <c r="HH564" s="27" t="s">
        <v>7</v>
      </c>
      <c r="HI564" s="27" t="s">
        <v>8</v>
      </c>
      <c r="HJ564" s="27" t="s">
        <v>7</v>
      </c>
      <c r="HL564" s="27" t="s">
        <v>7</v>
      </c>
      <c r="HU564" s="27" t="s">
        <v>8</v>
      </c>
      <c r="HV564" s="27" t="s">
        <v>7</v>
      </c>
      <c r="HW564" s="27" t="s">
        <v>8</v>
      </c>
      <c r="HX564" s="27" t="s">
        <v>7</v>
      </c>
      <c r="HY564" s="27" t="s">
        <v>8</v>
      </c>
    </row>
    <row r="565" spans="1:233" x14ac:dyDescent="0.25">
      <c r="A565" s="7">
        <v>1.5459796707758806</v>
      </c>
      <c r="B565"/>
      <c r="C565"/>
      <c r="D565"/>
      <c r="E565"/>
      <c r="EE565" s="27" t="s">
        <v>8</v>
      </c>
      <c r="GF565" s="27" t="s">
        <v>7</v>
      </c>
      <c r="GG565" s="27" t="s">
        <v>8</v>
      </c>
      <c r="GH565" s="27" t="s">
        <v>7</v>
      </c>
      <c r="GI565" s="27" t="s">
        <v>8</v>
      </c>
      <c r="GJ565" s="27" t="s">
        <v>7</v>
      </c>
      <c r="GK565" s="27" t="s">
        <v>8</v>
      </c>
      <c r="GL565" s="27" t="s">
        <v>7</v>
      </c>
      <c r="GM565" s="27" t="s">
        <v>8</v>
      </c>
      <c r="GN565" s="27" t="s">
        <v>7</v>
      </c>
      <c r="GO565" s="27" t="s">
        <v>8</v>
      </c>
      <c r="GQ565" s="27" t="s">
        <v>8</v>
      </c>
      <c r="GV565" s="27" t="s">
        <v>7</v>
      </c>
      <c r="GW565" s="27" t="s">
        <v>8</v>
      </c>
      <c r="GX565" s="27" t="s">
        <v>7</v>
      </c>
      <c r="HD565" s="27" t="s">
        <v>7</v>
      </c>
      <c r="HE565" s="27" t="s">
        <v>8</v>
      </c>
      <c r="HG565" s="27" t="s">
        <v>8</v>
      </c>
      <c r="HH565" s="27" t="s">
        <v>7</v>
      </c>
      <c r="HI565" s="27" t="s">
        <v>8</v>
      </c>
      <c r="HL565" s="27" t="s">
        <v>7</v>
      </c>
      <c r="HU565" s="27" t="s">
        <v>8</v>
      </c>
      <c r="HV565" s="27" t="s">
        <v>7</v>
      </c>
      <c r="HW565" s="27" t="s">
        <v>8</v>
      </c>
      <c r="HX565" s="27" t="s">
        <v>7</v>
      </c>
      <c r="HY565" s="27" t="s">
        <v>8</v>
      </c>
    </row>
    <row r="566" spans="1:233" x14ac:dyDescent="0.25">
      <c r="A566" s="7">
        <v>1.5156663438979221</v>
      </c>
      <c r="B566"/>
      <c r="C566"/>
      <c r="D566"/>
      <c r="E566"/>
      <c r="EE566" s="27" t="s">
        <v>8</v>
      </c>
      <c r="GF566" s="27" t="s">
        <v>7</v>
      </c>
      <c r="GG566" s="27" t="s">
        <v>8</v>
      </c>
      <c r="GH566" s="27" t="s">
        <v>7</v>
      </c>
      <c r="GI566" s="27" t="s">
        <v>8</v>
      </c>
      <c r="GJ566" s="27" t="s">
        <v>7</v>
      </c>
      <c r="GK566" s="27" t="s">
        <v>8</v>
      </c>
      <c r="GL566" s="27" t="s">
        <v>7</v>
      </c>
      <c r="GM566" s="27" t="s">
        <v>8</v>
      </c>
      <c r="GN566" s="27" t="s">
        <v>7</v>
      </c>
      <c r="GO566" s="27" t="s">
        <v>8</v>
      </c>
      <c r="GP566" s="27" t="s">
        <v>7</v>
      </c>
      <c r="GQ566" s="27" t="s">
        <v>8</v>
      </c>
      <c r="GV566" s="27" t="s">
        <v>7</v>
      </c>
      <c r="GW566" s="27" t="s">
        <v>8</v>
      </c>
      <c r="HD566" s="27" t="s">
        <v>7</v>
      </c>
      <c r="HE566" s="27" t="s">
        <v>8</v>
      </c>
      <c r="HF566" s="27" t="s">
        <v>7</v>
      </c>
      <c r="HG566" s="27" t="s">
        <v>8</v>
      </c>
      <c r="HH566" s="27" t="s">
        <v>7</v>
      </c>
      <c r="HL566" s="27" t="s">
        <v>7</v>
      </c>
      <c r="HU566" s="27" t="s">
        <v>8</v>
      </c>
      <c r="HV566" s="27" t="s">
        <v>7</v>
      </c>
      <c r="HW566" s="27" t="s">
        <v>8</v>
      </c>
      <c r="HX566" s="27" t="s">
        <v>7</v>
      </c>
      <c r="HY566" s="27" t="s">
        <v>8</v>
      </c>
    </row>
    <row r="567" spans="1:233" x14ac:dyDescent="0.25">
      <c r="A567" s="7">
        <v>1.4859473959783549</v>
      </c>
      <c r="B567"/>
      <c r="C567"/>
      <c r="D567"/>
      <c r="E567"/>
      <c r="EE567" s="27" t="s">
        <v>8</v>
      </c>
      <c r="GF567" s="27" t="s">
        <v>7</v>
      </c>
      <c r="GG567" s="27" t="s">
        <v>8</v>
      </c>
      <c r="GH567" s="27" t="s">
        <v>7</v>
      </c>
      <c r="GI567" s="27" t="s">
        <v>8</v>
      </c>
      <c r="GJ567" s="27" t="s">
        <v>7</v>
      </c>
      <c r="GK567" s="27" t="s">
        <v>8</v>
      </c>
      <c r="GL567" s="27" t="s">
        <v>7</v>
      </c>
      <c r="GM567" s="27" t="s">
        <v>8</v>
      </c>
      <c r="GN567" s="27" t="s">
        <v>7</v>
      </c>
      <c r="GO567" s="27" t="s">
        <v>8</v>
      </c>
      <c r="GP567" s="27" t="s">
        <v>7</v>
      </c>
      <c r="GQ567" s="27" t="s">
        <v>8</v>
      </c>
      <c r="GV567" s="27" t="s">
        <v>7</v>
      </c>
      <c r="HD567" s="27" t="s">
        <v>7</v>
      </c>
      <c r="HE567" s="27" t="s">
        <v>8</v>
      </c>
      <c r="HF567" s="27" t="s">
        <v>7</v>
      </c>
      <c r="HG567" s="27" t="s">
        <v>8</v>
      </c>
      <c r="HL567" s="27" t="s">
        <v>7</v>
      </c>
      <c r="HU567" s="27" t="s">
        <v>8</v>
      </c>
      <c r="HV567" s="27" t="s">
        <v>7</v>
      </c>
      <c r="HW567" s="27" t="s">
        <v>8</v>
      </c>
      <c r="HX567" s="27" t="s">
        <v>7</v>
      </c>
      <c r="HY567" s="27" t="s">
        <v>8</v>
      </c>
    </row>
    <row r="568" spans="1:233" x14ac:dyDescent="0.25">
      <c r="A568" s="7">
        <v>1.4568111725277988</v>
      </c>
      <c r="B568"/>
      <c r="C568"/>
      <c r="D568"/>
      <c r="E568"/>
      <c r="Q568" s="27" t="s">
        <v>8</v>
      </c>
      <c r="EE568" s="27" t="s">
        <v>8</v>
      </c>
      <c r="GF568" s="27" t="s">
        <v>7</v>
      </c>
      <c r="GG568" s="27" t="s">
        <v>8</v>
      </c>
      <c r="GH568" s="27" t="s">
        <v>7</v>
      </c>
      <c r="GI568" s="27" t="s">
        <v>8</v>
      </c>
      <c r="GJ568" s="27" t="s">
        <v>7</v>
      </c>
      <c r="GK568" s="27" t="s">
        <v>8</v>
      </c>
      <c r="GL568" s="27" t="s">
        <v>7</v>
      </c>
      <c r="GM568" s="27" t="s">
        <v>8</v>
      </c>
      <c r="GN568" s="27" t="s">
        <v>7</v>
      </c>
      <c r="GO568" s="27" t="s">
        <v>8</v>
      </c>
      <c r="GP568" s="27" t="s">
        <v>7</v>
      </c>
      <c r="GQ568" s="27" t="s">
        <v>8</v>
      </c>
      <c r="HD568" s="27" t="s">
        <v>7</v>
      </c>
      <c r="HF568" s="27" t="s">
        <v>7</v>
      </c>
      <c r="HG568" s="27" t="s">
        <v>8</v>
      </c>
      <c r="HL568" s="27" t="s">
        <v>7</v>
      </c>
      <c r="HU568" s="27" t="s">
        <v>8</v>
      </c>
      <c r="HV568" s="27" t="s">
        <v>7</v>
      </c>
      <c r="HW568" s="27" t="s">
        <v>8</v>
      </c>
      <c r="HX568" s="27" t="s">
        <v>7</v>
      </c>
      <c r="HY568" s="27" t="s">
        <v>8</v>
      </c>
    </row>
    <row r="569" spans="1:233" x14ac:dyDescent="0.25">
      <c r="A569" s="7">
        <v>1.4282462475762734</v>
      </c>
      <c r="B569"/>
      <c r="C569"/>
      <c r="D569"/>
      <c r="E569"/>
      <c r="Q569" s="27" t="s">
        <v>8</v>
      </c>
      <c r="R569" s="27" t="s">
        <v>7</v>
      </c>
      <c r="EE569" s="27" t="s">
        <v>8</v>
      </c>
      <c r="GF569" s="27" t="s">
        <v>7</v>
      </c>
      <c r="GG569" s="27" t="s">
        <v>8</v>
      </c>
      <c r="GH569" s="27" t="s">
        <v>7</v>
      </c>
      <c r="GJ569" s="27" t="s">
        <v>7</v>
      </c>
      <c r="GK569" s="27" t="s">
        <v>8</v>
      </c>
      <c r="GL569" s="27" t="s">
        <v>7</v>
      </c>
      <c r="GM569" s="27" t="s">
        <v>8</v>
      </c>
      <c r="GN569" s="27" t="s">
        <v>7</v>
      </c>
      <c r="GO569" s="27" t="s">
        <v>8</v>
      </c>
      <c r="GP569" s="27" t="s">
        <v>7</v>
      </c>
      <c r="HF569" s="27" t="s">
        <v>7</v>
      </c>
      <c r="HL569" s="27" t="s">
        <v>7</v>
      </c>
      <c r="HU569" s="27" t="s">
        <v>8</v>
      </c>
      <c r="HV569" s="27" t="s">
        <v>7</v>
      </c>
      <c r="HW569" s="27" t="s">
        <v>8</v>
      </c>
      <c r="HX569" s="27" t="s">
        <v>7</v>
      </c>
      <c r="HY569" s="27" t="s">
        <v>8</v>
      </c>
    </row>
    <row r="570" spans="1:233" x14ac:dyDescent="0.25">
      <c r="A570" s="7">
        <v>1.4002414191924248</v>
      </c>
      <c r="B570"/>
      <c r="C570"/>
      <c r="D570"/>
      <c r="E570"/>
      <c r="Q570" s="27" t="s">
        <v>8</v>
      </c>
      <c r="R570" s="27" t="s">
        <v>7</v>
      </c>
      <c r="EC570" s="27" t="s">
        <v>8</v>
      </c>
      <c r="EE570" s="27" t="s">
        <v>8</v>
      </c>
      <c r="GF570" s="27" t="s">
        <v>7</v>
      </c>
      <c r="GJ570" s="27" t="s">
        <v>7</v>
      </c>
      <c r="GK570" s="27" t="s">
        <v>8</v>
      </c>
      <c r="GL570" s="27" t="s">
        <v>7</v>
      </c>
      <c r="GM570" s="27" t="s">
        <v>8</v>
      </c>
      <c r="GN570" s="27" t="s">
        <v>7</v>
      </c>
      <c r="HL570" s="27" t="s">
        <v>7</v>
      </c>
      <c r="HM570" s="27" t="s">
        <v>8</v>
      </c>
      <c r="HO570" s="27" t="s">
        <v>8</v>
      </c>
      <c r="HU570" s="27" t="s">
        <v>8</v>
      </c>
      <c r="HV570" s="27" t="s">
        <v>7</v>
      </c>
      <c r="HW570" s="27" t="s">
        <v>8</v>
      </c>
      <c r="HX570" s="27" t="s">
        <v>7</v>
      </c>
    </row>
    <row r="571" spans="1:233" x14ac:dyDescent="0.25">
      <c r="A571" s="7">
        <v>1.3727857050906125</v>
      </c>
      <c r="B571"/>
      <c r="C571"/>
      <c r="D571"/>
      <c r="E571"/>
      <c r="I571" s="27" t="s">
        <v>8</v>
      </c>
      <c r="Q571" s="27" t="s">
        <v>8</v>
      </c>
      <c r="R571" s="27" t="s">
        <v>7</v>
      </c>
      <c r="AY571" s="27" t="s">
        <v>8</v>
      </c>
      <c r="EC571" s="27" t="s">
        <v>8</v>
      </c>
      <c r="ED571" s="27" t="s">
        <v>7</v>
      </c>
      <c r="EE571" s="27" t="s">
        <v>8</v>
      </c>
      <c r="GJ571" s="27" t="s">
        <v>7</v>
      </c>
      <c r="GK571" s="27" t="s">
        <v>8</v>
      </c>
      <c r="GL571" s="27" t="s">
        <v>7</v>
      </c>
      <c r="HL571" s="27" t="s">
        <v>7</v>
      </c>
      <c r="HM571" s="27" t="s">
        <v>8</v>
      </c>
      <c r="HN571" s="27" t="s">
        <v>7</v>
      </c>
      <c r="HO571" s="27" t="s">
        <v>8</v>
      </c>
      <c r="HP571" s="27" t="s">
        <v>7</v>
      </c>
      <c r="HU571" s="27" t="s">
        <v>8</v>
      </c>
      <c r="HV571" s="27" t="s">
        <v>7</v>
      </c>
      <c r="HW571" s="27" t="s">
        <v>8</v>
      </c>
    </row>
    <row r="572" spans="1:233" x14ac:dyDescent="0.25">
      <c r="A572" s="7">
        <v>1.3458683383241299</v>
      </c>
      <c r="B572"/>
      <c r="C572"/>
      <c r="D572"/>
      <c r="E572" t="s">
        <v>8</v>
      </c>
      <c r="I572" s="27" t="s">
        <v>8</v>
      </c>
      <c r="J572" s="27" t="s">
        <v>7</v>
      </c>
      <c r="Q572" s="27" t="s">
        <v>8</v>
      </c>
      <c r="R572" s="27" t="s">
        <v>7</v>
      </c>
      <c r="AY572" s="27" t="s">
        <v>8</v>
      </c>
      <c r="AZ572" s="27" t="s">
        <v>7</v>
      </c>
      <c r="DY572" s="27" t="s">
        <v>8</v>
      </c>
      <c r="EC572" s="27" t="s">
        <v>8</v>
      </c>
      <c r="ED572" s="27" t="s">
        <v>7</v>
      </c>
      <c r="EE572" s="27" t="s">
        <v>8</v>
      </c>
      <c r="GJ572" s="27" t="s">
        <v>7</v>
      </c>
      <c r="GK572" s="27" t="s">
        <v>8</v>
      </c>
      <c r="HL572" s="27" t="s">
        <v>7</v>
      </c>
      <c r="HM572" s="27" t="s">
        <v>8</v>
      </c>
      <c r="HN572" s="27" t="s">
        <v>7</v>
      </c>
      <c r="HO572" s="27" t="s">
        <v>8</v>
      </c>
      <c r="HP572" s="27" t="s">
        <v>7</v>
      </c>
      <c r="HS572" s="27" t="s">
        <v>8</v>
      </c>
      <c r="HU572" s="27" t="s">
        <v>8</v>
      </c>
      <c r="HV572" s="27" t="s">
        <v>7</v>
      </c>
    </row>
    <row r="573" spans="1:233" x14ac:dyDescent="0.25">
      <c r="A573" s="7">
        <v>1.3194787630628724</v>
      </c>
      <c r="B573"/>
      <c r="C573"/>
      <c r="D573"/>
      <c r="E573" t="s">
        <v>8</v>
      </c>
      <c r="F573" s="27" t="s">
        <v>7</v>
      </c>
      <c r="I573" s="27" t="s">
        <v>8</v>
      </c>
      <c r="J573" s="27" t="s">
        <v>7</v>
      </c>
      <c r="Q573" s="27" t="s">
        <v>8</v>
      </c>
      <c r="R573" s="27" t="s">
        <v>7</v>
      </c>
      <c r="AK573" s="27" t="s">
        <v>8</v>
      </c>
      <c r="AY573" s="27" t="s">
        <v>8</v>
      </c>
      <c r="AZ573" s="27" t="s">
        <v>7</v>
      </c>
      <c r="DY573" s="27" t="s">
        <v>8</v>
      </c>
      <c r="DZ573" s="27" t="s">
        <v>7</v>
      </c>
      <c r="EC573" s="27" t="s">
        <v>8</v>
      </c>
      <c r="ED573" s="27" t="s">
        <v>7</v>
      </c>
      <c r="EE573" s="27" t="s">
        <v>8</v>
      </c>
      <c r="GJ573" s="27" t="s">
        <v>7</v>
      </c>
      <c r="GK573" s="27" t="s">
        <v>8</v>
      </c>
      <c r="HL573" s="27" t="s">
        <v>7</v>
      </c>
      <c r="HM573" s="27" t="s">
        <v>8</v>
      </c>
      <c r="HN573" s="27" t="s">
        <v>7</v>
      </c>
      <c r="HO573" s="27" t="s">
        <v>8</v>
      </c>
      <c r="HP573" s="27" t="s">
        <v>7</v>
      </c>
      <c r="HQ573" s="27" t="s">
        <v>8</v>
      </c>
      <c r="HS573" s="27" t="s">
        <v>8</v>
      </c>
      <c r="HT573" s="27" t="s">
        <v>7</v>
      </c>
      <c r="HU573" s="27" t="s">
        <v>8</v>
      </c>
    </row>
    <row r="574" spans="1:233" x14ac:dyDescent="0.25">
      <c r="A574" s="7">
        <v>1.2936066304537963</v>
      </c>
      <c r="B574"/>
      <c r="C574"/>
      <c r="D574"/>
      <c r="E574" t="s">
        <v>8</v>
      </c>
      <c r="F574" s="27" t="s">
        <v>7</v>
      </c>
      <c r="I574" s="27" t="s">
        <v>8</v>
      </c>
      <c r="J574" s="27" t="s">
        <v>7</v>
      </c>
      <c r="Q574" s="27" t="s">
        <v>8</v>
      </c>
      <c r="R574" s="27" t="s">
        <v>7</v>
      </c>
      <c r="AK574" s="27" t="s">
        <v>8</v>
      </c>
      <c r="AL574" s="27" t="s">
        <v>7</v>
      </c>
      <c r="AY574" s="27" t="s">
        <v>8</v>
      </c>
      <c r="AZ574" s="27" t="s">
        <v>7</v>
      </c>
      <c r="DY574" s="27" t="s">
        <v>8</v>
      </c>
      <c r="DZ574" s="27" t="s">
        <v>7</v>
      </c>
      <c r="EA574" s="27" t="s">
        <v>8</v>
      </c>
      <c r="EC574" s="27" t="s">
        <v>8</v>
      </c>
      <c r="ED574" s="27" t="s">
        <v>7</v>
      </c>
      <c r="GJ574" s="27" t="s">
        <v>7</v>
      </c>
      <c r="GK574" s="27" t="s">
        <v>8</v>
      </c>
      <c r="HL574" s="27" t="s">
        <v>7</v>
      </c>
      <c r="HM574" s="27" t="s">
        <v>8</v>
      </c>
      <c r="HN574" s="27" t="s">
        <v>7</v>
      </c>
      <c r="HO574" s="27" t="s">
        <v>8</v>
      </c>
      <c r="HP574" s="27" t="s">
        <v>7</v>
      </c>
      <c r="HQ574" s="27" t="s">
        <v>8</v>
      </c>
      <c r="HR574" s="27" t="s">
        <v>7</v>
      </c>
      <c r="HS574" s="27" t="s">
        <v>8</v>
      </c>
      <c r="HT574" s="27" t="s">
        <v>7</v>
      </c>
      <c r="HU574" s="27" t="s">
        <v>8</v>
      </c>
    </row>
    <row r="575" spans="1:233" x14ac:dyDescent="0.25">
      <c r="A575" s="7">
        <v>1.2682417945625455</v>
      </c>
      <c r="B575"/>
      <c r="C575"/>
      <c r="D575"/>
      <c r="E575" t="s">
        <v>8</v>
      </c>
      <c r="F575" s="27" t="s">
        <v>7</v>
      </c>
      <c r="I575" s="27" t="s">
        <v>8</v>
      </c>
      <c r="J575" s="27" t="s">
        <v>7</v>
      </c>
      <c r="Q575" s="27" t="s">
        <v>8</v>
      </c>
      <c r="R575" s="27" t="s">
        <v>7</v>
      </c>
      <c r="AK575" s="27" t="s">
        <v>8</v>
      </c>
      <c r="AL575" s="27" t="s">
        <v>7</v>
      </c>
      <c r="AY575" s="27" t="s">
        <v>8</v>
      </c>
      <c r="AZ575" s="27" t="s">
        <v>7</v>
      </c>
      <c r="BC575" s="27" t="s">
        <v>8</v>
      </c>
      <c r="DY575" s="27" t="s">
        <v>8</v>
      </c>
      <c r="DZ575" s="27" t="s">
        <v>7</v>
      </c>
      <c r="EA575" s="27" t="s">
        <v>8</v>
      </c>
      <c r="EB575" s="27" t="s">
        <v>7</v>
      </c>
      <c r="EC575" s="27" t="s">
        <v>8</v>
      </c>
      <c r="GJ575" s="27" t="s">
        <v>7</v>
      </c>
      <c r="GK575" s="27" t="s">
        <v>8</v>
      </c>
      <c r="HL575" s="27" t="s">
        <v>7</v>
      </c>
      <c r="HM575" s="27" t="s">
        <v>8</v>
      </c>
      <c r="HN575" s="27" t="s">
        <v>7</v>
      </c>
      <c r="HP575" s="27" t="s">
        <v>7</v>
      </c>
      <c r="HQ575" s="27" t="s">
        <v>8</v>
      </c>
      <c r="HR575" s="27" t="s">
        <v>7</v>
      </c>
      <c r="HS575" s="27" t="s">
        <v>8</v>
      </c>
      <c r="HT575" s="27" t="s">
        <v>7</v>
      </c>
      <c r="HU575" s="27" t="s">
        <v>8</v>
      </c>
    </row>
    <row r="576" spans="1:233" x14ac:dyDescent="0.25">
      <c r="A576" s="7">
        <v>1.2433743083946525</v>
      </c>
      <c r="B576"/>
      <c r="C576"/>
      <c r="D576"/>
      <c r="E576" t="s">
        <v>8</v>
      </c>
      <c r="F576" s="27" t="s">
        <v>7</v>
      </c>
      <c r="I576" s="27" t="s">
        <v>8</v>
      </c>
      <c r="J576" s="27" t="s">
        <v>7</v>
      </c>
      <c r="Q576" s="27" t="s">
        <v>8</v>
      </c>
      <c r="R576" s="27" t="s">
        <v>7</v>
      </c>
      <c r="AK576" s="27" t="s">
        <v>8</v>
      </c>
      <c r="AL576" s="27" t="s">
        <v>7</v>
      </c>
      <c r="AY576" s="27" t="s">
        <v>8</v>
      </c>
      <c r="AZ576" s="27" t="s">
        <v>7</v>
      </c>
      <c r="BC576" s="27" t="s">
        <v>8</v>
      </c>
      <c r="BD576" s="27" t="s">
        <v>7</v>
      </c>
      <c r="DY576" s="27" t="s">
        <v>8</v>
      </c>
      <c r="DZ576" s="27" t="s">
        <v>7</v>
      </c>
      <c r="EA576" s="27" t="s">
        <v>8</v>
      </c>
      <c r="EB576" s="27" t="s">
        <v>7</v>
      </c>
      <c r="EC576" s="27" t="s">
        <v>8</v>
      </c>
      <c r="GJ576" s="27" t="s">
        <v>7</v>
      </c>
      <c r="GK576" s="27" t="s">
        <v>8</v>
      </c>
      <c r="HL576" s="27" t="s">
        <v>7</v>
      </c>
      <c r="HM576" s="27" t="s">
        <v>8</v>
      </c>
      <c r="HP576" s="27" t="s">
        <v>7</v>
      </c>
      <c r="HR576" s="27" t="s">
        <v>7</v>
      </c>
      <c r="HS576" s="27" t="s">
        <v>8</v>
      </c>
      <c r="HT576" s="27" t="s">
        <v>7</v>
      </c>
    </row>
    <row r="577" spans="1:226" x14ac:dyDescent="0.25">
      <c r="A577" s="7">
        <v>1.2189944199947573</v>
      </c>
      <c r="B577"/>
      <c r="C577"/>
      <c r="D577"/>
      <c r="E577" t="s">
        <v>8</v>
      </c>
      <c r="F577" s="27" t="s">
        <v>7</v>
      </c>
      <c r="I577" s="27" t="s">
        <v>8</v>
      </c>
      <c r="J577" s="27" t="s">
        <v>7</v>
      </c>
      <c r="M577" s="27" t="s">
        <v>8</v>
      </c>
      <c r="Q577" s="27" t="s">
        <v>8</v>
      </c>
      <c r="R577" s="27" t="s">
        <v>7</v>
      </c>
      <c r="U577" s="27" t="s">
        <v>8</v>
      </c>
      <c r="AK577" s="27" t="s">
        <v>8</v>
      </c>
      <c r="AL577" s="27" t="s">
        <v>7</v>
      </c>
      <c r="AY577" s="27" t="s">
        <v>8</v>
      </c>
      <c r="AZ577" s="27" t="s">
        <v>7</v>
      </c>
      <c r="BA577" s="27" t="s">
        <v>8</v>
      </c>
      <c r="BC577" s="27" t="s">
        <v>8</v>
      </c>
      <c r="BD577" s="27" t="s">
        <v>7</v>
      </c>
      <c r="DY577" s="27" t="s">
        <v>8</v>
      </c>
      <c r="DZ577" s="27" t="s">
        <v>7</v>
      </c>
      <c r="EA577" s="27" t="s">
        <v>8</v>
      </c>
      <c r="EB577" s="27" t="s">
        <v>7</v>
      </c>
      <c r="EC577" s="27" t="s">
        <v>8</v>
      </c>
      <c r="GJ577" s="27" t="s">
        <v>7</v>
      </c>
      <c r="HL577" s="27" t="s">
        <v>7</v>
      </c>
      <c r="HM577" s="27" t="s">
        <v>8</v>
      </c>
      <c r="HR577" s="27" t="s">
        <v>7</v>
      </c>
    </row>
    <row r="578" spans="1:226" x14ac:dyDescent="0.25">
      <c r="A578" s="7">
        <v>1.1950925686223111</v>
      </c>
      <c r="B578"/>
      <c r="C578"/>
      <c r="D578"/>
      <c r="E578" t="s">
        <v>8</v>
      </c>
      <c r="F578" s="27" t="s">
        <v>7</v>
      </c>
      <c r="I578" s="27" t="s">
        <v>8</v>
      </c>
      <c r="J578" s="27" t="s">
        <v>7</v>
      </c>
      <c r="M578" s="27" t="s">
        <v>8</v>
      </c>
      <c r="N578" s="27" t="s">
        <v>7</v>
      </c>
      <c r="Q578" s="27" t="s">
        <v>8</v>
      </c>
      <c r="R578" s="27" t="s">
        <v>7</v>
      </c>
      <c r="S578" s="27" t="s">
        <v>8</v>
      </c>
      <c r="U578" s="27" t="s">
        <v>8</v>
      </c>
      <c r="V578" s="27" t="s">
        <v>7</v>
      </c>
      <c r="AK578" s="27" t="s">
        <v>8</v>
      </c>
      <c r="AL578" s="27" t="s">
        <v>7</v>
      </c>
      <c r="AM578" s="27" t="s">
        <v>8</v>
      </c>
      <c r="AY578" s="27" t="s">
        <v>8</v>
      </c>
      <c r="AZ578" s="27" t="s">
        <v>7</v>
      </c>
      <c r="BA578" s="27" t="s">
        <v>8</v>
      </c>
      <c r="BB578" s="27" t="s">
        <v>7</v>
      </c>
      <c r="BC578" s="27" t="s">
        <v>8</v>
      </c>
      <c r="BD578" s="27" t="s">
        <v>7</v>
      </c>
      <c r="DM578" s="27" t="s">
        <v>8</v>
      </c>
      <c r="DU578" s="27" t="s">
        <v>8</v>
      </c>
      <c r="DY578" s="27" t="s">
        <v>8</v>
      </c>
      <c r="DZ578" s="27" t="s">
        <v>7</v>
      </c>
      <c r="EA578" s="27" t="s">
        <v>8</v>
      </c>
      <c r="EB578" s="27" t="s">
        <v>7</v>
      </c>
      <c r="HL578" s="27" t="s">
        <v>7</v>
      </c>
      <c r="HM578" s="27" t="s">
        <v>8</v>
      </c>
    </row>
    <row r="579" spans="1:226" x14ac:dyDescent="0.25">
      <c r="A579" s="7">
        <v>1.1716593810022657</v>
      </c>
      <c r="B579"/>
      <c r="C579"/>
      <c r="D579"/>
      <c r="E579" t="s">
        <v>8</v>
      </c>
      <c r="F579" s="27" t="s">
        <v>7</v>
      </c>
      <c r="I579" s="27" t="s">
        <v>8</v>
      </c>
      <c r="J579" s="27" t="s">
        <v>7</v>
      </c>
      <c r="K579" s="27" t="s">
        <v>8</v>
      </c>
      <c r="M579" s="27" t="s">
        <v>8</v>
      </c>
      <c r="N579" s="27" t="s">
        <v>7</v>
      </c>
      <c r="Q579" s="27" t="s">
        <v>8</v>
      </c>
      <c r="R579" s="27" t="s">
        <v>7</v>
      </c>
      <c r="S579" s="27" t="s">
        <v>8</v>
      </c>
      <c r="T579" s="27" t="s">
        <v>7</v>
      </c>
      <c r="U579" s="27" t="s">
        <v>8</v>
      </c>
      <c r="V579" s="27" t="s">
        <v>7</v>
      </c>
      <c r="AK579" s="27" t="s">
        <v>8</v>
      </c>
      <c r="AL579" s="27" t="s">
        <v>7</v>
      </c>
      <c r="AM579" s="27" t="s">
        <v>8</v>
      </c>
      <c r="AN579" s="27" t="s">
        <v>7</v>
      </c>
      <c r="AY579" s="27" t="s">
        <v>8</v>
      </c>
      <c r="AZ579" s="27" t="s">
        <v>7</v>
      </c>
      <c r="BA579" s="27" t="s">
        <v>8</v>
      </c>
      <c r="BB579" s="27" t="s">
        <v>7</v>
      </c>
      <c r="BC579" s="27" t="s">
        <v>8</v>
      </c>
      <c r="BD579" s="27" t="s">
        <v>7</v>
      </c>
      <c r="DI579" s="27" t="s">
        <v>8</v>
      </c>
      <c r="DK579" s="27" t="s">
        <v>8</v>
      </c>
      <c r="DM579" s="27" t="s">
        <v>8</v>
      </c>
      <c r="DN579" s="27" t="s">
        <v>7</v>
      </c>
      <c r="DU579" s="27" t="s">
        <v>8</v>
      </c>
      <c r="DV579" s="27" t="s">
        <v>7</v>
      </c>
      <c r="DY579" s="27" t="s">
        <v>8</v>
      </c>
      <c r="DZ579" s="27" t="s">
        <v>7</v>
      </c>
      <c r="EA579" s="27" t="s">
        <v>8</v>
      </c>
      <c r="HL579" s="27" t="s">
        <v>7</v>
      </c>
      <c r="HM579" s="27" t="s">
        <v>8</v>
      </c>
    </row>
    <row r="580" spans="1:226" x14ac:dyDescent="0.25">
      <c r="A580" s="7">
        <v>1.14868566764928</v>
      </c>
      <c r="B580"/>
      <c r="C580"/>
      <c r="D580"/>
      <c r="E580" t="s">
        <v>8</v>
      </c>
      <c r="F580" s="27" t="s">
        <v>7</v>
      </c>
      <c r="I580" s="27" t="s">
        <v>8</v>
      </c>
      <c r="J580" s="27" t="s">
        <v>7</v>
      </c>
      <c r="K580" s="27" t="s">
        <v>8</v>
      </c>
      <c r="L580" s="27" t="s">
        <v>7</v>
      </c>
      <c r="M580" s="27" t="s">
        <v>8</v>
      </c>
      <c r="N580" s="27" t="s">
        <v>7</v>
      </c>
      <c r="O580" s="27" t="s">
        <v>8</v>
      </c>
      <c r="Q580" s="27" t="s">
        <v>8</v>
      </c>
      <c r="R580" s="27" t="s">
        <v>7</v>
      </c>
      <c r="S580" s="27" t="s">
        <v>8</v>
      </c>
      <c r="T580" s="27" t="s">
        <v>7</v>
      </c>
      <c r="U580" s="27" t="s">
        <v>8</v>
      </c>
      <c r="V580" s="27" t="s">
        <v>7</v>
      </c>
      <c r="AG580" s="27" t="s">
        <v>8</v>
      </c>
      <c r="AK580" s="27" t="s">
        <v>8</v>
      </c>
      <c r="AL580" s="27" t="s">
        <v>7</v>
      </c>
      <c r="AM580" s="27" t="s">
        <v>8</v>
      </c>
      <c r="AN580" s="27" t="s">
        <v>7</v>
      </c>
      <c r="AO580" s="27" t="s">
        <v>8</v>
      </c>
      <c r="AY580" s="27" t="s">
        <v>8</v>
      </c>
      <c r="AZ580" s="27" t="s">
        <v>7</v>
      </c>
      <c r="BB580" s="27" t="s">
        <v>7</v>
      </c>
      <c r="BD580" s="27" t="s">
        <v>7</v>
      </c>
      <c r="DI580" s="27" t="s">
        <v>8</v>
      </c>
      <c r="DJ580" s="27" t="s">
        <v>7</v>
      </c>
      <c r="DK580" s="27" t="s">
        <v>8</v>
      </c>
      <c r="DL580" s="27" t="s">
        <v>7</v>
      </c>
      <c r="DM580" s="27" t="s">
        <v>8</v>
      </c>
      <c r="DN580" s="27" t="s">
        <v>7</v>
      </c>
      <c r="DU580" s="27" t="s">
        <v>8</v>
      </c>
      <c r="DV580" s="27" t="s">
        <v>7</v>
      </c>
      <c r="DW580" s="27" t="s">
        <v>8</v>
      </c>
      <c r="DY580" s="27" t="s">
        <v>8</v>
      </c>
      <c r="DZ580" s="27" t="s">
        <v>7</v>
      </c>
      <c r="EA580" s="27" t="s">
        <v>8</v>
      </c>
      <c r="HL580" s="27" t="s">
        <v>7</v>
      </c>
      <c r="HM580" s="27" t="s">
        <v>8</v>
      </c>
    </row>
    <row r="581" spans="1:226" x14ac:dyDescent="0.25">
      <c r="A581" s="7">
        <v>1.1261624192640001</v>
      </c>
      <c r="B581"/>
      <c r="C581"/>
      <c r="D581"/>
      <c r="E581" t="s">
        <v>8</v>
      </c>
      <c r="F581" s="27" t="s">
        <v>7</v>
      </c>
      <c r="I581" s="27" t="s">
        <v>8</v>
      </c>
      <c r="J581" s="27" t="s">
        <v>7</v>
      </c>
      <c r="K581" s="27" t="s">
        <v>8</v>
      </c>
      <c r="L581" s="27" t="s">
        <v>7</v>
      </c>
      <c r="M581" s="27" t="s">
        <v>8</v>
      </c>
      <c r="N581" s="27" t="s">
        <v>7</v>
      </c>
      <c r="O581" s="27" t="s">
        <v>8</v>
      </c>
      <c r="P581" s="27" t="s">
        <v>7</v>
      </c>
      <c r="Q581" s="27" t="s">
        <v>8</v>
      </c>
      <c r="R581" s="27" t="s">
        <v>7</v>
      </c>
      <c r="S581" s="27" t="s">
        <v>8</v>
      </c>
      <c r="T581" s="27" t="s">
        <v>7</v>
      </c>
      <c r="U581" s="27" t="s">
        <v>8</v>
      </c>
      <c r="V581" s="27" t="s">
        <v>7</v>
      </c>
      <c r="W581" s="27" t="s">
        <v>8</v>
      </c>
      <c r="AG581" s="27" t="s">
        <v>8</v>
      </c>
      <c r="AH581" s="27" t="s">
        <v>7</v>
      </c>
      <c r="AK581" s="27" t="s">
        <v>8</v>
      </c>
      <c r="AL581" s="27" t="s">
        <v>7</v>
      </c>
      <c r="AN581" s="27" t="s">
        <v>7</v>
      </c>
      <c r="AO581" s="27" t="s">
        <v>8</v>
      </c>
      <c r="AP581" s="27" t="s">
        <v>7</v>
      </c>
      <c r="AQ581" s="27" t="s">
        <v>8</v>
      </c>
      <c r="AS581" s="27" t="s">
        <v>8</v>
      </c>
      <c r="AU581" s="27" t="s">
        <v>8</v>
      </c>
      <c r="AY581" s="27" t="s">
        <v>8</v>
      </c>
      <c r="BD581" s="27" t="s">
        <v>7</v>
      </c>
      <c r="DI581" s="27" t="s">
        <v>8</v>
      </c>
      <c r="DJ581" s="27" t="s">
        <v>7</v>
      </c>
      <c r="DK581" s="27" t="s">
        <v>8</v>
      </c>
      <c r="DL581" s="27" t="s">
        <v>7</v>
      </c>
      <c r="DM581" s="27" t="s">
        <v>8</v>
      </c>
      <c r="DN581" s="27" t="s">
        <v>7</v>
      </c>
      <c r="DU581" s="27" t="s">
        <v>8</v>
      </c>
      <c r="DV581" s="27" t="s">
        <v>7</v>
      </c>
      <c r="DW581" s="27" t="s">
        <v>8</v>
      </c>
      <c r="DX581" s="27" t="s">
        <v>7</v>
      </c>
      <c r="DY581" s="27" t="s">
        <v>8</v>
      </c>
      <c r="DZ581" s="27" t="s">
        <v>7</v>
      </c>
      <c r="EA581" s="27" t="s">
        <v>8</v>
      </c>
      <c r="HL581" s="27" t="s">
        <v>7</v>
      </c>
    </row>
    <row r="582" spans="1:226" x14ac:dyDescent="0.25">
      <c r="A582" s="7">
        <v>1.1040808032</v>
      </c>
      <c r="B582"/>
      <c r="C582"/>
      <c r="D582"/>
      <c r="E582" t="s">
        <v>8</v>
      </c>
      <c r="F582" s="27" t="s">
        <v>7</v>
      </c>
      <c r="I582" s="27" t="s">
        <v>8</v>
      </c>
      <c r="J582" s="27" t="s">
        <v>7</v>
      </c>
      <c r="K582" s="27" t="s">
        <v>8</v>
      </c>
      <c r="L582" s="27" t="s">
        <v>7</v>
      </c>
      <c r="M582" s="27" t="s">
        <v>8</v>
      </c>
      <c r="N582" s="27" t="s">
        <v>7</v>
      </c>
      <c r="O582" s="27" t="s">
        <v>8</v>
      </c>
      <c r="P582" s="27" t="s">
        <v>7</v>
      </c>
      <c r="Q582" s="27" t="s">
        <v>8</v>
      </c>
      <c r="R582" s="27" t="s">
        <v>7</v>
      </c>
      <c r="S582" s="27" t="s">
        <v>8</v>
      </c>
      <c r="T582" s="27" t="s">
        <v>7</v>
      </c>
      <c r="V582" s="27" t="s">
        <v>7</v>
      </c>
      <c r="W582" s="27" t="s">
        <v>8</v>
      </c>
      <c r="X582" s="27" t="s">
        <v>7</v>
      </c>
      <c r="Y582" s="27" t="s">
        <v>8</v>
      </c>
      <c r="AG582" s="27" t="s">
        <v>8</v>
      </c>
      <c r="AH582" s="27" t="s">
        <v>7</v>
      </c>
      <c r="AI582" s="27" t="s">
        <v>8</v>
      </c>
      <c r="AK582" s="27" t="s">
        <v>8</v>
      </c>
      <c r="AN582" s="27" t="s">
        <v>7</v>
      </c>
      <c r="AO582" s="27" t="s">
        <v>8</v>
      </c>
      <c r="AP582" s="27" t="s">
        <v>7</v>
      </c>
      <c r="AQ582" s="27" t="s">
        <v>8</v>
      </c>
      <c r="AR582" s="27" t="s">
        <v>7</v>
      </c>
      <c r="AS582" s="27" t="s">
        <v>8</v>
      </c>
      <c r="AT582" s="27" t="s">
        <v>7</v>
      </c>
      <c r="AU582" s="27" t="s">
        <v>8</v>
      </c>
      <c r="AV582" s="27" t="s">
        <v>7</v>
      </c>
      <c r="AW582" s="27" t="s">
        <v>8</v>
      </c>
      <c r="AY582" s="27" t="s">
        <v>8</v>
      </c>
      <c r="BD582" s="27" t="s">
        <v>7</v>
      </c>
      <c r="DI582" s="27" t="s">
        <v>8</v>
      </c>
      <c r="DJ582" s="27" t="s">
        <v>7</v>
      </c>
      <c r="DK582" s="27" t="s">
        <v>8</v>
      </c>
      <c r="DL582" s="27" t="s">
        <v>7</v>
      </c>
      <c r="DM582" s="27" t="s">
        <v>8</v>
      </c>
      <c r="DN582" s="27" t="s">
        <v>7</v>
      </c>
      <c r="DQ582" s="27" t="s">
        <v>8</v>
      </c>
      <c r="DU582" s="27" t="s">
        <v>8</v>
      </c>
      <c r="DV582" s="27" t="s">
        <v>7</v>
      </c>
      <c r="DW582" s="27" t="s">
        <v>8</v>
      </c>
      <c r="DX582" s="27" t="s">
        <v>7</v>
      </c>
      <c r="DY582" s="27" t="s">
        <v>8</v>
      </c>
      <c r="DZ582" s="27" t="s">
        <v>7</v>
      </c>
    </row>
    <row r="583" spans="1:226" x14ac:dyDescent="0.25">
      <c r="A583" s="7">
        <v>1.08243216</v>
      </c>
      <c r="B583"/>
      <c r="C583"/>
      <c r="D583"/>
      <c r="E583" t="s">
        <v>8</v>
      </c>
      <c r="F583" s="27" t="s">
        <v>7</v>
      </c>
      <c r="I583" s="27" t="s">
        <v>8</v>
      </c>
      <c r="J583" s="27" t="s">
        <v>7</v>
      </c>
      <c r="K583" s="27" t="s">
        <v>8</v>
      </c>
      <c r="L583" s="27" t="s">
        <v>7</v>
      </c>
      <c r="M583" s="27" t="s">
        <v>8</v>
      </c>
      <c r="N583" s="27" t="s">
        <v>7</v>
      </c>
      <c r="O583" s="27" t="s">
        <v>8</v>
      </c>
      <c r="P583" s="27" t="s">
        <v>7</v>
      </c>
      <c r="Q583" s="27" t="s">
        <v>8</v>
      </c>
      <c r="R583" s="27" t="s">
        <v>7</v>
      </c>
      <c r="S583" s="27" t="s">
        <v>8</v>
      </c>
      <c r="V583" s="27" t="s">
        <v>7</v>
      </c>
      <c r="W583" s="27" t="s">
        <v>8</v>
      </c>
      <c r="X583" s="27" t="s">
        <v>7</v>
      </c>
      <c r="Y583" s="27" t="s">
        <v>8</v>
      </c>
      <c r="Z583" s="27" t="s">
        <v>7</v>
      </c>
      <c r="AC583" s="27" t="s">
        <v>8</v>
      </c>
      <c r="AE583" s="27" t="s">
        <v>8</v>
      </c>
      <c r="AG583" s="27" t="s">
        <v>8</v>
      </c>
      <c r="AH583" s="27" t="s">
        <v>7</v>
      </c>
      <c r="AI583" s="27" t="s">
        <v>8</v>
      </c>
      <c r="AJ583" s="27" t="s">
        <v>7</v>
      </c>
      <c r="AK583" s="27" t="s">
        <v>8</v>
      </c>
      <c r="AN583" s="27" t="s">
        <v>7</v>
      </c>
      <c r="AO583" s="27" t="s">
        <v>8</v>
      </c>
      <c r="AP583" s="27" t="s">
        <v>7</v>
      </c>
      <c r="AQ583" s="27" t="s">
        <v>8</v>
      </c>
      <c r="AR583" s="27" t="s">
        <v>7</v>
      </c>
      <c r="AS583" s="27" t="s">
        <v>8</v>
      </c>
      <c r="AT583" s="27" t="s">
        <v>7</v>
      </c>
      <c r="AU583" s="27" t="s">
        <v>8</v>
      </c>
      <c r="AV583" s="27" t="s">
        <v>7</v>
      </c>
      <c r="AW583" s="27" t="s">
        <v>8</v>
      </c>
      <c r="AX583" s="27" t="s">
        <v>7</v>
      </c>
      <c r="AY583" s="27" t="s">
        <v>8</v>
      </c>
      <c r="BD583" s="27" t="s">
        <v>7</v>
      </c>
      <c r="DI583" s="27" t="s">
        <v>8</v>
      </c>
      <c r="DJ583" s="27" t="s">
        <v>7</v>
      </c>
      <c r="DK583" s="27" t="s">
        <v>8</v>
      </c>
      <c r="DL583" s="27" t="s">
        <v>7</v>
      </c>
      <c r="DM583" s="27" t="s">
        <v>8</v>
      </c>
      <c r="DN583" s="27" t="s">
        <v>7</v>
      </c>
      <c r="DQ583" s="27" t="s">
        <v>8</v>
      </c>
      <c r="DR583" s="27" t="s">
        <v>7</v>
      </c>
      <c r="DS583" s="27" t="s">
        <v>8</v>
      </c>
      <c r="DU583" s="27" t="s">
        <v>8</v>
      </c>
      <c r="DV583" s="27" t="s">
        <v>7</v>
      </c>
      <c r="DW583" s="27" t="s">
        <v>8</v>
      </c>
      <c r="DX583" s="27" t="s">
        <v>7</v>
      </c>
      <c r="DY583" s="27" t="s">
        <v>8</v>
      </c>
    </row>
    <row r="584" spans="1:226" x14ac:dyDescent="0.25">
      <c r="A584" s="7">
        <v>1.0612079999999999</v>
      </c>
      <c r="B584"/>
      <c r="C584"/>
      <c r="D584"/>
      <c r="E584" t="s">
        <v>8</v>
      </c>
      <c r="F584" s="27" t="s">
        <v>7</v>
      </c>
      <c r="I584" s="27" t="s">
        <v>8</v>
      </c>
      <c r="J584" s="27" t="s">
        <v>7</v>
      </c>
      <c r="K584" s="27" t="s">
        <v>8</v>
      </c>
      <c r="L584" s="27" t="s">
        <v>7</v>
      </c>
      <c r="M584" s="27" t="s">
        <v>8</v>
      </c>
      <c r="N584" s="27" t="s">
        <v>7</v>
      </c>
      <c r="O584" s="27" t="s">
        <v>8</v>
      </c>
      <c r="P584" s="27" t="s">
        <v>7</v>
      </c>
      <c r="R584" s="27" t="s">
        <v>7</v>
      </c>
      <c r="V584" s="27" t="s">
        <v>7</v>
      </c>
      <c r="W584" s="27" t="s">
        <v>8</v>
      </c>
      <c r="X584" s="27" t="s">
        <v>7</v>
      </c>
      <c r="Y584" s="27" t="s">
        <v>8</v>
      </c>
      <c r="Z584" s="27" t="s">
        <v>7</v>
      </c>
      <c r="AC584" s="27" t="s">
        <v>8</v>
      </c>
      <c r="AD584" s="27" t="s">
        <v>7</v>
      </c>
      <c r="AE584" s="27" t="s">
        <v>8</v>
      </c>
      <c r="AF584" s="27" t="s">
        <v>7</v>
      </c>
      <c r="AG584" s="27" t="s">
        <v>8</v>
      </c>
      <c r="AH584" s="27" t="s">
        <v>7</v>
      </c>
      <c r="AI584" s="27" t="s">
        <v>8</v>
      </c>
      <c r="AJ584" s="27" t="s">
        <v>7</v>
      </c>
      <c r="AK584" s="27" t="s">
        <v>8</v>
      </c>
      <c r="AN584" s="27" t="s">
        <v>7</v>
      </c>
      <c r="AO584" s="27" t="s">
        <v>8</v>
      </c>
      <c r="AP584" s="27" t="s">
        <v>7</v>
      </c>
      <c r="AQ584" s="27" t="s">
        <v>8</v>
      </c>
      <c r="AR584" s="27" t="s">
        <v>7</v>
      </c>
      <c r="AS584" s="27" t="s">
        <v>8</v>
      </c>
      <c r="AT584" s="27" t="s">
        <v>7</v>
      </c>
      <c r="AV584" s="27" t="s">
        <v>7</v>
      </c>
      <c r="AW584" s="27" t="s">
        <v>8</v>
      </c>
      <c r="AX584" s="27" t="s">
        <v>7</v>
      </c>
      <c r="AY584" s="27" t="s">
        <v>8</v>
      </c>
      <c r="BD584" s="27" t="s">
        <v>7</v>
      </c>
      <c r="DI584" s="27" t="s">
        <v>8</v>
      </c>
      <c r="DJ584" s="27" t="s">
        <v>7</v>
      </c>
      <c r="DK584" s="27" t="s">
        <v>8</v>
      </c>
      <c r="DL584" s="27" t="s">
        <v>7</v>
      </c>
      <c r="DN584" s="27" t="s">
        <v>7</v>
      </c>
      <c r="DO584" s="27" t="s">
        <v>8</v>
      </c>
      <c r="DQ584" s="27" t="s">
        <v>8</v>
      </c>
      <c r="DR584" s="27" t="s">
        <v>7</v>
      </c>
      <c r="DS584" s="27" t="s">
        <v>8</v>
      </c>
      <c r="DT584" s="27" t="s">
        <v>7</v>
      </c>
      <c r="DU584" s="27" t="s">
        <v>8</v>
      </c>
      <c r="DV584" s="27" t="s">
        <v>7</v>
      </c>
      <c r="DX584" s="27" t="s">
        <v>7</v>
      </c>
    </row>
    <row r="585" spans="1:226" x14ac:dyDescent="0.25">
      <c r="A585" s="7">
        <v>1.0404</v>
      </c>
      <c r="B585"/>
      <c r="C585"/>
      <c r="D585"/>
      <c r="E585" t="s">
        <v>8</v>
      </c>
      <c r="F585" s="27" t="s">
        <v>7</v>
      </c>
      <c r="I585" s="27" t="s">
        <v>8</v>
      </c>
      <c r="J585" s="27" t="s">
        <v>7</v>
      </c>
      <c r="K585" s="27" t="s">
        <v>8</v>
      </c>
      <c r="L585" s="27" t="s">
        <v>7</v>
      </c>
      <c r="N585" s="27" t="s">
        <v>7</v>
      </c>
      <c r="O585" s="27" t="s">
        <v>8</v>
      </c>
      <c r="V585" s="27" t="s">
        <v>7</v>
      </c>
      <c r="W585" s="27" t="s">
        <v>8</v>
      </c>
      <c r="X585" s="27" t="s">
        <v>7</v>
      </c>
      <c r="Y585" s="27" t="s">
        <v>8</v>
      </c>
      <c r="Z585" s="27" t="s">
        <v>7</v>
      </c>
      <c r="AC585" s="27" t="s">
        <v>8</v>
      </c>
      <c r="AD585" s="27" t="s">
        <v>7</v>
      </c>
      <c r="AE585" s="27" t="s">
        <v>8</v>
      </c>
      <c r="AF585" s="27" t="s">
        <v>7</v>
      </c>
      <c r="AG585" s="27" t="s">
        <v>8</v>
      </c>
      <c r="AH585" s="27" t="s">
        <v>7</v>
      </c>
      <c r="AI585" s="27" t="s">
        <v>8</v>
      </c>
      <c r="AJ585" s="27" t="s">
        <v>7</v>
      </c>
      <c r="AN585" s="27" t="s">
        <v>7</v>
      </c>
      <c r="AO585" s="27" t="s">
        <v>8</v>
      </c>
      <c r="AP585" s="27" t="s">
        <v>7</v>
      </c>
      <c r="AQ585" s="27" t="s">
        <v>8</v>
      </c>
      <c r="AR585" s="27" t="s">
        <v>7</v>
      </c>
      <c r="AV585" s="27" t="s">
        <v>7</v>
      </c>
      <c r="AX585" s="27" t="s">
        <v>7</v>
      </c>
      <c r="BD585" s="27" t="s">
        <v>7</v>
      </c>
      <c r="BE585" s="27" t="s">
        <v>8</v>
      </c>
      <c r="DA585" s="27" t="s">
        <v>8</v>
      </c>
      <c r="DI585" s="27" t="s">
        <v>8</v>
      </c>
      <c r="DJ585" s="27" t="s">
        <v>7</v>
      </c>
      <c r="DK585" s="27" t="s">
        <v>8</v>
      </c>
      <c r="DN585" s="27" t="s">
        <v>7</v>
      </c>
      <c r="DO585" s="27" t="s">
        <v>8</v>
      </c>
      <c r="DP585" s="27" t="s">
        <v>7</v>
      </c>
      <c r="DQ585" s="27" t="s">
        <v>8</v>
      </c>
      <c r="DR585" s="27" t="s">
        <v>7</v>
      </c>
      <c r="DS585" s="27" t="s">
        <v>8</v>
      </c>
      <c r="DT585" s="27" t="s">
        <v>7</v>
      </c>
      <c r="DU585" s="27" t="s">
        <v>8</v>
      </c>
    </row>
    <row r="586" spans="1:226" x14ac:dyDescent="0.25">
      <c r="A586" s="7">
        <v>1.02</v>
      </c>
      <c r="B586"/>
      <c r="C586"/>
      <c r="D586"/>
      <c r="E586" t="s">
        <v>8</v>
      </c>
      <c r="F586" s="27" t="s">
        <v>7</v>
      </c>
      <c r="I586" s="27" t="s">
        <v>8</v>
      </c>
      <c r="J586" s="27" t="s">
        <v>7</v>
      </c>
      <c r="K586" s="27" t="s">
        <v>8</v>
      </c>
      <c r="N586" s="27" t="s">
        <v>7</v>
      </c>
      <c r="O586" s="27" t="s">
        <v>8</v>
      </c>
      <c r="V586" s="27" t="s">
        <v>7</v>
      </c>
      <c r="W586" s="27" t="s">
        <v>8</v>
      </c>
      <c r="X586" s="27" t="s">
        <v>7</v>
      </c>
      <c r="Z586" s="27" t="s">
        <v>7</v>
      </c>
      <c r="AA586" s="27" t="s">
        <v>8</v>
      </c>
      <c r="AC586" s="27" t="s">
        <v>8</v>
      </c>
      <c r="AD586" s="27" t="s">
        <v>7</v>
      </c>
      <c r="AE586" s="27" t="s">
        <v>8</v>
      </c>
      <c r="AF586" s="27" t="s">
        <v>7</v>
      </c>
      <c r="AG586" s="27" t="s">
        <v>8</v>
      </c>
      <c r="AH586" s="27" t="s">
        <v>7</v>
      </c>
      <c r="AI586" s="27" t="s">
        <v>8</v>
      </c>
      <c r="AN586" s="27" t="s">
        <v>7</v>
      </c>
      <c r="AP586" s="27" t="s">
        <v>7</v>
      </c>
      <c r="AQ586" s="27" t="s">
        <v>8</v>
      </c>
      <c r="BD586" s="27" t="s">
        <v>7</v>
      </c>
      <c r="BE586" s="27" t="s">
        <v>8</v>
      </c>
      <c r="BF586" s="27" t="s">
        <v>7</v>
      </c>
      <c r="DA586" s="27" t="s">
        <v>8</v>
      </c>
      <c r="DB586" s="27" t="s">
        <v>7</v>
      </c>
      <c r="DI586" s="27" t="s">
        <v>8</v>
      </c>
      <c r="DJ586" s="27" t="s">
        <v>7</v>
      </c>
      <c r="DK586" s="27" t="s">
        <v>8</v>
      </c>
      <c r="DN586" s="27" t="s">
        <v>7</v>
      </c>
      <c r="DO586" s="27" t="s">
        <v>8</v>
      </c>
      <c r="DP586" s="27" t="s">
        <v>7</v>
      </c>
      <c r="DQ586" s="27" t="s">
        <v>8</v>
      </c>
      <c r="DR586" s="27" t="s">
        <v>7</v>
      </c>
      <c r="DT586" s="27" t="s">
        <v>7</v>
      </c>
      <c r="DU586" s="27" t="s">
        <v>8</v>
      </c>
    </row>
    <row r="587" spans="1:226" x14ac:dyDescent="0.25">
      <c r="A587" s="7">
        <v>1</v>
      </c>
      <c r="B587"/>
      <c r="C587"/>
      <c r="D587"/>
      <c r="E587" s="29" t="s">
        <v>8</v>
      </c>
      <c r="F587" s="27" t="s">
        <v>7</v>
      </c>
      <c r="I587" s="27" t="s">
        <v>8</v>
      </c>
      <c r="J587" s="27" t="s">
        <v>7</v>
      </c>
      <c r="K587" s="27" t="s">
        <v>8</v>
      </c>
      <c r="N587" s="27" t="s">
        <v>7</v>
      </c>
      <c r="V587" s="27" t="s">
        <v>7</v>
      </c>
      <c r="Z587" s="27" t="s">
        <v>7</v>
      </c>
      <c r="AA587" s="27" t="s">
        <v>8</v>
      </c>
      <c r="AB587" s="27" t="s">
        <v>7</v>
      </c>
      <c r="AC587" s="27" t="s">
        <v>8</v>
      </c>
      <c r="AD587" s="27" t="s">
        <v>7</v>
      </c>
      <c r="AE587" s="27" t="s">
        <v>8</v>
      </c>
      <c r="AF587" s="27" t="s">
        <v>7</v>
      </c>
      <c r="AG587" s="27" t="s">
        <v>8</v>
      </c>
      <c r="AH587" s="27" t="s">
        <v>7</v>
      </c>
      <c r="AI587" s="27" t="s">
        <v>8</v>
      </c>
      <c r="AP587" s="27" t="s">
        <v>7</v>
      </c>
      <c r="BD587" s="27" t="s">
        <v>7</v>
      </c>
      <c r="BE587" s="27" t="s">
        <v>8</v>
      </c>
      <c r="BF587" s="27" t="s">
        <v>7</v>
      </c>
      <c r="DA587" s="27" t="s">
        <v>8</v>
      </c>
      <c r="DB587" s="27" t="s">
        <v>7</v>
      </c>
      <c r="DE587" s="27" t="s">
        <v>8</v>
      </c>
      <c r="DI587" s="27" t="s">
        <v>8</v>
      </c>
      <c r="DJ587" s="27" t="s">
        <v>7</v>
      </c>
      <c r="DN587" s="27" t="s">
        <v>7</v>
      </c>
      <c r="DO587" s="27" t="s">
        <v>8</v>
      </c>
      <c r="DP587" s="27" t="s">
        <v>7</v>
      </c>
      <c r="DQ587" s="27" t="s">
        <v>8</v>
      </c>
      <c r="DT587" s="27" t="s">
        <v>7</v>
      </c>
    </row>
    <row r="588" spans="1:226" x14ac:dyDescent="0.25">
      <c r="A588" s="7">
        <v>0.98039215686274506</v>
      </c>
      <c r="B588"/>
      <c r="C588"/>
      <c r="D588"/>
      <c r="E588"/>
      <c r="F588" s="27" t="s">
        <v>7</v>
      </c>
      <c r="I588" s="27" t="s">
        <v>8</v>
      </c>
      <c r="J588" s="27" t="s">
        <v>7</v>
      </c>
      <c r="K588" s="27" t="s">
        <v>8</v>
      </c>
      <c r="Z588" s="27" t="s">
        <v>7</v>
      </c>
      <c r="AA588" s="27" t="s">
        <v>8</v>
      </c>
      <c r="AB588" s="27" t="s">
        <v>7</v>
      </c>
      <c r="AC588" s="27" t="s">
        <v>8</v>
      </c>
      <c r="AD588" s="27" t="s">
        <v>7</v>
      </c>
      <c r="AE588" s="27" t="s">
        <v>8</v>
      </c>
      <c r="AF588" s="27" t="s">
        <v>7</v>
      </c>
      <c r="AG588" s="27" t="s">
        <v>8</v>
      </c>
      <c r="AH588" s="27" t="s">
        <v>7</v>
      </c>
      <c r="BD588" s="27" t="s">
        <v>7</v>
      </c>
      <c r="BE588" s="27" t="s">
        <v>8</v>
      </c>
      <c r="BF588" s="27" t="s">
        <v>7</v>
      </c>
      <c r="BQ588" s="27" t="s">
        <v>8</v>
      </c>
      <c r="DA588" s="27" t="s">
        <v>8</v>
      </c>
      <c r="DB588" s="27" t="s">
        <v>7</v>
      </c>
      <c r="DE588" s="27" t="s">
        <v>8</v>
      </c>
      <c r="DF588" s="27" t="s">
        <v>7</v>
      </c>
      <c r="DI588" s="27" t="s">
        <v>8</v>
      </c>
      <c r="DN588" s="27" t="s">
        <v>7</v>
      </c>
      <c r="DO588" s="27" t="s">
        <v>8</v>
      </c>
      <c r="DP588" s="27" t="s">
        <v>7</v>
      </c>
      <c r="DQ588" s="27" t="s">
        <v>8</v>
      </c>
    </row>
    <row r="589" spans="1:226" x14ac:dyDescent="0.25">
      <c r="A589" s="7">
        <v>0.96116878123798544</v>
      </c>
      <c r="B589"/>
      <c r="C589"/>
      <c r="D589"/>
      <c r="E589"/>
      <c r="F589" s="27" t="s">
        <v>7</v>
      </c>
      <c r="G589" s="27" t="s">
        <v>8</v>
      </c>
      <c r="I589" s="27" t="s">
        <v>8</v>
      </c>
      <c r="J589" s="27" t="s">
        <v>7</v>
      </c>
      <c r="Z589" s="27" t="s">
        <v>7</v>
      </c>
      <c r="AA589" s="27" t="s">
        <v>8</v>
      </c>
      <c r="AB589" s="27" t="s">
        <v>7</v>
      </c>
      <c r="AC589" s="27" t="s">
        <v>8</v>
      </c>
      <c r="AD589" s="27" t="s">
        <v>7</v>
      </c>
      <c r="AF589" s="27" t="s">
        <v>7</v>
      </c>
      <c r="AG589" s="27" t="s">
        <v>8</v>
      </c>
      <c r="BD589" s="27" t="s">
        <v>7</v>
      </c>
      <c r="BE589" s="27" t="s">
        <v>8</v>
      </c>
      <c r="BF589" s="27" t="s">
        <v>7</v>
      </c>
      <c r="BI589" s="27" t="s">
        <v>8</v>
      </c>
      <c r="BO589" s="27" t="s">
        <v>8</v>
      </c>
      <c r="BQ589" s="27" t="s">
        <v>8</v>
      </c>
      <c r="BR589" s="27" t="s">
        <v>7</v>
      </c>
      <c r="DA589" s="27" t="s">
        <v>8</v>
      </c>
      <c r="DB589" s="27" t="s">
        <v>7</v>
      </c>
      <c r="DC589" s="27" t="s">
        <v>8</v>
      </c>
      <c r="DE589" s="27" t="s">
        <v>8</v>
      </c>
      <c r="DF589" s="27" t="s">
        <v>7</v>
      </c>
      <c r="DI589" s="27" t="s">
        <v>8</v>
      </c>
      <c r="DN589" s="27" t="s">
        <v>7</v>
      </c>
      <c r="DO589" s="27" t="s">
        <v>8</v>
      </c>
      <c r="DP589" s="27" t="s">
        <v>7</v>
      </c>
      <c r="DQ589" s="27" t="s">
        <v>8</v>
      </c>
    </row>
    <row r="590" spans="1:226" x14ac:dyDescent="0.25">
      <c r="A590" s="7">
        <v>0.94232233454704462</v>
      </c>
      <c r="B590"/>
      <c r="C590"/>
      <c r="D590"/>
      <c r="E590"/>
      <c r="F590" s="27" t="s">
        <v>7</v>
      </c>
      <c r="G590" s="27" t="s">
        <v>8</v>
      </c>
      <c r="H590" s="27" t="s">
        <v>7</v>
      </c>
      <c r="I590" s="27" t="s">
        <v>8</v>
      </c>
      <c r="Z590" s="27" t="s">
        <v>7</v>
      </c>
      <c r="AA590" s="27" t="s">
        <v>8</v>
      </c>
      <c r="AB590" s="27" t="s">
        <v>7</v>
      </c>
      <c r="AC590" s="27" t="s">
        <v>8</v>
      </c>
      <c r="AF590" s="27" t="s">
        <v>7</v>
      </c>
      <c r="AG590" s="27" t="s">
        <v>8</v>
      </c>
      <c r="BD590" s="27" t="s">
        <v>7</v>
      </c>
      <c r="BE590" s="27" t="s">
        <v>8</v>
      </c>
      <c r="BF590" s="27" t="s">
        <v>7</v>
      </c>
      <c r="BI590" s="27" t="s">
        <v>8</v>
      </c>
      <c r="BJ590" s="27" t="s">
        <v>7</v>
      </c>
      <c r="BO590" s="27" t="s">
        <v>8</v>
      </c>
      <c r="BP590" s="27" t="s">
        <v>7</v>
      </c>
      <c r="BQ590" s="27" t="s">
        <v>8</v>
      </c>
      <c r="BR590" s="27" t="s">
        <v>7</v>
      </c>
      <c r="DA590" s="27" t="s">
        <v>8</v>
      </c>
      <c r="DB590" s="27" t="s">
        <v>7</v>
      </c>
      <c r="DC590" s="27" t="s">
        <v>8</v>
      </c>
      <c r="DD590" s="27" t="s">
        <v>7</v>
      </c>
      <c r="DE590" s="27" t="s">
        <v>8</v>
      </c>
      <c r="DF590" s="27" t="s">
        <v>7</v>
      </c>
      <c r="DI590" s="27" t="s">
        <v>8</v>
      </c>
      <c r="DN590" s="27" t="s">
        <v>7</v>
      </c>
      <c r="DO590" s="27" t="s">
        <v>8</v>
      </c>
      <c r="DP590" s="27" t="s">
        <v>7</v>
      </c>
      <c r="DQ590" s="27" t="s">
        <v>8</v>
      </c>
    </row>
    <row r="591" spans="1:226" x14ac:dyDescent="0.25">
      <c r="A591" s="7">
        <v>0.92384542602651432</v>
      </c>
      <c r="B591"/>
      <c r="C591"/>
      <c r="D591"/>
      <c r="E591"/>
      <c r="F591" s="27" t="s">
        <v>7</v>
      </c>
      <c r="G591" s="27" t="s">
        <v>8</v>
      </c>
      <c r="H591" s="27" t="s">
        <v>7</v>
      </c>
      <c r="I591" s="27" t="s">
        <v>8</v>
      </c>
      <c r="Z591" s="27" t="s">
        <v>7</v>
      </c>
      <c r="AA591" s="27" t="s">
        <v>8</v>
      </c>
      <c r="AB591" s="27" t="s">
        <v>7</v>
      </c>
      <c r="AC591" s="27" t="s">
        <v>8</v>
      </c>
      <c r="AF591" s="27" t="s">
        <v>7</v>
      </c>
      <c r="BD591" s="27" t="s">
        <v>7</v>
      </c>
      <c r="BF591" s="27" t="s">
        <v>7</v>
      </c>
      <c r="BG591" s="27" t="s">
        <v>8</v>
      </c>
      <c r="BI591" s="27" t="s">
        <v>8</v>
      </c>
      <c r="BJ591" s="27" t="s">
        <v>7</v>
      </c>
      <c r="BM591" s="27" t="s">
        <v>8</v>
      </c>
      <c r="BO591" s="27" t="s">
        <v>8</v>
      </c>
      <c r="BP591" s="27" t="s">
        <v>7</v>
      </c>
      <c r="BQ591" s="27" t="s">
        <v>8</v>
      </c>
      <c r="BR591" s="27" t="s">
        <v>7</v>
      </c>
      <c r="DA591" s="27" t="s">
        <v>8</v>
      </c>
      <c r="DB591" s="27" t="s">
        <v>7</v>
      </c>
      <c r="DC591" s="27" t="s">
        <v>8</v>
      </c>
      <c r="DD591" s="27" t="s">
        <v>7</v>
      </c>
      <c r="DE591" s="27" t="s">
        <v>8</v>
      </c>
      <c r="DF591" s="27" t="s">
        <v>7</v>
      </c>
      <c r="DI591" s="27" t="s">
        <v>8</v>
      </c>
      <c r="DN591" s="27" t="s">
        <v>7</v>
      </c>
      <c r="DO591" s="27" t="s">
        <v>8</v>
      </c>
      <c r="DP591" s="27" t="s">
        <v>7</v>
      </c>
      <c r="DQ591" s="27" t="s">
        <v>8</v>
      </c>
    </row>
    <row r="592" spans="1:226" x14ac:dyDescent="0.25">
      <c r="A592" s="7">
        <v>0.90573080982991594</v>
      </c>
      <c r="B592"/>
      <c r="C592"/>
      <c r="D592"/>
      <c r="E592"/>
      <c r="F592" s="27" t="s">
        <v>7</v>
      </c>
      <c r="G592" s="27" t="s">
        <v>8</v>
      </c>
      <c r="H592" s="27" t="s">
        <v>7</v>
      </c>
      <c r="I592" s="27" t="s">
        <v>8</v>
      </c>
      <c r="Z592" s="27" t="s">
        <v>7</v>
      </c>
      <c r="AA592" s="27" t="s">
        <v>8</v>
      </c>
      <c r="AB592" s="27" t="s">
        <v>7</v>
      </c>
      <c r="AC592" s="27" t="s">
        <v>8</v>
      </c>
      <c r="BF592" s="27" t="s">
        <v>7</v>
      </c>
      <c r="BG592" s="27" t="s">
        <v>8</v>
      </c>
      <c r="BH592" s="27" t="s">
        <v>7</v>
      </c>
      <c r="BI592" s="27" t="s">
        <v>8</v>
      </c>
      <c r="BJ592" s="27" t="s">
        <v>7</v>
      </c>
      <c r="BM592" s="27" t="s">
        <v>8</v>
      </c>
      <c r="BN592" s="27" t="s">
        <v>7</v>
      </c>
      <c r="BO592" s="27" t="s">
        <v>8</v>
      </c>
      <c r="BP592" s="27" t="s">
        <v>7</v>
      </c>
      <c r="BQ592" s="27" t="s">
        <v>8</v>
      </c>
      <c r="BR592" s="27" t="s">
        <v>7</v>
      </c>
      <c r="DA592" s="27" t="s">
        <v>8</v>
      </c>
      <c r="DB592" s="27" t="s">
        <v>7</v>
      </c>
      <c r="DC592" s="27" t="s">
        <v>8</v>
      </c>
      <c r="DD592" s="27" t="s">
        <v>7</v>
      </c>
      <c r="DE592" s="27" t="s">
        <v>8</v>
      </c>
      <c r="DF592" s="27" t="s">
        <v>7</v>
      </c>
      <c r="DG592" s="27" t="s">
        <v>8</v>
      </c>
      <c r="DI592" s="27" t="s">
        <v>8</v>
      </c>
      <c r="DN592" s="27" t="s">
        <v>7</v>
      </c>
      <c r="DP592" s="27" t="s">
        <v>7</v>
      </c>
      <c r="DQ592" s="27" t="s">
        <v>8</v>
      </c>
    </row>
    <row r="593" spans="1:120" x14ac:dyDescent="0.25">
      <c r="A593" s="7">
        <v>0.8879713821861922</v>
      </c>
      <c r="B593"/>
      <c r="C593"/>
      <c r="D593"/>
      <c r="E593"/>
      <c r="F593" s="27" t="s">
        <v>7</v>
      </c>
      <c r="G593" s="27" t="s">
        <v>8</v>
      </c>
      <c r="H593" s="27" t="s">
        <v>7</v>
      </c>
      <c r="I593" s="27" t="s">
        <v>8</v>
      </c>
      <c r="Z593" s="27" t="s">
        <v>7</v>
      </c>
      <c r="AB593" s="27" t="s">
        <v>7</v>
      </c>
      <c r="AC593" s="27" t="s">
        <v>8</v>
      </c>
      <c r="BF593" s="27" t="s">
        <v>7</v>
      </c>
      <c r="BG593" s="27" t="s">
        <v>8</v>
      </c>
      <c r="BH593" s="27" t="s">
        <v>7</v>
      </c>
      <c r="BI593" s="27" t="s">
        <v>8</v>
      </c>
      <c r="BJ593" s="27" t="s">
        <v>7</v>
      </c>
      <c r="BM593" s="27" t="s">
        <v>8</v>
      </c>
      <c r="BN593" s="27" t="s">
        <v>7</v>
      </c>
      <c r="BO593" s="27" t="s">
        <v>8</v>
      </c>
      <c r="BP593" s="27" t="s">
        <v>7</v>
      </c>
      <c r="BQ593" s="27" t="s">
        <v>8</v>
      </c>
      <c r="BR593" s="27" t="s">
        <v>7</v>
      </c>
      <c r="DA593" s="27" t="s">
        <v>8</v>
      </c>
      <c r="DB593" s="27" t="s">
        <v>7</v>
      </c>
      <c r="DC593" s="27" t="s">
        <v>8</v>
      </c>
      <c r="DD593" s="27" t="s">
        <v>7</v>
      </c>
      <c r="DE593" s="27" t="s">
        <v>8</v>
      </c>
      <c r="DF593" s="27" t="s">
        <v>7</v>
      </c>
      <c r="DG593" s="27" t="s">
        <v>8</v>
      </c>
      <c r="DH593" s="27" t="s">
        <v>7</v>
      </c>
      <c r="DI593" s="27" t="s">
        <v>8</v>
      </c>
      <c r="DP593" s="27" t="s">
        <v>7</v>
      </c>
    </row>
    <row r="594" spans="1:120" x14ac:dyDescent="0.25">
      <c r="A594" s="7">
        <v>0.87056017861391399</v>
      </c>
      <c r="B594"/>
      <c r="C594"/>
      <c r="D594"/>
      <c r="E594"/>
      <c r="F594" s="27" t="s">
        <v>7</v>
      </c>
      <c r="G594" s="27" t="s">
        <v>8</v>
      </c>
      <c r="H594" s="27" t="s">
        <v>7</v>
      </c>
      <c r="I594" s="27" t="s">
        <v>8</v>
      </c>
      <c r="AB594" s="27" t="s">
        <v>7</v>
      </c>
      <c r="AC594" s="27" t="s">
        <v>8</v>
      </c>
      <c r="BF594" s="27" t="s">
        <v>7</v>
      </c>
      <c r="BG594" s="27" t="s">
        <v>8</v>
      </c>
      <c r="BH594" s="27" t="s">
        <v>7</v>
      </c>
      <c r="BJ594" s="27" t="s">
        <v>7</v>
      </c>
      <c r="BK594" s="27" t="s">
        <v>8</v>
      </c>
      <c r="BM594" s="27" t="s">
        <v>8</v>
      </c>
      <c r="BN594" s="27" t="s">
        <v>7</v>
      </c>
      <c r="BP594" s="27" t="s">
        <v>7</v>
      </c>
      <c r="BQ594" s="27" t="s">
        <v>8</v>
      </c>
      <c r="BR594" s="27" t="s">
        <v>7</v>
      </c>
      <c r="DA594" s="27" t="s">
        <v>8</v>
      </c>
      <c r="DB594" s="27" t="s">
        <v>7</v>
      </c>
      <c r="DC594" s="27" t="s">
        <v>8</v>
      </c>
      <c r="DD594" s="27" t="s">
        <v>7</v>
      </c>
      <c r="DE594" s="27" t="s">
        <v>8</v>
      </c>
      <c r="DF594" s="27" t="s">
        <v>7</v>
      </c>
      <c r="DG594" s="27" t="s">
        <v>8</v>
      </c>
      <c r="DH594" s="27" t="s">
        <v>7</v>
      </c>
      <c r="DI594" s="27" t="s">
        <v>8</v>
      </c>
    </row>
    <row r="595" spans="1:120" x14ac:dyDescent="0.25">
      <c r="A595" s="7">
        <v>0.85349037119011173</v>
      </c>
      <c r="B595"/>
      <c r="C595"/>
      <c r="D595"/>
      <c r="E595"/>
      <c r="F595" s="27" t="s">
        <v>7</v>
      </c>
      <c r="G595" s="27" t="s">
        <v>8</v>
      </c>
      <c r="H595" s="27" t="s">
        <v>7</v>
      </c>
      <c r="I595" s="27" t="s">
        <v>8</v>
      </c>
      <c r="AB595" s="27" t="s">
        <v>7</v>
      </c>
      <c r="AC595" s="27" t="s">
        <v>8</v>
      </c>
      <c r="BF595" s="27" t="s">
        <v>7</v>
      </c>
      <c r="BG595" s="27" t="s">
        <v>8</v>
      </c>
      <c r="BJ595" s="27" t="s">
        <v>7</v>
      </c>
      <c r="BK595" s="27" t="s">
        <v>8</v>
      </c>
      <c r="BL595" s="27" t="s">
        <v>7</v>
      </c>
      <c r="BM595" s="27" t="s">
        <v>8</v>
      </c>
      <c r="BP595" s="27" t="s">
        <v>7</v>
      </c>
      <c r="BQ595" s="27" t="s">
        <v>8</v>
      </c>
      <c r="BR595" s="27" t="s">
        <v>7</v>
      </c>
      <c r="DA595" s="27" t="s">
        <v>8</v>
      </c>
      <c r="DB595" s="27" t="s">
        <v>7</v>
      </c>
      <c r="DC595" s="27" t="s">
        <v>8</v>
      </c>
      <c r="DD595" s="27" t="s">
        <v>7</v>
      </c>
      <c r="DE595" s="27" t="s">
        <v>8</v>
      </c>
      <c r="DF595" s="27" t="s">
        <v>7</v>
      </c>
      <c r="DG595" s="27" t="s">
        <v>8</v>
      </c>
      <c r="DH595" s="27" t="s">
        <v>7</v>
      </c>
      <c r="DI595" s="27" t="s">
        <v>8</v>
      </c>
    </row>
    <row r="596" spans="1:120" x14ac:dyDescent="0.25">
      <c r="A596" s="7">
        <v>0.83675526587265858</v>
      </c>
      <c r="B596"/>
      <c r="C596"/>
      <c r="D596"/>
      <c r="E596"/>
      <c r="F596" s="27" t="s">
        <v>7</v>
      </c>
      <c r="G596" s="27" t="s">
        <v>8</v>
      </c>
      <c r="H596" s="27" t="s">
        <v>7</v>
      </c>
      <c r="I596" s="27" t="s">
        <v>8</v>
      </c>
      <c r="AB596" s="27" t="s">
        <v>7</v>
      </c>
      <c r="AC596" s="27" t="s">
        <v>8</v>
      </c>
      <c r="BF596" s="27" t="s">
        <v>7</v>
      </c>
      <c r="BJ596" s="27" t="s">
        <v>7</v>
      </c>
      <c r="BK596" s="27" t="s">
        <v>8</v>
      </c>
      <c r="BL596" s="27" t="s">
        <v>7</v>
      </c>
      <c r="BM596" s="27" t="s">
        <v>8</v>
      </c>
      <c r="BP596" s="27" t="s">
        <v>7</v>
      </c>
      <c r="BQ596" s="27" t="s">
        <v>8</v>
      </c>
      <c r="BR596" s="27" t="s">
        <v>7</v>
      </c>
      <c r="DA596" s="27" t="s">
        <v>8</v>
      </c>
      <c r="DB596" s="27" t="s">
        <v>7</v>
      </c>
      <c r="DC596" s="27" t="s">
        <v>8</v>
      </c>
      <c r="DD596" s="27" t="s">
        <v>7</v>
      </c>
      <c r="DF596" s="27" t="s">
        <v>7</v>
      </c>
      <c r="DH596" s="27" t="s">
        <v>7</v>
      </c>
      <c r="DI596" s="27" t="s">
        <v>8</v>
      </c>
    </row>
    <row r="597" spans="1:120" x14ac:dyDescent="0.25">
      <c r="A597" s="7">
        <v>0.82034829987515545</v>
      </c>
      <c r="B597"/>
      <c r="C597"/>
      <c r="D597"/>
      <c r="E597"/>
      <c r="F597" s="27" t="s">
        <v>7</v>
      </c>
      <c r="G597" s="27" t="s">
        <v>8</v>
      </c>
      <c r="H597" s="27" t="s">
        <v>7</v>
      </c>
      <c r="I597" s="27" t="s">
        <v>8</v>
      </c>
      <c r="AB597" s="27" t="s">
        <v>7</v>
      </c>
      <c r="AC597" s="27" t="s">
        <v>8</v>
      </c>
      <c r="BJ597" s="27" t="s">
        <v>7</v>
      </c>
      <c r="BK597" s="27" t="s">
        <v>8</v>
      </c>
      <c r="BL597" s="27" t="s">
        <v>7</v>
      </c>
      <c r="BM597" s="27" t="s">
        <v>8</v>
      </c>
      <c r="BP597" s="27" t="s">
        <v>7</v>
      </c>
      <c r="BQ597" s="27" t="s">
        <v>8</v>
      </c>
      <c r="BR597" s="27" t="s">
        <v>7</v>
      </c>
      <c r="DA597" s="27" t="s">
        <v>8</v>
      </c>
      <c r="DB597" s="27" t="s">
        <v>7</v>
      </c>
      <c r="DC597" s="27" t="s">
        <v>8</v>
      </c>
      <c r="DH597" s="27" t="s">
        <v>7</v>
      </c>
    </row>
    <row r="598" spans="1:120" x14ac:dyDescent="0.25">
      <c r="A598" s="7">
        <v>0.80426303909328967</v>
      </c>
      <c r="B598"/>
      <c r="C598"/>
      <c r="D598"/>
      <c r="E598"/>
      <c r="F598" s="27" t="s">
        <v>7</v>
      </c>
      <c r="G598" s="27" t="s">
        <v>8</v>
      </c>
      <c r="H598" s="27" t="s">
        <v>7</v>
      </c>
      <c r="I598" s="27" t="s">
        <v>8</v>
      </c>
      <c r="AB598" s="27" t="s">
        <v>7</v>
      </c>
      <c r="AC598" s="27" t="s">
        <v>8</v>
      </c>
      <c r="BJ598" s="27" t="s">
        <v>7</v>
      </c>
      <c r="BK598" s="27" t="s">
        <v>8</v>
      </c>
      <c r="BL598" s="27" t="s">
        <v>7</v>
      </c>
      <c r="BM598" s="27" t="s">
        <v>8</v>
      </c>
      <c r="BP598" s="27" t="s">
        <v>7</v>
      </c>
      <c r="BQ598" s="27" t="s">
        <v>8</v>
      </c>
      <c r="BR598" s="27" t="s">
        <v>7</v>
      </c>
      <c r="DA598" s="27" t="s">
        <v>8</v>
      </c>
      <c r="DB598" s="27" t="s">
        <v>7</v>
      </c>
      <c r="DC598" s="27" t="s">
        <v>8</v>
      </c>
    </row>
    <row r="599" spans="1:120" x14ac:dyDescent="0.25">
      <c r="A599" s="7">
        <v>0.78849317558165644</v>
      </c>
      <c r="B599"/>
      <c r="C599"/>
      <c r="D599"/>
      <c r="E599"/>
      <c r="F599" s="27" t="s">
        <v>7</v>
      </c>
      <c r="G599" s="27" t="s">
        <v>8</v>
      </c>
      <c r="H599" s="27" t="s">
        <v>7</v>
      </c>
      <c r="I599" s="27" t="s">
        <v>8</v>
      </c>
      <c r="AB599" s="27" t="s">
        <v>7</v>
      </c>
      <c r="BJ599" s="27" t="s">
        <v>7</v>
      </c>
      <c r="BK599" s="27" t="s">
        <v>8</v>
      </c>
      <c r="BL599" s="27" t="s">
        <v>7</v>
      </c>
      <c r="BP599" s="27" t="s">
        <v>7</v>
      </c>
      <c r="BQ599" s="27" t="s">
        <v>8</v>
      </c>
      <c r="BR599" s="27" t="s">
        <v>7</v>
      </c>
      <c r="DA599" s="27" t="s">
        <v>8</v>
      </c>
      <c r="DB599" s="27" t="s">
        <v>7</v>
      </c>
      <c r="DC599" s="27" t="s">
        <v>8</v>
      </c>
    </row>
    <row r="600" spans="1:120" x14ac:dyDescent="0.25">
      <c r="A600" s="7">
        <v>0.77303252508005538</v>
      </c>
      <c r="B600"/>
      <c r="C600"/>
      <c r="D600"/>
      <c r="E600"/>
      <c r="F600" s="27" t="s">
        <v>7</v>
      </c>
      <c r="G600" s="27" t="s">
        <v>8</v>
      </c>
      <c r="H600" s="27" t="s">
        <v>7</v>
      </c>
      <c r="BJ600" s="27" t="s">
        <v>7</v>
      </c>
      <c r="BP600" s="27" t="s">
        <v>7</v>
      </c>
      <c r="BR600" s="27" t="s">
        <v>7</v>
      </c>
      <c r="DA600" s="27" t="s">
        <v>8</v>
      </c>
      <c r="DB600" s="27" t="s">
        <v>7</v>
      </c>
      <c r="DC600" s="27" t="s">
        <v>8</v>
      </c>
    </row>
    <row r="601" spans="1:120" x14ac:dyDescent="0.25">
      <c r="A601" s="7">
        <v>0.75787502458828959</v>
      </c>
      <c r="B601"/>
      <c r="C601"/>
      <c r="D601"/>
      <c r="E601"/>
      <c r="F601" s="27" t="s">
        <v>7</v>
      </c>
      <c r="G601" s="27" t="s">
        <v>8</v>
      </c>
      <c r="BR601" s="27" t="s">
        <v>7</v>
      </c>
      <c r="DA601" s="27" t="s">
        <v>8</v>
      </c>
      <c r="DB601" s="27" t="s">
        <v>7</v>
      </c>
      <c r="DC601" s="27" t="s">
        <v>8</v>
      </c>
    </row>
    <row r="602" spans="1:120" x14ac:dyDescent="0.25">
      <c r="A602" s="7">
        <v>0.74301472998851925</v>
      </c>
      <c r="B602"/>
      <c r="C602"/>
      <c r="D602"/>
      <c r="E602"/>
      <c r="F602" s="27" t="s">
        <v>7</v>
      </c>
      <c r="BR602" s="27" t="s">
        <v>7</v>
      </c>
      <c r="DA602" s="27" t="s">
        <v>8</v>
      </c>
      <c r="DB602" s="27" t="s">
        <v>7</v>
      </c>
    </row>
    <row r="603" spans="1:120" x14ac:dyDescent="0.25">
      <c r="A603" s="7">
        <v>0.72844581371423456</v>
      </c>
      <c r="B603"/>
      <c r="C603"/>
      <c r="D603"/>
      <c r="E603"/>
      <c r="BR603" s="27" t="s">
        <v>7</v>
      </c>
      <c r="CY603" s="27" t="s">
        <v>8</v>
      </c>
      <c r="DA603" s="27" t="s">
        <v>8</v>
      </c>
    </row>
    <row r="604" spans="1:120" x14ac:dyDescent="0.25">
      <c r="A604" s="7">
        <v>0.71416256246493581</v>
      </c>
      <c r="B604"/>
      <c r="C604"/>
      <c r="D604"/>
      <c r="E604"/>
      <c r="BR604" s="27" t="s">
        <v>7</v>
      </c>
      <c r="CY604" s="27" t="s">
        <v>8</v>
      </c>
      <c r="CZ604" s="27" t="s">
        <v>7</v>
      </c>
      <c r="DA604" s="27" t="s">
        <v>8</v>
      </c>
    </row>
    <row r="605" spans="1:120" x14ac:dyDescent="0.25">
      <c r="A605" s="7">
        <v>0.7001593749656233</v>
      </c>
      <c r="B605"/>
      <c r="C605"/>
      <c r="D605"/>
      <c r="E605"/>
      <c r="BR605" s="27" t="s">
        <v>7</v>
      </c>
      <c r="CY605" s="27" t="s">
        <v>8</v>
      </c>
      <c r="CZ605" s="27" t="s">
        <v>7</v>
      </c>
      <c r="DA605" s="27" t="s">
        <v>8</v>
      </c>
    </row>
    <row r="606" spans="1:120" x14ac:dyDescent="0.25">
      <c r="A606" s="7">
        <v>0.68643075977021883</v>
      </c>
      <c r="B606"/>
      <c r="C606"/>
      <c r="D606"/>
      <c r="E606"/>
      <c r="BR606" s="27" t="s">
        <v>7</v>
      </c>
      <c r="CY606" s="27" t="s">
        <v>8</v>
      </c>
      <c r="CZ606" s="27" t="s">
        <v>7</v>
      </c>
      <c r="DA606" s="27" t="s">
        <v>8</v>
      </c>
    </row>
    <row r="607" spans="1:120" x14ac:dyDescent="0.25">
      <c r="A607" s="7">
        <v>0.67297133310805768</v>
      </c>
      <c r="B607"/>
      <c r="C607"/>
      <c r="D607"/>
      <c r="E607"/>
      <c r="BR607" s="27" t="s">
        <v>7</v>
      </c>
      <c r="CY607" s="27" t="s">
        <v>8</v>
      </c>
      <c r="CZ607" s="27" t="s">
        <v>7</v>
      </c>
      <c r="DA607" s="27" t="s">
        <v>8</v>
      </c>
    </row>
    <row r="608" spans="1:120" x14ac:dyDescent="0.25">
      <c r="A608" s="7">
        <v>0.65977581677260566</v>
      </c>
      <c r="B608"/>
      <c r="C608"/>
      <c r="D608"/>
      <c r="E608"/>
      <c r="BR608" s="27" t="s">
        <v>7</v>
      </c>
      <c r="CY608" s="27" t="s">
        <v>8</v>
      </c>
      <c r="CZ608" s="27" t="s">
        <v>7</v>
      </c>
      <c r="DA608" s="27" t="s">
        <v>8</v>
      </c>
    </row>
    <row r="609" spans="1:105" x14ac:dyDescent="0.25">
      <c r="A609" s="7">
        <v>0.64683903605157422</v>
      </c>
      <c r="B609"/>
      <c r="C609"/>
      <c r="D609"/>
      <c r="E609"/>
      <c r="BR609" s="27" t="s">
        <v>7</v>
      </c>
      <c r="CY609" s="27" t="s">
        <v>8</v>
      </c>
      <c r="CZ609" s="27" t="s">
        <v>7</v>
      </c>
      <c r="DA609" s="27" t="s">
        <v>8</v>
      </c>
    </row>
    <row r="610" spans="1:105" x14ac:dyDescent="0.25">
      <c r="A610" s="7">
        <v>0.63415591769762181</v>
      </c>
      <c r="B610"/>
      <c r="C610"/>
      <c r="D610"/>
      <c r="E610"/>
      <c r="BR610" s="27" t="s">
        <v>7</v>
      </c>
      <c r="CM610" s="27" t="s">
        <v>8</v>
      </c>
      <c r="CO610" s="27" t="s">
        <v>8</v>
      </c>
      <c r="CY610" s="27" t="s">
        <v>8</v>
      </c>
      <c r="CZ610" s="27" t="s">
        <v>7</v>
      </c>
      <c r="DA610" s="27" t="s">
        <v>8</v>
      </c>
    </row>
    <row r="611" spans="1:105" x14ac:dyDescent="0.25">
      <c r="A611" s="7">
        <v>0.62172148793884496</v>
      </c>
      <c r="B611"/>
      <c r="C611"/>
      <c r="D611"/>
      <c r="E611"/>
      <c r="BR611" s="27" t="s">
        <v>7</v>
      </c>
      <c r="CM611" s="27" t="s">
        <v>8</v>
      </c>
      <c r="CN611" s="27" t="s">
        <v>7</v>
      </c>
      <c r="CO611" s="27" t="s">
        <v>8</v>
      </c>
      <c r="CP611" s="27" t="s">
        <v>7</v>
      </c>
      <c r="CY611" s="27" t="s">
        <v>8</v>
      </c>
      <c r="CZ611" s="27" t="s">
        <v>7</v>
      </c>
    </row>
    <row r="612" spans="1:105" x14ac:dyDescent="0.25">
      <c r="A612" s="7">
        <v>0.60953087052827937</v>
      </c>
      <c r="B612"/>
      <c r="C612"/>
      <c r="D612"/>
      <c r="E612"/>
      <c r="BR612" s="27" t="s">
        <v>7</v>
      </c>
      <c r="CE612" s="27" t="s">
        <v>8</v>
      </c>
      <c r="CM612" s="27" t="s">
        <v>8</v>
      </c>
      <c r="CN612" s="27" t="s">
        <v>7</v>
      </c>
      <c r="CO612" s="27" t="s">
        <v>8</v>
      </c>
      <c r="CP612" s="27" t="s">
        <v>7</v>
      </c>
      <c r="CQ612" s="27" t="s">
        <v>8</v>
      </c>
      <c r="CY612" s="27" t="s">
        <v>8</v>
      </c>
    </row>
    <row r="613" spans="1:105" x14ac:dyDescent="0.25">
      <c r="A613" s="7">
        <v>0.59757928483164646</v>
      </c>
      <c r="B613"/>
      <c r="C613"/>
      <c r="D613"/>
      <c r="E613"/>
      <c r="BR613" s="27" t="s">
        <v>7</v>
      </c>
      <c r="CE613" s="27" t="s">
        <v>8</v>
      </c>
      <c r="CF613" s="27" t="s">
        <v>7</v>
      </c>
      <c r="CM613" s="27" t="s">
        <v>8</v>
      </c>
      <c r="CN613" s="27" t="s">
        <v>7</v>
      </c>
      <c r="CO613" s="27" t="s">
        <v>8</v>
      </c>
      <c r="CP613" s="27" t="s">
        <v>7</v>
      </c>
      <c r="CQ613" s="27" t="s">
        <v>8</v>
      </c>
      <c r="CR613" s="27" t="s">
        <v>7</v>
      </c>
      <c r="CY613" s="27" t="s">
        <v>8</v>
      </c>
    </row>
    <row r="614" spans="1:105" x14ac:dyDescent="0.25">
      <c r="A614" s="7">
        <v>0.58586204395259456</v>
      </c>
      <c r="B614"/>
      <c r="C614"/>
      <c r="D614"/>
      <c r="E614"/>
      <c r="BR614" s="27" t="s">
        <v>7</v>
      </c>
      <c r="CE614" s="27" t="s">
        <v>8</v>
      </c>
      <c r="CF614" s="27" t="s">
        <v>7</v>
      </c>
      <c r="CM614" s="27" t="s">
        <v>8</v>
      </c>
      <c r="CN614" s="27" t="s">
        <v>7</v>
      </c>
      <c r="CO614" s="27" t="s">
        <v>8</v>
      </c>
      <c r="CP614" s="27" t="s">
        <v>7</v>
      </c>
      <c r="CQ614" s="27" t="s">
        <v>8</v>
      </c>
      <c r="CR614" s="27" t="s">
        <v>7</v>
      </c>
      <c r="CY614" s="27" t="s">
        <v>8</v>
      </c>
    </row>
    <row r="615" spans="1:105" x14ac:dyDescent="0.25">
      <c r="A615" s="7">
        <v>0.57437455289470052</v>
      </c>
      <c r="B615"/>
      <c r="C615"/>
      <c r="D615"/>
      <c r="E615"/>
      <c r="BR615" s="27" t="s">
        <v>7</v>
      </c>
      <c r="CE615" s="27" t="s">
        <v>8</v>
      </c>
      <c r="CF615" s="27" t="s">
        <v>7</v>
      </c>
      <c r="CI615" s="27" t="s">
        <v>8</v>
      </c>
      <c r="CM615" s="27" t="s">
        <v>8</v>
      </c>
      <c r="CN615" s="27" t="s">
        <v>7</v>
      </c>
      <c r="CP615" s="27" t="s">
        <v>7</v>
      </c>
      <c r="CR615" s="27" t="s">
        <v>7</v>
      </c>
      <c r="CY615" s="27" t="s">
        <v>8</v>
      </c>
    </row>
    <row r="616" spans="1:105" x14ac:dyDescent="0.25">
      <c r="A616" s="7">
        <v>0.56311230675951029</v>
      </c>
      <c r="B616"/>
      <c r="C616"/>
      <c r="D616"/>
      <c r="E616"/>
      <c r="BR616" s="27" t="s">
        <v>7</v>
      </c>
      <c r="CE616" s="27" t="s">
        <v>8</v>
      </c>
      <c r="CF616" s="27" t="s">
        <v>7</v>
      </c>
      <c r="CI616" s="27" t="s">
        <v>8</v>
      </c>
      <c r="CJ616" s="27" t="s">
        <v>7</v>
      </c>
      <c r="CK616" s="27" t="s">
        <v>8</v>
      </c>
      <c r="CM616" s="27" t="s">
        <v>8</v>
      </c>
      <c r="CR616" s="27" t="s">
        <v>7</v>
      </c>
      <c r="CS616" s="27" t="s">
        <v>8</v>
      </c>
      <c r="CW616" s="27" t="s">
        <v>8</v>
      </c>
      <c r="CY616" s="27" t="s">
        <v>8</v>
      </c>
    </row>
    <row r="617" spans="1:105" x14ac:dyDescent="0.25">
      <c r="A617" s="7">
        <v>0.55207088897991208</v>
      </c>
      <c r="B617"/>
      <c r="C617"/>
      <c r="D617"/>
      <c r="E617"/>
      <c r="BR617" s="27" t="s">
        <v>7</v>
      </c>
      <c r="CE617" s="27" t="s">
        <v>8</v>
      </c>
      <c r="CF617" s="27" t="s">
        <v>7</v>
      </c>
      <c r="CI617" s="27" t="s">
        <v>8</v>
      </c>
      <c r="CJ617" s="27" t="s">
        <v>7</v>
      </c>
      <c r="CK617" s="27" t="s">
        <v>8</v>
      </c>
      <c r="CL617" s="27" t="s">
        <v>7</v>
      </c>
      <c r="CM617" s="27" t="s">
        <v>8</v>
      </c>
      <c r="CR617" s="27" t="s">
        <v>7</v>
      </c>
      <c r="CS617" s="27" t="s">
        <v>8</v>
      </c>
      <c r="CT617" s="27" t="s">
        <v>7</v>
      </c>
      <c r="CW617" s="27" t="s">
        <v>8</v>
      </c>
      <c r="CX617" s="27" t="s">
        <v>7</v>
      </c>
      <c r="CY617" s="27" t="s">
        <v>8</v>
      </c>
    </row>
    <row r="618" spans="1:105" x14ac:dyDescent="0.25">
      <c r="A618" s="7">
        <v>0.54124596958814908</v>
      </c>
      <c r="B618"/>
      <c r="C618"/>
      <c r="D618"/>
      <c r="E618"/>
      <c r="BR618" s="27" t="s">
        <v>7</v>
      </c>
      <c r="BY618" s="27" t="s">
        <v>8</v>
      </c>
      <c r="CC618" s="27" t="s">
        <v>8</v>
      </c>
      <c r="CE618" s="27" t="s">
        <v>8</v>
      </c>
      <c r="CF618" s="27" t="s">
        <v>7</v>
      </c>
      <c r="CI618" s="27" t="s">
        <v>8</v>
      </c>
      <c r="CJ618" s="27" t="s">
        <v>7</v>
      </c>
      <c r="CK618" s="27" t="s">
        <v>8</v>
      </c>
      <c r="CL618" s="27" t="s">
        <v>7</v>
      </c>
      <c r="CM618" s="27" t="s">
        <v>8</v>
      </c>
      <c r="CR618" s="27" t="s">
        <v>7</v>
      </c>
      <c r="CS618" s="27" t="s">
        <v>8</v>
      </c>
      <c r="CT618" s="27" t="s">
        <v>7</v>
      </c>
      <c r="CU618" s="27" t="s">
        <v>8</v>
      </c>
      <c r="CW618" s="27" t="s">
        <v>8</v>
      </c>
      <c r="CX618" s="27" t="s">
        <v>7</v>
      </c>
      <c r="CY618" s="27" t="s">
        <v>8</v>
      </c>
    </row>
    <row r="619" spans="1:105" x14ac:dyDescent="0.25">
      <c r="A619" s="7">
        <v>0.53063330351779314</v>
      </c>
      <c r="B619"/>
      <c r="C619"/>
      <c r="D619"/>
      <c r="E619"/>
      <c r="BR619" s="27" t="s">
        <v>7</v>
      </c>
      <c r="BY619" s="27" t="s">
        <v>8</v>
      </c>
      <c r="BZ619" s="27" t="s">
        <v>7</v>
      </c>
      <c r="CC619" s="27" t="s">
        <v>8</v>
      </c>
      <c r="CD619" s="27" t="s">
        <v>7</v>
      </c>
      <c r="CE619" s="27" t="s">
        <v>8</v>
      </c>
      <c r="CF619" s="27" t="s">
        <v>7</v>
      </c>
      <c r="CG619" s="27" t="s">
        <v>8</v>
      </c>
      <c r="CI619" s="27" t="s">
        <v>8</v>
      </c>
      <c r="CJ619" s="27" t="s">
        <v>7</v>
      </c>
      <c r="CK619" s="27" t="s">
        <v>8</v>
      </c>
      <c r="CL619" s="27" t="s">
        <v>7</v>
      </c>
      <c r="CM619" s="27" t="s">
        <v>8</v>
      </c>
      <c r="CR619" s="27" t="s">
        <v>7</v>
      </c>
      <c r="CT619" s="27" t="s">
        <v>7</v>
      </c>
      <c r="CU619" s="27" t="s">
        <v>8</v>
      </c>
      <c r="CV619" s="27" t="s">
        <v>7</v>
      </c>
      <c r="CW619" s="27" t="s">
        <v>8</v>
      </c>
      <c r="CX619" s="27" t="s">
        <v>7</v>
      </c>
      <c r="CY619" s="27" t="s">
        <v>8</v>
      </c>
    </row>
    <row r="620" spans="1:105" x14ac:dyDescent="0.25">
      <c r="A620" s="7">
        <v>0.52022872893901284</v>
      </c>
      <c r="B620"/>
      <c r="C620"/>
      <c r="D620"/>
      <c r="E620"/>
      <c r="BR620" s="27" t="s">
        <v>7</v>
      </c>
      <c r="BY620" s="27" t="s">
        <v>8</v>
      </c>
      <c r="BZ620" s="27" t="s">
        <v>7</v>
      </c>
      <c r="CC620" s="27" t="s">
        <v>8</v>
      </c>
      <c r="CD620" s="27" t="s">
        <v>7</v>
      </c>
      <c r="CE620" s="27" t="s">
        <v>8</v>
      </c>
      <c r="CF620" s="27" t="s">
        <v>7</v>
      </c>
      <c r="CG620" s="27" t="s">
        <v>8</v>
      </c>
      <c r="CH620" s="27" t="s">
        <v>7</v>
      </c>
      <c r="CI620" s="27" t="s">
        <v>8</v>
      </c>
      <c r="CJ620" s="27" t="s">
        <v>7</v>
      </c>
      <c r="CK620" s="27" t="s">
        <v>8</v>
      </c>
      <c r="CL620" s="27" t="s">
        <v>7</v>
      </c>
      <c r="CT620" s="27" t="s">
        <v>7</v>
      </c>
      <c r="CU620" s="27" t="s">
        <v>8</v>
      </c>
      <c r="CV620" s="27" t="s">
        <v>7</v>
      </c>
      <c r="CW620" s="27" t="s">
        <v>8</v>
      </c>
      <c r="CX620" s="27" t="s">
        <v>7</v>
      </c>
    </row>
    <row r="621" spans="1:105" x14ac:dyDescent="0.25">
      <c r="A621" s="7">
        <v>0.51002816562648323</v>
      </c>
      <c r="B621"/>
      <c r="C621"/>
      <c r="D621"/>
      <c r="E621"/>
      <c r="BR621" s="27" t="s">
        <v>7</v>
      </c>
      <c r="BY621" s="27" t="s">
        <v>8</v>
      </c>
      <c r="BZ621" s="27" t="s">
        <v>7</v>
      </c>
      <c r="CA621" s="27" t="s">
        <v>8</v>
      </c>
      <c r="CC621" s="27" t="s">
        <v>8</v>
      </c>
      <c r="CD621" s="27" t="s">
        <v>7</v>
      </c>
      <c r="CE621" s="27" t="s">
        <v>8</v>
      </c>
      <c r="CF621" s="27" t="s">
        <v>7</v>
      </c>
      <c r="CG621" s="27" t="s">
        <v>8</v>
      </c>
      <c r="CH621" s="27" t="s">
        <v>7</v>
      </c>
      <c r="CI621" s="27" t="s">
        <v>8</v>
      </c>
      <c r="CJ621" s="27" t="s">
        <v>7</v>
      </c>
      <c r="CK621" s="27" t="s">
        <v>8</v>
      </c>
      <c r="CT621" s="27" t="s">
        <v>7</v>
      </c>
      <c r="CU621" s="27" t="s">
        <v>8</v>
      </c>
      <c r="CV621" s="27" t="s">
        <v>7</v>
      </c>
      <c r="CW621" s="27" t="s">
        <v>8</v>
      </c>
    </row>
    <row r="622" spans="1:105" x14ac:dyDescent="0.25">
      <c r="A622" s="7">
        <v>0.50002761335929735</v>
      </c>
      <c r="B622"/>
      <c r="C622"/>
      <c r="D622"/>
      <c r="E622"/>
      <c r="BR622" s="27" t="s">
        <v>7</v>
      </c>
      <c r="BY622" s="27" t="s">
        <v>8</v>
      </c>
      <c r="BZ622" s="27" t="s">
        <v>7</v>
      </c>
      <c r="CA622" s="27" t="s">
        <v>8</v>
      </c>
      <c r="CB622" s="27" t="s">
        <v>7</v>
      </c>
      <c r="CC622" s="27" t="s">
        <v>8</v>
      </c>
      <c r="CD622" s="27" t="s">
        <v>7</v>
      </c>
      <c r="CF622" s="27" t="s">
        <v>7</v>
      </c>
      <c r="CG622" s="27" t="s">
        <v>8</v>
      </c>
      <c r="CH622" s="27" t="s">
        <v>7</v>
      </c>
      <c r="CI622" s="27" t="s">
        <v>8</v>
      </c>
      <c r="CJ622" s="27" t="s">
        <v>7</v>
      </c>
      <c r="CK622" s="27" t="s">
        <v>8</v>
      </c>
      <c r="CT622" s="27" t="s">
        <v>7</v>
      </c>
      <c r="CU622" s="27" t="s">
        <v>8</v>
      </c>
      <c r="CV622" s="27" t="s">
        <v>7</v>
      </c>
      <c r="CW622" s="27" t="s">
        <v>8</v>
      </c>
    </row>
    <row r="623" spans="1:105" x14ac:dyDescent="0.25">
      <c r="A623" s="7">
        <v>0.49022315035225228</v>
      </c>
      <c r="B623"/>
      <c r="C623"/>
      <c r="D623"/>
      <c r="E623"/>
      <c r="BR623" s="27" t="s">
        <v>7</v>
      </c>
      <c r="BY623" s="27" t="s">
        <v>8</v>
      </c>
      <c r="BZ623" s="27" t="s">
        <v>7</v>
      </c>
      <c r="CA623" s="27" t="s">
        <v>8</v>
      </c>
      <c r="CB623" s="27" t="s">
        <v>7</v>
      </c>
      <c r="CC623" s="27" t="s">
        <v>8</v>
      </c>
      <c r="CF623" s="27" t="s">
        <v>7</v>
      </c>
      <c r="CG623" s="27" t="s">
        <v>8</v>
      </c>
      <c r="CH623" s="27" t="s">
        <v>7</v>
      </c>
      <c r="CI623" s="27" t="s">
        <v>8</v>
      </c>
      <c r="CJ623" s="27" t="s">
        <v>7</v>
      </c>
      <c r="CK623" s="27" t="s">
        <v>8</v>
      </c>
      <c r="CT623" s="27" t="s">
        <v>7</v>
      </c>
      <c r="CV623" s="27" t="s">
        <v>7</v>
      </c>
      <c r="CW623" s="27" t="s">
        <v>8</v>
      </c>
    </row>
    <row r="624" spans="1:105" x14ac:dyDescent="0.25">
      <c r="A624" s="7">
        <v>0.48061093171789437</v>
      </c>
      <c r="B624"/>
      <c r="C624"/>
      <c r="D624"/>
      <c r="E624"/>
      <c r="BR624" s="27" t="s">
        <v>7</v>
      </c>
      <c r="BW624" s="27" t="s">
        <v>8</v>
      </c>
      <c r="BY624" s="27" t="s">
        <v>8</v>
      </c>
      <c r="BZ624" s="27" t="s">
        <v>7</v>
      </c>
      <c r="CA624" s="27" t="s">
        <v>8</v>
      </c>
      <c r="CB624" s="27" t="s">
        <v>7</v>
      </c>
      <c r="CC624" s="27" t="s">
        <v>8</v>
      </c>
      <c r="CF624" s="27" t="s">
        <v>7</v>
      </c>
      <c r="CH624" s="27" t="s">
        <v>7</v>
      </c>
      <c r="CJ624" s="27" t="s">
        <v>7</v>
      </c>
      <c r="CK624" s="27" t="s">
        <v>8</v>
      </c>
      <c r="CV624" s="27" t="s">
        <v>7</v>
      </c>
      <c r="CW624" s="27" t="s">
        <v>8</v>
      </c>
    </row>
    <row r="625" spans="1:101" x14ac:dyDescent="0.25">
      <c r="A625" s="7">
        <v>0.47118718795871994</v>
      </c>
      <c r="B625"/>
      <c r="C625"/>
      <c r="D625"/>
      <c r="E625"/>
      <c r="BR625" s="27" t="s">
        <v>7</v>
      </c>
      <c r="BS625" s="27" t="s">
        <v>8</v>
      </c>
      <c r="BW625" s="27" t="s">
        <v>8</v>
      </c>
      <c r="BX625" s="27" t="s">
        <v>7</v>
      </c>
      <c r="BY625" s="27" t="s">
        <v>8</v>
      </c>
      <c r="BZ625" s="27" t="s">
        <v>7</v>
      </c>
      <c r="CA625" s="27" t="s">
        <v>8</v>
      </c>
      <c r="CB625" s="27" t="s">
        <v>7</v>
      </c>
      <c r="CC625" s="27" t="s">
        <v>8</v>
      </c>
      <c r="CJ625" s="27" t="s">
        <v>7</v>
      </c>
      <c r="CV625" s="27" t="s">
        <v>7</v>
      </c>
      <c r="CW625" s="27" t="s">
        <v>8</v>
      </c>
    </row>
    <row r="626" spans="1:101" x14ac:dyDescent="0.25">
      <c r="A626" s="7">
        <v>0.46194822348894116</v>
      </c>
      <c r="B626"/>
      <c r="C626"/>
      <c r="D626"/>
      <c r="E626"/>
      <c r="BR626" s="27" t="s">
        <v>7</v>
      </c>
      <c r="BS626" s="27" t="s">
        <v>8</v>
      </c>
      <c r="BT626" s="27" t="s">
        <v>7</v>
      </c>
      <c r="BW626" s="27" t="s">
        <v>8</v>
      </c>
      <c r="BX626" s="27" t="s">
        <v>7</v>
      </c>
      <c r="BY626" s="27" t="s">
        <v>8</v>
      </c>
      <c r="BZ626" s="27" t="s">
        <v>7</v>
      </c>
      <c r="CA626" s="27" t="s">
        <v>8</v>
      </c>
      <c r="CB626" s="27" t="s">
        <v>7</v>
      </c>
      <c r="CC626" s="27" t="s">
        <v>8</v>
      </c>
      <c r="CV626" s="27" t="s">
        <v>7</v>
      </c>
      <c r="CW626" s="27" t="s">
        <v>8</v>
      </c>
    </row>
    <row r="627" spans="1:101" x14ac:dyDescent="0.25">
      <c r="A627" s="7">
        <v>0.45289041518523643</v>
      </c>
      <c r="B627"/>
      <c r="C627"/>
      <c r="D627"/>
      <c r="E627"/>
      <c r="BR627" s="27" t="s">
        <v>7</v>
      </c>
      <c r="BS627" s="27" t="s">
        <v>8</v>
      </c>
      <c r="BT627" s="27" t="s">
        <v>7</v>
      </c>
      <c r="BW627" s="27" t="s">
        <v>8</v>
      </c>
      <c r="BX627" s="27" t="s">
        <v>7</v>
      </c>
      <c r="BY627" s="27" t="s">
        <v>8</v>
      </c>
      <c r="BZ627" s="27" t="s">
        <v>7</v>
      </c>
      <c r="CA627" s="27" t="s">
        <v>8</v>
      </c>
      <c r="CB627" s="27" t="s">
        <v>7</v>
      </c>
      <c r="CV627" s="27" t="s">
        <v>7</v>
      </c>
      <c r="CW627" s="27" t="s">
        <v>8</v>
      </c>
    </row>
    <row r="628" spans="1:101" x14ac:dyDescent="0.25">
      <c r="A628" s="7">
        <v>0.44401021096591808</v>
      </c>
      <c r="B628"/>
      <c r="C628"/>
      <c r="D628"/>
      <c r="E628"/>
      <c r="BR628" s="27" t="s">
        <v>7</v>
      </c>
      <c r="BS628" s="27" t="s">
        <v>8</v>
      </c>
      <c r="BT628" s="27" t="s">
        <v>7</v>
      </c>
      <c r="BW628" s="27" t="s">
        <v>8</v>
      </c>
      <c r="BX628" s="27" t="s">
        <v>7</v>
      </c>
      <c r="BY628" s="27" t="s">
        <v>8</v>
      </c>
      <c r="BZ628" s="27" t="s">
        <v>7</v>
      </c>
      <c r="CA628" s="27" t="s">
        <v>8</v>
      </c>
      <c r="CV628" s="27" t="s">
        <v>7</v>
      </c>
      <c r="CW628" s="27" t="s">
        <v>8</v>
      </c>
    </row>
    <row r="629" spans="1:101" x14ac:dyDescent="0.25">
      <c r="A629" s="7">
        <v>0.4353041283979589</v>
      </c>
      <c r="B629"/>
      <c r="C629"/>
      <c r="D629"/>
      <c r="E629"/>
      <c r="BR629" s="27" t="s">
        <v>7</v>
      </c>
      <c r="BS629" s="27" t="s">
        <v>8</v>
      </c>
      <c r="BT629" s="27" t="s">
        <v>7</v>
      </c>
      <c r="BW629" s="27" t="s">
        <v>8</v>
      </c>
      <c r="BX629" s="27" t="s">
        <v>7</v>
      </c>
      <c r="BY629" s="27" t="s">
        <v>8</v>
      </c>
      <c r="BZ629" s="27" t="s">
        <v>7</v>
      </c>
      <c r="CA629" s="27" t="s">
        <v>8</v>
      </c>
      <c r="CV629" s="27" t="s">
        <v>7</v>
      </c>
      <c r="CW629" s="27" t="s">
        <v>8</v>
      </c>
    </row>
    <row r="630" spans="1:101" x14ac:dyDescent="0.25">
      <c r="A630" s="7">
        <v>0.4267687533313323</v>
      </c>
      <c r="B630"/>
      <c r="C630"/>
      <c r="D630"/>
      <c r="E630"/>
      <c r="BR630" s="27" t="s">
        <v>7</v>
      </c>
      <c r="BS630" s="27" t="s">
        <v>8</v>
      </c>
      <c r="BT630" s="27" t="s">
        <v>7</v>
      </c>
      <c r="BW630" s="27" t="s">
        <v>8</v>
      </c>
      <c r="BX630" s="27" t="s">
        <v>7</v>
      </c>
      <c r="BY630" s="27" t="s">
        <v>8</v>
      </c>
      <c r="BZ630" s="27" t="s">
        <v>7</v>
      </c>
      <c r="CA630" s="27" t="s">
        <v>8</v>
      </c>
      <c r="CV630" s="27" t="s">
        <v>7</v>
      </c>
      <c r="CW630" s="27" t="s">
        <v>8</v>
      </c>
    </row>
    <row r="631" spans="1:101" x14ac:dyDescent="0.25">
      <c r="A631" s="7">
        <v>0.41840073856012971</v>
      </c>
      <c r="B631"/>
      <c r="C631"/>
      <c r="D631"/>
      <c r="E631"/>
      <c r="BR631" s="27" t="s">
        <v>7</v>
      </c>
      <c r="BS631" s="27" t="s">
        <v>8</v>
      </c>
      <c r="BT631" s="27" t="s">
        <v>7</v>
      </c>
      <c r="BW631" s="27" t="s">
        <v>8</v>
      </c>
      <c r="BX631" s="27" t="s">
        <v>7</v>
      </c>
      <c r="BY631" s="27" t="s">
        <v>8</v>
      </c>
      <c r="BZ631" s="27" t="s">
        <v>7</v>
      </c>
      <c r="CV631" s="27" t="s">
        <v>7</v>
      </c>
    </row>
    <row r="632" spans="1:101" x14ac:dyDescent="0.25">
      <c r="A632" s="7">
        <v>0.41019680250993112</v>
      </c>
      <c r="B632"/>
      <c r="C632"/>
      <c r="D632"/>
      <c r="E632"/>
      <c r="BR632" s="27" t="s">
        <v>7</v>
      </c>
      <c r="BS632" s="27" t="s">
        <v>8</v>
      </c>
      <c r="BT632" s="27" t="s">
        <v>7</v>
      </c>
      <c r="BW632" s="27" t="s">
        <v>8</v>
      </c>
      <c r="BX632" s="27" t="s">
        <v>7</v>
      </c>
      <c r="BY632" s="27" t="s">
        <v>8</v>
      </c>
    </row>
    <row r="633" spans="1:101" x14ac:dyDescent="0.25">
      <c r="A633" s="7">
        <v>0.40215372795091286</v>
      </c>
      <c r="B633"/>
      <c r="C633"/>
      <c r="D633"/>
      <c r="E633"/>
      <c r="BR633" s="27" t="s">
        <v>7</v>
      </c>
      <c r="BS633" s="27" t="s">
        <v>8</v>
      </c>
      <c r="BT633" s="27" t="s">
        <v>7</v>
      </c>
      <c r="BU633" s="27" t="s">
        <v>8</v>
      </c>
      <c r="BW633" s="27" t="s">
        <v>8</v>
      </c>
      <c r="BX633" s="27" t="s">
        <v>7</v>
      </c>
      <c r="BY633" s="27" t="s">
        <v>8</v>
      </c>
    </row>
    <row r="634" spans="1:101" x14ac:dyDescent="0.25">
      <c r="A634" s="7">
        <v>0.39426836073618904</v>
      </c>
      <c r="B634"/>
      <c r="C634"/>
      <c r="D634"/>
      <c r="E634"/>
      <c r="BR634" s="27" t="s">
        <v>7</v>
      </c>
      <c r="BS634" s="27" t="s">
        <v>8</v>
      </c>
      <c r="BT634" s="27" t="s">
        <v>7</v>
      </c>
      <c r="BU634" s="27" t="s">
        <v>8</v>
      </c>
      <c r="BV634" s="27" t="s">
        <v>7</v>
      </c>
      <c r="BW634" s="27" t="s">
        <v>8</v>
      </c>
      <c r="BX634" s="27" t="s">
        <v>7</v>
      </c>
      <c r="BY634" s="27" t="s">
        <v>8</v>
      </c>
    </row>
    <row r="635" spans="1:101" x14ac:dyDescent="0.25">
      <c r="A635" s="7">
        <v>0.38653760856489122</v>
      </c>
      <c r="B635"/>
      <c r="C635"/>
      <c r="D635"/>
      <c r="E635"/>
      <c r="BR635" s="27" t="s">
        <v>7</v>
      </c>
      <c r="BS635" s="27" t="s">
        <v>8</v>
      </c>
      <c r="BT635" s="27" t="s">
        <v>7</v>
      </c>
      <c r="BU635" s="27" t="s">
        <v>8</v>
      </c>
      <c r="BV635" s="27" t="s">
        <v>7</v>
      </c>
      <c r="BW635" s="27" t="s">
        <v>8</v>
      </c>
      <c r="BX635" s="27" t="s">
        <v>7</v>
      </c>
    </row>
    <row r="636" spans="1:101" x14ac:dyDescent="0.25">
      <c r="A636" s="7">
        <v>0.37895843976950117</v>
      </c>
      <c r="B636"/>
      <c r="C636"/>
      <c r="D636"/>
      <c r="E636"/>
      <c r="BR636" s="27" t="s">
        <v>7</v>
      </c>
      <c r="BS636" s="27" t="s">
        <v>8</v>
      </c>
      <c r="BT636" s="27" t="s">
        <v>7</v>
      </c>
      <c r="BU636" s="27" t="s">
        <v>8</v>
      </c>
      <c r="BV636" s="27" t="s">
        <v>7</v>
      </c>
      <c r="BW636" s="27" t="s">
        <v>8</v>
      </c>
    </row>
    <row r="637" spans="1:101" x14ac:dyDescent="0.25">
      <c r="A637" s="7">
        <v>0.37152788212696197</v>
      </c>
      <c r="B637"/>
      <c r="C637"/>
      <c r="D637"/>
      <c r="E637"/>
      <c r="BR637" s="27" t="s">
        <v>7</v>
      </c>
      <c r="BS637" s="27" t="s">
        <v>8</v>
      </c>
      <c r="BT637" s="27" t="s">
        <v>7</v>
      </c>
      <c r="BU637" s="27" t="s">
        <v>8</v>
      </c>
      <c r="BV637" s="27" t="s">
        <v>7</v>
      </c>
      <c r="BW637" s="27" t="s">
        <v>8</v>
      </c>
    </row>
    <row r="638" spans="1:101" x14ac:dyDescent="0.25">
      <c r="A638" s="7">
        <v>0.36424302169310002</v>
      </c>
      <c r="B638"/>
      <c r="C638"/>
      <c r="D638"/>
      <c r="E638"/>
      <c r="BR638" s="27" t="s">
        <v>7</v>
      </c>
      <c r="BS638" s="27" t="s">
        <v>8</v>
      </c>
      <c r="BT638" s="27" t="s">
        <v>7</v>
      </c>
      <c r="BU638" s="27" t="s">
        <v>8</v>
      </c>
      <c r="BV638" s="27" t="s">
        <v>7</v>
      </c>
      <c r="BW638" s="27" t="s">
        <v>8</v>
      </c>
    </row>
    <row r="639" spans="1:101" x14ac:dyDescent="0.25">
      <c r="A639" s="7">
        <v>0.35710100165990194</v>
      </c>
      <c r="B639"/>
      <c r="C639"/>
      <c r="D639"/>
      <c r="E639"/>
      <c r="BR639" s="27" t="s">
        <v>7</v>
      </c>
      <c r="BS639" s="27" t="s">
        <v>8</v>
      </c>
      <c r="BT639" s="27" t="s">
        <v>7</v>
      </c>
      <c r="BU639" s="27" t="s">
        <v>8</v>
      </c>
      <c r="BV639" s="27" t="s">
        <v>7</v>
      </c>
      <c r="BW639" s="27" t="s">
        <v>8</v>
      </c>
    </row>
    <row r="640" spans="1:101" x14ac:dyDescent="0.25">
      <c r="A640" s="7">
        <v>0.35009902123519804</v>
      </c>
      <c r="B640"/>
      <c r="C640"/>
      <c r="D640"/>
      <c r="E640"/>
      <c r="BR640" s="27" t="s">
        <v>7</v>
      </c>
      <c r="BS640" s="27" t="s">
        <v>8</v>
      </c>
      <c r="BT640" s="27" t="s">
        <v>7</v>
      </c>
      <c r="BU640" s="27" t="s">
        <v>8</v>
      </c>
      <c r="BV640" s="27" t="s">
        <v>7</v>
      </c>
    </row>
    <row r="641" spans="1:73" x14ac:dyDescent="0.25">
      <c r="A641" s="7">
        <v>0.34323433454431179</v>
      </c>
      <c r="B641"/>
      <c r="C641"/>
      <c r="D641"/>
      <c r="E641"/>
      <c r="BR641" s="27" t="s">
        <v>7</v>
      </c>
      <c r="BS641" s="27" t="s">
        <v>8</v>
      </c>
      <c r="BT641" s="27" t="s">
        <v>7</v>
      </c>
      <c r="BU641" s="27" t="s">
        <v>8</v>
      </c>
    </row>
    <row r="642" spans="1:73" x14ac:dyDescent="0.25">
      <c r="A642" s="7">
        <v>0.33650424955324681</v>
      </c>
      <c r="B642"/>
      <c r="C642"/>
      <c r="D642"/>
      <c r="E642"/>
      <c r="BR642" s="27" t="s">
        <v>7</v>
      </c>
      <c r="BS642" s="27" t="s">
        <v>8</v>
      </c>
      <c r="BT642" s="27" t="s">
        <v>7</v>
      </c>
      <c r="BU642" s="27" t="s">
        <v>8</v>
      </c>
    </row>
    <row r="643" spans="1:73" x14ac:dyDescent="0.25">
      <c r="A643" s="7">
        <v>0.3299061270129871</v>
      </c>
      <c r="B643"/>
      <c r="C643"/>
      <c r="D643"/>
      <c r="E643"/>
      <c r="BR643" s="27" t="s">
        <v>7</v>
      </c>
      <c r="BS643" s="27" t="s">
        <v>8</v>
      </c>
      <c r="BT643" s="27" t="s">
        <v>7</v>
      </c>
      <c r="BU643" s="27" t="s">
        <v>8</v>
      </c>
    </row>
    <row r="644" spans="1:73" x14ac:dyDescent="0.25">
      <c r="A644" s="7">
        <v>0.32343737942449713</v>
      </c>
      <c r="B644"/>
      <c r="C644"/>
      <c r="D644"/>
      <c r="E644"/>
      <c r="BR644" s="27" t="s">
        <v>7</v>
      </c>
      <c r="BS644" s="27" t="s">
        <v>8</v>
      </c>
      <c r="BT644" s="27" t="s">
        <v>7</v>
      </c>
      <c r="BU644" s="27" t="s">
        <v>8</v>
      </c>
    </row>
    <row r="645" spans="1:73" x14ac:dyDescent="0.25">
      <c r="A645" s="7">
        <v>0.31709547002401678</v>
      </c>
      <c r="B645"/>
      <c r="C645"/>
      <c r="D645"/>
      <c r="E645"/>
      <c r="BR645" s="27" t="s">
        <v>7</v>
      </c>
      <c r="BS645" s="27" t="s">
        <v>8</v>
      </c>
      <c r="BT645" s="27" t="s">
        <v>7</v>
      </c>
      <c r="BU645" s="27" t="s">
        <v>8</v>
      </c>
    </row>
    <row r="646" spans="1:73" x14ac:dyDescent="0.25">
      <c r="A646" s="7">
        <v>0.31087791178825175</v>
      </c>
      <c r="B646"/>
      <c r="C646"/>
      <c r="D646"/>
      <c r="E646"/>
      <c r="BR646" s="27" t="s">
        <v>7</v>
      </c>
      <c r="BS646" s="27" t="s">
        <v>8</v>
      </c>
      <c r="BT646" s="27" t="s">
        <v>7</v>
      </c>
    </row>
    <row r="647" spans="1:73" x14ac:dyDescent="0.25">
      <c r="A647" s="7">
        <v>0.30478226645907036</v>
      </c>
      <c r="B647"/>
      <c r="C647"/>
      <c r="D647"/>
      <c r="E647"/>
      <c r="BR647" s="27" t="s">
        <v>7</v>
      </c>
      <c r="BS647" s="27" t="s">
        <v>8</v>
      </c>
    </row>
    <row r="648" spans="1:73" x14ac:dyDescent="0.25">
      <c r="A648" s="7">
        <v>0.29880614358732388</v>
      </c>
      <c r="B648"/>
      <c r="C648"/>
      <c r="D648"/>
      <c r="E648"/>
      <c r="BR648" s="27" t="s">
        <v>7</v>
      </c>
      <c r="BS648" s="27" t="s">
        <v>8</v>
      </c>
    </row>
    <row r="649" spans="1:73" x14ac:dyDescent="0.25">
      <c r="A649" s="7">
        <v>0.2929471995954156</v>
      </c>
      <c r="B649"/>
      <c r="C649"/>
      <c r="D649"/>
      <c r="E649"/>
      <c r="BR649" s="27" t="s">
        <v>7</v>
      </c>
      <c r="BS649" s="27" t="s">
        <v>8</v>
      </c>
    </row>
    <row r="650" spans="1:73" x14ac:dyDescent="0.25">
      <c r="A650" s="7">
        <v>0.28720313685825055</v>
      </c>
      <c r="B650"/>
      <c r="C650"/>
      <c r="D650"/>
      <c r="E650"/>
      <c r="BR650" s="27" t="s">
        <v>7</v>
      </c>
      <c r="BS650" s="27" t="s">
        <v>8</v>
      </c>
    </row>
    <row r="651" spans="1:73" x14ac:dyDescent="0.25">
      <c r="A651" s="7">
        <v>0.28157170280220645</v>
      </c>
      <c r="B651"/>
      <c r="C651"/>
      <c r="D651"/>
      <c r="E651"/>
      <c r="BR651" s="27" t="s">
        <v>7</v>
      </c>
      <c r="BS651" s="27" t="s">
        <v>8</v>
      </c>
    </row>
    <row r="652" spans="1:73" x14ac:dyDescent="0.25">
      <c r="A652" s="7">
        <v>0.27605068902177105</v>
      </c>
      <c r="B652"/>
      <c r="C652"/>
      <c r="D652"/>
      <c r="E652"/>
      <c r="BR652" s="27" t="s">
        <v>7</v>
      </c>
      <c r="BS652" s="27" t="s">
        <v>8</v>
      </c>
    </row>
    <row r="653" spans="1:73" x14ac:dyDescent="0.25">
      <c r="A653" s="7">
        <v>0.27063793041350104</v>
      </c>
      <c r="B653"/>
      <c r="C653"/>
      <c r="D653"/>
      <c r="E653"/>
      <c r="BR653" s="27" t="s">
        <v>7</v>
      </c>
      <c r="BS653" s="27" t="s">
        <v>8</v>
      </c>
    </row>
    <row r="654" spans="1:73" x14ac:dyDescent="0.25">
      <c r="A654" s="7">
        <v>0.26533130432696184</v>
      </c>
      <c r="B654"/>
      <c r="C654"/>
      <c r="D654"/>
      <c r="E654"/>
      <c r="BR654" s="27" t="s">
        <v>7</v>
      </c>
      <c r="BS654" s="27" t="s">
        <v>8</v>
      </c>
    </row>
    <row r="655" spans="1:73" x14ac:dyDescent="0.25">
      <c r="A655" s="7">
        <v>0.26012872973231554</v>
      </c>
      <c r="B655"/>
      <c r="C655"/>
      <c r="D655"/>
      <c r="E655"/>
      <c r="BR655" s="27" t="s">
        <v>7</v>
      </c>
      <c r="BS655" s="27" t="s">
        <v>8</v>
      </c>
    </row>
    <row r="656" spans="1:73" x14ac:dyDescent="0.25">
      <c r="A656" s="7">
        <v>0.25502816640423093</v>
      </c>
      <c r="B656"/>
      <c r="C656"/>
      <c r="D656"/>
      <c r="E656"/>
      <c r="BR656" s="27" t="s">
        <v>7</v>
      </c>
      <c r="BS656" s="27" t="s">
        <v>8</v>
      </c>
    </row>
    <row r="657" spans="1:71" x14ac:dyDescent="0.25">
      <c r="A657" s="7">
        <v>0.25002761412179503</v>
      </c>
      <c r="B657"/>
      <c r="C657"/>
      <c r="D657"/>
      <c r="E657"/>
      <c r="BR657" s="27" t="s">
        <v>7</v>
      </c>
      <c r="BS657" s="27" t="s">
        <v>8</v>
      </c>
    </row>
    <row r="658" spans="1:71" x14ac:dyDescent="0.25">
      <c r="A658" s="7">
        <v>0.24512511188411276</v>
      </c>
      <c r="B658"/>
      <c r="C658"/>
      <c r="D658"/>
      <c r="E658"/>
      <c r="BR658" s="27" t="s">
        <v>7</v>
      </c>
      <c r="BS658" s="27" t="s">
        <v>8</v>
      </c>
    </row>
    <row r="659" spans="1:71" x14ac:dyDescent="0.25">
      <c r="A659" s="7">
        <v>0.24031873714128701</v>
      </c>
      <c r="B659"/>
      <c r="C659"/>
      <c r="D659"/>
      <c r="E659"/>
      <c r="BR659" s="27" t="s">
        <v>7</v>
      </c>
    </row>
    <row r="660" spans="1:71" x14ac:dyDescent="0.25">
      <c r="A660" s="7">
        <v>0.23560660504047748</v>
      </c>
      <c r="B660"/>
      <c r="C660"/>
      <c r="D660"/>
      <c r="E660"/>
    </row>
    <row r="661" spans="1:71" x14ac:dyDescent="0.25">
      <c r="A661" s="7">
        <v>0.23098686768674265</v>
      </c>
      <c r="B661"/>
      <c r="C661"/>
      <c r="D661"/>
      <c r="E661"/>
    </row>
    <row r="662" spans="1:71" x14ac:dyDescent="0.25">
      <c r="A662" s="7">
        <v>0.22645771341837515</v>
      </c>
      <c r="B662"/>
      <c r="C662"/>
      <c r="D662"/>
      <c r="E662"/>
    </row>
    <row r="663" spans="1:71" x14ac:dyDescent="0.25">
      <c r="A663" s="7">
        <v>0.22201736609644623</v>
      </c>
      <c r="B663"/>
      <c r="C663"/>
      <c r="D663"/>
      <c r="E663"/>
    </row>
    <row r="664" spans="1:71" x14ac:dyDescent="0.25">
      <c r="A664" s="7">
        <v>0.21766408440828061</v>
      </c>
      <c r="B664"/>
      <c r="C664"/>
      <c r="D664"/>
      <c r="E664"/>
    </row>
    <row r="665" spans="1:71" x14ac:dyDescent="0.25">
      <c r="A665" s="7">
        <v>0.21339616118458882</v>
      </c>
      <c r="B665"/>
      <c r="C665"/>
      <c r="D665"/>
      <c r="E665"/>
    </row>
    <row r="666" spans="1:71" x14ac:dyDescent="0.25">
      <c r="A666" s="7">
        <v>0.20921192272998904</v>
      </c>
      <c r="B666"/>
      <c r="C666"/>
      <c r="D666"/>
      <c r="E666"/>
    </row>
    <row r="667" spans="1:71" x14ac:dyDescent="0.25">
      <c r="A667" s="7">
        <v>0.20510972816665593</v>
      </c>
      <c r="B667"/>
      <c r="C667"/>
      <c r="D667"/>
      <c r="E667"/>
    </row>
    <row r="668" spans="1:71" x14ac:dyDescent="0.25">
      <c r="A668" s="7">
        <v>0.20108796879083912</v>
      </c>
      <c r="B668"/>
      <c r="C668"/>
      <c r="D668"/>
      <c r="E668"/>
    </row>
    <row r="669" spans="1:71" x14ac:dyDescent="0.25">
      <c r="A669" s="7">
        <v>0.19714506744199917</v>
      </c>
      <c r="B669"/>
      <c r="C669"/>
      <c r="D669"/>
      <c r="E669"/>
    </row>
    <row r="670" spans="1:71" x14ac:dyDescent="0.25">
      <c r="A670" s="7">
        <v>0.19327947788431293</v>
      </c>
      <c r="B670"/>
      <c r="C670"/>
      <c r="D670"/>
      <c r="E670"/>
    </row>
    <row r="671" spans="1:71" x14ac:dyDescent="0.25">
      <c r="A671" s="7">
        <v>0.18948968420030682</v>
      </c>
      <c r="B671"/>
      <c r="C671"/>
      <c r="D671"/>
      <c r="E671"/>
    </row>
    <row r="672" spans="1:71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231" operator="equal">
      <formula>$U$1</formula>
    </cfRule>
    <cfRule type="cellIs" dxfId="89" priority="1232" operator="equal">
      <formula>$S$1</formula>
    </cfRule>
  </conditionalFormatting>
  <conditionalFormatting sqref="D27">
    <cfRule type="cellIs" dxfId="88" priority="1229" operator="equal">
      <formula>$S$1</formula>
    </cfRule>
    <cfRule type="cellIs" dxfId="87" priority="1230" operator="equal">
      <formula>$U$1</formula>
    </cfRule>
  </conditionalFormatting>
  <conditionalFormatting sqref="C164">
    <cfRule type="cellIs" dxfId="86" priority="1227" operator="equal">
      <formula>$U$1</formula>
    </cfRule>
    <cfRule type="cellIs" dxfId="85" priority="1228" operator="equal">
      <formula>$S$1</formula>
    </cfRule>
  </conditionalFormatting>
  <conditionalFormatting sqref="D164">
    <cfRule type="cellIs" dxfId="84" priority="1225" operator="equal">
      <formula>$S$1</formula>
    </cfRule>
    <cfRule type="cellIs" dxfId="83" priority="1226" operator="equal">
      <formula>$U$1</formula>
    </cfRule>
  </conditionalFormatting>
  <conditionalFormatting sqref="C55">
    <cfRule type="cellIs" dxfId="82" priority="1223" operator="equal">
      <formula>$U$1</formula>
    </cfRule>
    <cfRule type="cellIs" dxfId="81" priority="1224" operator="equal">
      <formula>$S$1</formula>
    </cfRule>
  </conditionalFormatting>
  <conditionalFormatting sqref="D55">
    <cfRule type="cellIs" dxfId="80" priority="1221" operator="equal">
      <formula>$S$1</formula>
    </cfRule>
    <cfRule type="cellIs" dxfId="79" priority="1222" operator="equal">
      <formula>$U$1</formula>
    </cfRule>
  </conditionalFormatting>
  <conditionalFormatting sqref="C89">
    <cfRule type="cellIs" dxfId="78" priority="1219" operator="equal">
      <formula>$U$1</formula>
    </cfRule>
    <cfRule type="cellIs" dxfId="77" priority="1220" operator="equal">
      <formula>$S$1</formula>
    </cfRule>
  </conditionalFormatting>
  <conditionalFormatting sqref="D89">
    <cfRule type="cellIs" dxfId="76" priority="1217" operator="equal">
      <formula>$S$1</formula>
    </cfRule>
    <cfRule type="cellIs" dxfId="75" priority="1218" operator="equal">
      <formula>$U$1</formula>
    </cfRule>
  </conditionalFormatting>
  <conditionalFormatting sqref="C136">
    <cfRule type="cellIs" dxfId="74" priority="1215" operator="equal">
      <formula>$U$1</formula>
    </cfRule>
    <cfRule type="cellIs" dxfId="73" priority="1216" operator="equal">
      <formula>$S$1</formula>
    </cfRule>
  </conditionalFormatting>
  <conditionalFormatting sqref="D136">
    <cfRule type="cellIs" dxfId="72" priority="1213" operator="equal">
      <formula>$S$1</formula>
    </cfRule>
    <cfRule type="cellIs" dxfId="71" priority="1214" operator="equal">
      <formula>$U$1</formula>
    </cfRule>
  </conditionalFormatting>
  <conditionalFormatting sqref="C1">
    <cfRule type="cellIs" dxfId="70" priority="1212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84" zoomScale="90" zoomScaleNormal="90" workbookViewId="0">
      <pane xSplit="4" topLeftCell="DX1" activePane="topRight" state="frozen"/>
      <selection activeCell="A109" sqref="A109"/>
      <selection pane="topRight" activeCell="GO215" sqref="GO215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$A$214</v>
      </c>
      <c r="D111" s="1" t="str">
        <f>ADDRESS(C121-1,D121,1,1)</f>
        <v>$GO$214</v>
      </c>
      <c r="E111"/>
    </row>
    <row r="112" spans="1:5" x14ac:dyDescent="0.25">
      <c r="A112" s="30">
        <v>515.50191262726139</v>
      </c>
      <c r="C112" s="1" t="str">
        <f>ADDRESS(C121,1,1,1)</f>
        <v>$A$215</v>
      </c>
      <c r="D112" s="1" t="str">
        <f>ADDRESS(C121,D121-1,1,1)</f>
        <v>$GN$215</v>
      </c>
      <c r="E112"/>
    </row>
    <row r="113" spans="1:5" x14ac:dyDescent="0.25">
      <c r="A113" s="30">
        <v>490.95420250215363</v>
      </c>
      <c r="C113" s="1" t="str">
        <f>ADDRESS(C121+1,1,1,1)</f>
        <v>$A$216</v>
      </c>
      <c r="D113" s="1" t="str">
        <f>ADDRESS(C121-1,D121+1,1,1)</f>
        <v>$GP$214</v>
      </c>
    </row>
    <row r="114" spans="1:5" x14ac:dyDescent="0.25">
      <c r="A114" s="30">
        <v>467.57543095443202</v>
      </c>
      <c r="C114" s="1" t="str">
        <f>ADDRESS(C121,D121,1,1)</f>
        <v>$GO$215</v>
      </c>
      <c r="D114" s="1" t="str">
        <f>ADDRESS(C121+1,D121+1,1,1)</f>
        <v>$GP$216</v>
      </c>
    </row>
    <row r="115" spans="1:5" x14ac:dyDescent="0.25">
      <c r="A115" s="30">
        <v>445.30993424231622</v>
      </c>
      <c r="C115" s="1" t="str">
        <f>ADDRESS(C121+1,D121,1,1)</f>
        <v>$GO$216</v>
      </c>
    </row>
    <row r="116" spans="1:5" x14ac:dyDescent="0.25">
      <c r="A116" s="30">
        <v>424.10469927839637</v>
      </c>
      <c r="C116" s="1">
        <f>C117-1</f>
        <v>214</v>
      </c>
    </row>
    <row r="117" spans="1:5" x14ac:dyDescent="0.25">
      <c r="A117" s="30">
        <v>403.9092374079965</v>
      </c>
      <c r="C117" s="1">
        <f>C121</f>
        <v>215</v>
      </c>
      <c r="D117" s="1">
        <f>D121</f>
        <v>197</v>
      </c>
    </row>
    <row r="118" spans="1:5" x14ac:dyDescent="0.25">
      <c r="A118" s="30">
        <v>384.6754641980919</v>
      </c>
      <c r="C118" s="1">
        <f>C117+1</f>
        <v>216</v>
      </c>
      <c r="D118" s="1">
        <f>D117+1</f>
        <v>198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215</v>
      </c>
      <c r="D121" s="19">
        <v>197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R215</v>
      </c>
      <c r="D123" s="1" t="str">
        <f>"C"&amp;D121</f>
        <v>C197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3.3863549408993889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196" x14ac:dyDescent="0.25">
      <c r="A193" s="30">
        <v>9.9059710923258422</v>
      </c>
      <c r="E193"/>
    </row>
    <row r="194" spans="1:196" x14ac:dyDescent="0.25">
      <c r="A194" s="30">
        <v>9.4342581831674686</v>
      </c>
      <c r="E194"/>
    </row>
    <row r="195" spans="1:196" x14ac:dyDescent="0.25">
      <c r="A195" s="30">
        <v>8.9850077934928265</v>
      </c>
      <c r="E195"/>
      <c r="FM195" s="31" t="s">
        <v>8</v>
      </c>
    </row>
    <row r="196" spans="1:196" x14ac:dyDescent="0.25">
      <c r="A196" s="30">
        <v>8.5571502795169767</v>
      </c>
      <c r="E196"/>
      <c r="FK196" s="27" t="s">
        <v>8</v>
      </c>
      <c r="FM196" s="27" t="s">
        <v>8</v>
      </c>
      <c r="FN196" s="31" t="s">
        <v>7</v>
      </c>
    </row>
    <row r="197" spans="1:196" x14ac:dyDescent="0.25">
      <c r="A197" s="30">
        <v>8.1496669328733109</v>
      </c>
      <c r="E197"/>
      <c r="DU197" s="27" t="s">
        <v>8</v>
      </c>
      <c r="FK197" s="27" t="s">
        <v>8</v>
      </c>
      <c r="FL197" s="27" t="s">
        <v>7</v>
      </c>
      <c r="FM197" s="27" t="s">
        <v>8</v>
      </c>
      <c r="FN197" s="27" t="s">
        <v>7</v>
      </c>
      <c r="FO197" s="31"/>
    </row>
    <row r="198" spans="1:196" x14ac:dyDescent="0.25">
      <c r="A198" s="30">
        <v>7.7615875551174378</v>
      </c>
      <c r="E198"/>
      <c r="DU198" s="27" t="s">
        <v>8</v>
      </c>
      <c r="DV198" s="27" t="s">
        <v>7</v>
      </c>
      <c r="DW198" s="27" t="s">
        <v>8</v>
      </c>
      <c r="FK198" s="27" t="s">
        <v>8</v>
      </c>
      <c r="FL198" s="27" t="s">
        <v>7</v>
      </c>
      <c r="FM198" s="27" t="s">
        <v>8</v>
      </c>
      <c r="FN198" s="27" t="s">
        <v>7</v>
      </c>
      <c r="FP198" s="31"/>
    </row>
    <row r="199" spans="1:196" x14ac:dyDescent="0.25">
      <c r="A199" s="30">
        <v>7.3919881477308929</v>
      </c>
      <c r="E199"/>
      <c r="DO199" s="27" t="s">
        <v>8</v>
      </c>
      <c r="DU199" s="27" t="s">
        <v>8</v>
      </c>
      <c r="DV199" s="27" t="s">
        <v>7</v>
      </c>
      <c r="DW199" s="27" t="s">
        <v>8</v>
      </c>
      <c r="DX199" s="27" t="s">
        <v>7</v>
      </c>
      <c r="FK199" s="27" t="s">
        <v>8</v>
      </c>
      <c r="FL199" s="27" t="s">
        <v>7</v>
      </c>
      <c r="FN199" s="27" t="s">
        <v>7</v>
      </c>
      <c r="FQ199" s="31"/>
    </row>
    <row r="200" spans="1:196" x14ac:dyDescent="0.25">
      <c r="A200" s="30">
        <v>7.0399887121246598</v>
      </c>
      <c r="E200"/>
      <c r="DO200" s="27" t="s">
        <v>8</v>
      </c>
      <c r="DP200" s="27" t="s">
        <v>7</v>
      </c>
      <c r="DS200" s="27" t="s">
        <v>8</v>
      </c>
      <c r="DU200" s="27" t="s">
        <v>8</v>
      </c>
      <c r="DV200" s="27" t="s">
        <v>7</v>
      </c>
      <c r="DW200" s="27" t="s">
        <v>8</v>
      </c>
      <c r="DX200" s="27" t="s">
        <v>7</v>
      </c>
      <c r="DY200" s="27" t="s">
        <v>8</v>
      </c>
      <c r="EE200" s="27" t="s">
        <v>8</v>
      </c>
      <c r="FI200" s="27" t="s">
        <v>8</v>
      </c>
      <c r="FK200" s="27" t="s">
        <v>8</v>
      </c>
      <c r="FN200" s="27" t="s">
        <v>7</v>
      </c>
      <c r="FO200" s="27" t="s">
        <v>8</v>
      </c>
      <c r="FR200" s="31"/>
    </row>
    <row r="201" spans="1:196" x14ac:dyDescent="0.25">
      <c r="A201" s="30">
        <v>6.7047511544044376</v>
      </c>
      <c r="E201"/>
      <c r="DO201" s="27" t="s">
        <v>8</v>
      </c>
      <c r="DP201" s="27" t="s">
        <v>7</v>
      </c>
      <c r="DQ201" s="27" t="s">
        <v>8</v>
      </c>
      <c r="DS201" s="27" t="s">
        <v>8</v>
      </c>
      <c r="DT201" s="27" t="s">
        <v>7</v>
      </c>
      <c r="DU201" s="27" t="s">
        <v>8</v>
      </c>
      <c r="DV201" s="27" t="s">
        <v>7</v>
      </c>
      <c r="DW201" s="27" t="s">
        <v>8</v>
      </c>
      <c r="DX201" s="27" t="s">
        <v>7</v>
      </c>
      <c r="DY201" s="27" t="s">
        <v>8</v>
      </c>
      <c r="DZ201" s="27" t="s">
        <v>7</v>
      </c>
      <c r="EE201" s="27" t="s">
        <v>8</v>
      </c>
      <c r="EF201" s="27" t="s">
        <v>7</v>
      </c>
      <c r="EG201" s="27" t="s">
        <v>8</v>
      </c>
      <c r="FG201" s="27" t="s">
        <v>8</v>
      </c>
      <c r="FI201" s="27" t="s">
        <v>8</v>
      </c>
      <c r="FJ201" s="27" t="s">
        <v>7</v>
      </c>
      <c r="FK201" s="27" t="s">
        <v>8</v>
      </c>
      <c r="FN201" s="27" t="s">
        <v>7</v>
      </c>
      <c r="FO201" s="27" t="s">
        <v>8</v>
      </c>
      <c r="FP201" s="27" t="s">
        <v>7</v>
      </c>
      <c r="FS201" s="33" t="s">
        <v>8</v>
      </c>
    </row>
    <row r="202" spans="1:196" x14ac:dyDescent="0.25">
      <c r="A202" s="30">
        <v>6.3854772899089882</v>
      </c>
      <c r="E202"/>
      <c r="DO202" s="27" t="s">
        <v>8</v>
      </c>
      <c r="DP202" s="27" t="s">
        <v>7</v>
      </c>
      <c r="DQ202" s="27" t="s">
        <v>8</v>
      </c>
      <c r="DR202" s="27" t="s">
        <v>7</v>
      </c>
      <c r="DS202" s="27" t="s">
        <v>8</v>
      </c>
      <c r="DT202" s="27" t="s">
        <v>7</v>
      </c>
      <c r="DU202" s="27" t="s">
        <v>8</v>
      </c>
      <c r="DV202" s="27" t="s">
        <v>7</v>
      </c>
      <c r="DX202" s="27" t="s">
        <v>7</v>
      </c>
      <c r="DY202" s="27" t="s">
        <v>8</v>
      </c>
      <c r="DZ202" s="27" t="s">
        <v>7</v>
      </c>
      <c r="EE202" s="27" t="s">
        <v>8</v>
      </c>
      <c r="EF202" s="27" t="s">
        <v>7</v>
      </c>
      <c r="EG202" s="27" t="s">
        <v>8</v>
      </c>
      <c r="EH202" s="27" t="s">
        <v>7</v>
      </c>
      <c r="EI202" s="31" t="s">
        <v>8</v>
      </c>
      <c r="FG202" s="27" t="s">
        <v>8</v>
      </c>
      <c r="FH202" s="27" t="s">
        <v>7</v>
      </c>
      <c r="FI202" s="27" t="s">
        <v>8</v>
      </c>
      <c r="FJ202" s="27" t="s">
        <v>7</v>
      </c>
      <c r="FK202" s="27" t="s">
        <v>8</v>
      </c>
      <c r="FN202" s="27" t="s">
        <v>7</v>
      </c>
      <c r="FO202" s="27" t="s">
        <v>8</v>
      </c>
      <c r="FP202" s="27" t="s">
        <v>7</v>
      </c>
      <c r="FQ202" s="27" t="s">
        <v>8</v>
      </c>
      <c r="FS202" s="27" t="s">
        <v>8</v>
      </c>
      <c r="FT202" s="31" t="s">
        <v>7</v>
      </c>
      <c r="FU202" s="31" t="s">
        <v>8</v>
      </c>
    </row>
    <row r="203" spans="1:196" x14ac:dyDescent="0.25">
      <c r="A203" s="30">
        <v>6.0814069427704647</v>
      </c>
      <c r="C203" s="7"/>
      <c r="D203"/>
      <c r="E203"/>
      <c r="DO203" s="27" t="s">
        <v>8</v>
      </c>
      <c r="DP203" s="27" t="s">
        <v>7</v>
      </c>
      <c r="DQ203" s="27" t="s">
        <v>8</v>
      </c>
      <c r="DR203" s="27" t="s">
        <v>7</v>
      </c>
      <c r="DS203" s="27" t="s">
        <v>8</v>
      </c>
      <c r="DT203" s="27" t="s">
        <v>7</v>
      </c>
      <c r="DX203" s="27" t="s">
        <v>7</v>
      </c>
      <c r="DZ203" s="27" t="s">
        <v>7</v>
      </c>
      <c r="EE203" s="27" t="s">
        <v>8</v>
      </c>
      <c r="EF203" s="27" t="s">
        <v>7</v>
      </c>
      <c r="EG203" s="27" t="s">
        <v>8</v>
      </c>
      <c r="EH203" s="27" t="s">
        <v>7</v>
      </c>
      <c r="EI203" s="27" t="s">
        <v>8</v>
      </c>
      <c r="EJ203" s="31" t="s">
        <v>7</v>
      </c>
      <c r="FG203" s="27" t="s">
        <v>8</v>
      </c>
      <c r="FH203" s="27" t="s">
        <v>7</v>
      </c>
      <c r="FI203" s="27" t="s">
        <v>8</v>
      </c>
      <c r="FJ203" s="27" t="s">
        <v>7</v>
      </c>
      <c r="FN203" s="27" t="s">
        <v>7</v>
      </c>
      <c r="FO203" s="27" t="s">
        <v>8</v>
      </c>
      <c r="FP203" s="27" t="s">
        <v>7</v>
      </c>
      <c r="FQ203" s="27" t="s">
        <v>8</v>
      </c>
      <c r="FR203" s="27" t="s">
        <v>7</v>
      </c>
      <c r="FS203" s="27" t="s">
        <v>8</v>
      </c>
      <c r="FT203" s="27" t="s">
        <v>7</v>
      </c>
      <c r="FU203" s="19" t="s">
        <v>8</v>
      </c>
      <c r="FV203" s="31" t="s">
        <v>7</v>
      </c>
    </row>
    <row r="204" spans="1:196" x14ac:dyDescent="0.25">
      <c r="A204" s="30">
        <v>5.7918161359718709</v>
      </c>
      <c r="E204"/>
      <c r="DO204" s="27" t="s">
        <v>8</v>
      </c>
      <c r="DP204" s="27" t="s">
        <v>7</v>
      </c>
      <c r="DQ204" s="27" t="s">
        <v>8</v>
      </c>
      <c r="DR204" s="27" t="s">
        <v>7</v>
      </c>
      <c r="DS204" s="27" t="s">
        <v>8</v>
      </c>
      <c r="DZ204" s="27" t="s">
        <v>7</v>
      </c>
      <c r="EA204" s="27" t="s">
        <v>8</v>
      </c>
      <c r="EE204" s="27" t="s">
        <v>8</v>
      </c>
      <c r="EF204" s="27" t="s">
        <v>7</v>
      </c>
      <c r="EH204" s="27" t="s">
        <v>7</v>
      </c>
      <c r="EI204" s="27" t="s">
        <v>8</v>
      </c>
      <c r="EJ204" s="27" t="s">
        <v>7</v>
      </c>
      <c r="EK204" s="31" t="s">
        <v>8</v>
      </c>
      <c r="FE204" s="27" t="s">
        <v>8</v>
      </c>
      <c r="FG204" s="27" t="s">
        <v>8</v>
      </c>
      <c r="FH204" s="27" t="s">
        <v>7</v>
      </c>
      <c r="FI204" s="27" t="s">
        <v>8</v>
      </c>
      <c r="FN204" s="31" t="s">
        <v>7</v>
      </c>
      <c r="FO204" s="27" t="s">
        <v>8</v>
      </c>
      <c r="FP204" s="27" t="s">
        <v>7</v>
      </c>
      <c r="FQ204" s="27" t="s">
        <v>8</v>
      </c>
      <c r="FR204" s="27" t="s">
        <v>7</v>
      </c>
      <c r="FS204" s="27" t="s">
        <v>8</v>
      </c>
      <c r="FT204" s="27" t="s">
        <v>7</v>
      </c>
      <c r="FU204" s="27" t="s">
        <v>8</v>
      </c>
      <c r="FV204" s="27" t="s">
        <v>7</v>
      </c>
      <c r="FW204" s="31" t="s">
        <v>8</v>
      </c>
      <c r="GM204" s="27" t="s">
        <v>8</v>
      </c>
    </row>
    <row r="205" spans="1:196" x14ac:dyDescent="0.25">
      <c r="A205" s="30">
        <v>5.5160153675922574</v>
      </c>
      <c r="E205"/>
      <c r="BI205" s="27" t="s">
        <v>8</v>
      </c>
      <c r="DE205" s="27" t="s">
        <v>8</v>
      </c>
      <c r="DO205" s="27" t="s">
        <v>8</v>
      </c>
      <c r="DP205" s="27" t="s">
        <v>7</v>
      </c>
      <c r="DQ205" s="27" t="s">
        <v>8</v>
      </c>
      <c r="DR205" s="27" t="s">
        <v>7</v>
      </c>
      <c r="DS205" s="27" t="s">
        <v>8</v>
      </c>
      <c r="DZ205" s="27" t="s">
        <v>7</v>
      </c>
      <c r="EA205" s="27" t="s">
        <v>8</v>
      </c>
      <c r="EB205" s="27" t="s">
        <v>7</v>
      </c>
      <c r="EE205" s="27" t="s">
        <v>8</v>
      </c>
      <c r="EH205" s="27" t="s">
        <v>7</v>
      </c>
      <c r="EI205" s="27" t="s">
        <v>8</v>
      </c>
      <c r="EJ205" s="27" t="s">
        <v>7</v>
      </c>
      <c r="EK205" s="27" t="s">
        <v>8</v>
      </c>
      <c r="EL205" s="31" t="s">
        <v>7</v>
      </c>
      <c r="ES205" s="27" t="s">
        <v>8</v>
      </c>
      <c r="FC205" s="27" t="s">
        <v>8</v>
      </c>
      <c r="FE205" s="27" t="s">
        <v>8</v>
      </c>
      <c r="FF205" s="27" t="s">
        <v>7</v>
      </c>
      <c r="FG205" s="27" t="s">
        <v>8</v>
      </c>
      <c r="FH205" s="27" t="s">
        <v>7</v>
      </c>
      <c r="FM205" s="31"/>
      <c r="FN205" s="27" t="s">
        <v>7</v>
      </c>
      <c r="FP205" s="27" t="s">
        <v>7</v>
      </c>
      <c r="FQ205" s="27" t="s">
        <v>8</v>
      </c>
      <c r="FR205" s="27" t="s">
        <v>7</v>
      </c>
      <c r="FS205" s="27" t="s">
        <v>8</v>
      </c>
      <c r="FT205" s="27" t="s">
        <v>7</v>
      </c>
      <c r="FU205" s="27" t="s">
        <v>8</v>
      </c>
      <c r="FV205" s="27" t="s">
        <v>7</v>
      </c>
      <c r="FW205" s="27" t="s">
        <v>8</v>
      </c>
      <c r="FX205" s="31" t="s">
        <v>7</v>
      </c>
      <c r="FY205" s="27" t="s">
        <v>8</v>
      </c>
      <c r="GA205" s="27" t="s">
        <v>8</v>
      </c>
      <c r="GM205" s="27" t="s">
        <v>8</v>
      </c>
      <c r="GN205" s="27" t="s">
        <v>7</v>
      </c>
    </row>
    <row r="206" spans="1:196" x14ac:dyDescent="0.25">
      <c r="A206" s="30">
        <v>5.2533479691354827</v>
      </c>
      <c r="C206"/>
      <c r="D206"/>
      <c r="E206"/>
      <c r="BI206" s="27" t="s">
        <v>8</v>
      </c>
      <c r="BJ206" s="27" t="s">
        <v>7</v>
      </c>
      <c r="DE206" s="27" t="s">
        <v>8</v>
      </c>
      <c r="DF206" s="27" t="s">
        <v>7</v>
      </c>
      <c r="DI206" s="27" t="s">
        <v>8</v>
      </c>
      <c r="DO206" s="27" t="s">
        <v>8</v>
      </c>
      <c r="DP206" s="27" t="s">
        <v>7</v>
      </c>
      <c r="DR206" s="27" t="s">
        <v>7</v>
      </c>
      <c r="DS206" s="27" t="s">
        <v>8</v>
      </c>
      <c r="DZ206" s="27" t="s">
        <v>7</v>
      </c>
      <c r="EA206" s="27" t="s">
        <v>8</v>
      </c>
      <c r="EB206" s="27" t="s">
        <v>7</v>
      </c>
      <c r="EE206" s="27" t="s">
        <v>8</v>
      </c>
      <c r="EH206" s="27" t="s">
        <v>7</v>
      </c>
      <c r="EJ206" s="27" t="s">
        <v>7</v>
      </c>
      <c r="EK206" s="27" t="s">
        <v>8</v>
      </c>
      <c r="EL206" s="27" t="s">
        <v>7</v>
      </c>
      <c r="EM206" s="31"/>
      <c r="ES206" s="27" t="s">
        <v>8</v>
      </c>
      <c r="ET206" s="27" t="s">
        <v>7</v>
      </c>
      <c r="EU206" s="27" t="s">
        <v>8</v>
      </c>
      <c r="FC206" s="27" t="s">
        <v>8</v>
      </c>
      <c r="FD206" s="27" t="s">
        <v>7</v>
      </c>
      <c r="FE206" s="27" t="s">
        <v>8</v>
      </c>
      <c r="FF206" s="27" t="s">
        <v>7</v>
      </c>
      <c r="FG206" s="27" t="s">
        <v>8</v>
      </c>
      <c r="FL206" s="31"/>
      <c r="FP206" s="27" t="s">
        <v>7</v>
      </c>
      <c r="FQ206" s="27" t="s">
        <v>8</v>
      </c>
      <c r="FR206" s="27" t="s">
        <v>7</v>
      </c>
      <c r="FS206" s="27" t="s">
        <v>8</v>
      </c>
      <c r="FT206" s="27" t="s">
        <v>7</v>
      </c>
      <c r="FU206" s="27" t="s">
        <v>8</v>
      </c>
      <c r="FV206" s="27" t="s">
        <v>7</v>
      </c>
      <c r="FW206" s="27" t="s">
        <v>8</v>
      </c>
      <c r="FX206" s="27" t="s">
        <v>7</v>
      </c>
      <c r="FY206" s="27" t="s">
        <v>8</v>
      </c>
      <c r="FZ206" s="27" t="s">
        <v>7</v>
      </c>
      <c r="GA206" s="27" t="s">
        <v>8</v>
      </c>
      <c r="GB206" s="27" t="s">
        <v>7</v>
      </c>
      <c r="GM206" s="27" t="s">
        <v>8</v>
      </c>
      <c r="GN206" s="27" t="s">
        <v>7</v>
      </c>
    </row>
    <row r="207" spans="1:196" x14ac:dyDescent="0.25">
      <c r="A207" s="30">
        <v>5.0031885420337927</v>
      </c>
      <c r="E207"/>
      <c r="BG207" s="27" t="s">
        <v>8</v>
      </c>
      <c r="BI207" s="27" t="s">
        <v>8</v>
      </c>
      <c r="BJ207" s="27" t="s">
        <v>7</v>
      </c>
      <c r="DE207" s="27" t="s">
        <v>8</v>
      </c>
      <c r="DF207" s="27" t="s">
        <v>7</v>
      </c>
      <c r="DG207" s="27" t="s">
        <v>8</v>
      </c>
      <c r="DI207" s="27" t="s">
        <v>8</v>
      </c>
      <c r="DJ207" s="27" t="s">
        <v>7</v>
      </c>
      <c r="DO207" s="27" t="s">
        <v>8</v>
      </c>
      <c r="DR207" s="27" t="s">
        <v>7</v>
      </c>
      <c r="DS207" s="27" t="s">
        <v>8</v>
      </c>
      <c r="DZ207" s="27" t="s">
        <v>7</v>
      </c>
      <c r="EA207" s="27" t="s">
        <v>8</v>
      </c>
      <c r="EB207" s="27" t="s">
        <v>7</v>
      </c>
      <c r="EE207" s="27" t="s">
        <v>8</v>
      </c>
      <c r="EJ207" s="27" t="s">
        <v>7</v>
      </c>
      <c r="EL207" s="27" t="s">
        <v>7</v>
      </c>
      <c r="EN207" s="31"/>
      <c r="ES207" s="27" t="s">
        <v>8</v>
      </c>
      <c r="ET207" s="27" t="s">
        <v>7</v>
      </c>
      <c r="EU207" s="27" t="s">
        <v>8</v>
      </c>
      <c r="EV207" s="27" t="s">
        <v>7</v>
      </c>
      <c r="FC207" s="33" t="s">
        <v>8</v>
      </c>
      <c r="FD207" s="27" t="s">
        <v>7</v>
      </c>
      <c r="FE207" s="27" t="s">
        <v>8</v>
      </c>
      <c r="FF207" s="27" t="s">
        <v>7</v>
      </c>
      <c r="FK207" s="31"/>
      <c r="FP207" s="27" t="s">
        <v>7</v>
      </c>
      <c r="FQ207" s="27" t="s">
        <v>8</v>
      </c>
      <c r="FR207" s="32" t="s">
        <v>7</v>
      </c>
      <c r="FT207" s="32" t="s">
        <v>7</v>
      </c>
      <c r="FV207" s="32" t="s">
        <v>7</v>
      </c>
      <c r="FX207" s="27" t="s">
        <v>7</v>
      </c>
      <c r="FY207" s="27" t="s">
        <v>8</v>
      </c>
      <c r="FZ207" s="27" t="s">
        <v>7</v>
      </c>
      <c r="GA207" s="27" t="s">
        <v>8</v>
      </c>
      <c r="GB207" s="27" t="s">
        <v>7</v>
      </c>
      <c r="GI207" s="27" t="s">
        <v>8</v>
      </c>
      <c r="GK207" s="27" t="s">
        <v>8</v>
      </c>
      <c r="GM207" s="27" t="s">
        <v>8</v>
      </c>
      <c r="GN207" s="27" t="s">
        <v>7</v>
      </c>
    </row>
    <row r="208" spans="1:196" x14ac:dyDescent="0.25">
      <c r="A208" s="30">
        <v>4.7649414686036122</v>
      </c>
      <c r="E208"/>
      <c r="BG208" s="27" t="s">
        <v>8</v>
      </c>
      <c r="BH208" s="27" t="s">
        <v>7</v>
      </c>
      <c r="BI208" s="27" t="s">
        <v>8</v>
      </c>
      <c r="BJ208" s="27" t="s">
        <v>7</v>
      </c>
      <c r="BK208" s="27" t="s">
        <v>8</v>
      </c>
      <c r="DE208" s="27" t="s">
        <v>8</v>
      </c>
      <c r="DF208" s="27" t="s">
        <v>7</v>
      </c>
      <c r="DG208" s="27" t="s">
        <v>8</v>
      </c>
      <c r="DH208" s="27" t="s">
        <v>7</v>
      </c>
      <c r="DI208" s="27" t="s">
        <v>8</v>
      </c>
      <c r="DJ208" s="27" t="s">
        <v>7</v>
      </c>
      <c r="DM208" s="27" t="s">
        <v>8</v>
      </c>
      <c r="DO208" s="27" t="s">
        <v>8</v>
      </c>
      <c r="DR208" s="27" t="s">
        <v>7</v>
      </c>
      <c r="DS208" s="27" t="s">
        <v>8</v>
      </c>
      <c r="DZ208" s="27" t="s">
        <v>7</v>
      </c>
      <c r="EA208" s="27" t="s">
        <v>8</v>
      </c>
      <c r="EB208" s="27" t="s">
        <v>7</v>
      </c>
      <c r="EE208" s="27" t="s">
        <v>8</v>
      </c>
      <c r="EL208" s="27" t="s">
        <v>7</v>
      </c>
      <c r="EO208" s="31"/>
      <c r="ES208" s="27" t="s">
        <v>8</v>
      </c>
      <c r="ET208" s="27" t="s">
        <v>7</v>
      </c>
      <c r="EU208" s="27" t="s">
        <v>8</v>
      </c>
      <c r="EV208" s="27" t="s">
        <v>7</v>
      </c>
      <c r="FA208" s="27" t="s">
        <v>8</v>
      </c>
      <c r="FC208" s="27" t="s">
        <v>8</v>
      </c>
      <c r="FD208" s="27" t="s">
        <v>7</v>
      </c>
      <c r="FJ208" s="31"/>
      <c r="FP208" s="27" t="s">
        <v>7</v>
      </c>
      <c r="FX208" s="34" t="s">
        <v>7</v>
      </c>
      <c r="FZ208" s="27" t="s">
        <v>7</v>
      </c>
      <c r="GB208" s="27" t="s">
        <v>7</v>
      </c>
      <c r="GI208" s="27" t="s">
        <v>8</v>
      </c>
      <c r="GJ208" s="27" t="s">
        <v>7</v>
      </c>
      <c r="GK208" s="27" t="s">
        <v>8</v>
      </c>
      <c r="GL208" s="27" t="s">
        <v>7</v>
      </c>
      <c r="GM208" s="27" t="s">
        <v>8</v>
      </c>
      <c r="GN208" s="27" t="s">
        <v>7</v>
      </c>
    </row>
    <row r="209" spans="1:197" x14ac:dyDescent="0.25">
      <c r="A209" s="30">
        <v>4.5380394939082018</v>
      </c>
      <c r="E209"/>
      <c r="BG209" s="27" t="s">
        <v>8</v>
      </c>
      <c r="BH209" s="27" t="s">
        <v>7</v>
      </c>
      <c r="BI209" s="27" t="s">
        <v>8</v>
      </c>
      <c r="BJ209" s="27" t="s">
        <v>7</v>
      </c>
      <c r="BK209" s="27" t="s">
        <v>8</v>
      </c>
      <c r="BL209" s="27" t="s">
        <v>7</v>
      </c>
      <c r="DE209" s="27" t="s">
        <v>8</v>
      </c>
      <c r="DF209" s="27" t="s">
        <v>7</v>
      </c>
      <c r="DG209" s="27" t="s">
        <v>8</v>
      </c>
      <c r="DH209" s="27" t="s">
        <v>7</v>
      </c>
      <c r="DI209" s="27" t="s">
        <v>8</v>
      </c>
      <c r="DJ209" s="27" t="s">
        <v>7</v>
      </c>
      <c r="DM209" s="27" t="s">
        <v>8</v>
      </c>
      <c r="DN209" s="27" t="s">
        <v>7</v>
      </c>
      <c r="DO209" s="27" t="s">
        <v>8</v>
      </c>
      <c r="DR209" s="27" t="s">
        <v>7</v>
      </c>
      <c r="DS209" s="27" t="s">
        <v>8</v>
      </c>
      <c r="DZ209" s="27" t="s">
        <v>7</v>
      </c>
      <c r="EA209" s="27" t="s">
        <v>8</v>
      </c>
      <c r="EB209" s="27" t="s">
        <v>7</v>
      </c>
      <c r="EC209" s="27" t="s">
        <v>8</v>
      </c>
      <c r="EE209" s="27" t="s">
        <v>8</v>
      </c>
      <c r="EL209" s="27" t="s">
        <v>7</v>
      </c>
      <c r="EP209" s="31"/>
      <c r="ES209" s="27" t="s">
        <v>8</v>
      </c>
      <c r="ET209" s="27" t="s">
        <v>7</v>
      </c>
      <c r="EV209" s="27" t="s">
        <v>7</v>
      </c>
      <c r="EY209" s="33" t="s">
        <v>8</v>
      </c>
      <c r="FA209" s="27" t="s">
        <v>8</v>
      </c>
      <c r="FB209" s="27" t="s">
        <v>7</v>
      </c>
      <c r="FC209" s="27" t="s">
        <v>8</v>
      </c>
      <c r="FI209" s="31"/>
      <c r="GB209" s="27" t="s">
        <v>7</v>
      </c>
      <c r="GI209" s="27" t="s">
        <v>8</v>
      </c>
      <c r="GJ209" s="27" t="s">
        <v>7</v>
      </c>
      <c r="GK209" s="27" t="s">
        <v>8</v>
      </c>
      <c r="GL209" s="27" t="s">
        <v>7</v>
      </c>
      <c r="GM209" s="27" t="s">
        <v>8</v>
      </c>
      <c r="GN209" s="27" t="s">
        <v>7</v>
      </c>
    </row>
    <row r="210" spans="1:197" x14ac:dyDescent="0.25">
      <c r="A210" s="30">
        <v>4.3219423751506678</v>
      </c>
      <c r="C210"/>
      <c r="E210"/>
      <c r="BG210" s="27" t="s">
        <v>8</v>
      </c>
      <c r="BH210" s="27" t="s">
        <v>7</v>
      </c>
      <c r="BI210" s="27" t="s">
        <v>8</v>
      </c>
      <c r="BJ210" s="27" t="s">
        <v>7</v>
      </c>
      <c r="BK210" s="27" t="s">
        <v>8</v>
      </c>
      <c r="BL210" s="27" t="s">
        <v>7</v>
      </c>
      <c r="BM210" s="27" t="s">
        <v>8</v>
      </c>
      <c r="DE210" s="27" t="s">
        <v>8</v>
      </c>
      <c r="DF210" s="27" t="s">
        <v>7</v>
      </c>
      <c r="DG210" s="27" t="s">
        <v>8</v>
      </c>
      <c r="DH210" s="27" t="s">
        <v>7</v>
      </c>
      <c r="DJ210" s="27" t="s">
        <v>7</v>
      </c>
      <c r="DM210" s="27" t="s">
        <v>8</v>
      </c>
      <c r="DN210" s="27" t="s">
        <v>7</v>
      </c>
      <c r="DO210" s="27" t="s">
        <v>8</v>
      </c>
      <c r="DR210" s="27" t="s">
        <v>7</v>
      </c>
      <c r="DZ210" s="27" t="s">
        <v>7</v>
      </c>
      <c r="EA210" s="27" t="s">
        <v>8</v>
      </c>
      <c r="EB210" s="27" t="s">
        <v>7</v>
      </c>
      <c r="EC210" s="27" t="s">
        <v>8</v>
      </c>
      <c r="ED210" s="27" t="s">
        <v>7</v>
      </c>
      <c r="EE210" s="27" t="s">
        <v>8</v>
      </c>
      <c r="EL210" s="27" t="s">
        <v>7</v>
      </c>
      <c r="EQ210" s="31"/>
      <c r="ES210" s="27" t="s">
        <v>8</v>
      </c>
      <c r="EV210" s="34" t="s">
        <v>7</v>
      </c>
      <c r="EW210" s="27" t="s">
        <v>8</v>
      </c>
      <c r="EY210" s="27" t="s">
        <v>8</v>
      </c>
      <c r="EZ210" s="27" t="s">
        <v>7</v>
      </c>
      <c r="FA210" s="27" t="s">
        <v>8</v>
      </c>
      <c r="FB210" s="27" t="s">
        <v>7</v>
      </c>
      <c r="FC210" s="27" t="s">
        <v>8</v>
      </c>
      <c r="FH210" s="31"/>
      <c r="GB210" s="27" t="s">
        <v>7</v>
      </c>
      <c r="GI210" s="27" t="s">
        <v>8</v>
      </c>
      <c r="GJ210" s="27" t="s">
        <v>7</v>
      </c>
      <c r="GK210" s="27" t="s">
        <v>8</v>
      </c>
      <c r="GL210" s="27" t="s">
        <v>7</v>
      </c>
      <c r="GM210" s="27" t="s">
        <v>8</v>
      </c>
      <c r="GN210" s="27" t="s">
        <v>7</v>
      </c>
    </row>
    <row r="211" spans="1:197" x14ac:dyDescent="0.25">
      <c r="A211" s="30">
        <v>4.1161355953815884</v>
      </c>
      <c r="E211"/>
      <c r="BG211" s="27" t="s">
        <v>8</v>
      </c>
      <c r="BH211" s="27" t="s">
        <v>7</v>
      </c>
      <c r="BI211" s="27" t="s">
        <v>8</v>
      </c>
      <c r="BJ211" s="27" t="s">
        <v>7</v>
      </c>
      <c r="BK211" s="27" t="s">
        <v>8</v>
      </c>
      <c r="BL211" s="27" t="s">
        <v>7</v>
      </c>
      <c r="BM211" s="27" t="s">
        <v>8</v>
      </c>
      <c r="BN211" s="27" t="s">
        <v>7</v>
      </c>
      <c r="DE211" s="27" t="s">
        <v>8</v>
      </c>
      <c r="DF211" s="27" t="s">
        <v>7</v>
      </c>
      <c r="DG211" s="27" t="s">
        <v>8</v>
      </c>
      <c r="DJ211" s="27" t="s">
        <v>7</v>
      </c>
      <c r="DK211" s="27" t="s">
        <v>8</v>
      </c>
      <c r="DM211" s="27" t="s">
        <v>8</v>
      </c>
      <c r="DN211" s="27" t="s">
        <v>7</v>
      </c>
      <c r="DO211" s="27" t="s">
        <v>8</v>
      </c>
      <c r="DZ211" s="27" t="s">
        <v>7</v>
      </c>
      <c r="EB211" s="27" t="s">
        <v>7</v>
      </c>
      <c r="EC211" s="27" t="s">
        <v>8</v>
      </c>
      <c r="ED211" s="27" t="s">
        <v>7</v>
      </c>
      <c r="EE211" s="27" t="s">
        <v>8</v>
      </c>
      <c r="EL211" s="27" t="s">
        <v>7</v>
      </c>
      <c r="EM211" s="27" t="s">
        <v>8</v>
      </c>
      <c r="EQ211" s="27" t="s">
        <v>8</v>
      </c>
      <c r="ER211" s="31"/>
      <c r="ES211" s="27" t="s">
        <v>8</v>
      </c>
      <c r="EV211" s="27" t="s">
        <v>7</v>
      </c>
      <c r="EW211" s="27" t="s">
        <v>8</v>
      </c>
      <c r="EX211" s="27" t="s">
        <v>7</v>
      </c>
      <c r="EY211" s="27" t="s">
        <v>8</v>
      </c>
      <c r="EZ211" s="27" t="s">
        <v>7</v>
      </c>
      <c r="FA211" s="27" t="s">
        <v>8</v>
      </c>
      <c r="FB211" s="27" t="s">
        <v>7</v>
      </c>
      <c r="FC211" s="27" t="s">
        <v>8</v>
      </c>
      <c r="FG211" s="31"/>
      <c r="GB211" s="27" t="s">
        <v>7</v>
      </c>
      <c r="GC211" s="27" t="s">
        <v>8</v>
      </c>
      <c r="GE211" s="27" t="s">
        <v>8</v>
      </c>
      <c r="GG211" s="27" t="s">
        <v>8</v>
      </c>
      <c r="GI211" s="27" t="s">
        <v>8</v>
      </c>
      <c r="GJ211" s="27" t="s">
        <v>7</v>
      </c>
      <c r="GK211" s="27" t="s">
        <v>8</v>
      </c>
      <c r="GL211" s="27" t="s">
        <v>7</v>
      </c>
      <c r="GN211" s="27" t="s">
        <v>7</v>
      </c>
    </row>
    <row r="212" spans="1:197" x14ac:dyDescent="0.25">
      <c r="A212" s="30">
        <v>3.9201291384586554</v>
      </c>
      <c r="E212"/>
      <c r="BG212" s="27" t="s">
        <v>8</v>
      </c>
      <c r="BH212" s="27" t="s">
        <v>7</v>
      </c>
      <c r="BI212" s="27" t="s">
        <v>8</v>
      </c>
      <c r="BJ212" s="27" t="s">
        <v>7</v>
      </c>
      <c r="BL212" s="27" t="s">
        <v>7</v>
      </c>
      <c r="BM212" s="27" t="s">
        <v>8</v>
      </c>
      <c r="BN212" s="27" t="s">
        <v>7</v>
      </c>
      <c r="DE212" s="27" t="s">
        <v>8</v>
      </c>
      <c r="DF212" s="27" t="s">
        <v>7</v>
      </c>
      <c r="DG212" s="27" t="s">
        <v>8</v>
      </c>
      <c r="DJ212" s="27" t="s">
        <v>7</v>
      </c>
      <c r="DK212" s="27" t="s">
        <v>8</v>
      </c>
      <c r="DL212" s="27" t="s">
        <v>7</v>
      </c>
      <c r="DM212" s="27" t="s">
        <v>8</v>
      </c>
      <c r="DN212" s="27" t="s">
        <v>7</v>
      </c>
      <c r="DO212" s="27" t="s">
        <v>8</v>
      </c>
      <c r="EB212" s="27" t="s">
        <v>7</v>
      </c>
      <c r="EC212" s="27" t="s">
        <v>8</v>
      </c>
      <c r="ED212" s="27" t="s">
        <v>7</v>
      </c>
      <c r="EL212" s="27" t="s">
        <v>7</v>
      </c>
      <c r="EM212" s="27" t="s">
        <v>8</v>
      </c>
      <c r="EN212" s="27" t="s">
        <v>7</v>
      </c>
      <c r="EQ212" s="27" t="s">
        <v>8</v>
      </c>
      <c r="ER212" s="27" t="s">
        <v>7</v>
      </c>
      <c r="ES212" s="31" t="s">
        <v>8</v>
      </c>
      <c r="EV212" s="27" t="s">
        <v>7</v>
      </c>
      <c r="EW212" s="27" t="s">
        <v>8</v>
      </c>
      <c r="EX212" s="27" t="s">
        <v>7</v>
      </c>
      <c r="EY212" s="27" t="s">
        <v>8</v>
      </c>
      <c r="EZ212" s="27" t="s">
        <v>7</v>
      </c>
      <c r="FA212" s="27" t="s">
        <v>8</v>
      </c>
      <c r="FB212" s="27" t="s">
        <v>7</v>
      </c>
      <c r="FC212" s="27" t="s">
        <v>8</v>
      </c>
      <c r="FF212" s="31"/>
      <c r="GB212" s="27" t="s">
        <v>7</v>
      </c>
      <c r="GC212" s="27" t="s">
        <v>8</v>
      </c>
      <c r="GD212" s="27" t="s">
        <v>7</v>
      </c>
      <c r="GE212" s="27" t="s">
        <v>8</v>
      </c>
      <c r="GF212" s="27" t="s">
        <v>7</v>
      </c>
      <c r="GG212" s="27" t="s">
        <v>8</v>
      </c>
      <c r="GH212" s="27" t="s">
        <v>7</v>
      </c>
      <c r="GI212" s="27" t="s">
        <v>8</v>
      </c>
      <c r="GJ212" s="27" t="s">
        <v>7</v>
      </c>
      <c r="GN212" s="27" t="s">
        <v>7</v>
      </c>
    </row>
    <row r="213" spans="1:197" x14ac:dyDescent="0.25">
      <c r="A213" s="30">
        <v>3.7334563223415764</v>
      </c>
      <c r="E213"/>
      <c r="BG213" s="27" t="s">
        <v>8</v>
      </c>
      <c r="BH213" s="27" t="s">
        <v>7</v>
      </c>
      <c r="BL213" s="27" t="s">
        <v>7</v>
      </c>
      <c r="BM213" s="27" t="s">
        <v>8</v>
      </c>
      <c r="BN213" s="27" t="s">
        <v>7</v>
      </c>
      <c r="DE213" s="27" t="s">
        <v>8</v>
      </c>
      <c r="DF213" s="27" t="s">
        <v>7</v>
      </c>
      <c r="DJ213" s="27" t="s">
        <v>7</v>
      </c>
      <c r="DK213" s="27" t="s">
        <v>8</v>
      </c>
      <c r="DL213" s="27" t="s">
        <v>7</v>
      </c>
      <c r="DM213" s="27" t="s">
        <v>8</v>
      </c>
      <c r="DN213" s="27" t="s">
        <v>7</v>
      </c>
      <c r="EB213" s="27" t="s">
        <v>7</v>
      </c>
      <c r="EC213" s="27" t="s">
        <v>8</v>
      </c>
      <c r="EL213" s="27" t="s">
        <v>7</v>
      </c>
      <c r="EM213" s="27" t="s">
        <v>8</v>
      </c>
      <c r="EN213" s="27" t="s">
        <v>7</v>
      </c>
      <c r="EQ213" s="27" t="s">
        <v>8</v>
      </c>
      <c r="ER213" s="27" t="s">
        <v>7</v>
      </c>
      <c r="ES213" s="27" t="s">
        <v>8</v>
      </c>
      <c r="EV213" s="27" t="s">
        <v>7</v>
      </c>
      <c r="EW213" s="27" t="s">
        <v>8</v>
      </c>
      <c r="EX213" s="27" t="s">
        <v>7</v>
      </c>
      <c r="EY213" s="27" t="s">
        <v>8</v>
      </c>
      <c r="EZ213" s="27" t="s">
        <v>7</v>
      </c>
      <c r="FB213" s="27" t="s">
        <v>7</v>
      </c>
      <c r="FC213" s="27" t="s">
        <v>8</v>
      </c>
      <c r="FE213" s="31"/>
      <c r="GB213" s="27" t="s">
        <v>7</v>
      </c>
      <c r="GC213" s="27" t="s">
        <v>8</v>
      </c>
      <c r="GD213" s="27" t="s">
        <v>7</v>
      </c>
      <c r="GE213" s="27" t="s">
        <v>8</v>
      </c>
      <c r="GF213" s="27" t="s">
        <v>7</v>
      </c>
      <c r="GG213" s="27" t="s">
        <v>8</v>
      </c>
      <c r="GH213" s="27" t="s">
        <v>7</v>
      </c>
      <c r="GI213" s="27" t="s">
        <v>8</v>
      </c>
      <c r="GN213" s="27" t="s">
        <v>7</v>
      </c>
    </row>
    <row r="214" spans="1:197" x14ac:dyDescent="0.25">
      <c r="A214" s="30">
        <v>3.5556726879443583</v>
      </c>
      <c r="E214"/>
      <c r="BA214" s="27" t="s">
        <v>8</v>
      </c>
      <c r="BG214" s="27" t="s">
        <v>8</v>
      </c>
      <c r="BL214" s="27" t="s">
        <v>7</v>
      </c>
      <c r="BN214" s="27" t="s">
        <v>7</v>
      </c>
      <c r="DE214" s="27" t="s">
        <v>8</v>
      </c>
      <c r="DJ214" s="27" t="s">
        <v>7</v>
      </c>
      <c r="DK214" s="27" t="s">
        <v>8</v>
      </c>
      <c r="DL214" s="27" t="s">
        <v>7</v>
      </c>
      <c r="DM214" s="27" t="s">
        <v>8</v>
      </c>
      <c r="EB214" s="27" t="s">
        <v>7</v>
      </c>
      <c r="EL214" s="27" t="s">
        <v>7</v>
      </c>
      <c r="EM214" s="27" t="s">
        <v>8</v>
      </c>
      <c r="EN214" s="27" t="s">
        <v>7</v>
      </c>
      <c r="EO214" s="27" t="s">
        <v>8</v>
      </c>
      <c r="EQ214" s="27" t="s">
        <v>8</v>
      </c>
      <c r="ER214" s="27" t="s">
        <v>7</v>
      </c>
      <c r="ES214" s="27" t="s">
        <v>8</v>
      </c>
      <c r="EV214" s="27" t="s">
        <v>7</v>
      </c>
      <c r="EW214" s="27" t="s">
        <v>8</v>
      </c>
      <c r="EX214" s="27" t="s">
        <v>7</v>
      </c>
      <c r="EY214" s="27" t="s">
        <v>8</v>
      </c>
      <c r="FB214" s="34" t="s">
        <v>7</v>
      </c>
      <c r="FC214" s="27" t="s">
        <v>8</v>
      </c>
      <c r="FD214" s="31"/>
      <c r="GB214" s="27" t="s">
        <v>7</v>
      </c>
      <c r="GC214" s="27" t="s">
        <v>8</v>
      </c>
      <c r="GD214" s="27" t="s">
        <v>7</v>
      </c>
      <c r="GE214" s="27" t="s">
        <v>8</v>
      </c>
      <c r="GF214" s="27" t="s">
        <v>7</v>
      </c>
      <c r="GG214" s="27" t="s">
        <v>8</v>
      </c>
      <c r="GH214" s="27" t="s">
        <v>7</v>
      </c>
      <c r="GN214" s="27" t="s">
        <v>7</v>
      </c>
    </row>
    <row r="215" spans="1:197" x14ac:dyDescent="0.25">
      <c r="A215" s="30">
        <v>3.3863549408993889</v>
      </c>
      <c r="E215"/>
      <c r="BA215" s="27" t="s">
        <v>8</v>
      </c>
      <c r="BB215" s="27" t="s">
        <v>7</v>
      </c>
      <c r="BG215" s="27" t="s">
        <v>8</v>
      </c>
      <c r="BN215" s="27" t="s">
        <v>7</v>
      </c>
      <c r="DC215" s="27" t="s">
        <v>8</v>
      </c>
      <c r="DE215" s="27" t="s">
        <v>8</v>
      </c>
      <c r="DJ215" s="27" t="s">
        <v>7</v>
      </c>
      <c r="DK215" s="27" t="s">
        <v>8</v>
      </c>
      <c r="DL215" s="27" t="s">
        <v>7</v>
      </c>
      <c r="DM215" s="27" t="s">
        <v>8</v>
      </c>
      <c r="EL215" s="27" t="s">
        <v>7</v>
      </c>
      <c r="EM215" s="27" t="s">
        <v>8</v>
      </c>
      <c r="EN215" s="27" t="s">
        <v>7</v>
      </c>
      <c r="EO215" s="27" t="s">
        <v>8</v>
      </c>
      <c r="EP215" s="27" t="s">
        <v>7</v>
      </c>
      <c r="EQ215" s="27" t="s">
        <v>8</v>
      </c>
      <c r="ER215" s="27" t="s">
        <v>7</v>
      </c>
      <c r="ES215" s="27" t="s">
        <v>8</v>
      </c>
      <c r="EV215" s="27" t="s">
        <v>7</v>
      </c>
      <c r="EX215" s="27" t="s">
        <v>7</v>
      </c>
      <c r="EY215" s="27" t="s">
        <v>8</v>
      </c>
      <c r="FB215" s="27" t="s">
        <v>7</v>
      </c>
      <c r="FC215" s="31" t="s">
        <v>8</v>
      </c>
      <c r="GB215" s="27" t="s">
        <v>7</v>
      </c>
      <c r="GC215" s="27" t="s">
        <v>8</v>
      </c>
      <c r="GD215" s="27" t="s">
        <v>7</v>
      </c>
      <c r="GE215" s="27" t="s">
        <v>8</v>
      </c>
      <c r="GF215" s="27" t="s">
        <v>7</v>
      </c>
      <c r="GN215" s="27" t="s">
        <v>7</v>
      </c>
      <c r="GO215" s="27" t="s">
        <v>8</v>
      </c>
    </row>
    <row r="216" spans="1:197" x14ac:dyDescent="0.25">
      <c r="A216" s="30">
        <v>3.2250999437137038</v>
      </c>
      <c r="E216"/>
      <c r="BA216" s="27" t="s">
        <v>8</v>
      </c>
      <c r="BB216" s="27" t="s">
        <v>7</v>
      </c>
      <c r="BG216" s="27" t="s">
        <v>8</v>
      </c>
      <c r="BN216" s="27" t="s">
        <v>7</v>
      </c>
      <c r="DC216" s="27" t="s">
        <v>8</v>
      </c>
      <c r="DD216" s="27" t="s">
        <v>7</v>
      </c>
      <c r="DE216" s="27" t="s">
        <v>8</v>
      </c>
      <c r="DJ216" s="27" t="s">
        <v>7</v>
      </c>
      <c r="DK216" s="27" t="s">
        <v>8</v>
      </c>
      <c r="DL216" s="27" t="s">
        <v>7</v>
      </c>
      <c r="DM216" s="27" t="s">
        <v>8</v>
      </c>
      <c r="EL216" s="27" t="s">
        <v>7</v>
      </c>
      <c r="EM216" s="27" t="s">
        <v>8</v>
      </c>
      <c r="EN216" s="27" t="s">
        <v>7</v>
      </c>
      <c r="EO216" s="27" t="s">
        <v>8</v>
      </c>
      <c r="EP216" s="27" t="s">
        <v>7</v>
      </c>
      <c r="EQ216" s="27" t="s">
        <v>8</v>
      </c>
      <c r="ER216" s="27" t="s">
        <v>7</v>
      </c>
      <c r="ES216" s="27" t="s">
        <v>8</v>
      </c>
      <c r="EX216" s="27" t="s">
        <v>7</v>
      </c>
      <c r="EY216" s="27" t="s">
        <v>8</v>
      </c>
      <c r="FB216" s="31" t="s">
        <v>7</v>
      </c>
      <c r="GB216" s="27" t="s">
        <v>7</v>
      </c>
      <c r="GD216" s="27" t="s">
        <v>7</v>
      </c>
      <c r="GN216" s="27" t="s">
        <v>7</v>
      </c>
      <c r="GO216" s="27" t="s">
        <v>8</v>
      </c>
    </row>
    <row r="217" spans="1:197" x14ac:dyDescent="0.25">
      <c r="A217" s="30">
        <v>3.0715237559178128</v>
      </c>
      <c r="E217"/>
      <c r="BA217" s="27" t="s">
        <v>8</v>
      </c>
      <c r="BB217" s="27" t="s">
        <v>7</v>
      </c>
      <c r="BC217" s="27" t="s">
        <v>8</v>
      </c>
      <c r="BG217" s="27" t="s">
        <v>8</v>
      </c>
      <c r="BN217" s="27" t="s">
        <v>7</v>
      </c>
      <c r="DC217" s="27" t="s">
        <v>8</v>
      </c>
      <c r="DD217" s="27" t="s">
        <v>7</v>
      </c>
      <c r="DE217" s="27" t="s">
        <v>8</v>
      </c>
      <c r="DJ217" s="27" t="s">
        <v>7</v>
      </c>
      <c r="DK217" s="27" t="s">
        <v>8</v>
      </c>
      <c r="DL217" s="27" t="s">
        <v>7</v>
      </c>
      <c r="EL217" s="27" t="s">
        <v>7</v>
      </c>
      <c r="EM217" s="27" t="s">
        <v>8</v>
      </c>
      <c r="EN217" s="27" t="s">
        <v>7</v>
      </c>
      <c r="EP217" s="27" t="s">
        <v>7</v>
      </c>
      <c r="EQ217" s="27" t="s">
        <v>8</v>
      </c>
      <c r="ER217" s="27" t="s">
        <v>7</v>
      </c>
      <c r="EX217" s="27" t="s">
        <v>7</v>
      </c>
      <c r="EY217" s="27" t="s">
        <v>8</v>
      </c>
      <c r="FA217" s="31"/>
      <c r="GN217" s="27" t="s">
        <v>7</v>
      </c>
      <c r="GO217" s="27" t="s">
        <v>8</v>
      </c>
    </row>
    <row r="218" spans="1:197" x14ac:dyDescent="0.25">
      <c r="A218" s="30">
        <v>2.9252607199217264</v>
      </c>
      <c r="E218"/>
      <c r="BA218" s="27" t="s">
        <v>8</v>
      </c>
      <c r="BB218" s="27" t="s">
        <v>7</v>
      </c>
      <c r="BC218" s="27" t="s">
        <v>8</v>
      </c>
      <c r="BD218" s="27" t="s">
        <v>7</v>
      </c>
      <c r="BG218" s="27" t="s">
        <v>8</v>
      </c>
      <c r="BN218" s="27" t="s">
        <v>7</v>
      </c>
      <c r="BQ218" s="27" t="s">
        <v>8</v>
      </c>
      <c r="DC218" s="27" t="s">
        <v>8</v>
      </c>
      <c r="DD218" s="27" t="s">
        <v>7</v>
      </c>
      <c r="DJ218" s="27" t="s">
        <v>7</v>
      </c>
      <c r="DK218" s="27" t="s">
        <v>8</v>
      </c>
      <c r="EL218" s="27" t="s">
        <v>7</v>
      </c>
      <c r="EM218" s="27" t="s">
        <v>8</v>
      </c>
      <c r="EP218" s="27" t="s">
        <v>7</v>
      </c>
      <c r="EQ218" s="27" t="s">
        <v>8</v>
      </c>
      <c r="EX218" s="27" t="s">
        <v>7</v>
      </c>
      <c r="EY218" s="27" t="s">
        <v>8</v>
      </c>
      <c r="EZ218" s="31"/>
      <c r="GN218" s="27" t="s">
        <v>7</v>
      </c>
    </row>
    <row r="219" spans="1:197" x14ac:dyDescent="0.25">
      <c r="A219" s="30">
        <v>2.7859625904016441</v>
      </c>
      <c r="E219"/>
      <c r="BA219" s="27" t="s">
        <v>8</v>
      </c>
      <c r="BB219" s="27" t="s">
        <v>7</v>
      </c>
      <c r="BC219" s="27" t="s">
        <v>8</v>
      </c>
      <c r="BD219" s="27" t="s">
        <v>7</v>
      </c>
      <c r="BG219" s="27" t="s">
        <v>8</v>
      </c>
      <c r="BN219" s="27" t="s">
        <v>7</v>
      </c>
      <c r="BQ219" s="27" t="s">
        <v>8</v>
      </c>
      <c r="BR219" s="27" t="s">
        <v>7</v>
      </c>
      <c r="DC219" s="27" t="s">
        <v>8</v>
      </c>
      <c r="DJ219" s="27" t="s">
        <v>7</v>
      </c>
      <c r="EL219" s="27" t="s">
        <v>7</v>
      </c>
      <c r="EM219" s="27" t="s">
        <v>8</v>
      </c>
      <c r="EP219" s="27" t="s">
        <v>7</v>
      </c>
      <c r="EQ219" s="27" t="s">
        <v>8</v>
      </c>
      <c r="EX219" s="27" t="s">
        <v>7</v>
      </c>
      <c r="EY219" s="31" t="s">
        <v>8</v>
      </c>
    </row>
    <row r="220" spans="1:197" x14ac:dyDescent="0.25">
      <c r="A220" s="30">
        <v>2.6532977051444226</v>
      </c>
      <c r="E220"/>
      <c r="BA220" s="27" t="s">
        <v>8</v>
      </c>
      <c r="BB220" s="27" t="s">
        <v>7</v>
      </c>
      <c r="BC220" s="27" t="s">
        <v>8</v>
      </c>
      <c r="BD220" s="27" t="s">
        <v>7</v>
      </c>
      <c r="BE220" s="27" t="s">
        <v>8</v>
      </c>
      <c r="BG220" s="27" t="s">
        <v>8</v>
      </c>
      <c r="BN220" s="27" t="s">
        <v>7</v>
      </c>
      <c r="BQ220" s="27" t="s">
        <v>8</v>
      </c>
      <c r="BR220" s="27" t="s">
        <v>7</v>
      </c>
      <c r="BS220" s="27" t="s">
        <v>8</v>
      </c>
      <c r="BW220" s="27" t="s">
        <v>8</v>
      </c>
      <c r="DC220" s="27" t="s">
        <v>8</v>
      </c>
      <c r="EL220" s="27" t="s">
        <v>7</v>
      </c>
      <c r="EM220" s="27" t="s">
        <v>8</v>
      </c>
      <c r="EP220" s="27" t="s">
        <v>7</v>
      </c>
      <c r="EQ220" s="27" t="s">
        <v>8</v>
      </c>
      <c r="EX220" s="31" t="s">
        <v>7</v>
      </c>
    </row>
    <row r="221" spans="1:197" x14ac:dyDescent="0.25">
      <c r="A221" s="30">
        <v>2.5269501953756404</v>
      </c>
      <c r="E221"/>
      <c r="BA221" s="27" t="s">
        <v>8</v>
      </c>
      <c r="BB221" s="27" t="s">
        <v>7</v>
      </c>
      <c r="BD221" s="27" t="s">
        <v>7</v>
      </c>
      <c r="BE221" s="27" t="s">
        <v>8</v>
      </c>
      <c r="BF221" s="27" t="s">
        <v>7</v>
      </c>
      <c r="BG221" s="27" t="s">
        <v>8</v>
      </c>
      <c r="BN221" s="27" t="s">
        <v>7</v>
      </c>
      <c r="BQ221" s="27" t="s">
        <v>8</v>
      </c>
      <c r="BR221" s="27" t="s">
        <v>7</v>
      </c>
      <c r="BS221" s="27" t="s">
        <v>8</v>
      </c>
      <c r="BT221" s="27" t="s">
        <v>7</v>
      </c>
      <c r="BW221" s="27" t="s">
        <v>8</v>
      </c>
      <c r="BX221" s="27" t="s">
        <v>7</v>
      </c>
      <c r="CY221" s="27" t="s">
        <v>8</v>
      </c>
      <c r="DC221" s="27" t="s">
        <v>8</v>
      </c>
      <c r="EL221" s="27" t="s">
        <v>7</v>
      </c>
      <c r="EM221" s="27" t="s">
        <v>8</v>
      </c>
      <c r="EP221" s="27" t="s">
        <v>7</v>
      </c>
      <c r="EQ221" s="27" t="s">
        <v>8</v>
      </c>
    </row>
    <row r="222" spans="1:197" x14ac:dyDescent="0.25">
      <c r="A222" s="30">
        <v>2.4066192336910861</v>
      </c>
      <c r="E222"/>
      <c r="BA222" s="27" t="s">
        <v>8</v>
      </c>
      <c r="BD222" s="27" t="s">
        <v>7</v>
      </c>
      <c r="BE222" s="27" t="s">
        <v>8</v>
      </c>
      <c r="BF222" s="27" t="s">
        <v>7</v>
      </c>
      <c r="BG222" s="27" t="s">
        <v>8</v>
      </c>
      <c r="BN222" s="27" t="s">
        <v>7</v>
      </c>
      <c r="BO222" s="27" t="s">
        <v>8</v>
      </c>
      <c r="BQ222" s="27" t="s">
        <v>8</v>
      </c>
      <c r="BR222" s="27" t="s">
        <v>7</v>
      </c>
      <c r="BS222" s="27" t="s">
        <v>8</v>
      </c>
      <c r="BT222" s="27" t="s">
        <v>7</v>
      </c>
      <c r="BU222" s="27" t="s">
        <v>8</v>
      </c>
      <c r="BW222" s="27" t="s">
        <v>8</v>
      </c>
      <c r="BX222" s="27" t="s">
        <v>7</v>
      </c>
      <c r="CU222" s="27" t="s">
        <v>8</v>
      </c>
      <c r="CW222" s="27" t="s">
        <v>8</v>
      </c>
      <c r="CY222" s="27" t="s">
        <v>8</v>
      </c>
      <c r="CZ222" s="27" t="s">
        <v>7</v>
      </c>
      <c r="DA222" s="27" t="s">
        <v>8</v>
      </c>
      <c r="DC222" s="27" t="s">
        <v>8</v>
      </c>
      <c r="EL222" s="27" t="s">
        <v>7</v>
      </c>
      <c r="EM222" s="27" t="s">
        <v>8</v>
      </c>
      <c r="EP222" s="27" t="s">
        <v>7</v>
      </c>
    </row>
    <row r="223" spans="1:197" x14ac:dyDescent="0.25">
      <c r="A223" s="30">
        <v>2.2920183178010345</v>
      </c>
      <c r="E223"/>
      <c r="BA223" s="27" t="s">
        <v>8</v>
      </c>
      <c r="BD223" s="27" t="s">
        <v>7</v>
      </c>
      <c r="BE223" s="27" t="s">
        <v>8</v>
      </c>
      <c r="BF223" s="27" t="s">
        <v>7</v>
      </c>
      <c r="BG223" s="27" t="s">
        <v>8</v>
      </c>
      <c r="BN223" s="27" t="s">
        <v>7</v>
      </c>
      <c r="BO223" s="27" t="s">
        <v>8</v>
      </c>
      <c r="BP223" s="27" t="s">
        <v>7</v>
      </c>
      <c r="BQ223" s="27" t="s">
        <v>8</v>
      </c>
      <c r="BR223" s="27" t="s">
        <v>7</v>
      </c>
      <c r="BS223" s="27" t="s">
        <v>8</v>
      </c>
      <c r="BT223" s="27" t="s">
        <v>7</v>
      </c>
      <c r="BU223" s="27" t="s">
        <v>8</v>
      </c>
      <c r="BV223" s="27" t="s">
        <v>7</v>
      </c>
      <c r="BW223" s="27" t="s">
        <v>8</v>
      </c>
      <c r="BX223" s="27" t="s">
        <v>7</v>
      </c>
      <c r="CU223" s="27" t="s">
        <v>8</v>
      </c>
      <c r="CV223" s="27" t="s">
        <v>7</v>
      </c>
      <c r="CW223" s="27" t="s">
        <v>8</v>
      </c>
      <c r="CX223" s="27" t="s">
        <v>7</v>
      </c>
      <c r="CY223" s="27" t="s">
        <v>8</v>
      </c>
      <c r="CZ223" s="27" t="s">
        <v>7</v>
      </c>
      <c r="DA223" s="27" t="s">
        <v>8</v>
      </c>
      <c r="DB223" s="27" t="s">
        <v>7</v>
      </c>
      <c r="DC223" s="27" t="s">
        <v>8</v>
      </c>
      <c r="EL223" s="27" t="s">
        <v>7</v>
      </c>
      <c r="EM223" s="27" t="s">
        <v>8</v>
      </c>
    </row>
    <row r="224" spans="1:197" x14ac:dyDescent="0.25">
      <c r="A224" s="30">
        <v>2.1828745883819374</v>
      </c>
      <c r="E224"/>
      <c r="BA224" s="27" t="s">
        <v>8</v>
      </c>
      <c r="BD224" s="27" t="s">
        <v>7</v>
      </c>
      <c r="BE224" s="27" t="s">
        <v>8</v>
      </c>
      <c r="BF224" s="27" t="s">
        <v>7</v>
      </c>
      <c r="BG224" s="27" t="s">
        <v>8</v>
      </c>
      <c r="BN224" s="27" t="s">
        <v>7</v>
      </c>
      <c r="BO224" s="27" t="s">
        <v>8</v>
      </c>
      <c r="BP224" s="27" t="s">
        <v>7</v>
      </c>
      <c r="BQ224" s="27" t="s">
        <v>8</v>
      </c>
      <c r="BR224" s="27" t="s">
        <v>7</v>
      </c>
      <c r="BT224" s="27" t="s">
        <v>7</v>
      </c>
      <c r="BU224" s="27" t="s">
        <v>8</v>
      </c>
      <c r="BV224" s="27" t="s">
        <v>7</v>
      </c>
      <c r="BW224" s="27" t="s">
        <v>8</v>
      </c>
      <c r="BX224" s="27" t="s">
        <v>7</v>
      </c>
      <c r="CI224" s="27" t="s">
        <v>8</v>
      </c>
      <c r="CU224" s="27" t="s">
        <v>8</v>
      </c>
      <c r="CV224" s="27" t="s">
        <v>7</v>
      </c>
      <c r="CW224" s="27" t="s">
        <v>8</v>
      </c>
      <c r="CX224" s="27" t="s">
        <v>7</v>
      </c>
      <c r="CY224" s="27" t="s">
        <v>8</v>
      </c>
      <c r="CZ224" s="27" t="s">
        <v>7</v>
      </c>
      <c r="DA224" s="27" t="s">
        <v>8</v>
      </c>
      <c r="DB224" s="27" t="s">
        <v>7</v>
      </c>
      <c r="DC224" s="27" t="s">
        <v>8</v>
      </c>
      <c r="EL224" s="27" t="s">
        <v>7</v>
      </c>
    </row>
    <row r="225" spans="1:106" x14ac:dyDescent="0.25">
      <c r="A225" s="30">
        <v>2.0789281794113688</v>
      </c>
      <c r="E225"/>
      <c r="AY225" s="27" t="s">
        <v>8</v>
      </c>
      <c r="BA225" s="27" t="s">
        <v>8</v>
      </c>
      <c r="BD225" s="27" t="s">
        <v>7</v>
      </c>
      <c r="BE225" s="27" t="s">
        <v>8</v>
      </c>
      <c r="BF225" s="27" t="s">
        <v>7</v>
      </c>
      <c r="BG225" s="27" t="s">
        <v>8</v>
      </c>
      <c r="BN225" s="27" t="s">
        <v>7</v>
      </c>
      <c r="BP225" s="27" t="s">
        <v>7</v>
      </c>
      <c r="BT225" s="27" t="s">
        <v>7</v>
      </c>
      <c r="BU225" s="27" t="s">
        <v>8</v>
      </c>
      <c r="BV225" s="27" t="s">
        <v>7</v>
      </c>
      <c r="BW225" s="27" t="s">
        <v>8</v>
      </c>
      <c r="BX225" s="27" t="s">
        <v>7</v>
      </c>
      <c r="CI225" s="27" t="s">
        <v>8</v>
      </c>
      <c r="CJ225" s="27" t="s">
        <v>7</v>
      </c>
      <c r="CU225" s="27" t="s">
        <v>8</v>
      </c>
      <c r="CV225" s="27" t="s">
        <v>7</v>
      </c>
      <c r="CW225" s="27" t="s">
        <v>8</v>
      </c>
      <c r="CX225" s="27" t="s">
        <v>7</v>
      </c>
      <c r="CY225" s="27" t="s">
        <v>8</v>
      </c>
      <c r="CZ225" s="27" t="s">
        <v>7</v>
      </c>
      <c r="DB225" s="27" t="s">
        <v>7</v>
      </c>
    </row>
    <row r="226" spans="1:106" x14ac:dyDescent="0.25">
      <c r="A226" s="30">
        <v>1.9799315994393987</v>
      </c>
      <c r="E226"/>
      <c r="AY226" s="27" t="s">
        <v>8</v>
      </c>
      <c r="AZ226" s="27" t="s">
        <v>7</v>
      </c>
      <c r="BA226" s="27" t="s">
        <v>8</v>
      </c>
      <c r="BD226" s="27" t="s">
        <v>7</v>
      </c>
      <c r="BF226" s="27" t="s">
        <v>7</v>
      </c>
      <c r="BT226" s="27" t="s">
        <v>7</v>
      </c>
      <c r="BU226" s="27" t="s">
        <v>8</v>
      </c>
      <c r="BV226" s="27" t="s">
        <v>7</v>
      </c>
      <c r="BW226" s="27" t="s">
        <v>8</v>
      </c>
      <c r="BX226" s="27" t="s">
        <v>7</v>
      </c>
      <c r="CE226" s="27" t="s">
        <v>8</v>
      </c>
      <c r="CG226" s="27" t="s">
        <v>8</v>
      </c>
      <c r="CI226" s="27" t="s">
        <v>8</v>
      </c>
      <c r="CJ226" s="27" t="s">
        <v>7</v>
      </c>
      <c r="CS226" s="27" t="s">
        <v>8</v>
      </c>
      <c r="CU226" s="27" t="s">
        <v>8</v>
      </c>
      <c r="CV226" s="27" t="s">
        <v>7</v>
      </c>
      <c r="CX226" s="27" t="s">
        <v>7</v>
      </c>
      <c r="CY226" s="27" t="s">
        <v>8</v>
      </c>
    </row>
    <row r="227" spans="1:106" x14ac:dyDescent="0.25">
      <c r="A227" s="30">
        <v>1.8856491423232367</v>
      </c>
      <c r="E227"/>
      <c r="AY227" s="27" t="s">
        <v>8</v>
      </c>
      <c r="AZ227" s="27" t="s">
        <v>7</v>
      </c>
      <c r="BA227" s="27" t="s">
        <v>8</v>
      </c>
      <c r="BT227" s="27" t="s">
        <v>7</v>
      </c>
      <c r="BU227" s="27" t="s">
        <v>8</v>
      </c>
      <c r="BV227" s="27" t="s">
        <v>7</v>
      </c>
      <c r="BW227" s="27" t="s">
        <v>8</v>
      </c>
      <c r="BX227" s="27" t="s">
        <v>7</v>
      </c>
      <c r="CE227" s="27" t="s">
        <v>8</v>
      </c>
      <c r="CF227" s="27" t="s">
        <v>7</v>
      </c>
      <c r="CG227" s="27" t="s">
        <v>8</v>
      </c>
      <c r="CH227" s="27" t="s">
        <v>7</v>
      </c>
      <c r="CI227" s="27" t="s">
        <v>8</v>
      </c>
      <c r="CJ227" s="27" t="s">
        <v>7</v>
      </c>
      <c r="CK227" s="27" t="s">
        <v>8</v>
      </c>
      <c r="CQ227" s="27" t="s">
        <v>8</v>
      </c>
      <c r="CS227" s="27" t="s">
        <v>8</v>
      </c>
      <c r="CT227" s="27" t="s">
        <v>7</v>
      </c>
      <c r="CU227" s="27" t="s">
        <v>8</v>
      </c>
      <c r="CX227" s="27" t="s">
        <v>7</v>
      </c>
      <c r="CY227" s="27" t="s">
        <v>8</v>
      </c>
    </row>
    <row r="228" spans="1:106" x14ac:dyDescent="0.25">
      <c r="A228" s="30">
        <v>1.7958563260221301</v>
      </c>
      <c r="C228" s="7"/>
      <c r="D228"/>
      <c r="E228"/>
      <c r="AY228" s="27" t="s">
        <v>8</v>
      </c>
      <c r="AZ228" s="27" t="s">
        <v>7</v>
      </c>
      <c r="BT228" s="27" t="s">
        <v>7</v>
      </c>
      <c r="BV228" s="27" t="s">
        <v>7</v>
      </c>
      <c r="BX228" s="27" t="s">
        <v>7</v>
      </c>
      <c r="CE228" s="27" t="s">
        <v>8</v>
      </c>
      <c r="CF228" s="27" t="s">
        <v>7</v>
      </c>
      <c r="CG228" s="27" t="s">
        <v>8</v>
      </c>
      <c r="CH228" s="27" t="s">
        <v>7</v>
      </c>
      <c r="CI228" s="27" t="s">
        <v>8</v>
      </c>
      <c r="CJ228" s="27" t="s">
        <v>7</v>
      </c>
      <c r="CK228" s="27" t="s">
        <v>8</v>
      </c>
      <c r="CL228" s="27" t="s">
        <v>7</v>
      </c>
      <c r="CQ228" s="27" t="s">
        <v>8</v>
      </c>
      <c r="CR228" s="27" t="s">
        <v>7</v>
      </c>
      <c r="CS228" s="27" t="s">
        <v>8</v>
      </c>
      <c r="CT228" s="27" t="s">
        <v>7</v>
      </c>
      <c r="CU228" s="27" t="s">
        <v>8</v>
      </c>
      <c r="CX228" s="27" t="s">
        <v>7</v>
      </c>
    </row>
    <row r="229" spans="1:106" x14ac:dyDescent="0.25">
      <c r="A229" s="30">
        <v>1.7103393581163142</v>
      </c>
      <c r="E229"/>
      <c r="AY229" s="27" t="s">
        <v>8</v>
      </c>
      <c r="BX229" s="27" t="s">
        <v>7</v>
      </c>
      <c r="CA229" s="27" t="s">
        <v>8</v>
      </c>
      <c r="CE229" s="27" t="s">
        <v>8</v>
      </c>
      <c r="CF229" s="27" t="s">
        <v>7</v>
      </c>
      <c r="CG229" s="27" t="s">
        <v>8</v>
      </c>
      <c r="CH229" s="27" t="s">
        <v>7</v>
      </c>
      <c r="CJ229" s="27" t="s">
        <v>7</v>
      </c>
      <c r="CK229" s="27" t="s">
        <v>8</v>
      </c>
      <c r="CL229" s="27" t="s">
        <v>7</v>
      </c>
      <c r="CM229" s="27" t="s">
        <v>8</v>
      </c>
      <c r="CQ229" s="27" t="s">
        <v>8</v>
      </c>
      <c r="CR229" s="27" t="s">
        <v>7</v>
      </c>
      <c r="CS229" s="27" t="s">
        <v>8</v>
      </c>
      <c r="CT229" s="27" t="s">
        <v>7</v>
      </c>
      <c r="CU229" s="27" t="s">
        <v>8</v>
      </c>
    </row>
    <row r="230" spans="1:106" x14ac:dyDescent="0.25">
      <c r="A230" s="30">
        <v>1.628894626777442</v>
      </c>
      <c r="E230"/>
      <c r="AY230" s="27" t="s">
        <v>8</v>
      </c>
      <c r="BX230" s="27" t="s">
        <v>7</v>
      </c>
      <c r="BY230" s="27" t="s">
        <v>8</v>
      </c>
      <c r="CA230" s="27" t="s">
        <v>8</v>
      </c>
      <c r="CB230" s="27" t="s">
        <v>7</v>
      </c>
      <c r="CC230" s="27" t="s">
        <v>8</v>
      </c>
      <c r="CE230" s="27" t="s">
        <v>8</v>
      </c>
      <c r="CF230" s="27" t="s">
        <v>7</v>
      </c>
      <c r="CJ230" s="27" t="s">
        <v>7</v>
      </c>
      <c r="CK230" s="27" t="s">
        <v>8</v>
      </c>
      <c r="CL230" s="27" t="s">
        <v>7</v>
      </c>
      <c r="CM230" s="27" t="s">
        <v>8</v>
      </c>
      <c r="CN230" s="27" t="s">
        <v>7</v>
      </c>
      <c r="CQ230" s="27" t="s">
        <v>8</v>
      </c>
      <c r="CR230" s="27" t="s">
        <v>7</v>
      </c>
      <c r="CS230" s="27" t="s">
        <v>8</v>
      </c>
      <c r="CT230" s="27" t="s">
        <v>7</v>
      </c>
      <c r="CU230" s="27" t="s">
        <v>8</v>
      </c>
    </row>
    <row r="231" spans="1:106" x14ac:dyDescent="0.25">
      <c r="A231" s="30">
        <v>1.5513282159785162</v>
      </c>
      <c r="C231"/>
      <c r="D231"/>
      <c r="E231"/>
      <c r="AY231" s="27" t="s">
        <v>8</v>
      </c>
      <c r="BX231" s="27" t="s">
        <v>7</v>
      </c>
      <c r="BY231" s="27" t="s">
        <v>8</v>
      </c>
      <c r="BZ231" s="27" t="s">
        <v>7</v>
      </c>
      <c r="CA231" s="27" t="s">
        <v>8</v>
      </c>
      <c r="CB231" s="27" t="s">
        <v>7</v>
      </c>
      <c r="CC231" s="27" t="s">
        <v>8</v>
      </c>
      <c r="CD231" s="27" t="s">
        <v>7</v>
      </c>
      <c r="CE231" s="27" t="s">
        <v>8</v>
      </c>
      <c r="CJ231" s="27" t="s">
        <v>7</v>
      </c>
      <c r="CK231" s="27" t="s">
        <v>8</v>
      </c>
      <c r="CL231" s="27" t="s">
        <v>7</v>
      </c>
      <c r="CM231" s="27" t="s">
        <v>8</v>
      </c>
      <c r="CN231" s="27" t="s">
        <v>7</v>
      </c>
      <c r="CQ231" s="27" t="s">
        <v>8</v>
      </c>
      <c r="CR231" s="27" t="s">
        <v>7</v>
      </c>
      <c r="CS231" s="27" t="s">
        <v>8</v>
      </c>
      <c r="CT231" s="27" t="s">
        <v>7</v>
      </c>
      <c r="CU231" s="27" t="s">
        <v>8</v>
      </c>
    </row>
    <row r="232" spans="1:106" x14ac:dyDescent="0.25">
      <c r="A232" s="30">
        <v>1.477455443789063</v>
      </c>
      <c r="E232"/>
      <c r="AY232" s="27" t="s">
        <v>8</v>
      </c>
      <c r="BX232" s="27" t="s">
        <v>7</v>
      </c>
      <c r="BY232" s="27" t="s">
        <v>8</v>
      </c>
      <c r="BZ232" s="27" t="s">
        <v>7</v>
      </c>
      <c r="CA232" s="27" t="s">
        <v>8</v>
      </c>
      <c r="CB232" s="27" t="s">
        <v>7</v>
      </c>
      <c r="CC232" s="27" t="s">
        <v>8</v>
      </c>
      <c r="CD232" s="27" t="s">
        <v>7</v>
      </c>
      <c r="CE232" s="27" t="s">
        <v>8</v>
      </c>
      <c r="CJ232" s="27" t="s">
        <v>7</v>
      </c>
      <c r="CL232" s="27" t="s">
        <v>7</v>
      </c>
      <c r="CN232" s="27" t="s">
        <v>7</v>
      </c>
      <c r="CQ232" s="27" t="s">
        <v>8</v>
      </c>
      <c r="CR232" s="27" t="s">
        <v>7</v>
      </c>
      <c r="CS232" s="27" t="s">
        <v>8</v>
      </c>
      <c r="CT232" s="27" t="s">
        <v>7</v>
      </c>
      <c r="CU232" s="27" t="s">
        <v>8</v>
      </c>
    </row>
    <row r="233" spans="1:106" x14ac:dyDescent="0.25">
      <c r="A233" s="30">
        <v>1.4071004226562505</v>
      </c>
      <c r="E233"/>
      <c r="M233" s="27" t="s">
        <v>8</v>
      </c>
      <c r="AY233" s="27" t="s">
        <v>8</v>
      </c>
      <c r="BX233" s="27" t="s">
        <v>7</v>
      </c>
      <c r="BZ233" s="27" t="s">
        <v>7</v>
      </c>
      <c r="CA233" s="27" t="s">
        <v>8</v>
      </c>
      <c r="CB233" s="27" t="s">
        <v>7</v>
      </c>
      <c r="CD233" s="27" t="s">
        <v>7</v>
      </c>
      <c r="CN233" s="27" t="s">
        <v>7</v>
      </c>
      <c r="CO233" s="27" t="s">
        <v>8</v>
      </c>
      <c r="CQ233" s="27" t="s">
        <v>8</v>
      </c>
      <c r="CR233" s="27" t="s">
        <v>7</v>
      </c>
      <c r="CS233" s="27" t="s">
        <v>8</v>
      </c>
      <c r="CT233" s="27" t="s">
        <v>7</v>
      </c>
    </row>
    <row r="234" spans="1:106" x14ac:dyDescent="0.25">
      <c r="A234" s="30">
        <v>1.3400956406250004</v>
      </c>
      <c r="E234" t="s">
        <v>8</v>
      </c>
      <c r="I234" s="27" t="s">
        <v>8</v>
      </c>
      <c r="M234" s="27" t="s">
        <v>8</v>
      </c>
      <c r="N234" s="27" t="s">
        <v>7</v>
      </c>
      <c r="U234" s="27" t="s">
        <v>8</v>
      </c>
      <c r="AW234" s="27" t="s">
        <v>8</v>
      </c>
      <c r="AY234" s="27" t="s">
        <v>8</v>
      </c>
      <c r="BZ234" s="27" t="s">
        <v>7</v>
      </c>
      <c r="CA234" s="27" t="s">
        <v>8</v>
      </c>
      <c r="CN234" s="27" t="s">
        <v>7</v>
      </c>
      <c r="CO234" s="27" t="s">
        <v>8</v>
      </c>
      <c r="CP234" s="27" t="s">
        <v>7</v>
      </c>
      <c r="CQ234" s="27" t="s">
        <v>8</v>
      </c>
      <c r="CR234" s="27" t="s">
        <v>7</v>
      </c>
    </row>
    <row r="235" spans="1:106" x14ac:dyDescent="0.25">
      <c r="A235" s="30">
        <v>1.2762815625000004</v>
      </c>
      <c r="C235"/>
      <c r="E235" t="s">
        <v>8</v>
      </c>
      <c r="F235" s="27" t="s">
        <v>7</v>
      </c>
      <c r="I235" s="27" t="s">
        <v>8</v>
      </c>
      <c r="J235" s="27" t="s">
        <v>7</v>
      </c>
      <c r="M235" s="27" t="s">
        <v>8</v>
      </c>
      <c r="N235" s="27" t="s">
        <v>7</v>
      </c>
      <c r="S235" s="27" t="s">
        <v>8</v>
      </c>
      <c r="U235" s="27" t="s">
        <v>8</v>
      </c>
      <c r="V235" s="27" t="s">
        <v>7</v>
      </c>
      <c r="AW235" s="27" t="s">
        <v>8</v>
      </c>
      <c r="AX235" s="27" t="s">
        <v>7</v>
      </c>
      <c r="AY235" s="27" t="s">
        <v>8</v>
      </c>
      <c r="BZ235" s="27" t="s">
        <v>7</v>
      </c>
      <c r="CA235" s="27" t="s">
        <v>8</v>
      </c>
      <c r="CN235" s="27" t="s">
        <v>7</v>
      </c>
      <c r="CO235" s="27" t="s">
        <v>8</v>
      </c>
      <c r="CP235" s="27" t="s">
        <v>7</v>
      </c>
      <c r="CQ235" s="27" t="s">
        <v>8</v>
      </c>
    </row>
    <row r="236" spans="1:106" x14ac:dyDescent="0.25">
      <c r="A236" s="30">
        <v>1.2155062500000002</v>
      </c>
      <c r="E236" t="s">
        <v>8</v>
      </c>
      <c r="F236" s="27" t="s">
        <v>7</v>
      </c>
      <c r="I236" s="27" t="s">
        <v>8</v>
      </c>
      <c r="J236" s="27" t="s">
        <v>7</v>
      </c>
      <c r="K236" s="27" t="s">
        <v>8</v>
      </c>
      <c r="M236" s="27" t="s">
        <v>8</v>
      </c>
      <c r="N236" s="27" t="s">
        <v>7</v>
      </c>
      <c r="O236" s="27" t="s">
        <v>8</v>
      </c>
      <c r="S236" s="27" t="s">
        <v>8</v>
      </c>
      <c r="T236" s="27" t="s">
        <v>7</v>
      </c>
      <c r="U236" s="27" t="s">
        <v>8</v>
      </c>
      <c r="V236" s="27" t="s">
        <v>7</v>
      </c>
      <c r="AW236" s="27" t="s">
        <v>8</v>
      </c>
      <c r="AX236" s="27" t="s">
        <v>7</v>
      </c>
      <c r="AY236" s="27" t="s">
        <v>8</v>
      </c>
      <c r="BZ236" s="27" t="s">
        <v>7</v>
      </c>
      <c r="CN236" s="27" t="s">
        <v>7</v>
      </c>
      <c r="CO236" s="27" t="s">
        <v>8</v>
      </c>
      <c r="CP236" s="27" t="s">
        <v>7</v>
      </c>
    </row>
    <row r="237" spans="1:106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F237" s="27" t="s">
        <v>7</v>
      </c>
      <c r="I237" s="27" t="s">
        <v>8</v>
      </c>
      <c r="J237" s="27" t="s">
        <v>7</v>
      </c>
      <c r="K237" s="27" t="s">
        <v>8</v>
      </c>
      <c r="L237" s="27" t="s">
        <v>7</v>
      </c>
      <c r="M237" s="27" t="s">
        <v>8</v>
      </c>
      <c r="N237" s="27" t="s">
        <v>7</v>
      </c>
      <c r="O237" s="27" t="s">
        <v>8</v>
      </c>
      <c r="P237" s="27" t="s">
        <v>7</v>
      </c>
      <c r="Q237" s="27" t="s">
        <v>8</v>
      </c>
      <c r="S237" s="27" t="s">
        <v>8</v>
      </c>
      <c r="T237" s="27" t="s">
        <v>7</v>
      </c>
      <c r="U237" s="27" t="s">
        <v>8</v>
      </c>
      <c r="V237" s="27" t="s">
        <v>7</v>
      </c>
      <c r="AQ237" s="27" t="s">
        <v>8</v>
      </c>
      <c r="AS237" s="27" t="s">
        <v>8</v>
      </c>
      <c r="AW237" s="27" t="s">
        <v>8</v>
      </c>
      <c r="AX237" s="27" t="s">
        <v>7</v>
      </c>
      <c r="AY237" s="27" t="s">
        <v>8</v>
      </c>
      <c r="CN237" s="27" t="s">
        <v>7</v>
      </c>
    </row>
    <row r="238" spans="1:106" x14ac:dyDescent="0.25">
      <c r="A238" s="30">
        <v>1.1025</v>
      </c>
      <c r="E238" t="s">
        <v>8</v>
      </c>
      <c r="F238" s="27" t="s">
        <v>7</v>
      </c>
      <c r="I238" s="27" t="s">
        <v>8</v>
      </c>
      <c r="J238" s="27" t="s">
        <v>7</v>
      </c>
      <c r="K238" s="27" t="s">
        <v>8</v>
      </c>
      <c r="L238" s="27" t="s">
        <v>7</v>
      </c>
      <c r="M238" s="27" t="s">
        <v>8</v>
      </c>
      <c r="N238" s="27" t="s">
        <v>7</v>
      </c>
      <c r="O238" s="27" t="s">
        <v>8</v>
      </c>
      <c r="P238" s="27" t="s">
        <v>7</v>
      </c>
      <c r="Q238" s="27" t="s">
        <v>8</v>
      </c>
      <c r="R238" s="27" t="s">
        <v>7</v>
      </c>
      <c r="S238" s="27" t="s">
        <v>8</v>
      </c>
      <c r="T238" s="27" t="s">
        <v>7</v>
      </c>
      <c r="U238" s="27" t="s">
        <v>8</v>
      </c>
      <c r="V238" s="27" t="s">
        <v>7</v>
      </c>
      <c r="AQ238" s="27" t="s">
        <v>8</v>
      </c>
      <c r="AR238" s="27" t="s">
        <v>7</v>
      </c>
      <c r="AS238" s="27" t="s">
        <v>8</v>
      </c>
      <c r="AT238" s="27" t="s">
        <v>7</v>
      </c>
      <c r="AW238" s="27" t="s">
        <v>8</v>
      </c>
      <c r="AX238" s="27" t="s">
        <v>7</v>
      </c>
    </row>
    <row r="239" spans="1:106" x14ac:dyDescent="0.25">
      <c r="A239" s="30">
        <v>1.05</v>
      </c>
      <c r="E239" t="s">
        <v>8</v>
      </c>
      <c r="F239" s="27" t="s">
        <v>7</v>
      </c>
      <c r="I239" s="27" t="s">
        <v>8</v>
      </c>
      <c r="J239" s="27" t="s">
        <v>7</v>
      </c>
      <c r="K239" s="27" t="s">
        <v>8</v>
      </c>
      <c r="L239" s="27" t="s">
        <v>7</v>
      </c>
      <c r="M239" s="27" t="s">
        <v>8</v>
      </c>
      <c r="N239" s="27" t="s">
        <v>7</v>
      </c>
      <c r="P239" s="27" t="s">
        <v>7</v>
      </c>
      <c r="Q239" s="27" t="s">
        <v>8</v>
      </c>
      <c r="R239" s="27" t="s">
        <v>7</v>
      </c>
      <c r="S239" s="27" t="s">
        <v>8</v>
      </c>
      <c r="T239" s="27" t="s">
        <v>7</v>
      </c>
      <c r="U239" s="27" t="s">
        <v>8</v>
      </c>
      <c r="V239" s="27" t="s">
        <v>7</v>
      </c>
      <c r="AM239" s="27" t="s">
        <v>8</v>
      </c>
      <c r="AQ239" s="27" t="s">
        <v>8</v>
      </c>
      <c r="AR239" s="27" t="s">
        <v>7</v>
      </c>
      <c r="AS239" s="27" t="s">
        <v>8</v>
      </c>
      <c r="AT239" s="27" t="s">
        <v>7</v>
      </c>
      <c r="AU239" s="27" t="s">
        <v>8</v>
      </c>
      <c r="AW239" s="27" t="s">
        <v>8</v>
      </c>
    </row>
    <row r="240" spans="1:106" x14ac:dyDescent="0.25">
      <c r="A240" s="30">
        <v>1</v>
      </c>
      <c r="E240" s="29" t="s">
        <v>8</v>
      </c>
      <c r="F240" s="27" t="s">
        <v>7</v>
      </c>
      <c r="I240" s="27" t="s">
        <v>8</v>
      </c>
      <c r="J240" s="27" t="s">
        <v>7</v>
      </c>
      <c r="K240" s="27" t="s">
        <v>8</v>
      </c>
      <c r="L240" s="27" t="s">
        <v>7</v>
      </c>
      <c r="P240" s="27" t="s">
        <v>7</v>
      </c>
      <c r="Q240" s="27" t="s">
        <v>8</v>
      </c>
      <c r="R240" s="27" t="s">
        <v>7</v>
      </c>
      <c r="T240" s="27" t="s">
        <v>7</v>
      </c>
      <c r="V240" s="27" t="s">
        <v>7</v>
      </c>
      <c r="AM240" s="27" t="s">
        <v>8</v>
      </c>
      <c r="AN240" s="27" t="s">
        <v>7</v>
      </c>
      <c r="AO240" s="27" t="s">
        <v>8</v>
      </c>
      <c r="AQ240" s="27" t="s">
        <v>8</v>
      </c>
      <c r="AR240" s="27" t="s">
        <v>7</v>
      </c>
      <c r="AT240" s="27" t="s">
        <v>7</v>
      </c>
      <c r="AU240" s="27" t="s">
        <v>8</v>
      </c>
      <c r="AV240" s="27" t="s">
        <v>7</v>
      </c>
      <c r="AW240" s="27" t="s">
        <v>8</v>
      </c>
    </row>
    <row r="241" spans="1:49" x14ac:dyDescent="0.25">
      <c r="A241" s="30">
        <v>0.952380952380952</v>
      </c>
      <c r="B241"/>
      <c r="C241"/>
      <c r="D241"/>
      <c r="E241"/>
      <c r="F241" s="27" t="s">
        <v>7</v>
      </c>
      <c r="G241" s="27" t="s">
        <v>8</v>
      </c>
      <c r="I241" s="27" t="s">
        <v>8</v>
      </c>
      <c r="J241" s="27" t="s">
        <v>7</v>
      </c>
      <c r="P241" s="27" t="s">
        <v>7</v>
      </c>
      <c r="Q241" s="27" t="s">
        <v>8</v>
      </c>
      <c r="V241" s="27" t="s">
        <v>7</v>
      </c>
      <c r="W241" s="27" t="s">
        <v>8</v>
      </c>
      <c r="Y241" s="27" t="s">
        <v>8</v>
      </c>
      <c r="AM241" s="27" t="s">
        <v>8</v>
      </c>
      <c r="AN241" s="27" t="s">
        <v>7</v>
      </c>
      <c r="AO241" s="27" t="s">
        <v>8</v>
      </c>
      <c r="AP241" s="27" t="s">
        <v>7</v>
      </c>
      <c r="AQ241" s="27" t="s">
        <v>8</v>
      </c>
      <c r="AT241" s="27" t="s">
        <v>7</v>
      </c>
      <c r="AU241" s="27" t="s">
        <v>8</v>
      </c>
      <c r="AV241" s="27" t="s">
        <v>7</v>
      </c>
      <c r="AW241" s="27" t="s">
        <v>8</v>
      </c>
    </row>
    <row r="242" spans="1:49" x14ac:dyDescent="0.25">
      <c r="A242" s="30">
        <v>0.90702947845804915</v>
      </c>
      <c r="B242"/>
      <c r="C242"/>
      <c r="D242"/>
      <c r="E242"/>
      <c r="F242" s="27" t="s">
        <v>7</v>
      </c>
      <c r="G242" s="27" t="s">
        <v>8</v>
      </c>
      <c r="H242" s="27" t="s">
        <v>7</v>
      </c>
      <c r="I242" s="27" t="s">
        <v>8</v>
      </c>
      <c r="P242" s="27" t="s">
        <v>7</v>
      </c>
      <c r="Q242" s="27" t="s">
        <v>8</v>
      </c>
      <c r="V242" s="27" t="s">
        <v>7</v>
      </c>
      <c r="W242" s="27" t="s">
        <v>8</v>
      </c>
      <c r="X242" s="27" t="s">
        <v>7</v>
      </c>
      <c r="Y242" s="27" t="s">
        <v>8</v>
      </c>
      <c r="Z242" s="27" t="s">
        <v>7</v>
      </c>
      <c r="AM242" s="27" t="s">
        <v>8</v>
      </c>
      <c r="AN242" s="27" t="s">
        <v>7</v>
      </c>
      <c r="AO242" s="27" t="s">
        <v>8</v>
      </c>
      <c r="AP242" s="27" t="s">
        <v>7</v>
      </c>
      <c r="AQ242" s="27" t="s">
        <v>8</v>
      </c>
      <c r="AT242" s="27" t="s">
        <v>7</v>
      </c>
      <c r="AV242" s="27" t="s">
        <v>7</v>
      </c>
    </row>
    <row r="243" spans="1:49" x14ac:dyDescent="0.25">
      <c r="A243" s="30">
        <v>0.86383759853147501</v>
      </c>
      <c r="B243"/>
      <c r="C243"/>
      <c r="D243"/>
      <c r="E243"/>
      <c r="F243" s="27" t="s">
        <v>7</v>
      </c>
      <c r="G243" s="27" t="s">
        <v>8</v>
      </c>
      <c r="H243" s="27" t="s">
        <v>7</v>
      </c>
      <c r="I243" s="27" t="s">
        <v>8</v>
      </c>
      <c r="P243" s="27" t="s">
        <v>7</v>
      </c>
      <c r="Q243" s="27" t="s">
        <v>8</v>
      </c>
      <c r="V243" s="27" t="s">
        <v>7</v>
      </c>
      <c r="W243" s="27" t="s">
        <v>8</v>
      </c>
      <c r="X243" s="27" t="s">
        <v>7</v>
      </c>
      <c r="Y243" s="27" t="s">
        <v>8</v>
      </c>
      <c r="Z243" s="27" t="s">
        <v>7</v>
      </c>
      <c r="AM243" s="27" t="s">
        <v>8</v>
      </c>
      <c r="AN243" s="27" t="s">
        <v>7</v>
      </c>
      <c r="AO243" s="27" t="s">
        <v>8</v>
      </c>
      <c r="AP243" s="27" t="s">
        <v>7</v>
      </c>
      <c r="AQ243" s="27" t="s">
        <v>8</v>
      </c>
    </row>
    <row r="244" spans="1:49" x14ac:dyDescent="0.25">
      <c r="A244" s="30">
        <v>0.82270247479188063</v>
      </c>
      <c r="B244"/>
      <c r="C244"/>
      <c r="D244"/>
      <c r="E244"/>
      <c r="F244" s="27" t="s">
        <v>7</v>
      </c>
      <c r="G244" s="27" t="s">
        <v>8</v>
      </c>
      <c r="H244" s="27" t="s">
        <v>7</v>
      </c>
      <c r="I244" s="27" t="s">
        <v>8</v>
      </c>
      <c r="P244" s="27" t="s">
        <v>7</v>
      </c>
      <c r="Q244" s="27" t="s">
        <v>8</v>
      </c>
      <c r="V244" s="27" t="s">
        <v>7</v>
      </c>
      <c r="W244" s="27" t="s">
        <v>8</v>
      </c>
      <c r="X244" s="27" t="s">
        <v>7</v>
      </c>
      <c r="Y244" s="27" t="s">
        <v>8</v>
      </c>
      <c r="Z244" s="27" t="s">
        <v>7</v>
      </c>
      <c r="AM244" s="27" t="s">
        <v>8</v>
      </c>
      <c r="AN244" s="27" t="s">
        <v>7</v>
      </c>
      <c r="AO244" s="27" t="s">
        <v>8</v>
      </c>
      <c r="AP244" s="27" t="s">
        <v>7</v>
      </c>
    </row>
    <row r="245" spans="1:49" x14ac:dyDescent="0.25">
      <c r="A245" s="30">
        <v>0.78352616646845741</v>
      </c>
      <c r="B245"/>
      <c r="C245"/>
      <c r="D245"/>
      <c r="E245"/>
      <c r="F245" s="27" t="s">
        <v>7</v>
      </c>
      <c r="G245" s="27" t="s">
        <v>8</v>
      </c>
      <c r="H245" s="27" t="s">
        <v>7</v>
      </c>
      <c r="P245" s="27" t="s">
        <v>7</v>
      </c>
      <c r="V245" s="27" t="s">
        <v>7</v>
      </c>
      <c r="X245" s="27" t="s">
        <v>7</v>
      </c>
      <c r="Z245" s="27" t="s">
        <v>7</v>
      </c>
      <c r="AM245" s="27" t="s">
        <v>8</v>
      </c>
      <c r="AN245" s="27" t="s">
        <v>7</v>
      </c>
      <c r="AO245" s="27" t="s">
        <v>8</v>
      </c>
    </row>
    <row r="246" spans="1:49" x14ac:dyDescent="0.25">
      <c r="A246" s="30">
        <v>0.74621539663662584</v>
      </c>
      <c r="B246"/>
      <c r="C246"/>
      <c r="D246"/>
      <c r="E246"/>
      <c r="F246" s="27" t="s">
        <v>7</v>
      </c>
      <c r="Z246" s="27" t="s">
        <v>7</v>
      </c>
      <c r="AM246" s="27" t="s">
        <v>8</v>
      </c>
      <c r="AN246" s="27" t="s">
        <v>7</v>
      </c>
    </row>
    <row r="247" spans="1:49" x14ac:dyDescent="0.25">
      <c r="A247" s="30">
        <v>0.71068133013011958</v>
      </c>
      <c r="B247"/>
      <c r="C247"/>
      <c r="D247"/>
      <c r="E247"/>
      <c r="Z247" s="27" t="s">
        <v>7</v>
      </c>
      <c r="AM247" s="27" t="s">
        <v>8</v>
      </c>
    </row>
    <row r="248" spans="1:49" x14ac:dyDescent="0.25">
      <c r="A248" s="30">
        <v>0.676839362028685</v>
      </c>
      <c r="B248"/>
      <c r="C248"/>
      <c r="D248"/>
      <c r="E248"/>
      <c r="Z248" s="27" t="s">
        <v>7</v>
      </c>
      <c r="AM248" s="27" t="s">
        <v>8</v>
      </c>
    </row>
    <row r="249" spans="1:49" x14ac:dyDescent="0.25">
      <c r="A249" s="30">
        <v>0.64460891621779492</v>
      </c>
      <c r="B249"/>
      <c r="C249"/>
      <c r="D249"/>
      <c r="E249"/>
      <c r="Z249" s="27" t="s">
        <v>7</v>
      </c>
      <c r="AK249" s="27" t="s">
        <v>8</v>
      </c>
      <c r="AM249" s="27" t="s">
        <v>8</v>
      </c>
    </row>
    <row r="250" spans="1:49" x14ac:dyDescent="0.25">
      <c r="A250" s="30">
        <v>0.61391325354075688</v>
      </c>
      <c r="B250"/>
      <c r="C250"/>
      <c r="D250"/>
      <c r="E250"/>
      <c r="Z250" s="27" t="s">
        <v>7</v>
      </c>
      <c r="AG250" s="27" t="s">
        <v>8</v>
      </c>
      <c r="AK250" s="27" t="s">
        <v>8</v>
      </c>
      <c r="AL250" s="27" t="s">
        <v>7</v>
      </c>
      <c r="AM250" s="27" t="s">
        <v>8</v>
      </c>
    </row>
    <row r="251" spans="1:49" x14ac:dyDescent="0.25">
      <c r="A251" s="30">
        <v>0.58467928908643485</v>
      </c>
      <c r="B251"/>
      <c r="C251"/>
      <c r="D251"/>
      <c r="E251"/>
      <c r="Z251" s="27" t="s">
        <v>7</v>
      </c>
      <c r="AG251" s="27" t="s">
        <v>8</v>
      </c>
      <c r="AH251" s="27" t="s">
        <v>7</v>
      </c>
      <c r="AK251" s="27" t="s">
        <v>8</v>
      </c>
      <c r="AL251" s="27" t="s">
        <v>7</v>
      </c>
      <c r="AM251" s="27" t="s">
        <v>8</v>
      </c>
    </row>
    <row r="252" spans="1:49" x14ac:dyDescent="0.25">
      <c r="A252" s="30">
        <v>0.55683741817755672</v>
      </c>
      <c r="B252"/>
      <c r="C252"/>
      <c r="D252"/>
      <c r="E252"/>
      <c r="Z252" s="27" t="s">
        <v>7</v>
      </c>
      <c r="AG252" s="27" t="s">
        <v>8</v>
      </c>
      <c r="AH252" s="27" t="s">
        <v>7</v>
      </c>
      <c r="AI252" s="27" t="s">
        <v>8</v>
      </c>
      <c r="AK252" s="27" t="s">
        <v>8</v>
      </c>
      <c r="AL252" s="27" t="s">
        <v>7</v>
      </c>
      <c r="AM252" s="27" t="s">
        <v>8</v>
      </c>
    </row>
    <row r="253" spans="1:49" x14ac:dyDescent="0.25">
      <c r="A253" s="30">
        <v>0.53032135064529184</v>
      </c>
      <c r="B253"/>
      <c r="C253"/>
      <c r="D253"/>
      <c r="E253"/>
      <c r="Z253" s="27" t="s">
        <v>7</v>
      </c>
      <c r="AE253" s="27" t="s">
        <v>8</v>
      </c>
      <c r="AG253" s="27" t="s">
        <v>8</v>
      </c>
      <c r="AH253" s="27" t="s">
        <v>7</v>
      </c>
      <c r="AI253" s="27" t="s">
        <v>8</v>
      </c>
      <c r="AJ253" s="27" t="s">
        <v>7</v>
      </c>
      <c r="AK253" s="27" t="s">
        <v>8</v>
      </c>
      <c r="AL253" s="27" t="s">
        <v>7</v>
      </c>
      <c r="AM253" s="27" t="s">
        <v>8</v>
      </c>
    </row>
    <row r="254" spans="1:49" x14ac:dyDescent="0.25">
      <c r="A254" s="30">
        <v>0.50506795299551588</v>
      </c>
      <c r="B254"/>
      <c r="C254"/>
      <c r="D254"/>
      <c r="E254"/>
      <c r="Z254" s="27" t="s">
        <v>7</v>
      </c>
      <c r="AE254" s="27" t="s">
        <v>8</v>
      </c>
      <c r="AF254" s="27" t="s">
        <v>7</v>
      </c>
      <c r="AG254" s="27" t="s">
        <v>8</v>
      </c>
      <c r="AH254" s="27" t="s">
        <v>7</v>
      </c>
      <c r="AI254" s="27" t="s">
        <v>8</v>
      </c>
      <c r="AJ254" s="27" t="s">
        <v>7</v>
      </c>
      <c r="AK254" s="27" t="s">
        <v>8</v>
      </c>
      <c r="AL254" s="27" t="s">
        <v>7</v>
      </c>
      <c r="AM254" s="27" t="s">
        <v>8</v>
      </c>
    </row>
    <row r="255" spans="1:49" x14ac:dyDescent="0.25">
      <c r="A255" s="30">
        <v>0.48101709809096732</v>
      </c>
      <c r="E255"/>
      <c r="Z255" s="27" t="s">
        <v>7</v>
      </c>
      <c r="AC255" s="27" t="s">
        <v>8</v>
      </c>
      <c r="AE255" s="27" t="s">
        <v>8</v>
      </c>
      <c r="AF255" s="27" t="s">
        <v>7</v>
      </c>
      <c r="AG255" s="27" t="s">
        <v>8</v>
      </c>
      <c r="AH255" s="27" t="s">
        <v>7</v>
      </c>
      <c r="AJ255" s="27" t="s">
        <v>7</v>
      </c>
      <c r="AL255" s="27" t="s">
        <v>7</v>
      </c>
      <c r="AM255" s="27" t="s">
        <v>8</v>
      </c>
    </row>
    <row r="256" spans="1:49" x14ac:dyDescent="0.25">
      <c r="A256" s="30">
        <v>0.45811152199139726</v>
      </c>
      <c r="E256"/>
      <c r="Z256" s="27" t="s">
        <v>7</v>
      </c>
      <c r="AA256" s="27" t="s">
        <v>8</v>
      </c>
      <c r="AC256" s="27" t="s">
        <v>8</v>
      </c>
      <c r="AD256" s="27" t="s">
        <v>7</v>
      </c>
      <c r="AE256" s="27" t="s">
        <v>8</v>
      </c>
      <c r="AF256" s="27" t="s">
        <v>7</v>
      </c>
      <c r="AG256" s="27" t="s">
        <v>8</v>
      </c>
      <c r="AL256" s="27" t="s">
        <v>7</v>
      </c>
      <c r="AM256" s="27" t="s">
        <v>8</v>
      </c>
    </row>
    <row r="257" spans="1:38" x14ac:dyDescent="0.25">
      <c r="A257" s="30">
        <v>0.43629668761085438</v>
      </c>
      <c r="B257"/>
      <c r="C257"/>
      <c r="D257"/>
      <c r="E257"/>
      <c r="Z257" s="27" t="s">
        <v>7</v>
      </c>
      <c r="AA257" s="27" t="s">
        <v>8</v>
      </c>
      <c r="AB257" s="27" t="s">
        <v>7</v>
      </c>
      <c r="AC257" s="27" t="s">
        <v>8</v>
      </c>
      <c r="AD257" s="27" t="s">
        <v>7</v>
      </c>
      <c r="AE257" s="27" t="s">
        <v>8</v>
      </c>
      <c r="AF257" s="27" t="s">
        <v>7</v>
      </c>
      <c r="AG257" s="27" t="s">
        <v>8</v>
      </c>
      <c r="AL257" s="27" t="s">
        <v>7</v>
      </c>
    </row>
    <row r="258" spans="1:38" x14ac:dyDescent="0.25">
      <c r="A258" s="30">
        <v>0.41552065486748019</v>
      </c>
      <c r="B258"/>
      <c r="C258"/>
      <c r="D258"/>
      <c r="E258"/>
      <c r="Z258" s="27" t="s">
        <v>7</v>
      </c>
      <c r="AA258" s="27" t="s">
        <v>8</v>
      </c>
      <c r="AB258" s="27" t="s">
        <v>7</v>
      </c>
      <c r="AC258" s="27" t="s">
        <v>8</v>
      </c>
      <c r="AD258" s="27" t="s">
        <v>7</v>
      </c>
      <c r="AE258" s="27" t="s">
        <v>8</v>
      </c>
      <c r="AF258" s="27" t="s">
        <v>7</v>
      </c>
    </row>
    <row r="259" spans="1:38" x14ac:dyDescent="0.25">
      <c r="A259" s="30">
        <v>0.39573395701664765</v>
      </c>
      <c r="B259"/>
      <c r="C259"/>
      <c r="D259"/>
      <c r="E259"/>
      <c r="Z259" s="27" t="s">
        <v>7</v>
      </c>
      <c r="AA259" s="27" t="s">
        <v>8</v>
      </c>
      <c r="AB259" s="27" t="s">
        <v>7</v>
      </c>
      <c r="AC259" s="27" t="s">
        <v>8</v>
      </c>
      <c r="AD259" s="27" t="s">
        <v>7</v>
      </c>
    </row>
    <row r="260" spans="1:38" x14ac:dyDescent="0.25">
      <c r="A260" s="30">
        <v>0.37688948287299762</v>
      </c>
      <c r="B260"/>
      <c r="C260"/>
      <c r="D260"/>
      <c r="E260"/>
      <c r="Z260" s="27" t="s">
        <v>7</v>
      </c>
      <c r="AA260" s="27" t="s">
        <v>8</v>
      </c>
      <c r="AB260" s="27" t="s">
        <v>7</v>
      </c>
      <c r="AC260" s="27" t="s">
        <v>8</v>
      </c>
    </row>
    <row r="261" spans="1:38" x14ac:dyDescent="0.25">
      <c r="A261" s="30">
        <v>0.35894236464094997</v>
      </c>
      <c r="B261"/>
      <c r="C261"/>
      <c r="D261"/>
      <c r="E261"/>
      <c r="Z261" s="27" t="s">
        <v>7</v>
      </c>
      <c r="AA261" s="27" t="s">
        <v>8</v>
      </c>
      <c r="AB261" s="27" t="s">
        <v>7</v>
      </c>
      <c r="AC261" s="27" t="s">
        <v>8</v>
      </c>
    </row>
    <row r="262" spans="1:38" x14ac:dyDescent="0.25">
      <c r="A262" s="30">
        <v>0.34184987108661891</v>
      </c>
      <c r="B262"/>
      <c r="C262"/>
      <c r="D262"/>
      <c r="E262"/>
      <c r="Z262" s="27" t="s">
        <v>7</v>
      </c>
      <c r="AA262" s="27" t="s">
        <v>8</v>
      </c>
      <c r="AB262" s="27" t="s">
        <v>7</v>
      </c>
      <c r="AC262" s="27" t="s">
        <v>8</v>
      </c>
    </row>
    <row r="263" spans="1:38" x14ac:dyDescent="0.25">
      <c r="A263" s="30">
        <v>0.32557130579677979</v>
      </c>
      <c r="B263"/>
      <c r="C263"/>
      <c r="D263"/>
      <c r="E263"/>
      <c r="Z263" s="27" t="s">
        <v>7</v>
      </c>
      <c r="AA263" s="27" t="s">
        <v>8</v>
      </c>
      <c r="AB263" s="27" t="s">
        <v>7</v>
      </c>
      <c r="AC263" s="27" t="s">
        <v>8</v>
      </c>
    </row>
    <row r="264" spans="1:38" x14ac:dyDescent="0.25">
      <c r="A264" s="30">
        <v>0.3100679102826473</v>
      </c>
      <c r="B264"/>
      <c r="C264"/>
      <c r="D264"/>
      <c r="E264"/>
      <c r="Z264" s="27" t="s">
        <v>7</v>
      </c>
      <c r="AA264" s="27" t="s">
        <v>8</v>
      </c>
      <c r="AB264" s="27" t="s">
        <v>7</v>
      </c>
    </row>
    <row r="265" spans="1:38" x14ac:dyDescent="0.25">
      <c r="A265" s="30">
        <v>0.2953027716977592</v>
      </c>
      <c r="B265"/>
      <c r="C265"/>
      <c r="D265"/>
      <c r="E265"/>
      <c r="Z265" s="27" t="s">
        <v>7</v>
      </c>
      <c r="AA265" s="27" t="s">
        <v>8</v>
      </c>
    </row>
    <row r="266" spans="1:38" x14ac:dyDescent="0.25">
      <c r="A266" s="30">
        <v>0.28124073495024676</v>
      </c>
      <c r="B266"/>
      <c r="C266"/>
      <c r="D266"/>
      <c r="E266"/>
      <c r="Z266" s="27" t="s">
        <v>7</v>
      </c>
      <c r="AA266" s="27" t="s">
        <v>8</v>
      </c>
    </row>
    <row r="267" spans="1:38" x14ac:dyDescent="0.25">
      <c r="A267" s="30">
        <v>0.26784831900023492</v>
      </c>
      <c r="B267"/>
      <c r="C267"/>
      <c r="D267"/>
      <c r="E267"/>
      <c r="Z267" s="27" t="s">
        <v>7</v>
      </c>
      <c r="AA267" s="27" t="s">
        <v>8</v>
      </c>
    </row>
    <row r="268" spans="1:38" x14ac:dyDescent="0.25">
      <c r="A268" s="30">
        <v>0.25509363714308075</v>
      </c>
      <c r="B268"/>
      <c r="C268"/>
      <c r="D268"/>
      <c r="E268"/>
      <c r="Z268" s="27" t="s">
        <v>7</v>
      </c>
      <c r="AA268" s="27" t="s">
        <v>8</v>
      </c>
    </row>
    <row r="269" spans="1:38" x14ac:dyDescent="0.25">
      <c r="A269" s="30">
        <v>0.24294632108864825</v>
      </c>
      <c r="B269"/>
      <c r="C269"/>
      <c r="D269"/>
      <c r="E269"/>
      <c r="Z269" s="27" t="s">
        <v>7</v>
      </c>
    </row>
    <row r="270" spans="1:38" x14ac:dyDescent="0.25">
      <c r="A270" s="30">
        <v>0.23137744865585538</v>
      </c>
      <c r="B270"/>
      <c r="C270"/>
      <c r="D270"/>
      <c r="E270"/>
    </row>
    <row r="271" spans="1:38" x14ac:dyDescent="0.25">
      <c r="A271" s="30">
        <v>0.22035947491033836</v>
      </c>
      <c r="B271"/>
      <c r="C271"/>
      <c r="D271"/>
      <c r="E271"/>
    </row>
    <row r="272" spans="1:38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246" operator="equal">
      <formula>$U$1</formula>
    </cfRule>
    <cfRule type="cellIs" dxfId="67" priority="1247" operator="equal">
      <formula>$S$1</formula>
    </cfRule>
  </conditionalFormatting>
  <conditionalFormatting sqref="D136">
    <cfRule type="cellIs" dxfId="66" priority="1244" operator="equal">
      <formula>$S$1</formula>
    </cfRule>
    <cfRule type="cellIs" dxfId="65" priority="1245" operator="equal">
      <formula>$U$1</formula>
    </cfRule>
  </conditionalFormatting>
  <conditionalFormatting sqref="C162">
    <cfRule type="cellIs" dxfId="64" priority="1242" operator="equal">
      <formula>$U$1</formula>
    </cfRule>
    <cfRule type="cellIs" dxfId="63" priority="1243" operator="equal">
      <formula>$S$1</formula>
    </cfRule>
  </conditionalFormatting>
  <conditionalFormatting sqref="D162">
    <cfRule type="cellIs" dxfId="62" priority="1240" operator="equal">
      <formula>$S$1</formula>
    </cfRule>
    <cfRule type="cellIs" dxfId="61" priority="1241" operator="equal">
      <formula>$U$1</formula>
    </cfRule>
  </conditionalFormatting>
  <conditionalFormatting sqref="C187">
    <cfRule type="cellIs" dxfId="60" priority="1238" operator="equal">
      <formula>$U$1</formula>
    </cfRule>
    <cfRule type="cellIs" dxfId="59" priority="1239" operator="equal">
      <formula>$S$1</formula>
    </cfRule>
  </conditionalFormatting>
  <conditionalFormatting sqref="D187">
    <cfRule type="cellIs" dxfId="58" priority="1236" operator="equal">
      <formula>$S$1</formula>
    </cfRule>
    <cfRule type="cellIs" dxfId="57" priority="1237" operator="equal">
      <formula>$U$1</formula>
    </cfRule>
  </conditionalFormatting>
  <conditionalFormatting sqref="C212">
    <cfRule type="cellIs" dxfId="56" priority="1234" operator="equal">
      <formula>$U$1</formula>
    </cfRule>
    <cfRule type="cellIs" dxfId="55" priority="1235" operator="equal">
      <formula>$S$1</formula>
    </cfRule>
  </conditionalFormatting>
  <conditionalFormatting sqref="D212">
    <cfRule type="cellIs" dxfId="54" priority="1232" operator="equal">
      <formula>$S$1</formula>
    </cfRule>
    <cfRule type="cellIs" dxfId="53" priority="1233" operator="equal">
      <formula>$U$1</formula>
    </cfRule>
  </conditionalFormatting>
  <conditionalFormatting sqref="C237">
    <cfRule type="cellIs" dxfId="52" priority="1230" operator="equal">
      <formula>$U$1</formula>
    </cfRule>
    <cfRule type="cellIs" dxfId="51" priority="1231" operator="equal">
      <formula>$S$1</formula>
    </cfRule>
  </conditionalFormatting>
  <conditionalFormatting sqref="D237">
    <cfRule type="cellIs" dxfId="50" priority="1228" operator="equal">
      <formula>$S$1</formula>
    </cfRule>
    <cfRule type="cellIs" dxfId="49" priority="1229" operator="equal">
      <formula>$U$1</formula>
    </cfRule>
  </conditionalFormatting>
  <conditionalFormatting sqref="C106">
    <cfRule type="cellIs" dxfId="48" priority="1226" operator="equal">
      <formula>$U$1</formula>
    </cfRule>
    <cfRule type="cellIs" dxfId="47" priority="1227" operator="equal">
      <formula>$S$1</formula>
    </cfRule>
  </conditionalFormatting>
  <conditionalFormatting sqref="D106">
    <cfRule type="cellIs" dxfId="46" priority="1224" operator="equal">
      <formula>$S$1</formula>
    </cfRule>
    <cfRule type="cellIs" dxfId="45" priority="1225" operator="equal">
      <formula>$U$1</formula>
    </cfRule>
  </conditionalFormatting>
  <conditionalFormatting sqref="C81">
    <cfRule type="cellIs" dxfId="44" priority="1222" operator="equal">
      <formula>$U$1</formula>
    </cfRule>
    <cfRule type="cellIs" dxfId="43" priority="1223" operator="equal">
      <formula>$S$1</formula>
    </cfRule>
  </conditionalFormatting>
  <conditionalFormatting sqref="D81">
    <cfRule type="cellIs" dxfId="42" priority="1220" operator="equal">
      <formula>$S$1</formula>
    </cfRule>
    <cfRule type="cellIs" dxfId="41" priority="1221" operator="equal">
      <formula>$U$1</formula>
    </cfRule>
  </conditionalFormatting>
  <conditionalFormatting sqref="C56">
    <cfRule type="cellIs" dxfId="40" priority="1218" operator="equal">
      <formula>$U$1</formula>
    </cfRule>
    <cfRule type="cellIs" dxfId="39" priority="1219" operator="equal">
      <formula>$S$1</formula>
    </cfRule>
  </conditionalFormatting>
  <conditionalFormatting sqref="D56">
    <cfRule type="cellIs" dxfId="38" priority="1216" operator="equal">
      <formula>$S$1</formula>
    </cfRule>
    <cfRule type="cellIs" dxfId="37" priority="1217" operator="equal">
      <formula>$U$1</formula>
    </cfRule>
  </conditionalFormatting>
  <conditionalFormatting sqref="C31">
    <cfRule type="cellIs" dxfId="36" priority="1214" operator="equal">
      <formula>$U$1</formula>
    </cfRule>
    <cfRule type="cellIs" dxfId="35" priority="1215" operator="equal">
      <formula>$S$1</formula>
    </cfRule>
  </conditionalFormatting>
  <conditionalFormatting sqref="D31">
    <cfRule type="cellIs" dxfId="34" priority="1212" operator="equal">
      <formula>$S$1</formula>
    </cfRule>
    <cfRule type="cellIs" dxfId="33" priority="1213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88" zoomScale="90" zoomScaleNormal="90" workbookViewId="0">
      <pane xSplit="4" topLeftCell="G1" activePane="topRight" state="frozen"/>
      <selection activeCell="A109" sqref="A109"/>
      <selection pane="topRight" activeCell="BP110" sqref="BP110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68" x14ac:dyDescent="0.25">
      <c r="A97" s="30">
        <v>9.849732675807628</v>
      </c>
      <c r="E97"/>
    </row>
    <row r="98" spans="1:68" x14ac:dyDescent="0.25">
      <c r="A98" s="30">
        <v>8.9543024325523888</v>
      </c>
      <c r="C98" s="1" t="s">
        <v>13</v>
      </c>
      <c r="E98"/>
      <c r="BI98" s="31" t="s">
        <v>8</v>
      </c>
    </row>
    <row r="99" spans="1:68" x14ac:dyDescent="0.25">
      <c r="A99" s="30">
        <v>8.140274938683989</v>
      </c>
      <c r="C99" s="1">
        <f>C88</f>
        <v>0</v>
      </c>
      <c r="E99"/>
      <c r="AW99" s="27" t="s">
        <v>8</v>
      </c>
      <c r="BI99" s="27" t="s">
        <v>8</v>
      </c>
      <c r="BJ99" s="31" t="s">
        <v>7</v>
      </c>
    </row>
    <row r="100" spans="1:68" x14ac:dyDescent="0.25">
      <c r="A100" s="30">
        <v>7.4002499442581717</v>
      </c>
      <c r="C100"/>
      <c r="D100"/>
      <c r="E100"/>
      <c r="AW100" s="27" t="s">
        <v>8</v>
      </c>
      <c r="AX100" s="27" t="s">
        <v>7</v>
      </c>
      <c r="BI100" s="27" t="s">
        <v>8</v>
      </c>
      <c r="BJ100" s="27" t="s">
        <v>7</v>
      </c>
      <c r="BK100" s="31"/>
    </row>
    <row r="101" spans="1:68" x14ac:dyDescent="0.25">
      <c r="A101" s="30">
        <v>6.72749994932561</v>
      </c>
      <c r="C101" s="1" t="s">
        <v>14</v>
      </c>
      <c r="E101"/>
      <c r="AS101" s="32" t="s">
        <v>8</v>
      </c>
      <c r="AU101" s="32" t="s">
        <v>8</v>
      </c>
      <c r="AW101" s="27" t="s">
        <v>8</v>
      </c>
      <c r="AX101" s="27" t="s">
        <v>7</v>
      </c>
      <c r="BA101" s="31" t="s">
        <v>8</v>
      </c>
      <c r="BI101" s="27" t="s">
        <v>8</v>
      </c>
      <c r="BJ101" s="27" t="s">
        <v>7</v>
      </c>
      <c r="BK101" s="27" t="s">
        <v>8</v>
      </c>
      <c r="BL101" s="31"/>
    </row>
    <row r="102" spans="1:68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AS102" s="27" t="s">
        <v>8</v>
      </c>
      <c r="AT102" s="27" t="s">
        <v>7</v>
      </c>
      <c r="AU102" s="27" t="s">
        <v>8</v>
      </c>
      <c r="AV102" s="27" t="s">
        <v>7</v>
      </c>
      <c r="AW102" s="27" t="s">
        <v>8</v>
      </c>
      <c r="AX102" s="27" t="s">
        <v>7</v>
      </c>
      <c r="BA102" s="33" t="s">
        <v>8</v>
      </c>
      <c r="BB102" s="31" t="s">
        <v>7</v>
      </c>
      <c r="BI102" s="27" t="s">
        <v>8</v>
      </c>
      <c r="BJ102" s="27" t="s">
        <v>7</v>
      </c>
      <c r="BK102" s="27" t="s">
        <v>8</v>
      </c>
      <c r="BL102" s="27" t="s">
        <v>7</v>
      </c>
      <c r="BM102" s="31"/>
    </row>
    <row r="103" spans="1:68" x14ac:dyDescent="0.25">
      <c r="A103" s="30">
        <v>5.5599173134922388</v>
      </c>
      <c r="E103"/>
      <c r="AM103" s="27" t="s">
        <v>8</v>
      </c>
      <c r="AS103" s="27" t="s">
        <v>8</v>
      </c>
      <c r="AT103" s="27" t="s">
        <v>7</v>
      </c>
      <c r="AU103" s="27" t="s">
        <v>8</v>
      </c>
      <c r="AV103" s="27" t="s">
        <v>7</v>
      </c>
      <c r="AW103" s="27" t="s">
        <v>8</v>
      </c>
      <c r="AX103" s="27" t="s">
        <v>7</v>
      </c>
      <c r="AY103" s="27" t="s">
        <v>8</v>
      </c>
      <c r="BA103" s="27" t="s">
        <v>8</v>
      </c>
      <c r="BB103" s="27" t="s">
        <v>7</v>
      </c>
      <c r="BC103" s="31"/>
      <c r="BE103" s="27" t="s">
        <v>8</v>
      </c>
      <c r="BI103" s="27" t="s">
        <v>8</v>
      </c>
      <c r="BJ103" s="27" t="s">
        <v>7</v>
      </c>
      <c r="BK103" s="27" t="s">
        <v>8</v>
      </c>
      <c r="BL103" s="27" t="s">
        <v>7</v>
      </c>
      <c r="BN103" s="31"/>
      <c r="BO103" s="27" t="s">
        <v>8</v>
      </c>
    </row>
    <row r="104" spans="1:68" x14ac:dyDescent="0.25">
      <c r="A104" s="30">
        <v>5.0544702849929442</v>
      </c>
      <c r="E104"/>
      <c r="W104" s="27" t="s">
        <v>8</v>
      </c>
      <c r="Y104" s="31" t="s">
        <v>8</v>
      </c>
      <c r="AM104" s="27" t="s">
        <v>8</v>
      </c>
      <c r="AN104" s="27" t="s">
        <v>7</v>
      </c>
      <c r="AO104" s="27" t="s">
        <v>8</v>
      </c>
      <c r="AS104" s="27" t="s">
        <v>8</v>
      </c>
      <c r="AT104" s="27" t="s">
        <v>7</v>
      </c>
      <c r="AV104" s="27" t="s">
        <v>7</v>
      </c>
      <c r="AW104" s="31" t="s">
        <v>8</v>
      </c>
      <c r="AX104" s="27" t="s">
        <v>7</v>
      </c>
      <c r="AY104" s="27" t="s">
        <v>8</v>
      </c>
      <c r="AZ104" s="27" t="s">
        <v>7</v>
      </c>
      <c r="BA104" s="27" t="s">
        <v>8</v>
      </c>
      <c r="BB104" s="27" t="s">
        <v>7</v>
      </c>
      <c r="BD104" s="31"/>
      <c r="BE104" s="27" t="s">
        <v>8</v>
      </c>
      <c r="BF104" s="27" t="s">
        <v>7</v>
      </c>
      <c r="BI104" s="27" t="s">
        <v>8</v>
      </c>
      <c r="BJ104" s="27" t="s">
        <v>7</v>
      </c>
      <c r="BK104" s="27" t="s">
        <v>8</v>
      </c>
      <c r="BL104" s="27" t="s">
        <v>7</v>
      </c>
      <c r="BM104" s="27" t="s">
        <v>8</v>
      </c>
      <c r="BO104" s="31" t="s">
        <v>8</v>
      </c>
      <c r="BP104" s="27" t="s">
        <v>7</v>
      </c>
    </row>
    <row r="105" spans="1:68" x14ac:dyDescent="0.25">
      <c r="A105" s="30">
        <v>4.594972986357222</v>
      </c>
      <c r="E105"/>
      <c r="W105" s="27" t="s">
        <v>8</v>
      </c>
      <c r="X105" s="27" t="s">
        <v>7</v>
      </c>
      <c r="Y105" s="27" t="s">
        <v>8</v>
      </c>
      <c r="Z105" s="31" t="s">
        <v>7</v>
      </c>
      <c r="AM105" s="27" t="s">
        <v>8</v>
      </c>
      <c r="AN105" s="27" t="s">
        <v>7</v>
      </c>
      <c r="AO105" s="27" t="s">
        <v>8</v>
      </c>
      <c r="AP105" s="27" t="s">
        <v>7</v>
      </c>
      <c r="AS105" s="33" t="s">
        <v>8</v>
      </c>
      <c r="AV105" s="31" t="s">
        <v>7</v>
      </c>
      <c r="AX105" s="27" t="s">
        <v>7</v>
      </c>
      <c r="AY105" s="27" t="s">
        <v>8</v>
      </c>
      <c r="AZ105" s="27" t="s">
        <v>7</v>
      </c>
      <c r="BA105" s="27" t="s">
        <v>8</v>
      </c>
      <c r="BB105" s="27" t="s">
        <v>7</v>
      </c>
      <c r="BE105" s="31" t="s">
        <v>8</v>
      </c>
      <c r="BF105" s="27" t="s">
        <v>7</v>
      </c>
      <c r="BG105" s="18" t="s">
        <v>8</v>
      </c>
      <c r="BI105" s="27" t="s">
        <v>8</v>
      </c>
      <c r="BJ105" s="27" t="s">
        <v>7</v>
      </c>
      <c r="BL105" s="31" t="s">
        <v>7</v>
      </c>
      <c r="BM105" s="27" t="s">
        <v>8</v>
      </c>
      <c r="BN105" s="27" t="s">
        <v>7</v>
      </c>
      <c r="BO105" s="27" t="s">
        <v>8</v>
      </c>
      <c r="BP105" s="27" t="s">
        <v>7</v>
      </c>
    </row>
    <row r="106" spans="1:68" x14ac:dyDescent="0.25">
      <c r="A106" s="30">
        <v>4.1772481694156562</v>
      </c>
      <c r="E106"/>
      <c r="W106" s="27" t="s">
        <v>8</v>
      </c>
      <c r="X106" s="27" t="s">
        <v>7</v>
      </c>
      <c r="Y106" s="27" t="s">
        <v>8</v>
      </c>
      <c r="Z106" s="27" t="s">
        <v>7</v>
      </c>
      <c r="AA106" s="31"/>
      <c r="AM106" s="27" t="s">
        <v>8</v>
      </c>
      <c r="AN106" s="27" t="s">
        <v>7</v>
      </c>
      <c r="AO106" s="27" t="s">
        <v>8</v>
      </c>
      <c r="AP106" s="27" t="s">
        <v>7</v>
      </c>
      <c r="AQ106" s="27" t="s">
        <v>8</v>
      </c>
      <c r="AS106" s="27" t="s">
        <v>8</v>
      </c>
      <c r="AU106" s="31"/>
      <c r="AX106" s="34" t="s">
        <v>7</v>
      </c>
      <c r="AZ106" s="27" t="s">
        <v>7</v>
      </c>
      <c r="BA106" s="27" t="s">
        <v>8</v>
      </c>
      <c r="BB106" s="27" t="s">
        <v>7</v>
      </c>
      <c r="BE106" s="33" t="s">
        <v>8</v>
      </c>
      <c r="BF106" s="27" t="s">
        <v>7</v>
      </c>
      <c r="BG106" s="27" t="s">
        <v>8</v>
      </c>
      <c r="BH106" s="27" t="s">
        <v>7</v>
      </c>
      <c r="BI106" s="27" t="s">
        <v>8</v>
      </c>
      <c r="BK106" s="31"/>
      <c r="BL106" s="27" t="s">
        <v>7</v>
      </c>
      <c r="BM106" s="27" t="s">
        <v>8</v>
      </c>
      <c r="BN106" s="27" t="s">
        <v>7</v>
      </c>
      <c r="BO106" s="27" t="s">
        <v>8</v>
      </c>
      <c r="BP106" s="27" t="s">
        <v>7</v>
      </c>
    </row>
    <row r="107" spans="1:68" x14ac:dyDescent="0.25">
      <c r="A107" s="30">
        <v>3.7974983358324148</v>
      </c>
      <c r="E107"/>
      <c r="W107" s="27" t="s">
        <v>8</v>
      </c>
      <c r="X107" s="27" t="s">
        <v>7</v>
      </c>
      <c r="Z107" s="27" t="s">
        <v>7</v>
      </c>
      <c r="AB107" s="31"/>
      <c r="AM107" s="27" t="s">
        <v>8</v>
      </c>
      <c r="AN107" s="27" t="s">
        <v>7</v>
      </c>
      <c r="AP107" s="27" t="s">
        <v>7</v>
      </c>
      <c r="AQ107" s="27" t="s">
        <v>8</v>
      </c>
      <c r="AR107" s="27" t="s">
        <v>7</v>
      </c>
      <c r="AS107" s="27" t="s">
        <v>8</v>
      </c>
      <c r="AT107" s="31"/>
      <c r="AZ107" s="27" t="s">
        <v>7</v>
      </c>
      <c r="BB107" s="27" t="s">
        <v>7</v>
      </c>
      <c r="BC107" s="27" t="s">
        <v>8</v>
      </c>
      <c r="BE107" s="27" t="s">
        <v>8</v>
      </c>
      <c r="BF107" s="27" t="s">
        <v>7</v>
      </c>
      <c r="BG107" s="27" t="s">
        <v>8</v>
      </c>
      <c r="BH107" s="27" t="s">
        <v>7</v>
      </c>
      <c r="BI107" s="27" t="s">
        <v>8</v>
      </c>
      <c r="BJ107" s="31"/>
      <c r="BL107" s="27" t="s">
        <v>7</v>
      </c>
      <c r="BM107" s="27" t="s">
        <v>8</v>
      </c>
      <c r="BN107" s="27" t="s">
        <v>7</v>
      </c>
      <c r="BP107" s="27" t="s">
        <v>7</v>
      </c>
    </row>
    <row r="108" spans="1:68" x14ac:dyDescent="0.25">
      <c r="A108" s="30">
        <v>3.4522712143931042</v>
      </c>
      <c r="E108"/>
      <c r="S108" s="27" t="s">
        <v>8</v>
      </c>
      <c r="W108" s="27" t="s">
        <v>8</v>
      </c>
      <c r="Z108" s="27" t="s">
        <v>7</v>
      </c>
      <c r="AC108" s="31"/>
      <c r="AM108" s="27" t="s">
        <v>8</v>
      </c>
      <c r="AP108" s="34" t="s">
        <v>7</v>
      </c>
      <c r="AQ108" s="27" t="s">
        <v>8</v>
      </c>
      <c r="AR108" s="27" t="s">
        <v>7</v>
      </c>
      <c r="AS108" s="31" t="s">
        <v>8</v>
      </c>
      <c r="BB108" s="34" t="s">
        <v>7</v>
      </c>
      <c r="BC108" s="27" t="s">
        <v>8</v>
      </c>
      <c r="BD108" s="27" t="s">
        <v>7</v>
      </c>
      <c r="BE108" s="27" t="s">
        <v>8</v>
      </c>
      <c r="BF108" s="27" t="s">
        <v>7</v>
      </c>
      <c r="BG108" s="27" t="s">
        <v>8</v>
      </c>
      <c r="BH108" s="27" t="s">
        <v>7</v>
      </c>
      <c r="BI108" s="31"/>
      <c r="BL108" s="27" t="s">
        <v>7</v>
      </c>
      <c r="BM108" s="27" t="s">
        <v>8</v>
      </c>
      <c r="BP108" s="27" t="s">
        <v>7</v>
      </c>
    </row>
    <row r="109" spans="1:68" x14ac:dyDescent="0.25">
      <c r="A109" s="30">
        <v>3.1384283767210035</v>
      </c>
      <c r="E109"/>
      <c r="S109" s="27" t="s">
        <v>8</v>
      </c>
      <c r="T109" s="27" t="s">
        <v>7</v>
      </c>
      <c r="W109" s="27" t="s">
        <v>8</v>
      </c>
      <c r="Z109" s="27" t="s">
        <v>7</v>
      </c>
      <c r="AD109" s="31"/>
      <c r="AM109" s="27" t="s">
        <v>8</v>
      </c>
      <c r="AP109" s="27" t="s">
        <v>7</v>
      </c>
      <c r="AQ109" s="27" t="s">
        <v>8</v>
      </c>
      <c r="AR109" s="31" t="s">
        <v>7</v>
      </c>
      <c r="BB109" s="27" t="s">
        <v>7</v>
      </c>
      <c r="BC109" s="27" t="s">
        <v>8</v>
      </c>
      <c r="BD109" s="27" t="s">
        <v>7</v>
      </c>
      <c r="BE109" s="27" t="s">
        <v>8</v>
      </c>
      <c r="BF109" s="27" t="s">
        <v>7</v>
      </c>
      <c r="BG109" s="27" t="s">
        <v>8</v>
      </c>
      <c r="BH109" s="31"/>
      <c r="BL109" s="27" t="s">
        <v>7</v>
      </c>
      <c r="BP109" s="27" t="s">
        <v>7</v>
      </c>
    </row>
    <row r="110" spans="1:68" x14ac:dyDescent="0.25">
      <c r="A110" s="30">
        <v>2.8531167061100029</v>
      </c>
      <c r="E110"/>
      <c r="S110" s="27" t="s">
        <v>8</v>
      </c>
      <c r="T110" s="27" t="s">
        <v>7</v>
      </c>
      <c r="W110" s="27" t="s">
        <v>8</v>
      </c>
      <c r="Z110" s="27" t="s">
        <v>7</v>
      </c>
      <c r="AA110" s="27" t="s">
        <v>8</v>
      </c>
      <c r="AE110" s="31"/>
      <c r="AM110" s="27" t="s">
        <v>8</v>
      </c>
      <c r="AP110" s="27" t="s">
        <v>7</v>
      </c>
      <c r="AQ110" s="31"/>
      <c r="BB110" s="27" t="s">
        <v>7</v>
      </c>
      <c r="BC110" s="27" t="s">
        <v>8</v>
      </c>
      <c r="BD110" s="27" t="s">
        <v>7</v>
      </c>
      <c r="BE110" s="27" t="s">
        <v>8</v>
      </c>
      <c r="BF110" s="27" t="s">
        <v>7</v>
      </c>
      <c r="BG110" s="31" t="s">
        <v>8</v>
      </c>
      <c r="BP110" s="27" t="s">
        <v>7</v>
      </c>
    </row>
    <row r="111" spans="1:68" x14ac:dyDescent="0.25">
      <c r="A111" s="30">
        <v>2.5937424601000023</v>
      </c>
      <c r="C111" s="1" t="str">
        <f>ADDRESS(C121-1,1,1,1)</f>
        <v>$A$109</v>
      </c>
      <c r="D111" s="1" t="str">
        <f>ADDRESS(C121-1,D121,1,1)</f>
        <v>$BP$109</v>
      </c>
      <c r="E111"/>
      <c r="S111" s="27" t="s">
        <v>8</v>
      </c>
      <c r="T111" s="27" t="s">
        <v>7</v>
      </c>
      <c r="U111" s="27" t="s">
        <v>8</v>
      </c>
      <c r="W111" s="27" t="s">
        <v>8</v>
      </c>
      <c r="Z111" s="27" t="s">
        <v>7</v>
      </c>
      <c r="AA111" s="27" t="s">
        <v>8</v>
      </c>
      <c r="AB111" s="27" t="s">
        <v>7</v>
      </c>
      <c r="AE111" s="27" t="s">
        <v>8</v>
      </c>
      <c r="AF111" s="31"/>
      <c r="AM111" s="27" t="s">
        <v>8</v>
      </c>
      <c r="AP111" s="31"/>
      <c r="BB111" s="27" t="s">
        <v>7</v>
      </c>
      <c r="BC111" s="27" t="s">
        <v>8</v>
      </c>
      <c r="BD111" s="27" t="s">
        <v>7</v>
      </c>
      <c r="BE111" s="27" t="s">
        <v>8</v>
      </c>
      <c r="BF111" s="31" t="s">
        <v>7</v>
      </c>
    </row>
    <row r="112" spans="1:68" x14ac:dyDescent="0.25">
      <c r="A112" s="30">
        <v>2.3579476910000019</v>
      </c>
      <c r="C112" s="1" t="str">
        <f>ADDRESS(C121,1,1,1)</f>
        <v>$A$110</v>
      </c>
      <c r="D112" s="1" t="str">
        <f>ADDRESS(C121,D121-1,1,1)</f>
        <v>$BO$110</v>
      </c>
      <c r="E112"/>
      <c r="S112" s="27" t="s">
        <v>8</v>
      </c>
      <c r="T112" s="27" t="s">
        <v>7</v>
      </c>
      <c r="U112" s="27" t="s">
        <v>8</v>
      </c>
      <c r="V112" s="27" t="s">
        <v>7</v>
      </c>
      <c r="W112" s="27" t="s">
        <v>8</v>
      </c>
      <c r="Z112" s="27" t="s">
        <v>7</v>
      </c>
      <c r="AA112" s="27" t="s">
        <v>8</v>
      </c>
      <c r="AB112" s="27" t="s">
        <v>7</v>
      </c>
      <c r="AC112" s="27" t="s">
        <v>8</v>
      </c>
      <c r="AE112" s="27" t="s">
        <v>8</v>
      </c>
      <c r="AF112" s="27" t="s">
        <v>7</v>
      </c>
      <c r="AG112" s="31"/>
      <c r="AK112" s="27" t="s">
        <v>8</v>
      </c>
      <c r="AM112" s="27" t="s">
        <v>8</v>
      </c>
      <c r="AO112" s="31"/>
      <c r="BB112" s="27" t="s">
        <v>7</v>
      </c>
      <c r="BC112" s="27" t="s">
        <v>8</v>
      </c>
      <c r="BD112" s="27" t="s">
        <v>7</v>
      </c>
    </row>
    <row r="113" spans="1:54" x14ac:dyDescent="0.25">
      <c r="A113" s="30">
        <v>2.1435888100000016</v>
      </c>
      <c r="C113" s="1" t="str">
        <f>ADDRESS(C121+1,1,1,1)</f>
        <v>$A$111</v>
      </c>
      <c r="D113" s="1" t="str">
        <f>ADDRESS(C121-1,D121+1,1,1)</f>
        <v>$BQ$109</v>
      </c>
      <c r="S113" s="27" t="s">
        <v>8</v>
      </c>
      <c r="T113" s="27" t="s">
        <v>7</v>
      </c>
      <c r="U113" s="27" t="s">
        <v>8</v>
      </c>
      <c r="V113" s="27" t="s">
        <v>7</v>
      </c>
      <c r="W113" s="27" t="s">
        <v>8</v>
      </c>
      <c r="Z113" s="27" t="s">
        <v>7</v>
      </c>
      <c r="AB113" s="27" t="s">
        <v>7</v>
      </c>
      <c r="AC113" s="27" t="s">
        <v>8</v>
      </c>
      <c r="AD113" s="27" t="s">
        <v>7</v>
      </c>
      <c r="AE113" s="27" t="s">
        <v>8</v>
      </c>
      <c r="AF113" s="27" t="s">
        <v>7</v>
      </c>
      <c r="AG113" s="27" t="s">
        <v>8</v>
      </c>
      <c r="AH113" s="31"/>
      <c r="AK113" s="33" t="s">
        <v>8</v>
      </c>
      <c r="AL113" s="27" t="s">
        <v>7</v>
      </c>
      <c r="AM113" s="27" t="s">
        <v>8</v>
      </c>
      <c r="AN113" s="31"/>
      <c r="BB113" s="27" t="s">
        <v>7</v>
      </c>
    </row>
    <row r="114" spans="1:54" x14ac:dyDescent="0.25">
      <c r="A114" s="30">
        <v>1.9487171000000014</v>
      </c>
      <c r="C114" s="1" t="str">
        <f>ADDRESS(C121,D121,1,1)</f>
        <v>$BP$110</v>
      </c>
      <c r="D114" s="1" t="str">
        <f>ADDRESS(C121+1,D121+1,1,1)</f>
        <v>$BQ$111</v>
      </c>
      <c r="S114" s="27" t="s">
        <v>8</v>
      </c>
      <c r="T114" s="32" t="s">
        <v>7</v>
      </c>
      <c r="V114" s="32" t="s">
        <v>7</v>
      </c>
      <c r="AB114" s="27" t="s">
        <v>7</v>
      </c>
      <c r="AC114" s="27" t="s">
        <v>8</v>
      </c>
      <c r="AD114" s="27" t="s">
        <v>7</v>
      </c>
      <c r="AE114" s="27" t="s">
        <v>8</v>
      </c>
      <c r="AF114" s="27" t="s">
        <v>7</v>
      </c>
      <c r="AG114" s="27" t="s">
        <v>8</v>
      </c>
      <c r="AH114" s="27" t="s">
        <v>7</v>
      </c>
      <c r="AI114" s="31" t="s">
        <v>8</v>
      </c>
      <c r="AK114" s="27" t="s">
        <v>8</v>
      </c>
      <c r="AL114" s="27" t="s">
        <v>7</v>
      </c>
      <c r="AM114" s="31" t="s">
        <v>8</v>
      </c>
    </row>
    <row r="115" spans="1:54" x14ac:dyDescent="0.25">
      <c r="A115" s="30">
        <v>1.7715610000000011</v>
      </c>
      <c r="C115" s="1" t="str">
        <f>ADDRESS(C121+1,D121,1,1)</f>
        <v>$BP$111</v>
      </c>
      <c r="S115" s="27" t="s">
        <v>8</v>
      </c>
      <c r="AB115" s="32" t="s">
        <v>7</v>
      </c>
      <c r="AD115" s="32" t="s">
        <v>7</v>
      </c>
      <c r="AF115" s="31" t="s">
        <v>7</v>
      </c>
      <c r="AG115" s="27" t="s">
        <v>8</v>
      </c>
      <c r="AH115" s="27" t="s">
        <v>7</v>
      </c>
      <c r="AI115" s="27" t="s">
        <v>8</v>
      </c>
      <c r="AJ115" s="31" t="s">
        <v>7</v>
      </c>
      <c r="AK115" s="27" t="s">
        <v>8</v>
      </c>
      <c r="AL115" s="31" t="s">
        <v>7</v>
      </c>
    </row>
    <row r="116" spans="1:54" x14ac:dyDescent="0.25">
      <c r="A116" s="30">
        <v>1.6105100000000008</v>
      </c>
      <c r="C116" s="1">
        <f>C117-1</f>
        <v>109</v>
      </c>
      <c r="S116" s="27" t="s">
        <v>8</v>
      </c>
      <c r="AE116" s="31"/>
      <c r="AF116" s="27" t="s">
        <v>7</v>
      </c>
      <c r="AG116" s="27" t="s">
        <v>8</v>
      </c>
      <c r="AH116" s="27" t="s">
        <v>7</v>
      </c>
      <c r="AI116" s="27" t="s">
        <v>8</v>
      </c>
      <c r="AJ116" s="27" t="s">
        <v>7</v>
      </c>
      <c r="AK116" s="31" t="s">
        <v>8</v>
      </c>
    </row>
    <row r="117" spans="1:54" x14ac:dyDescent="0.25">
      <c r="A117" s="30">
        <v>1.4641000000000006</v>
      </c>
      <c r="C117" s="1">
        <f>C121</f>
        <v>110</v>
      </c>
      <c r="D117" s="1">
        <f>D121</f>
        <v>68</v>
      </c>
      <c r="I117" s="27" t="s">
        <v>8</v>
      </c>
      <c r="S117" s="27" t="s">
        <v>8</v>
      </c>
      <c r="AD117" s="31"/>
      <c r="AF117" s="27" t="s">
        <v>7</v>
      </c>
      <c r="AG117" s="27" t="s">
        <v>8</v>
      </c>
      <c r="AH117" s="27" t="s">
        <v>7</v>
      </c>
      <c r="AI117" s="27" t="s">
        <v>8</v>
      </c>
      <c r="AJ117" s="31" t="s">
        <v>7</v>
      </c>
    </row>
    <row r="118" spans="1:54" x14ac:dyDescent="0.25">
      <c r="A118" s="30">
        <v>1.3310000000000004</v>
      </c>
      <c r="C118" s="1">
        <f>C117+1</f>
        <v>111</v>
      </c>
      <c r="D118" s="1">
        <f>D117+1</f>
        <v>69</v>
      </c>
      <c r="E118" s="1" t="s">
        <v>8</v>
      </c>
      <c r="G118" s="27" t="s">
        <v>8</v>
      </c>
      <c r="I118" s="27" t="s">
        <v>8</v>
      </c>
      <c r="J118" s="27" t="s">
        <v>7</v>
      </c>
      <c r="K118" s="27" t="s">
        <v>8</v>
      </c>
      <c r="S118" s="27" t="s">
        <v>8</v>
      </c>
      <c r="AC118" s="31"/>
      <c r="AF118" s="27" t="s">
        <v>7</v>
      </c>
      <c r="AG118" s="27" t="s">
        <v>8</v>
      </c>
      <c r="AH118" s="27" t="s">
        <v>7</v>
      </c>
      <c r="AI118" s="31" t="s">
        <v>8</v>
      </c>
    </row>
    <row r="119" spans="1:54" x14ac:dyDescent="0.25">
      <c r="A119" s="30">
        <v>1.2100000000000002</v>
      </c>
      <c r="E119" s="1" t="s">
        <v>8</v>
      </c>
      <c r="F119" s="27" t="s">
        <v>7</v>
      </c>
      <c r="G119" s="27" t="s">
        <v>8</v>
      </c>
      <c r="H119" s="27" t="s">
        <v>7</v>
      </c>
      <c r="I119" s="27" t="s">
        <v>8</v>
      </c>
      <c r="J119" s="27" t="s">
        <v>7</v>
      </c>
      <c r="K119" s="27" t="s">
        <v>8</v>
      </c>
      <c r="L119" s="27" t="s">
        <v>7</v>
      </c>
      <c r="S119" s="27" t="s">
        <v>8</v>
      </c>
      <c r="AB119" s="31"/>
      <c r="AF119" s="32" t="s">
        <v>7</v>
      </c>
      <c r="AH119" s="32" t="s">
        <v>7</v>
      </c>
    </row>
    <row r="120" spans="1:54" x14ac:dyDescent="0.25">
      <c r="A120" s="30">
        <v>1.1000000000000001</v>
      </c>
      <c r="C120" s="1" t="s">
        <v>9</v>
      </c>
      <c r="E120" s="1" t="s">
        <v>8</v>
      </c>
      <c r="F120" s="27" t="s">
        <v>7</v>
      </c>
      <c r="G120" s="27" t="s">
        <v>8</v>
      </c>
      <c r="H120" s="27" t="s">
        <v>7</v>
      </c>
      <c r="I120" s="27" t="s">
        <v>8</v>
      </c>
      <c r="J120" s="27" t="s">
        <v>7</v>
      </c>
      <c r="K120" s="27" t="s">
        <v>8</v>
      </c>
      <c r="L120" s="27" t="s">
        <v>7</v>
      </c>
      <c r="S120" s="27" t="s">
        <v>8</v>
      </c>
      <c r="AA120" s="31"/>
    </row>
    <row r="121" spans="1:54" x14ac:dyDescent="0.25">
      <c r="A121" s="30">
        <v>1</v>
      </c>
      <c r="C121" s="18">
        <v>110</v>
      </c>
      <c r="D121" s="19">
        <v>68</v>
      </c>
      <c r="E121" s="18" t="s">
        <v>8</v>
      </c>
      <c r="F121" s="27" t="s">
        <v>7</v>
      </c>
      <c r="G121" s="27" t="s">
        <v>8</v>
      </c>
      <c r="H121" s="27" t="s">
        <v>7</v>
      </c>
      <c r="J121" s="27" t="s">
        <v>7</v>
      </c>
      <c r="K121" s="27" t="s">
        <v>8</v>
      </c>
      <c r="L121" s="27" t="s">
        <v>7</v>
      </c>
      <c r="Q121" s="27" t="s">
        <v>8</v>
      </c>
      <c r="S121" s="27" t="s">
        <v>8</v>
      </c>
      <c r="Z121" s="31"/>
    </row>
    <row r="122" spans="1:54" x14ac:dyDescent="0.25">
      <c r="A122" s="30">
        <v>0.90909090909090895</v>
      </c>
      <c r="C122" s="1" t="str">
        <f>INDEX(1:1048576,C117,D117)</f>
        <v>O</v>
      </c>
      <c r="F122" s="27" t="s">
        <v>7</v>
      </c>
      <c r="G122" s="27" t="s">
        <v>8</v>
      </c>
      <c r="J122" s="27" t="s">
        <v>7</v>
      </c>
      <c r="K122" s="27" t="s">
        <v>8</v>
      </c>
      <c r="L122" s="27" t="s">
        <v>7</v>
      </c>
      <c r="Q122" s="27" t="s">
        <v>8</v>
      </c>
      <c r="R122" s="27" t="s">
        <v>7</v>
      </c>
      <c r="S122" s="27" t="s">
        <v>8</v>
      </c>
      <c r="Y122" s="31"/>
    </row>
    <row r="123" spans="1:54" x14ac:dyDescent="0.25">
      <c r="A123" s="30">
        <v>0.82644628099173523</v>
      </c>
      <c r="C123" s="1" t="str">
        <f>"R"&amp;C121</f>
        <v>R110</v>
      </c>
      <c r="D123" s="1" t="str">
        <f>"C"&amp;D121</f>
        <v>C68</v>
      </c>
      <c r="F123" s="27" t="s">
        <v>7</v>
      </c>
      <c r="G123" s="27" t="s">
        <v>8</v>
      </c>
      <c r="J123" s="27" t="s">
        <v>7</v>
      </c>
      <c r="L123" s="27" t="s">
        <v>7</v>
      </c>
      <c r="Q123" s="27" t="s">
        <v>8</v>
      </c>
      <c r="R123" s="27" t="s">
        <v>7</v>
      </c>
      <c r="S123" s="27" t="s">
        <v>8</v>
      </c>
      <c r="X123" s="31"/>
    </row>
    <row r="124" spans="1:54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L124" s="27" t="s">
        <v>7</v>
      </c>
      <c r="Q124" s="27" t="s">
        <v>8</v>
      </c>
      <c r="R124" s="27" t="s">
        <v>7</v>
      </c>
      <c r="W124" s="31"/>
    </row>
    <row r="125" spans="1:54" x14ac:dyDescent="0.25">
      <c r="A125" s="30">
        <v>0.68301345536507019</v>
      </c>
      <c r="L125" s="27" t="s">
        <v>7</v>
      </c>
      <c r="Q125" s="27" t="s">
        <v>8</v>
      </c>
      <c r="V125" s="31"/>
    </row>
    <row r="126" spans="1:54" x14ac:dyDescent="0.25">
      <c r="A126" s="30">
        <v>0.6209213230591546</v>
      </c>
      <c r="C126" s="1" t="s">
        <v>10</v>
      </c>
      <c r="L126" s="27" t="s">
        <v>7</v>
      </c>
      <c r="O126" s="27" t="s">
        <v>8</v>
      </c>
      <c r="Q126" s="27" t="s">
        <v>8</v>
      </c>
      <c r="U126" s="31"/>
    </row>
    <row r="127" spans="1:54" x14ac:dyDescent="0.25">
      <c r="A127" s="30">
        <v>0.56447393005377677</v>
      </c>
      <c r="C127" s="30">
        <v>2.8531167061100029</v>
      </c>
      <c r="D127"/>
      <c r="L127" s="27" t="s">
        <v>7</v>
      </c>
      <c r="O127" s="27" t="s">
        <v>8</v>
      </c>
      <c r="P127" s="27" t="s">
        <v>7</v>
      </c>
      <c r="Q127" s="27" t="s">
        <v>8</v>
      </c>
      <c r="T127" s="31"/>
    </row>
    <row r="128" spans="1:54" x14ac:dyDescent="0.25">
      <c r="A128" s="30">
        <v>0.51315811823070612</v>
      </c>
      <c r="L128" s="27" t="s">
        <v>7</v>
      </c>
      <c r="O128" s="27" t="s">
        <v>8</v>
      </c>
      <c r="P128" s="27" t="s">
        <v>7</v>
      </c>
      <c r="Q128" s="27" t="s">
        <v>8</v>
      </c>
      <c r="S128" s="31"/>
    </row>
    <row r="129" spans="1:18" x14ac:dyDescent="0.25">
      <c r="A129" s="30">
        <v>0.46650738020973276</v>
      </c>
      <c r="C129" s="1" t="s">
        <v>11</v>
      </c>
      <c r="D129" s="1" t="s">
        <v>12</v>
      </c>
      <c r="E129"/>
      <c r="L129" s="27" t="s">
        <v>7</v>
      </c>
      <c r="M129" s="27" t="s">
        <v>8</v>
      </c>
      <c r="O129" s="27" t="s">
        <v>8</v>
      </c>
      <c r="P129" s="27" t="s">
        <v>7</v>
      </c>
      <c r="Q129" s="27" t="s">
        <v>8</v>
      </c>
      <c r="R129" s="31"/>
    </row>
    <row r="130" spans="1:18" x14ac:dyDescent="0.25">
      <c r="A130" s="30">
        <v>0.42409761837248428</v>
      </c>
      <c r="C130" s="6"/>
      <c r="D130" s="6"/>
      <c r="E130"/>
      <c r="L130" s="27" t="s">
        <v>7</v>
      </c>
      <c r="M130" s="27" t="s">
        <v>8</v>
      </c>
      <c r="N130" s="27" t="s">
        <v>7</v>
      </c>
      <c r="O130" s="27" t="s">
        <v>8</v>
      </c>
      <c r="P130" s="27" t="s">
        <v>7</v>
      </c>
      <c r="Q130" s="31"/>
    </row>
    <row r="131" spans="1:18" x14ac:dyDescent="0.25">
      <c r="A131" s="30">
        <v>0.38554328942953109</v>
      </c>
      <c r="E131"/>
      <c r="L131" s="27" t="s">
        <v>7</v>
      </c>
      <c r="M131" s="27" t="s">
        <v>8</v>
      </c>
      <c r="N131" s="27" t="s">
        <v>7</v>
      </c>
      <c r="O131" s="27" t="s">
        <v>8</v>
      </c>
      <c r="P131" s="31"/>
    </row>
    <row r="132" spans="1:18" x14ac:dyDescent="0.25">
      <c r="A132" s="30">
        <v>0.35049389948139187</v>
      </c>
      <c r="C132" s="1" t="s">
        <v>13</v>
      </c>
      <c r="E132"/>
      <c r="L132" s="27" t="s">
        <v>7</v>
      </c>
      <c r="M132" s="27" t="s">
        <v>8</v>
      </c>
      <c r="N132" s="27" t="s">
        <v>7</v>
      </c>
      <c r="O132" s="31" t="s">
        <v>8</v>
      </c>
    </row>
    <row r="133" spans="1:18" x14ac:dyDescent="0.25">
      <c r="A133" s="30">
        <v>0.31863081771035617</v>
      </c>
      <c r="C133" s="1" t="str">
        <f>C122</f>
        <v>O</v>
      </c>
      <c r="E133"/>
      <c r="L133" s="27" t="s">
        <v>7</v>
      </c>
      <c r="M133" s="27" t="s">
        <v>8</v>
      </c>
      <c r="N133" s="31" t="s">
        <v>7</v>
      </c>
    </row>
    <row r="134" spans="1:18" x14ac:dyDescent="0.25">
      <c r="A134" s="30">
        <v>0.28966437973668741</v>
      </c>
      <c r="C134"/>
      <c r="D134"/>
      <c r="E134"/>
      <c r="L134" s="27" t="s">
        <v>7</v>
      </c>
      <c r="M134" s="31" t="s">
        <v>8</v>
      </c>
    </row>
    <row r="135" spans="1:18" x14ac:dyDescent="0.25">
      <c r="A135" s="30">
        <v>0.2633312543060794</v>
      </c>
      <c r="C135" s="1" t="s">
        <v>14</v>
      </c>
      <c r="E135"/>
      <c r="L135" s="31" t="s">
        <v>7</v>
      </c>
    </row>
    <row r="136" spans="1:18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18" x14ac:dyDescent="0.25">
      <c r="A137" s="30">
        <v>0.2176291357901482</v>
      </c>
      <c r="E137"/>
    </row>
    <row r="138" spans="1:18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18" x14ac:dyDescent="0.25">
      <c r="A139" s="30">
        <v>0.17985878990921333</v>
      </c>
      <c r="E139"/>
    </row>
    <row r="140" spans="1:18" x14ac:dyDescent="0.25">
      <c r="A140" s="30">
        <v>0.16350799082655756</v>
      </c>
      <c r="C140" s="1">
        <v>0</v>
      </c>
      <c r="E140"/>
    </row>
    <row r="141" spans="1:18" x14ac:dyDescent="0.25">
      <c r="A141" s="30">
        <v>0.14864362802414322</v>
      </c>
      <c r="C141" s="1">
        <v>1</v>
      </c>
      <c r="E141"/>
    </row>
    <row r="142" spans="1:18" x14ac:dyDescent="0.25">
      <c r="A142" s="30">
        <v>0.13513057093103928</v>
      </c>
      <c r="C142" s="1">
        <v>2</v>
      </c>
      <c r="E142"/>
    </row>
    <row r="143" spans="1:18" x14ac:dyDescent="0.25">
      <c r="A143" s="30">
        <v>0.12284597357367205</v>
      </c>
      <c r="C143" s="1">
        <v>3</v>
      </c>
      <c r="E143"/>
    </row>
    <row r="144" spans="1:18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230" operator="equal">
      <formula>$U$1</formula>
    </cfRule>
    <cfRule type="cellIs" dxfId="30" priority="1231" operator="equal">
      <formula>$S$1</formula>
    </cfRule>
  </conditionalFormatting>
  <conditionalFormatting sqref="D136">
    <cfRule type="cellIs" dxfId="29" priority="1228" operator="equal">
      <formula>$S$1</formula>
    </cfRule>
    <cfRule type="cellIs" dxfId="28" priority="1229" operator="equal">
      <formula>$U$1</formula>
    </cfRule>
  </conditionalFormatting>
  <conditionalFormatting sqref="C102">
    <cfRule type="cellIs" dxfId="27" priority="1226" operator="equal">
      <formula>$U$1</formula>
    </cfRule>
    <cfRule type="cellIs" dxfId="26" priority="1227" operator="equal">
      <formula>$S$1</formula>
    </cfRule>
  </conditionalFormatting>
  <conditionalFormatting sqref="D102">
    <cfRule type="cellIs" dxfId="25" priority="1224" operator="equal">
      <formula>$S$1</formula>
    </cfRule>
    <cfRule type="cellIs" dxfId="24" priority="1225" operator="equal">
      <formula>$U$1</formula>
    </cfRule>
  </conditionalFormatting>
  <conditionalFormatting sqref="C77">
    <cfRule type="cellIs" dxfId="23" priority="1222" operator="equal">
      <formula>$U$1</formula>
    </cfRule>
    <cfRule type="cellIs" dxfId="22" priority="1223" operator="equal">
      <formula>$S$1</formula>
    </cfRule>
  </conditionalFormatting>
  <conditionalFormatting sqref="D77">
    <cfRule type="cellIs" dxfId="21" priority="1220" operator="equal">
      <formula>$S$1</formula>
    </cfRule>
    <cfRule type="cellIs" dxfId="20" priority="1221" operator="equal">
      <formula>$U$1</formula>
    </cfRule>
  </conditionalFormatting>
  <conditionalFormatting sqref="C52">
    <cfRule type="cellIs" dxfId="19" priority="1218" operator="equal">
      <formula>$U$1</formula>
    </cfRule>
    <cfRule type="cellIs" dxfId="18" priority="1219" operator="equal">
      <formula>$S$1</formula>
    </cfRule>
  </conditionalFormatting>
  <conditionalFormatting sqref="D52">
    <cfRule type="cellIs" dxfId="17" priority="1216" operator="equal">
      <formula>$S$1</formula>
    </cfRule>
    <cfRule type="cellIs" dxfId="16" priority="1217" operator="equal">
      <formula>$U$1</formula>
    </cfRule>
  </conditionalFormatting>
  <conditionalFormatting sqref="C26">
    <cfRule type="cellIs" dxfId="15" priority="1214" operator="equal">
      <formula>$U$1</formula>
    </cfRule>
    <cfRule type="cellIs" dxfId="14" priority="1215" operator="equal">
      <formula>$S$1</formula>
    </cfRule>
  </conditionalFormatting>
  <conditionalFormatting sqref="D26">
    <cfRule type="cellIs" dxfId="13" priority="1212" operator="equal">
      <formula>$S$1</formula>
    </cfRule>
    <cfRule type="cellIs" dxfId="12" priority="1213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3.2250999437137038</v>
      </c>
      <c r="F3" s="30">
        <v>3.3863549408993889</v>
      </c>
      <c r="G3" s="30">
        <v>5.5160153675922574</v>
      </c>
      <c r="H3" s="25">
        <f>IF(G3="","",(3*(G3-F3))+E3)</f>
        <v>9.6140812237923079</v>
      </c>
      <c r="I3" s="7"/>
      <c r="J3" s="7">
        <f>(E3+G3)/2</f>
        <v>4.3705576556529806</v>
      </c>
      <c r="K3" s="7">
        <f>H3/2</f>
        <v>4.8070406118961539</v>
      </c>
      <c r="M3" s="26">
        <f>IF(OR(J3="",H3=""),"",H3/J3)</f>
        <v>2.1997378781531993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2022-01-28T01:18:01Z</dcterms:modified>
</cp:coreProperties>
</file>