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3590B3F-37EC-4A4A-AF2A-ECCFAEB2723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C136" i="4" s="1"/>
  <c r="C118" i="4"/>
  <c r="C122" i="3"/>
  <c r="C133" i="3" s="1"/>
  <c r="C136" i="3" s="1"/>
  <c r="C116" i="3"/>
  <c r="R765" i="1"/>
  <c r="C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<sst xmlns="http://schemas.openxmlformats.org/spreadsheetml/2006/main" count="5373" uniqueCount="34">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</sst>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3.847</c:v>
                </c:pt>
                <c:pt idx="1">
                  <c:v>3.8580000000000001</c:v>
                </c:pt>
                <c:pt idx="2">
                  <c:v>3.8119999999999998</c:v>
                </c:pt>
                <c:pt idx="3">
                  <c:v>3.5659999999999998</c:v>
                </c:pt>
                <c:pt idx="4">
                  <c:v>3.5569999999999999</c:v>
                </c:pt>
                <c:pt idx="5">
                  <c:v>3.3730000000000002</c:v>
                </c:pt>
                <c:pt idx="6">
                  <c:v>3.8650000000000002</c:v>
                </c:pt>
                <c:pt idx="7">
                  <c:v>4.6520000000000001</c:v>
                </c:pt>
                <c:pt idx="8">
                  <c:v>4.7229999999999999</c:v>
                </c:pt>
                <c:pt idx="9">
                  <c:v>4.8840000000000003</c:v>
                </c:pt>
                <c:pt idx="10">
                  <c:v>5.0620000000000003</c:v>
                </c:pt>
                <c:pt idx="11">
                  <c:v>5.1840000000000002</c:v>
                </c:pt>
                <c:pt idx="12">
                  <c:v>5.085</c:v>
                </c:pt>
                <c:pt idx="13">
                  <c:v>4.8410000000000002</c:v>
                </c:pt>
                <c:pt idx="14">
                  <c:v>4.7409999999999997</c:v>
                </c:pt>
                <c:pt idx="15">
                  <c:v>4.9619999999999997</c:v>
                </c:pt>
                <c:pt idx="16">
                  <c:v>4.7910000000000004</c:v>
                </c:pt>
                <c:pt idx="17">
                  <c:v>4.6449999999999996</c:v>
                </c:pt>
                <c:pt idx="18">
                  <c:v>4.9489999999999998</c:v>
                </c:pt>
                <c:pt idx="19">
                  <c:v>4.8120000000000003</c:v>
                </c:pt>
                <c:pt idx="20">
                  <c:v>5.0129999999999999</c:v>
                </c:pt>
                <c:pt idx="21">
                  <c:v>5.4370000000000003</c:v>
                </c:pt>
                <c:pt idx="22">
                  <c:v>5.4160000000000004</c:v>
                </c:pt>
                <c:pt idx="23">
                  <c:v>5.875</c:v>
                </c:pt>
                <c:pt idx="24">
                  <c:v>5.7869999999999999</c:v>
                </c:pt>
                <c:pt idx="25">
                  <c:v>6.0519999999999996</c:v>
                </c:pt>
                <c:pt idx="26">
                  <c:v>6.2869999999999999</c:v>
                </c:pt>
                <c:pt idx="27">
                  <c:v>6.4240000000000004</c:v>
                </c:pt>
                <c:pt idx="28">
                  <c:v>5.97</c:v>
                </c:pt>
                <c:pt idx="29">
                  <c:v>5.7679999999999998</c:v>
                </c:pt>
                <c:pt idx="30">
                  <c:v>5.29</c:v>
                </c:pt>
                <c:pt idx="31">
                  <c:v>5.7640000000000002</c:v>
                </c:pt>
                <c:pt idx="32">
                  <c:v>5.9459999999999997</c:v>
                </c:pt>
                <c:pt idx="33">
                  <c:v>6.0529999999999999</c:v>
                </c:pt>
                <c:pt idx="34">
                  <c:v>5.4820000000000002</c:v>
                </c:pt>
                <c:pt idx="35">
                  <c:v>5.3390000000000004</c:v>
                </c:pt>
                <c:pt idx="36">
                  <c:v>5.165</c:v>
                </c:pt>
                <c:pt idx="37">
                  <c:v>5.0709999999999997</c:v>
                </c:pt>
                <c:pt idx="38">
                  <c:v>4.9690000000000003</c:v>
                </c:pt>
                <c:pt idx="39">
                  <c:v>5.31</c:v>
                </c:pt>
                <c:pt idx="40">
                  <c:v>5.3609999999999998</c:v>
                </c:pt>
                <c:pt idx="41">
                  <c:v>5.1680000000000001</c:v>
                </c:pt>
                <c:pt idx="42">
                  <c:v>5.7439999999999998</c:v>
                </c:pt>
                <c:pt idx="43">
                  <c:v>5.9930000000000003</c:v>
                </c:pt>
                <c:pt idx="44">
                  <c:v>5.2080000000000002</c:v>
                </c:pt>
                <c:pt idx="45">
                  <c:v>5.1189999999999998</c:v>
                </c:pt>
                <c:pt idx="46">
                  <c:v>5.6849999999999996</c:v>
                </c:pt>
                <c:pt idx="47">
                  <c:v>5.3369999999999997</c:v>
                </c:pt>
                <c:pt idx="48">
                  <c:v>5.2839999999999998</c:v>
                </c:pt>
                <c:pt idx="49">
                  <c:v>5.5869999999999997</c:v>
                </c:pt>
                <c:pt idx="50">
                  <c:v>6.0449999999999999</c:v>
                </c:pt>
                <c:pt idx="51">
                  <c:v>6.04</c:v>
                </c:pt>
                <c:pt idx="52">
                  <c:v>6.1909999999999998</c:v>
                </c:pt>
                <c:pt idx="53">
                  <c:v>5.9889999999999999</c:v>
                </c:pt>
                <c:pt idx="54">
                  <c:v>6.6390000000000002</c:v>
                </c:pt>
                <c:pt idx="55">
                  <c:v>7.28</c:v>
                </c:pt>
                <c:pt idx="56">
                  <c:v>7.7789999999999999</c:v>
                </c:pt>
                <c:pt idx="57">
                  <c:v>7.78</c:v>
                </c:pt>
                <c:pt idx="58">
                  <c:v>7.9329999999999998</c:v>
                </c:pt>
                <c:pt idx="59">
                  <c:v>8.3450000000000006</c:v>
                </c:pt>
                <c:pt idx="60">
                  <c:v>7.4459999999999997</c:v>
                </c:pt>
                <c:pt idx="61">
                  <c:v>7.5259999999999998</c:v>
                </c:pt>
                <c:pt idx="62">
                  <c:v>7.2830000000000004</c:v>
                </c:pt>
                <c:pt idx="63">
                  <c:v>8.25</c:v>
                </c:pt>
                <c:pt idx="64">
                  <c:v>7.5579999999999998</c:v>
                </c:pt>
                <c:pt idx="65">
                  <c:v>7.8470000000000004</c:v>
                </c:pt>
                <c:pt idx="66">
                  <c:v>7.6779999999999999</c:v>
                </c:pt>
                <c:pt idx="67">
                  <c:v>7.78</c:v>
                </c:pt>
                <c:pt idx="68">
                  <c:v>7.8120000000000003</c:v>
                </c:pt>
                <c:pt idx="69">
                  <c:v>8.0079999999999991</c:v>
                </c:pt>
                <c:pt idx="70">
                  <c:v>6.9909999999999997</c:v>
                </c:pt>
                <c:pt idx="71">
                  <c:v>7.2320000000000002</c:v>
                </c:pt>
                <c:pt idx="72">
                  <c:v>7.2910000000000004</c:v>
                </c:pt>
                <c:pt idx="73">
                  <c:v>7.8579999999999997</c:v>
                </c:pt>
                <c:pt idx="74">
                  <c:v>8.3059999999999992</c:v>
                </c:pt>
                <c:pt idx="75">
                  <c:v>8.1389999999999993</c:v>
                </c:pt>
                <c:pt idx="76">
                  <c:v>8.1829999999999998</c:v>
                </c:pt>
                <c:pt idx="77">
                  <c:v>8.43</c:v>
                </c:pt>
                <c:pt idx="78">
                  <c:v>8.4239999999999995</c:v>
                </c:pt>
                <c:pt idx="79">
                  <c:v>9.11</c:v>
                </c:pt>
                <c:pt idx="80">
                  <c:v>8.7710000000000008</c:v>
                </c:pt>
                <c:pt idx="81">
                  <c:v>8.7729999999999997</c:v>
                </c:pt>
                <c:pt idx="82">
                  <c:v>8.2330000000000005</c:v>
                </c:pt>
                <c:pt idx="83">
                  <c:v>7.9619999999999997</c:v>
                </c:pt>
                <c:pt idx="84">
                  <c:v>7.9</c:v>
                </c:pt>
                <c:pt idx="85">
                  <c:v>8.3290000000000006</c:v>
                </c:pt>
                <c:pt idx="86">
                  <c:v>7.8739999999999997</c:v>
                </c:pt>
                <c:pt idx="87">
                  <c:v>7.6669999999999998</c:v>
                </c:pt>
                <c:pt idx="88">
                  <c:v>7.7939999999999996</c:v>
                </c:pt>
                <c:pt idx="89">
                  <c:v>7.37</c:v>
                </c:pt>
                <c:pt idx="90">
                  <c:v>7.5780000000000003</c:v>
                </c:pt>
                <c:pt idx="91">
                  <c:v>7.4569999999999999</c:v>
                </c:pt>
                <c:pt idx="92">
                  <c:v>7.4660000000000002</c:v>
                </c:pt>
                <c:pt idx="93">
                  <c:v>7.9029999999999996</c:v>
                </c:pt>
                <c:pt idx="94">
                  <c:v>8.08</c:v>
                </c:pt>
                <c:pt idx="95">
                  <c:v>7.92</c:v>
                </c:pt>
                <c:pt idx="96">
                  <c:v>8.266</c:v>
                </c:pt>
                <c:pt idx="97">
                  <c:v>8.1259999999999994</c:v>
                </c:pt>
                <c:pt idx="98">
                  <c:v>8.0060000000000002</c:v>
                </c:pt>
                <c:pt idx="99">
                  <c:v>8.093</c:v>
                </c:pt>
                <c:pt idx="100">
                  <c:v>7.9260000000000002</c:v>
                </c:pt>
                <c:pt idx="101">
                  <c:v>7.8780000000000001</c:v>
                </c:pt>
                <c:pt idx="102">
                  <c:v>8.0030000000000001</c:v>
                </c:pt>
                <c:pt idx="103">
                  <c:v>7.9240000000000004</c:v>
                </c:pt>
                <c:pt idx="104">
                  <c:v>8.093</c:v>
                </c:pt>
                <c:pt idx="105">
                  <c:v>8.5120000000000005</c:v>
                </c:pt>
                <c:pt idx="106">
                  <c:v>7.7990000000000004</c:v>
                </c:pt>
                <c:pt idx="107">
                  <c:v>7.3780000000000001</c:v>
                </c:pt>
                <c:pt idx="108">
                  <c:v>7.5590000000000002</c:v>
                </c:pt>
                <c:pt idx="109">
                  <c:v>7.6539999999999999</c:v>
                </c:pt>
                <c:pt idx="110">
                  <c:v>7.9189999999999996</c:v>
                </c:pt>
                <c:pt idx="111">
                  <c:v>7.95</c:v>
                </c:pt>
                <c:pt idx="112">
                  <c:v>8.2629999999999999</c:v>
                </c:pt>
                <c:pt idx="113">
                  <c:v>8.4280000000000008</c:v>
                </c:pt>
                <c:pt idx="114">
                  <c:v>8.4960000000000004</c:v>
                </c:pt>
                <c:pt idx="115">
                  <c:v>8.4849999999999994</c:v>
                </c:pt>
                <c:pt idx="116">
                  <c:v>8.702</c:v>
                </c:pt>
                <c:pt idx="117">
                  <c:v>8.6690000000000005</c:v>
                </c:pt>
                <c:pt idx="118">
                  <c:v>8.8719999999999999</c:v>
                </c:pt>
                <c:pt idx="119">
                  <c:v>8.0760000000000005</c:v>
                </c:pt>
                <c:pt idx="120">
                  <c:v>7.5060000000000002</c:v>
                </c:pt>
                <c:pt idx="121">
                  <c:v>7.4489999999999998</c:v>
                </c:pt>
                <c:pt idx="122">
                  <c:v>7.7039999999999997</c:v>
                </c:pt>
                <c:pt idx="123">
                  <c:v>8.1760000000000002</c:v>
                </c:pt>
                <c:pt idx="124">
                  <c:v>8.4320000000000004</c:v>
                </c:pt>
                <c:pt idx="125">
                  <c:v>8.5939999999999994</c:v>
                </c:pt>
                <c:pt idx="126">
                  <c:v>9.6110000000000007</c:v>
                </c:pt>
                <c:pt idx="127">
                  <c:v>8.8550000000000004</c:v>
                </c:pt>
                <c:pt idx="128">
                  <c:v>7.7619999999999996</c:v>
                </c:pt>
                <c:pt idx="129">
                  <c:v>9.2750000000000004</c:v>
                </c:pt>
                <c:pt idx="130">
                  <c:v>10.276</c:v>
                </c:pt>
                <c:pt idx="131">
                  <c:v>11.4</c:v>
                </c:pt>
                <c:pt idx="132">
                  <c:v>11.577</c:v>
                </c:pt>
                <c:pt idx="133">
                  <c:v>10.481999999999999</c:v>
                </c:pt>
                <c:pt idx="134">
                  <c:v>11.537000000000001</c:v>
                </c:pt>
                <c:pt idx="135">
                  <c:v>9.0559999999999992</c:v>
                </c:pt>
                <c:pt idx="136">
                  <c:v>8.8729999999999993</c:v>
                </c:pt>
                <c:pt idx="137">
                  <c:v>9.6329999999999991</c:v>
                </c:pt>
                <c:pt idx="138">
                  <c:v>8.6159999999999997</c:v>
                </c:pt>
                <c:pt idx="139">
                  <c:v>8.2850000000000001</c:v>
                </c:pt>
                <c:pt idx="140">
                  <c:v>7.8220000000000001</c:v>
                </c:pt>
                <c:pt idx="141">
                  <c:v>7.9539999999999997</c:v>
                </c:pt>
                <c:pt idx="142">
                  <c:v>7.95</c:v>
                </c:pt>
                <c:pt idx="143">
                  <c:v>9.673</c:v>
                </c:pt>
                <c:pt idx="144">
                  <c:v>9.5830000000000002</c:v>
                </c:pt>
                <c:pt idx="145">
                  <c:v>8.8539999999999992</c:v>
                </c:pt>
                <c:pt idx="146">
                  <c:v>8.8350000000000009</c:v>
                </c:pt>
                <c:pt idx="147">
                  <c:v>8.5009999999999994</c:v>
                </c:pt>
                <c:pt idx="148">
                  <c:v>8.9220000000000006</c:v>
                </c:pt>
                <c:pt idx="149">
                  <c:v>8.2899999999999991</c:v>
                </c:pt>
                <c:pt idx="150">
                  <c:v>8.7170000000000005</c:v>
                </c:pt>
                <c:pt idx="151">
                  <c:v>8.375</c:v>
                </c:pt>
                <c:pt idx="152">
                  <c:v>8.3550000000000004</c:v>
                </c:pt>
                <c:pt idx="153">
                  <c:v>8.49</c:v>
                </c:pt>
                <c:pt idx="154">
                  <c:v>7.9790000000000001</c:v>
                </c:pt>
                <c:pt idx="155">
                  <c:v>8.9629999999999992</c:v>
                </c:pt>
                <c:pt idx="156">
                  <c:v>8.7940000000000005</c:v>
                </c:pt>
                <c:pt idx="157">
                  <c:v>9.5060000000000002</c:v>
                </c:pt>
                <c:pt idx="158">
                  <c:v>9.2029999999999994</c:v>
                </c:pt>
                <c:pt idx="159">
                  <c:v>9.42</c:v>
                </c:pt>
                <c:pt idx="160">
                  <c:v>9.5340000000000007</c:v>
                </c:pt>
                <c:pt idx="161">
                  <c:v>9.8059999999999992</c:v>
                </c:pt>
                <c:pt idx="162">
                  <c:v>8.5969999999999995</c:v>
                </c:pt>
                <c:pt idx="163">
                  <c:v>8.3949999999999996</c:v>
                </c:pt>
                <c:pt idx="164">
                  <c:v>8.6029999999999998</c:v>
                </c:pt>
                <c:pt idx="165">
                  <c:v>8.52</c:v>
                </c:pt>
                <c:pt idx="166">
                  <c:v>8.9469999999999992</c:v>
                </c:pt>
                <c:pt idx="167">
                  <c:v>9.02</c:v>
                </c:pt>
                <c:pt idx="168">
                  <c:v>8.8840000000000003</c:v>
                </c:pt>
                <c:pt idx="169">
                  <c:v>9.77</c:v>
                </c:pt>
                <c:pt idx="170">
                  <c:v>10.053000000000001</c:v>
                </c:pt>
                <c:pt idx="171">
                  <c:v>8.6440000000000001</c:v>
                </c:pt>
                <c:pt idx="172">
                  <c:v>6.7720000000000002</c:v>
                </c:pt>
                <c:pt idx="173">
                  <c:v>7.0449999999999999</c:v>
                </c:pt>
                <c:pt idx="174">
                  <c:v>6.5510000000000002</c:v>
                </c:pt>
                <c:pt idx="175">
                  <c:v>6.3979999999999997</c:v>
                </c:pt>
                <c:pt idx="176">
                  <c:v>6.18</c:v>
                </c:pt>
                <c:pt idx="177">
                  <c:v>6.0910000000000002</c:v>
                </c:pt>
                <c:pt idx="178">
                  <c:v>6.625</c:v>
                </c:pt>
                <c:pt idx="179">
                  <c:v>6.0880000000000001</c:v>
                </c:pt>
                <c:pt idx="180">
                  <c:v>6.0369999999999999</c:v>
                </c:pt>
                <c:pt idx="181">
                  <c:v>6.0540000000000003</c:v>
                </c:pt>
                <c:pt idx="182">
                  <c:v>6.093</c:v>
                </c:pt>
                <c:pt idx="183">
                  <c:v>5.7960000000000003</c:v>
                </c:pt>
                <c:pt idx="184">
                  <c:v>4.9420000000000002</c:v>
                </c:pt>
                <c:pt idx="185">
                  <c:v>4.8419999999999996</c:v>
                </c:pt>
                <c:pt idx="186">
                  <c:v>4.8449999999999998</c:v>
                </c:pt>
                <c:pt idx="187">
                  <c:v>4.5940000000000003</c:v>
                </c:pt>
                <c:pt idx="188">
                  <c:v>4.306</c:v>
                </c:pt>
                <c:pt idx="189">
                  <c:v>4.29</c:v>
                </c:pt>
                <c:pt idx="190">
                  <c:v>4.1680000000000001</c:v>
                </c:pt>
                <c:pt idx="191">
                  <c:v>3.7330000000000001</c:v>
                </c:pt>
                <c:pt idx="192">
                  <c:v>3.9460000000000002</c:v>
                </c:pt>
                <c:pt idx="193">
                  <c:v>4.17</c:v>
                </c:pt>
                <c:pt idx="194">
                  <c:v>4.226</c:v>
                </c:pt>
                <c:pt idx="195">
                  <c:v>4.282</c:v>
                </c:pt>
                <c:pt idx="196">
                  <c:v>4.7</c:v>
                </c:pt>
                <c:pt idx="197">
                  <c:v>4.9640000000000004</c:v>
                </c:pt>
                <c:pt idx="198">
                  <c:v>5.0359999999999996</c:v>
                </c:pt>
                <c:pt idx="199">
                  <c:v>5.17</c:v>
                </c:pt>
                <c:pt idx="200">
                  <c:v>5.2530000000000001</c:v>
                </c:pt>
                <c:pt idx="201">
                  <c:v>5.1790000000000003</c:v>
                </c:pt>
                <c:pt idx="202">
                  <c:v>5.3120000000000003</c:v>
                </c:pt>
                <c:pt idx="203">
                  <c:v>5.2729999999999997</c:v>
                </c:pt>
                <c:pt idx="204">
                  <c:v>5.8310000000000004</c:v>
                </c:pt>
                <c:pt idx="205">
                  <c:v>5.899</c:v>
                </c:pt>
                <c:pt idx="206">
                  <c:v>5.3869999999999996</c:v>
                </c:pt>
                <c:pt idx="207">
                  <c:v>5.6509999999999998</c:v>
                </c:pt>
                <c:pt idx="208">
                  <c:v>5.6619999999999999</c:v>
                </c:pt>
                <c:pt idx="209">
                  <c:v>5.3769999999999998</c:v>
                </c:pt>
                <c:pt idx="210">
                  <c:v>5.4989999999999997</c:v>
                </c:pt>
                <c:pt idx="211">
                  <c:v>5.9020000000000001</c:v>
                </c:pt>
                <c:pt idx="212">
                  <c:v>5.75</c:v>
                </c:pt>
                <c:pt idx="213">
                  <c:v>5.4169999999999998</c:v>
                </c:pt>
                <c:pt idx="214">
                  <c:v>5.3840000000000003</c:v>
                </c:pt>
                <c:pt idx="215">
                  <c:v>5.0030000000000001</c:v>
                </c:pt>
                <c:pt idx="216">
                  <c:v>5.0709999999999997</c:v>
                </c:pt>
                <c:pt idx="217">
                  <c:v>5.641</c:v>
                </c:pt>
                <c:pt idx="218">
                  <c:v>5.835</c:v>
                </c:pt>
                <c:pt idx="219">
                  <c:v>5.2789999999999999</c:v>
                </c:pt>
                <c:pt idx="220">
                  <c:v>6.2080000000000002</c:v>
                </c:pt>
                <c:pt idx="221">
                  <c:v>7.5720000000000001</c:v>
                </c:pt>
                <c:pt idx="222">
                  <c:v>6.9790000000000001</c:v>
                </c:pt>
                <c:pt idx="223">
                  <c:v>7.4</c:v>
                </c:pt>
                <c:pt idx="224">
                  <c:v>8.2569999999999997</c:v>
                </c:pt>
                <c:pt idx="225">
                  <c:v>8.9809999999999999</c:v>
                </c:pt>
                <c:pt idx="226">
                  <c:v>9.8529999999999998</c:v>
                </c:pt>
                <c:pt idx="227">
                  <c:v>8.2880000000000003</c:v>
                </c:pt>
                <c:pt idx="228">
                  <c:v>7.319</c:v>
                </c:pt>
                <c:pt idx="229">
                  <c:v>6.6959999999999997</c:v>
                </c:pt>
                <c:pt idx="230">
                  <c:v>6.9</c:v>
                </c:pt>
                <c:pt idx="231">
                  <c:v>7.3540000000000001</c:v>
                </c:pt>
                <c:pt idx="232">
                  <c:v>8.2550000000000008</c:v>
                </c:pt>
                <c:pt idx="233">
                  <c:v>6.49</c:v>
                </c:pt>
                <c:pt idx="234">
                  <c:v>6.8540000000000001</c:v>
                </c:pt>
                <c:pt idx="235">
                  <c:v>7.3540000000000001</c:v>
                </c:pt>
                <c:pt idx="236">
                  <c:v>7.0750000000000002</c:v>
                </c:pt>
                <c:pt idx="237">
                  <c:v>7.3949999999999996</c:v>
                </c:pt>
                <c:pt idx="238">
                  <c:v>8.3670000000000009</c:v>
                </c:pt>
                <c:pt idx="239">
                  <c:v>7.9610000000000003</c:v>
                </c:pt>
                <c:pt idx="240">
                  <c:v>7.5529999999999999</c:v>
                </c:pt>
                <c:pt idx="241">
                  <c:v>7.9470000000000001</c:v>
                </c:pt>
                <c:pt idx="242">
                  <c:v>7.1239999999999997</c:v>
                </c:pt>
                <c:pt idx="243">
                  <c:v>6.5229999999999997</c:v>
                </c:pt>
                <c:pt idx="244">
                  <c:v>6.8419999999999996</c:v>
                </c:pt>
                <c:pt idx="245">
                  <c:v>7.8940000000000001</c:v>
                </c:pt>
                <c:pt idx="246">
                  <c:v>8.5860000000000003</c:v>
                </c:pt>
                <c:pt idx="247">
                  <c:v>7.8129999999999997</c:v>
                </c:pt>
                <c:pt idx="248">
                  <c:v>8.2029999999999994</c:v>
                </c:pt>
                <c:pt idx="249">
                  <c:v>6.5579999999999998</c:v>
                </c:pt>
                <c:pt idx="250">
                  <c:v>7.444</c:v>
                </c:pt>
                <c:pt idx="251">
                  <c:v>7.96</c:v>
                </c:pt>
                <c:pt idx="252">
                  <c:v>8.8049999999999997</c:v>
                </c:pt>
                <c:pt idx="253">
                  <c:v>7.9880000000000004</c:v>
                </c:pt>
                <c:pt idx="254">
                  <c:v>11.677</c:v>
                </c:pt>
                <c:pt idx="255">
                  <c:v>10.737</c:v>
                </c:pt>
                <c:pt idx="256">
                  <c:v>12.369</c:v>
                </c:pt>
                <c:pt idx="257">
                  <c:v>12.257</c:v>
                </c:pt>
                <c:pt idx="258">
                  <c:v>13.231</c:v>
                </c:pt>
                <c:pt idx="259">
                  <c:v>12.493</c:v>
                </c:pt>
                <c:pt idx="260">
                  <c:v>11.945</c:v>
                </c:pt>
                <c:pt idx="261">
                  <c:v>14.242000000000001</c:v>
                </c:pt>
                <c:pt idx="262">
                  <c:v>14.343</c:v>
                </c:pt>
                <c:pt idx="263">
                  <c:v>15.597</c:v>
                </c:pt>
                <c:pt idx="264">
                  <c:v>16.370999999999999</c:v>
                </c:pt>
                <c:pt idx="265">
                  <c:v>15.766</c:v>
                </c:pt>
                <c:pt idx="266">
                  <c:v>14.804</c:v>
                </c:pt>
                <c:pt idx="267">
                  <c:v>15.834</c:v>
                </c:pt>
                <c:pt idx="268">
                  <c:v>14.192</c:v>
                </c:pt>
                <c:pt idx="269">
                  <c:v>16.222999999999999</c:v>
                </c:pt>
                <c:pt idx="270">
                  <c:v>16.170000000000002</c:v>
                </c:pt>
                <c:pt idx="271">
                  <c:v>17.001000000000001</c:v>
                </c:pt>
                <c:pt idx="272">
                  <c:v>14.849</c:v>
                </c:pt>
                <c:pt idx="273">
                  <c:v>14.045</c:v>
                </c:pt>
                <c:pt idx="274">
                  <c:v>14.192</c:v>
                </c:pt>
                <c:pt idx="275">
                  <c:v>14.785</c:v>
                </c:pt>
                <c:pt idx="276">
                  <c:v>12.782</c:v>
                </c:pt>
                <c:pt idx="277">
                  <c:v>11.180999999999999</c:v>
                </c:pt>
                <c:pt idx="278">
                  <c:v>10.7827</c:v>
                </c:pt>
                <c:pt idx="279">
                  <c:v>11.648</c:v>
                </c:pt>
                <c:pt idx="280">
                  <c:v>12.383599999999999</c:v>
                </c:pt>
                <c:pt idx="281">
                  <c:v>13.2577</c:v>
                </c:pt>
                <c:pt idx="282">
                  <c:v>13.7087</c:v>
                </c:pt>
                <c:pt idx="283">
                  <c:v>13.3719</c:v>
                </c:pt>
                <c:pt idx="284">
                  <c:v>14.5457</c:v>
                </c:pt>
                <c:pt idx="285">
                  <c:v>15.4</c:v>
                </c:pt>
                <c:pt idx="286">
                  <c:v>15.7752</c:v>
                </c:pt>
                <c:pt idx="287">
                  <c:v>16.904</c:v>
                </c:pt>
                <c:pt idx="288">
                  <c:v>16.428599999999999</c:v>
                </c:pt>
                <c:pt idx="289">
                  <c:v>15.100300000000001</c:v>
                </c:pt>
                <c:pt idx="290">
                  <c:v>14.747400000000001</c:v>
                </c:pt>
                <c:pt idx="291">
                  <c:v>15.6568</c:v>
                </c:pt>
                <c:pt idx="292">
                  <c:v>17.119599999999998</c:v>
                </c:pt>
                <c:pt idx="293">
                  <c:v>18.5</c:v>
                </c:pt>
                <c:pt idx="294">
                  <c:v>16.881</c:v>
                </c:pt>
                <c:pt idx="295">
                  <c:v>16.304099999999998</c:v>
                </c:pt>
                <c:pt idx="296">
                  <c:v>17.718</c:v>
                </c:pt>
                <c:pt idx="297">
                  <c:v>18.053100000000001</c:v>
                </c:pt>
                <c:pt idx="298">
                  <c:v>19.3294</c:v>
                </c:pt>
                <c:pt idx="299">
                  <c:v>16.857900000000001</c:v>
                </c:pt>
                <c:pt idx="300">
                  <c:v>18.929200000000002</c:v>
                </c:pt>
                <c:pt idx="301">
                  <c:v>20.587</c:v>
                </c:pt>
                <c:pt idx="302">
                  <c:v>21.717099999999999</c:v>
                </c:pt>
                <c:pt idx="303">
                  <c:v>25.959199999999999</c:v>
                </c:pt>
                <c:pt idx="304">
                  <c:v>25.078299999999999</c:v>
                </c:pt>
                <c:pt idx="305">
                  <c:v>24.5441</c:v>
                </c:pt>
                <c:pt idx="306">
                  <c:v>24.898</c:v>
                </c:pt>
                <c:pt idx="307">
                  <c:v>25.152999999999999</c:v>
                </c:pt>
                <c:pt idx="308">
                  <c:v>22.9954</c:v>
                </c:pt>
                <c:pt idx="309">
                  <c:v>23.700099999999999</c:v>
                </c:pt>
                <c:pt idx="310">
                  <c:v>26.118200000000002</c:v>
                </c:pt>
                <c:pt idx="311">
                  <c:v>27.847300000000001</c:v>
                </c:pt>
                <c:pt idx="312">
                  <c:v>26.1951</c:v>
                </c:pt>
                <c:pt idx="313">
                  <c:v>24.245899999999999</c:v>
                </c:pt>
                <c:pt idx="314">
                  <c:v>26.248000000000001</c:v>
                </c:pt>
                <c:pt idx="315">
                  <c:v>23.0871</c:v>
                </c:pt>
                <c:pt idx="316">
                  <c:v>20.516300000000001</c:v>
                </c:pt>
                <c:pt idx="317">
                  <c:v>19.5398</c:v>
                </c:pt>
                <c:pt idx="318">
                  <c:v>16.996500000000001</c:v>
                </c:pt>
                <c:pt idx="319">
                  <c:v>17.475300000000001</c:v>
                </c:pt>
                <c:pt idx="320">
                  <c:v>17.112300000000001</c:v>
                </c:pt>
                <c:pt idx="321">
                  <c:v>17.059799999999999</c:v>
                </c:pt>
                <c:pt idx="322">
                  <c:v>19.420000000000002</c:v>
                </c:pt>
                <c:pt idx="323">
                  <c:v>18.970099999999999</c:v>
                </c:pt>
                <c:pt idx="324">
                  <c:v>18.527000000000001</c:v>
                </c:pt>
                <c:pt idx="325">
                  <c:v>18.525500000000001</c:v>
                </c:pt>
                <c:pt idx="326">
                  <c:v>16.5016</c:v>
                </c:pt>
                <c:pt idx="327">
                  <c:v>16.541</c:v>
                </c:pt>
                <c:pt idx="328">
                  <c:v>17.150200000000002</c:v>
                </c:pt>
                <c:pt idx="329">
                  <c:v>15.8874</c:v>
                </c:pt>
                <c:pt idx="330">
                  <c:v>16.899999999999999</c:v>
                </c:pt>
                <c:pt idx="331">
                  <c:v>14.7841</c:v>
                </c:pt>
                <c:pt idx="332">
                  <c:v>14.331799999999999</c:v>
                </c:pt>
                <c:pt idx="333">
                  <c:v>11.245799999999999</c:v>
                </c:pt>
                <c:pt idx="334">
                  <c:v>12.0847</c:v>
                </c:pt>
                <c:pt idx="335">
                  <c:v>12.312099999999999</c:v>
                </c:pt>
                <c:pt idx="336">
                  <c:v>12.2393</c:v>
                </c:pt>
                <c:pt idx="337">
                  <c:v>12.549899999999999</c:v>
                </c:pt>
                <c:pt idx="338">
                  <c:v>11.500999999999999</c:v>
                </c:pt>
                <c:pt idx="339">
                  <c:v>9.7759</c:v>
                </c:pt>
                <c:pt idx="340">
                  <c:v>9.3383000000000003</c:v>
                </c:pt>
                <c:pt idx="341">
                  <c:v>8.6622000000000003</c:v>
                </c:pt>
                <c:pt idx="342">
                  <c:v>8.4250000000000007</c:v>
                </c:pt>
                <c:pt idx="343">
                  <c:v>7.1608999999999998</c:v>
                </c:pt>
                <c:pt idx="344">
                  <c:v>6.1056999999999997</c:v>
                </c:pt>
                <c:pt idx="345">
                  <c:v>6.0799000000000003</c:v>
                </c:pt>
                <c:pt idx="346">
                  <c:v>6.1642999999999999</c:v>
                </c:pt>
                <c:pt idx="347">
                  <c:v>6</c:v>
                </c:pt>
                <c:pt idx="348">
                  <c:v>6.2929000000000004</c:v>
                </c:pt>
                <c:pt idx="349">
                  <c:v>6.51</c:v>
                </c:pt>
                <c:pt idx="350">
                  <c:v>6.8583999999999996</c:v>
                </c:pt>
                <c:pt idx="351">
                  <c:v>5.9341999999999997</c:v>
                </c:pt>
                <c:pt idx="352">
                  <c:v>5.9509999999999996</c:v>
                </c:pt>
                <c:pt idx="353">
                  <c:v>4.8899999999999997</c:v>
                </c:pt>
                <c:pt idx="354">
                  <c:v>4.3154000000000003</c:v>
                </c:pt>
                <c:pt idx="355">
                  <c:v>4.4013</c:v>
                </c:pt>
                <c:pt idx="356">
                  <c:v>4.9276</c:v>
                </c:pt>
                <c:pt idx="357">
                  <c:v>4.7629999999999999</c:v>
                </c:pt>
                <c:pt idx="358">
                  <c:v>4.7754000000000003</c:v>
                </c:pt>
                <c:pt idx="359">
                  <c:v>4.1166</c:v>
                </c:pt>
                <c:pt idx="360">
                  <c:v>3.6924000000000001</c:v>
                </c:pt>
                <c:pt idx="361">
                  <c:v>3.4066000000000001</c:v>
                </c:pt>
                <c:pt idx="362">
                  <c:v>3.5305</c:v>
                </c:pt>
                <c:pt idx="363">
                  <c:v>3.0497999999999998</c:v>
                </c:pt>
                <c:pt idx="364">
                  <c:v>3.0337000000000001</c:v>
                </c:pt>
                <c:pt idx="365">
                  <c:v>2.7239</c:v>
                </c:pt>
                <c:pt idx="366">
                  <c:v>2.9811000000000001</c:v>
                </c:pt>
                <c:pt idx="367">
                  <c:v>2.8</c:v>
                </c:pt>
                <c:pt idx="368">
                  <c:v>2.9157000000000002</c:v>
                </c:pt>
                <c:pt idx="369">
                  <c:v>2.7288000000000001</c:v>
                </c:pt>
                <c:pt idx="370">
                  <c:v>2.7673000000000001</c:v>
                </c:pt>
                <c:pt idx="371">
                  <c:v>2.4603999999999999</c:v>
                </c:pt>
                <c:pt idx="372">
                  <c:v>2.9380999999999999</c:v>
                </c:pt>
                <c:pt idx="373">
                  <c:v>2.8822999999999999</c:v>
                </c:pt>
                <c:pt idx="374">
                  <c:v>3.0655000000000001</c:v>
                </c:pt>
                <c:pt idx="375">
                  <c:v>2.8403</c:v>
                </c:pt>
                <c:pt idx="376">
                  <c:v>2.6493000000000002</c:v>
                </c:pt>
                <c:pt idx="377">
                  <c:v>2.4443000000000001</c:v>
                </c:pt>
                <c:pt idx="378">
                  <c:v>2.4073000000000002</c:v>
                </c:pt>
                <c:pt idx="379">
                  <c:v>2.3226</c:v>
                </c:pt>
                <c:pt idx="380">
                  <c:v>2.1516999999999999</c:v>
                </c:pt>
                <c:pt idx="381">
                  <c:v>2.2458999999999998</c:v>
                </c:pt>
                <c:pt idx="382">
                  <c:v>2.4876999999999998</c:v>
                </c:pt>
                <c:pt idx="383">
                  <c:v>2.6032999999999999</c:v>
                </c:pt>
                <c:pt idx="384">
                  <c:v>2.4900000000000002</c:v>
                </c:pt>
                <c:pt idx="385">
                  <c:v>2.56</c:v>
                </c:pt>
                <c:pt idx="386">
                  <c:v>2.6440000000000001</c:v>
                </c:pt>
                <c:pt idx="387">
                  <c:v>2.61</c:v>
                </c:pt>
                <c:pt idx="388">
                  <c:v>2.3935</c:v>
                </c:pt>
                <c:pt idx="389">
                  <c:v>2.4649999999999999</c:v>
                </c:pt>
                <c:pt idx="390">
                  <c:v>2.1398000000000001</c:v>
                </c:pt>
                <c:pt idx="391">
                  <c:v>2.1048</c:v>
                </c:pt>
                <c:pt idx="392">
                  <c:v>2.1280000000000001</c:v>
                </c:pt>
                <c:pt idx="393">
                  <c:v>2.2000000000000002</c:v>
                </c:pt>
                <c:pt idx="394">
                  <c:v>2.2343999999999999</c:v>
                </c:pt>
                <c:pt idx="395">
                  <c:v>2.226</c:v>
                </c:pt>
                <c:pt idx="396">
                  <c:v>2.1941999999999999</c:v>
                </c:pt>
                <c:pt idx="397">
                  <c:v>2.1543000000000001</c:v>
                </c:pt>
                <c:pt idx="398">
                  <c:v>2.2622</c:v>
                </c:pt>
                <c:pt idx="399">
                  <c:v>2.3201999999999998</c:v>
                </c:pt>
                <c:pt idx="400">
                  <c:v>2.234</c:v>
                </c:pt>
                <c:pt idx="401">
                  <c:v>2.4340999999999999</c:v>
                </c:pt>
                <c:pt idx="402">
                  <c:v>2.2999999999999998</c:v>
                </c:pt>
                <c:pt idx="403">
                  <c:v>2.2536999999999998</c:v>
                </c:pt>
                <c:pt idx="404">
                  <c:v>2.4914999999999998</c:v>
                </c:pt>
                <c:pt idx="405">
                  <c:v>2.5579999999999998</c:v>
                </c:pt>
                <c:pt idx="406">
                  <c:v>2.5463</c:v>
                </c:pt>
                <c:pt idx="407">
                  <c:v>2.3757999999999999</c:v>
                </c:pt>
                <c:pt idx="408">
                  <c:v>2.5823999999999998</c:v>
                </c:pt>
                <c:pt idx="409">
                  <c:v>2.8153999999999999</c:v>
                </c:pt>
                <c:pt idx="410">
                  <c:v>2.8549000000000002</c:v>
                </c:pt>
                <c:pt idx="411">
                  <c:v>3.0676000000000001</c:v>
                </c:pt>
                <c:pt idx="412">
                  <c:v>2.6657000000000002</c:v>
                </c:pt>
                <c:pt idx="413">
                  <c:v>2.9975999999999998</c:v>
                </c:pt>
                <c:pt idx="414">
                  <c:v>3.3022</c:v>
                </c:pt>
                <c:pt idx="415">
                  <c:v>3.1791</c:v>
                </c:pt>
                <c:pt idx="416">
                  <c:v>3.9138000000000002</c:v>
                </c:pt>
                <c:pt idx="417">
                  <c:v>3.7401</c:v>
                </c:pt>
                <c:pt idx="418">
                  <c:v>3.2492000000000001</c:v>
                </c:pt>
                <c:pt idx="419">
                  <c:v>2.9561000000000002</c:v>
                </c:pt>
                <c:pt idx="420">
                  <c:v>3.4903</c:v>
                </c:pt>
                <c:pt idx="421">
                  <c:v>2.9630999999999998</c:v>
                </c:pt>
                <c:pt idx="422">
                  <c:v>2.95</c:v>
                </c:pt>
                <c:pt idx="423">
                  <c:v>3.1015000000000001</c:v>
                </c:pt>
                <c:pt idx="424">
                  <c:v>3.4548999999999999</c:v>
                </c:pt>
                <c:pt idx="425">
                  <c:v>2.4731000000000001</c:v>
                </c:pt>
                <c:pt idx="426">
                  <c:v>2.1305000000000001</c:v>
                </c:pt>
                <c:pt idx="427">
                  <c:v>2.0571999999999999</c:v>
                </c:pt>
                <c:pt idx="428">
                  <c:v>2.1718000000000002</c:v>
                </c:pt>
                <c:pt idx="429">
                  <c:v>2.0884</c:v>
                </c:pt>
                <c:pt idx="430">
                  <c:v>1.8369</c:v>
                </c:pt>
                <c:pt idx="431">
                  <c:v>1.7495000000000001</c:v>
                </c:pt>
                <c:pt idx="432">
                  <c:v>1.7881</c:v>
                </c:pt>
                <c:pt idx="433">
                  <c:v>1.7362</c:v>
                </c:pt>
                <c:pt idx="434">
                  <c:v>1.6404000000000001</c:v>
                </c:pt>
                <c:pt idx="435">
                  <c:v>1.7</c:v>
                </c:pt>
                <c:pt idx="436">
                  <c:v>1.7754000000000001</c:v>
                </c:pt>
                <c:pt idx="437">
                  <c:v>1.7938000000000001</c:v>
                </c:pt>
                <c:pt idx="438">
                  <c:v>1.7382</c:v>
                </c:pt>
                <c:pt idx="439">
                  <c:v>1.7410000000000001</c:v>
                </c:pt>
                <c:pt idx="440">
                  <c:v>1.8164</c:v>
                </c:pt>
                <c:pt idx="441">
                  <c:v>1.6675</c:v>
                </c:pt>
                <c:pt idx="442">
                  <c:v>1.6757</c:v>
                </c:pt>
                <c:pt idx="443">
                  <c:v>1.7887</c:v>
                </c:pt>
                <c:pt idx="444">
                  <c:v>1.6543000000000001</c:v>
                </c:pt>
                <c:pt idx="445">
                  <c:v>1.5401</c:v>
                </c:pt>
                <c:pt idx="446">
                  <c:v>1.5053000000000001</c:v>
                </c:pt>
                <c:pt idx="447">
                  <c:v>1.6658999999999999</c:v>
                </c:pt>
                <c:pt idx="448">
                  <c:v>1.466</c:v>
                </c:pt>
                <c:pt idx="449">
                  <c:v>1.4833000000000001</c:v>
                </c:pt>
                <c:pt idx="450">
                  <c:v>1.4165000000000001</c:v>
                </c:pt>
                <c:pt idx="451">
                  <c:v>1.4614</c:v>
                </c:pt>
                <c:pt idx="452">
                  <c:v>1.4584999999999999</c:v>
                </c:pt>
                <c:pt idx="453">
                  <c:v>1.4160999999999999</c:v>
                </c:pt>
                <c:pt idx="454">
                  <c:v>1.4693000000000001</c:v>
                </c:pt>
                <c:pt idx="455">
                  <c:v>1.4327000000000001</c:v>
                </c:pt>
                <c:pt idx="456">
                  <c:v>1.4734</c:v>
                </c:pt>
                <c:pt idx="457">
                  <c:v>1.6517999999999999</c:v>
                </c:pt>
                <c:pt idx="458">
                  <c:v>1.5504</c:v>
                </c:pt>
                <c:pt idx="459">
                  <c:v>1.6209</c:v>
                </c:pt>
                <c:pt idx="460">
                  <c:v>1.6633</c:v>
                </c:pt>
                <c:pt idx="461">
                  <c:v>1.6982999999999999</c:v>
                </c:pt>
                <c:pt idx="462">
                  <c:v>1.6665000000000001</c:v>
                </c:pt>
                <c:pt idx="463">
                  <c:v>1.5980000000000001</c:v>
                </c:pt>
                <c:pt idx="464">
                  <c:v>1.4036999999999999</c:v>
                </c:pt>
                <c:pt idx="465">
                  <c:v>1.5712999999999999</c:v>
                </c:pt>
                <c:pt idx="466">
                  <c:v>1.6588000000000001</c:v>
                </c:pt>
                <c:pt idx="467">
                  <c:v>1.7206999999999999</c:v>
                </c:pt>
                <c:pt idx="468">
                  <c:v>1.6939</c:v>
                </c:pt>
                <c:pt idx="469">
                  <c:v>1.8453999999999999</c:v>
                </c:pt>
                <c:pt idx="470">
                  <c:v>1.8646</c:v>
                </c:pt>
                <c:pt idx="471">
                  <c:v>1.9822</c:v>
                </c:pt>
                <c:pt idx="472">
                  <c:v>1.8068</c:v>
                </c:pt>
                <c:pt idx="473">
                  <c:v>1.7795000000000001</c:v>
                </c:pt>
                <c:pt idx="474">
                  <c:v>1.8628</c:v>
                </c:pt>
                <c:pt idx="475">
                  <c:v>1.7968999999999999</c:v>
                </c:pt>
                <c:pt idx="476">
                  <c:v>1.8662000000000001</c:v>
                </c:pt>
                <c:pt idx="477">
                  <c:v>1.8182</c:v>
                </c:pt>
                <c:pt idx="478">
                  <c:v>1.7936000000000001</c:v>
                </c:pt>
                <c:pt idx="479">
                  <c:v>2.0754000000000001</c:v>
                </c:pt>
                <c:pt idx="480">
                  <c:v>2.2399</c:v>
                </c:pt>
                <c:pt idx="481">
                  <c:v>2.3919000000000001</c:v>
                </c:pt>
                <c:pt idx="482">
                  <c:v>2.4946999999999999</c:v>
                </c:pt>
                <c:pt idx="483">
                  <c:v>2.6602999999999999</c:v>
                </c:pt>
                <c:pt idx="484">
                  <c:v>2.8637000000000001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D-4AF0-9B78-6930AD12300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-0.16649976672637759</c:v>
                </c:pt>
                <c:pt idx="1">
                  <c:v>-0.16643641241130908</c:v>
                </c:pt>
                <c:pt idx="2">
                  <c:v>-0.16287155503574349</c:v>
                </c:pt>
                <c:pt idx="3">
                  <c:v>-0.16254172456515525</c:v>
                </c:pt>
                <c:pt idx="4">
                  <c:v>-0.1673324893738195</c:v>
                </c:pt>
                <c:pt idx="5">
                  <c:v>-0.1688114637855842</c:v>
                </c:pt>
                <c:pt idx="6">
                  <c:v>-0.16351624513442142</c:v>
                </c:pt>
                <c:pt idx="7">
                  <c:v>-0.15863482240525473</c:v>
                </c:pt>
                <c:pt idx="8">
                  <c:v>-0.15682939659275477</c:v>
                </c:pt>
                <c:pt idx="9">
                  <c:v>-0.15480484569275477</c:v>
                </c:pt>
                <c:pt idx="10">
                  <c:v>-0.15503739774275474</c:v>
                </c:pt>
                <c:pt idx="11">
                  <c:v>-0.15547812525382113</c:v>
                </c:pt>
                <c:pt idx="12">
                  <c:v>-0.15564975873976492</c:v>
                </c:pt>
                <c:pt idx="13">
                  <c:v>-0.15536228016833636</c:v>
                </c:pt>
                <c:pt idx="14">
                  <c:v>-0.1559805455291611</c:v>
                </c:pt>
                <c:pt idx="15">
                  <c:v>-0.15332802658607167</c:v>
                </c:pt>
                <c:pt idx="16">
                  <c:v>-0.15444569202449532</c:v>
                </c:pt>
                <c:pt idx="17">
                  <c:v>-0.15437805346001843</c:v>
                </c:pt>
                <c:pt idx="18">
                  <c:v>-0.15295266798755466</c:v>
                </c:pt>
                <c:pt idx="19">
                  <c:v>-0.15362911232088799</c:v>
                </c:pt>
                <c:pt idx="20">
                  <c:v>-0.15179675753839461</c:v>
                </c:pt>
                <c:pt idx="21">
                  <c:v>-0.14804768860971246</c:v>
                </c:pt>
                <c:pt idx="22">
                  <c:v>-0.15042496064375499</c:v>
                </c:pt>
                <c:pt idx="23">
                  <c:v>-0.14764052670316094</c:v>
                </c:pt>
                <c:pt idx="24">
                  <c:v>-0.14639153725361964</c:v>
                </c:pt>
                <c:pt idx="25">
                  <c:v>-0.14370579304849143</c:v>
                </c:pt>
                <c:pt idx="26">
                  <c:v>-0.13910325004228025</c:v>
                </c:pt>
                <c:pt idx="27">
                  <c:v>-0.13076702760478023</c:v>
                </c:pt>
                <c:pt idx="28">
                  <c:v>-0.12704424575661599</c:v>
                </c:pt>
                <c:pt idx="29">
                  <c:v>-0.13124608146101011</c:v>
                </c:pt>
                <c:pt idx="30">
                  <c:v>-0.13475384426320791</c:v>
                </c:pt>
                <c:pt idx="31">
                  <c:v>-0.13248001157355274</c:v>
                </c:pt>
                <c:pt idx="32">
                  <c:v>-0.12905017657355272</c:v>
                </c:pt>
                <c:pt idx="33">
                  <c:v>-0.12731767053499851</c:v>
                </c:pt>
                <c:pt idx="34">
                  <c:v>-0.12891505527360034</c:v>
                </c:pt>
                <c:pt idx="35">
                  <c:v>-0.12994762160521986</c:v>
                </c:pt>
                <c:pt idx="36">
                  <c:v>-0.13248839115462702</c:v>
                </c:pt>
                <c:pt idx="37">
                  <c:v>-0.13306064425807529</c:v>
                </c:pt>
                <c:pt idx="38">
                  <c:v>-0.13277249495084636</c:v>
                </c:pt>
                <c:pt idx="39">
                  <c:v>-0.13205134191636364</c:v>
                </c:pt>
                <c:pt idx="40">
                  <c:v>-0.13111916107999999</c:v>
                </c:pt>
                <c:pt idx="41">
                  <c:v>-0.1331759194276298</c:v>
                </c:pt>
                <c:pt idx="42">
                  <c:v>-0.12652689773197762</c:v>
                </c:pt>
                <c:pt idx="43">
                  <c:v>-0.12558932590232461</c:v>
                </c:pt>
                <c:pt idx="44">
                  <c:v>-0.13373037376527963</c:v>
                </c:pt>
                <c:pt idx="45">
                  <c:v>-0.13518028488527967</c:v>
                </c:pt>
                <c:pt idx="46">
                  <c:v>-0.13314421736646695</c:v>
                </c:pt>
                <c:pt idx="47">
                  <c:v>-0.13523337123252199</c:v>
                </c:pt>
                <c:pt idx="48">
                  <c:v>-0.1354078604739013</c:v>
                </c:pt>
                <c:pt idx="49">
                  <c:v>-0.13013236555266364</c:v>
                </c:pt>
                <c:pt idx="50">
                  <c:v>-0.12175680214390448</c:v>
                </c:pt>
                <c:pt idx="51">
                  <c:v>-0.12366208696037506</c:v>
                </c:pt>
                <c:pt idx="52">
                  <c:v>-0.12062978072960584</c:v>
                </c:pt>
                <c:pt idx="53">
                  <c:v>-0.12756413618177098</c:v>
                </c:pt>
                <c:pt idx="54">
                  <c:v>-0.12399218413844969</c:v>
                </c:pt>
                <c:pt idx="55">
                  <c:v>-0.12431214054294408</c:v>
                </c:pt>
                <c:pt idx="56">
                  <c:v>-0.12134656317181006</c:v>
                </c:pt>
                <c:pt idx="57">
                  <c:v>-0.12431799609622865</c:v>
                </c:pt>
                <c:pt idx="58">
                  <c:v>-0.12014586492035956</c:v>
                </c:pt>
                <c:pt idx="59">
                  <c:v>-0.10567617648752373</c:v>
                </c:pt>
                <c:pt idx="60">
                  <c:v>-0.10955149917173426</c:v>
                </c:pt>
                <c:pt idx="61">
                  <c:v>-0.11321830747341879</c:v>
                </c:pt>
                <c:pt idx="62">
                  <c:v>-0.11455325756820553</c:v>
                </c:pt>
                <c:pt idx="63">
                  <c:v>-0.11011423219533793</c:v>
                </c:pt>
                <c:pt idx="64">
                  <c:v>-0.11573694004932024</c:v>
                </c:pt>
                <c:pt idx="65">
                  <c:v>-0.11484714104651911</c:v>
                </c:pt>
                <c:pt idx="66">
                  <c:v>-0.11678289492887209</c:v>
                </c:pt>
                <c:pt idx="67">
                  <c:v>-0.11406337551830298</c:v>
                </c:pt>
                <c:pt idx="68">
                  <c:v>-0.11116167012699862</c:v>
                </c:pt>
                <c:pt idx="69">
                  <c:v>-0.105413355008069</c:v>
                </c:pt>
                <c:pt idx="70">
                  <c:v>-0.11115902810760755</c:v>
                </c:pt>
                <c:pt idx="71">
                  <c:v>-0.1102884570119885</c:v>
                </c:pt>
                <c:pt idx="72">
                  <c:v>-0.11274485970791998</c:v>
                </c:pt>
                <c:pt idx="73">
                  <c:v>-0.10802056335453653</c:v>
                </c:pt>
                <c:pt idx="74">
                  <c:v>-0.10371833176094461</c:v>
                </c:pt>
                <c:pt idx="75">
                  <c:v>-0.10763236625300807</c:v>
                </c:pt>
                <c:pt idx="76">
                  <c:v>-0.10589625739679892</c:v>
                </c:pt>
                <c:pt idx="77">
                  <c:v>-0.10617115661989601</c:v>
                </c:pt>
                <c:pt idx="78">
                  <c:v>-0.10537158710969192</c:v>
                </c:pt>
                <c:pt idx="79">
                  <c:v>-0.10338399928910369</c:v>
                </c:pt>
                <c:pt idx="80">
                  <c:v>-0.10152202119564573</c:v>
                </c:pt>
                <c:pt idx="81">
                  <c:v>-0.10460951741983454</c:v>
                </c:pt>
                <c:pt idx="82">
                  <c:v>-0.11011216758632333</c:v>
                </c:pt>
                <c:pt idx="83">
                  <c:v>-0.11353818964232333</c:v>
                </c:pt>
                <c:pt idx="84">
                  <c:v>-0.11057725339232333</c:v>
                </c:pt>
                <c:pt idx="85">
                  <c:v>-0.10684473110550163</c:v>
                </c:pt>
                <c:pt idx="86">
                  <c:v>-0.1153201956750856</c:v>
                </c:pt>
                <c:pt idx="87">
                  <c:v>-0.12088106151691336</c:v>
                </c:pt>
                <c:pt idx="88">
                  <c:v>-0.12039094359745026</c:v>
                </c:pt>
                <c:pt idx="89">
                  <c:v>-0.12152965729404468</c:v>
                </c:pt>
                <c:pt idx="90">
                  <c:v>-0.12040525317464168</c:v>
                </c:pt>
                <c:pt idx="91">
                  <c:v>-0.12167942505093035</c:v>
                </c:pt>
                <c:pt idx="92">
                  <c:v>-0.12093784903512007</c:v>
                </c:pt>
                <c:pt idx="93">
                  <c:v>-0.1173719835034745</c:v>
                </c:pt>
                <c:pt idx="94">
                  <c:v>-0.11215498259023249</c:v>
                </c:pt>
                <c:pt idx="95">
                  <c:v>-0.11212901346246837</c:v>
                </c:pt>
                <c:pt idx="96">
                  <c:v>-0.10953656558606385</c:v>
                </c:pt>
                <c:pt idx="97">
                  <c:v>-0.11157559427871419</c:v>
                </c:pt>
                <c:pt idx="98">
                  <c:v>-0.11032014369565231</c:v>
                </c:pt>
                <c:pt idx="99">
                  <c:v>-0.10531508089762273</c:v>
                </c:pt>
                <c:pt idx="100">
                  <c:v>-0.10464306300622003</c:v>
                </c:pt>
                <c:pt idx="101">
                  <c:v>-0.10517422526263029</c:v>
                </c:pt>
                <c:pt idx="102">
                  <c:v>-0.10488365829009023</c:v>
                </c:pt>
                <c:pt idx="103">
                  <c:v>-9.9504934616620869E-2</c:v>
                </c:pt>
                <c:pt idx="104">
                  <c:v>-9.7399085891565457E-2</c:v>
                </c:pt>
                <c:pt idx="105">
                  <c:v>-9.4276418217213886E-2</c:v>
                </c:pt>
                <c:pt idx="106">
                  <c:v>-9.741297671756978E-2</c:v>
                </c:pt>
                <c:pt idx="107">
                  <c:v>-0.10208441759848333</c:v>
                </c:pt>
                <c:pt idx="108">
                  <c:v>-0.10369234178560605</c:v>
                </c:pt>
                <c:pt idx="109">
                  <c:v>-0.10127109612733834</c:v>
                </c:pt>
                <c:pt idx="110">
                  <c:v>-9.7320982454997915E-2</c:v>
                </c:pt>
                <c:pt idx="111">
                  <c:v>-9.4013443673540947E-2</c:v>
                </c:pt>
                <c:pt idx="112">
                  <c:v>-8.820561082823708E-2</c:v>
                </c:pt>
                <c:pt idx="113">
                  <c:v>-8.7483985369700493E-2</c:v>
                </c:pt>
                <c:pt idx="114">
                  <c:v>-8.7985457115176968E-2</c:v>
                </c:pt>
                <c:pt idx="115">
                  <c:v>-8.3819744115176981E-2</c:v>
                </c:pt>
                <c:pt idx="116">
                  <c:v>-8.6034511218880658E-2</c:v>
                </c:pt>
                <c:pt idx="117">
                  <c:v>-8.020413859886022E-2</c:v>
                </c:pt>
                <c:pt idx="118">
                  <c:v>-7.9116852733188595E-2</c:v>
                </c:pt>
                <c:pt idx="119">
                  <c:v>-8.6137253456945492E-2</c:v>
                </c:pt>
                <c:pt idx="120">
                  <c:v>-8.8837407661966419E-2</c:v>
                </c:pt>
                <c:pt idx="121">
                  <c:v>-8.6304860379574397E-2</c:v>
                </c:pt>
                <c:pt idx="122">
                  <c:v>-7.932584542950305E-2</c:v>
                </c:pt>
                <c:pt idx="123">
                  <c:v>-7.0585473518788758E-2</c:v>
                </c:pt>
                <c:pt idx="124">
                  <c:v>-6.963526004756572E-2</c:v>
                </c:pt>
                <c:pt idx="125">
                  <c:v>-6.9441784176308252E-2</c:v>
                </c:pt>
                <c:pt idx="126">
                  <c:v>-6.5777903725115189E-2</c:v>
                </c:pt>
                <c:pt idx="127">
                  <c:v>-7.4079246601609236E-2</c:v>
                </c:pt>
                <c:pt idx="128">
                  <c:v>-8.2109613533497786E-2</c:v>
                </c:pt>
                <c:pt idx="129">
                  <c:v>-6.8910896070513053E-2</c:v>
                </c:pt>
                <c:pt idx="130">
                  <c:v>-6.3719653713825167E-2</c:v>
                </c:pt>
                <c:pt idx="131">
                  <c:v>-5.2739142156043937E-2</c:v>
                </c:pt>
                <c:pt idx="132">
                  <c:v>-3.0587496886244164E-2</c:v>
                </c:pt>
                <c:pt idx="133">
                  <c:v>-4.7974735084386579E-2</c:v>
                </c:pt>
                <c:pt idx="134">
                  <c:v>-3.5225779494803225E-2</c:v>
                </c:pt>
                <c:pt idx="135">
                  <c:v>-5.9938611700740163E-2</c:v>
                </c:pt>
                <c:pt idx="136">
                  <c:v>-6.6888845062322067E-2</c:v>
                </c:pt>
                <c:pt idx="137">
                  <c:v>-6.158785128115863E-2</c:v>
                </c:pt>
                <c:pt idx="138">
                  <c:v>-6.6946997882818368E-2</c:v>
                </c:pt>
                <c:pt idx="139">
                  <c:v>-6.538169557699311E-2</c:v>
                </c:pt>
                <c:pt idx="140">
                  <c:v>-6.5665828287138059E-2</c:v>
                </c:pt>
                <c:pt idx="141">
                  <c:v>-5.9817315377185459E-2</c:v>
                </c:pt>
                <c:pt idx="142">
                  <c:v>-5.7490087010126638E-2</c:v>
                </c:pt>
                <c:pt idx="143">
                  <c:v>-4.7419644180858339E-2</c:v>
                </c:pt>
                <c:pt idx="144">
                  <c:v>-5.2584859551778225E-2</c:v>
                </c:pt>
                <c:pt idx="145">
                  <c:v>-5.8643623830954422E-2</c:v>
                </c:pt>
                <c:pt idx="146">
                  <c:v>-5.6624354960985349E-2</c:v>
                </c:pt>
                <c:pt idx="147">
                  <c:v>-5.8786421433207586E-2</c:v>
                </c:pt>
                <c:pt idx="148">
                  <c:v>-5.4020201861778999E-2</c:v>
                </c:pt>
                <c:pt idx="149">
                  <c:v>-6.0877568634247724E-2</c:v>
                </c:pt>
                <c:pt idx="150">
                  <c:v>-5.4006513945223322E-2</c:v>
                </c:pt>
                <c:pt idx="151">
                  <c:v>-4.4190330050009059E-2</c:v>
                </c:pt>
                <c:pt idx="152">
                  <c:v>-4.2420963500420024E-2</c:v>
                </c:pt>
                <c:pt idx="153">
                  <c:v>-4.307103756493616E-2</c:v>
                </c:pt>
                <c:pt idx="154">
                  <c:v>-4.7350414164475871E-2</c:v>
                </c:pt>
                <c:pt idx="155">
                  <c:v>-4.110267194252501E-2</c:v>
                </c:pt>
                <c:pt idx="156">
                  <c:v>-4.4005731013575002E-2</c:v>
                </c:pt>
                <c:pt idx="157">
                  <c:v>-3.8093074531494811E-2</c:v>
                </c:pt>
                <c:pt idx="158">
                  <c:v>-3.9353115422055239E-2</c:v>
                </c:pt>
                <c:pt idx="159">
                  <c:v>-3.9206562939769526E-2</c:v>
                </c:pt>
                <c:pt idx="160">
                  <c:v>-3.7728459397961947E-2</c:v>
                </c:pt>
                <c:pt idx="161">
                  <c:v>-3.6355080770138853E-2</c:v>
                </c:pt>
                <c:pt idx="162">
                  <c:v>-4.4370771230041177E-2</c:v>
                </c:pt>
                <c:pt idx="163">
                  <c:v>-4.4906135946030004E-2</c:v>
                </c:pt>
                <c:pt idx="164">
                  <c:v>-3.6090637102626388E-2</c:v>
                </c:pt>
                <c:pt idx="165">
                  <c:v>-3.0674016592774172E-2</c:v>
                </c:pt>
                <c:pt idx="166">
                  <c:v>-3.0369133918435938E-2</c:v>
                </c:pt>
                <c:pt idx="167">
                  <c:v>-2.8033368485946453E-2</c:v>
                </c:pt>
                <c:pt idx="168">
                  <c:v>-2.8460125812342717E-2</c:v>
                </c:pt>
                <c:pt idx="169">
                  <c:v>-1.942548233386945E-2</c:v>
                </c:pt>
                <c:pt idx="170">
                  <c:v>3.1217804693123839E-3</c:v>
                </c:pt>
                <c:pt idx="171">
                  <c:v>-1.5738311454203253E-2</c:v>
                </c:pt>
                <c:pt idx="172">
                  <c:v>-2.6758774359684066E-2</c:v>
                </c:pt>
                <c:pt idx="173">
                  <c:v>-2.1455351547521928E-2</c:v>
                </c:pt>
                <c:pt idx="174">
                  <c:v>-2.4372259192021923E-2</c:v>
                </c:pt>
                <c:pt idx="175">
                  <c:v>-2.5579805110194333E-2</c:v>
                </c:pt>
                <c:pt idx="176">
                  <c:v>-2.9035259968247421E-2</c:v>
                </c:pt>
                <c:pt idx="177">
                  <c:v>-2.9055910521111051E-2</c:v>
                </c:pt>
                <c:pt idx="178">
                  <c:v>-2.2953646344460569E-2</c:v>
                </c:pt>
                <c:pt idx="179">
                  <c:v>-3.1113126247789568E-2</c:v>
                </c:pt>
                <c:pt idx="180">
                  <c:v>-2.4480186206809609E-2</c:v>
                </c:pt>
                <c:pt idx="181">
                  <c:v>-2.3496795029801728E-2</c:v>
                </c:pt>
                <c:pt idx="182">
                  <c:v>-2.5367352223580192E-2</c:v>
                </c:pt>
                <c:pt idx="183">
                  <c:v>-3.1111713432725997E-2</c:v>
                </c:pt>
                <c:pt idx="184">
                  <c:v>-4.0732799158705056E-2</c:v>
                </c:pt>
                <c:pt idx="185">
                  <c:v>-4.3853451974494535E-2</c:v>
                </c:pt>
                <c:pt idx="186">
                  <c:v>-4.034578817106594E-2</c:v>
                </c:pt>
                <c:pt idx="187">
                  <c:v>-4.2815742683228103E-2</c:v>
                </c:pt>
                <c:pt idx="188">
                  <c:v>-4.7270738185417167E-2</c:v>
                </c:pt>
                <c:pt idx="189">
                  <c:v>-4.8578827640231977E-2</c:v>
                </c:pt>
                <c:pt idx="190">
                  <c:v>-4.9954706120464543E-2</c:v>
                </c:pt>
                <c:pt idx="191">
                  <c:v>-5.141489625830465E-2</c:v>
                </c:pt>
                <c:pt idx="192">
                  <c:v>-5.0218638963355156E-2</c:v>
                </c:pt>
                <c:pt idx="193">
                  <c:v>-4.9020089624337071E-2</c:v>
                </c:pt>
                <c:pt idx="194">
                  <c:v>-4.7020873418480505E-2</c:v>
                </c:pt>
                <c:pt idx="195">
                  <c:v>-4.7477493936406774E-2</c:v>
                </c:pt>
                <c:pt idx="196">
                  <c:v>-4.4503151356263038E-2</c:v>
                </c:pt>
                <c:pt idx="197">
                  <c:v>-4.311304242753472E-2</c:v>
                </c:pt>
                <c:pt idx="198">
                  <c:v>-4.4289112282610107E-2</c:v>
                </c:pt>
                <c:pt idx="199">
                  <c:v>-4.2128185183679619E-2</c:v>
                </c:pt>
                <c:pt idx="200">
                  <c:v>-4.0117704114616078E-2</c:v>
                </c:pt>
                <c:pt idx="201">
                  <c:v>-4.015294014809434E-2</c:v>
                </c:pt>
                <c:pt idx="202">
                  <c:v>-3.9082952543255632E-2</c:v>
                </c:pt>
                <c:pt idx="203">
                  <c:v>-4.1144569135255646E-2</c:v>
                </c:pt>
                <c:pt idx="204">
                  <c:v>-4.0406824252739448E-2</c:v>
                </c:pt>
                <c:pt idx="205">
                  <c:v>-3.783407971636063E-2</c:v>
                </c:pt>
                <c:pt idx="206">
                  <c:v>-4.1372575924698431E-2</c:v>
                </c:pt>
                <c:pt idx="207">
                  <c:v>-3.9957772980647788E-2</c:v>
                </c:pt>
                <c:pt idx="208">
                  <c:v>-3.8589273151634892E-2</c:v>
                </c:pt>
                <c:pt idx="209">
                  <c:v>-4.0127761981975797E-2</c:v>
                </c:pt>
                <c:pt idx="210">
                  <c:v>-4.0664735476375793E-2</c:v>
                </c:pt>
                <c:pt idx="211">
                  <c:v>-3.9381551012880642E-2</c:v>
                </c:pt>
                <c:pt idx="212">
                  <c:v>-4.3354259460862715E-2</c:v>
                </c:pt>
                <c:pt idx="213">
                  <c:v>-4.3262080869254323E-2</c:v>
                </c:pt>
                <c:pt idx="214">
                  <c:v>-4.2021961429254309E-2</c:v>
                </c:pt>
                <c:pt idx="215">
                  <c:v>-4.5180802199887224E-2</c:v>
                </c:pt>
                <c:pt idx="216">
                  <c:v>-4.6441244350955188E-2</c:v>
                </c:pt>
                <c:pt idx="217">
                  <c:v>-4.1052490354667973E-2</c:v>
                </c:pt>
                <c:pt idx="218">
                  <c:v>-3.6369348143097731E-2</c:v>
                </c:pt>
                <c:pt idx="219">
                  <c:v>-3.9260590435681066E-2</c:v>
                </c:pt>
                <c:pt idx="220">
                  <c:v>-2.8192650649826421E-2</c:v>
                </c:pt>
                <c:pt idx="221">
                  <c:v>-2.0879326196577428E-2</c:v>
                </c:pt>
                <c:pt idx="222">
                  <c:v>-2.4828679061292616E-2</c:v>
                </c:pt>
                <c:pt idx="223">
                  <c:v>-2.1274221002270659E-2</c:v>
                </c:pt>
                <c:pt idx="224">
                  <c:v>-1.740484296821938E-2</c:v>
                </c:pt>
                <c:pt idx="225">
                  <c:v>-1.2625677883282215E-2</c:v>
                </c:pt>
                <c:pt idx="226">
                  <c:v>-1.4366408654113742E-3</c:v>
                </c:pt>
                <c:pt idx="227">
                  <c:v>-1.5959959362998776E-2</c:v>
                </c:pt>
                <c:pt idx="228">
                  <c:v>-2.0597151723168877E-2</c:v>
                </c:pt>
                <c:pt idx="229">
                  <c:v>-2.2337610105038385E-2</c:v>
                </c:pt>
                <c:pt idx="230">
                  <c:v>-2.091787274263977E-2</c:v>
                </c:pt>
                <c:pt idx="231">
                  <c:v>-1.8119987861636912E-2</c:v>
                </c:pt>
                <c:pt idx="232">
                  <c:v>-1.107383191518008E-2</c:v>
                </c:pt>
                <c:pt idx="233">
                  <c:v>-2.2008105803060268E-2</c:v>
                </c:pt>
                <c:pt idx="234">
                  <c:v>-2.2842588924548358E-2</c:v>
                </c:pt>
                <c:pt idx="235">
                  <c:v>-1.817865426302535E-2</c:v>
                </c:pt>
                <c:pt idx="236">
                  <c:v>-1.9046521798314609E-2</c:v>
                </c:pt>
                <c:pt idx="237">
                  <c:v>-1.788254481164794E-2</c:v>
                </c:pt>
                <c:pt idx="238">
                  <c:v>-1.6207799379823119E-2</c:v>
                </c:pt>
                <c:pt idx="239">
                  <c:v>-1.770735951938979E-2</c:v>
                </c:pt>
                <c:pt idx="240">
                  <c:v>-1.8254273552977575E-2</c:v>
                </c:pt>
                <c:pt idx="241">
                  <c:v>-1.6539480237470969E-2</c:v>
                </c:pt>
                <c:pt idx="242">
                  <c:v>-2.0031371831703299E-2</c:v>
                </c:pt>
                <c:pt idx="243">
                  <c:v>-2.2167378878206363E-2</c:v>
                </c:pt>
                <c:pt idx="244">
                  <c:v>-2.002438554693927E-2</c:v>
                </c:pt>
                <c:pt idx="245">
                  <c:v>-1.350696491665172E-2</c:v>
                </c:pt>
                <c:pt idx="246">
                  <c:v>-1.0602748813873292E-2</c:v>
                </c:pt>
                <c:pt idx="247">
                  <c:v>-1.044589457547686E-2</c:v>
                </c:pt>
                <c:pt idx="248">
                  <c:v>-1.1278113547784553E-2</c:v>
                </c:pt>
                <c:pt idx="249">
                  <c:v>-1.8246851660733195E-2</c:v>
                </c:pt>
                <c:pt idx="250">
                  <c:v>-1.8677206619014189E-2</c:v>
                </c:pt>
                <c:pt idx="251">
                  <c:v>-1.7905797315161866E-2</c:v>
                </c:pt>
                <c:pt idx="252">
                  <c:v>-1.8344058771483863E-2</c:v>
                </c:pt>
                <c:pt idx="253">
                  <c:v>-2.0159173209355879E-2</c:v>
                </c:pt>
                <c:pt idx="254">
                  <c:v>-1.8280964079488083E-2</c:v>
                </c:pt>
                <c:pt idx="255">
                  <c:v>-2.1876432955568879E-2</c:v>
                </c:pt>
                <c:pt idx="256">
                  <c:v>-1.6770286838013994E-2</c:v>
                </c:pt>
                <c:pt idx="257">
                  <c:v>-1.8076638432047713E-2</c:v>
                </c:pt>
                <c:pt idx="258">
                  <c:v>-1.3891650652119534E-2</c:v>
                </c:pt>
                <c:pt idx="259">
                  <c:v>-1.3052762800518324E-2</c:v>
                </c:pt>
                <c:pt idx="260">
                  <c:v>-1.3156911206626437E-2</c:v>
                </c:pt>
                <c:pt idx="261">
                  <c:v>-7.3857670881560039E-3</c:v>
                </c:pt>
                <c:pt idx="262">
                  <c:v>-9.6508235815719826E-3</c:v>
                </c:pt>
                <c:pt idx="263">
                  <c:v>-9.4179084316301266E-3</c:v>
                </c:pt>
                <c:pt idx="264">
                  <c:v>-5.7800998763677079E-3</c:v>
                </c:pt>
                <c:pt idx="265">
                  <c:v>-2.5295823481235684E-3</c:v>
                </c:pt>
                <c:pt idx="266">
                  <c:v>-6.0808728709728817E-3</c:v>
                </c:pt>
                <c:pt idx="267">
                  <c:v>-2.6516525417701144E-3</c:v>
                </c:pt>
                <c:pt idx="268">
                  <c:v>-6.832820620278921E-3</c:v>
                </c:pt>
                <c:pt idx="269">
                  <c:v>-1.9129478854295254E-3</c:v>
                </c:pt>
                <c:pt idx="270">
                  <c:v>-5.9523316579259463E-4</c:v>
                </c:pt>
                <c:pt idx="271">
                  <c:v>9.295619357246915E-4</c:v>
                </c:pt>
                <c:pt idx="272">
                  <c:v>1.5083435528226896E-4</c:v>
                </c:pt>
                <c:pt idx="273">
                  <c:v>-4.8854248581843476E-3</c:v>
                </c:pt>
                <c:pt idx="274">
                  <c:v>-4.934519742886727E-3</c:v>
                </c:pt>
                <c:pt idx="275">
                  <c:v>-7.2175865357721062E-3</c:v>
                </c:pt>
                <c:pt idx="276">
                  <c:v>-1.5553850700296294E-2</c:v>
                </c:pt>
                <c:pt idx="277">
                  <c:v>-2.0308256628677253E-2</c:v>
                </c:pt>
                <c:pt idx="278">
                  <c:v>-2.1145198083738111E-2</c:v>
                </c:pt>
                <c:pt idx="279">
                  <c:v>-1.711977484879482E-2</c:v>
                </c:pt>
                <c:pt idx="280">
                  <c:v>-1.9840361295100764E-2</c:v>
                </c:pt>
                <c:pt idx="281">
                  <c:v>-1.7975698995100764E-2</c:v>
                </c:pt>
                <c:pt idx="282">
                  <c:v>-1.3295472956367734E-2</c:v>
                </c:pt>
                <c:pt idx="283">
                  <c:v>-1.8762760028768928E-2</c:v>
                </c:pt>
                <c:pt idx="284">
                  <c:v>-1.5360321599724822E-2</c:v>
                </c:pt>
                <c:pt idx="285">
                  <c:v>-1.894907913767846E-2</c:v>
                </c:pt>
                <c:pt idx="286">
                  <c:v>-1.4854410852852988E-2</c:v>
                </c:pt>
                <c:pt idx="287">
                  <c:v>-1.2970475197657975E-2</c:v>
                </c:pt>
                <c:pt idx="288">
                  <c:v>-9.8034253219930426E-3</c:v>
                </c:pt>
                <c:pt idx="289">
                  <c:v>-1.4163880214834354E-2</c:v>
                </c:pt>
                <c:pt idx="290">
                  <c:v>-1.0881073960658036E-2</c:v>
                </c:pt>
                <c:pt idx="291">
                  <c:v>-2.732662161936079E-3</c:v>
                </c:pt>
                <c:pt idx="292">
                  <c:v>2.9396246859074056E-3</c:v>
                </c:pt>
                <c:pt idx="293">
                  <c:v>7.1321086172920238E-3</c:v>
                </c:pt>
                <c:pt idx="294">
                  <c:v>6.2373500518601117E-4</c:v>
                </c:pt>
                <c:pt idx="295">
                  <c:v>-3.8428242267639725E-4</c:v>
                </c:pt>
                <c:pt idx="296">
                  <c:v>1.1520978449392684E-3</c:v>
                </c:pt>
                <c:pt idx="297">
                  <c:v>4.5811373335756323E-3</c:v>
                </c:pt>
                <c:pt idx="298">
                  <c:v>8.0811329453175651E-3</c:v>
                </c:pt>
                <c:pt idx="299">
                  <c:v>4.9984697708487236E-3</c:v>
                </c:pt>
                <c:pt idx="300">
                  <c:v>1.2018152734559832E-2</c:v>
                </c:pt>
                <c:pt idx="301">
                  <c:v>1.7332138246611388E-2</c:v>
                </c:pt>
                <c:pt idx="302">
                  <c:v>2.062576197194637E-2</c:v>
                </c:pt>
                <c:pt idx="303">
                  <c:v>2.4970276229023546E-2</c:v>
                </c:pt>
                <c:pt idx="304">
                  <c:v>2.2663821667116259E-2</c:v>
                </c:pt>
                <c:pt idx="305">
                  <c:v>2.2059675458195836E-2</c:v>
                </c:pt>
                <c:pt idx="306">
                  <c:v>2.3342139247687146E-2</c:v>
                </c:pt>
                <c:pt idx="307">
                  <c:v>2.3106309781866084E-2</c:v>
                </c:pt>
                <c:pt idx="308">
                  <c:v>2.0248209597000209E-2</c:v>
                </c:pt>
                <c:pt idx="309">
                  <c:v>2.025028347409729E-2</c:v>
                </c:pt>
                <c:pt idx="310">
                  <c:v>2.3285595892022438E-2</c:v>
                </c:pt>
                <c:pt idx="311">
                  <c:v>2.6290091434639225E-2</c:v>
                </c:pt>
                <c:pt idx="312">
                  <c:v>2.6087844218790446E-2</c:v>
                </c:pt>
                <c:pt idx="313">
                  <c:v>2.32661086178872E-2</c:v>
                </c:pt>
                <c:pt idx="314">
                  <c:v>2.9580097577099104E-2</c:v>
                </c:pt>
                <c:pt idx="315">
                  <c:v>2.7003962453049108E-2</c:v>
                </c:pt>
                <c:pt idx="316">
                  <c:v>2.2495787460757345E-2</c:v>
                </c:pt>
                <c:pt idx="317">
                  <c:v>1.8223088079762622E-2</c:v>
                </c:pt>
                <c:pt idx="318">
                  <c:v>1.409598883734494E-2</c:v>
                </c:pt>
                <c:pt idx="319">
                  <c:v>1.4530297625564383E-2</c:v>
                </c:pt>
                <c:pt idx="320">
                  <c:v>1.5288677108182828E-2</c:v>
                </c:pt>
                <c:pt idx="321">
                  <c:v>1.6885837952964413E-2</c:v>
                </c:pt>
                <c:pt idx="322">
                  <c:v>2.0816438558974682E-2</c:v>
                </c:pt>
                <c:pt idx="323">
                  <c:v>1.8413460652488188E-2</c:v>
                </c:pt>
                <c:pt idx="324">
                  <c:v>1.6431826270931992E-2</c:v>
                </c:pt>
                <c:pt idx="325">
                  <c:v>1.5826464124744855E-2</c:v>
                </c:pt>
                <c:pt idx="326">
                  <c:v>1.1833648929785136E-2</c:v>
                </c:pt>
                <c:pt idx="327">
                  <c:v>1.2803662665617964E-2</c:v>
                </c:pt>
                <c:pt idx="328">
                  <c:v>1.4203793188152625E-2</c:v>
                </c:pt>
                <c:pt idx="329">
                  <c:v>9.9091458948106885E-3</c:v>
                </c:pt>
                <c:pt idx="330">
                  <c:v>1.398408346070688E-2</c:v>
                </c:pt>
                <c:pt idx="331">
                  <c:v>1.0514515259525613E-2</c:v>
                </c:pt>
                <c:pt idx="332">
                  <c:v>8.8728972732308765E-3</c:v>
                </c:pt>
                <c:pt idx="333">
                  <c:v>3.0473081551513816E-3</c:v>
                </c:pt>
                <c:pt idx="334">
                  <c:v>4.1724936356686239E-3</c:v>
                </c:pt>
                <c:pt idx="335">
                  <c:v>7.4203266949052667E-3</c:v>
                </c:pt>
                <c:pt idx="336">
                  <c:v>9.8678510499238484E-3</c:v>
                </c:pt>
                <c:pt idx="337">
                  <c:v>2.1869922075917224E-2</c:v>
                </c:pt>
                <c:pt idx="338">
                  <c:v>2.2859174963229541E-2</c:v>
                </c:pt>
                <c:pt idx="339">
                  <c:v>1.0717853691596209E-2</c:v>
                </c:pt>
                <c:pt idx="340">
                  <c:v>3.2168443478897124E-4</c:v>
                </c:pt>
                <c:pt idx="341">
                  <c:v>-2.2072131738947167E-3</c:v>
                </c:pt>
                <c:pt idx="342">
                  <c:v>-3.384006168075483E-3</c:v>
                </c:pt>
                <c:pt idx="343">
                  <c:v>-1.1052486083529349E-2</c:v>
                </c:pt>
                <c:pt idx="344">
                  <c:v>-1.6055002369582804E-2</c:v>
                </c:pt>
                <c:pt idx="345">
                  <c:v>-1.7826196699346153E-2</c:v>
                </c:pt>
                <c:pt idx="346">
                  <c:v>-1.5932169113550158E-2</c:v>
                </c:pt>
                <c:pt idx="347">
                  <c:v>-1.7642807646555046E-2</c:v>
                </c:pt>
                <c:pt idx="348">
                  <c:v>-1.2286295146555047E-2</c:v>
                </c:pt>
                <c:pt idx="349">
                  <c:v>-1.1807817118618544E-2</c:v>
                </c:pt>
                <c:pt idx="350">
                  <c:v>-1.0511364340251451E-2</c:v>
                </c:pt>
                <c:pt idx="351">
                  <c:v>-1.5703733279986552E-2</c:v>
                </c:pt>
                <c:pt idx="352">
                  <c:v>-1.8511189076195075E-2</c:v>
                </c:pt>
                <c:pt idx="353">
                  <c:v>-2.6744673024592019E-2</c:v>
                </c:pt>
                <c:pt idx="354">
                  <c:v>-2.9917985976655737E-2</c:v>
                </c:pt>
                <c:pt idx="355">
                  <c:v>-3.1916287149114764E-2</c:v>
                </c:pt>
                <c:pt idx="356">
                  <c:v>-2.8290227438386207E-2</c:v>
                </c:pt>
                <c:pt idx="357">
                  <c:v>-2.6723078173545012E-2</c:v>
                </c:pt>
                <c:pt idx="358">
                  <c:v>-2.3484633246409332E-2</c:v>
                </c:pt>
                <c:pt idx="359">
                  <c:v>-3.2739752246662562E-2</c:v>
                </c:pt>
                <c:pt idx="360">
                  <c:v>-3.8571119306020432E-2</c:v>
                </c:pt>
                <c:pt idx="361">
                  <c:v>-4.1121702846291623E-2</c:v>
                </c:pt>
                <c:pt idx="362">
                  <c:v>-4.0425415707026638E-2</c:v>
                </c:pt>
                <c:pt idx="363">
                  <c:v>-4.2806725480846838E-2</c:v>
                </c:pt>
                <c:pt idx="364">
                  <c:v>-4.3995548053614303E-2</c:v>
                </c:pt>
                <c:pt idx="365">
                  <c:v>-4.6265053841610053E-2</c:v>
                </c:pt>
                <c:pt idx="366">
                  <c:v>-4.4222340940266773E-2</c:v>
                </c:pt>
                <c:pt idx="367">
                  <c:v>-4.6372089348893863E-2</c:v>
                </c:pt>
                <c:pt idx="368">
                  <c:v>-4.3998816250817495E-2</c:v>
                </c:pt>
                <c:pt idx="369">
                  <c:v>-4.4200131316840044E-2</c:v>
                </c:pt>
                <c:pt idx="370">
                  <c:v>-4.3800421277800039E-2</c:v>
                </c:pt>
                <c:pt idx="371">
                  <c:v>-4.5641415456458848E-2</c:v>
                </c:pt>
                <c:pt idx="372">
                  <c:v>-4.2930289324329809E-2</c:v>
                </c:pt>
                <c:pt idx="373">
                  <c:v>-4.6765865915971601E-2</c:v>
                </c:pt>
                <c:pt idx="374">
                  <c:v>-4.1780316783969824E-2</c:v>
                </c:pt>
                <c:pt idx="375">
                  <c:v>-4.5693060660996855E-2</c:v>
                </c:pt>
                <c:pt idx="376">
                  <c:v>-4.8383406723197311E-2</c:v>
                </c:pt>
                <c:pt idx="377">
                  <c:v>-5.0139793333311505E-2</c:v>
                </c:pt>
                <c:pt idx="378">
                  <c:v>-5.1351277117744419E-2</c:v>
                </c:pt>
                <c:pt idx="379">
                  <c:v>-5.0930142566957014E-2</c:v>
                </c:pt>
                <c:pt idx="380">
                  <c:v>-5.2263543553718129E-2</c:v>
                </c:pt>
                <c:pt idx="381">
                  <c:v>-5.1812350664389259E-2</c:v>
                </c:pt>
                <c:pt idx="382">
                  <c:v>-5.2783896588832993E-2</c:v>
                </c:pt>
                <c:pt idx="383">
                  <c:v>-5.2000159480183238E-2</c:v>
                </c:pt>
                <c:pt idx="384">
                  <c:v>-5.3421503284463517E-2</c:v>
                </c:pt>
                <c:pt idx="385">
                  <c:v>-5.3731108484463524E-2</c:v>
                </c:pt>
                <c:pt idx="386">
                  <c:v>-5.3749309807723647E-2</c:v>
                </c:pt>
                <c:pt idx="387">
                  <c:v>-5.4110782368948146E-2</c:v>
                </c:pt>
                <c:pt idx="388">
                  <c:v>-5.6861727845335518E-2</c:v>
                </c:pt>
                <c:pt idx="389">
                  <c:v>-5.6830942516013484E-2</c:v>
                </c:pt>
                <c:pt idx="390">
                  <c:v>-5.9500106573486346E-2</c:v>
                </c:pt>
                <c:pt idx="391">
                  <c:v>-5.9115948062960035E-2</c:v>
                </c:pt>
                <c:pt idx="392">
                  <c:v>-5.7868508439920044E-2</c:v>
                </c:pt>
                <c:pt idx="393">
                  <c:v>-5.6988183164130568E-2</c:v>
                </c:pt>
                <c:pt idx="394">
                  <c:v>-5.6759263876979743E-2</c:v>
                </c:pt>
                <c:pt idx="395">
                  <c:v>-5.7201271270867687E-2</c:v>
                </c:pt>
                <c:pt idx="396">
                  <c:v>-5.6149883503175381E-2</c:v>
                </c:pt>
                <c:pt idx="397">
                  <c:v>-5.6067245364175372E-2</c:v>
                </c:pt>
                <c:pt idx="398">
                  <c:v>-5.4869465242118373E-2</c:v>
                </c:pt>
                <c:pt idx="399">
                  <c:v>-5.3947380394110782E-2</c:v>
                </c:pt>
                <c:pt idx="400">
                  <c:v>-5.4941233286886701E-2</c:v>
                </c:pt>
                <c:pt idx="401">
                  <c:v>-5.6254814970652739E-2</c:v>
                </c:pt>
                <c:pt idx="402">
                  <c:v>-5.7836517684924815E-2</c:v>
                </c:pt>
                <c:pt idx="403">
                  <c:v>-5.9208804712151661E-2</c:v>
                </c:pt>
                <c:pt idx="404">
                  <c:v>-5.6166510952814032E-2</c:v>
                </c:pt>
                <c:pt idx="405">
                  <c:v>-5.2249528826814017E-2</c:v>
                </c:pt>
                <c:pt idx="406">
                  <c:v>-5.1227485588162133E-2</c:v>
                </c:pt>
                <c:pt idx="407">
                  <c:v>-5.0283853929756664E-2</c:v>
                </c:pt>
                <c:pt idx="408">
                  <c:v>-4.5848886163594352E-2</c:v>
                </c:pt>
                <c:pt idx="409">
                  <c:v>-3.6482892467018989E-2</c:v>
                </c:pt>
                <c:pt idx="410">
                  <c:v>-3.6016731620274058E-2</c:v>
                </c:pt>
                <c:pt idx="411">
                  <c:v>-3.3453392640777652E-2</c:v>
                </c:pt>
                <c:pt idx="412">
                  <c:v>-3.621972344002293E-2</c:v>
                </c:pt>
                <c:pt idx="413">
                  <c:v>-3.3793877935026299E-2</c:v>
                </c:pt>
                <c:pt idx="414">
                  <c:v>-3.1568946292141263E-2</c:v>
                </c:pt>
                <c:pt idx="415">
                  <c:v>-3.427881126772081E-2</c:v>
                </c:pt>
                <c:pt idx="416">
                  <c:v>-2.6341401712121074E-2</c:v>
                </c:pt>
                <c:pt idx="417">
                  <c:v>-2.4150258165235389E-2</c:v>
                </c:pt>
                <c:pt idx="418">
                  <c:v>-2.8687419689922018E-2</c:v>
                </c:pt>
                <c:pt idx="419">
                  <c:v>-3.0627632950173775E-2</c:v>
                </c:pt>
                <c:pt idx="420">
                  <c:v>-2.4356603773428586E-2</c:v>
                </c:pt>
                <c:pt idx="421">
                  <c:v>-3.0913561008891272E-2</c:v>
                </c:pt>
                <c:pt idx="422">
                  <c:v>-2.7820493175426318E-2</c:v>
                </c:pt>
                <c:pt idx="423">
                  <c:v>-2.7786774953176444E-2</c:v>
                </c:pt>
                <c:pt idx="424">
                  <c:v>-1.9946521269288357E-2</c:v>
                </c:pt>
                <c:pt idx="425">
                  <c:v>-3.9263124280192241E-2</c:v>
                </c:pt>
                <c:pt idx="426">
                  <c:v>-4.2264967732641823E-2</c:v>
                </c:pt>
                <c:pt idx="427">
                  <c:v>-4.2928344506242118E-2</c:v>
                </c:pt>
                <c:pt idx="428">
                  <c:v>-4.1041183945701741E-2</c:v>
                </c:pt>
                <c:pt idx="429">
                  <c:v>-3.9648299029459821E-2</c:v>
                </c:pt>
                <c:pt idx="430">
                  <c:v>-4.1810950051441573E-2</c:v>
                </c:pt>
                <c:pt idx="431">
                  <c:v>-4.2772309605681402E-2</c:v>
                </c:pt>
                <c:pt idx="432">
                  <c:v>-4.3506416453130116E-2</c:v>
                </c:pt>
                <c:pt idx="433">
                  <c:v>-4.4740798594506637E-2</c:v>
                </c:pt>
                <c:pt idx="434">
                  <c:v>-4.5085626122367634E-2</c:v>
                </c:pt>
                <c:pt idx="435">
                  <c:v>-4.4671698340723272E-2</c:v>
                </c:pt>
                <c:pt idx="436">
                  <c:v>-4.4138483896144956E-2</c:v>
                </c:pt>
                <c:pt idx="437">
                  <c:v>-4.4313929771907394E-2</c:v>
                </c:pt>
                <c:pt idx="438">
                  <c:v>-4.5532327124848573E-2</c:v>
                </c:pt>
                <c:pt idx="439">
                  <c:v>-4.4293458346972465E-2</c:v>
                </c:pt>
                <c:pt idx="440">
                  <c:v>-4.3334587664465941E-2</c:v>
                </c:pt>
                <c:pt idx="441">
                  <c:v>-4.4379001907901276E-2</c:v>
                </c:pt>
                <c:pt idx="442">
                  <c:v>-4.3756861048881851E-2</c:v>
                </c:pt>
                <c:pt idx="443">
                  <c:v>-4.3075197195440736E-2</c:v>
                </c:pt>
                <c:pt idx="444">
                  <c:v>-4.3620069458357405E-2</c:v>
                </c:pt>
                <c:pt idx="445">
                  <c:v>-4.5494567393525316E-2</c:v>
                </c:pt>
                <c:pt idx="446">
                  <c:v>-4.6119357723692918E-2</c:v>
                </c:pt>
                <c:pt idx="447">
                  <c:v>-4.5078091333209357E-2</c:v>
                </c:pt>
                <c:pt idx="448">
                  <c:v>-4.680218787622769E-2</c:v>
                </c:pt>
                <c:pt idx="449">
                  <c:v>-4.6732818910308414E-2</c:v>
                </c:pt>
                <c:pt idx="450">
                  <c:v>-4.7460858913144929E-2</c:v>
                </c:pt>
                <c:pt idx="451">
                  <c:v>-4.7025009155529041E-2</c:v>
                </c:pt>
                <c:pt idx="452">
                  <c:v>-4.607590786476852E-2</c:v>
                </c:pt>
                <c:pt idx="453">
                  <c:v>-4.5981333089934073E-2</c:v>
                </c:pt>
                <c:pt idx="454">
                  <c:v>-4.4776812080233645E-2</c:v>
                </c:pt>
                <c:pt idx="455">
                  <c:v>-4.5807310836622067E-2</c:v>
                </c:pt>
                <c:pt idx="456">
                  <c:v>-4.4450232994723199E-2</c:v>
                </c:pt>
                <c:pt idx="457">
                  <c:v>-4.3095905180259006E-2</c:v>
                </c:pt>
                <c:pt idx="458">
                  <c:v>-4.3104369314675248E-2</c:v>
                </c:pt>
                <c:pt idx="459">
                  <c:v>-4.2947815711430415E-2</c:v>
                </c:pt>
                <c:pt idx="460">
                  <c:v>-4.2790457827219887E-2</c:v>
                </c:pt>
                <c:pt idx="461">
                  <c:v>-4.2844919520643919E-2</c:v>
                </c:pt>
                <c:pt idx="462">
                  <c:v>-4.3046378113204477E-2</c:v>
                </c:pt>
                <c:pt idx="463">
                  <c:v>-4.046550125667011E-2</c:v>
                </c:pt>
                <c:pt idx="464">
                  <c:v>-4.200909902831456E-2</c:v>
                </c:pt>
                <c:pt idx="465">
                  <c:v>-4.0323926783861271E-2</c:v>
                </c:pt>
                <c:pt idx="466">
                  <c:v>-3.7488489920571189E-2</c:v>
                </c:pt>
                <c:pt idx="467">
                  <c:v>-3.6123316718048817E-2</c:v>
                </c:pt>
                <c:pt idx="468">
                  <c:v>-3.7334473764787934E-2</c:v>
                </c:pt>
                <c:pt idx="469">
                  <c:v>-3.5198564062873222E-2</c:v>
                </c:pt>
                <c:pt idx="470">
                  <c:v>-3.4763514679291133E-2</c:v>
                </c:pt>
                <c:pt idx="471">
                  <c:v>-3.3966577568975351E-2</c:v>
                </c:pt>
                <c:pt idx="472">
                  <c:v>-3.2392913760184605E-2</c:v>
                </c:pt>
                <c:pt idx="473">
                  <c:v>-3.1699178721100472E-2</c:v>
                </c:pt>
                <c:pt idx="474">
                  <c:v>-3.091343838385786E-2</c:v>
                </c:pt>
                <c:pt idx="475">
                  <c:v>-3.1555383712293467E-2</c:v>
                </c:pt>
                <c:pt idx="476">
                  <c:v>-2.9979702455822876E-2</c:v>
                </c:pt>
                <c:pt idx="477">
                  <c:v>-3.0113464908446717E-2</c:v>
                </c:pt>
                <c:pt idx="478">
                  <c:v>-2.963063288767543E-2</c:v>
                </c:pt>
                <c:pt idx="479">
                  <c:v>-2.8450862415248159E-2</c:v>
                </c:pt>
                <c:pt idx="480">
                  <c:v>-2.5539964243819595E-2</c:v>
                </c:pt>
                <c:pt idx="481">
                  <c:v>-2.5597981565430486E-2</c:v>
                </c:pt>
                <c:pt idx="482">
                  <c:v>-2.2010206535221347E-2</c:v>
                </c:pt>
                <c:pt idx="483">
                  <c:v>-1.6146935778051832E-2</c:v>
                </c:pt>
                <c:pt idx="484">
                  <c:v>-1.4320937116299993E-2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0D-4AF0-9B78-6930AD123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538368"/>
        <c:axId val="502108768"/>
      </c:lineChart>
      <c:dateAx>
        <c:axId val="633538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08768"/>
        <c:crosses val="autoZero"/>
        <c:auto val="1"/>
        <c:lblOffset val="100"/>
        <c:baseTimeUnit val="days"/>
      </c:dateAx>
      <c:valAx>
        <c:axId val="5021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3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BF7E5B-4B48-43ED-ACB9-F67F29FF4F40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BBC4A-5043-4EAB-B78B-2EE505780F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29.85</v>
      </c>
      <c r="D2" s="4">
        <f>MIN(D3:D1912)</f>
        <v>1.3340000000000001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3.855</v>
      </c>
      <c r="C5">
        <v>3.9079999999999999</v>
      </c>
      <c r="D5">
        <v>3.835</v>
      </c>
      <c r="E5">
        <v>3.847</v>
      </c>
      <c r="F5">
        <v>9438.5</v>
      </c>
      <c r="G5">
        <v>3.847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-0.67123287671232823</v>
      </c>
      <c r="Q5">
        <f t="shared" ref="Q5" si="1">F5*P5</f>
        <v>-6335.4315068493097</v>
      </c>
      <c r="R5">
        <f t="shared" ref="R5" si="2">R6+Q5</f>
        <v>-16649976.672637759</v>
      </c>
      <c r="S5">
        <f t="shared" ref="S5" si="3">R5/100000</f>
        <v>-166.4997667263776</v>
      </c>
      <c r="T5">
        <f t="shared" ref="T5" si="4">S5/1000</f>
        <v>-0.16649976672637759</v>
      </c>
    </row>
    <row r="6" spans="1:20" x14ac:dyDescent="0.25">
      <c r="A6" s="5">
        <v>44587</v>
      </c>
      <c r="B6">
        <v>3.8069999999999999</v>
      </c>
      <c r="C6">
        <v>4.1929999999999996</v>
      </c>
      <c r="D6">
        <v>3.7509999999999999</v>
      </c>
      <c r="E6">
        <v>3.8580000000000001</v>
      </c>
      <c r="F6">
        <v>691082</v>
      </c>
      <c r="G6">
        <v>3.8580000000000001</v>
      </c>
      <c r="L6" t="s">
        <v>7</v>
      </c>
      <c r="M6" t="s">
        <v>8</v>
      </c>
      <c r="N6" t="s">
        <v>8</v>
      </c>
      <c r="P6">
        <f t="shared" ref="P6" si="5">IF(C6=D6,0,((E6-D6)-(C6-E6))/(C6-D6))</f>
        <v>-0.51583710407239691</v>
      </c>
      <c r="Q6">
        <f t="shared" ref="Q6" si="6">F6*P6</f>
        <v>-356485.7375565602</v>
      </c>
      <c r="R6">
        <f t="shared" ref="R6" si="7">R7+Q6</f>
        <v>-16643641.241130909</v>
      </c>
      <c r="S6">
        <f t="shared" ref="S6" si="8">R6/100000</f>
        <v>-166.43641241130908</v>
      </c>
      <c r="T6">
        <f t="shared" ref="T6" si="9">S6/1000</f>
        <v>-0.16643641241130908</v>
      </c>
    </row>
    <row r="7" spans="1:20" x14ac:dyDescent="0.25">
      <c r="A7" s="5">
        <v>44586</v>
      </c>
      <c r="B7">
        <v>3.5659999999999998</v>
      </c>
      <c r="C7">
        <v>4.18</v>
      </c>
      <c r="D7">
        <v>3.4660000000000002</v>
      </c>
      <c r="E7">
        <v>3.8119999999999998</v>
      </c>
      <c r="F7">
        <v>1070449.8</v>
      </c>
      <c r="G7">
        <v>3.8119999999999998</v>
      </c>
      <c r="L7" t="s">
        <v>8</v>
      </c>
      <c r="M7" t="s">
        <v>8</v>
      </c>
      <c r="N7" t="s">
        <v>8</v>
      </c>
      <c r="P7">
        <f t="shared" ref="P7" si="10">IF(C7=D7,0,((E7-D7)-(C7-E7))/(C7-D7))</f>
        <v>-3.0812324929972348E-2</v>
      </c>
      <c r="Q7">
        <f t="shared" ref="Q7" si="11">F7*P7</f>
        <v>-32983.047058823919</v>
      </c>
      <c r="R7">
        <f t="shared" ref="R7" si="12">R8+Q7</f>
        <v>-16287155.503574349</v>
      </c>
      <c r="S7">
        <f t="shared" ref="S7" si="13">R7/100000</f>
        <v>-162.87155503574348</v>
      </c>
      <c r="T7">
        <f t="shared" ref="T7" si="14">S7/1000</f>
        <v>-0.16287155503574349</v>
      </c>
    </row>
    <row r="8" spans="1:20" x14ac:dyDescent="0.25">
      <c r="A8" s="5">
        <v>44585</v>
      </c>
      <c r="B8">
        <v>3.5569999999999999</v>
      </c>
      <c r="C8">
        <v>3.6150000000000002</v>
      </c>
      <c r="D8">
        <v>3.0609999999999999</v>
      </c>
      <c r="E8">
        <v>3.5659999999999998</v>
      </c>
      <c r="F8">
        <v>582035.9</v>
      </c>
      <c r="G8">
        <v>3.5659999999999998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0.82310469314079293</v>
      </c>
      <c r="Q8">
        <f t="shared" ref="Q8" si="16">F8*P8</f>
        <v>479076.48086642526</v>
      </c>
      <c r="R8">
        <f t="shared" ref="R8" si="17">R9+Q8</f>
        <v>-16254172.456515525</v>
      </c>
      <c r="S8">
        <f t="shared" ref="S8" si="18">R8/100000</f>
        <v>-162.54172456515525</v>
      </c>
      <c r="T8">
        <f t="shared" ref="T8" si="19">S8/1000</f>
        <v>-0.16254172456515525</v>
      </c>
    </row>
    <row r="9" spans="1:20" x14ac:dyDescent="0.25">
      <c r="A9" s="5">
        <v>44584</v>
      </c>
      <c r="B9">
        <v>3.3660000000000001</v>
      </c>
      <c r="C9">
        <v>3.7</v>
      </c>
      <c r="D9">
        <v>3.3090000000000002</v>
      </c>
      <c r="E9">
        <v>3.5569999999999999</v>
      </c>
      <c r="F9">
        <v>550741.9</v>
      </c>
      <c r="G9">
        <v>3.5569999999999999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0.26854219948848984</v>
      </c>
      <c r="Q9">
        <f t="shared" ref="Q9" si="21">F9*P9</f>
        <v>147897.44117646993</v>
      </c>
      <c r="R9">
        <f t="shared" ref="R9" si="22">R10+Q9</f>
        <v>-16733248.937381949</v>
      </c>
      <c r="S9">
        <f t="shared" ref="S9" si="23">R9/100000</f>
        <v>-167.3324893738195</v>
      </c>
      <c r="T9">
        <f t="shared" ref="T9" si="24">S9/1000</f>
        <v>-0.1673324893738195</v>
      </c>
    </row>
    <row r="10" spans="1:20" x14ac:dyDescent="0.25">
      <c r="A10" s="5">
        <v>44583</v>
      </c>
      <c r="B10">
        <v>3.8570000000000002</v>
      </c>
      <c r="C10">
        <v>4.0090000000000003</v>
      </c>
      <c r="D10">
        <v>3.1059999999999999</v>
      </c>
      <c r="E10">
        <v>3.3730000000000002</v>
      </c>
      <c r="F10">
        <v>1295821.8</v>
      </c>
      <c r="G10">
        <v>3.3730000000000002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-0.40863787375415234</v>
      </c>
      <c r="Q10">
        <f t="shared" ref="Q10" si="26">F10*P10</f>
        <v>-529521.86511627841</v>
      </c>
      <c r="R10">
        <f t="shared" ref="R10" si="27">R11+Q10</f>
        <v>-16881146.37855842</v>
      </c>
      <c r="S10">
        <f t="shared" ref="S10" si="28">R10/100000</f>
        <v>-168.81146378558421</v>
      </c>
      <c r="T10">
        <f t="shared" ref="T10" si="29">S10/1000</f>
        <v>-0.1688114637855842</v>
      </c>
    </row>
    <row r="11" spans="1:20" x14ac:dyDescent="0.25">
      <c r="A11" s="5">
        <v>44582</v>
      </c>
      <c r="B11">
        <v>4.6479999999999997</v>
      </c>
      <c r="C11">
        <v>4.6669999999999998</v>
      </c>
      <c r="D11">
        <v>3.7069999999999999</v>
      </c>
      <c r="E11">
        <v>3.8650000000000002</v>
      </c>
      <c r="F11">
        <v>727665.5</v>
      </c>
      <c r="G11">
        <v>3.8650000000000002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-0.67083333333333262</v>
      </c>
      <c r="Q11">
        <f t="shared" ref="Q11" si="31">F11*P11</f>
        <v>-488142.27291666612</v>
      </c>
      <c r="R11">
        <f t="shared" ref="R11" si="32">R12+Q11</f>
        <v>-16351624.51344214</v>
      </c>
      <c r="S11">
        <f t="shared" ref="S11" si="33">R11/100000</f>
        <v>-163.51624513442141</v>
      </c>
      <c r="T11">
        <f t="shared" ref="T11" si="34">S11/1000</f>
        <v>-0.16351624513442142</v>
      </c>
    </row>
    <row r="12" spans="1:20" x14ac:dyDescent="0.25">
      <c r="A12" s="5">
        <v>44581</v>
      </c>
      <c r="B12">
        <v>4.726</v>
      </c>
      <c r="C12">
        <v>4.9569999999999999</v>
      </c>
      <c r="D12">
        <v>4.6369999999999996</v>
      </c>
      <c r="E12">
        <v>4.6520000000000001</v>
      </c>
      <c r="F12">
        <v>199219.4</v>
      </c>
      <c r="G12">
        <v>4.6520000000000001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-0.90624999999999656</v>
      </c>
      <c r="Q12">
        <f t="shared" ref="Q12" si="36">F12*P12</f>
        <v>-180542.58124999932</v>
      </c>
      <c r="R12">
        <f t="shared" ref="R12" si="37">R13+Q12</f>
        <v>-15863482.240525475</v>
      </c>
      <c r="S12">
        <f t="shared" ref="S12" si="38">R12/100000</f>
        <v>-158.63482240525474</v>
      </c>
      <c r="T12">
        <f t="shared" ref="T12" si="39">S12/1000</f>
        <v>-0.15863482240525473</v>
      </c>
    </row>
    <row r="13" spans="1:20" x14ac:dyDescent="0.25">
      <c r="A13" s="5">
        <v>44580</v>
      </c>
      <c r="B13">
        <v>4.883</v>
      </c>
      <c r="C13">
        <v>4.97</v>
      </c>
      <c r="D13">
        <v>4.6500000000000004</v>
      </c>
      <c r="E13">
        <v>4.7229999999999999</v>
      </c>
      <c r="F13">
        <v>372331.2</v>
      </c>
      <c r="G13">
        <v>4.7229999999999999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-0.54375000000000218</v>
      </c>
      <c r="Q13">
        <f t="shared" ref="Q13" si="41">F13*P13</f>
        <v>-202455.09000000081</v>
      </c>
      <c r="R13">
        <f t="shared" ref="R13" si="42">R14+Q13</f>
        <v>-15682939.659275476</v>
      </c>
      <c r="S13">
        <f t="shared" ref="S13" si="43">R13/100000</f>
        <v>-156.82939659275476</v>
      </c>
      <c r="T13">
        <f t="shared" ref="T13" si="44">S13/1000</f>
        <v>-0.15682939659275477</v>
      </c>
    </row>
    <row r="14" spans="1:20" x14ac:dyDescent="0.25">
      <c r="A14" s="5">
        <v>44579</v>
      </c>
      <c r="B14">
        <v>5.0549999999999997</v>
      </c>
      <c r="C14">
        <v>5.15</v>
      </c>
      <c r="D14">
        <v>4.59</v>
      </c>
      <c r="E14">
        <v>4.8840000000000003</v>
      </c>
      <c r="F14">
        <v>465104.1</v>
      </c>
      <c r="G14">
        <v>4.8840000000000003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5.0000000000000794E-2</v>
      </c>
      <c r="Q14">
        <f t="shared" ref="Q14" si="46">F14*P14</f>
        <v>23255.205000000369</v>
      </c>
      <c r="R14">
        <f t="shared" ref="R14" si="47">R15+Q14</f>
        <v>-15480484.569275474</v>
      </c>
      <c r="S14">
        <f t="shared" ref="S14" si="48">R14/100000</f>
        <v>-154.80484569275475</v>
      </c>
      <c r="T14">
        <f t="shared" ref="T14" si="49">S14/1000</f>
        <v>-0.15480484569275477</v>
      </c>
    </row>
    <row r="15" spans="1:20" x14ac:dyDescent="0.25">
      <c r="A15" s="5">
        <v>44578</v>
      </c>
      <c r="B15">
        <v>5.2009999999999996</v>
      </c>
      <c r="C15">
        <v>5.2869999999999999</v>
      </c>
      <c r="D15">
        <v>4.79</v>
      </c>
      <c r="E15">
        <v>5.0620000000000003</v>
      </c>
      <c r="F15">
        <v>466045.9</v>
      </c>
      <c r="G15">
        <v>5.0620000000000003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9.4567404426560572E-2</v>
      </c>
      <c r="Q15">
        <f t="shared" ref="Q15" si="51">F15*P15</f>
        <v>44072.751106640411</v>
      </c>
      <c r="R15">
        <f t="shared" ref="R15" si="52">R16+Q15</f>
        <v>-15503739.774275474</v>
      </c>
      <c r="S15">
        <f t="shared" ref="S15" si="53">R15/100000</f>
        <v>-155.03739774275473</v>
      </c>
      <c r="T15">
        <f t="shared" ref="T15" si="54">S15/1000</f>
        <v>-0.15503739774275474</v>
      </c>
    </row>
    <row r="16" spans="1:20" x14ac:dyDescent="0.25">
      <c r="A16" s="5">
        <v>44577</v>
      </c>
      <c r="B16">
        <v>5.0789999999999997</v>
      </c>
      <c r="C16">
        <v>5.2990000000000004</v>
      </c>
      <c r="D16">
        <v>5.05</v>
      </c>
      <c r="E16">
        <v>5.1840000000000002</v>
      </c>
      <c r="F16">
        <v>224930.2</v>
      </c>
      <c r="G16">
        <v>5.1840000000000002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7.6305220883534475E-2</v>
      </c>
      <c r="Q16">
        <f t="shared" ref="Q16" si="56">F16*P16</f>
        <v>17163.348594377589</v>
      </c>
      <c r="R16">
        <f t="shared" ref="R16" si="57">R17+Q16</f>
        <v>-15547812.525382115</v>
      </c>
      <c r="S16">
        <f t="shared" ref="S16" si="58">R16/100000</f>
        <v>-155.47812525382113</v>
      </c>
      <c r="T16">
        <f t="shared" ref="T16" si="59">S16/1000</f>
        <v>-0.15547812525382113</v>
      </c>
    </row>
    <row r="17" spans="1:20" x14ac:dyDescent="0.25">
      <c r="A17" s="5">
        <v>44576</v>
      </c>
      <c r="B17">
        <v>4.8380000000000001</v>
      </c>
      <c r="C17">
        <v>5.4269999999999996</v>
      </c>
      <c r="D17">
        <v>4.7830000000000004</v>
      </c>
      <c r="E17">
        <v>5.085</v>
      </c>
      <c r="F17">
        <v>462840.5</v>
      </c>
      <c r="G17">
        <v>5.085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-6.2111801242236156E-2</v>
      </c>
      <c r="Q17">
        <f t="shared" ref="Q17" si="61">F17*P17</f>
        <v>-28747.857142857203</v>
      </c>
      <c r="R17">
        <f t="shared" ref="R17" si="62">R18+Q17</f>
        <v>-15564975.873976491</v>
      </c>
      <c r="S17">
        <f t="shared" ref="S17" si="63">R17/100000</f>
        <v>-155.64975873976491</v>
      </c>
      <c r="T17">
        <f t="shared" ref="T17" si="64">S17/1000</f>
        <v>-0.15564975873976492</v>
      </c>
    </row>
    <row r="18" spans="1:20" x14ac:dyDescent="0.25">
      <c r="A18" s="5">
        <v>44575</v>
      </c>
      <c r="B18">
        <v>4.742</v>
      </c>
      <c r="C18">
        <v>4.9950000000000001</v>
      </c>
      <c r="D18">
        <v>4.6070000000000002</v>
      </c>
      <c r="E18">
        <v>4.8410000000000002</v>
      </c>
      <c r="F18">
        <v>299858.7</v>
      </c>
      <c r="G18">
        <v>4.8410000000000002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0.20618556701030952</v>
      </c>
      <c r="Q18">
        <f t="shared" ref="Q18" si="66">F18*P18</f>
        <v>61826.536082474304</v>
      </c>
      <c r="R18">
        <f t="shared" ref="R18" si="67">R19+Q18</f>
        <v>-15536228.016833635</v>
      </c>
      <c r="S18">
        <f t="shared" ref="S18" si="68">R18/100000</f>
        <v>-155.36228016833635</v>
      </c>
      <c r="T18">
        <f t="shared" ref="T18" si="69">S18/1000</f>
        <v>-0.15536228016833636</v>
      </c>
    </row>
    <row r="19" spans="1:20" x14ac:dyDescent="0.25">
      <c r="A19" s="5">
        <v>44574</v>
      </c>
      <c r="B19">
        <v>4.9640000000000004</v>
      </c>
      <c r="C19">
        <v>5.0229999999999997</v>
      </c>
      <c r="D19">
        <v>4.6539999999999999</v>
      </c>
      <c r="E19">
        <v>4.7409999999999997</v>
      </c>
      <c r="F19">
        <v>501938.2</v>
      </c>
      <c r="G19">
        <v>4.7409999999999997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-0.52845528455284663</v>
      </c>
      <c r="Q19">
        <f t="shared" ref="Q19" si="71">F19*P19</f>
        <v>-265251.89430894365</v>
      </c>
      <c r="R19">
        <f t="shared" ref="R19" si="72">R20+Q19</f>
        <v>-15598054.55291611</v>
      </c>
      <c r="S19">
        <f t="shared" ref="S19" si="73">R19/100000</f>
        <v>-155.98054552916111</v>
      </c>
      <c r="T19">
        <f t="shared" ref="T19" si="74">S19/1000</f>
        <v>-0.1559805455291611</v>
      </c>
    </row>
    <row r="20" spans="1:20" x14ac:dyDescent="0.25">
      <c r="A20" s="5">
        <v>44573</v>
      </c>
      <c r="B20">
        <v>4.7910000000000004</v>
      </c>
      <c r="C20">
        <v>5.1040000000000001</v>
      </c>
      <c r="D20">
        <v>4.6980000000000004</v>
      </c>
      <c r="E20">
        <v>4.9619999999999997</v>
      </c>
      <c r="F20">
        <v>371944.4</v>
      </c>
      <c r="G20">
        <v>4.9619999999999997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0.30049261083743617</v>
      </c>
      <c r="Q20">
        <f t="shared" ref="Q20" si="76">F20*P20</f>
        <v>111766.5438423637</v>
      </c>
      <c r="R20">
        <f t="shared" ref="R20" si="77">R21+Q20</f>
        <v>-15332802.658607166</v>
      </c>
      <c r="S20">
        <f t="shared" ref="S20" si="78">R20/100000</f>
        <v>-153.32802658607167</v>
      </c>
      <c r="T20">
        <f t="shared" ref="T20" si="79">S20/1000</f>
        <v>-0.15332802658607167</v>
      </c>
    </row>
    <row r="21" spans="1:20" x14ac:dyDescent="0.25">
      <c r="A21" s="5">
        <v>44572</v>
      </c>
      <c r="B21">
        <v>4.6399999999999997</v>
      </c>
      <c r="C21">
        <v>5</v>
      </c>
      <c r="D21">
        <v>4.5890000000000004</v>
      </c>
      <c r="E21">
        <v>4.7910000000000004</v>
      </c>
      <c r="F21">
        <v>397135</v>
      </c>
      <c r="G21">
        <v>4.7910000000000004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-1.7031630170315525E-2</v>
      </c>
      <c r="Q21">
        <f t="shared" ref="Q21" si="81">F21*P21</f>
        <v>-6763.8564476882557</v>
      </c>
      <c r="R21">
        <f t="shared" ref="R21" si="82">R22+Q21</f>
        <v>-15444569.20244953</v>
      </c>
      <c r="S21">
        <f t="shared" ref="S21" si="83">R21/100000</f>
        <v>-154.44569202449532</v>
      </c>
      <c r="T21">
        <f t="shared" ref="T21" si="84">S21/1000</f>
        <v>-0.15444569202449532</v>
      </c>
    </row>
    <row r="22" spans="1:20" x14ac:dyDescent="0.25">
      <c r="A22" s="5">
        <v>44571</v>
      </c>
      <c r="B22">
        <v>4.9459999999999997</v>
      </c>
      <c r="C22">
        <v>5.1059999999999999</v>
      </c>
      <c r="D22">
        <v>4.4160000000000004</v>
      </c>
      <c r="E22">
        <v>4.6449999999999996</v>
      </c>
      <c r="F22">
        <v>423929.3</v>
      </c>
      <c r="G22">
        <v>4.6449999999999996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-0.33623188405797283</v>
      </c>
      <c r="Q22">
        <f t="shared" ref="Q22" si="86">F22*P22</f>
        <v>-142538.54724637757</v>
      </c>
      <c r="R22">
        <f t="shared" ref="R22" si="87">R23+Q22</f>
        <v>-15437805.346001843</v>
      </c>
      <c r="S22">
        <f t="shared" ref="S22" si="88">R22/100000</f>
        <v>-154.37805346001844</v>
      </c>
      <c r="T22">
        <f t="shared" ref="T22" si="89">S22/1000</f>
        <v>-0.15437805346001843</v>
      </c>
    </row>
    <row r="23" spans="1:20" x14ac:dyDescent="0.25">
      <c r="A23" s="5">
        <v>44570</v>
      </c>
      <c r="B23">
        <v>4.8120000000000003</v>
      </c>
      <c r="C23">
        <v>5.0449999999999999</v>
      </c>
      <c r="D23">
        <v>4.766</v>
      </c>
      <c r="E23">
        <v>4.9489999999999998</v>
      </c>
      <c r="F23">
        <v>216928.7</v>
      </c>
      <c r="G23">
        <v>4.9489999999999998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0.31182795698924648</v>
      </c>
      <c r="Q23">
        <f t="shared" ref="Q23" si="91">F23*P23</f>
        <v>67644.43333333316</v>
      </c>
      <c r="R23">
        <f t="shared" ref="R23" si="92">R24+Q23</f>
        <v>-15295266.798755465</v>
      </c>
      <c r="S23">
        <f t="shared" ref="S23" si="93">R23/100000</f>
        <v>-152.95266798755466</v>
      </c>
      <c r="T23">
        <f t="shared" ref="T23" si="94">S23/1000</f>
        <v>-0.15295266798755466</v>
      </c>
    </row>
    <row r="24" spans="1:20" x14ac:dyDescent="0.25">
      <c r="A24" s="5">
        <v>44569</v>
      </c>
      <c r="B24">
        <v>5.0170000000000003</v>
      </c>
      <c r="C24">
        <v>5.4</v>
      </c>
      <c r="D24">
        <v>4.6459999999999999</v>
      </c>
      <c r="E24">
        <v>4.8120000000000003</v>
      </c>
      <c r="F24">
        <v>327392.3</v>
      </c>
      <c r="G24">
        <v>4.8120000000000003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-0.55968169761273134</v>
      </c>
      <c r="Q24">
        <f t="shared" ref="Q24" si="96">F24*P24</f>
        <v>-183235.47824933662</v>
      </c>
      <c r="R24">
        <f t="shared" ref="R24" si="97">R25+Q24</f>
        <v>-15362911.232088799</v>
      </c>
      <c r="S24">
        <f t="shared" ref="S24" si="98">R24/100000</f>
        <v>-153.629112320888</v>
      </c>
      <c r="T24">
        <f t="shared" ref="T24" si="99">S24/1000</f>
        <v>-0.15362911232088799</v>
      </c>
    </row>
    <row r="25" spans="1:20" x14ac:dyDescent="0.25">
      <c r="A25" s="5">
        <v>44568</v>
      </c>
      <c r="B25">
        <v>5.4370000000000003</v>
      </c>
      <c r="C25">
        <v>5.6</v>
      </c>
      <c r="D25">
        <v>4.9550000000000001</v>
      </c>
      <c r="E25">
        <v>5.0129999999999999</v>
      </c>
      <c r="F25">
        <v>457117.1</v>
      </c>
      <c r="G25">
        <v>5.0129999999999999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-0.82015503875969031</v>
      </c>
      <c r="Q25">
        <f t="shared" ref="Q25" si="101">F25*P25</f>
        <v>-374906.8928682172</v>
      </c>
      <c r="R25">
        <f t="shared" ref="R25" si="102">R26+Q25</f>
        <v>-15179675.753839461</v>
      </c>
      <c r="S25">
        <f t="shared" ref="S25" si="103">R25/100000</f>
        <v>-151.79675753839462</v>
      </c>
      <c r="T25">
        <f t="shared" ref="T25" si="104">S25/1000</f>
        <v>-0.15179675753839461</v>
      </c>
    </row>
    <row r="26" spans="1:20" x14ac:dyDescent="0.25">
      <c r="A26" s="5">
        <v>44567</v>
      </c>
      <c r="B26">
        <v>5.4260000000000002</v>
      </c>
      <c r="C26">
        <v>5.5209999999999999</v>
      </c>
      <c r="D26">
        <v>5.0510000000000002</v>
      </c>
      <c r="E26">
        <v>5.4370000000000003</v>
      </c>
      <c r="F26">
        <v>369972.8</v>
      </c>
      <c r="G26">
        <v>5.4370000000000003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0.64255319148936307</v>
      </c>
      <c r="Q26">
        <f t="shared" ref="Q26" si="106">F26*P26</f>
        <v>237727.20340425582</v>
      </c>
      <c r="R26">
        <f t="shared" ref="R26" si="107">R27+Q26</f>
        <v>-14804768.860971244</v>
      </c>
      <c r="S26">
        <f t="shared" ref="S26" si="108">R26/100000</f>
        <v>-148.04768860971245</v>
      </c>
      <c r="T26">
        <f t="shared" ref="T26" si="109">S26/1000</f>
        <v>-0.14804768860971246</v>
      </c>
    </row>
    <row r="27" spans="1:20" x14ac:dyDescent="0.25">
      <c r="A27" s="5">
        <v>44566</v>
      </c>
      <c r="B27">
        <v>5.8719999999999999</v>
      </c>
      <c r="C27">
        <v>6.2130000000000001</v>
      </c>
      <c r="D27">
        <v>5.2030000000000003</v>
      </c>
      <c r="E27">
        <v>5.4160000000000004</v>
      </c>
      <c r="F27">
        <v>481554.5</v>
      </c>
      <c r="G27">
        <v>5.4160000000000004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-0.57821782178217795</v>
      </c>
      <c r="Q27">
        <f t="shared" ref="Q27" si="111">F27*P27</f>
        <v>-278443.39405940584</v>
      </c>
      <c r="R27">
        <f t="shared" ref="R27" si="112">R28+Q27</f>
        <v>-15042496.064375499</v>
      </c>
      <c r="S27">
        <f t="shared" ref="S27" si="113">R27/100000</f>
        <v>-150.42496064375499</v>
      </c>
      <c r="T27">
        <f t="shared" ref="T27" si="114">S27/1000</f>
        <v>-0.15042496064375499</v>
      </c>
    </row>
    <row r="28" spans="1:20" x14ac:dyDescent="0.25">
      <c r="A28" s="5">
        <v>44565</v>
      </c>
      <c r="B28">
        <v>5.7949999999999999</v>
      </c>
      <c r="C28">
        <v>6.23</v>
      </c>
      <c r="D28">
        <v>5.6849999999999996</v>
      </c>
      <c r="E28">
        <v>5.875</v>
      </c>
      <c r="F28">
        <v>412545</v>
      </c>
      <c r="G28">
        <v>5.875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-0.30275229357798128</v>
      </c>
      <c r="Q28">
        <f t="shared" ref="Q28" si="116">F28*P28</f>
        <v>-124898.94495412828</v>
      </c>
      <c r="R28">
        <f t="shared" ref="R28" si="117">R29+Q28</f>
        <v>-14764052.670316093</v>
      </c>
      <c r="S28">
        <f t="shared" ref="S28" si="118">R28/100000</f>
        <v>-147.64052670316093</v>
      </c>
      <c r="T28">
        <f t="shared" ref="T28" si="119">S28/1000</f>
        <v>-0.14764052670316094</v>
      </c>
    </row>
    <row r="29" spans="1:20" x14ac:dyDescent="0.25">
      <c r="A29" s="5">
        <v>44564</v>
      </c>
      <c r="B29">
        <v>6.0510000000000002</v>
      </c>
      <c r="C29">
        <v>6.19</v>
      </c>
      <c r="D29">
        <v>5.6829999999999998</v>
      </c>
      <c r="E29">
        <v>5.7869999999999999</v>
      </c>
      <c r="F29">
        <v>455408.8</v>
      </c>
      <c r="G29">
        <v>5.7869999999999999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-0.58974358974358987</v>
      </c>
      <c r="Q29">
        <f t="shared" ref="Q29" si="121">F29*P29</f>
        <v>-268574.42051282054</v>
      </c>
      <c r="R29">
        <f t="shared" ref="R29" si="122">R30+Q29</f>
        <v>-14639153.725361964</v>
      </c>
      <c r="S29">
        <f t="shared" ref="S29" si="123">R29/100000</f>
        <v>-146.39153725361965</v>
      </c>
      <c r="T29">
        <f t="shared" ref="T29" si="124">S29/1000</f>
        <v>-0.14639153725361964</v>
      </c>
    </row>
    <row r="30" spans="1:20" x14ac:dyDescent="0.25">
      <c r="A30" s="5">
        <v>44563</v>
      </c>
      <c r="B30">
        <v>6.29</v>
      </c>
      <c r="C30">
        <v>6.3650000000000002</v>
      </c>
      <c r="D30">
        <v>6.0430000000000001</v>
      </c>
      <c r="E30">
        <v>6.0519999999999996</v>
      </c>
      <c r="F30">
        <v>487506.2</v>
      </c>
      <c r="G30">
        <v>6.0519999999999996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-0.94409937888199102</v>
      </c>
      <c r="Q30">
        <f t="shared" ref="Q30" si="126">F30*P30</f>
        <v>-460254.30062111968</v>
      </c>
      <c r="R30">
        <f t="shared" ref="R30" si="127">R31+Q30</f>
        <v>-14370579.304849144</v>
      </c>
      <c r="S30">
        <f t="shared" ref="S30" si="128">R30/100000</f>
        <v>-143.70579304849144</v>
      </c>
      <c r="T30">
        <f t="shared" ref="T30" si="129">S30/1000</f>
        <v>-0.14370579304849143</v>
      </c>
    </row>
    <row r="31" spans="1:20" x14ac:dyDescent="0.25">
      <c r="A31" s="5">
        <v>44562</v>
      </c>
      <c r="B31">
        <v>6.4249999999999998</v>
      </c>
      <c r="C31">
        <v>6.9779999999999998</v>
      </c>
      <c r="D31">
        <v>6.1779999999999999</v>
      </c>
      <c r="E31">
        <v>6.2869999999999999</v>
      </c>
      <c r="F31">
        <v>1145872.5</v>
      </c>
      <c r="G31">
        <v>6.2869999999999999</v>
      </c>
      <c r="L31" t="s">
        <v>7</v>
      </c>
      <c r="M31" t="s">
        <v>8</v>
      </c>
      <c r="N31" t="s">
        <v>8</v>
      </c>
      <c r="P31">
        <f t="shared" ref="P31" si="130">IF(C31=D31,0,((E31-D31)-(C31-E31))/(C31-D31))</f>
        <v>-0.72749999999999992</v>
      </c>
      <c r="Q31">
        <f t="shared" ref="Q31" si="131">F31*P31</f>
        <v>-833622.24374999991</v>
      </c>
      <c r="R31">
        <f t="shared" ref="R31" si="132">R32+Q31</f>
        <v>-13910325.004228024</v>
      </c>
      <c r="S31">
        <f t="shared" ref="S31" si="133">R31/100000</f>
        <v>-139.10325004228025</v>
      </c>
      <c r="T31">
        <f t="shared" ref="T31" si="134">S31/1000</f>
        <v>-0.13910325004228025</v>
      </c>
    </row>
    <row r="32" spans="1:20" x14ac:dyDescent="0.25">
      <c r="A32" s="5">
        <v>44561</v>
      </c>
      <c r="B32">
        <v>5.97</v>
      </c>
      <c r="C32">
        <v>7.351</v>
      </c>
      <c r="D32">
        <v>5.7439999999999998</v>
      </c>
      <c r="E32">
        <v>6.4240000000000004</v>
      </c>
      <c r="F32">
        <v>2422069</v>
      </c>
      <c r="G32">
        <v>6.4240000000000004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-0.15370255133789607</v>
      </c>
      <c r="Q32">
        <f t="shared" ref="Q32" si="136">F32*P32</f>
        <v>-372278.1848164266</v>
      </c>
      <c r="R32">
        <f t="shared" ref="R32" si="137">R33+Q32</f>
        <v>-13076702.760478023</v>
      </c>
      <c r="S32">
        <f t="shared" ref="S32" si="138">R32/100000</f>
        <v>-130.76702760478022</v>
      </c>
      <c r="T32">
        <f t="shared" ref="T32" si="139">S32/1000</f>
        <v>-0.13076702760478023</v>
      </c>
    </row>
    <row r="33" spans="1:20" x14ac:dyDescent="0.25">
      <c r="A33" s="5">
        <v>44560</v>
      </c>
      <c r="B33">
        <v>5.7670000000000003</v>
      </c>
      <c r="C33">
        <v>6.25</v>
      </c>
      <c r="D33">
        <v>5.4989999999999997</v>
      </c>
      <c r="E33">
        <v>5.97</v>
      </c>
      <c r="F33">
        <v>1652135.4</v>
      </c>
      <c r="G33">
        <v>5.97</v>
      </c>
      <c r="L33" t="s">
        <v>8</v>
      </c>
      <c r="M33" t="s">
        <v>8</v>
      </c>
      <c r="N33" t="s">
        <v>7</v>
      </c>
      <c r="P33">
        <f t="shared" ref="P33" si="140">IF(C33=D33,0,((E33-D33)-(C33-E33))/(C33-D33))</f>
        <v>0.25432756324900102</v>
      </c>
      <c r="Q33">
        <f t="shared" ref="Q33" si="141">F33*P33</f>
        <v>420183.5704394136</v>
      </c>
      <c r="R33">
        <f t="shared" ref="R33" si="142">R34+Q33</f>
        <v>-12704424.575661598</v>
      </c>
      <c r="S33">
        <f t="shared" ref="S33" si="143">R33/100000</f>
        <v>-127.04424575661598</v>
      </c>
      <c r="T33">
        <f t="shared" ref="T33" si="144">S33/1000</f>
        <v>-0.12704424575661599</v>
      </c>
    </row>
    <row r="34" spans="1:20" x14ac:dyDescent="0.25">
      <c r="A34" s="5">
        <v>44559</v>
      </c>
      <c r="B34">
        <v>5.2750000000000004</v>
      </c>
      <c r="C34">
        <v>5.8479999999999999</v>
      </c>
      <c r="D34">
        <v>5.12</v>
      </c>
      <c r="E34">
        <v>5.7679999999999998</v>
      </c>
      <c r="F34">
        <v>449586.5</v>
      </c>
      <c r="G34">
        <v>5.7679999999999998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0.78021978021978</v>
      </c>
      <c r="Q34">
        <f t="shared" ref="Q34" si="146">F34*P34</f>
        <v>350776.28021978011</v>
      </c>
      <c r="R34">
        <f t="shared" ref="R34" si="147">R35+Q34</f>
        <v>-13124608.146101011</v>
      </c>
      <c r="S34">
        <f t="shared" ref="S34" si="148">R34/100000</f>
        <v>-131.24608146101011</v>
      </c>
      <c r="T34">
        <f t="shared" ref="T34" si="149">S34/1000</f>
        <v>-0.13124608146101011</v>
      </c>
    </row>
    <row r="35" spans="1:20" x14ac:dyDescent="0.25">
      <c r="A35" s="5">
        <v>44558</v>
      </c>
      <c r="B35">
        <v>5.7619999999999996</v>
      </c>
      <c r="C35">
        <v>5.7619999999999996</v>
      </c>
      <c r="D35">
        <v>5.1820000000000004</v>
      </c>
      <c r="E35">
        <v>5.29</v>
      </c>
      <c r="F35">
        <v>362314</v>
      </c>
      <c r="G35">
        <v>5.29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-0.62758620689655242</v>
      </c>
      <c r="Q35">
        <f t="shared" ref="Q35" si="151">F35*P35</f>
        <v>-227383.26896551749</v>
      </c>
      <c r="R35">
        <f t="shared" ref="R35" si="152">R36+Q35</f>
        <v>-13475384.426320791</v>
      </c>
      <c r="S35">
        <f t="shared" ref="S35" si="153">R35/100000</f>
        <v>-134.75384426320792</v>
      </c>
      <c r="T35">
        <f t="shared" ref="T35" si="154">S35/1000</f>
        <v>-0.13475384426320791</v>
      </c>
    </row>
    <row r="36" spans="1:20" x14ac:dyDescent="0.25">
      <c r="A36" s="5">
        <v>44557</v>
      </c>
      <c r="B36">
        <v>5.9480000000000004</v>
      </c>
      <c r="C36">
        <v>6.05</v>
      </c>
      <c r="D36">
        <v>5.7640000000000002</v>
      </c>
      <c r="E36">
        <v>5.7640000000000002</v>
      </c>
      <c r="F36">
        <v>342983.5</v>
      </c>
      <c r="G36">
        <v>5.7640000000000002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-1</v>
      </c>
      <c r="Q36">
        <f t="shared" ref="Q36" si="156">F36*P36</f>
        <v>-342983.5</v>
      </c>
      <c r="R36">
        <f t="shared" ref="R36" si="157">R37+Q36</f>
        <v>-13248001.157355273</v>
      </c>
      <c r="S36">
        <f t="shared" ref="S36" si="158">R36/100000</f>
        <v>-132.48001157355273</v>
      </c>
      <c r="T36">
        <f t="shared" ref="T36" si="159">S36/1000</f>
        <v>-0.13248001157355274</v>
      </c>
    </row>
    <row r="37" spans="1:20" x14ac:dyDescent="0.25">
      <c r="A37" s="5">
        <v>44556</v>
      </c>
      <c r="B37">
        <v>6.0540000000000003</v>
      </c>
      <c r="C37">
        <v>6.2619999999999996</v>
      </c>
      <c r="D37">
        <v>5.8470000000000004</v>
      </c>
      <c r="E37">
        <v>5.9459999999999997</v>
      </c>
      <c r="F37">
        <v>331331.8</v>
      </c>
      <c r="G37">
        <v>5.9459999999999997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-0.52289156626506261</v>
      </c>
      <c r="Q37">
        <f t="shared" ref="Q37" si="161">F37*P37</f>
        <v>-173250.60385542247</v>
      </c>
      <c r="R37">
        <f t="shared" ref="R37" si="162">R38+Q37</f>
        <v>-12905017.657355273</v>
      </c>
      <c r="S37">
        <f t="shared" ref="S37" si="163">R37/100000</f>
        <v>-129.05017657355273</v>
      </c>
      <c r="T37">
        <f t="shared" ref="T37" si="164">S37/1000</f>
        <v>-0.12905017657355272</v>
      </c>
    </row>
    <row r="38" spans="1:20" x14ac:dyDescent="0.25">
      <c r="A38" s="5">
        <v>44555</v>
      </c>
      <c r="B38">
        <v>5.4889999999999999</v>
      </c>
      <c r="C38">
        <v>6.45</v>
      </c>
      <c r="D38">
        <v>5.4630000000000001</v>
      </c>
      <c r="E38">
        <v>6.0529999999999999</v>
      </c>
      <c r="F38">
        <v>816900.9</v>
      </c>
      <c r="G38">
        <v>6.0529999999999999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0.19554204660587599</v>
      </c>
      <c r="Q38">
        <f t="shared" ref="Q38" si="166">F38*P38</f>
        <v>159738.47386018204</v>
      </c>
      <c r="R38">
        <f t="shared" ref="R38" si="167">R39+Q38</f>
        <v>-12731767.053499851</v>
      </c>
      <c r="S38">
        <f t="shared" ref="S38" si="168">R38/100000</f>
        <v>-127.31767053499851</v>
      </c>
      <c r="T38">
        <f t="shared" ref="T38" si="169">S38/1000</f>
        <v>-0.12731767053499851</v>
      </c>
    </row>
    <row r="39" spans="1:20" x14ac:dyDescent="0.25">
      <c r="A39" s="5">
        <v>44554</v>
      </c>
      <c r="B39">
        <v>5.3390000000000004</v>
      </c>
      <c r="C39">
        <v>5.6319999999999997</v>
      </c>
      <c r="D39">
        <v>5.2430000000000003</v>
      </c>
      <c r="E39">
        <v>5.4820000000000002</v>
      </c>
      <c r="F39">
        <v>451312.7</v>
      </c>
      <c r="G39">
        <v>5.4820000000000002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0.22879177377892176</v>
      </c>
      <c r="Q39">
        <f t="shared" ref="Q39" si="171">F39*P39</f>
        <v>103256.63316195439</v>
      </c>
      <c r="R39">
        <f t="shared" ref="R39" si="172">R40+Q39</f>
        <v>-12891505.527360033</v>
      </c>
      <c r="S39">
        <f t="shared" ref="S39" si="173">R39/100000</f>
        <v>-128.91505527360033</v>
      </c>
      <c r="T39">
        <f t="shared" ref="T39" si="174">S39/1000</f>
        <v>-0.12891505527360034</v>
      </c>
    </row>
    <row r="40" spans="1:20" x14ac:dyDescent="0.25">
      <c r="A40" s="5">
        <v>44553</v>
      </c>
      <c r="B40">
        <v>5.1689999999999996</v>
      </c>
      <c r="C40">
        <v>5.476</v>
      </c>
      <c r="D40">
        <v>4.97</v>
      </c>
      <c r="E40">
        <v>5.3390000000000004</v>
      </c>
      <c r="F40">
        <v>554150.6</v>
      </c>
      <c r="G40">
        <v>5.3390000000000004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0.45849802371541698</v>
      </c>
      <c r="Q40">
        <f t="shared" ref="Q40" si="176">F40*P40</f>
        <v>254076.95494071255</v>
      </c>
      <c r="R40">
        <f t="shared" ref="R40" si="177">R41+Q40</f>
        <v>-12994762.160521988</v>
      </c>
      <c r="S40">
        <f t="shared" ref="S40" si="178">R40/100000</f>
        <v>-129.94762160521987</v>
      </c>
      <c r="T40">
        <f t="shared" ref="T40" si="179">S40/1000</f>
        <v>-0.12994762160521986</v>
      </c>
    </row>
    <row r="41" spans="1:20" x14ac:dyDescent="0.25">
      <c r="A41" s="5">
        <v>44552</v>
      </c>
      <c r="B41">
        <v>5.0730000000000004</v>
      </c>
      <c r="C41">
        <v>5.29</v>
      </c>
      <c r="D41">
        <v>5</v>
      </c>
      <c r="E41">
        <v>5.165</v>
      </c>
      <c r="F41">
        <v>414883.5</v>
      </c>
      <c r="G41">
        <v>5.165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0.13793103448275873</v>
      </c>
      <c r="Q41">
        <f t="shared" ref="Q41" si="181">F41*P41</f>
        <v>57225.310344827631</v>
      </c>
      <c r="R41">
        <f t="shared" ref="R41" si="182">R42+Q41</f>
        <v>-13248839.1154627</v>
      </c>
      <c r="S41">
        <f t="shared" ref="S41" si="183">R41/100000</f>
        <v>-132.48839115462701</v>
      </c>
      <c r="T41">
        <f t="shared" ref="T41" si="184">S41/1000</f>
        <v>-0.13248839115462702</v>
      </c>
    </row>
    <row r="42" spans="1:20" x14ac:dyDescent="0.25">
      <c r="A42" s="5">
        <v>44551</v>
      </c>
      <c r="B42">
        <v>4.9829999999999997</v>
      </c>
      <c r="C42">
        <v>5.25</v>
      </c>
      <c r="D42">
        <v>4.9180000000000001</v>
      </c>
      <c r="E42">
        <v>5.0709999999999997</v>
      </c>
      <c r="F42">
        <v>367944.5</v>
      </c>
      <c r="G42">
        <v>5.0709999999999997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-7.8313253012050305E-2</v>
      </c>
      <c r="Q42">
        <f t="shared" ref="Q42" si="186">F42*P42</f>
        <v>-28814.930722892343</v>
      </c>
      <c r="R42">
        <f t="shared" ref="R42" si="187">R43+Q42</f>
        <v>-13306064.425807528</v>
      </c>
      <c r="S42">
        <f t="shared" ref="S42" si="188">R42/100000</f>
        <v>-133.06064425807529</v>
      </c>
      <c r="T42">
        <f t="shared" ref="T42" si="189">S42/1000</f>
        <v>-0.13306064425807529</v>
      </c>
    </row>
    <row r="43" spans="1:20" x14ac:dyDescent="0.25">
      <c r="A43" s="5">
        <v>44550</v>
      </c>
      <c r="B43">
        <v>5.31</v>
      </c>
      <c r="C43">
        <v>5.31</v>
      </c>
      <c r="D43">
        <v>4.6719999999999997</v>
      </c>
      <c r="E43">
        <v>4.9690000000000003</v>
      </c>
      <c r="F43">
        <v>1045671.9</v>
      </c>
      <c r="G43">
        <v>4.9690000000000003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-6.8965517241377297E-2</v>
      </c>
      <c r="Q43">
        <f t="shared" ref="Q43" si="191">F43*P43</f>
        <v>-72115.303448273757</v>
      </c>
      <c r="R43">
        <f t="shared" ref="R43" si="192">R44+Q43</f>
        <v>-13277249.495084636</v>
      </c>
      <c r="S43">
        <f t="shared" ref="S43" si="193">R43/100000</f>
        <v>-132.77249495084635</v>
      </c>
      <c r="T43">
        <f t="shared" ref="T43" si="194">S43/1000</f>
        <v>-0.13277249495084636</v>
      </c>
    </row>
    <row r="44" spans="1:20" x14ac:dyDescent="0.25">
      <c r="A44" s="5">
        <v>44549</v>
      </c>
      <c r="B44">
        <v>5.367</v>
      </c>
      <c r="C44">
        <v>5.5</v>
      </c>
      <c r="D44">
        <v>5.2249999999999996</v>
      </c>
      <c r="E44">
        <v>5.31</v>
      </c>
      <c r="F44">
        <v>244142.6</v>
      </c>
      <c r="G44">
        <v>5.31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-0.38181818181818289</v>
      </c>
      <c r="Q44">
        <f t="shared" ref="Q44" si="196">F44*P44</f>
        <v>-93218.083636363895</v>
      </c>
      <c r="R44">
        <f t="shared" ref="R44" si="197">R45+Q44</f>
        <v>-13205134.191636363</v>
      </c>
      <c r="S44">
        <f t="shared" ref="S44" si="198">R44/100000</f>
        <v>-132.05134191636364</v>
      </c>
      <c r="T44">
        <f t="shared" ref="T44" si="199">S44/1000</f>
        <v>-0.13205134191636364</v>
      </c>
    </row>
    <row r="45" spans="1:20" x14ac:dyDescent="0.25">
      <c r="A45" s="5">
        <v>44548</v>
      </c>
      <c r="B45">
        <v>5.1740000000000004</v>
      </c>
      <c r="C45">
        <v>5.5110000000000001</v>
      </c>
      <c r="D45">
        <v>5.0679999999999996</v>
      </c>
      <c r="E45">
        <v>5.3609999999999998</v>
      </c>
      <c r="F45">
        <v>637163.6</v>
      </c>
      <c r="G45">
        <v>5.3609999999999998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0.32279909706546195</v>
      </c>
      <c r="Q45">
        <f t="shared" ref="Q45" si="201">F45*P45</f>
        <v>205675.83476297915</v>
      </c>
      <c r="R45">
        <f t="shared" ref="R45" si="202">R46+Q45</f>
        <v>-13111916.107999999</v>
      </c>
      <c r="S45">
        <f t="shared" ref="S45" si="203">R45/100000</f>
        <v>-131.11916108</v>
      </c>
      <c r="T45">
        <f t="shared" ref="T45" si="204">S45/1000</f>
        <v>-0.13111916107999999</v>
      </c>
    </row>
    <row r="46" spans="1:20" x14ac:dyDescent="0.25">
      <c r="A46" s="5">
        <v>44547</v>
      </c>
      <c r="B46">
        <v>5.74</v>
      </c>
      <c r="C46">
        <v>5.8449999999999998</v>
      </c>
      <c r="D46">
        <v>5.109</v>
      </c>
      <c r="E46">
        <v>5.1680000000000001</v>
      </c>
      <c r="F46">
        <v>791857.6</v>
      </c>
      <c r="G46">
        <v>5.1680000000000001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-0.83967391304347772</v>
      </c>
      <c r="Q46">
        <f t="shared" ref="Q46" si="206">F46*P46</f>
        <v>-664902.16956521699</v>
      </c>
      <c r="R46">
        <f t="shared" ref="R46" si="207">R47+Q46</f>
        <v>-13317591.942762978</v>
      </c>
      <c r="S46">
        <f t="shared" ref="S46" si="208">R46/100000</f>
        <v>-133.17591942762979</v>
      </c>
      <c r="T46">
        <f t="shared" ref="T46" si="209">S46/1000</f>
        <v>-0.1331759194276298</v>
      </c>
    </row>
    <row r="47" spans="1:20" x14ac:dyDescent="0.25">
      <c r="A47" s="5">
        <v>44546</v>
      </c>
      <c r="B47">
        <v>5.992</v>
      </c>
      <c r="C47">
        <v>6.0979999999999999</v>
      </c>
      <c r="D47">
        <v>5.4640000000000004</v>
      </c>
      <c r="E47">
        <v>5.7439999999999998</v>
      </c>
      <c r="F47">
        <v>803271</v>
      </c>
      <c r="G47">
        <v>5.7439999999999998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-0.11671924290220946</v>
      </c>
      <c r="Q47">
        <f t="shared" ref="Q47" si="211">F47*P47</f>
        <v>-93757.182965300701</v>
      </c>
      <c r="R47">
        <f t="shared" ref="R47" si="212">R48+Q47</f>
        <v>-12652689.773197761</v>
      </c>
      <c r="S47">
        <f t="shared" ref="S47" si="213">R47/100000</f>
        <v>-126.52689773197761</v>
      </c>
      <c r="T47">
        <f t="shared" ref="T47" si="214">S47/1000</f>
        <v>-0.12652689773197762</v>
      </c>
    </row>
    <row r="48" spans="1:20" x14ac:dyDescent="0.25">
      <c r="A48" s="5">
        <v>44545</v>
      </c>
      <c r="B48">
        <v>5.2</v>
      </c>
      <c r="C48">
        <v>6.0359999999999996</v>
      </c>
      <c r="D48">
        <v>5.1020000000000003</v>
      </c>
      <c r="E48">
        <v>5.9930000000000003</v>
      </c>
      <c r="F48">
        <v>896667.3</v>
      </c>
      <c r="G48">
        <v>5.9930000000000003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0.90792291220556898</v>
      </c>
      <c r="Q48">
        <f t="shared" ref="Q48" si="216">F48*P48</f>
        <v>814104.78629550466</v>
      </c>
      <c r="R48">
        <f t="shared" ref="R48" si="217">R49+Q48</f>
        <v>-12558932.59023246</v>
      </c>
      <c r="S48">
        <f t="shared" ref="S48" si="218">R48/100000</f>
        <v>-125.5893259023246</v>
      </c>
      <c r="T48">
        <f t="shared" ref="T48" si="219">S48/1000</f>
        <v>-0.12558932590232461</v>
      </c>
    </row>
    <row r="49" spans="1:20" x14ac:dyDescent="0.25">
      <c r="A49" s="5">
        <v>44544</v>
      </c>
      <c r="B49">
        <v>5.1180000000000003</v>
      </c>
      <c r="C49">
        <v>5.3609999999999998</v>
      </c>
      <c r="D49">
        <v>4.9359999999999999</v>
      </c>
      <c r="E49">
        <v>5.2080000000000002</v>
      </c>
      <c r="F49">
        <v>517825.4</v>
      </c>
      <c r="G49">
        <v>5.2080000000000002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0.28000000000000169</v>
      </c>
      <c r="Q49">
        <f t="shared" ref="Q49" si="221">F49*P49</f>
        <v>144991.1120000009</v>
      </c>
      <c r="R49">
        <f t="shared" ref="R49" si="222">R50+Q49</f>
        <v>-13373037.376527965</v>
      </c>
      <c r="S49">
        <f t="shared" ref="S49" si="223">R49/100000</f>
        <v>-133.73037376527964</v>
      </c>
      <c r="T49">
        <f t="shared" ref="T49" si="224">S49/1000</f>
        <v>-0.13373037376527963</v>
      </c>
    </row>
    <row r="50" spans="1:20" x14ac:dyDescent="0.25">
      <c r="A50" s="5">
        <v>44543</v>
      </c>
      <c r="B50">
        <v>5.6849999999999996</v>
      </c>
      <c r="C50">
        <v>5.7619999999999996</v>
      </c>
      <c r="D50">
        <v>4.7850000000000001</v>
      </c>
      <c r="E50">
        <v>5.1189999999999998</v>
      </c>
      <c r="F50">
        <v>643766.33200000005</v>
      </c>
      <c r="G50">
        <v>5.1189999999999998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-0.31627430910951931</v>
      </c>
      <c r="Q50">
        <f t="shared" ref="Q50" si="226">F50*P50</f>
        <v>-203606.75188126945</v>
      </c>
      <c r="R50">
        <f t="shared" ref="R50" si="227">R51+Q50</f>
        <v>-13518028.488527967</v>
      </c>
      <c r="S50">
        <f t="shared" ref="S50" si="228">R50/100000</f>
        <v>-135.18028488527966</v>
      </c>
      <c r="T50">
        <f t="shared" ref="T50" si="229">S50/1000</f>
        <v>-0.13518028488527967</v>
      </c>
    </row>
    <row r="51" spans="1:20" x14ac:dyDescent="0.25">
      <c r="A51" s="5">
        <v>44542</v>
      </c>
      <c r="B51">
        <v>5.4059999999999997</v>
      </c>
      <c r="C51">
        <v>5.806</v>
      </c>
      <c r="D51">
        <v>5.2610000000000001</v>
      </c>
      <c r="E51">
        <v>5.6849999999999996</v>
      </c>
      <c r="F51">
        <v>375771.9</v>
      </c>
      <c r="G51">
        <v>5.6849999999999996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0.55596330275229189</v>
      </c>
      <c r="Q51">
        <f t="shared" ref="Q51" si="231">F51*P51</f>
        <v>208915.38660550397</v>
      </c>
      <c r="R51">
        <f t="shared" ref="R51" si="232">R52+Q51</f>
        <v>-13314421.736646697</v>
      </c>
      <c r="S51">
        <f t="shared" ref="S51" si="233">R51/100000</f>
        <v>-133.14421736646696</v>
      </c>
      <c r="T51">
        <f t="shared" ref="T51" si="234">S51/1000</f>
        <v>-0.13314421736646695</v>
      </c>
    </row>
    <row r="52" spans="1:20" x14ac:dyDescent="0.25">
      <c r="A52" s="5">
        <v>44541</v>
      </c>
      <c r="B52">
        <v>5.2809999999999997</v>
      </c>
      <c r="C52">
        <v>5.3460000000000001</v>
      </c>
      <c r="D52">
        <v>5.2009999999999996</v>
      </c>
      <c r="E52">
        <v>5.3369999999999997</v>
      </c>
      <c r="F52">
        <v>19922</v>
      </c>
      <c r="G52">
        <v>5.3369999999999997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0.87586206896551289</v>
      </c>
      <c r="Q52">
        <f t="shared" ref="Q52" si="236">F52*P52</f>
        <v>17448.924137930946</v>
      </c>
      <c r="R52">
        <f t="shared" ref="R52" si="237">R53+Q52</f>
        <v>-13523337.1232522</v>
      </c>
      <c r="S52">
        <f t="shared" ref="S52" si="238">R52/100000</f>
        <v>-135.23337123252199</v>
      </c>
      <c r="T52">
        <f t="shared" ref="T52" si="239">S52/1000</f>
        <v>-0.13523337123252199</v>
      </c>
    </row>
    <row r="53" spans="1:20" x14ac:dyDescent="0.25">
      <c r="A53" s="5">
        <v>44540</v>
      </c>
      <c r="B53">
        <v>5.5919999999999996</v>
      </c>
      <c r="C53">
        <v>5.9480000000000004</v>
      </c>
      <c r="D53">
        <v>5.2370000000000001</v>
      </c>
      <c r="E53">
        <v>5.2839999999999998</v>
      </c>
      <c r="F53">
        <v>607921.69999999995</v>
      </c>
      <c r="G53">
        <v>5.2839999999999998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-0.86779184247538765</v>
      </c>
      <c r="Q53">
        <f t="shared" ref="Q53" si="241">F53*P53</f>
        <v>-527549.49212376983</v>
      </c>
      <c r="R53">
        <f t="shared" ref="R53" si="242">R54+Q53</f>
        <v>-13540786.047390131</v>
      </c>
      <c r="S53">
        <f t="shared" ref="S53" si="243">R53/100000</f>
        <v>-135.40786047390131</v>
      </c>
      <c r="T53">
        <f t="shared" ref="T53" si="244">S53/1000</f>
        <v>-0.1354078604739013</v>
      </c>
    </row>
    <row r="54" spans="1:20" x14ac:dyDescent="0.25">
      <c r="A54" s="5">
        <v>44539</v>
      </c>
      <c r="B54">
        <v>6.0549999999999997</v>
      </c>
      <c r="C54">
        <v>6.1230000000000002</v>
      </c>
      <c r="D54">
        <v>5.5750000000000002</v>
      </c>
      <c r="E54">
        <v>5.5869999999999997</v>
      </c>
      <c r="F54">
        <v>875917.7</v>
      </c>
      <c r="G54">
        <v>5.5869999999999997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-0.9562043795620454</v>
      </c>
      <c r="Q54">
        <f t="shared" ref="Q54" si="246">F54*P54</f>
        <v>-837556.34087591374</v>
      </c>
      <c r="R54">
        <f t="shared" ref="R54" si="247">R55+Q54</f>
        <v>-13013236.555266362</v>
      </c>
      <c r="S54">
        <f t="shared" ref="S54" si="248">R54/100000</f>
        <v>-130.13236555266363</v>
      </c>
      <c r="T54">
        <f t="shared" ref="T54" si="249">S54/1000</f>
        <v>-0.13013236555266364</v>
      </c>
    </row>
    <row r="55" spans="1:20" x14ac:dyDescent="0.25">
      <c r="A55" s="5">
        <v>44538</v>
      </c>
      <c r="B55">
        <v>6.0389999999999997</v>
      </c>
      <c r="C55">
        <v>6.1529999999999996</v>
      </c>
      <c r="D55">
        <v>5.7279999999999998</v>
      </c>
      <c r="E55">
        <v>6.0449999999999999</v>
      </c>
      <c r="F55">
        <v>387438.3</v>
      </c>
      <c r="G55">
        <v>6.0449999999999999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0.49176470588235438</v>
      </c>
      <c r="Q55">
        <f t="shared" ref="Q55" si="251">F55*P55</f>
        <v>190528.48164705938</v>
      </c>
      <c r="R55">
        <f t="shared" ref="R55" si="252">R56+Q55</f>
        <v>-12175680.214390447</v>
      </c>
      <c r="S55">
        <f t="shared" ref="S55" si="253">R55/100000</f>
        <v>-121.75680214390448</v>
      </c>
      <c r="T55">
        <f t="shared" ref="T55" si="254">S55/1000</f>
        <v>-0.12175680214390448</v>
      </c>
    </row>
    <row r="56" spans="1:20" x14ac:dyDescent="0.25">
      <c r="A56" s="5">
        <v>44537</v>
      </c>
      <c r="B56">
        <v>6.1749999999999998</v>
      </c>
      <c r="C56">
        <v>6.3639999999999999</v>
      </c>
      <c r="D56">
        <v>6</v>
      </c>
      <c r="E56">
        <v>6.04</v>
      </c>
      <c r="F56">
        <v>388647.7</v>
      </c>
      <c r="G56">
        <v>6.04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-0.78021978021978</v>
      </c>
      <c r="Q56">
        <f t="shared" ref="Q56" si="256">F56*P56</f>
        <v>-303230.62307692302</v>
      </c>
      <c r="R56">
        <f t="shared" ref="R56" si="257">R57+Q56</f>
        <v>-12366208.696037507</v>
      </c>
      <c r="S56">
        <f t="shared" ref="S56" si="258">R56/100000</f>
        <v>-123.66208696037506</v>
      </c>
      <c r="T56">
        <f t="shared" ref="T56" si="259">S56/1000</f>
        <v>-0.12366208696037506</v>
      </c>
    </row>
    <row r="57" spans="1:20" x14ac:dyDescent="0.25">
      <c r="A57" s="5">
        <v>44536</v>
      </c>
      <c r="B57">
        <v>5.992</v>
      </c>
      <c r="C57">
        <v>6.282</v>
      </c>
      <c r="D57">
        <v>5.2889999999999997</v>
      </c>
      <c r="E57">
        <v>6.1909999999999998</v>
      </c>
      <c r="F57">
        <v>849052.4</v>
      </c>
      <c r="G57">
        <v>6.1909999999999998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0.81671701913393724</v>
      </c>
      <c r="Q57">
        <f t="shared" ref="Q57" si="261">F57*P57</f>
        <v>693435.54521651531</v>
      </c>
      <c r="R57">
        <f t="shared" ref="R57" si="262">R58+Q57</f>
        <v>-12062978.072960583</v>
      </c>
      <c r="S57">
        <f t="shared" ref="S57" si="263">R57/100000</f>
        <v>-120.62978072960584</v>
      </c>
      <c r="T57">
        <f t="shared" ref="T57" si="264">S57/1000</f>
        <v>-0.12062978072960584</v>
      </c>
    </row>
    <row r="58" spans="1:20" x14ac:dyDescent="0.25">
      <c r="A58" s="5">
        <v>44535</v>
      </c>
      <c r="B58">
        <v>6.6559999999999997</v>
      </c>
      <c r="C58">
        <v>6.72</v>
      </c>
      <c r="D58">
        <v>5.8890000000000002</v>
      </c>
      <c r="E58">
        <v>5.9889999999999999</v>
      </c>
      <c r="F58">
        <v>470410.8</v>
      </c>
      <c r="G58">
        <v>5.9889999999999999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-0.7593261131167276</v>
      </c>
      <c r="Q58">
        <f t="shared" ref="Q58" si="266">F58*P58</f>
        <v>-357195.20433213032</v>
      </c>
      <c r="R58">
        <f t="shared" ref="R58" si="267">R59+Q58</f>
        <v>-12756413.618177099</v>
      </c>
      <c r="S58">
        <f t="shared" ref="S58" si="268">R58/100000</f>
        <v>-127.56413618177099</v>
      </c>
      <c r="T58">
        <f t="shared" ref="T58" si="269">S58/1000</f>
        <v>-0.12756413618177098</v>
      </c>
    </row>
    <row r="59" spans="1:20" x14ac:dyDescent="0.25">
      <c r="A59" s="5">
        <v>44534</v>
      </c>
      <c r="B59">
        <v>7.29</v>
      </c>
      <c r="C59">
        <v>7.3259999999999996</v>
      </c>
      <c r="D59">
        <v>5.9020000000000001</v>
      </c>
      <c r="E59">
        <v>6.6390000000000002</v>
      </c>
      <c r="F59">
        <v>911235.84</v>
      </c>
      <c r="G59">
        <v>6.6390000000000002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3.5112359550562307E-2</v>
      </c>
      <c r="Q59">
        <f t="shared" ref="Q59" si="271">F59*P59</f>
        <v>31995.640449438666</v>
      </c>
      <c r="R59">
        <f t="shared" ref="R59" si="272">R60+Q59</f>
        <v>-12399218.413844969</v>
      </c>
      <c r="S59">
        <f t="shared" ref="S59" si="273">R59/100000</f>
        <v>-123.99218413844969</v>
      </c>
      <c r="T59">
        <f t="shared" ref="T59" si="274">S59/1000</f>
        <v>-0.12399218413844969</v>
      </c>
    </row>
    <row r="60" spans="1:20" x14ac:dyDescent="0.25">
      <c r="A60" s="5">
        <v>44533</v>
      </c>
      <c r="B60">
        <v>7.7839999999999998</v>
      </c>
      <c r="C60">
        <v>7.9340000000000002</v>
      </c>
      <c r="D60">
        <v>7.0609999999999999</v>
      </c>
      <c r="E60">
        <v>7.28</v>
      </c>
      <c r="F60">
        <v>595160.69999999995</v>
      </c>
      <c r="G60">
        <v>7.28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-0.49828178694158021</v>
      </c>
      <c r="Q60">
        <f t="shared" ref="Q60" si="276">F60*P60</f>
        <v>-296557.7371134017</v>
      </c>
      <c r="R60">
        <f t="shared" ref="R60" si="277">R61+Q60</f>
        <v>-12431214.054294407</v>
      </c>
      <c r="S60">
        <f t="shared" ref="S60" si="278">R60/100000</f>
        <v>-124.31214054294408</v>
      </c>
      <c r="T60">
        <f t="shared" ref="T60" si="279">S60/1000</f>
        <v>-0.12431214054294408</v>
      </c>
    </row>
    <row r="61" spans="1:20" x14ac:dyDescent="0.25">
      <c r="A61" s="5">
        <v>44532</v>
      </c>
      <c r="B61">
        <v>7.7759999999999998</v>
      </c>
      <c r="C61">
        <v>7.8440000000000003</v>
      </c>
      <c r="D61">
        <v>7.5</v>
      </c>
      <c r="E61">
        <v>7.7789999999999999</v>
      </c>
      <c r="F61">
        <v>477650.9</v>
      </c>
      <c r="G61">
        <v>7.7789999999999999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0.62209302325581206</v>
      </c>
      <c r="Q61">
        <f t="shared" ref="Q61" si="281">F61*P61</f>
        <v>297143.29244185955</v>
      </c>
      <c r="R61">
        <f t="shared" ref="R61" si="282">R62+Q61</f>
        <v>-12134656.317181006</v>
      </c>
      <c r="S61">
        <f t="shared" ref="S61" si="283">R61/100000</f>
        <v>-121.34656317181006</v>
      </c>
      <c r="T61">
        <f t="shared" ref="T61" si="284">S61/1000</f>
        <v>-0.12134656317181006</v>
      </c>
    </row>
    <row r="62" spans="1:20" x14ac:dyDescent="0.25">
      <c r="A62" s="5">
        <v>44531</v>
      </c>
      <c r="B62">
        <v>7.9390000000000001</v>
      </c>
      <c r="C62">
        <v>8.1769999999999996</v>
      </c>
      <c r="D62">
        <v>7.6879999999999997</v>
      </c>
      <c r="E62">
        <v>7.78</v>
      </c>
      <c r="F62">
        <v>668908.9</v>
      </c>
      <c r="G62">
        <v>7.78</v>
      </c>
      <c r="L62" t="s">
        <v>7</v>
      </c>
      <c r="M62" t="s">
        <v>8</v>
      </c>
      <c r="N62" t="s">
        <v>8</v>
      </c>
      <c r="P62">
        <f t="shared" ref="P62" si="285">IF(C62=D62,0,((E62-D62)-(C62-E62))/(C62-D62))</f>
        <v>-0.62372188139059082</v>
      </c>
      <c r="Q62">
        <f t="shared" ref="Q62" si="286">F62*P62</f>
        <v>-417213.11758691061</v>
      </c>
      <c r="R62">
        <f t="shared" ref="R62" si="287">R63+Q62</f>
        <v>-12431799.609622866</v>
      </c>
      <c r="S62">
        <f t="shared" ref="S62" si="288">R62/100000</f>
        <v>-124.31799609622865</v>
      </c>
      <c r="T62">
        <f t="shared" ref="T62" si="289">S62/1000</f>
        <v>-0.12431799609622865</v>
      </c>
    </row>
    <row r="63" spans="1:20" x14ac:dyDescent="0.25">
      <c r="A63" s="5">
        <v>44530</v>
      </c>
      <c r="B63">
        <v>8.3550000000000004</v>
      </c>
      <c r="C63">
        <v>8.9689999999999994</v>
      </c>
      <c r="D63">
        <v>7.8970000000000002</v>
      </c>
      <c r="E63">
        <v>7.9329999999999998</v>
      </c>
      <c r="F63">
        <v>1551150.6</v>
      </c>
      <c r="G63">
        <v>7.9329999999999998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-0.93283582089552308</v>
      </c>
      <c r="Q63">
        <f t="shared" ref="Q63" si="291">F63*P63</f>
        <v>-1446968.8432835832</v>
      </c>
      <c r="R63">
        <f t="shared" ref="R63" si="292">R64+Q63</f>
        <v>-12014586.492035955</v>
      </c>
      <c r="S63">
        <f t="shared" ref="S63" si="293">R63/100000</f>
        <v>-120.14586492035956</v>
      </c>
      <c r="T63">
        <f t="shared" ref="T63" si="294">S63/1000</f>
        <v>-0.12014586492035956</v>
      </c>
    </row>
    <row r="64" spans="1:20" x14ac:dyDescent="0.25">
      <c r="A64" s="5">
        <v>44529</v>
      </c>
      <c r="B64">
        <v>7.4459999999999997</v>
      </c>
      <c r="C64">
        <v>8.74</v>
      </c>
      <c r="D64">
        <v>7.3719999999999999</v>
      </c>
      <c r="E64">
        <v>8.3450000000000006</v>
      </c>
      <c r="F64">
        <v>917204.4</v>
      </c>
      <c r="G64">
        <v>8.3450000000000006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0.42251461988304168</v>
      </c>
      <c r="Q64">
        <f t="shared" ref="Q64" si="296">F64*P64</f>
        <v>387532.2684210533</v>
      </c>
      <c r="R64">
        <f t="shared" ref="R64" si="297">R65+Q64</f>
        <v>-10567617.648752373</v>
      </c>
      <c r="S64">
        <f t="shared" ref="S64" si="298">R64/100000</f>
        <v>-105.67617648752373</v>
      </c>
      <c r="T64">
        <f t="shared" ref="T64" si="299">S64/1000</f>
        <v>-0.10567617648752373</v>
      </c>
    </row>
    <row r="65" spans="1:20" x14ac:dyDescent="0.25">
      <c r="A65" s="5">
        <v>44528</v>
      </c>
      <c r="B65">
        <v>7.516</v>
      </c>
      <c r="C65">
        <v>7.5270000000000001</v>
      </c>
      <c r="D65">
        <v>6.8739999999999997</v>
      </c>
      <c r="E65">
        <v>7.4459999999999997</v>
      </c>
      <c r="F65">
        <v>487663.1</v>
      </c>
      <c r="G65">
        <v>7.4459999999999997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0.75191424196018275</v>
      </c>
      <c r="Q65">
        <f t="shared" ref="Q65" si="301">F65*P65</f>
        <v>366680.83016845275</v>
      </c>
      <c r="R65">
        <f t="shared" ref="R65" si="302">R66+Q65</f>
        <v>-10955149.917173427</v>
      </c>
      <c r="S65">
        <f t="shared" ref="S65" si="303">R65/100000</f>
        <v>-109.55149917173426</v>
      </c>
      <c r="T65">
        <f t="shared" ref="T65" si="304">S65/1000</f>
        <v>-0.10955149917173426</v>
      </c>
    </row>
    <row r="66" spans="1:20" x14ac:dyDescent="0.25">
      <c r="A66" s="5">
        <v>44527</v>
      </c>
      <c r="B66">
        <v>7.2619999999999996</v>
      </c>
      <c r="C66">
        <v>7.6669999999999998</v>
      </c>
      <c r="D66">
        <v>7.2450000000000001</v>
      </c>
      <c r="E66">
        <v>7.5259999999999998</v>
      </c>
      <c r="F66">
        <v>402392.1</v>
      </c>
      <c r="G66">
        <v>7.5259999999999998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0.33175355450236915</v>
      </c>
      <c r="Q66">
        <f t="shared" ref="Q66" si="306">F66*P66</f>
        <v>133495.00947867276</v>
      </c>
      <c r="R66">
        <f t="shared" ref="R66" si="307">R67+Q66</f>
        <v>-11321830.747341879</v>
      </c>
      <c r="S66">
        <f t="shared" ref="S66" si="308">R66/100000</f>
        <v>-113.21830747341879</v>
      </c>
      <c r="T66">
        <f t="shared" ref="T66" si="309">S66/1000</f>
        <v>-0.11321830747341879</v>
      </c>
    </row>
    <row r="67" spans="1:20" x14ac:dyDescent="0.25">
      <c r="A67" s="5">
        <v>44526</v>
      </c>
      <c r="B67">
        <v>8.2409999999999997</v>
      </c>
      <c r="C67">
        <v>8.2780000000000005</v>
      </c>
      <c r="D67">
        <v>7.0469999999999997</v>
      </c>
      <c r="E67">
        <v>7.2830000000000004</v>
      </c>
      <c r="F67">
        <v>719952.6</v>
      </c>
      <c r="G67">
        <v>7.2830000000000004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-0.61657189277010482</v>
      </c>
      <c r="Q67">
        <f t="shared" ref="Q67" si="311">F67*P67</f>
        <v>-443902.53728675813</v>
      </c>
      <c r="R67">
        <f t="shared" ref="R67" si="312">R68+Q67</f>
        <v>-11455325.756820552</v>
      </c>
      <c r="S67">
        <f t="shared" ref="S67" si="313">R67/100000</f>
        <v>-114.55325756820552</v>
      </c>
      <c r="T67">
        <f t="shared" ref="T67" si="314">S67/1000</f>
        <v>-0.11455325756820553</v>
      </c>
    </row>
    <row r="68" spans="1:20" x14ac:dyDescent="0.25">
      <c r="A68" s="5">
        <v>44525</v>
      </c>
      <c r="B68">
        <v>7.5679999999999996</v>
      </c>
      <c r="C68">
        <v>8.3840000000000003</v>
      </c>
      <c r="D68">
        <v>7.48</v>
      </c>
      <c r="E68">
        <v>8.25</v>
      </c>
      <c r="F68">
        <v>799202.5</v>
      </c>
      <c r="G68">
        <v>8.25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0.70353982300884876</v>
      </c>
      <c r="Q68">
        <f t="shared" ref="Q68" si="316">F68*P68</f>
        <v>562270.78539822949</v>
      </c>
      <c r="R68">
        <f t="shared" ref="R68" si="317">R69+Q68</f>
        <v>-11011423.219533794</v>
      </c>
      <c r="S68">
        <f t="shared" ref="S68" si="318">R68/100000</f>
        <v>-110.11423219533793</v>
      </c>
      <c r="T68">
        <f t="shared" ref="T68" si="319">S68/1000</f>
        <v>-0.11011423219533793</v>
      </c>
    </row>
    <row r="69" spans="1:20" x14ac:dyDescent="0.25">
      <c r="A69" s="5">
        <v>44524</v>
      </c>
      <c r="B69">
        <v>7.8449999999999998</v>
      </c>
      <c r="C69">
        <v>7.8570000000000002</v>
      </c>
      <c r="D69">
        <v>7.5</v>
      </c>
      <c r="E69">
        <v>7.5579999999999998</v>
      </c>
      <c r="F69">
        <v>131808.4</v>
      </c>
      <c r="G69">
        <v>7.5579999999999998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-0.67507002801120564</v>
      </c>
      <c r="Q69">
        <f t="shared" ref="Q69" si="321">F69*P69</f>
        <v>-88979.900280112197</v>
      </c>
      <c r="R69">
        <f t="shared" ref="R69" si="322">R70+Q69</f>
        <v>-11573694.004932024</v>
      </c>
      <c r="S69">
        <f t="shared" ref="S69" si="323">R69/100000</f>
        <v>-115.73694004932024</v>
      </c>
      <c r="T69">
        <f t="shared" ref="T69" si="324">S69/1000</f>
        <v>-0.11573694004932024</v>
      </c>
    </row>
    <row r="70" spans="1:20" x14ac:dyDescent="0.25">
      <c r="A70" s="5">
        <v>44523</v>
      </c>
      <c r="B70">
        <v>7.6820000000000004</v>
      </c>
      <c r="C70">
        <v>8.1069999999999993</v>
      </c>
      <c r="D70">
        <v>7.4269999999999996</v>
      </c>
      <c r="E70">
        <v>7.8470000000000004</v>
      </c>
      <c r="F70">
        <v>822695.4</v>
      </c>
      <c r="G70">
        <v>7.8470000000000004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0.23529411764706173</v>
      </c>
      <c r="Q70">
        <f t="shared" ref="Q70" si="326">F70*P70</f>
        <v>193575.38823529653</v>
      </c>
      <c r="R70">
        <f t="shared" ref="R70" si="327">R71+Q70</f>
        <v>-11484714.104651911</v>
      </c>
      <c r="S70">
        <f t="shared" ref="S70" si="328">R70/100000</f>
        <v>-114.84714104651911</v>
      </c>
      <c r="T70">
        <f t="shared" ref="T70" si="329">S70/1000</f>
        <v>-0.11484714104651911</v>
      </c>
    </row>
    <row r="71" spans="1:20" x14ac:dyDescent="0.25">
      <c r="A71" s="5">
        <v>44522</v>
      </c>
      <c r="B71">
        <v>7.7770000000000001</v>
      </c>
      <c r="C71">
        <v>8.2759999999999998</v>
      </c>
      <c r="D71">
        <v>7.2919999999999998</v>
      </c>
      <c r="E71">
        <v>7.6779999999999999</v>
      </c>
      <c r="F71">
        <v>1262267.5</v>
      </c>
      <c r="G71">
        <v>7.6779999999999999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-0.21544715447154447</v>
      </c>
      <c r="Q71">
        <f t="shared" ref="Q71" si="331">F71*P71</f>
        <v>-271951.94105691026</v>
      </c>
      <c r="R71">
        <f t="shared" ref="R71" si="332">R72+Q71</f>
        <v>-11678289.492887208</v>
      </c>
      <c r="S71">
        <f t="shared" ref="S71" si="333">R71/100000</f>
        <v>-116.78289492887208</v>
      </c>
      <c r="T71">
        <f t="shared" ref="T71" si="334">S71/1000</f>
        <v>-0.11678289492887209</v>
      </c>
    </row>
    <row r="72" spans="1:20" x14ac:dyDescent="0.25">
      <c r="A72" s="5">
        <v>44521</v>
      </c>
      <c r="B72">
        <v>7.8029999999999999</v>
      </c>
      <c r="C72">
        <v>8.1300000000000008</v>
      </c>
      <c r="D72">
        <v>7.67</v>
      </c>
      <c r="E72">
        <v>7.78</v>
      </c>
      <c r="F72">
        <v>556160.19999999995</v>
      </c>
      <c r="G72">
        <v>7.78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-0.52173913043478215</v>
      </c>
      <c r="Q72">
        <f t="shared" ref="Q72" si="336">F72*P72</f>
        <v>-290170.53913043451</v>
      </c>
      <c r="R72">
        <f t="shared" ref="R72" si="337">R73+Q72</f>
        <v>-11406337.551830297</v>
      </c>
      <c r="S72">
        <f t="shared" ref="S72" si="338">R72/100000</f>
        <v>-114.06337551830298</v>
      </c>
      <c r="T72">
        <f t="shared" ref="T72" si="339">S72/1000</f>
        <v>-0.11406337551830298</v>
      </c>
    </row>
    <row r="73" spans="1:20" x14ac:dyDescent="0.25">
      <c r="A73" s="5">
        <v>44520</v>
      </c>
      <c r="B73">
        <v>8.0020000000000007</v>
      </c>
      <c r="C73">
        <v>8.6</v>
      </c>
      <c r="D73">
        <v>7.5910000000000002</v>
      </c>
      <c r="E73">
        <v>7.8120000000000003</v>
      </c>
      <c r="F73">
        <v>1022936.5</v>
      </c>
      <c r="G73">
        <v>7.8120000000000003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-0.56194251734390444</v>
      </c>
      <c r="Q73">
        <f t="shared" ref="Q73" si="341">F73*P73</f>
        <v>-574831.51189296285</v>
      </c>
      <c r="R73">
        <f t="shared" ref="R73" si="342">R74+Q73</f>
        <v>-11116167.012699863</v>
      </c>
      <c r="S73">
        <f t="shared" ref="S73" si="343">R73/100000</f>
        <v>-111.16167012699863</v>
      </c>
      <c r="T73">
        <f t="shared" ref="T73" si="344">S73/1000</f>
        <v>-0.11116167012699862</v>
      </c>
    </row>
    <row r="74" spans="1:20" x14ac:dyDescent="0.25">
      <c r="A74" s="5">
        <v>44519</v>
      </c>
      <c r="B74">
        <v>6.9710000000000001</v>
      </c>
      <c r="C74">
        <v>8.4169999999999998</v>
      </c>
      <c r="D74">
        <v>6.9</v>
      </c>
      <c r="E74">
        <v>8.0079999999999991</v>
      </c>
      <c r="F74">
        <v>1246950.8</v>
      </c>
      <c r="G74">
        <v>8.0079999999999991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0.46077785102175234</v>
      </c>
      <c r="Q74">
        <f t="shared" ref="Q74" si="346">F74*P74</f>
        <v>574567.30995385488</v>
      </c>
      <c r="R74">
        <f t="shared" ref="R74" si="347">R75+Q74</f>
        <v>-10541335.5008069</v>
      </c>
      <c r="S74">
        <f t="shared" ref="S74" si="348">R74/100000</f>
        <v>-105.413355008069</v>
      </c>
      <c r="T74">
        <f t="shared" ref="T74" si="349">S74/1000</f>
        <v>-0.105413355008069</v>
      </c>
    </row>
    <row r="75" spans="1:20" x14ac:dyDescent="0.25">
      <c r="A75" s="5">
        <v>44518</v>
      </c>
      <c r="B75">
        <v>7.2359999999999998</v>
      </c>
      <c r="C75">
        <v>7.5049999999999999</v>
      </c>
      <c r="D75">
        <v>6.56</v>
      </c>
      <c r="E75">
        <v>6.9909999999999997</v>
      </c>
      <c r="F75">
        <v>991192.39199999999</v>
      </c>
      <c r="G75">
        <v>6.9909999999999997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-8.7830687830687995E-2</v>
      </c>
      <c r="Q75">
        <f t="shared" ref="Q75" si="351">F75*P75</f>
        <v>-87057.10956190493</v>
      </c>
      <c r="R75">
        <f t="shared" ref="R75" si="352">R76+Q75</f>
        <v>-11115902.810760755</v>
      </c>
      <c r="S75">
        <f t="shared" ref="S75" si="353">R75/100000</f>
        <v>-111.15902810760755</v>
      </c>
      <c r="T75">
        <f t="shared" ref="T75" si="354">S75/1000</f>
        <v>-0.11115902810760755</v>
      </c>
    </row>
    <row r="76" spans="1:20" x14ac:dyDescent="0.25">
      <c r="A76" s="5">
        <v>44517</v>
      </c>
      <c r="B76">
        <v>7.2759999999999998</v>
      </c>
      <c r="C76">
        <v>7.3810000000000002</v>
      </c>
      <c r="D76">
        <v>6.9139999999999997</v>
      </c>
      <c r="E76">
        <v>7.2320000000000002</v>
      </c>
      <c r="F76">
        <v>678781.1</v>
      </c>
      <c r="G76">
        <v>7.2320000000000002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0.3618843683083518</v>
      </c>
      <c r="Q76">
        <f t="shared" ref="Q76" si="356">F76*P76</f>
        <v>245640.26959314817</v>
      </c>
      <c r="R76">
        <f t="shared" ref="R76" si="357">R77+Q76</f>
        <v>-11028845.70119885</v>
      </c>
      <c r="S76">
        <f t="shared" ref="S76" si="358">R76/100000</f>
        <v>-110.2884570119885</v>
      </c>
      <c r="T76">
        <f t="shared" ref="T76" si="359">S76/1000</f>
        <v>-0.1102884570119885</v>
      </c>
    </row>
    <row r="77" spans="1:20" x14ac:dyDescent="0.25">
      <c r="A77" s="5">
        <v>44516</v>
      </c>
      <c r="B77">
        <v>7.8620000000000001</v>
      </c>
      <c r="C77">
        <v>7.867</v>
      </c>
      <c r="D77">
        <v>7.069</v>
      </c>
      <c r="E77">
        <v>7.2910000000000004</v>
      </c>
      <c r="F77">
        <v>1064968.5</v>
      </c>
      <c r="G77">
        <v>7.2910000000000004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-0.44360902255638995</v>
      </c>
      <c r="Q77">
        <f t="shared" ref="Q77" si="361">F77*P77</f>
        <v>-472429.63533834479</v>
      </c>
      <c r="R77">
        <f t="shared" ref="R77" si="362">R78+Q77</f>
        <v>-11274485.970791997</v>
      </c>
      <c r="S77">
        <f t="shared" ref="S77" si="363">R77/100000</f>
        <v>-112.74485970791997</v>
      </c>
      <c r="T77">
        <f t="shared" ref="T77" si="364">S77/1000</f>
        <v>-0.11274485970791998</v>
      </c>
    </row>
    <row r="78" spans="1:20" x14ac:dyDescent="0.25">
      <c r="A78" s="5">
        <v>44515</v>
      </c>
      <c r="B78">
        <v>8.3170000000000002</v>
      </c>
      <c r="C78">
        <v>8.3879999999999999</v>
      </c>
      <c r="D78">
        <v>7.7949999999999999</v>
      </c>
      <c r="E78">
        <v>7.8579999999999997</v>
      </c>
      <c r="F78">
        <v>546300.5</v>
      </c>
      <c r="G78">
        <v>7.8579999999999997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-0.78752107925801107</v>
      </c>
      <c r="Q78">
        <f t="shared" ref="Q78" si="366">F78*P78</f>
        <v>-430223.15935919108</v>
      </c>
      <c r="R78">
        <f t="shared" ref="R78" si="367">R79+Q78</f>
        <v>-10802056.335453652</v>
      </c>
      <c r="S78">
        <f t="shared" ref="S78" si="368">R78/100000</f>
        <v>-108.02056335453652</v>
      </c>
      <c r="T78">
        <f t="shared" ref="T78" si="369">S78/1000</f>
        <v>-0.10802056335453653</v>
      </c>
    </row>
    <row r="79" spans="1:20" x14ac:dyDescent="0.25">
      <c r="A79" s="5">
        <v>44514</v>
      </c>
      <c r="B79">
        <v>8.1389999999999993</v>
      </c>
      <c r="C79">
        <v>8.4</v>
      </c>
      <c r="D79">
        <v>7.9589999999999996</v>
      </c>
      <c r="E79">
        <v>8.3059999999999992</v>
      </c>
      <c r="F79">
        <v>682248.7</v>
      </c>
      <c r="G79">
        <v>8.3059999999999992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0.57369614512471179</v>
      </c>
      <c r="Q79">
        <f t="shared" ref="Q79" si="371">F79*P79</f>
        <v>391403.44920634595</v>
      </c>
      <c r="R79">
        <f t="shared" ref="R79" si="372">R80+Q79</f>
        <v>-10371833.176094461</v>
      </c>
      <c r="S79">
        <f t="shared" ref="S79" si="373">R79/100000</f>
        <v>-103.71833176094461</v>
      </c>
      <c r="T79">
        <f t="shared" ref="T79" si="374">S79/1000</f>
        <v>-0.10371833176094461</v>
      </c>
    </row>
    <row r="80" spans="1:20" x14ac:dyDescent="0.25">
      <c r="A80" s="5">
        <v>44513</v>
      </c>
      <c r="B80">
        <v>8.1750000000000007</v>
      </c>
      <c r="C80">
        <v>8.5399999999999991</v>
      </c>
      <c r="D80">
        <v>7.9279999999999999</v>
      </c>
      <c r="E80">
        <v>8.1389999999999993</v>
      </c>
      <c r="F80">
        <v>559209.80000000005</v>
      </c>
      <c r="G80">
        <v>8.1389999999999993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-0.31045751633987034</v>
      </c>
      <c r="Q80">
        <f t="shared" ref="Q80" si="376">F80*P80</f>
        <v>-173610.88562091565</v>
      </c>
      <c r="R80">
        <f t="shared" ref="R80" si="377">R81+Q80</f>
        <v>-10763236.625300808</v>
      </c>
      <c r="S80">
        <f t="shared" ref="S80" si="378">R80/100000</f>
        <v>-107.63236625300807</v>
      </c>
      <c r="T80">
        <f t="shared" ref="T80" si="379">S80/1000</f>
        <v>-0.10763236625300807</v>
      </c>
    </row>
    <row r="81" spans="1:20" x14ac:dyDescent="0.25">
      <c r="A81" s="5">
        <v>44512</v>
      </c>
      <c r="B81">
        <v>8.4179999999999993</v>
      </c>
      <c r="C81">
        <v>8.5500000000000007</v>
      </c>
      <c r="D81">
        <v>7.7880000000000003</v>
      </c>
      <c r="E81">
        <v>8.1829999999999998</v>
      </c>
      <c r="F81">
        <v>748118.6</v>
      </c>
      <c r="G81">
        <v>8.1829999999999998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3.6745406824145246E-2</v>
      </c>
      <c r="Q81">
        <f t="shared" ref="Q81" si="381">F81*P81</f>
        <v>27489.922309709986</v>
      </c>
      <c r="R81">
        <f t="shared" ref="R81" si="382">R82+Q81</f>
        <v>-10589625.739679892</v>
      </c>
      <c r="S81">
        <f t="shared" ref="S81" si="383">R81/100000</f>
        <v>-105.89625739679892</v>
      </c>
      <c r="T81">
        <f t="shared" ref="T81" si="384">S81/1000</f>
        <v>-0.10589625739679892</v>
      </c>
    </row>
    <row r="82" spans="1:20" x14ac:dyDescent="0.25">
      <c r="A82" s="5">
        <v>44511</v>
      </c>
      <c r="B82">
        <v>8.4120000000000008</v>
      </c>
      <c r="C82">
        <v>8.6519999999999992</v>
      </c>
      <c r="D82">
        <v>8.26</v>
      </c>
      <c r="E82">
        <v>8.43</v>
      </c>
      <c r="F82">
        <v>602752.4</v>
      </c>
      <c r="G82">
        <v>8.43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-0.13265306122448897</v>
      </c>
      <c r="Q82">
        <f t="shared" ref="Q82" si="386">F82*P82</f>
        <v>-79956.951020407665</v>
      </c>
      <c r="R82">
        <f t="shared" ref="R82" si="387">R83+Q82</f>
        <v>-10617115.661989601</v>
      </c>
      <c r="S82">
        <f t="shared" ref="S82" si="388">R82/100000</f>
        <v>-106.17115661989601</v>
      </c>
      <c r="T82">
        <f t="shared" ref="T82" si="389">S82/1000</f>
        <v>-0.10617115661989601</v>
      </c>
    </row>
    <row r="83" spans="1:20" x14ac:dyDescent="0.25">
      <c r="A83" s="5">
        <v>44510</v>
      </c>
      <c r="B83">
        <v>9.1189999999999998</v>
      </c>
      <c r="C83">
        <v>9.2420000000000009</v>
      </c>
      <c r="D83">
        <v>7.8819999999999997</v>
      </c>
      <c r="E83">
        <v>8.4239999999999995</v>
      </c>
      <c r="F83">
        <v>979391.1</v>
      </c>
      <c r="G83">
        <v>8.4239999999999995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-0.20294117647058921</v>
      </c>
      <c r="Q83">
        <f t="shared" ref="Q83" si="391">F83*P83</f>
        <v>-198758.78205882446</v>
      </c>
      <c r="R83">
        <f t="shared" ref="R83" si="392">R84+Q83</f>
        <v>-10537158.710969193</v>
      </c>
      <c r="S83">
        <f t="shared" ref="S83" si="393">R83/100000</f>
        <v>-105.37158710969193</v>
      </c>
      <c r="T83">
        <f t="shared" ref="T83" si="394">S83/1000</f>
        <v>-0.10537158710969192</v>
      </c>
    </row>
    <row r="84" spans="1:20" x14ac:dyDescent="0.25">
      <c r="A84" s="5">
        <v>44509</v>
      </c>
      <c r="B84">
        <v>8.7829999999999995</v>
      </c>
      <c r="C84">
        <v>9.59</v>
      </c>
      <c r="D84">
        <v>8.734</v>
      </c>
      <c r="E84">
        <v>9.11</v>
      </c>
      <c r="F84">
        <v>1532551.2</v>
      </c>
      <c r="G84">
        <v>9.11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-0.1214953271028049</v>
      </c>
      <c r="Q84">
        <f t="shared" ref="Q84" si="396">F84*P84</f>
        <v>-186197.80934579618</v>
      </c>
      <c r="R84">
        <f t="shared" ref="R84" si="397">R85+Q84</f>
        <v>-10338399.928910369</v>
      </c>
      <c r="S84">
        <f t="shared" ref="S84" si="398">R84/100000</f>
        <v>-103.38399928910368</v>
      </c>
      <c r="T84">
        <f t="shared" ref="T84" si="399">S84/1000</f>
        <v>-0.10338399928910369</v>
      </c>
    </row>
    <row r="85" spans="1:20" x14ac:dyDescent="0.25">
      <c r="A85" s="5">
        <v>44508</v>
      </c>
      <c r="B85">
        <v>8.7870000000000008</v>
      </c>
      <c r="C85">
        <v>9</v>
      </c>
      <c r="D85">
        <v>8.3219999999999992</v>
      </c>
      <c r="E85">
        <v>8.7710000000000008</v>
      </c>
      <c r="F85">
        <v>951510.2</v>
      </c>
      <c r="G85">
        <v>8.7710000000000008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0.32448377581121263</v>
      </c>
      <c r="Q85">
        <f t="shared" ref="Q85" si="401">F85*P85</f>
        <v>308749.62241888209</v>
      </c>
      <c r="R85">
        <f t="shared" ref="R85" si="402">R86+Q85</f>
        <v>-10152202.119564572</v>
      </c>
      <c r="S85">
        <f t="shared" ref="S85" si="403">R85/100000</f>
        <v>-101.52202119564572</v>
      </c>
      <c r="T85">
        <f t="shared" ref="T85" si="404">S85/1000</f>
        <v>-0.10152202119564573</v>
      </c>
    </row>
    <row r="86" spans="1:20" x14ac:dyDescent="0.25">
      <c r="A86" s="5">
        <v>44507</v>
      </c>
      <c r="B86">
        <v>8.2309999999999999</v>
      </c>
      <c r="C86">
        <v>8.9499999999999993</v>
      </c>
      <c r="D86">
        <v>8.0129999999999999</v>
      </c>
      <c r="E86">
        <v>8.7729999999999997</v>
      </c>
      <c r="F86">
        <v>884388.2</v>
      </c>
      <c r="G86">
        <v>8.7729999999999997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0.62219850586979786</v>
      </c>
      <c r="Q86">
        <f t="shared" ref="Q86" si="406">F86*P86</f>
        <v>550265.01664887997</v>
      </c>
      <c r="R86">
        <f t="shared" ref="R86" si="407">R87+Q86</f>
        <v>-10460951.741983455</v>
      </c>
      <c r="S86">
        <f t="shared" ref="S86" si="408">R86/100000</f>
        <v>-104.60951741983455</v>
      </c>
      <c r="T86">
        <f t="shared" ref="T86" si="409">S86/1000</f>
        <v>-0.10460951741983454</v>
      </c>
    </row>
    <row r="87" spans="1:20" x14ac:dyDescent="0.25">
      <c r="A87" s="5">
        <v>44506</v>
      </c>
      <c r="B87">
        <v>7.9550000000000001</v>
      </c>
      <c r="C87">
        <v>8.3000000000000007</v>
      </c>
      <c r="D87">
        <v>7.8</v>
      </c>
      <c r="E87">
        <v>8.2330000000000005</v>
      </c>
      <c r="F87">
        <v>468035.8</v>
      </c>
      <c r="G87">
        <v>8.2330000000000005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0.73199999999999976</v>
      </c>
      <c r="Q87">
        <f t="shared" ref="Q87" si="411">F87*P87</f>
        <v>342602.20559999987</v>
      </c>
      <c r="R87">
        <f t="shared" ref="R87" si="412">R88+Q87</f>
        <v>-11011216.758632334</v>
      </c>
      <c r="S87">
        <f t="shared" ref="S87" si="413">R87/100000</f>
        <v>-110.11216758632334</v>
      </c>
      <c r="T87">
        <f t="shared" ref="T87" si="414">S87/1000</f>
        <v>-0.11011216758632333</v>
      </c>
    </row>
    <row r="88" spans="1:20" x14ac:dyDescent="0.25">
      <c r="A88" s="5">
        <v>44505</v>
      </c>
      <c r="B88">
        <v>7.8979999999999997</v>
      </c>
      <c r="C88">
        <v>8.3529999999999998</v>
      </c>
      <c r="D88">
        <v>7.8010000000000002</v>
      </c>
      <c r="E88">
        <v>7.9619999999999997</v>
      </c>
      <c r="F88">
        <v>710624.7</v>
      </c>
      <c r="G88">
        <v>7.9619999999999997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-0.41666666666666774</v>
      </c>
      <c r="Q88">
        <f t="shared" ref="Q88" si="416">F88*P88</f>
        <v>-296093.62500000076</v>
      </c>
      <c r="R88">
        <f t="shared" ref="R88" si="417">R89+Q88</f>
        <v>-11353818.964232333</v>
      </c>
      <c r="S88">
        <f t="shared" ref="S88" si="418">R88/100000</f>
        <v>-113.53818964232333</v>
      </c>
      <c r="T88">
        <f t="shared" ref="T88" si="419">S88/1000</f>
        <v>-0.11353818964232333</v>
      </c>
    </row>
    <row r="89" spans="1:20" x14ac:dyDescent="0.25">
      <c r="A89" s="5">
        <v>44504</v>
      </c>
      <c r="B89">
        <v>8.3309999999999995</v>
      </c>
      <c r="C89">
        <v>8.4</v>
      </c>
      <c r="D89">
        <v>7.7549999999999999</v>
      </c>
      <c r="E89">
        <v>7.9</v>
      </c>
      <c r="F89">
        <v>678162.5</v>
      </c>
      <c r="G89">
        <v>7.9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-0.55038759689922367</v>
      </c>
      <c r="Q89">
        <f t="shared" ref="Q89" si="421">F89*P89</f>
        <v>-373252.22868216975</v>
      </c>
      <c r="R89">
        <f t="shared" ref="R89" si="422">R90+Q89</f>
        <v>-11057725.339232333</v>
      </c>
      <c r="S89">
        <f t="shared" ref="S89" si="423">R89/100000</f>
        <v>-110.57725339232333</v>
      </c>
      <c r="T89">
        <f t="shared" ref="T89" si="424">S89/1000</f>
        <v>-0.11057725339232333</v>
      </c>
    </row>
    <row r="90" spans="1:20" x14ac:dyDescent="0.25">
      <c r="A90" s="5">
        <v>44503</v>
      </c>
      <c r="B90">
        <v>7.8780000000000001</v>
      </c>
      <c r="C90">
        <v>8.43</v>
      </c>
      <c r="D90">
        <v>7.7329999999999997</v>
      </c>
      <c r="E90">
        <v>8.3290000000000006</v>
      </c>
      <c r="F90">
        <v>1193413.8999999999</v>
      </c>
      <c r="G90">
        <v>8.3290000000000006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0.71018651362984486</v>
      </c>
      <c r="Q90">
        <f t="shared" ref="Q90" si="426">F90*P90</f>
        <v>847546.45695839624</v>
      </c>
      <c r="R90">
        <f t="shared" ref="R90" si="427">R91+Q90</f>
        <v>-10684473.110550163</v>
      </c>
      <c r="S90">
        <f t="shared" ref="S90" si="428">R90/100000</f>
        <v>-106.84473110550164</v>
      </c>
      <c r="T90">
        <f t="shared" ref="T90" si="429">S90/1000</f>
        <v>-0.10684473110550163</v>
      </c>
    </row>
    <row r="91" spans="1:20" x14ac:dyDescent="0.25">
      <c r="A91" s="5">
        <v>44502</v>
      </c>
      <c r="B91">
        <v>7.6669999999999998</v>
      </c>
      <c r="C91">
        <v>7.9379999999999997</v>
      </c>
      <c r="D91">
        <v>7.3689999999999998</v>
      </c>
      <c r="E91">
        <v>7.8739999999999997</v>
      </c>
      <c r="F91">
        <v>717490.4</v>
      </c>
      <c r="G91">
        <v>7.8739999999999997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0.77504393673110694</v>
      </c>
      <c r="Q91">
        <f t="shared" ref="Q91" si="431">F91*P91</f>
        <v>556086.58418277663</v>
      </c>
      <c r="R91">
        <f t="shared" ref="R91" si="432">R92+Q91</f>
        <v>-11532019.56750856</v>
      </c>
      <c r="S91">
        <f t="shared" ref="S91" si="433">R91/100000</f>
        <v>-115.3201956750856</v>
      </c>
      <c r="T91">
        <f t="shared" ref="T91" si="434">S91/1000</f>
        <v>-0.1153201956750856</v>
      </c>
    </row>
    <row r="92" spans="1:20" x14ac:dyDescent="0.25">
      <c r="A92" s="5">
        <v>44501</v>
      </c>
      <c r="B92">
        <v>7.7990000000000004</v>
      </c>
      <c r="C92">
        <v>7.9850000000000003</v>
      </c>
      <c r="D92">
        <v>7.3890000000000002</v>
      </c>
      <c r="E92">
        <v>7.6669999999999998</v>
      </c>
      <c r="F92">
        <v>730275.7</v>
      </c>
      <c r="G92">
        <v>7.6669999999999998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-6.7114093959733084E-2</v>
      </c>
      <c r="Q92">
        <f t="shared" ref="Q92" si="436">F92*P92</f>
        <v>-49011.791946309844</v>
      </c>
      <c r="R92">
        <f t="shared" ref="R92" si="437">R93+Q92</f>
        <v>-12088106.151691336</v>
      </c>
      <c r="S92">
        <f t="shared" ref="S92" si="438">R92/100000</f>
        <v>-120.88106151691336</v>
      </c>
      <c r="T92">
        <f t="shared" ref="T92" si="439">S92/1000</f>
        <v>-0.12088106151691336</v>
      </c>
    </row>
    <row r="93" spans="1:20" x14ac:dyDescent="0.25">
      <c r="A93" s="5">
        <v>44500</v>
      </c>
      <c r="B93">
        <v>7.37</v>
      </c>
      <c r="C93">
        <v>8.1989999999999998</v>
      </c>
      <c r="D93">
        <v>7.23</v>
      </c>
      <c r="E93">
        <v>7.7939999999999996</v>
      </c>
      <c r="F93">
        <v>693970.8</v>
      </c>
      <c r="G93">
        <v>7.7939999999999996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0.16408668730650053</v>
      </c>
      <c r="Q93">
        <f t="shared" ref="Q93" si="441">F93*P93</f>
        <v>113871.36965944202</v>
      </c>
      <c r="R93">
        <f t="shared" ref="R93" si="442">R94+Q93</f>
        <v>-12039094.359745026</v>
      </c>
      <c r="S93">
        <f t="shared" ref="S93" si="443">R93/100000</f>
        <v>-120.39094359745026</v>
      </c>
      <c r="T93">
        <f t="shared" ref="T93" si="444">S93/1000</f>
        <v>-0.12039094359745026</v>
      </c>
    </row>
    <row r="94" spans="1:20" x14ac:dyDescent="0.25">
      <c r="A94" s="5">
        <v>44499</v>
      </c>
      <c r="B94">
        <v>7.58</v>
      </c>
      <c r="C94">
        <v>7.585</v>
      </c>
      <c r="D94">
        <v>7.25</v>
      </c>
      <c r="E94">
        <v>7.37</v>
      </c>
      <c r="F94">
        <v>396500.4</v>
      </c>
      <c r="G94">
        <v>7.37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-0.28358208955223807</v>
      </c>
      <c r="Q94">
        <f t="shared" ref="Q94" si="446">F94*P94</f>
        <v>-112440.41194029822</v>
      </c>
      <c r="R94">
        <f t="shared" ref="R94" si="447">R95+Q94</f>
        <v>-12152965.729404468</v>
      </c>
      <c r="S94">
        <f t="shared" ref="S94" si="448">R94/100000</f>
        <v>-121.52965729404468</v>
      </c>
      <c r="T94">
        <f t="shared" ref="T94" si="449">S94/1000</f>
        <v>-0.12152965729404468</v>
      </c>
    </row>
    <row r="95" spans="1:20" x14ac:dyDescent="0.25">
      <c r="A95" s="5">
        <v>44498</v>
      </c>
      <c r="B95">
        <v>7.4610000000000003</v>
      </c>
      <c r="C95">
        <v>7.7240000000000002</v>
      </c>
      <c r="D95">
        <v>7.3360000000000003</v>
      </c>
      <c r="E95">
        <v>7.5780000000000003</v>
      </c>
      <c r="F95">
        <v>514977.8</v>
      </c>
      <c r="G95">
        <v>7.5780000000000003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0.24742268041237142</v>
      </c>
      <c r="Q95">
        <f t="shared" ref="Q95" si="451">F95*P95</f>
        <v>127417.18762886613</v>
      </c>
      <c r="R95">
        <f t="shared" ref="R95" si="452">R96+Q95</f>
        <v>-12040525.317464169</v>
      </c>
      <c r="S95">
        <f t="shared" ref="S95" si="453">R95/100000</f>
        <v>-120.40525317464169</v>
      </c>
      <c r="T95">
        <f t="shared" ref="T95" si="454">S95/1000</f>
        <v>-0.12040525317464168</v>
      </c>
    </row>
    <row r="96" spans="1:20" x14ac:dyDescent="0.25">
      <c r="A96" s="5">
        <v>44497</v>
      </c>
      <c r="B96">
        <v>7.476</v>
      </c>
      <c r="C96">
        <v>7.7439999999999998</v>
      </c>
      <c r="D96">
        <v>7.2380000000000004</v>
      </c>
      <c r="E96">
        <v>7.4569999999999999</v>
      </c>
      <c r="F96">
        <v>551819.80000000005</v>
      </c>
      <c r="G96">
        <v>7.4569999999999999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-0.13438735177865729</v>
      </c>
      <c r="Q96">
        <f t="shared" ref="Q96" si="456">F96*P96</f>
        <v>-74157.601581028313</v>
      </c>
      <c r="R96">
        <f t="shared" ref="R96" si="457">R97+Q96</f>
        <v>-12167942.505093034</v>
      </c>
      <c r="S96">
        <f t="shared" ref="S96" si="458">R96/100000</f>
        <v>-121.67942505093035</v>
      </c>
      <c r="T96">
        <f t="shared" ref="T96" si="459">S96/1000</f>
        <v>-0.12167942505093035</v>
      </c>
    </row>
    <row r="97" spans="1:20" x14ac:dyDescent="0.25">
      <c r="A97" s="5">
        <v>44496</v>
      </c>
      <c r="B97">
        <v>7.9020000000000001</v>
      </c>
      <c r="C97">
        <v>8</v>
      </c>
      <c r="D97">
        <v>7.21</v>
      </c>
      <c r="E97">
        <v>7.4660000000000002</v>
      </c>
      <c r="F97">
        <v>1013321.5</v>
      </c>
      <c r="G97">
        <v>7.4660000000000002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-0.35189873417721462</v>
      </c>
      <c r="Q97">
        <f t="shared" ref="Q97" si="461">F97*P97</f>
        <v>-356586.55316455639</v>
      </c>
      <c r="R97">
        <f t="shared" ref="R97" si="462">R98+Q97</f>
        <v>-12093784.903512007</v>
      </c>
      <c r="S97">
        <f t="shared" ref="S97" si="463">R97/100000</f>
        <v>-120.93784903512007</v>
      </c>
      <c r="T97">
        <f t="shared" ref="T97" si="464">S97/1000</f>
        <v>-0.12093784903512007</v>
      </c>
    </row>
    <row r="98" spans="1:20" x14ac:dyDescent="0.25">
      <c r="A98" s="5">
        <v>44495</v>
      </c>
      <c r="B98">
        <v>8.08</v>
      </c>
      <c r="C98">
        <v>8.3040000000000003</v>
      </c>
      <c r="D98">
        <v>7.8659999999999997</v>
      </c>
      <c r="E98">
        <v>7.9029999999999996</v>
      </c>
      <c r="F98">
        <v>627760</v>
      </c>
      <c r="G98">
        <v>7.9029999999999996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-0.8310502283105029</v>
      </c>
      <c r="Q98">
        <f t="shared" ref="Q98" si="466">F98*P98</f>
        <v>-521700.09132420132</v>
      </c>
      <c r="R98">
        <f t="shared" ref="R98" si="467">R99+Q98</f>
        <v>-11737198.35034745</v>
      </c>
      <c r="S98">
        <f t="shared" ref="S98" si="468">R98/100000</f>
        <v>-117.3719835034745</v>
      </c>
      <c r="T98">
        <f t="shared" ref="T98" si="469">S98/1000</f>
        <v>-0.1173719835034745</v>
      </c>
    </row>
    <row r="99" spans="1:20" x14ac:dyDescent="0.25">
      <c r="A99" s="5">
        <v>44494</v>
      </c>
      <c r="B99">
        <v>7.9240000000000004</v>
      </c>
      <c r="C99">
        <v>8.2850000000000001</v>
      </c>
      <c r="D99">
        <v>7.8780000000000001</v>
      </c>
      <c r="E99">
        <v>8.08</v>
      </c>
      <c r="F99">
        <v>352314.5</v>
      </c>
      <c r="G99">
        <v>8.08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-7.3710073710076497E-3</v>
      </c>
      <c r="Q99">
        <f t="shared" ref="Q99" si="471">F99*P99</f>
        <v>-2596.9127764128748</v>
      </c>
      <c r="R99">
        <f t="shared" ref="R99" si="472">R100+Q99</f>
        <v>-11215498.259023249</v>
      </c>
      <c r="S99">
        <f t="shared" ref="S99" si="473">R99/100000</f>
        <v>-112.15498259023249</v>
      </c>
      <c r="T99">
        <f t="shared" ref="T99" si="474">S99/1000</f>
        <v>-0.11215498259023249</v>
      </c>
    </row>
    <row r="100" spans="1:20" x14ac:dyDescent="0.25">
      <c r="A100" s="5">
        <v>44493</v>
      </c>
      <c r="B100">
        <v>8.27</v>
      </c>
      <c r="C100">
        <v>8.3000000000000007</v>
      </c>
      <c r="D100">
        <v>7.8550000000000004</v>
      </c>
      <c r="E100">
        <v>7.92</v>
      </c>
      <c r="F100">
        <v>366234.7</v>
      </c>
      <c r="G100">
        <v>7.92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-0.70786516853932824</v>
      </c>
      <c r="Q100">
        <f t="shared" ref="Q100" si="476">F100*P100</f>
        <v>-259244.78764045032</v>
      </c>
      <c r="R100">
        <f t="shared" ref="R100" si="477">R101+Q100</f>
        <v>-11212901.346246837</v>
      </c>
      <c r="S100">
        <f t="shared" ref="S100" si="478">R100/100000</f>
        <v>-112.12901346246836</v>
      </c>
      <c r="T100">
        <f t="shared" ref="T100" si="479">S100/1000</f>
        <v>-0.11212901346246837</v>
      </c>
    </row>
    <row r="101" spans="1:20" x14ac:dyDescent="0.25">
      <c r="A101" s="5">
        <v>44492</v>
      </c>
      <c r="B101">
        <v>8.1259999999999994</v>
      </c>
      <c r="C101">
        <v>8.4</v>
      </c>
      <c r="D101">
        <v>7.9509999999999996</v>
      </c>
      <c r="E101">
        <v>8.266</v>
      </c>
      <c r="F101">
        <v>505814.3</v>
      </c>
      <c r="G101">
        <v>8.266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0.4031180400890863</v>
      </c>
      <c r="Q101">
        <f t="shared" ref="Q101" si="481">F101*P101</f>
        <v>203902.86926503314</v>
      </c>
      <c r="R101">
        <f t="shared" ref="R101" si="482">R102+Q101</f>
        <v>-10953656.558606386</v>
      </c>
      <c r="S101">
        <f t="shared" ref="S101" si="483">R101/100000</f>
        <v>-109.53656558606386</v>
      </c>
      <c r="T101">
        <f t="shared" ref="T101" si="484">S101/1000</f>
        <v>-0.10953656558606385</v>
      </c>
    </row>
    <row r="102" spans="1:20" x14ac:dyDescent="0.25">
      <c r="A102" s="5">
        <v>44491</v>
      </c>
      <c r="B102">
        <v>8.0069999999999997</v>
      </c>
      <c r="C102">
        <v>8.5</v>
      </c>
      <c r="D102">
        <v>7.8860000000000001</v>
      </c>
      <c r="E102">
        <v>8.1259999999999994</v>
      </c>
      <c r="F102">
        <v>575258.69999999995</v>
      </c>
      <c r="G102">
        <v>8.1259999999999994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-0.21824104234527891</v>
      </c>
      <c r="Q102">
        <f t="shared" ref="Q102" si="486">F102*P102</f>
        <v>-125545.05830619008</v>
      </c>
      <c r="R102">
        <f t="shared" ref="R102" si="487">R103+Q102</f>
        <v>-11157559.427871419</v>
      </c>
      <c r="S102">
        <f t="shared" ref="S102" si="488">R102/100000</f>
        <v>-111.57559427871419</v>
      </c>
      <c r="T102">
        <f t="shared" ref="T102" si="489">S102/1000</f>
        <v>-0.11157559427871419</v>
      </c>
    </row>
    <row r="103" spans="1:20" x14ac:dyDescent="0.25">
      <c r="A103" s="5">
        <v>44490</v>
      </c>
      <c r="B103">
        <v>8.093</v>
      </c>
      <c r="C103">
        <v>8.5</v>
      </c>
      <c r="D103">
        <v>7.891</v>
      </c>
      <c r="E103">
        <v>8.0060000000000002</v>
      </c>
      <c r="F103">
        <v>804243.6</v>
      </c>
      <c r="G103">
        <v>8.0060000000000002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-0.62233169129720778</v>
      </c>
      <c r="Q103">
        <f t="shared" ref="Q103" si="491">F103*P103</f>
        <v>-500506.27980295505</v>
      </c>
      <c r="R103">
        <f t="shared" ref="R103" si="492">R104+Q103</f>
        <v>-11032014.36956523</v>
      </c>
      <c r="S103">
        <f t="shared" ref="S103" si="493">R103/100000</f>
        <v>-110.32014369565231</v>
      </c>
      <c r="T103">
        <f t="shared" ref="T103" si="494">S103/1000</f>
        <v>-0.11032014369565231</v>
      </c>
    </row>
    <row r="104" spans="1:20" x14ac:dyDescent="0.25">
      <c r="A104" s="5">
        <v>44489</v>
      </c>
      <c r="B104">
        <v>7.9219999999999997</v>
      </c>
      <c r="C104">
        <v>8.4600000000000009</v>
      </c>
      <c r="D104">
        <v>7.7969999999999997</v>
      </c>
      <c r="E104">
        <v>8.093</v>
      </c>
      <c r="F104">
        <v>627532.19999999995</v>
      </c>
      <c r="G104">
        <v>8.093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-0.10708898944193136</v>
      </c>
      <c r="Q104">
        <f t="shared" ref="Q104" si="496">F104*P104</f>
        <v>-67201.789140271954</v>
      </c>
      <c r="R104">
        <f t="shared" ref="R104" si="497">R105+Q104</f>
        <v>-10531508.089762274</v>
      </c>
      <c r="S104">
        <f t="shared" ref="S104" si="498">R104/100000</f>
        <v>-105.31508089762274</v>
      </c>
      <c r="T104">
        <f t="shared" ref="T104" si="499">S104/1000</f>
        <v>-0.10531508089762273</v>
      </c>
    </row>
    <row r="105" spans="1:20" x14ac:dyDescent="0.25">
      <c r="A105" s="5">
        <v>44488</v>
      </c>
      <c r="B105">
        <v>7.8719999999999999</v>
      </c>
      <c r="C105">
        <v>8.1669999999999998</v>
      </c>
      <c r="D105">
        <v>7.6210000000000004</v>
      </c>
      <c r="E105">
        <v>7.9260000000000002</v>
      </c>
      <c r="F105">
        <v>453147.8</v>
      </c>
      <c r="G105">
        <v>7.9260000000000002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0.11721611721611745</v>
      </c>
      <c r="Q105">
        <f t="shared" ref="Q105" si="501">F105*P105</f>
        <v>53116.225641025747</v>
      </c>
      <c r="R105">
        <f t="shared" ref="R105" si="502">R106+Q105</f>
        <v>-10464306.300622003</v>
      </c>
      <c r="S105">
        <f t="shared" ref="S105" si="503">R105/100000</f>
        <v>-104.64306300622003</v>
      </c>
      <c r="T105">
        <f t="shared" ref="T105" si="504">S105/1000</f>
        <v>-0.10464306300622003</v>
      </c>
    </row>
    <row r="106" spans="1:20" x14ac:dyDescent="0.25">
      <c r="A106" s="5">
        <v>44487</v>
      </c>
      <c r="B106">
        <v>8.0030000000000001</v>
      </c>
      <c r="C106">
        <v>8.1120000000000001</v>
      </c>
      <c r="D106">
        <v>7.6749999999999998</v>
      </c>
      <c r="E106">
        <v>7.8780000000000001</v>
      </c>
      <c r="F106">
        <v>409605.7</v>
      </c>
      <c r="G106">
        <v>7.8780000000000001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-7.0938215102974087E-2</v>
      </c>
      <c r="Q106">
        <f t="shared" ref="Q106" si="506">F106*P106</f>
        <v>-29056.697254004273</v>
      </c>
      <c r="R106">
        <f t="shared" ref="R106" si="507">R107+Q106</f>
        <v>-10517422.526263028</v>
      </c>
      <c r="S106">
        <f t="shared" ref="S106" si="508">R106/100000</f>
        <v>-105.17422526263029</v>
      </c>
      <c r="T106">
        <f t="shared" ref="T106" si="509">S106/1000</f>
        <v>-0.10517422526263029</v>
      </c>
    </row>
    <row r="107" spans="1:20" x14ac:dyDescent="0.25">
      <c r="A107" s="5">
        <v>44486</v>
      </c>
      <c r="B107">
        <v>7.9219999999999997</v>
      </c>
      <c r="C107">
        <v>8.5649999999999995</v>
      </c>
      <c r="D107">
        <v>7.7809999999999997</v>
      </c>
      <c r="E107">
        <v>8.0030000000000001</v>
      </c>
      <c r="F107">
        <v>1240270.3999999999</v>
      </c>
      <c r="G107">
        <v>8.0030000000000001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-0.43367346938775392</v>
      </c>
      <c r="Q107">
        <f t="shared" ref="Q107" si="511">F107*P107</f>
        <v>-537872.3673469373</v>
      </c>
      <c r="R107">
        <f t="shared" ref="R107" si="512">R108+Q107</f>
        <v>-10488365.829009024</v>
      </c>
      <c r="S107">
        <f t="shared" ref="S107" si="513">R107/100000</f>
        <v>-104.88365829009024</v>
      </c>
      <c r="T107">
        <f t="shared" ref="T107" si="514">S107/1000</f>
        <v>-0.10488365829009023</v>
      </c>
    </row>
    <row r="108" spans="1:20" x14ac:dyDescent="0.25">
      <c r="A108" s="5">
        <v>44485</v>
      </c>
      <c r="B108">
        <v>8.0830000000000002</v>
      </c>
      <c r="C108">
        <v>8.2569999999999997</v>
      </c>
      <c r="D108">
        <v>7.806</v>
      </c>
      <c r="E108">
        <v>7.9240000000000004</v>
      </c>
      <c r="F108">
        <v>441738.5</v>
      </c>
      <c r="G108">
        <v>7.9240000000000004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-0.47671840354766998</v>
      </c>
      <c r="Q108">
        <f t="shared" ref="Q108" si="516">F108*P108</f>
        <v>-210584.87250554241</v>
      </c>
      <c r="R108">
        <f t="shared" ref="R108" si="517">R109+Q108</f>
        <v>-9950493.4616620876</v>
      </c>
      <c r="S108">
        <f t="shared" ref="S108" si="518">R108/100000</f>
        <v>-99.504934616620872</v>
      </c>
      <c r="T108">
        <f t="shared" ref="T108" si="519">S108/1000</f>
        <v>-9.9504934616620869E-2</v>
      </c>
    </row>
    <row r="109" spans="1:20" x14ac:dyDescent="0.25">
      <c r="A109" s="5">
        <v>44484</v>
      </c>
      <c r="B109">
        <v>8.5250000000000004</v>
      </c>
      <c r="C109">
        <v>8.7799999999999994</v>
      </c>
      <c r="D109">
        <v>7.7389999999999999</v>
      </c>
      <c r="E109">
        <v>8.093</v>
      </c>
      <c r="F109">
        <v>976185.3</v>
      </c>
      <c r="G109">
        <v>8.093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-0.31988472622478337</v>
      </c>
      <c r="Q109">
        <f t="shared" ref="Q109" si="521">F109*P109</f>
        <v>-312266.76743515802</v>
      </c>
      <c r="R109">
        <f t="shared" ref="R109" si="522">R110+Q109</f>
        <v>-9739908.5891565457</v>
      </c>
      <c r="S109">
        <f t="shared" ref="S109" si="523">R109/100000</f>
        <v>-97.399085891565463</v>
      </c>
      <c r="T109">
        <f t="shared" ref="T109" si="524">S109/1000</f>
        <v>-9.7399085891565457E-2</v>
      </c>
    </row>
    <row r="110" spans="1:20" x14ac:dyDescent="0.25">
      <c r="A110" s="5">
        <v>44483</v>
      </c>
      <c r="B110">
        <v>7.7990000000000004</v>
      </c>
      <c r="C110">
        <v>9.11</v>
      </c>
      <c r="D110">
        <v>7.7050000000000001</v>
      </c>
      <c r="E110">
        <v>8.5120000000000005</v>
      </c>
      <c r="F110">
        <v>2108547.7000000002</v>
      </c>
      <c r="G110">
        <v>8.5120000000000005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0.14875444839857757</v>
      </c>
      <c r="Q110">
        <f t="shared" ref="Q110" si="526">F110*P110</f>
        <v>313655.85003558942</v>
      </c>
      <c r="R110">
        <f t="shared" ref="R110" si="527">R111+Q110</f>
        <v>-9427641.821721388</v>
      </c>
      <c r="S110">
        <f t="shared" ref="S110" si="528">R110/100000</f>
        <v>-94.276418217213887</v>
      </c>
      <c r="T110">
        <f t="shared" ref="T110" si="529">S110/1000</f>
        <v>-9.4276418217213886E-2</v>
      </c>
    </row>
    <row r="111" spans="1:20" x14ac:dyDescent="0.25">
      <c r="A111" s="5">
        <v>44482</v>
      </c>
      <c r="B111">
        <v>7.3730000000000002</v>
      </c>
      <c r="C111">
        <v>7.8630000000000004</v>
      </c>
      <c r="D111">
        <v>7.25</v>
      </c>
      <c r="E111">
        <v>7.7990000000000004</v>
      </c>
      <c r="F111">
        <v>590431.6</v>
      </c>
      <c r="G111">
        <v>7.7990000000000004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0.79119086460032617</v>
      </c>
      <c r="Q111">
        <f t="shared" ref="Q111" si="531">F111*P111</f>
        <v>467144.08809135394</v>
      </c>
      <c r="R111">
        <f t="shared" ref="R111" si="532">R112+Q111</f>
        <v>-9741297.6717569772</v>
      </c>
      <c r="S111">
        <f t="shared" ref="S111" si="533">R111/100000</f>
        <v>-97.412976717569776</v>
      </c>
      <c r="T111">
        <f t="shared" ref="T111" si="534">S111/1000</f>
        <v>-9.741297671756978E-2</v>
      </c>
    </row>
    <row r="112" spans="1:20" x14ac:dyDescent="0.25">
      <c r="A112" s="5">
        <v>44481</v>
      </c>
      <c r="B112">
        <v>7.5460000000000003</v>
      </c>
      <c r="C112">
        <v>7.548</v>
      </c>
      <c r="D112">
        <v>7.0510000000000002</v>
      </c>
      <c r="E112">
        <v>7.3780000000000001</v>
      </c>
      <c r="F112">
        <v>509005.3</v>
      </c>
      <c r="G112">
        <v>7.3780000000000001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0.31589537223340053</v>
      </c>
      <c r="Q112">
        <f t="shared" ref="Q112" si="536">F112*P112</f>
        <v>160792.41871227371</v>
      </c>
      <c r="R112">
        <f t="shared" ref="R112" si="537">R113+Q112</f>
        <v>-10208441.759848332</v>
      </c>
      <c r="S112">
        <f t="shared" ref="S112" si="538">R112/100000</f>
        <v>-102.08441759848333</v>
      </c>
      <c r="T112">
        <f t="shared" ref="T112" si="539">S112/1000</f>
        <v>-0.10208441759848333</v>
      </c>
    </row>
    <row r="113" spans="1:20" x14ac:dyDescent="0.25">
      <c r="A113" s="5">
        <v>44480</v>
      </c>
      <c r="B113">
        <v>7.6449999999999996</v>
      </c>
      <c r="C113">
        <v>8.0150000000000006</v>
      </c>
      <c r="D113">
        <v>7.38</v>
      </c>
      <c r="E113">
        <v>7.5590000000000002</v>
      </c>
      <c r="F113">
        <v>555050.9</v>
      </c>
      <c r="G113">
        <v>7.5590000000000002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-0.43622047244094464</v>
      </c>
      <c r="Q113">
        <f t="shared" ref="Q113" si="541">F113*P113</f>
        <v>-242124.56582677152</v>
      </c>
      <c r="R113">
        <f t="shared" ref="R113" si="542">R114+Q113</f>
        <v>-10369234.178560605</v>
      </c>
      <c r="S113">
        <f t="shared" ref="S113" si="543">R113/100000</f>
        <v>-103.69234178560605</v>
      </c>
      <c r="T113">
        <f t="shared" ref="T113" si="544">S113/1000</f>
        <v>-0.10369234178560605</v>
      </c>
    </row>
    <row r="114" spans="1:20" x14ac:dyDescent="0.25">
      <c r="A114" s="5">
        <v>44479</v>
      </c>
      <c r="B114">
        <v>7.9189999999999996</v>
      </c>
      <c r="C114">
        <v>8.0779999999999994</v>
      </c>
      <c r="D114">
        <v>7.6079999999999997</v>
      </c>
      <c r="E114">
        <v>7.6539999999999999</v>
      </c>
      <c r="F114">
        <v>491151.7</v>
      </c>
      <c r="G114">
        <v>7.6539999999999999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-0.804255319148935</v>
      </c>
      <c r="Q114">
        <f t="shared" ref="Q114" si="546">F114*P114</f>
        <v>-395011.36723404197</v>
      </c>
      <c r="R114">
        <f t="shared" ref="R114" si="547">R115+Q114</f>
        <v>-10127109.612733833</v>
      </c>
      <c r="S114">
        <f t="shared" ref="S114" si="548">R114/100000</f>
        <v>-101.27109612733834</v>
      </c>
      <c r="T114">
        <f t="shared" ref="T114" si="549">S114/1000</f>
        <v>-0.10127109612733834</v>
      </c>
    </row>
    <row r="115" spans="1:20" x14ac:dyDescent="0.25">
      <c r="A115" s="5">
        <v>44478</v>
      </c>
      <c r="B115">
        <v>7.9539999999999997</v>
      </c>
      <c r="C115">
        <v>8.1639999999999997</v>
      </c>
      <c r="D115">
        <v>7.8620000000000001</v>
      </c>
      <c r="E115">
        <v>7.9189999999999996</v>
      </c>
      <c r="F115">
        <v>531317.4</v>
      </c>
      <c r="G115">
        <v>7.9189999999999996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-0.62251655629139357</v>
      </c>
      <c r="Q115">
        <f t="shared" ref="Q115" si="551">F115*P115</f>
        <v>-330753.87814569689</v>
      </c>
      <c r="R115">
        <f t="shared" ref="R115" si="552">R116+Q115</f>
        <v>-9732098.2454997916</v>
      </c>
      <c r="S115">
        <f t="shared" ref="S115" si="553">R115/100000</f>
        <v>-97.320982454997917</v>
      </c>
      <c r="T115">
        <f t="shared" ref="T115" si="554">S115/1000</f>
        <v>-9.7320982454997915E-2</v>
      </c>
    </row>
    <row r="116" spans="1:20" x14ac:dyDescent="0.25">
      <c r="A116" s="5">
        <v>44477</v>
      </c>
      <c r="B116">
        <v>8.2739999999999991</v>
      </c>
      <c r="C116">
        <v>8.4329999999999998</v>
      </c>
      <c r="D116">
        <v>7.89</v>
      </c>
      <c r="E116">
        <v>7.95</v>
      </c>
      <c r="F116">
        <v>745544.5</v>
      </c>
      <c r="G116">
        <v>7.95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-0.77900552486187669</v>
      </c>
      <c r="Q116">
        <f t="shared" ref="Q116" si="556">F116*P116</f>
        <v>-580783.2845303854</v>
      </c>
      <c r="R116">
        <f t="shared" ref="R116" si="557">R117+Q116</f>
        <v>-9401344.367354095</v>
      </c>
      <c r="S116">
        <f t="shared" ref="S116" si="558">R116/100000</f>
        <v>-94.013443673540948</v>
      </c>
      <c r="T116">
        <f t="shared" ref="T116" si="559">S116/1000</f>
        <v>-9.4013443673540947E-2</v>
      </c>
    </row>
    <row r="117" spans="1:20" x14ac:dyDescent="0.25">
      <c r="A117" s="5">
        <v>44476</v>
      </c>
      <c r="B117">
        <v>8.44</v>
      </c>
      <c r="C117">
        <v>8.6150000000000002</v>
      </c>
      <c r="D117">
        <v>8</v>
      </c>
      <c r="E117">
        <v>8.2629999999999999</v>
      </c>
      <c r="F117">
        <v>498651.3</v>
      </c>
      <c r="G117">
        <v>8.2629999999999999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-0.14471544715447215</v>
      </c>
      <c r="Q117">
        <f t="shared" ref="Q117" si="561">F117*P117</f>
        <v>-72162.545853658841</v>
      </c>
      <c r="R117">
        <f t="shared" ref="R117" si="562">R118+Q117</f>
        <v>-8820561.0828237087</v>
      </c>
      <c r="S117">
        <f t="shared" ref="S117" si="563">R117/100000</f>
        <v>-88.205610828237084</v>
      </c>
      <c r="T117">
        <f t="shared" ref="T117" si="564">S117/1000</f>
        <v>-8.820561082823708E-2</v>
      </c>
    </row>
    <row r="118" spans="1:20" x14ac:dyDescent="0.25">
      <c r="A118" s="5">
        <v>44475</v>
      </c>
      <c r="B118">
        <v>8.4960000000000004</v>
      </c>
      <c r="C118">
        <v>8.8130000000000006</v>
      </c>
      <c r="D118">
        <v>7.984</v>
      </c>
      <c r="E118">
        <v>8.4280000000000008</v>
      </c>
      <c r="F118">
        <v>704610.3</v>
      </c>
      <c r="G118">
        <v>8.4280000000000008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7.1170084439084444E-2</v>
      </c>
      <c r="Q118">
        <f t="shared" ref="Q118" si="566">F118*P118</f>
        <v>50147.174547648625</v>
      </c>
      <c r="R118">
        <f t="shared" ref="R118" si="567">R119+Q118</f>
        <v>-8748398.5369700491</v>
      </c>
      <c r="S118">
        <f t="shared" ref="S118" si="568">R118/100000</f>
        <v>-87.483985369700491</v>
      </c>
      <c r="T118">
        <f t="shared" ref="T118" si="569">S118/1000</f>
        <v>-8.7483985369700493E-2</v>
      </c>
    </row>
    <row r="119" spans="1:20" x14ac:dyDescent="0.25">
      <c r="A119" s="5">
        <v>44474</v>
      </c>
      <c r="B119">
        <v>8.5980000000000008</v>
      </c>
      <c r="C119">
        <v>8.9689999999999994</v>
      </c>
      <c r="D119">
        <v>8.41</v>
      </c>
      <c r="E119">
        <v>8.4960000000000004</v>
      </c>
      <c r="F119">
        <v>601714.1</v>
      </c>
      <c r="G119">
        <v>8.4960000000000004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-0.69230769230769085</v>
      </c>
      <c r="Q119">
        <f t="shared" ref="Q119" si="571">F119*P119</f>
        <v>-416571.29999999912</v>
      </c>
      <c r="R119">
        <f t="shared" ref="R119" si="572">R120+Q119</f>
        <v>-8798545.7115176972</v>
      </c>
      <c r="S119">
        <f t="shared" ref="S119" si="573">R119/100000</f>
        <v>-87.98545711517697</v>
      </c>
      <c r="T119">
        <f t="shared" ref="T119" si="574">S119/1000</f>
        <v>-8.7985457115176968E-2</v>
      </c>
    </row>
    <row r="120" spans="1:20" x14ac:dyDescent="0.25">
      <c r="A120" s="5">
        <v>44473</v>
      </c>
      <c r="B120">
        <v>8.7080000000000002</v>
      </c>
      <c r="C120">
        <v>8.73</v>
      </c>
      <c r="D120">
        <v>8.0549999999999997</v>
      </c>
      <c r="E120">
        <v>8.4849999999999994</v>
      </c>
      <c r="F120">
        <v>808090.7</v>
      </c>
      <c r="G120">
        <v>8.4849999999999994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0.27407407407407192</v>
      </c>
      <c r="Q120">
        <f t="shared" ref="Q120" si="576">F120*P120</f>
        <v>221476.71037036862</v>
      </c>
      <c r="R120">
        <f t="shared" ref="R120" si="577">R121+Q120</f>
        <v>-8381974.4115176974</v>
      </c>
      <c r="S120">
        <f t="shared" ref="S120" si="578">R120/100000</f>
        <v>-83.819744115176974</v>
      </c>
      <c r="T120">
        <f t="shared" ref="T120" si="579">S120/1000</f>
        <v>-8.3819744115176981E-2</v>
      </c>
    </row>
    <row r="121" spans="1:20" x14ac:dyDescent="0.25">
      <c r="A121" s="5">
        <v>44472</v>
      </c>
      <c r="B121">
        <v>8.6739999999999995</v>
      </c>
      <c r="C121">
        <v>9.4589999999999996</v>
      </c>
      <c r="D121">
        <v>8.48</v>
      </c>
      <c r="E121">
        <v>8.702</v>
      </c>
      <c r="F121">
        <v>1066903.7</v>
      </c>
      <c r="G121">
        <v>8.702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-0.54647599591419871</v>
      </c>
      <c r="Q121">
        <f t="shared" ref="Q121" si="581">F121*P121</f>
        <v>-583037.26200204343</v>
      </c>
      <c r="R121">
        <f t="shared" ref="R121" si="582">R122+Q121</f>
        <v>-8603451.1218880657</v>
      </c>
      <c r="S121">
        <f t="shared" ref="S121" si="583">R121/100000</f>
        <v>-86.034511218880652</v>
      </c>
      <c r="T121">
        <f t="shared" ref="T121" si="584">S121/1000</f>
        <v>-8.6034511218880658E-2</v>
      </c>
    </row>
    <row r="122" spans="1:20" x14ac:dyDescent="0.25">
      <c r="A122" s="5">
        <v>44471</v>
      </c>
      <c r="B122">
        <v>8.86</v>
      </c>
      <c r="C122">
        <v>8.9860000000000007</v>
      </c>
      <c r="D122">
        <v>8.4499999999999993</v>
      </c>
      <c r="E122">
        <v>8.6690000000000005</v>
      </c>
      <c r="F122">
        <v>594678.80000000005</v>
      </c>
      <c r="G122">
        <v>8.6690000000000005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-0.18283582089552</v>
      </c>
      <c r="Q122">
        <f t="shared" ref="Q122" si="586">F122*P122</f>
        <v>-108728.58656716277</v>
      </c>
      <c r="R122">
        <f t="shared" ref="R122" si="587">R123+Q122</f>
        <v>-8020413.8598860223</v>
      </c>
      <c r="S122">
        <f t="shared" ref="S122" si="588">R122/100000</f>
        <v>-80.204138598860226</v>
      </c>
      <c r="T122">
        <f t="shared" ref="T122" si="589">S122/1000</f>
        <v>-8.020413859886022E-2</v>
      </c>
    </row>
    <row r="123" spans="1:20" x14ac:dyDescent="0.25">
      <c r="A123" s="5">
        <v>44470</v>
      </c>
      <c r="B123">
        <v>8.0760000000000005</v>
      </c>
      <c r="C123">
        <v>9.0690000000000008</v>
      </c>
      <c r="D123">
        <v>7.8019999999999996</v>
      </c>
      <c r="E123">
        <v>8.8719999999999999</v>
      </c>
      <c r="F123">
        <v>1018882.9</v>
      </c>
      <c r="G123">
        <v>8.8719999999999999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0.68902920284135638</v>
      </c>
      <c r="Q123">
        <f t="shared" ref="Q123" si="591">F123*P123</f>
        <v>702040.0723756894</v>
      </c>
      <c r="R123">
        <f t="shared" ref="R123" si="592">R124+Q123</f>
        <v>-7911685.2733188597</v>
      </c>
      <c r="S123">
        <f t="shared" ref="S123" si="593">R123/100000</f>
        <v>-79.116852733188594</v>
      </c>
      <c r="T123">
        <f t="shared" ref="T123" si="594">S123/1000</f>
        <v>-7.9116852733188595E-2</v>
      </c>
    </row>
    <row r="124" spans="1:20" x14ac:dyDescent="0.25">
      <c r="A124" s="5">
        <v>44469</v>
      </c>
      <c r="B124">
        <v>7.5110000000000001</v>
      </c>
      <c r="C124">
        <v>8.4190000000000005</v>
      </c>
      <c r="D124">
        <v>7.4630000000000001</v>
      </c>
      <c r="E124">
        <v>8.0760000000000005</v>
      </c>
      <c r="F124">
        <v>956054.6</v>
      </c>
      <c r="G124">
        <v>8.0760000000000005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0.2824267782426782</v>
      </c>
      <c r="Q124">
        <f t="shared" ref="Q124" si="596">F124*P124</f>
        <v>270015.4205020924</v>
      </c>
      <c r="R124">
        <f t="shared" ref="R124" si="597">R125+Q124</f>
        <v>-8613725.3456945494</v>
      </c>
      <c r="S124">
        <f t="shared" ref="S124" si="598">R124/100000</f>
        <v>-86.137253456945487</v>
      </c>
      <c r="T124">
        <f t="shared" ref="T124" si="599">S124/1000</f>
        <v>-8.6137253456945492E-2</v>
      </c>
    </row>
    <row r="125" spans="1:20" x14ac:dyDescent="0.25">
      <c r="A125" s="5">
        <v>44468</v>
      </c>
      <c r="B125">
        <v>7.4489999999999998</v>
      </c>
      <c r="C125">
        <v>7.9160000000000004</v>
      </c>
      <c r="D125">
        <v>7.3140000000000001</v>
      </c>
      <c r="E125">
        <v>7.5060000000000002</v>
      </c>
      <c r="F125">
        <v>699354.8</v>
      </c>
      <c r="G125">
        <v>7.5060000000000002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-0.36212624584717584</v>
      </c>
      <c r="Q125">
        <f t="shared" ref="Q125" si="601">F125*P125</f>
        <v>-253254.72823920252</v>
      </c>
      <c r="R125">
        <f t="shared" ref="R125" si="602">R126+Q125</f>
        <v>-8883740.7661966421</v>
      </c>
      <c r="S125">
        <f t="shared" ref="S125" si="603">R125/100000</f>
        <v>-88.837407661966424</v>
      </c>
      <c r="T125">
        <f t="shared" ref="T125" si="604">S125/1000</f>
        <v>-8.8837407661966419E-2</v>
      </c>
    </row>
    <row r="126" spans="1:20" x14ac:dyDescent="0.25">
      <c r="A126" s="5">
        <v>44467</v>
      </c>
      <c r="B126">
        <v>7.7149999999999999</v>
      </c>
      <c r="C126">
        <v>8.0399999999999991</v>
      </c>
      <c r="D126">
        <v>7.3390000000000004</v>
      </c>
      <c r="E126">
        <v>7.4489999999999998</v>
      </c>
      <c r="F126">
        <v>1017108</v>
      </c>
      <c r="G126">
        <v>7.4489999999999998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-0.68616262482168433</v>
      </c>
      <c r="Q126">
        <f t="shared" ref="Q126" si="606">F126*P126</f>
        <v>-697901.49500713369</v>
      </c>
      <c r="R126">
        <f t="shared" ref="R126" si="607">R127+Q126</f>
        <v>-8630486.0379574392</v>
      </c>
      <c r="S126">
        <f t="shared" ref="S126" si="608">R126/100000</f>
        <v>-86.304860379574393</v>
      </c>
      <c r="T126">
        <f t="shared" ref="T126" si="609">S126/1000</f>
        <v>-8.6304860379574397E-2</v>
      </c>
    </row>
    <row r="127" spans="1:20" x14ac:dyDescent="0.25">
      <c r="A127" s="5">
        <v>44466</v>
      </c>
      <c r="B127">
        <v>8.1660000000000004</v>
      </c>
      <c r="C127">
        <v>8.5960000000000001</v>
      </c>
      <c r="D127">
        <v>7.7</v>
      </c>
      <c r="E127">
        <v>7.7039999999999997</v>
      </c>
      <c r="F127">
        <v>881911.4</v>
      </c>
      <c r="G127">
        <v>7.7039999999999997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-0.9910714285714296</v>
      </c>
      <c r="Q127">
        <f t="shared" ref="Q127" si="611">F127*P127</f>
        <v>-874037.19107142952</v>
      </c>
      <c r="R127">
        <f t="shared" ref="R127" si="612">R128+Q127</f>
        <v>-7932584.5429503052</v>
      </c>
      <c r="S127">
        <f t="shared" ref="S127" si="613">R127/100000</f>
        <v>-79.325845429503048</v>
      </c>
      <c r="T127">
        <f t="shared" ref="T127" si="614">S127/1000</f>
        <v>-7.932584542950305E-2</v>
      </c>
    </row>
    <row r="128" spans="1:20" x14ac:dyDescent="0.25">
      <c r="A128" s="5">
        <v>44465</v>
      </c>
      <c r="B128">
        <v>8.4290000000000003</v>
      </c>
      <c r="C128">
        <v>8.7620000000000005</v>
      </c>
      <c r="D128">
        <v>7.65</v>
      </c>
      <c r="E128">
        <v>8.1760000000000002</v>
      </c>
      <c r="F128">
        <v>1761062.3</v>
      </c>
      <c r="G128">
        <v>8.1760000000000002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-5.3956834532374542E-2</v>
      </c>
      <c r="Q128">
        <f t="shared" ref="Q128" si="616">F128*P128</f>
        <v>-95021.347122302934</v>
      </c>
      <c r="R128">
        <f t="shared" ref="R128" si="617">R129+Q128</f>
        <v>-7058547.3518788759</v>
      </c>
      <c r="S128">
        <f t="shared" ref="S128" si="618">R128/100000</f>
        <v>-70.58547351878876</v>
      </c>
      <c r="T128">
        <f t="shared" ref="T128" si="619">S128/1000</f>
        <v>-7.0585473518788758E-2</v>
      </c>
    </row>
    <row r="129" spans="1:20" x14ac:dyDescent="0.25">
      <c r="A129" s="5">
        <v>44464</v>
      </c>
      <c r="B129">
        <v>8.5909999999999993</v>
      </c>
      <c r="C129">
        <v>8.7769999999999992</v>
      </c>
      <c r="D129">
        <v>8.109</v>
      </c>
      <c r="E129">
        <v>8.4320000000000004</v>
      </c>
      <c r="F129">
        <v>587463.1</v>
      </c>
      <c r="G129">
        <v>8.4320000000000004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-3.2934131736524687E-2</v>
      </c>
      <c r="Q129">
        <f t="shared" ref="Q129" si="621">F129*P129</f>
        <v>-19347.587125747174</v>
      </c>
      <c r="R129">
        <f t="shared" ref="R129" si="622">R130+Q129</f>
        <v>-6963526.0047565727</v>
      </c>
      <c r="S129">
        <f t="shared" ref="S129" si="623">R129/100000</f>
        <v>-69.635260047565723</v>
      </c>
      <c r="T129">
        <f t="shared" ref="T129" si="624">S129/1000</f>
        <v>-6.963526004756572E-2</v>
      </c>
    </row>
    <row r="130" spans="1:20" x14ac:dyDescent="0.25">
      <c r="A130" s="5">
        <v>44463</v>
      </c>
      <c r="B130">
        <v>9.6110000000000007</v>
      </c>
      <c r="C130">
        <v>9.7899999999999991</v>
      </c>
      <c r="D130">
        <v>7.9459999999999997</v>
      </c>
      <c r="E130">
        <v>8.5939999999999994</v>
      </c>
      <c r="F130">
        <v>1232882.3999999999</v>
      </c>
      <c r="G130">
        <v>8.5939999999999994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-0.29718004338394804</v>
      </c>
      <c r="Q130">
        <f t="shared" ref="Q130" si="626">F130*P130</f>
        <v>-366388.04511930596</v>
      </c>
      <c r="R130">
        <f t="shared" ref="R130" si="627">R131+Q130</f>
        <v>-6944178.4176308252</v>
      </c>
      <c r="S130">
        <f t="shared" ref="S130" si="628">R130/100000</f>
        <v>-69.441784176308246</v>
      </c>
      <c r="T130">
        <f t="shared" ref="T130" si="629">S130/1000</f>
        <v>-6.9441784176308252E-2</v>
      </c>
    </row>
    <row r="131" spans="1:20" x14ac:dyDescent="0.25">
      <c r="A131" s="5">
        <v>44462</v>
      </c>
      <c r="B131">
        <v>8.8550000000000004</v>
      </c>
      <c r="C131">
        <v>9.6709999999999994</v>
      </c>
      <c r="D131">
        <v>8.6669999999999998</v>
      </c>
      <c r="E131">
        <v>9.6110000000000007</v>
      </c>
      <c r="F131">
        <v>942822.2</v>
      </c>
      <c r="G131">
        <v>9.6110000000000007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0.88047808764940494</v>
      </c>
      <c r="Q131">
        <f t="shared" ref="Q131" si="631">F131*P131</f>
        <v>830134.28764940472</v>
      </c>
      <c r="R131">
        <f t="shared" ref="R131" si="632">R132+Q131</f>
        <v>-6577790.3725115191</v>
      </c>
      <c r="S131">
        <f t="shared" ref="S131" si="633">R131/100000</f>
        <v>-65.777903725115195</v>
      </c>
      <c r="T131">
        <f t="shared" ref="T131" si="634">S131/1000</f>
        <v>-6.5777903725115189E-2</v>
      </c>
    </row>
    <row r="132" spans="1:20" x14ac:dyDescent="0.25">
      <c r="A132" s="5">
        <v>44461</v>
      </c>
      <c r="B132">
        <v>7.77</v>
      </c>
      <c r="C132">
        <v>8.9920000000000009</v>
      </c>
      <c r="D132">
        <v>7.7</v>
      </c>
      <c r="E132">
        <v>8.8550000000000004</v>
      </c>
      <c r="F132">
        <v>1019178.2</v>
      </c>
      <c r="G132">
        <v>8.8550000000000004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0.78792569659442668</v>
      </c>
      <c r="Q132">
        <f t="shared" ref="Q132" si="636">F132*P132</f>
        <v>803036.69318885391</v>
      </c>
      <c r="R132">
        <f t="shared" ref="R132" si="637">R133+Q132</f>
        <v>-7407924.6601609243</v>
      </c>
      <c r="S132">
        <f t="shared" ref="S132" si="638">R132/100000</f>
        <v>-74.079246601609242</v>
      </c>
      <c r="T132">
        <f t="shared" ref="T132" si="639">S132/1000</f>
        <v>-7.4079246601609236E-2</v>
      </c>
    </row>
    <row r="133" spans="1:20" x14ac:dyDescent="0.25">
      <c r="A133" s="5">
        <v>44460</v>
      </c>
      <c r="B133">
        <v>8.7110000000000003</v>
      </c>
      <c r="C133">
        <v>9.3000000000000007</v>
      </c>
      <c r="D133">
        <v>7.5979999999999999</v>
      </c>
      <c r="E133">
        <v>7.7619999999999996</v>
      </c>
      <c r="F133">
        <v>1634950.3</v>
      </c>
      <c r="G133">
        <v>7.7619999999999996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-0.8072855464159816</v>
      </c>
      <c r="Q133">
        <f t="shared" ref="Q133" si="641">F133*P133</f>
        <v>-1319871.7462984731</v>
      </c>
      <c r="R133">
        <f t="shared" ref="R133" si="642">R134+Q133</f>
        <v>-8210961.3533497779</v>
      </c>
      <c r="S133">
        <f t="shared" ref="S133" si="643">R133/100000</f>
        <v>-82.109613533497779</v>
      </c>
      <c r="T133">
        <f t="shared" ref="T133" si="644">S133/1000</f>
        <v>-8.2109613533497786E-2</v>
      </c>
    </row>
    <row r="134" spans="1:20" x14ac:dyDescent="0.25">
      <c r="A134" s="5">
        <v>44459</v>
      </c>
      <c r="B134">
        <v>10.292999999999999</v>
      </c>
      <c r="C134">
        <v>10.484999999999999</v>
      </c>
      <c r="D134">
        <v>8.9149999999999991</v>
      </c>
      <c r="E134">
        <v>9.2750000000000004</v>
      </c>
      <c r="F134">
        <v>958853</v>
      </c>
      <c r="G134">
        <v>9.2750000000000004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-0.54140127388534887</v>
      </c>
      <c r="Q134">
        <f t="shared" ref="Q134" si="646">F134*P134</f>
        <v>-519124.23566878843</v>
      </c>
      <c r="R134">
        <f t="shared" ref="R134" si="647">R135+Q134</f>
        <v>-6891089.6070513045</v>
      </c>
      <c r="S134">
        <f t="shared" ref="S134" si="648">R134/100000</f>
        <v>-68.910896070513047</v>
      </c>
      <c r="T134">
        <f t="shared" ref="T134" si="649">S134/1000</f>
        <v>-6.8910896070513053E-2</v>
      </c>
    </row>
    <row r="135" spans="1:20" x14ac:dyDescent="0.25">
      <c r="A135" s="5">
        <v>44458</v>
      </c>
      <c r="B135">
        <v>11.4</v>
      </c>
      <c r="C135">
        <v>11.518000000000001</v>
      </c>
      <c r="D135">
        <v>10.220000000000001</v>
      </c>
      <c r="E135">
        <v>10.276</v>
      </c>
      <c r="F135">
        <v>1201745.7</v>
      </c>
      <c r="G135">
        <v>10.276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-0.91371340523883027</v>
      </c>
      <c r="Q135">
        <f t="shared" ref="Q135" si="651">F135*P135</f>
        <v>-1098051.1557781217</v>
      </c>
      <c r="R135">
        <f t="shared" ref="R135" si="652">R136+Q135</f>
        <v>-6371965.3713825159</v>
      </c>
      <c r="S135">
        <f t="shared" ref="S135" si="653">R135/100000</f>
        <v>-63.71965371382516</v>
      </c>
      <c r="T135">
        <f t="shared" ref="T135" si="654">S135/1000</f>
        <v>-6.3719653713825167E-2</v>
      </c>
    </row>
    <row r="136" spans="1:20" x14ac:dyDescent="0.25">
      <c r="A136" s="5">
        <v>44457</v>
      </c>
      <c r="B136">
        <v>11.57</v>
      </c>
      <c r="C136">
        <v>13.186999999999999</v>
      </c>
      <c r="D136">
        <v>11.289</v>
      </c>
      <c r="E136">
        <v>11.4</v>
      </c>
      <c r="F136">
        <v>2508581.3080000002</v>
      </c>
      <c r="G136">
        <v>11.4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-0.88303477344573167</v>
      </c>
      <c r="Q136">
        <f t="shared" ref="Q136" si="656">F136*P136</f>
        <v>-2215164.5269799773</v>
      </c>
      <c r="R136">
        <f t="shared" ref="R136" si="657">R137+Q136</f>
        <v>-5273914.2156043937</v>
      </c>
      <c r="S136">
        <f t="shared" ref="S136" si="658">R136/100000</f>
        <v>-52.73914215604394</v>
      </c>
      <c r="T136">
        <f t="shared" ref="T136" si="659">S136/1000</f>
        <v>-5.2739142156043937E-2</v>
      </c>
    </row>
    <row r="137" spans="1:20" x14ac:dyDescent="0.25">
      <c r="A137" s="5">
        <v>44456</v>
      </c>
      <c r="B137">
        <v>10.494999999999999</v>
      </c>
      <c r="C137">
        <v>11.827</v>
      </c>
      <c r="D137">
        <v>10.212</v>
      </c>
      <c r="E137">
        <v>11.577</v>
      </c>
      <c r="F137">
        <v>2518420.6</v>
      </c>
      <c r="G137">
        <v>11.577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0.69040247678018585</v>
      </c>
      <c r="Q137">
        <f t="shared" ref="Q137" si="661">F137*P137</f>
        <v>1738723.8198142417</v>
      </c>
      <c r="R137">
        <f t="shared" ref="R137" si="662">R138+Q137</f>
        <v>-3058749.6886244165</v>
      </c>
      <c r="S137">
        <f t="shared" ref="S137" si="663">R137/100000</f>
        <v>-30.587496886244164</v>
      </c>
      <c r="T137">
        <f t="shared" ref="T137" si="664">S137/1000</f>
        <v>-3.0587496886244164E-2</v>
      </c>
    </row>
    <row r="138" spans="1:20" x14ac:dyDescent="0.25">
      <c r="A138" s="5">
        <v>44455</v>
      </c>
      <c r="B138">
        <v>11.539</v>
      </c>
      <c r="C138">
        <v>11.92</v>
      </c>
      <c r="D138">
        <v>10</v>
      </c>
      <c r="E138">
        <v>10.481999999999999</v>
      </c>
      <c r="F138">
        <v>2560459.7000000002</v>
      </c>
      <c r="G138">
        <v>10.481999999999999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-0.49791666666666734</v>
      </c>
      <c r="Q138">
        <f t="shared" ref="Q138" si="666">F138*P138</f>
        <v>-1274895.5589583351</v>
      </c>
      <c r="R138">
        <f t="shared" ref="R138" si="667">R139+Q138</f>
        <v>-4797473.508438658</v>
      </c>
      <c r="S138">
        <f t="shared" ref="S138" si="668">R138/100000</f>
        <v>-47.97473508438658</v>
      </c>
      <c r="T138">
        <f t="shared" ref="T138" si="669">S138/1000</f>
        <v>-4.7974735084386579E-2</v>
      </c>
    </row>
    <row r="139" spans="1:20" x14ac:dyDescent="0.25">
      <c r="A139" s="5">
        <v>44454</v>
      </c>
      <c r="B139">
        <v>9.0399999999999991</v>
      </c>
      <c r="C139">
        <v>12.179</v>
      </c>
      <c r="D139">
        <v>8.9450000000000003</v>
      </c>
      <c r="E139">
        <v>11.537000000000001</v>
      </c>
      <c r="F139">
        <v>4098528.1719999998</v>
      </c>
      <c r="G139">
        <v>11.537000000000001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0.60296846011131755</v>
      </c>
      <c r="Q139">
        <f t="shared" ref="Q139" si="671">F139*P139</f>
        <v>2471283.2205936932</v>
      </c>
      <c r="R139">
        <f t="shared" ref="R139" si="672">R140+Q139</f>
        <v>-3522577.9494803227</v>
      </c>
      <c r="S139">
        <f t="shared" ref="S139" si="673">R139/100000</f>
        <v>-35.225779494803227</v>
      </c>
      <c r="T139">
        <f t="shared" ref="T139" si="674">S139/1000</f>
        <v>-3.5225779494803225E-2</v>
      </c>
    </row>
    <row r="140" spans="1:20" x14ac:dyDescent="0.25">
      <c r="A140" s="5">
        <v>44453</v>
      </c>
      <c r="B140">
        <v>8.875</v>
      </c>
      <c r="C140">
        <v>9.1809999999999992</v>
      </c>
      <c r="D140">
        <v>8.65</v>
      </c>
      <c r="E140">
        <v>9.0559999999999992</v>
      </c>
      <c r="F140">
        <v>1313371.5</v>
      </c>
      <c r="G140">
        <v>9.0559999999999992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0.52919020715630782</v>
      </c>
      <c r="Q140">
        <f t="shared" ref="Q140" si="676">F140*P140</f>
        <v>695023.33615819074</v>
      </c>
      <c r="R140">
        <f t="shared" ref="R140" si="677">R141+Q140</f>
        <v>-5993861.1700740159</v>
      </c>
      <c r="S140">
        <f t="shared" ref="S140" si="678">R140/100000</f>
        <v>-59.938611700740161</v>
      </c>
      <c r="T140">
        <f t="shared" ref="T140" si="679">S140/1000</f>
        <v>-5.9938611700740163E-2</v>
      </c>
    </row>
    <row r="141" spans="1:20" x14ac:dyDescent="0.25">
      <c r="A141" s="5">
        <v>44452</v>
      </c>
      <c r="B141">
        <v>9.6270000000000007</v>
      </c>
      <c r="C141">
        <v>9.9</v>
      </c>
      <c r="D141">
        <v>8.4559999999999995</v>
      </c>
      <c r="E141">
        <v>8.8729999999999993</v>
      </c>
      <c r="F141">
        <v>1254858.2</v>
      </c>
      <c r="G141">
        <v>8.8729999999999993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-0.42243767313019448</v>
      </c>
      <c r="Q141">
        <f t="shared" ref="Q141" si="681">F141*P141</f>
        <v>-530099.37811634422</v>
      </c>
      <c r="R141">
        <f t="shared" ref="R141" si="682">R142+Q141</f>
        <v>-6688884.5062322067</v>
      </c>
      <c r="S141">
        <f t="shared" ref="S141" si="683">R141/100000</f>
        <v>-66.888845062322062</v>
      </c>
      <c r="T141">
        <f t="shared" ref="T141" si="684">S141/1000</f>
        <v>-6.6888845062322067E-2</v>
      </c>
    </row>
    <row r="142" spans="1:20" x14ac:dyDescent="0.25">
      <c r="A142" s="5">
        <v>44451</v>
      </c>
      <c r="B142">
        <v>8.6170000000000009</v>
      </c>
      <c r="C142">
        <v>10.199999999999999</v>
      </c>
      <c r="D142">
        <v>8.5129999999999999</v>
      </c>
      <c r="E142">
        <v>9.6329999999999991</v>
      </c>
      <c r="F142">
        <v>1634878.9</v>
      </c>
      <c r="G142">
        <v>9.6329999999999991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0.32780082987551823</v>
      </c>
      <c r="Q142">
        <f t="shared" ref="Q142" si="686">F142*P142</f>
        <v>535914.6601659744</v>
      </c>
      <c r="R142">
        <f t="shared" ref="R142" si="687">R143+Q142</f>
        <v>-6158785.1281158626</v>
      </c>
      <c r="S142">
        <f t="shared" ref="S142" si="688">R142/100000</f>
        <v>-61.587851281158628</v>
      </c>
      <c r="T142">
        <f t="shared" ref="T142" si="689">S142/1000</f>
        <v>-6.158785128115863E-2</v>
      </c>
    </row>
    <row r="143" spans="1:20" x14ac:dyDescent="0.25">
      <c r="A143" s="5">
        <v>44450</v>
      </c>
      <c r="B143">
        <v>8.3019999999999996</v>
      </c>
      <c r="C143">
        <v>9.3089999999999993</v>
      </c>
      <c r="D143">
        <v>8.0730000000000004</v>
      </c>
      <c r="E143">
        <v>8.6159999999999997</v>
      </c>
      <c r="F143">
        <v>1289809.1000000001</v>
      </c>
      <c r="G143">
        <v>8.6159999999999997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-0.12135922330097128</v>
      </c>
      <c r="Q143">
        <f t="shared" ref="Q143" si="691">F143*P143</f>
        <v>-156530.23058252482</v>
      </c>
      <c r="R143">
        <f t="shared" ref="R143" si="692">R144+Q143</f>
        <v>-6694699.7882818365</v>
      </c>
      <c r="S143">
        <f t="shared" ref="S143" si="693">R143/100000</f>
        <v>-66.946997882818366</v>
      </c>
      <c r="T143">
        <f t="shared" ref="T143" si="694">S143/1000</f>
        <v>-6.6946997882818368E-2</v>
      </c>
    </row>
    <row r="144" spans="1:20" x14ac:dyDescent="0.25">
      <c r="A144" s="5">
        <v>44449</v>
      </c>
      <c r="B144">
        <v>7.8289999999999997</v>
      </c>
      <c r="C144">
        <v>9.1</v>
      </c>
      <c r="D144">
        <v>7.444</v>
      </c>
      <c r="E144">
        <v>8.2850000000000001</v>
      </c>
      <c r="F144">
        <v>1809706.8</v>
      </c>
      <c r="G144">
        <v>8.2850000000000001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1.570048309178786E-2</v>
      </c>
      <c r="Q144">
        <f t="shared" ref="Q144" si="696">F144*P144</f>
        <v>28413.271014493515</v>
      </c>
      <c r="R144">
        <f t="shared" ref="R144" si="697">R145+Q144</f>
        <v>-6538169.5576993115</v>
      </c>
      <c r="S144">
        <f t="shared" ref="S144" si="698">R144/100000</f>
        <v>-65.38169557699311</v>
      </c>
      <c r="T144">
        <f t="shared" ref="T144" si="699">S144/1000</f>
        <v>-6.538169557699311E-2</v>
      </c>
    </row>
    <row r="145" spans="1:20" x14ac:dyDescent="0.25">
      <c r="A145" s="5">
        <v>44448</v>
      </c>
      <c r="B145">
        <v>7.9480000000000004</v>
      </c>
      <c r="C145">
        <v>8.5</v>
      </c>
      <c r="D145">
        <v>7.6559999999999997</v>
      </c>
      <c r="E145">
        <v>7.8220000000000001</v>
      </c>
      <c r="F145">
        <v>964090.8</v>
      </c>
      <c r="G145">
        <v>7.8220000000000001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-0.60663507109004666</v>
      </c>
      <c r="Q145">
        <f t="shared" ref="Q145" si="701">F145*P145</f>
        <v>-584851.29099526</v>
      </c>
      <c r="R145">
        <f t="shared" ref="R145" si="702">R146+Q145</f>
        <v>-6566582.8287138054</v>
      </c>
      <c r="S145">
        <f t="shared" ref="S145" si="703">R145/100000</f>
        <v>-65.665828287138055</v>
      </c>
      <c r="T145">
        <f t="shared" ref="T145" si="704">S145/1000</f>
        <v>-6.5665828287138059E-2</v>
      </c>
    </row>
    <row r="146" spans="1:20" x14ac:dyDescent="0.25">
      <c r="A146" s="5">
        <v>44447</v>
      </c>
      <c r="B146">
        <v>7.9320000000000004</v>
      </c>
      <c r="C146">
        <v>9</v>
      </c>
      <c r="D146">
        <v>7.3</v>
      </c>
      <c r="E146">
        <v>7.9539999999999997</v>
      </c>
      <c r="F146">
        <v>1009257.2</v>
      </c>
      <c r="G146">
        <v>7.9539999999999997</v>
      </c>
      <c r="L146" t="s">
        <v>7</v>
      </c>
      <c r="M146" t="s">
        <v>7</v>
      </c>
      <c r="N146" t="s">
        <v>8</v>
      </c>
      <c r="P146">
        <f t="shared" ref="P146" si="705">IF(C146=D146,0,((E146-D146)-(C146-E146))/(C146-D146))</f>
        <v>-0.23058823529411782</v>
      </c>
      <c r="Q146">
        <f t="shared" ref="Q146" si="706">F146*P146</f>
        <v>-232722.83670588251</v>
      </c>
      <c r="R146">
        <f t="shared" ref="R146" si="707">R147+Q146</f>
        <v>-5981731.5377185456</v>
      </c>
      <c r="S146">
        <f t="shared" ref="S146" si="708">R146/100000</f>
        <v>-59.817315377185459</v>
      </c>
      <c r="T146">
        <f t="shared" ref="T146" si="709">S146/1000</f>
        <v>-5.9817315377185459E-2</v>
      </c>
    </row>
    <row r="147" spans="1:20" x14ac:dyDescent="0.25">
      <c r="A147" s="5">
        <v>44446</v>
      </c>
      <c r="B147">
        <v>9.673</v>
      </c>
      <c r="C147">
        <v>10.8</v>
      </c>
      <c r="D147">
        <v>6.7</v>
      </c>
      <c r="E147">
        <v>7.95</v>
      </c>
      <c r="F147">
        <v>2580550.9750000001</v>
      </c>
      <c r="G147">
        <v>7.95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-0.39024390243902446</v>
      </c>
      <c r="Q147">
        <f t="shared" ref="Q147" si="711">F147*P147</f>
        <v>-1007044.2829268295</v>
      </c>
      <c r="R147">
        <f t="shared" ref="R147" si="712">R148+Q147</f>
        <v>-5749008.7010126635</v>
      </c>
      <c r="S147">
        <f t="shared" ref="S147" si="713">R147/100000</f>
        <v>-57.490087010126636</v>
      </c>
      <c r="T147">
        <f t="shared" ref="T147" si="714">S147/1000</f>
        <v>-5.7490087010126638E-2</v>
      </c>
    </row>
    <row r="148" spans="1:20" x14ac:dyDescent="0.25">
      <c r="A148" s="5">
        <v>44445</v>
      </c>
      <c r="B148">
        <v>9.58</v>
      </c>
      <c r="C148">
        <v>9.83</v>
      </c>
      <c r="D148">
        <v>9.1560000000000006</v>
      </c>
      <c r="E148">
        <v>9.673</v>
      </c>
      <c r="F148">
        <v>967043.1</v>
      </c>
      <c r="G148">
        <v>9.673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0.53412462908011826</v>
      </c>
      <c r="Q148">
        <f t="shared" ref="Q148" si="716">F148*P148</f>
        <v>516521.53709198767</v>
      </c>
      <c r="R148">
        <f t="shared" ref="R148" si="717">R149+Q148</f>
        <v>-4741964.418085834</v>
      </c>
      <c r="S148">
        <f t="shared" ref="S148" si="718">R148/100000</f>
        <v>-47.419644180858342</v>
      </c>
      <c r="T148">
        <f t="shared" ref="T148" si="719">S148/1000</f>
        <v>-4.7419644180858339E-2</v>
      </c>
    </row>
    <row r="149" spans="1:20" x14ac:dyDescent="0.25">
      <c r="A149" s="5">
        <v>44444</v>
      </c>
      <c r="B149">
        <v>8.8620000000000001</v>
      </c>
      <c r="C149">
        <v>9.73</v>
      </c>
      <c r="D149">
        <v>8.8559999999999999</v>
      </c>
      <c r="E149">
        <v>9.5830000000000002</v>
      </c>
      <c r="F149">
        <v>912993.1</v>
      </c>
      <c r="G149">
        <v>9.5830000000000002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0.66361556064073191</v>
      </c>
      <c r="Q149">
        <f t="shared" ref="Q149" si="721">F149*P149</f>
        <v>605876.42791761982</v>
      </c>
      <c r="R149">
        <f t="shared" ref="R149" si="722">R150+Q149</f>
        <v>-5258485.9551778222</v>
      </c>
      <c r="S149">
        <f t="shared" ref="S149" si="723">R149/100000</f>
        <v>-52.584859551778223</v>
      </c>
      <c r="T149">
        <f t="shared" ref="T149" si="724">S149/1000</f>
        <v>-5.2584859551778225E-2</v>
      </c>
    </row>
    <row r="150" spans="1:20" x14ac:dyDescent="0.25">
      <c r="A150" s="5">
        <v>44443</v>
      </c>
      <c r="B150">
        <v>8.8469999999999995</v>
      </c>
      <c r="C150">
        <v>9.07</v>
      </c>
      <c r="D150">
        <v>8.7469999999999999</v>
      </c>
      <c r="E150">
        <v>8.8539999999999992</v>
      </c>
      <c r="F150">
        <v>598370.5</v>
      </c>
      <c r="G150">
        <v>8.8539999999999992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-0.33746130030960259</v>
      </c>
      <c r="Q150">
        <f t="shared" ref="Q150" si="726">F150*P150</f>
        <v>-201926.88699690707</v>
      </c>
      <c r="R150">
        <f t="shared" ref="R150" si="727">R151+Q150</f>
        <v>-5864362.3830954423</v>
      </c>
      <c r="S150">
        <f t="shared" ref="S150" si="728">R150/100000</f>
        <v>-58.643623830954425</v>
      </c>
      <c r="T150">
        <f t="shared" ref="T150" si="729">S150/1000</f>
        <v>-5.8643623830954422E-2</v>
      </c>
    </row>
    <row r="151" spans="1:20" x14ac:dyDescent="0.25">
      <c r="A151" s="5">
        <v>44442</v>
      </c>
      <c r="B151">
        <v>8.5009999999999994</v>
      </c>
      <c r="C151">
        <v>9.1219999999999999</v>
      </c>
      <c r="D151">
        <v>8.33</v>
      </c>
      <c r="E151">
        <v>8.8350000000000009</v>
      </c>
      <c r="F151">
        <v>785484.7</v>
      </c>
      <c r="G151">
        <v>8.8350000000000009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0.27525252525252752</v>
      </c>
      <c r="Q151">
        <f t="shared" ref="Q151" si="731">F151*P151</f>
        <v>216206.64722222398</v>
      </c>
      <c r="R151">
        <f t="shared" ref="R151" si="732">R152+Q151</f>
        <v>-5662435.4960985351</v>
      </c>
      <c r="S151">
        <f t="shared" ref="S151" si="733">R151/100000</f>
        <v>-56.62435496098535</v>
      </c>
      <c r="T151">
        <f t="shared" ref="T151" si="734">S151/1000</f>
        <v>-5.6624354960985349E-2</v>
      </c>
    </row>
    <row r="152" spans="1:20" x14ac:dyDescent="0.25">
      <c r="A152" s="5">
        <v>44441</v>
      </c>
      <c r="B152">
        <v>8.9380000000000006</v>
      </c>
      <c r="C152">
        <v>8.9489999999999998</v>
      </c>
      <c r="D152">
        <v>8.41</v>
      </c>
      <c r="E152">
        <v>8.5009999999999994</v>
      </c>
      <c r="F152">
        <v>719605.7</v>
      </c>
      <c r="G152">
        <v>8.5009999999999994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-0.66233766233766478</v>
      </c>
      <c r="Q152">
        <f t="shared" ref="Q152" si="736">F152*P152</f>
        <v>-476621.95714285888</v>
      </c>
      <c r="R152">
        <f t="shared" ref="R152" si="737">R153+Q152</f>
        <v>-5878642.1433207588</v>
      </c>
      <c r="S152">
        <f t="shared" ref="S152" si="738">R152/100000</f>
        <v>-58.786421433207586</v>
      </c>
      <c r="T152">
        <f t="shared" ref="T152" si="739">S152/1000</f>
        <v>-5.8786421433207586E-2</v>
      </c>
    </row>
    <row r="153" spans="1:20" x14ac:dyDescent="0.25">
      <c r="A153" s="5">
        <v>44440</v>
      </c>
      <c r="B153">
        <v>8.2859999999999996</v>
      </c>
      <c r="C153">
        <v>8.99</v>
      </c>
      <c r="D153">
        <v>8.1110000000000007</v>
      </c>
      <c r="E153">
        <v>8.9220000000000006</v>
      </c>
      <c r="F153">
        <v>811255.1</v>
      </c>
      <c r="G153">
        <v>8.9220000000000006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0.84527872582480168</v>
      </c>
      <c r="Q153">
        <f t="shared" ref="Q153" si="741">F153*P153</f>
        <v>685736.6772468721</v>
      </c>
      <c r="R153">
        <f t="shared" ref="R153" si="742">R154+Q153</f>
        <v>-5402020.1861779001</v>
      </c>
      <c r="S153">
        <f t="shared" ref="S153" si="743">R153/100000</f>
        <v>-54.020201861779</v>
      </c>
      <c r="T153">
        <f t="shared" ref="T153" si="744">S153/1000</f>
        <v>-5.4020201861778999E-2</v>
      </c>
    </row>
    <row r="154" spans="1:20" x14ac:dyDescent="0.25">
      <c r="A154" s="5">
        <v>44439</v>
      </c>
      <c r="B154">
        <v>8.702</v>
      </c>
      <c r="C154">
        <v>8.827</v>
      </c>
      <c r="D154">
        <v>8.1709999999999994</v>
      </c>
      <c r="E154">
        <v>8.2899999999999991</v>
      </c>
      <c r="F154">
        <v>1078328.2</v>
      </c>
      <c r="G154">
        <v>8.2899999999999991</v>
      </c>
      <c r="L154" t="s">
        <v>7</v>
      </c>
      <c r="M154" t="s">
        <v>8</v>
      </c>
      <c r="N154" t="s">
        <v>7</v>
      </c>
      <c r="P154">
        <f t="shared" ref="P154" si="745">IF(C154=D154,0,((E154-D154)-(C154-E154))/(C154-D154))</f>
        <v>-0.63719512195122052</v>
      </c>
      <c r="Q154">
        <f t="shared" ref="Q154" si="746">F154*P154</f>
        <v>-687105.46890244004</v>
      </c>
      <c r="R154">
        <f t="shared" ref="R154" si="747">R155+Q154</f>
        <v>-6087756.8634247724</v>
      </c>
      <c r="S154">
        <f t="shared" ref="S154" si="748">R154/100000</f>
        <v>-60.877568634247723</v>
      </c>
      <c r="T154">
        <f t="shared" ref="T154" si="749">S154/1000</f>
        <v>-6.0877568634247724E-2</v>
      </c>
    </row>
    <row r="155" spans="1:20" x14ac:dyDescent="0.25">
      <c r="A155" s="5">
        <v>44438</v>
      </c>
      <c r="B155">
        <v>8.3729999999999993</v>
      </c>
      <c r="C155">
        <v>9.8800000000000008</v>
      </c>
      <c r="D155">
        <v>8.1999999999999993</v>
      </c>
      <c r="E155">
        <v>8.7170000000000005</v>
      </c>
      <c r="F155">
        <v>2552815.6260000002</v>
      </c>
      <c r="G155">
        <v>8.7170000000000005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-0.3845238095238086</v>
      </c>
      <c r="Q155">
        <f t="shared" ref="Q155" si="751">F155*P155</f>
        <v>-981618.38952142629</v>
      </c>
      <c r="R155">
        <f t="shared" ref="R155" si="752">R156+Q155</f>
        <v>-5400651.3945223326</v>
      </c>
      <c r="S155">
        <f t="shared" ref="S155" si="753">R155/100000</f>
        <v>-54.006513945223325</v>
      </c>
      <c r="T155">
        <f t="shared" ref="T155" si="754">S155/1000</f>
        <v>-5.4006513945223322E-2</v>
      </c>
    </row>
    <row r="156" spans="1:20" x14ac:dyDescent="0.25">
      <c r="A156" s="5">
        <v>44437</v>
      </c>
      <c r="B156">
        <v>8.3620000000000001</v>
      </c>
      <c r="C156">
        <v>8.83</v>
      </c>
      <c r="D156">
        <v>8.1</v>
      </c>
      <c r="E156">
        <v>8.375</v>
      </c>
      <c r="F156">
        <v>717576.43400000001</v>
      </c>
      <c r="G156">
        <v>8.375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-0.24657534246575288</v>
      </c>
      <c r="Q156">
        <f t="shared" ref="Q156" si="756">F156*P156</f>
        <v>-176936.65495890373</v>
      </c>
      <c r="R156">
        <f t="shared" ref="R156" si="757">R157+Q156</f>
        <v>-4419033.0050009061</v>
      </c>
      <c r="S156">
        <f t="shared" ref="S156" si="758">R156/100000</f>
        <v>-44.190330050009059</v>
      </c>
      <c r="T156">
        <f t="shared" ref="T156" si="759">S156/1000</f>
        <v>-4.4190330050009059E-2</v>
      </c>
    </row>
    <row r="157" spans="1:20" x14ac:dyDescent="0.25">
      <c r="A157" s="5">
        <v>44436</v>
      </c>
      <c r="B157">
        <v>8.49</v>
      </c>
      <c r="C157">
        <v>8.5359999999999996</v>
      </c>
      <c r="D157">
        <v>8.1020000000000003</v>
      </c>
      <c r="E157">
        <v>8.3550000000000004</v>
      </c>
      <c r="F157">
        <v>391850.2</v>
      </c>
      <c r="G157">
        <v>8.3550000000000004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0.16589861751152321</v>
      </c>
      <c r="Q157">
        <f t="shared" ref="Q157" si="761">F157*P157</f>
        <v>65007.406451613875</v>
      </c>
      <c r="R157">
        <f t="shared" ref="R157" si="762">R158+Q157</f>
        <v>-4242096.3500420023</v>
      </c>
      <c r="S157">
        <f t="shared" ref="S157" si="763">R157/100000</f>
        <v>-42.420963500420022</v>
      </c>
      <c r="T157">
        <f t="shared" ref="T157" si="764">S157/1000</f>
        <v>-4.2420963500420024E-2</v>
      </c>
    </row>
    <row r="158" spans="1:20" x14ac:dyDescent="0.25">
      <c r="A158" s="5">
        <v>44435</v>
      </c>
      <c r="B158">
        <v>7.97</v>
      </c>
      <c r="C158">
        <v>8.6809999999999992</v>
      </c>
      <c r="D158">
        <v>7.8120000000000003</v>
      </c>
      <c r="E158">
        <v>8.49</v>
      </c>
      <c r="F158">
        <v>763609.5</v>
      </c>
      <c r="G158">
        <v>8.49</v>
      </c>
      <c r="L158" t="s">
        <v>8</v>
      </c>
      <c r="M158" t="s">
        <v>7</v>
      </c>
      <c r="N158" t="s">
        <v>7</v>
      </c>
      <c r="P158">
        <f t="shared" ref="P158" si="765">IF(C158=D158,0,((E158-D158)-(C158-E158))/(C158-D158))</f>
        <v>0.56041426927503057</v>
      </c>
      <c r="Q158">
        <f t="shared" ref="Q158" si="766">F158*P158</f>
        <v>427937.65995397145</v>
      </c>
      <c r="R158">
        <f t="shared" ref="R158" si="767">R159+Q158</f>
        <v>-4307103.7564936159</v>
      </c>
      <c r="S158">
        <f t="shared" ref="S158" si="768">R158/100000</f>
        <v>-43.071037564936162</v>
      </c>
      <c r="T158">
        <f t="shared" ref="T158" si="769">S158/1000</f>
        <v>-4.307103756493616E-2</v>
      </c>
    </row>
    <row r="159" spans="1:20" x14ac:dyDescent="0.25">
      <c r="A159" s="5">
        <v>44434</v>
      </c>
      <c r="B159">
        <v>8.9570000000000007</v>
      </c>
      <c r="C159">
        <v>9.1780000000000008</v>
      </c>
      <c r="D159">
        <v>7.7939999999999996</v>
      </c>
      <c r="E159">
        <v>7.9790000000000001</v>
      </c>
      <c r="F159">
        <v>852749.03700000001</v>
      </c>
      <c r="G159">
        <v>7.9790000000000001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-0.73265895953757176</v>
      </c>
      <c r="Q159">
        <f t="shared" ref="Q159" si="771">F159*P159</f>
        <v>-624774.2221950863</v>
      </c>
      <c r="R159">
        <f t="shared" ref="R159" si="772">R160+Q159</f>
        <v>-4735041.4164475873</v>
      </c>
      <c r="S159">
        <f t="shared" ref="S159" si="773">R159/100000</f>
        <v>-47.350414164475872</v>
      </c>
      <c r="T159">
        <f t="shared" ref="T159" si="774">S159/1000</f>
        <v>-4.7350414164475871E-2</v>
      </c>
    </row>
    <row r="160" spans="1:20" x14ac:dyDescent="0.25">
      <c r="A160" s="5">
        <v>44433</v>
      </c>
      <c r="B160">
        <v>8.7929999999999993</v>
      </c>
      <c r="C160">
        <v>9.1999999999999993</v>
      </c>
      <c r="D160">
        <v>8.4</v>
      </c>
      <c r="E160">
        <v>8.9629999999999992</v>
      </c>
      <c r="F160">
        <v>712407.13399999996</v>
      </c>
      <c r="G160">
        <v>8.9629999999999992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0.40749999999999897</v>
      </c>
      <c r="Q160">
        <f t="shared" ref="Q160" si="776">F160*P160</f>
        <v>290305.90710499923</v>
      </c>
      <c r="R160">
        <f t="shared" ref="R160" si="777">R161+Q160</f>
        <v>-4110267.1942525008</v>
      </c>
      <c r="S160">
        <f t="shared" ref="S160" si="778">R160/100000</f>
        <v>-41.102671942525006</v>
      </c>
      <c r="T160">
        <f t="shared" ref="T160" si="779">S160/1000</f>
        <v>-4.110267194252501E-2</v>
      </c>
    </row>
    <row r="161" spans="1:20" x14ac:dyDescent="0.25">
      <c r="A161" s="5">
        <v>44432</v>
      </c>
      <c r="B161">
        <v>9.4949999999999992</v>
      </c>
      <c r="C161">
        <v>9.7899999999999991</v>
      </c>
      <c r="D161">
        <v>8.593</v>
      </c>
      <c r="E161">
        <v>8.7940000000000005</v>
      </c>
      <c r="F161">
        <v>890245.25899999996</v>
      </c>
      <c r="G161">
        <v>8.7940000000000005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-0.66416040100250517</v>
      </c>
      <c r="Q161">
        <f t="shared" ref="Q161" si="781">F161*P161</f>
        <v>-591265.64820801909</v>
      </c>
      <c r="R161">
        <f t="shared" ref="R161" si="782">R162+Q161</f>
        <v>-4400573.1013575001</v>
      </c>
      <c r="S161">
        <f t="shared" ref="S161" si="783">R161/100000</f>
        <v>-44.005731013575001</v>
      </c>
      <c r="T161">
        <f t="shared" ref="T161" si="784">S161/1000</f>
        <v>-4.4005731013575002E-2</v>
      </c>
    </row>
    <row r="162" spans="1:20" x14ac:dyDescent="0.25">
      <c r="A162" s="5">
        <v>44431</v>
      </c>
      <c r="B162">
        <v>9.1999999999999993</v>
      </c>
      <c r="C162">
        <v>9.7409999999999997</v>
      </c>
      <c r="D162">
        <v>9.17</v>
      </c>
      <c r="E162">
        <v>9.5060000000000002</v>
      </c>
      <c r="F162">
        <v>712359.75100000005</v>
      </c>
      <c r="G162">
        <v>9.5060000000000002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0.17688266199649896</v>
      </c>
      <c r="Q162">
        <f t="shared" ref="Q162" si="786">F162*P162</f>
        <v>126004.08905604317</v>
      </c>
      <c r="R162">
        <f t="shared" ref="R162" si="787">R163+Q162</f>
        <v>-3809307.4531494812</v>
      </c>
      <c r="S162">
        <f t="shared" ref="S162" si="788">R162/100000</f>
        <v>-38.093074531494814</v>
      </c>
      <c r="T162">
        <f t="shared" ref="T162" si="789">S162/1000</f>
        <v>-3.8093074531494811E-2</v>
      </c>
    </row>
    <row r="163" spans="1:20" x14ac:dyDescent="0.25">
      <c r="A163" s="5">
        <v>44430</v>
      </c>
      <c r="B163">
        <v>9.42</v>
      </c>
      <c r="C163">
        <v>9.4309999999999992</v>
      </c>
      <c r="D163">
        <v>9.0109999999999992</v>
      </c>
      <c r="E163">
        <v>9.2029999999999994</v>
      </c>
      <c r="F163">
        <v>170977.89600000001</v>
      </c>
      <c r="G163">
        <v>9.2029999999999994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-8.5714285714284744E-2</v>
      </c>
      <c r="Q163">
        <f t="shared" ref="Q163" si="791">F163*P163</f>
        <v>-14655.248228571263</v>
      </c>
      <c r="R163">
        <f t="shared" ref="R163" si="792">R164+Q163</f>
        <v>-3935311.5422055242</v>
      </c>
      <c r="S163">
        <f t="shared" ref="S163" si="793">R163/100000</f>
        <v>-39.353115422055239</v>
      </c>
      <c r="T163">
        <f t="shared" ref="T163" si="794">S163/1000</f>
        <v>-3.9353115422055239E-2</v>
      </c>
    </row>
    <row r="164" spans="1:20" x14ac:dyDescent="0.25">
      <c r="A164" s="5">
        <v>44429</v>
      </c>
      <c r="B164">
        <v>9.5350000000000001</v>
      </c>
      <c r="C164">
        <v>9.8369999999999997</v>
      </c>
      <c r="D164">
        <v>9.1509999999999998</v>
      </c>
      <c r="E164">
        <v>9.42</v>
      </c>
      <c r="F164">
        <v>685120.96600000001</v>
      </c>
      <c r="G164">
        <v>9.42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-0.21574344023323572</v>
      </c>
      <c r="Q164">
        <f t="shared" ref="Q164" si="796">F164*P164</f>
        <v>-147810.35418075771</v>
      </c>
      <c r="R164">
        <f t="shared" ref="R164" si="797">R165+Q164</f>
        <v>-3920656.2939769528</v>
      </c>
      <c r="S164">
        <f t="shared" ref="S164" si="798">R164/100000</f>
        <v>-39.206562939769526</v>
      </c>
      <c r="T164">
        <f t="shared" ref="T164" si="799">S164/1000</f>
        <v>-3.9206562939769526E-2</v>
      </c>
    </row>
    <row r="165" spans="1:20" x14ac:dyDescent="0.25">
      <c r="A165" s="5">
        <v>44428</v>
      </c>
      <c r="B165">
        <v>9.782</v>
      </c>
      <c r="C165">
        <v>9.8650000000000002</v>
      </c>
      <c r="D165">
        <v>9.2769999999999992</v>
      </c>
      <c r="E165">
        <v>9.5340000000000007</v>
      </c>
      <c r="F165">
        <v>1091279.2339999999</v>
      </c>
      <c r="G165">
        <v>9.5340000000000007</v>
      </c>
      <c r="L165" t="s">
        <v>7</v>
      </c>
      <c r="M165" t="s">
        <v>8</v>
      </c>
      <c r="N165" t="s">
        <v>7</v>
      </c>
      <c r="P165">
        <f t="shared" ref="P165" si="800">IF(C165=D165,0,((E165-D165)-(C165-E165))/(C165-D165))</f>
        <v>-0.12585034013605093</v>
      </c>
      <c r="Q165">
        <f t="shared" ref="Q165" si="801">F165*P165</f>
        <v>-137337.86278230909</v>
      </c>
      <c r="R165">
        <f t="shared" ref="R165" si="802">R166+Q165</f>
        <v>-3772845.9397961949</v>
      </c>
      <c r="S165">
        <f t="shared" ref="S165" si="803">R165/100000</f>
        <v>-37.728459397961949</v>
      </c>
      <c r="T165">
        <f t="shared" ref="T165" si="804">S165/1000</f>
        <v>-3.7728459397961947E-2</v>
      </c>
    </row>
    <row r="166" spans="1:20" x14ac:dyDescent="0.25">
      <c r="A166" s="5">
        <v>44427</v>
      </c>
      <c r="B166">
        <v>8.5969999999999995</v>
      </c>
      <c r="C166">
        <v>10.487</v>
      </c>
      <c r="D166">
        <v>8.4390000000000001</v>
      </c>
      <c r="E166">
        <v>9.8059999999999992</v>
      </c>
      <c r="F166">
        <v>2393022.4580000001</v>
      </c>
      <c r="G166">
        <v>9.8059999999999992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0.33496093749999911</v>
      </c>
      <c r="Q166">
        <f t="shared" ref="Q166" si="806">F166*P166</f>
        <v>801569.04599023226</v>
      </c>
      <c r="R166">
        <f t="shared" ref="R166" si="807">R167+Q166</f>
        <v>-3635508.0770138856</v>
      </c>
      <c r="S166">
        <f t="shared" ref="S166" si="808">R166/100000</f>
        <v>-36.355080770138855</v>
      </c>
      <c r="T166">
        <f t="shared" ref="T166" si="809">S166/1000</f>
        <v>-3.6355080770138853E-2</v>
      </c>
    </row>
    <row r="167" spans="1:20" x14ac:dyDescent="0.25">
      <c r="A167" s="5">
        <v>44426</v>
      </c>
      <c r="B167">
        <v>8.3770000000000007</v>
      </c>
      <c r="C167">
        <v>9.01</v>
      </c>
      <c r="D167">
        <v>8.1150000000000002</v>
      </c>
      <c r="E167">
        <v>8.5969999999999995</v>
      </c>
      <c r="F167">
        <v>694422.34900000005</v>
      </c>
      <c r="G167">
        <v>8.5969999999999995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7.7094972067038095E-2</v>
      </c>
      <c r="Q167">
        <f t="shared" ref="Q167" si="811">F167*P167</f>
        <v>53536.471598881981</v>
      </c>
      <c r="R167">
        <f t="shared" ref="R167" si="812">R168+Q167</f>
        <v>-4437077.123004118</v>
      </c>
      <c r="S167">
        <f t="shared" ref="S167" si="813">R167/100000</f>
        <v>-44.370771230041179</v>
      </c>
      <c r="T167">
        <f t="shared" ref="T167" si="814">S167/1000</f>
        <v>-4.4370771230041177E-2</v>
      </c>
    </row>
    <row r="168" spans="1:20" x14ac:dyDescent="0.25">
      <c r="A168" s="5">
        <v>44425</v>
      </c>
      <c r="B168">
        <v>8.59</v>
      </c>
      <c r="C168">
        <v>9.2490000000000006</v>
      </c>
      <c r="D168">
        <v>8.3000000000000007</v>
      </c>
      <c r="E168">
        <v>8.3949999999999996</v>
      </c>
      <c r="F168">
        <v>1102227.7209999999</v>
      </c>
      <c r="G168">
        <v>8.3949999999999996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-0.7997892518440487</v>
      </c>
      <c r="Q168">
        <f t="shared" ref="Q168" si="816">F168*P168</f>
        <v>-881549.88434036076</v>
      </c>
      <c r="R168">
        <f t="shared" ref="R168" si="817">R169+Q168</f>
        <v>-4490613.5946030002</v>
      </c>
      <c r="S168">
        <f t="shared" ref="S168" si="818">R168/100000</f>
        <v>-44.906135946030005</v>
      </c>
      <c r="T168">
        <f t="shared" ref="T168" si="819">S168/1000</f>
        <v>-4.4906135946030004E-2</v>
      </c>
    </row>
    <row r="169" spans="1:20" x14ac:dyDescent="0.25">
      <c r="A169" s="5">
        <v>44424</v>
      </c>
      <c r="B169">
        <v>8.52</v>
      </c>
      <c r="C169">
        <v>9.2799999999999994</v>
      </c>
      <c r="D169">
        <v>8.468</v>
      </c>
      <c r="E169">
        <v>8.6029999999999998</v>
      </c>
      <c r="F169">
        <v>811493.7</v>
      </c>
      <c r="G169">
        <v>8.6029999999999998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-0.66748768472906428</v>
      </c>
      <c r="Q169">
        <f t="shared" ref="Q169" si="821">F169*P169</f>
        <v>-541662.05098522187</v>
      </c>
      <c r="R169">
        <f t="shared" ref="R169" si="822">R170+Q169</f>
        <v>-3609063.710262639</v>
      </c>
      <c r="S169">
        <f t="shared" ref="S169" si="823">R169/100000</f>
        <v>-36.090637102626388</v>
      </c>
      <c r="T169">
        <f t="shared" ref="T169" si="824">S169/1000</f>
        <v>-3.6090637102626388E-2</v>
      </c>
    </row>
    <row r="170" spans="1:20" x14ac:dyDescent="0.25">
      <c r="A170" s="5">
        <v>44423</v>
      </c>
      <c r="B170">
        <v>8.9469999999999992</v>
      </c>
      <c r="C170">
        <v>8.9469999999999992</v>
      </c>
      <c r="D170">
        <v>8.1310000000000002</v>
      </c>
      <c r="E170">
        <v>8.52</v>
      </c>
      <c r="F170">
        <v>654695.42700000003</v>
      </c>
      <c r="G170">
        <v>8.52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-4.6568627450980768E-2</v>
      </c>
      <c r="Q170">
        <f t="shared" ref="Q170" si="826">F170*P170</f>
        <v>-30488.267433823778</v>
      </c>
      <c r="R170">
        <f t="shared" ref="R170" si="827">R171+Q170</f>
        <v>-3067401.6592774172</v>
      </c>
      <c r="S170">
        <f t="shared" ref="S170" si="828">R170/100000</f>
        <v>-30.674016592774173</v>
      </c>
      <c r="T170">
        <f t="shared" ref="T170" si="829">S170/1000</f>
        <v>-3.0674016592774172E-2</v>
      </c>
    </row>
    <row r="171" spans="1:20" x14ac:dyDescent="0.25">
      <c r="A171" s="5">
        <v>44422</v>
      </c>
      <c r="B171">
        <v>9.0299999999999994</v>
      </c>
      <c r="C171">
        <v>9.5210000000000008</v>
      </c>
      <c r="D171">
        <v>8.5730000000000004</v>
      </c>
      <c r="E171">
        <v>8.9469999999999992</v>
      </c>
      <c r="F171">
        <v>1107152.8149999999</v>
      </c>
      <c r="G171">
        <v>8.9469999999999992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-0.21097046413502402</v>
      </c>
      <c r="Q171">
        <f t="shared" ref="Q171" si="831">F171*P171</f>
        <v>-233576.54324894838</v>
      </c>
      <c r="R171">
        <f t="shared" ref="R171" si="832">R172+Q171</f>
        <v>-3036913.3918435937</v>
      </c>
      <c r="S171">
        <f t="shared" ref="S171" si="833">R171/100000</f>
        <v>-30.369133918435939</v>
      </c>
      <c r="T171">
        <f t="shared" ref="T171" si="834">S171/1000</f>
        <v>-3.0369133918435938E-2</v>
      </c>
    </row>
    <row r="172" spans="1:20" x14ac:dyDescent="0.25">
      <c r="A172" s="5">
        <v>44421</v>
      </c>
      <c r="B172">
        <v>8.8829999999999991</v>
      </c>
      <c r="C172">
        <v>9.6999999999999993</v>
      </c>
      <c r="D172">
        <v>8.3070000000000004</v>
      </c>
      <c r="E172">
        <v>9.02</v>
      </c>
      <c r="F172">
        <v>1801433.199</v>
      </c>
      <c r="G172">
        <v>9.02</v>
      </c>
      <c r="L172" t="s">
        <v>7</v>
      </c>
      <c r="M172" t="s">
        <v>7</v>
      </c>
      <c r="N172" t="s">
        <v>8</v>
      </c>
      <c r="P172">
        <f t="shared" ref="P172" si="835">IF(C172=D172,0,((E172-D172)-(C172-E172))/(C172-D172))</f>
        <v>2.3689877961234385E-2</v>
      </c>
      <c r="Q172">
        <f t="shared" ref="Q172" si="836">F172*P172</f>
        <v>42675.732639626054</v>
      </c>
      <c r="R172">
        <f t="shared" ref="R172" si="837">R173+Q172</f>
        <v>-2803336.8485946455</v>
      </c>
      <c r="S172">
        <f t="shared" ref="S172" si="838">R172/100000</f>
        <v>-28.033368485946454</v>
      </c>
      <c r="T172">
        <f t="shared" ref="T172" si="839">S172/1000</f>
        <v>-2.8033368485946453E-2</v>
      </c>
    </row>
    <row r="173" spans="1:20" x14ac:dyDescent="0.25">
      <c r="A173" s="5">
        <v>44420</v>
      </c>
      <c r="B173">
        <v>9.7739999999999991</v>
      </c>
      <c r="C173">
        <v>10.054</v>
      </c>
      <c r="D173">
        <v>8.4819999999999993</v>
      </c>
      <c r="E173">
        <v>8.8840000000000003</v>
      </c>
      <c r="F173">
        <v>1849278.5870000001</v>
      </c>
      <c r="G173">
        <v>8.8840000000000003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-0.48854961832060967</v>
      </c>
      <c r="Q173">
        <f t="shared" ref="Q173" si="841">F173*P173</f>
        <v>-903464.34784732643</v>
      </c>
      <c r="R173">
        <f t="shared" ref="R173" si="842">R174+Q173</f>
        <v>-2846012.5812342716</v>
      </c>
      <c r="S173">
        <f t="shared" ref="S173" si="843">R173/100000</f>
        <v>-28.460125812342717</v>
      </c>
      <c r="T173">
        <f t="shared" ref="T173" si="844">S173/1000</f>
        <v>-2.8460125812342717E-2</v>
      </c>
    </row>
    <row r="174" spans="1:20" x14ac:dyDescent="0.25">
      <c r="A174" s="5">
        <v>44419</v>
      </c>
      <c r="B174">
        <v>10.077</v>
      </c>
      <c r="C174">
        <v>11.6</v>
      </c>
      <c r="D174">
        <v>9.2240000000000002</v>
      </c>
      <c r="E174">
        <v>9.77</v>
      </c>
      <c r="F174">
        <v>4172297.2289999998</v>
      </c>
      <c r="G174">
        <v>9.77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-0.54040404040404078</v>
      </c>
      <c r="Q174">
        <f t="shared" ref="Q174" si="846">F174*P174</f>
        <v>-2254726.2803181834</v>
      </c>
      <c r="R174">
        <f t="shared" ref="R174" si="847">R175+Q174</f>
        <v>-1942548.233386945</v>
      </c>
      <c r="S174">
        <f t="shared" ref="S174" si="848">R174/100000</f>
        <v>-19.42548233386945</v>
      </c>
      <c r="T174">
        <f t="shared" ref="T174" si="849">S174/1000</f>
        <v>-1.942548233386945E-2</v>
      </c>
    </row>
    <row r="175" spans="1:20" x14ac:dyDescent="0.25">
      <c r="A175" s="5">
        <v>44418</v>
      </c>
      <c r="B175">
        <v>8.6690000000000005</v>
      </c>
      <c r="C175">
        <v>10.606999999999999</v>
      </c>
      <c r="D175">
        <v>8.65</v>
      </c>
      <c r="E175">
        <v>10.053000000000001</v>
      </c>
      <c r="F175">
        <v>4347373.3679999998</v>
      </c>
      <c r="G175">
        <v>10.053000000000001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0.43382728666326131</v>
      </c>
      <c r="Q175">
        <f t="shared" ref="Q175" si="851">F175*P175</f>
        <v>1886009.1923515638</v>
      </c>
      <c r="R175">
        <f t="shared" ref="R175" si="852">R176+Q175</f>
        <v>312178.04693123838</v>
      </c>
      <c r="S175">
        <f t="shared" ref="S175" si="853">R175/100000</f>
        <v>3.1217804693123838</v>
      </c>
      <c r="T175">
        <f t="shared" ref="T175" si="854">S175/1000</f>
        <v>3.1217804693123839E-3</v>
      </c>
    </row>
    <row r="176" spans="1:20" x14ac:dyDescent="0.25">
      <c r="A176" s="5">
        <v>44417</v>
      </c>
      <c r="B176">
        <v>6.7640000000000002</v>
      </c>
      <c r="C176">
        <v>9.6609999999999996</v>
      </c>
      <c r="D176">
        <v>6.6139999999999999</v>
      </c>
      <c r="E176">
        <v>8.6440000000000001</v>
      </c>
      <c r="F176">
        <v>3314842.1</v>
      </c>
      <c r="G176">
        <v>8.6440000000000001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0.33245815556284897</v>
      </c>
      <c r="Q176">
        <f t="shared" ref="Q176" si="856">F176*P176</f>
        <v>1102046.290548081</v>
      </c>
      <c r="R176">
        <f t="shared" ref="R176" si="857">R177+Q176</f>
        <v>-1573831.1454203255</v>
      </c>
      <c r="S176">
        <f t="shared" ref="S176" si="858">R176/100000</f>
        <v>-15.738311454203254</v>
      </c>
      <c r="T176">
        <f t="shared" ref="T176" si="859">S176/1000</f>
        <v>-1.5738311454203253E-2</v>
      </c>
    </row>
    <row r="177" spans="1:20" x14ac:dyDescent="0.25">
      <c r="A177" s="5">
        <v>44416</v>
      </c>
      <c r="B177">
        <v>7.0449999999999999</v>
      </c>
      <c r="C177">
        <v>7.11</v>
      </c>
      <c r="D177">
        <v>6.6289999999999996</v>
      </c>
      <c r="E177">
        <v>6.7720000000000002</v>
      </c>
      <c r="F177">
        <v>1308177.6270000001</v>
      </c>
      <c r="G177">
        <v>6.7720000000000002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-0.40540540540540349</v>
      </c>
      <c r="Q177">
        <f t="shared" ref="Q177" si="861">F177*P177</f>
        <v>-530342.28121621371</v>
      </c>
      <c r="R177">
        <f t="shared" ref="R177" si="862">R178+Q177</f>
        <v>-2675877.4359684065</v>
      </c>
      <c r="S177">
        <f t="shared" ref="S177" si="863">R177/100000</f>
        <v>-26.758774359684065</v>
      </c>
      <c r="T177">
        <f t="shared" ref="T177" si="864">S177/1000</f>
        <v>-2.6758774359684066E-2</v>
      </c>
    </row>
    <row r="178" spans="1:20" x14ac:dyDescent="0.25">
      <c r="A178" s="5">
        <v>44415</v>
      </c>
      <c r="B178">
        <v>6.5590000000000002</v>
      </c>
      <c r="C178">
        <v>7.3360000000000003</v>
      </c>
      <c r="D178">
        <v>6.4960000000000004</v>
      </c>
      <c r="E178">
        <v>7.0449999999999999</v>
      </c>
      <c r="F178">
        <v>949690.86100000003</v>
      </c>
      <c r="G178">
        <v>7.0449999999999999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0.30714285714285616</v>
      </c>
      <c r="Q178">
        <f t="shared" ref="Q178" si="866">F178*P178</f>
        <v>291690.76444999909</v>
      </c>
      <c r="R178">
        <f t="shared" ref="R178" si="867">R179+Q178</f>
        <v>-2145535.154752193</v>
      </c>
      <c r="S178">
        <f t="shared" ref="S178" si="868">R178/100000</f>
        <v>-21.455351547521929</v>
      </c>
      <c r="T178">
        <f t="shared" ref="T178" si="869">S178/1000</f>
        <v>-2.1455351547521928E-2</v>
      </c>
    </row>
    <row r="179" spans="1:20" x14ac:dyDescent="0.25">
      <c r="A179" s="5">
        <v>44414</v>
      </c>
      <c r="B179">
        <v>6.3979999999999997</v>
      </c>
      <c r="C179">
        <v>6.78</v>
      </c>
      <c r="D179">
        <v>6.2</v>
      </c>
      <c r="E179">
        <v>6.5510000000000002</v>
      </c>
      <c r="F179">
        <v>574079.20700000005</v>
      </c>
      <c r="G179">
        <v>6.5510000000000002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0.21034482758620668</v>
      </c>
      <c r="Q179">
        <f t="shared" ref="Q179" si="871">F179*P179</f>
        <v>120754.59181724126</v>
      </c>
      <c r="R179">
        <f t="shared" ref="R179" si="872">R180+Q179</f>
        <v>-2437225.9192021922</v>
      </c>
      <c r="S179">
        <f t="shared" ref="S179" si="873">R179/100000</f>
        <v>-24.372259192021922</v>
      </c>
      <c r="T179">
        <f t="shared" ref="T179" si="874">S179/1000</f>
        <v>-2.4372259192021923E-2</v>
      </c>
    </row>
    <row r="180" spans="1:20" x14ac:dyDescent="0.25">
      <c r="A180" s="5">
        <v>44413</v>
      </c>
      <c r="B180">
        <v>6.1660000000000004</v>
      </c>
      <c r="C180">
        <v>6.4480000000000004</v>
      </c>
      <c r="D180">
        <v>5.9960000000000004</v>
      </c>
      <c r="E180">
        <v>6.3979999999999997</v>
      </c>
      <c r="F180">
        <v>443711.81699999998</v>
      </c>
      <c r="G180">
        <v>6.3979999999999997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0.77876106194689954</v>
      </c>
      <c r="Q180">
        <f t="shared" ref="Q180" si="876">F180*P180</f>
        <v>345545.48580530833</v>
      </c>
      <c r="R180">
        <f t="shared" ref="R180" si="877">R181+Q180</f>
        <v>-2557980.5110194334</v>
      </c>
      <c r="S180">
        <f t="shared" ref="S180" si="878">R180/100000</f>
        <v>-25.579805110194332</v>
      </c>
      <c r="T180">
        <f t="shared" ref="T180" si="879">S180/1000</f>
        <v>-2.5579805110194333E-2</v>
      </c>
    </row>
    <row r="181" spans="1:20" x14ac:dyDescent="0.25">
      <c r="A181" s="5">
        <v>44412</v>
      </c>
      <c r="B181">
        <v>6.0990000000000002</v>
      </c>
      <c r="C181">
        <v>6.399</v>
      </c>
      <c r="D181">
        <v>5.9589999999999996</v>
      </c>
      <c r="E181">
        <v>6.18</v>
      </c>
      <c r="F181">
        <v>454312.163</v>
      </c>
      <c r="G181">
        <v>6.18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4.5454545454540404E-3</v>
      </c>
      <c r="Q181">
        <f t="shared" ref="Q181" si="881">F181*P181</f>
        <v>2065.055286363407</v>
      </c>
      <c r="R181">
        <f t="shared" ref="R181" si="882">R182+Q181</f>
        <v>-2903525.9968247418</v>
      </c>
      <c r="S181">
        <f t="shared" ref="S181" si="883">R181/100000</f>
        <v>-29.03525996824742</v>
      </c>
      <c r="T181">
        <f t="shared" ref="T181" si="884">S181/1000</f>
        <v>-2.9035259968247421E-2</v>
      </c>
    </row>
    <row r="182" spans="1:20" x14ac:dyDescent="0.25">
      <c r="A182" s="5">
        <v>44411</v>
      </c>
      <c r="B182">
        <v>6.6260000000000003</v>
      </c>
      <c r="C182">
        <v>6.8</v>
      </c>
      <c r="D182">
        <v>5.976</v>
      </c>
      <c r="E182">
        <v>6.0910000000000002</v>
      </c>
      <c r="F182">
        <v>846509.37399999995</v>
      </c>
      <c r="G182">
        <v>6.0910000000000002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-0.72087378640776645</v>
      </c>
      <c r="Q182">
        <f t="shared" ref="Q182" si="886">F182*P182</f>
        <v>-610226.41766504804</v>
      </c>
      <c r="R182">
        <f t="shared" ref="R182" si="887">R183+Q182</f>
        <v>-2905591.0521111051</v>
      </c>
      <c r="S182">
        <f t="shared" ref="S182" si="888">R182/100000</f>
        <v>-29.055910521111052</v>
      </c>
      <c r="T182">
        <f t="shared" ref="T182" si="889">S182/1000</f>
        <v>-2.9055910521111051E-2</v>
      </c>
    </row>
    <row r="183" spans="1:20" x14ac:dyDescent="0.25">
      <c r="A183" s="5">
        <v>44410</v>
      </c>
      <c r="B183">
        <v>6.093</v>
      </c>
      <c r="C183">
        <v>6.67</v>
      </c>
      <c r="D183">
        <v>5.9009999999999998</v>
      </c>
      <c r="E183">
        <v>6.625</v>
      </c>
      <c r="F183">
        <v>924100.15399999998</v>
      </c>
      <c r="G183">
        <v>6.625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0.88296488946684026</v>
      </c>
      <c r="Q183">
        <f t="shared" ref="Q183" si="891">F183*P183</f>
        <v>815947.99033290008</v>
      </c>
      <c r="R183">
        <f t="shared" ref="R183" si="892">R184+Q183</f>
        <v>-2295364.634446057</v>
      </c>
      <c r="S183">
        <f t="shared" ref="S183" si="893">R183/100000</f>
        <v>-22.953646344460569</v>
      </c>
      <c r="T183">
        <f t="shared" ref="T183" si="894">S183/1000</f>
        <v>-2.2953646344460569E-2</v>
      </c>
    </row>
    <row r="184" spans="1:20" x14ac:dyDescent="0.25">
      <c r="A184" s="5">
        <v>44409</v>
      </c>
      <c r="B184">
        <v>6.048</v>
      </c>
      <c r="C184">
        <v>6.415</v>
      </c>
      <c r="D184">
        <v>5.9660000000000002</v>
      </c>
      <c r="E184">
        <v>6.0880000000000001</v>
      </c>
      <c r="F184">
        <v>1452775.648</v>
      </c>
      <c r="G184">
        <v>6.0880000000000001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-0.45657015590200478</v>
      </c>
      <c r="Q184">
        <f t="shared" ref="Q184" si="896">F184*P184</f>
        <v>-663294.00409799605</v>
      </c>
      <c r="R184">
        <f t="shared" ref="R184" si="897">R185+Q184</f>
        <v>-3111312.6247789571</v>
      </c>
      <c r="S184">
        <f t="shared" ref="S184" si="898">R184/100000</f>
        <v>-31.11312624778957</v>
      </c>
      <c r="T184">
        <f t="shared" ref="T184" si="899">S184/1000</f>
        <v>-3.1113126247789568E-2</v>
      </c>
    </row>
    <row r="185" spans="1:20" x14ac:dyDescent="0.25">
      <c r="A185" s="5">
        <v>44408</v>
      </c>
      <c r="B185">
        <v>6.0490000000000004</v>
      </c>
      <c r="C185">
        <v>6.3470000000000004</v>
      </c>
      <c r="D185">
        <v>5.8390000000000004</v>
      </c>
      <c r="E185">
        <v>6.0369999999999999</v>
      </c>
      <c r="F185">
        <v>446038.141</v>
      </c>
      <c r="G185">
        <v>6.0369999999999999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-0.22047244094488383</v>
      </c>
      <c r="Q185">
        <f t="shared" ref="Q185" si="901">F185*P185</f>
        <v>-98339.117700788265</v>
      </c>
      <c r="R185">
        <f t="shared" ref="R185" si="902">R186+Q185</f>
        <v>-2448018.6206809608</v>
      </c>
      <c r="S185">
        <f t="shared" ref="S185" si="903">R185/100000</f>
        <v>-24.480186206809609</v>
      </c>
      <c r="T185">
        <f t="shared" ref="T185" si="904">S185/1000</f>
        <v>-2.4480186206809609E-2</v>
      </c>
    </row>
    <row r="186" spans="1:20" x14ac:dyDescent="0.25">
      <c r="A186" s="5">
        <v>44407</v>
      </c>
      <c r="B186">
        <v>6.0970000000000004</v>
      </c>
      <c r="C186">
        <v>6.27</v>
      </c>
      <c r="D186">
        <v>5.6109999999999998</v>
      </c>
      <c r="E186">
        <v>6.0540000000000003</v>
      </c>
      <c r="F186">
        <v>543038.41</v>
      </c>
      <c r="G186">
        <v>6.0540000000000003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0.3444613050075892</v>
      </c>
      <c r="Q186">
        <f t="shared" ref="Q186" si="906">F186*P186</f>
        <v>187055.71937784628</v>
      </c>
      <c r="R186">
        <f t="shared" ref="R186" si="907">R187+Q186</f>
        <v>-2349679.5029801726</v>
      </c>
      <c r="S186">
        <f t="shared" ref="S186" si="908">R186/100000</f>
        <v>-23.496795029801728</v>
      </c>
      <c r="T186">
        <f t="shared" ref="T186" si="909">S186/1000</f>
        <v>-2.3496795029801728E-2</v>
      </c>
    </row>
    <row r="187" spans="1:20" x14ac:dyDescent="0.25">
      <c r="A187" s="5">
        <v>44406</v>
      </c>
      <c r="B187">
        <v>5.7880000000000003</v>
      </c>
      <c r="C187">
        <v>6.298</v>
      </c>
      <c r="D187">
        <v>5.6189999999999998</v>
      </c>
      <c r="E187">
        <v>6.093</v>
      </c>
      <c r="F187">
        <v>1449970.7290000001</v>
      </c>
      <c r="G187">
        <v>6.093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0.39617083946980858</v>
      </c>
      <c r="Q187">
        <f t="shared" ref="Q187" si="911">F187*P187</f>
        <v>574436.1209145803</v>
      </c>
      <c r="R187">
        <f t="shared" ref="R187" si="912">R188+Q187</f>
        <v>-2536735.2223580191</v>
      </c>
      <c r="S187">
        <f t="shared" ref="S187" si="913">R187/100000</f>
        <v>-25.367352223580191</v>
      </c>
      <c r="T187">
        <f t="shared" ref="T187" si="914">S187/1000</f>
        <v>-2.5367352223580192E-2</v>
      </c>
    </row>
    <row r="188" spans="1:20" x14ac:dyDescent="0.25">
      <c r="A188" s="5">
        <v>44405</v>
      </c>
      <c r="B188">
        <v>4.9420000000000002</v>
      </c>
      <c r="C188">
        <v>6.09</v>
      </c>
      <c r="D188">
        <v>4.8490000000000002</v>
      </c>
      <c r="E188">
        <v>5.7960000000000003</v>
      </c>
      <c r="F188">
        <v>1828448.298</v>
      </c>
      <c r="G188">
        <v>5.7960000000000003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0.5261885576148273</v>
      </c>
      <c r="Q188">
        <f t="shared" ref="Q188" si="916">F188*P188</f>
        <v>962108.57259790588</v>
      </c>
      <c r="R188">
        <f t="shared" ref="R188" si="917">R189+Q188</f>
        <v>-3111171.3432725994</v>
      </c>
      <c r="S188">
        <f t="shared" ref="S188" si="918">R188/100000</f>
        <v>-31.111713432725995</v>
      </c>
      <c r="T188">
        <f t="shared" ref="T188" si="919">S188/1000</f>
        <v>-3.1111713432725997E-2</v>
      </c>
    </row>
    <row r="189" spans="1:20" x14ac:dyDescent="0.25">
      <c r="A189" s="5">
        <v>44404</v>
      </c>
      <c r="B189">
        <v>4.8440000000000003</v>
      </c>
      <c r="C189">
        <v>4.976</v>
      </c>
      <c r="D189">
        <v>4.6529999999999996</v>
      </c>
      <c r="E189">
        <v>4.9420000000000002</v>
      </c>
      <c r="F189">
        <v>395282.69</v>
      </c>
      <c r="G189">
        <v>4.9420000000000002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0.78947368421052777</v>
      </c>
      <c r="Q189">
        <f t="shared" ref="Q189" si="921">F189*P189</f>
        <v>312065.28157894796</v>
      </c>
      <c r="R189">
        <f t="shared" ref="R189" si="922">R190+Q189</f>
        <v>-4073279.9158705054</v>
      </c>
      <c r="S189">
        <f t="shared" ref="S189" si="923">R189/100000</f>
        <v>-40.732799158705056</v>
      </c>
      <c r="T189">
        <f t="shared" ref="T189" si="924">S189/1000</f>
        <v>-4.0732799158705056E-2</v>
      </c>
    </row>
    <row r="190" spans="1:20" x14ac:dyDescent="0.25">
      <c r="A190" s="5">
        <v>44403</v>
      </c>
      <c r="B190">
        <v>4.8419999999999996</v>
      </c>
      <c r="C190">
        <v>5.25</v>
      </c>
      <c r="D190">
        <v>4.6900000000000004</v>
      </c>
      <c r="E190">
        <v>4.8419999999999996</v>
      </c>
      <c r="F190">
        <v>767301.45700000005</v>
      </c>
      <c r="G190">
        <v>4.8419999999999996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-0.45714285714285946</v>
      </c>
      <c r="Q190">
        <f t="shared" ref="Q190" si="926">F190*P190</f>
        <v>-350766.38034285896</v>
      </c>
      <c r="R190">
        <f t="shared" ref="R190" si="927">R191+Q190</f>
        <v>-4385345.1974494532</v>
      </c>
      <c r="S190">
        <f t="shared" ref="S190" si="928">R190/100000</f>
        <v>-43.853451974494533</v>
      </c>
      <c r="T190">
        <f t="shared" ref="T190" si="929">S190/1000</f>
        <v>-4.3853451974494535E-2</v>
      </c>
    </row>
    <row r="191" spans="1:20" x14ac:dyDescent="0.25">
      <c r="A191" s="5">
        <v>44402</v>
      </c>
      <c r="B191">
        <v>4.601</v>
      </c>
      <c r="C191">
        <v>4.8559999999999999</v>
      </c>
      <c r="D191">
        <v>4.4489999999999998</v>
      </c>
      <c r="E191">
        <v>4.8449999999999998</v>
      </c>
      <c r="F191">
        <v>261109.47700000001</v>
      </c>
      <c r="G191">
        <v>4.8449999999999998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0.94594594594594539</v>
      </c>
      <c r="Q191">
        <f t="shared" ref="Q191" si="931">F191*P191</f>
        <v>246995.45121621608</v>
      </c>
      <c r="R191">
        <f t="shared" ref="R191" si="932">R192+Q191</f>
        <v>-4034578.8171065943</v>
      </c>
      <c r="S191">
        <f t="shared" ref="S191" si="933">R191/100000</f>
        <v>-40.345788171065941</v>
      </c>
      <c r="T191">
        <f t="shared" ref="T191:T197" si="934">S191/1000</f>
        <v>-4.034578817106594E-2</v>
      </c>
    </row>
    <row r="192" spans="1:20" x14ac:dyDescent="0.25">
      <c r="A192" s="5">
        <v>44401</v>
      </c>
      <c r="B192">
        <v>4.3070000000000004</v>
      </c>
      <c r="C192">
        <v>4.6040000000000001</v>
      </c>
      <c r="D192">
        <v>4.202</v>
      </c>
      <c r="E192">
        <v>4.5940000000000003</v>
      </c>
      <c r="F192">
        <v>468824.13400000002</v>
      </c>
      <c r="G192">
        <v>4.5940000000000003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0.95024875621890659</v>
      </c>
      <c r="Q192">
        <f t="shared" ref="Q192" si="936">F192*P192</f>
        <v>445499.55021890602</v>
      </c>
      <c r="R192">
        <f t="shared" ref="R192" si="937">R193+Q192</f>
        <v>-4281574.2683228105</v>
      </c>
      <c r="S192">
        <f t="shared" ref="S192" si="938">R192/100000</f>
        <v>-42.815742683228102</v>
      </c>
      <c r="T192">
        <f t="shared" si="934"/>
        <v>-4.2815742683228103E-2</v>
      </c>
    </row>
    <row r="193" spans="1:20" x14ac:dyDescent="0.25">
      <c r="A193" s="5">
        <v>44400</v>
      </c>
      <c r="B193">
        <v>4.2910000000000004</v>
      </c>
      <c r="C193">
        <v>4.4000000000000004</v>
      </c>
      <c r="D193">
        <v>4.0759999999999996</v>
      </c>
      <c r="E193">
        <v>4.306</v>
      </c>
      <c r="F193">
        <v>311633.076</v>
      </c>
      <c r="G193">
        <v>4.306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0.41975308641975251</v>
      </c>
      <c r="Q193">
        <f t="shared" ref="Q193" si="940">F193*P193</f>
        <v>130808.94548148131</v>
      </c>
      <c r="R193">
        <f t="shared" ref="R193" si="941">R194+Q193</f>
        <v>-4727073.8185417168</v>
      </c>
      <c r="S193">
        <f t="shared" ref="S193" si="942">R193/100000</f>
        <v>-47.270738185417166</v>
      </c>
      <c r="T193">
        <f t="shared" si="934"/>
        <v>-4.7270738185417167E-2</v>
      </c>
    </row>
    <row r="194" spans="1:20" x14ac:dyDescent="0.25">
      <c r="A194" s="5">
        <v>44399</v>
      </c>
      <c r="B194">
        <v>4.149</v>
      </c>
      <c r="C194">
        <v>4.3499999999999996</v>
      </c>
      <c r="D194">
        <v>4.0919999999999996</v>
      </c>
      <c r="E194">
        <v>4.29</v>
      </c>
      <c r="F194">
        <v>257229.45499999999</v>
      </c>
      <c r="G194">
        <v>4.29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0.53488372093023562</v>
      </c>
      <c r="Q194">
        <f t="shared" ref="Q194" si="944">F194*P194</f>
        <v>137587.84802325661</v>
      </c>
      <c r="R194">
        <f t="shared" ref="R194" si="945">R195+Q194</f>
        <v>-4857882.7640231978</v>
      </c>
      <c r="S194">
        <f t="shared" ref="S194" si="946">R194/100000</f>
        <v>-48.578827640231978</v>
      </c>
      <c r="T194">
        <f t="shared" si="934"/>
        <v>-4.8578827640231977E-2</v>
      </c>
    </row>
    <row r="195" spans="1:20" x14ac:dyDescent="0.25">
      <c r="A195" s="5">
        <v>44398</v>
      </c>
      <c r="B195">
        <v>3.7269999999999999</v>
      </c>
      <c r="C195">
        <v>4.4080000000000004</v>
      </c>
      <c r="D195">
        <v>3.6949999999999998</v>
      </c>
      <c r="E195">
        <v>4.1680000000000001</v>
      </c>
      <c r="F195">
        <v>446830.71600000001</v>
      </c>
      <c r="G195">
        <v>4.1680000000000001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0.3267882187938288</v>
      </c>
      <c r="Q195">
        <f t="shared" ref="Q195" si="948">F195*P195</f>
        <v>146019.01378401119</v>
      </c>
      <c r="R195">
        <f t="shared" ref="R195" si="949">R196+Q195</f>
        <v>-4995470.6120464541</v>
      </c>
      <c r="S195">
        <f t="shared" ref="S195" si="950">R195/100000</f>
        <v>-49.954706120464543</v>
      </c>
      <c r="T195">
        <f t="shared" si="934"/>
        <v>-4.9954706120464543E-2</v>
      </c>
    </row>
    <row r="196" spans="1:20" x14ac:dyDescent="0.25">
      <c r="A196" s="5">
        <v>44397</v>
      </c>
      <c r="B196">
        <v>3.956</v>
      </c>
      <c r="C196">
        <v>3.996</v>
      </c>
      <c r="D196">
        <v>3.6</v>
      </c>
      <c r="E196">
        <v>3.7330000000000001</v>
      </c>
      <c r="F196">
        <v>364398.37599999999</v>
      </c>
      <c r="G196">
        <v>3.7330000000000001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-0.32828282828282807</v>
      </c>
      <c r="Q196">
        <f t="shared" ref="Q196" si="952">F196*P196</f>
        <v>-119625.72949494941</v>
      </c>
      <c r="R196">
        <f t="shared" ref="R196" si="953">R197+Q196</f>
        <v>-5141489.625830465</v>
      </c>
      <c r="S196">
        <f t="shared" ref="S196" si="954">R196/100000</f>
        <v>-51.414896258304651</v>
      </c>
      <c r="T196">
        <f t="shared" si="934"/>
        <v>-5.141489625830465E-2</v>
      </c>
    </row>
    <row r="197" spans="1:20" x14ac:dyDescent="0.25">
      <c r="A197" s="5">
        <v>44396</v>
      </c>
      <c r="B197">
        <v>4.1580000000000004</v>
      </c>
      <c r="C197">
        <v>4.1970000000000001</v>
      </c>
      <c r="D197">
        <v>3.81</v>
      </c>
      <c r="E197">
        <v>3.9460000000000002</v>
      </c>
      <c r="F197">
        <v>403337.908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-0.29715762273901747</v>
      </c>
      <c r="Q197">
        <f t="shared" ref="Q197" si="956">F197*P197</f>
        <v>-119854.93390180853</v>
      </c>
      <c r="R197">
        <f t="shared" ref="R197" si="957">R198+Q197</f>
        <v>-5021863.8963355152</v>
      </c>
      <c r="S197">
        <f t="shared" ref="S197" si="958">R197/100000</f>
        <v>-50.218638963355154</v>
      </c>
      <c r="T197">
        <f t="shared" si="934"/>
        <v>-5.0218638963355156E-2</v>
      </c>
    </row>
    <row r="198" spans="1:20" x14ac:dyDescent="0.25">
      <c r="A198" s="5">
        <v>44395</v>
      </c>
      <c r="B198">
        <v>4.2290000000000001</v>
      </c>
      <c r="C198">
        <v>4.3959999999999999</v>
      </c>
      <c r="D198">
        <v>4.1449999999999996</v>
      </c>
      <c r="E198">
        <v>4.17</v>
      </c>
      <c r="F198">
        <v>249653.367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-0.80079681274900139</v>
      </c>
      <c r="Q198">
        <f t="shared" ref="Q198:Q261" si="960">F198*P198</f>
        <v>-199921.62058565672</v>
      </c>
      <c r="R198">
        <f t="shared" ref="R198:R261" si="961">R199+Q198</f>
        <v>-4902008.962433707</v>
      </c>
      <c r="S198">
        <f t="shared" ref="S198:S261" si="962">R198/100000</f>
        <v>-49.020089624337068</v>
      </c>
      <c r="T198">
        <f t="shared" ref="T198:T261" si="963">S198/1000</f>
        <v>-4.9020089624337071E-2</v>
      </c>
    </row>
    <row r="199" spans="1:20" x14ac:dyDescent="0.25">
      <c r="A199" s="5">
        <v>44394</v>
      </c>
      <c r="B199">
        <v>4.28</v>
      </c>
      <c r="C199">
        <v>4.3179999999999996</v>
      </c>
      <c r="D199">
        <v>4.101</v>
      </c>
      <c r="E199">
        <v>4.226</v>
      </c>
      <c r="F199">
        <v>300262.58299999998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0.15207373271889593</v>
      </c>
      <c r="Q199">
        <f t="shared" si="960"/>
        <v>45662.051792627302</v>
      </c>
      <c r="R199">
        <f t="shared" si="961"/>
        <v>-4702087.3418480502</v>
      </c>
      <c r="S199">
        <f t="shared" si="962"/>
        <v>-47.020873418480505</v>
      </c>
      <c r="T199">
        <f t="shared" si="963"/>
        <v>-4.7020873418480505E-2</v>
      </c>
    </row>
    <row r="200" spans="1:20" x14ac:dyDescent="0.25">
      <c r="A200" s="5">
        <v>44393</v>
      </c>
      <c r="B200">
        <v>4.6920000000000002</v>
      </c>
      <c r="C200">
        <v>4.7489999999999997</v>
      </c>
      <c r="D200">
        <v>4.2619999999999996</v>
      </c>
      <c r="E200">
        <v>4.282</v>
      </c>
      <c r="F200">
        <v>324050.299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-0.91786447638603508</v>
      </c>
      <c r="Q200">
        <f t="shared" si="960"/>
        <v>-297434.25801437313</v>
      </c>
      <c r="R200">
        <f t="shared" si="961"/>
        <v>-4747749.3936406774</v>
      </c>
      <c r="S200">
        <f t="shared" si="962"/>
        <v>-47.477493936406773</v>
      </c>
      <c r="T200">
        <f t="shared" si="963"/>
        <v>-4.7477493936406774E-2</v>
      </c>
    </row>
    <row r="201" spans="1:20" x14ac:dyDescent="0.25">
      <c r="A201" s="5">
        <v>44392</v>
      </c>
      <c r="B201">
        <v>4.9640000000000004</v>
      </c>
      <c r="C201">
        <v>5.056</v>
      </c>
      <c r="D201">
        <v>4.5369999999999999</v>
      </c>
      <c r="E201">
        <v>4.7</v>
      </c>
      <c r="F201">
        <v>373816.85700000002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-0.37186897880539416</v>
      </c>
      <c r="Q201">
        <f t="shared" si="960"/>
        <v>-139010.89287283208</v>
      </c>
      <c r="R201">
        <f t="shared" si="961"/>
        <v>-4450315.135626304</v>
      </c>
      <c r="S201">
        <f t="shared" si="962"/>
        <v>-44.503151356263039</v>
      </c>
      <c r="T201">
        <f t="shared" si="963"/>
        <v>-4.4503151356263038E-2</v>
      </c>
    </row>
    <row r="202" spans="1:20" x14ac:dyDescent="0.25">
      <c r="A202" s="5">
        <v>44391</v>
      </c>
      <c r="B202">
        <v>5.0259999999999998</v>
      </c>
      <c r="C202">
        <v>5.0999999999999996</v>
      </c>
      <c r="D202">
        <v>4.702</v>
      </c>
      <c r="E202">
        <v>4.9640000000000004</v>
      </c>
      <c r="F202">
        <v>371488.73200000002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0.31658291457286764</v>
      </c>
      <c r="Q202">
        <f t="shared" si="960"/>
        <v>117606.98550753892</v>
      </c>
      <c r="R202">
        <f t="shared" si="961"/>
        <v>-4311304.2427534722</v>
      </c>
      <c r="S202">
        <f t="shared" si="962"/>
        <v>-43.113042427534722</v>
      </c>
      <c r="T202">
        <f t="shared" si="963"/>
        <v>-4.311304242753472E-2</v>
      </c>
    </row>
    <row r="203" spans="1:20" x14ac:dyDescent="0.25">
      <c r="A203" s="5">
        <v>44390</v>
      </c>
      <c r="B203">
        <v>5.1689999999999996</v>
      </c>
      <c r="C203">
        <v>5.3479999999999999</v>
      </c>
      <c r="D203">
        <v>4.9740000000000002</v>
      </c>
      <c r="E203">
        <v>5.0359999999999996</v>
      </c>
      <c r="F203">
        <v>323274.69400000002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-0.66844919786096557</v>
      </c>
      <c r="Q203">
        <f t="shared" si="960"/>
        <v>-216092.70989304912</v>
      </c>
      <c r="R203">
        <f t="shared" si="961"/>
        <v>-4428911.2282610107</v>
      </c>
      <c r="S203">
        <f t="shared" si="962"/>
        <v>-44.289112282610105</v>
      </c>
      <c r="T203">
        <f t="shared" si="963"/>
        <v>-4.4289112282610107E-2</v>
      </c>
    </row>
    <row r="204" spans="1:20" x14ac:dyDescent="0.25">
      <c r="A204" s="5">
        <v>44389</v>
      </c>
      <c r="B204">
        <v>5.2409999999999997</v>
      </c>
      <c r="C204">
        <v>5.4390000000000001</v>
      </c>
      <c r="D204">
        <v>5.14</v>
      </c>
      <c r="E204">
        <v>5.17</v>
      </c>
      <c r="F204">
        <v>251520.435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-0.79933110367892835</v>
      </c>
      <c r="Q204">
        <f t="shared" si="960"/>
        <v>-201048.10690635417</v>
      </c>
      <c r="R204">
        <f t="shared" si="961"/>
        <v>-4212818.518367962</v>
      </c>
      <c r="S204">
        <f t="shared" si="962"/>
        <v>-42.128185183679619</v>
      </c>
      <c r="T204">
        <f t="shared" si="963"/>
        <v>-4.2128185183679619E-2</v>
      </c>
    </row>
    <row r="205" spans="1:20" x14ac:dyDescent="0.25">
      <c r="A205" s="5">
        <v>44388</v>
      </c>
      <c r="B205">
        <v>5.1669999999999998</v>
      </c>
      <c r="C205">
        <v>5.343</v>
      </c>
      <c r="D205">
        <v>5.1589999999999998</v>
      </c>
      <c r="E205">
        <v>5.2530000000000001</v>
      </c>
      <c r="F205">
        <v>162085.75399999999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2.1739130434785023E-2</v>
      </c>
      <c r="Q205">
        <f t="shared" si="960"/>
        <v>3523.6033478264781</v>
      </c>
      <c r="R205">
        <f t="shared" si="961"/>
        <v>-4011770.4114616076</v>
      </c>
      <c r="S205">
        <f t="shared" si="962"/>
        <v>-40.117704114616075</v>
      </c>
      <c r="T205">
        <f t="shared" si="963"/>
        <v>-4.0117704114616078E-2</v>
      </c>
    </row>
    <row r="206" spans="1:20" x14ac:dyDescent="0.25">
      <c r="A206" s="5">
        <v>44387</v>
      </c>
      <c r="B206">
        <v>5.3029999999999999</v>
      </c>
      <c r="C206">
        <v>5.3789999999999996</v>
      </c>
      <c r="D206">
        <v>5.1310000000000002</v>
      </c>
      <c r="E206">
        <v>5.1790000000000003</v>
      </c>
      <c r="F206">
        <v>174576.92499999999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-0.61290322580645018</v>
      </c>
      <c r="Q206">
        <f t="shared" si="960"/>
        <v>-106998.7604838707</v>
      </c>
      <c r="R206">
        <f t="shared" si="961"/>
        <v>-4015294.0148094338</v>
      </c>
      <c r="S206">
        <f t="shared" si="962"/>
        <v>-40.152940148094338</v>
      </c>
      <c r="T206">
        <f t="shared" si="963"/>
        <v>-4.015294014809434E-2</v>
      </c>
    </row>
    <row r="207" spans="1:20" x14ac:dyDescent="0.25">
      <c r="A207" s="5">
        <v>44386</v>
      </c>
      <c r="B207">
        <v>5.27</v>
      </c>
      <c r="C207">
        <v>5.34</v>
      </c>
      <c r="D207">
        <v>5.0999999999999996</v>
      </c>
      <c r="E207">
        <v>5.3120000000000003</v>
      </c>
      <c r="F207">
        <v>268906.51199999999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0.76666666666667038</v>
      </c>
      <c r="Q207">
        <f t="shared" si="960"/>
        <v>206161.65920000098</v>
      </c>
      <c r="R207">
        <f t="shared" si="961"/>
        <v>-3908295.2543255631</v>
      </c>
      <c r="S207">
        <f t="shared" si="962"/>
        <v>-39.08295254325563</v>
      </c>
      <c r="T207">
        <f t="shared" si="963"/>
        <v>-3.9082952543255632E-2</v>
      </c>
    </row>
    <row r="208" spans="1:20" x14ac:dyDescent="0.25">
      <c r="A208" s="5">
        <v>44385</v>
      </c>
      <c r="B208">
        <v>5.83</v>
      </c>
      <c r="C208">
        <v>5.891</v>
      </c>
      <c r="D208">
        <v>4.8099999999999996</v>
      </c>
      <c r="E208">
        <v>5.2729999999999997</v>
      </c>
      <c r="F208">
        <v>514517.56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-0.14338575393154504</v>
      </c>
      <c r="Q208">
        <f t="shared" si="960"/>
        <v>-73774.488251618954</v>
      </c>
      <c r="R208">
        <f t="shared" si="961"/>
        <v>-4114456.9135255641</v>
      </c>
      <c r="S208">
        <f t="shared" si="962"/>
        <v>-41.144569135255644</v>
      </c>
      <c r="T208">
        <f t="shared" si="963"/>
        <v>-4.1144569135255646E-2</v>
      </c>
    </row>
    <row r="209" spans="1:20" x14ac:dyDescent="0.25">
      <c r="A209" s="5">
        <v>44384</v>
      </c>
      <c r="B209">
        <v>5.8849999999999998</v>
      </c>
      <c r="C209">
        <v>6.109</v>
      </c>
      <c r="D209">
        <v>5.75</v>
      </c>
      <c r="E209">
        <v>5.8310000000000004</v>
      </c>
      <c r="F209">
        <v>468840.24800000002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-0.54874651810584729</v>
      </c>
      <c r="Q209">
        <f t="shared" si="960"/>
        <v>-257274.45363788193</v>
      </c>
      <c r="R209">
        <f t="shared" si="961"/>
        <v>-4040682.4252739451</v>
      </c>
      <c r="S209">
        <f t="shared" si="962"/>
        <v>-40.406824252739447</v>
      </c>
      <c r="T209">
        <f t="shared" si="963"/>
        <v>-4.0406824252739448E-2</v>
      </c>
    </row>
    <row r="210" spans="1:20" x14ac:dyDescent="0.25">
      <c r="A210" s="5">
        <v>44383</v>
      </c>
      <c r="B210">
        <v>5.3920000000000003</v>
      </c>
      <c r="C210">
        <v>6.0990000000000002</v>
      </c>
      <c r="D210">
        <v>5.3529999999999998</v>
      </c>
      <c r="E210">
        <v>5.899</v>
      </c>
      <c r="F210">
        <v>762924.32700000005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0.46380697050938324</v>
      </c>
      <c r="Q210">
        <f t="shared" si="960"/>
        <v>353849.62083378009</v>
      </c>
      <c r="R210">
        <f t="shared" si="961"/>
        <v>-3783407.971636063</v>
      </c>
      <c r="S210">
        <f t="shared" si="962"/>
        <v>-37.834079716360627</v>
      </c>
      <c r="T210">
        <f t="shared" si="963"/>
        <v>-3.783407971636063E-2</v>
      </c>
    </row>
    <row r="211" spans="1:20" x14ac:dyDescent="0.25">
      <c r="A211" s="5">
        <v>44382</v>
      </c>
      <c r="B211">
        <v>5.6550000000000002</v>
      </c>
      <c r="C211">
        <v>5.6589999999999998</v>
      </c>
      <c r="D211">
        <v>5.2640000000000002</v>
      </c>
      <c r="E211">
        <v>5.3869999999999996</v>
      </c>
      <c r="F211">
        <v>375065.21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-0.37721518987342045</v>
      </c>
      <c r="Q211">
        <f t="shared" si="960"/>
        <v>-141480.29440506431</v>
      </c>
      <c r="R211">
        <f t="shared" si="961"/>
        <v>-4137257.5924698431</v>
      </c>
      <c r="S211">
        <f t="shared" si="962"/>
        <v>-41.372575924698431</v>
      </c>
      <c r="T211">
        <f t="shared" si="963"/>
        <v>-4.1372575924698431E-2</v>
      </c>
    </row>
    <row r="212" spans="1:20" x14ac:dyDescent="0.25">
      <c r="A212" s="5">
        <v>44381</v>
      </c>
      <c r="B212">
        <v>5.6559999999999997</v>
      </c>
      <c r="C212">
        <v>5.9160000000000004</v>
      </c>
      <c r="D212">
        <v>5.45</v>
      </c>
      <c r="E212">
        <v>5.6509999999999998</v>
      </c>
      <c r="F212">
        <v>996438.93799999997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-0.13733905579399339</v>
      </c>
      <c r="Q212">
        <f t="shared" si="960"/>
        <v>-136849.98290128951</v>
      </c>
      <c r="R212">
        <f t="shared" si="961"/>
        <v>-3995777.2980647786</v>
      </c>
      <c r="S212">
        <f t="shared" si="962"/>
        <v>-39.957772980647789</v>
      </c>
      <c r="T212">
        <f t="shared" si="963"/>
        <v>-3.9957772980647788E-2</v>
      </c>
    </row>
    <row r="213" spans="1:20" x14ac:dyDescent="0.25">
      <c r="A213" s="5">
        <v>44380</v>
      </c>
      <c r="B213">
        <v>5.3920000000000003</v>
      </c>
      <c r="C213">
        <v>5.8390000000000004</v>
      </c>
      <c r="D213">
        <v>5.3109999999999999</v>
      </c>
      <c r="E213">
        <v>5.6619999999999999</v>
      </c>
      <c r="F213">
        <v>466851.783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0.32954545454545331</v>
      </c>
      <c r="Q213">
        <f t="shared" si="960"/>
        <v>153848.88303409034</v>
      </c>
      <c r="R213">
        <f t="shared" si="961"/>
        <v>-3858927.315163489</v>
      </c>
      <c r="S213">
        <f t="shared" si="962"/>
        <v>-38.589273151634892</v>
      </c>
      <c r="T213">
        <f t="shared" si="963"/>
        <v>-3.8589273151634892E-2</v>
      </c>
    </row>
    <row r="214" spans="1:20" x14ac:dyDescent="0.25">
      <c r="A214" s="5">
        <v>44379</v>
      </c>
      <c r="B214">
        <v>5.49</v>
      </c>
      <c r="C214">
        <v>5.56</v>
      </c>
      <c r="D214">
        <v>5.1100000000000003</v>
      </c>
      <c r="E214">
        <v>5.3769999999999998</v>
      </c>
      <c r="F214">
        <v>287664.37199999997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0.18666666666666615</v>
      </c>
      <c r="Q214">
        <f t="shared" si="960"/>
        <v>53697.349439999845</v>
      </c>
      <c r="R214">
        <f t="shared" si="961"/>
        <v>-4012776.1981975795</v>
      </c>
      <c r="S214">
        <f t="shared" si="962"/>
        <v>-40.127761981975794</v>
      </c>
      <c r="T214">
        <f t="shared" si="963"/>
        <v>-4.0127761981975797E-2</v>
      </c>
    </row>
    <row r="215" spans="1:20" x14ac:dyDescent="0.25">
      <c r="A215" s="5">
        <v>44378</v>
      </c>
      <c r="B215">
        <v>5.8920000000000003</v>
      </c>
      <c r="C215">
        <v>5.9269999999999996</v>
      </c>
      <c r="D215">
        <v>5.3090000000000002</v>
      </c>
      <c r="E215">
        <v>5.4989999999999997</v>
      </c>
      <c r="F215">
        <v>333196.63799999998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-0.38511326860841527</v>
      </c>
      <c r="Q215">
        <f t="shared" si="960"/>
        <v>-128318.4463495149</v>
      </c>
      <c r="R215">
        <f t="shared" si="961"/>
        <v>-4066473.5476375795</v>
      </c>
      <c r="S215">
        <f t="shared" si="962"/>
        <v>-40.664735476375796</v>
      </c>
      <c r="T215">
        <f t="shared" si="963"/>
        <v>-4.0664735476375793E-2</v>
      </c>
    </row>
    <row r="216" spans="1:20" x14ac:dyDescent="0.25">
      <c r="A216" s="5">
        <v>44377</v>
      </c>
      <c r="B216">
        <v>5.7759999999999998</v>
      </c>
      <c r="C216">
        <v>5.9269999999999996</v>
      </c>
      <c r="D216">
        <v>5.4809999999999999</v>
      </c>
      <c r="E216">
        <v>5.9020000000000001</v>
      </c>
      <c r="F216">
        <v>447431.30499999999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0.88789237668161669</v>
      </c>
      <c r="Q216">
        <f t="shared" si="960"/>
        <v>397270.84479820734</v>
      </c>
      <c r="R216">
        <f t="shared" si="961"/>
        <v>-3938155.1012880644</v>
      </c>
      <c r="S216">
        <f t="shared" si="962"/>
        <v>-39.381551012880642</v>
      </c>
      <c r="T216">
        <f t="shared" si="963"/>
        <v>-3.9381551012880642E-2</v>
      </c>
    </row>
    <row r="217" spans="1:20" x14ac:dyDescent="0.25">
      <c r="A217" s="5">
        <v>44376</v>
      </c>
      <c r="B217">
        <v>5.4269999999999996</v>
      </c>
      <c r="C217">
        <v>6.1150000000000002</v>
      </c>
      <c r="D217">
        <v>5.4</v>
      </c>
      <c r="E217">
        <v>5.75</v>
      </c>
      <c r="F217">
        <v>439384.62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-2.0979020979021778E-2</v>
      </c>
      <c r="Q217">
        <f t="shared" si="960"/>
        <v>-9217.8591608395109</v>
      </c>
      <c r="R217">
        <f t="shared" si="961"/>
        <v>-4335425.9460862717</v>
      </c>
      <c r="S217">
        <f t="shared" si="962"/>
        <v>-43.354259460862714</v>
      </c>
      <c r="T217">
        <f t="shared" si="963"/>
        <v>-4.3354259460862715E-2</v>
      </c>
    </row>
    <row r="218" spans="1:20" x14ac:dyDescent="0.25">
      <c r="A218" s="5">
        <v>44375</v>
      </c>
      <c r="B218">
        <v>5.3970000000000002</v>
      </c>
      <c r="C218">
        <v>5.6470000000000002</v>
      </c>
      <c r="D218">
        <v>5.2850000000000001</v>
      </c>
      <c r="E218">
        <v>5.4169999999999998</v>
      </c>
      <c r="F218">
        <v>458084.93599999999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-0.27071823204420092</v>
      </c>
      <c r="Q218">
        <f t="shared" si="960"/>
        <v>-124011.94400000092</v>
      </c>
      <c r="R218">
        <f t="shared" si="961"/>
        <v>-4326208.0869254321</v>
      </c>
      <c r="S218">
        <f t="shared" si="962"/>
        <v>-43.262080869254319</v>
      </c>
      <c r="T218">
        <f t="shared" si="963"/>
        <v>-4.3262080869254323E-2</v>
      </c>
    </row>
    <row r="219" spans="1:20" x14ac:dyDescent="0.25">
      <c r="A219" s="5">
        <v>44374</v>
      </c>
      <c r="B219">
        <v>5</v>
      </c>
      <c r="C219">
        <v>5.4050000000000002</v>
      </c>
      <c r="D219">
        <v>4.931</v>
      </c>
      <c r="E219">
        <v>5.3840000000000003</v>
      </c>
      <c r="F219">
        <v>346595.02899999998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0.91139240506329156</v>
      </c>
      <c r="Q219">
        <f t="shared" si="960"/>
        <v>315884.07706329128</v>
      </c>
      <c r="R219">
        <f t="shared" si="961"/>
        <v>-4202196.142925431</v>
      </c>
      <c r="S219">
        <f t="shared" si="962"/>
        <v>-42.021961429254311</v>
      </c>
      <c r="T219">
        <f t="shared" si="963"/>
        <v>-4.2021961429254309E-2</v>
      </c>
    </row>
    <row r="220" spans="1:20" x14ac:dyDescent="0.25">
      <c r="A220" s="5">
        <v>44373</v>
      </c>
      <c r="B220">
        <v>5.0679999999999996</v>
      </c>
      <c r="C220">
        <v>5.157</v>
      </c>
      <c r="D220">
        <v>4.7450000000000001</v>
      </c>
      <c r="E220">
        <v>5.0030000000000001</v>
      </c>
      <c r="F220">
        <v>499329.00599999999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0.25242718446601969</v>
      </c>
      <c r="Q220">
        <f t="shared" si="960"/>
        <v>126044.21510679625</v>
      </c>
      <c r="R220">
        <f t="shared" si="961"/>
        <v>-4518080.2199887224</v>
      </c>
      <c r="S220">
        <f t="shared" si="962"/>
        <v>-45.180802199887225</v>
      </c>
      <c r="T220">
        <f t="shared" si="963"/>
        <v>-4.5180802199887224E-2</v>
      </c>
    </row>
    <row r="221" spans="1:20" x14ac:dyDescent="0.25">
      <c r="A221" s="5">
        <v>44372</v>
      </c>
      <c r="B221">
        <v>5.6550000000000002</v>
      </c>
      <c r="C221">
        <v>6.06</v>
      </c>
      <c r="D221">
        <v>4.9180000000000001</v>
      </c>
      <c r="E221">
        <v>5.0709999999999997</v>
      </c>
      <c r="F221">
        <v>736119.26599999995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-0.73204903677758382</v>
      </c>
      <c r="Q221">
        <f t="shared" si="960"/>
        <v>-538875.39962872199</v>
      </c>
      <c r="R221">
        <f t="shared" si="961"/>
        <v>-4644124.4350955188</v>
      </c>
      <c r="S221">
        <f t="shared" si="962"/>
        <v>-46.441244350955188</v>
      </c>
      <c r="T221">
        <f t="shared" si="963"/>
        <v>-4.6441244350955188E-2</v>
      </c>
    </row>
    <row r="222" spans="1:20" x14ac:dyDescent="0.25">
      <c r="A222" s="5">
        <v>44371</v>
      </c>
      <c r="B222">
        <v>5.8289999999999997</v>
      </c>
      <c r="C222">
        <v>6.43</v>
      </c>
      <c r="D222">
        <v>5.4619999999999997</v>
      </c>
      <c r="E222">
        <v>5.641</v>
      </c>
      <c r="F222">
        <v>743160.92799999996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-0.63016528925619775</v>
      </c>
      <c r="Q222">
        <f t="shared" si="960"/>
        <v>-468314.22115702432</v>
      </c>
      <c r="R222">
        <f t="shared" si="961"/>
        <v>-4105249.0354667972</v>
      </c>
      <c r="S222">
        <f t="shared" si="962"/>
        <v>-41.052490354667974</v>
      </c>
      <c r="T222">
        <f t="shared" si="963"/>
        <v>-4.1052490354667973E-2</v>
      </c>
    </row>
    <row r="223" spans="1:20" x14ac:dyDescent="0.25">
      <c r="A223" s="5">
        <v>44370</v>
      </c>
      <c r="B223">
        <v>5.2839999999999998</v>
      </c>
      <c r="C223">
        <v>6.25</v>
      </c>
      <c r="D223">
        <v>5.05</v>
      </c>
      <c r="E223">
        <v>5.835</v>
      </c>
      <c r="F223">
        <v>937700.20299999998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0.3083333333333334</v>
      </c>
      <c r="Q223">
        <f t="shared" si="960"/>
        <v>289124.22925833339</v>
      </c>
      <c r="R223">
        <f t="shared" si="961"/>
        <v>-3636934.814309773</v>
      </c>
      <c r="S223">
        <f t="shared" si="962"/>
        <v>-36.369348143097731</v>
      </c>
      <c r="T223">
        <f t="shared" si="963"/>
        <v>-3.6369348143097731E-2</v>
      </c>
    </row>
    <row r="224" spans="1:20" x14ac:dyDescent="0.25">
      <c r="A224" s="5">
        <v>44369</v>
      </c>
      <c r="B224">
        <v>6.2069999999999999</v>
      </c>
      <c r="C224">
        <v>6.7140000000000004</v>
      </c>
      <c r="D224">
        <v>4.9530000000000003</v>
      </c>
      <c r="E224">
        <v>5.2789999999999999</v>
      </c>
      <c r="F224">
        <v>1757497.0209999999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-0.62975582055650248</v>
      </c>
      <c r="Q224">
        <f t="shared" si="960"/>
        <v>-1106793.9785854637</v>
      </c>
      <c r="R224">
        <f t="shared" si="961"/>
        <v>-3926059.0435681064</v>
      </c>
      <c r="S224">
        <f t="shared" si="962"/>
        <v>-39.260590435681067</v>
      </c>
      <c r="T224">
        <f t="shared" si="963"/>
        <v>-3.9260590435681066E-2</v>
      </c>
    </row>
    <row r="225" spans="1:20" x14ac:dyDescent="0.25">
      <c r="A225" s="5">
        <v>44368</v>
      </c>
      <c r="B225">
        <v>7.5839999999999996</v>
      </c>
      <c r="C225">
        <v>7.78</v>
      </c>
      <c r="D225">
        <v>6.0410000000000004</v>
      </c>
      <c r="E225">
        <v>6.2080000000000002</v>
      </c>
      <c r="F225">
        <v>905186.56400000001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-0.80793559516963798</v>
      </c>
      <c r="Q225">
        <f t="shared" si="960"/>
        <v>-731332.44532489963</v>
      </c>
      <c r="R225">
        <f t="shared" si="961"/>
        <v>-2819265.0649826424</v>
      </c>
      <c r="S225">
        <f t="shared" si="962"/>
        <v>-28.192650649826422</v>
      </c>
      <c r="T225">
        <f t="shared" si="963"/>
        <v>-2.8192650649826421E-2</v>
      </c>
    </row>
    <row r="226" spans="1:20" x14ac:dyDescent="0.25">
      <c r="A226" s="5">
        <v>44367</v>
      </c>
      <c r="B226">
        <v>6.9729999999999999</v>
      </c>
      <c r="C226">
        <v>7.8140000000000001</v>
      </c>
      <c r="D226">
        <v>6.55</v>
      </c>
      <c r="E226">
        <v>7.5720000000000001</v>
      </c>
      <c r="F226">
        <v>639997.69499999995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0.61708860759493678</v>
      </c>
      <c r="Q226">
        <f t="shared" si="960"/>
        <v>394935.28647151898</v>
      </c>
      <c r="R226">
        <f t="shared" si="961"/>
        <v>-2087932.6196577426</v>
      </c>
      <c r="S226">
        <f t="shared" si="962"/>
        <v>-20.879326196577427</v>
      </c>
      <c r="T226">
        <f t="shared" si="963"/>
        <v>-2.0879326196577428E-2</v>
      </c>
    </row>
    <row r="227" spans="1:20" x14ac:dyDescent="0.25">
      <c r="A227" s="5">
        <v>44366</v>
      </c>
      <c r="B227">
        <v>7.4089999999999998</v>
      </c>
      <c r="C227">
        <v>7.4690000000000003</v>
      </c>
      <c r="D227">
        <v>6.968</v>
      </c>
      <c r="E227">
        <v>6.9790000000000001</v>
      </c>
      <c r="F227">
        <v>371771.08299999998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-0.95608782435129691</v>
      </c>
      <c r="Q227">
        <f t="shared" si="960"/>
        <v>-355445.8059021954</v>
      </c>
      <c r="R227">
        <f t="shared" si="961"/>
        <v>-2482867.9061292615</v>
      </c>
      <c r="S227">
        <f t="shared" si="962"/>
        <v>-24.828679061292615</v>
      </c>
      <c r="T227">
        <f t="shared" si="963"/>
        <v>-2.4828679061292616E-2</v>
      </c>
    </row>
    <row r="228" spans="1:20" x14ac:dyDescent="0.25">
      <c r="A228" s="5">
        <v>44365</v>
      </c>
      <c r="B228">
        <v>8.2520000000000007</v>
      </c>
      <c r="C228">
        <v>8.3239999999999998</v>
      </c>
      <c r="D228">
        <v>7.1539999999999999</v>
      </c>
      <c r="E228">
        <v>7.4</v>
      </c>
      <c r="F228">
        <v>667724.52800000005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-0.57948717948717876</v>
      </c>
      <c r="Q228">
        <f t="shared" si="960"/>
        <v>-386937.80340512772</v>
      </c>
      <c r="R228">
        <f t="shared" si="961"/>
        <v>-2127422.1002270659</v>
      </c>
      <c r="S228">
        <f t="shared" si="962"/>
        <v>-21.274221002270657</v>
      </c>
      <c r="T228">
        <f t="shared" si="963"/>
        <v>-2.1274221002270659E-2</v>
      </c>
    </row>
    <row r="229" spans="1:20" x14ac:dyDescent="0.25">
      <c r="A229" s="5">
        <v>44364</v>
      </c>
      <c r="B229">
        <v>9.0039999999999996</v>
      </c>
      <c r="C229">
        <v>9.1210000000000004</v>
      </c>
      <c r="D229">
        <v>8.0069999999999997</v>
      </c>
      <c r="E229">
        <v>8.2569999999999997</v>
      </c>
      <c r="F229">
        <v>867099.33299999998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-0.55116696588868974</v>
      </c>
      <c r="Q229">
        <f t="shared" si="960"/>
        <v>-477916.5084937166</v>
      </c>
      <c r="R229">
        <f t="shared" si="961"/>
        <v>-1740484.2968219381</v>
      </c>
      <c r="S229">
        <f t="shared" si="962"/>
        <v>-17.404842968219381</v>
      </c>
      <c r="T229">
        <f t="shared" si="963"/>
        <v>-1.740484296821938E-2</v>
      </c>
    </row>
    <row r="230" spans="1:20" x14ac:dyDescent="0.25">
      <c r="A230" s="5">
        <v>44363</v>
      </c>
      <c r="B230">
        <v>9.8559999999999999</v>
      </c>
      <c r="C230">
        <v>10</v>
      </c>
      <c r="D230">
        <v>8.8539999999999992</v>
      </c>
      <c r="E230">
        <v>8.9809999999999999</v>
      </c>
      <c r="F230">
        <v>1437515.294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-0.77835951134380355</v>
      </c>
      <c r="Q230">
        <f t="shared" si="960"/>
        <v>-1118903.7017870841</v>
      </c>
      <c r="R230">
        <f t="shared" si="961"/>
        <v>-1262567.7883282215</v>
      </c>
      <c r="S230">
        <f t="shared" si="962"/>
        <v>-12.625677883282215</v>
      </c>
      <c r="T230">
        <f t="shared" si="963"/>
        <v>-1.2625677883282215E-2</v>
      </c>
    </row>
    <row r="231" spans="1:20" x14ac:dyDescent="0.25">
      <c r="A231" s="5">
        <v>44362</v>
      </c>
      <c r="B231">
        <v>8.266</v>
      </c>
      <c r="C231">
        <v>9.9499999999999993</v>
      </c>
      <c r="D231">
        <v>8.2050000000000001</v>
      </c>
      <c r="E231">
        <v>9.8529999999999998</v>
      </c>
      <c r="F231">
        <v>1633990.379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0.888825214899714</v>
      </c>
      <c r="Q231">
        <f t="shared" si="960"/>
        <v>1452331.84975874</v>
      </c>
      <c r="R231">
        <f t="shared" si="961"/>
        <v>-143664.08654113743</v>
      </c>
      <c r="S231">
        <f t="shared" si="962"/>
        <v>-1.4366408654113743</v>
      </c>
      <c r="T231">
        <f t="shared" si="963"/>
        <v>-1.4366408654113742E-3</v>
      </c>
    </row>
    <row r="232" spans="1:20" x14ac:dyDescent="0.25">
      <c r="A232" s="5">
        <v>44361</v>
      </c>
      <c r="B232">
        <v>7.3159999999999998</v>
      </c>
      <c r="C232">
        <v>8.35</v>
      </c>
      <c r="D232">
        <v>7.2329999999999997</v>
      </c>
      <c r="E232">
        <v>8.2880000000000003</v>
      </c>
      <c r="F232">
        <v>521625.76699999999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0.88898836168308082</v>
      </c>
      <c r="Q232">
        <f t="shared" si="960"/>
        <v>463719.23601701041</v>
      </c>
      <c r="R232">
        <f t="shared" si="961"/>
        <v>-1595995.9362998775</v>
      </c>
      <c r="S232">
        <f t="shared" si="962"/>
        <v>-15.959959362998775</v>
      </c>
      <c r="T232">
        <f t="shared" si="963"/>
        <v>-1.5959959362998776E-2</v>
      </c>
    </row>
    <row r="233" spans="1:20" x14ac:dyDescent="0.25">
      <c r="A233" s="5">
        <v>44360</v>
      </c>
      <c r="B233">
        <v>6.6989999999999998</v>
      </c>
      <c r="C233">
        <v>7.45</v>
      </c>
      <c r="D233">
        <v>6.6529999999999996</v>
      </c>
      <c r="E233">
        <v>7.319</v>
      </c>
      <c r="F233">
        <v>259279.50099999999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0.67126725219573369</v>
      </c>
      <c r="Q233">
        <f t="shared" si="960"/>
        <v>174045.83818695098</v>
      </c>
      <c r="R233">
        <f t="shared" si="961"/>
        <v>-2059715.1723168879</v>
      </c>
      <c r="S233">
        <f t="shared" si="962"/>
        <v>-20.597151723168878</v>
      </c>
      <c r="T233">
        <f t="shared" si="963"/>
        <v>-2.0597151723168877E-2</v>
      </c>
    </row>
    <row r="234" spans="1:20" x14ac:dyDescent="0.25">
      <c r="A234" s="5">
        <v>44359</v>
      </c>
      <c r="B234">
        <v>6.9269999999999996</v>
      </c>
      <c r="C234">
        <v>7.2629999999999999</v>
      </c>
      <c r="D234">
        <v>6.4</v>
      </c>
      <c r="E234">
        <v>6.6959999999999997</v>
      </c>
      <c r="F234">
        <v>452115.625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-0.31402085747392927</v>
      </c>
      <c r="Q234">
        <f t="shared" si="960"/>
        <v>-141973.73623986146</v>
      </c>
      <c r="R234">
        <f t="shared" si="961"/>
        <v>-2233761.0105038388</v>
      </c>
      <c r="S234">
        <f t="shared" si="962"/>
        <v>-22.337610105038387</v>
      </c>
      <c r="T234">
        <f t="shared" si="963"/>
        <v>-2.2337610105038385E-2</v>
      </c>
    </row>
    <row r="235" spans="1:20" x14ac:dyDescent="0.25">
      <c r="A235" s="5">
        <v>44358</v>
      </c>
      <c r="B235">
        <v>7.4</v>
      </c>
      <c r="C235">
        <v>7.7670000000000003</v>
      </c>
      <c r="D235">
        <v>6.72</v>
      </c>
      <c r="E235">
        <v>6.9</v>
      </c>
      <c r="F235">
        <v>426402.54300000001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-0.65616045845272108</v>
      </c>
      <c r="Q235">
        <f t="shared" si="960"/>
        <v>-279788.48810028611</v>
      </c>
      <c r="R235">
        <f t="shared" si="961"/>
        <v>-2091787.2742639771</v>
      </c>
      <c r="S235">
        <f t="shared" si="962"/>
        <v>-20.917872742639769</v>
      </c>
      <c r="T235">
        <f t="shared" si="963"/>
        <v>-2.091787274263977E-2</v>
      </c>
    </row>
    <row r="236" spans="1:20" x14ac:dyDescent="0.25">
      <c r="A236" s="5">
        <v>44357</v>
      </c>
      <c r="B236">
        <v>8.2829999999999995</v>
      </c>
      <c r="C236">
        <v>8.3130000000000006</v>
      </c>
      <c r="D236">
        <v>7.2009999999999996</v>
      </c>
      <c r="E236">
        <v>7.3540000000000001</v>
      </c>
      <c r="F236">
        <v>972124.74100000004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-0.72482014388489147</v>
      </c>
      <c r="Q236">
        <f t="shared" si="960"/>
        <v>-704615.59464568284</v>
      </c>
      <c r="R236">
        <f t="shared" si="961"/>
        <v>-1811998.786163691</v>
      </c>
      <c r="S236">
        <f t="shared" si="962"/>
        <v>-18.119987861636911</v>
      </c>
      <c r="T236">
        <f t="shared" si="963"/>
        <v>-1.8119987861636912E-2</v>
      </c>
    </row>
    <row r="237" spans="1:20" x14ac:dyDescent="0.25">
      <c r="A237" s="5">
        <v>44356</v>
      </c>
      <c r="B237">
        <v>6.4790000000000001</v>
      </c>
      <c r="C237">
        <v>8.5500000000000007</v>
      </c>
      <c r="D237">
        <v>6.1630000000000003</v>
      </c>
      <c r="E237">
        <v>8.2550000000000008</v>
      </c>
      <c r="F237">
        <v>1452426.9210000001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0.75282781734394644</v>
      </c>
      <c r="Q237">
        <f t="shared" si="960"/>
        <v>1093427.3887880186</v>
      </c>
      <c r="R237">
        <f t="shared" si="961"/>
        <v>-1107383.191518008</v>
      </c>
      <c r="S237">
        <f t="shared" si="962"/>
        <v>-11.073831915180079</v>
      </c>
      <c r="T237">
        <f t="shared" si="963"/>
        <v>-1.107383191518008E-2</v>
      </c>
    </row>
    <row r="238" spans="1:20" x14ac:dyDescent="0.25">
      <c r="A238" s="5">
        <v>44355</v>
      </c>
      <c r="B238">
        <v>6.8550000000000004</v>
      </c>
      <c r="C238">
        <v>7.0940000000000003</v>
      </c>
      <c r="D238">
        <v>5.75</v>
      </c>
      <c r="E238">
        <v>6.49</v>
      </c>
      <c r="F238">
        <v>824665.67299999995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0.10119047619047626</v>
      </c>
      <c r="Q238">
        <f t="shared" si="960"/>
        <v>83448.312148809579</v>
      </c>
      <c r="R238">
        <f t="shared" si="961"/>
        <v>-2200810.5803060266</v>
      </c>
      <c r="S238">
        <f t="shared" si="962"/>
        <v>-22.008105803060268</v>
      </c>
      <c r="T238">
        <f t="shared" si="963"/>
        <v>-2.2008105803060268E-2</v>
      </c>
    </row>
    <row r="239" spans="1:20" x14ac:dyDescent="0.25">
      <c r="A239" s="5">
        <v>44354</v>
      </c>
      <c r="B239">
        <v>7.3970000000000002</v>
      </c>
      <c r="C239">
        <v>8</v>
      </c>
      <c r="D239">
        <v>6.8049999999999997</v>
      </c>
      <c r="E239">
        <v>6.8540000000000001</v>
      </c>
      <c r="F239">
        <v>508058.516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-0.91799163179916254</v>
      </c>
      <c r="Q239">
        <f t="shared" si="960"/>
        <v>-466393.46615230094</v>
      </c>
      <c r="R239">
        <f t="shared" si="961"/>
        <v>-2284258.8924548361</v>
      </c>
      <c r="S239">
        <f t="shared" si="962"/>
        <v>-22.842588924548359</v>
      </c>
      <c r="T239">
        <f t="shared" si="963"/>
        <v>-2.2842588924548358E-2</v>
      </c>
    </row>
    <row r="240" spans="1:20" x14ac:dyDescent="0.25">
      <c r="A240" s="5">
        <v>44353</v>
      </c>
      <c r="B240">
        <v>7.0380000000000003</v>
      </c>
      <c r="C240">
        <v>7.5289999999999999</v>
      </c>
      <c r="D240">
        <v>6.9240000000000004</v>
      </c>
      <c r="E240">
        <v>7.3540000000000001</v>
      </c>
      <c r="F240">
        <v>205905.82699999999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0.42148760330578527</v>
      </c>
      <c r="Q240">
        <f t="shared" si="960"/>
        <v>86786.753528925648</v>
      </c>
      <c r="R240">
        <f t="shared" si="961"/>
        <v>-1817865.426302535</v>
      </c>
      <c r="S240">
        <f t="shared" si="962"/>
        <v>-18.178654263025351</v>
      </c>
      <c r="T240">
        <f t="shared" si="963"/>
        <v>-1.817865426302535E-2</v>
      </c>
    </row>
    <row r="241" spans="1:20" x14ac:dyDescent="0.25">
      <c r="A241" s="5">
        <v>44352</v>
      </c>
      <c r="B241">
        <v>7.3940000000000001</v>
      </c>
      <c r="C241">
        <v>7.8</v>
      </c>
      <c r="D241">
        <v>6.75</v>
      </c>
      <c r="E241">
        <v>7.0750000000000002</v>
      </c>
      <c r="F241">
        <v>305543.95899999997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-0.38095238095238049</v>
      </c>
      <c r="Q241">
        <f t="shared" si="960"/>
        <v>-116397.69866666652</v>
      </c>
      <c r="R241">
        <f t="shared" si="961"/>
        <v>-1904652.1798314606</v>
      </c>
      <c r="S241">
        <f t="shared" si="962"/>
        <v>-19.046521798314608</v>
      </c>
      <c r="T241">
        <f t="shared" si="963"/>
        <v>-1.9046521798314609E-2</v>
      </c>
    </row>
    <row r="242" spans="1:20" x14ac:dyDescent="0.25">
      <c r="A242" s="5">
        <v>44351</v>
      </c>
      <c r="B242">
        <v>8.3640000000000008</v>
      </c>
      <c r="C242">
        <v>8.4</v>
      </c>
      <c r="D242">
        <v>7.03</v>
      </c>
      <c r="E242">
        <v>7.3949999999999996</v>
      </c>
      <c r="F242">
        <v>358500.19400000002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-0.46715328467153389</v>
      </c>
      <c r="Q242">
        <f t="shared" si="960"/>
        <v>-167474.54318248213</v>
      </c>
      <c r="R242">
        <f t="shared" si="961"/>
        <v>-1788254.4811647939</v>
      </c>
      <c r="S242">
        <f t="shared" si="962"/>
        <v>-17.882544811647939</v>
      </c>
      <c r="T242">
        <f t="shared" si="963"/>
        <v>-1.788254481164794E-2</v>
      </c>
    </row>
    <row r="243" spans="1:20" x14ac:dyDescent="0.25">
      <c r="A243" s="5">
        <v>44350</v>
      </c>
      <c r="B243">
        <v>7.9729999999999999</v>
      </c>
      <c r="C243">
        <v>8.5</v>
      </c>
      <c r="D243">
        <v>7.9</v>
      </c>
      <c r="E243">
        <v>8.3670000000000009</v>
      </c>
      <c r="F243">
        <v>269382.06099999999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0.55666666666666931</v>
      </c>
      <c r="Q243">
        <f t="shared" si="960"/>
        <v>149956.01395666736</v>
      </c>
      <c r="R243">
        <f t="shared" si="961"/>
        <v>-1620779.9379823117</v>
      </c>
      <c r="S243">
        <f t="shared" si="962"/>
        <v>-16.207799379823118</v>
      </c>
      <c r="T243">
        <f t="shared" si="963"/>
        <v>-1.6207799379823119E-2</v>
      </c>
    </row>
    <row r="244" spans="1:20" x14ac:dyDescent="0.25">
      <c r="A244" s="5">
        <v>44349</v>
      </c>
      <c r="B244">
        <v>7.5579999999999998</v>
      </c>
      <c r="C244">
        <v>8.4</v>
      </c>
      <c r="D244">
        <v>7.3520000000000003</v>
      </c>
      <c r="E244">
        <v>7.9610000000000003</v>
      </c>
      <c r="F244">
        <v>337156.41600000003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0.1622137404580152</v>
      </c>
      <c r="Q244">
        <f t="shared" si="960"/>
        <v>54691.403358778611</v>
      </c>
      <c r="R244">
        <f t="shared" si="961"/>
        <v>-1770735.9519389791</v>
      </c>
      <c r="S244">
        <f t="shared" si="962"/>
        <v>-17.70735951938979</v>
      </c>
      <c r="T244">
        <f t="shared" si="963"/>
        <v>-1.770735951938979E-2</v>
      </c>
    </row>
    <row r="245" spans="1:20" x14ac:dyDescent="0.25">
      <c r="A245" s="5">
        <v>44348</v>
      </c>
      <c r="B245">
        <v>7.9390000000000001</v>
      </c>
      <c r="C245">
        <v>8.23</v>
      </c>
      <c r="D245">
        <v>7.3220000000000001</v>
      </c>
      <c r="E245">
        <v>7.5529999999999999</v>
      </c>
      <c r="F245">
        <v>349110.38799999998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-0.49118942731277582</v>
      </c>
      <c r="Q245">
        <f t="shared" si="960"/>
        <v>-171479.33155066095</v>
      </c>
      <c r="R245">
        <f t="shared" si="961"/>
        <v>-1825427.3552977578</v>
      </c>
      <c r="S245">
        <f t="shared" si="962"/>
        <v>-18.254273552977576</v>
      </c>
      <c r="T245">
        <f t="shared" si="963"/>
        <v>-1.8254273552977575E-2</v>
      </c>
    </row>
    <row r="246" spans="1:20" x14ac:dyDescent="0.25">
      <c r="A246" s="5">
        <v>44347</v>
      </c>
      <c r="B246">
        <v>7.1230000000000002</v>
      </c>
      <c r="C246">
        <v>8</v>
      </c>
      <c r="D246">
        <v>6.7690000000000001</v>
      </c>
      <c r="E246">
        <v>7.9470000000000001</v>
      </c>
      <c r="F246">
        <v>382090.538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0.91389114541023564</v>
      </c>
      <c r="Q246">
        <f t="shared" si="960"/>
        <v>349189.15942323318</v>
      </c>
      <c r="R246">
        <f t="shared" si="961"/>
        <v>-1653948.0237470968</v>
      </c>
      <c r="S246">
        <f t="shared" si="962"/>
        <v>-16.539480237470968</v>
      </c>
      <c r="T246">
        <f t="shared" si="963"/>
        <v>-1.6539480237470969E-2</v>
      </c>
    </row>
    <row r="247" spans="1:20" x14ac:dyDescent="0.25">
      <c r="A247" s="5">
        <v>44346</v>
      </c>
      <c r="B247">
        <v>6.5220000000000002</v>
      </c>
      <c r="C247">
        <v>7.4130000000000003</v>
      </c>
      <c r="D247">
        <v>6.109</v>
      </c>
      <c r="E247">
        <v>7.1239999999999997</v>
      </c>
      <c r="F247">
        <v>383657.46399999998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0.55674846625766794</v>
      </c>
      <c r="Q247">
        <f t="shared" si="960"/>
        <v>213600.70465030643</v>
      </c>
      <c r="R247">
        <f t="shared" si="961"/>
        <v>-2003137.18317033</v>
      </c>
      <c r="S247">
        <f t="shared" si="962"/>
        <v>-20.0313718317033</v>
      </c>
      <c r="T247">
        <f t="shared" si="963"/>
        <v>-2.0031371831703299E-2</v>
      </c>
    </row>
    <row r="248" spans="1:20" x14ac:dyDescent="0.25">
      <c r="A248" s="5">
        <v>44345</v>
      </c>
      <c r="B248">
        <v>6.8390000000000004</v>
      </c>
      <c r="C248">
        <v>7.242</v>
      </c>
      <c r="D248">
        <v>6.1449999999999996</v>
      </c>
      <c r="E248">
        <v>6.5229999999999997</v>
      </c>
      <c r="F248">
        <v>689402.84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-0.31084776663628083</v>
      </c>
      <c r="Q248">
        <f t="shared" si="960"/>
        <v>-214299.33312670924</v>
      </c>
      <c r="R248">
        <f t="shared" si="961"/>
        <v>-2216737.8878206364</v>
      </c>
      <c r="S248">
        <f t="shared" si="962"/>
        <v>-22.167378878206364</v>
      </c>
      <c r="T248">
        <f t="shared" si="963"/>
        <v>-2.2167378878206363E-2</v>
      </c>
    </row>
    <row r="249" spans="1:20" x14ac:dyDescent="0.25">
      <c r="A249" s="5">
        <v>44344</v>
      </c>
      <c r="B249">
        <v>7.9189999999999996</v>
      </c>
      <c r="C249">
        <v>8.0660000000000007</v>
      </c>
      <c r="D249">
        <v>6.5010000000000003</v>
      </c>
      <c r="E249">
        <v>6.8419999999999996</v>
      </c>
      <c r="F249">
        <v>1155126.08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-0.56421725239616716</v>
      </c>
      <c r="Q249">
        <f t="shared" si="960"/>
        <v>-651742.06302875525</v>
      </c>
      <c r="R249">
        <f t="shared" si="961"/>
        <v>-2002438.5546939271</v>
      </c>
      <c r="S249">
        <f t="shared" si="962"/>
        <v>-20.024385546939271</v>
      </c>
      <c r="T249">
        <f t="shared" si="963"/>
        <v>-2.002438554693927E-2</v>
      </c>
    </row>
    <row r="250" spans="1:20" x14ac:dyDescent="0.25">
      <c r="A250" s="5">
        <v>44343</v>
      </c>
      <c r="B250">
        <v>8.5879999999999992</v>
      </c>
      <c r="C250">
        <v>8.6</v>
      </c>
      <c r="D250">
        <v>7.7469999999999999</v>
      </c>
      <c r="E250">
        <v>7.8940000000000001</v>
      </c>
      <c r="F250">
        <v>443165.71299999999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-0.65533411488862769</v>
      </c>
      <c r="Q250">
        <f t="shared" si="960"/>
        <v>-290421.61027784261</v>
      </c>
      <c r="R250">
        <f t="shared" si="961"/>
        <v>-1350696.4916651719</v>
      </c>
      <c r="S250">
        <f t="shared" si="962"/>
        <v>-13.50696491665172</v>
      </c>
      <c r="T250">
        <f t="shared" si="963"/>
        <v>-1.350696491665172E-2</v>
      </c>
    </row>
    <row r="251" spans="1:20" x14ac:dyDescent="0.25">
      <c r="A251" s="5">
        <v>44342</v>
      </c>
      <c r="B251">
        <v>7.8479999999999999</v>
      </c>
      <c r="C251">
        <v>9.5</v>
      </c>
      <c r="D251">
        <v>7.7039999999999997</v>
      </c>
      <c r="E251">
        <v>8.5860000000000003</v>
      </c>
      <c r="F251">
        <v>880344.41299999994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-1.7817371937638715E-2</v>
      </c>
      <c r="Q251">
        <f t="shared" si="960"/>
        <v>-15685.423839643227</v>
      </c>
      <c r="R251">
        <f t="shared" si="961"/>
        <v>-1060274.8813873292</v>
      </c>
      <c r="S251">
        <f t="shared" si="962"/>
        <v>-10.602748813873292</v>
      </c>
      <c r="T251">
        <f t="shared" si="963"/>
        <v>-1.0602748813873292E-2</v>
      </c>
    </row>
    <row r="252" spans="1:20" x14ac:dyDescent="0.25">
      <c r="A252" s="5">
        <v>44341</v>
      </c>
      <c r="B252">
        <v>8.2040000000000006</v>
      </c>
      <c r="C252">
        <v>8.44</v>
      </c>
      <c r="D252">
        <v>7.01</v>
      </c>
      <c r="E252">
        <v>7.8129999999999997</v>
      </c>
      <c r="F252">
        <v>676177.91500000004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0.12307692307692321</v>
      </c>
      <c r="Q252">
        <f t="shared" si="960"/>
        <v>83221.897230769318</v>
      </c>
      <c r="R252">
        <f t="shared" si="961"/>
        <v>-1044589.4575476861</v>
      </c>
      <c r="S252">
        <f t="shared" si="962"/>
        <v>-10.44589457547686</v>
      </c>
      <c r="T252">
        <f t="shared" si="963"/>
        <v>-1.044589457547686E-2</v>
      </c>
    </row>
    <row r="253" spans="1:20" x14ac:dyDescent="0.25">
      <c r="A253" s="5">
        <v>44340</v>
      </c>
      <c r="B253">
        <v>6.5529999999999999</v>
      </c>
      <c r="C253">
        <v>8.4570000000000007</v>
      </c>
      <c r="D253">
        <v>6.4119999999999999</v>
      </c>
      <c r="E253">
        <v>8.2029999999999994</v>
      </c>
      <c r="F253">
        <v>927200.35400000005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0.75158924205378852</v>
      </c>
      <c r="Q253">
        <f t="shared" si="960"/>
        <v>696873.8112948644</v>
      </c>
      <c r="R253">
        <f t="shared" si="961"/>
        <v>-1127811.3547784553</v>
      </c>
      <c r="S253">
        <f t="shared" si="962"/>
        <v>-11.278113547784553</v>
      </c>
      <c r="T253">
        <f t="shared" si="963"/>
        <v>-1.1278113547784553E-2</v>
      </c>
    </row>
    <row r="254" spans="1:20" x14ac:dyDescent="0.25">
      <c r="A254" s="5">
        <v>44339</v>
      </c>
      <c r="B254">
        <v>7.4379999999999997</v>
      </c>
      <c r="C254">
        <v>7.72</v>
      </c>
      <c r="D254">
        <v>5.3</v>
      </c>
      <c r="E254">
        <v>6.5579999999999998</v>
      </c>
      <c r="F254">
        <v>1084853.1240000001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3.9669421487603343E-2</v>
      </c>
      <c r="Q254">
        <f t="shared" si="960"/>
        <v>43035.495828099214</v>
      </c>
      <c r="R254">
        <f t="shared" si="961"/>
        <v>-1824685.1660733197</v>
      </c>
      <c r="S254">
        <f t="shared" si="962"/>
        <v>-18.246851660733196</v>
      </c>
      <c r="T254">
        <f t="shared" si="963"/>
        <v>-1.8246851660733195E-2</v>
      </c>
    </row>
    <row r="255" spans="1:20" x14ac:dyDescent="0.25">
      <c r="A255" s="5">
        <v>44338</v>
      </c>
      <c r="B255">
        <v>7.9589999999999996</v>
      </c>
      <c r="C255">
        <v>8.4689999999999994</v>
      </c>
      <c r="D255">
        <v>6.6</v>
      </c>
      <c r="E255">
        <v>7.444</v>
      </c>
      <c r="F255">
        <v>796554.69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-9.6843231674691915E-2</v>
      </c>
      <c r="Q255">
        <f t="shared" si="960"/>
        <v>-77140.930385232394</v>
      </c>
      <c r="R255">
        <f t="shared" si="961"/>
        <v>-1867720.6619014191</v>
      </c>
      <c r="S255">
        <f t="shared" si="962"/>
        <v>-18.677206619014189</v>
      </c>
      <c r="T255">
        <f t="shared" si="963"/>
        <v>-1.8677206619014189E-2</v>
      </c>
    </row>
    <row r="256" spans="1:20" x14ac:dyDescent="0.25">
      <c r="A256" s="5">
        <v>44337</v>
      </c>
      <c r="B256">
        <v>8.7940000000000005</v>
      </c>
      <c r="C256">
        <v>9.343</v>
      </c>
      <c r="D256">
        <v>6.4610000000000003</v>
      </c>
      <c r="E256">
        <v>7.96</v>
      </c>
      <c r="F256">
        <v>1088853.0319999999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4.0249826509368383E-2</v>
      </c>
      <c r="Q256">
        <f t="shared" si="960"/>
        <v>43826.145632199739</v>
      </c>
      <c r="R256">
        <f t="shared" si="961"/>
        <v>-1790579.7315161866</v>
      </c>
      <c r="S256">
        <f t="shared" si="962"/>
        <v>-17.905797315161866</v>
      </c>
      <c r="T256">
        <f t="shared" si="963"/>
        <v>-1.7905797315161866E-2</v>
      </c>
    </row>
    <row r="257" spans="1:20" x14ac:dyDescent="0.25">
      <c r="A257" s="5">
        <v>44336</v>
      </c>
      <c r="B257">
        <v>7.98</v>
      </c>
      <c r="C257">
        <v>9.8699999999999992</v>
      </c>
      <c r="D257">
        <v>7.2759999999999998</v>
      </c>
      <c r="E257">
        <v>8.8049999999999997</v>
      </c>
      <c r="F257">
        <v>1014742.856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0.17887432536622996</v>
      </c>
      <c r="Q257">
        <f t="shared" si="960"/>
        <v>181511.44378720145</v>
      </c>
      <c r="R257">
        <f t="shared" si="961"/>
        <v>-1834405.8771483863</v>
      </c>
      <c r="S257">
        <f t="shared" si="962"/>
        <v>-18.344058771483862</v>
      </c>
      <c r="T257">
        <f t="shared" si="963"/>
        <v>-1.8344058771483863E-2</v>
      </c>
    </row>
    <row r="258" spans="1:20" x14ac:dyDescent="0.25">
      <c r="A258" s="5">
        <v>44335</v>
      </c>
      <c r="B258">
        <v>11.678000000000001</v>
      </c>
      <c r="C258">
        <v>11.881</v>
      </c>
      <c r="D258">
        <v>4.9219999999999997</v>
      </c>
      <c r="E258">
        <v>7.9880000000000004</v>
      </c>
      <c r="F258">
        <v>1580466.425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-0.11883891363701667</v>
      </c>
      <c r="Q258">
        <f t="shared" si="960"/>
        <v>-187820.91298677947</v>
      </c>
      <c r="R258">
        <f t="shared" si="961"/>
        <v>-2015917.3209355879</v>
      </c>
      <c r="S258">
        <f t="shared" si="962"/>
        <v>-20.159173209355878</v>
      </c>
      <c r="T258">
        <f t="shared" si="963"/>
        <v>-2.0159173209355879E-2</v>
      </c>
    </row>
    <row r="259" spans="1:20" x14ac:dyDescent="0.25">
      <c r="A259" s="5">
        <v>44334</v>
      </c>
      <c r="B259">
        <v>10.743</v>
      </c>
      <c r="C259">
        <v>11.95</v>
      </c>
      <c r="D259">
        <v>10.539</v>
      </c>
      <c r="E259">
        <v>11.677</v>
      </c>
      <c r="F259">
        <v>586497.87100000004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0.61304039688164458</v>
      </c>
      <c r="Q259">
        <f t="shared" si="960"/>
        <v>359546.88760807959</v>
      </c>
      <c r="R259">
        <f t="shared" si="961"/>
        <v>-1828096.4079488083</v>
      </c>
      <c r="S259">
        <f t="shared" si="962"/>
        <v>-18.280964079488083</v>
      </c>
      <c r="T259">
        <f t="shared" si="963"/>
        <v>-1.8280964079488083E-2</v>
      </c>
    </row>
    <row r="260" spans="1:20" x14ac:dyDescent="0.25">
      <c r="A260" s="5">
        <v>44333</v>
      </c>
      <c r="B260">
        <v>12.382999999999999</v>
      </c>
      <c r="C260">
        <v>12.44</v>
      </c>
      <c r="D260">
        <v>10.436</v>
      </c>
      <c r="E260">
        <v>10.737</v>
      </c>
      <c r="F260">
        <v>729865.679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-0.69960079840319334</v>
      </c>
      <c r="Q260">
        <f t="shared" si="960"/>
        <v>-510614.61175548885</v>
      </c>
      <c r="R260">
        <f t="shared" si="961"/>
        <v>-2187643.295556888</v>
      </c>
      <c r="S260">
        <f t="shared" si="962"/>
        <v>-21.87643295556888</v>
      </c>
      <c r="T260">
        <f t="shared" si="963"/>
        <v>-2.1876432955568879E-2</v>
      </c>
    </row>
    <row r="261" spans="1:20" x14ac:dyDescent="0.25">
      <c r="A261" s="5">
        <v>44332</v>
      </c>
      <c r="B261">
        <v>12.257</v>
      </c>
      <c r="C261">
        <v>13.313000000000001</v>
      </c>
      <c r="D261">
        <v>11</v>
      </c>
      <c r="E261">
        <v>12.369</v>
      </c>
      <c r="F261">
        <v>710962.64399999997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0.18374405533938556</v>
      </c>
      <c r="Q261">
        <f t="shared" si="960"/>
        <v>130635.15940337187</v>
      </c>
      <c r="R261">
        <f t="shared" si="961"/>
        <v>-1677028.6838013993</v>
      </c>
      <c r="S261">
        <f t="shared" si="962"/>
        <v>-16.770286838013995</v>
      </c>
      <c r="T261">
        <f t="shared" si="963"/>
        <v>-1.6770286838013994E-2</v>
      </c>
    </row>
    <row r="262" spans="1:20" x14ac:dyDescent="0.25">
      <c r="A262" s="5">
        <v>44331</v>
      </c>
      <c r="B262">
        <v>13.226000000000001</v>
      </c>
      <c r="C262">
        <v>13.39</v>
      </c>
      <c r="D262">
        <v>12.137</v>
      </c>
      <c r="E262">
        <v>12.257</v>
      </c>
      <c r="F262">
        <v>517649.52500000002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-0.80845969672785445</v>
      </c>
      <c r="Q262">
        <f t="shared" ref="Q262:Q325" si="965">F262*P262</f>
        <v>-418498.77799281792</v>
      </c>
      <c r="R262">
        <f t="shared" ref="R262:R325" si="966">R263+Q262</f>
        <v>-1807663.8432047712</v>
      </c>
      <c r="S262">
        <f t="shared" ref="S262:S325" si="967">R262/100000</f>
        <v>-18.076638432047712</v>
      </c>
      <c r="T262">
        <f t="shared" ref="T262:T325" si="968">S262/1000</f>
        <v>-1.8076638432047713E-2</v>
      </c>
    </row>
    <row r="263" spans="1:20" x14ac:dyDescent="0.25">
      <c r="A263" s="5">
        <v>44330</v>
      </c>
      <c r="B263">
        <v>12.493</v>
      </c>
      <c r="C263">
        <v>14.4</v>
      </c>
      <c r="D263">
        <v>12.414</v>
      </c>
      <c r="E263">
        <v>13.231</v>
      </c>
      <c r="F263">
        <v>473304.33899999998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-0.17724068479355498</v>
      </c>
      <c r="Q263">
        <f t="shared" si="965"/>
        <v>-83888.785160120882</v>
      </c>
      <c r="R263">
        <f t="shared" si="966"/>
        <v>-1389165.0652119534</v>
      </c>
      <c r="S263">
        <f t="shared" si="967"/>
        <v>-13.891650652119534</v>
      </c>
      <c r="T263">
        <f t="shared" si="968"/>
        <v>-1.3891650652119534E-2</v>
      </c>
    </row>
    <row r="264" spans="1:20" x14ac:dyDescent="0.25">
      <c r="A264" s="5">
        <v>44329</v>
      </c>
      <c r="B264">
        <v>11.945</v>
      </c>
      <c r="C264">
        <v>13.407</v>
      </c>
      <c r="D264">
        <v>11.557</v>
      </c>
      <c r="E264">
        <v>12.493</v>
      </c>
      <c r="F264">
        <v>875793.41500000004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1.1891891891892025E-2</v>
      </c>
      <c r="Q264">
        <f t="shared" si="965"/>
        <v>10414.840610810928</v>
      </c>
      <c r="R264">
        <f t="shared" si="966"/>
        <v>-1305276.2800518326</v>
      </c>
      <c r="S264">
        <f t="shared" si="967"/>
        <v>-13.052762800518325</v>
      </c>
      <c r="T264">
        <f t="shared" si="968"/>
        <v>-1.3052762800518324E-2</v>
      </c>
    </row>
    <row r="265" spans="1:20" x14ac:dyDescent="0.25">
      <c r="A265" s="5">
        <v>44328</v>
      </c>
      <c r="B265">
        <v>14.215999999999999</v>
      </c>
      <c r="C265">
        <v>14.811999999999999</v>
      </c>
      <c r="D265">
        <v>11.7</v>
      </c>
      <c r="E265">
        <v>11.945</v>
      </c>
      <c r="F265">
        <v>684965.69400000002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-0.84254498714652892</v>
      </c>
      <c r="Q265">
        <f t="shared" si="965"/>
        <v>-577114.41184704332</v>
      </c>
      <c r="R265">
        <f t="shared" si="966"/>
        <v>-1315691.1206626436</v>
      </c>
      <c r="S265">
        <f t="shared" si="967"/>
        <v>-13.156911206626436</v>
      </c>
      <c r="T265">
        <f t="shared" si="968"/>
        <v>-1.3156911206626437E-2</v>
      </c>
    </row>
    <row r="266" spans="1:20" x14ac:dyDescent="0.25">
      <c r="A266" s="5">
        <v>44327</v>
      </c>
      <c r="B266">
        <v>14.346</v>
      </c>
      <c r="C266">
        <v>14.675000000000001</v>
      </c>
      <c r="D266">
        <v>13.223000000000001</v>
      </c>
      <c r="E266">
        <v>14.242000000000001</v>
      </c>
      <c r="F266">
        <v>561239.25399999996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0.40358126721763105</v>
      </c>
      <c r="Q266">
        <f t="shared" si="965"/>
        <v>226505.64934159789</v>
      </c>
      <c r="R266">
        <f t="shared" si="966"/>
        <v>-738576.70881560037</v>
      </c>
      <c r="S266">
        <f t="shared" si="967"/>
        <v>-7.3857670881560038</v>
      </c>
      <c r="T266">
        <f t="shared" si="968"/>
        <v>-7.3857670881560039E-3</v>
      </c>
    </row>
    <row r="267" spans="1:20" x14ac:dyDescent="0.25">
      <c r="A267" s="5">
        <v>44326</v>
      </c>
      <c r="B267">
        <v>15.61</v>
      </c>
      <c r="C267">
        <v>16.283999999999999</v>
      </c>
      <c r="D267">
        <v>12.5</v>
      </c>
      <c r="E267">
        <v>14.343</v>
      </c>
      <c r="F267">
        <v>899337.68099999998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-2.5898520084566334E-2</v>
      </c>
      <c r="Q267">
        <f t="shared" si="965"/>
        <v>-23291.514994185811</v>
      </c>
      <c r="R267">
        <f t="shared" si="966"/>
        <v>-965082.35815719829</v>
      </c>
      <c r="S267">
        <f t="shared" si="967"/>
        <v>-9.6508235815719825</v>
      </c>
      <c r="T267">
        <f t="shared" si="968"/>
        <v>-9.6508235815719826E-3</v>
      </c>
    </row>
    <row r="268" spans="1:20" x14ac:dyDescent="0.25">
      <c r="A268" s="5">
        <v>44325</v>
      </c>
      <c r="B268">
        <v>16.391999999999999</v>
      </c>
      <c r="C268">
        <v>16.66</v>
      </c>
      <c r="D268">
        <v>15.25</v>
      </c>
      <c r="E268">
        <v>15.597</v>
      </c>
      <c r="F268">
        <v>716384.08700000006</v>
      </c>
      <c r="G268">
        <v>0</v>
      </c>
      <c r="L268" t="s">
        <v>7</v>
      </c>
      <c r="M268" t="s">
        <v>8</v>
      </c>
      <c r="N268" t="s">
        <v>7</v>
      </c>
      <c r="P268">
        <f t="shared" si="964"/>
        <v>-0.50780141843971704</v>
      </c>
      <c r="Q268">
        <f t="shared" si="965"/>
        <v>-363780.85552624171</v>
      </c>
      <c r="R268">
        <f t="shared" si="966"/>
        <v>-941790.84316301253</v>
      </c>
      <c r="S268">
        <f t="shared" si="967"/>
        <v>-9.417908431630126</v>
      </c>
      <c r="T268">
        <f t="shared" si="968"/>
        <v>-9.4179084316301266E-3</v>
      </c>
    </row>
    <row r="269" spans="1:20" x14ac:dyDescent="0.25">
      <c r="A269" s="5">
        <v>44324</v>
      </c>
      <c r="B269">
        <v>15.766999999999999</v>
      </c>
      <c r="C269">
        <v>17.649999999999999</v>
      </c>
      <c r="D269">
        <v>15.52</v>
      </c>
      <c r="E269">
        <v>16.370999999999999</v>
      </c>
      <c r="F269">
        <v>1617664.0970000001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-0.20093896713615073</v>
      </c>
      <c r="Q269">
        <f t="shared" si="965"/>
        <v>-325051.75282441394</v>
      </c>
      <c r="R269">
        <f t="shared" si="966"/>
        <v>-578009.98763677082</v>
      </c>
      <c r="S269">
        <f t="shared" si="967"/>
        <v>-5.7800998763677081</v>
      </c>
      <c r="T269">
        <f t="shared" si="968"/>
        <v>-5.7800998763677079E-3</v>
      </c>
    </row>
    <row r="270" spans="1:20" x14ac:dyDescent="0.25">
      <c r="A270" s="5">
        <v>44323</v>
      </c>
      <c r="B270">
        <v>14.79</v>
      </c>
      <c r="C270">
        <v>16.3</v>
      </c>
      <c r="D270">
        <v>14.11</v>
      </c>
      <c r="E270">
        <v>15.766</v>
      </c>
      <c r="F270">
        <v>693166.33200000005</v>
      </c>
      <c r="G270">
        <v>0</v>
      </c>
      <c r="L270" t="s">
        <v>7</v>
      </c>
      <c r="M270" t="s">
        <v>8</v>
      </c>
      <c r="N270" t="s">
        <v>7</v>
      </c>
      <c r="P270">
        <f t="shared" si="964"/>
        <v>0.51232876712328734</v>
      </c>
      <c r="Q270">
        <f t="shared" si="965"/>
        <v>355129.0522849313</v>
      </c>
      <c r="R270">
        <f t="shared" si="966"/>
        <v>-252958.23481235688</v>
      </c>
      <c r="S270">
        <f t="shared" si="967"/>
        <v>-2.5295823481235686</v>
      </c>
      <c r="T270">
        <f t="shared" si="968"/>
        <v>-2.5295823481235684E-3</v>
      </c>
    </row>
    <row r="271" spans="1:20" x14ac:dyDescent="0.25">
      <c r="A271" s="5">
        <v>44322</v>
      </c>
      <c r="B271">
        <v>15.84</v>
      </c>
      <c r="C271">
        <v>16.141999999999999</v>
      </c>
      <c r="D271">
        <v>14.411</v>
      </c>
      <c r="E271">
        <v>14.804</v>
      </c>
      <c r="F271">
        <v>628146.07299999997</v>
      </c>
      <c r="G271">
        <v>0</v>
      </c>
      <c r="L271" t="s">
        <v>7</v>
      </c>
      <c r="M271" t="s">
        <v>8</v>
      </c>
      <c r="N271" t="s">
        <v>7</v>
      </c>
      <c r="P271">
        <f t="shared" si="964"/>
        <v>-0.54592720970537179</v>
      </c>
      <c r="Q271">
        <f t="shared" si="965"/>
        <v>-342922.03292027675</v>
      </c>
      <c r="R271">
        <f t="shared" si="966"/>
        <v>-608087.28709728818</v>
      </c>
      <c r="S271">
        <f t="shared" si="967"/>
        <v>-6.0808728709728816</v>
      </c>
      <c r="T271">
        <f t="shared" si="968"/>
        <v>-6.0808728709728817E-3</v>
      </c>
    </row>
    <row r="272" spans="1:20" x14ac:dyDescent="0.25">
      <c r="A272" s="5">
        <v>44321</v>
      </c>
      <c r="B272">
        <v>14.192</v>
      </c>
      <c r="C272">
        <v>16.334</v>
      </c>
      <c r="D272">
        <v>13.893000000000001</v>
      </c>
      <c r="E272">
        <v>15.834</v>
      </c>
      <c r="F272">
        <v>708274.20400000003</v>
      </c>
      <c r="G272">
        <v>0</v>
      </c>
      <c r="L272" t="s">
        <v>8</v>
      </c>
      <c r="M272" t="s">
        <v>8</v>
      </c>
      <c r="N272" t="s">
        <v>7</v>
      </c>
      <c r="P272">
        <f t="shared" si="964"/>
        <v>0.59033183121671429</v>
      </c>
      <c r="Q272">
        <f t="shared" si="965"/>
        <v>418116.80785088066</v>
      </c>
      <c r="R272">
        <f t="shared" si="966"/>
        <v>-265165.25417701143</v>
      </c>
      <c r="S272">
        <f t="shared" si="967"/>
        <v>-2.6516525417701144</v>
      </c>
      <c r="T272">
        <f t="shared" si="968"/>
        <v>-2.6516525417701144E-3</v>
      </c>
    </row>
    <row r="273" spans="1:20" x14ac:dyDescent="0.25">
      <c r="A273" s="5">
        <v>44320</v>
      </c>
      <c r="B273">
        <v>16.227</v>
      </c>
      <c r="C273">
        <v>16.283999999999999</v>
      </c>
      <c r="D273">
        <v>13.628</v>
      </c>
      <c r="E273">
        <v>14.192</v>
      </c>
      <c r="F273">
        <v>855182.06700000004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-0.57530120481927682</v>
      </c>
      <c r="Q273">
        <f t="shared" si="965"/>
        <v>-491987.27348493953</v>
      </c>
      <c r="R273">
        <f t="shared" si="966"/>
        <v>-683282.0620278921</v>
      </c>
      <c r="S273">
        <f t="shared" si="967"/>
        <v>-6.8328206202789206</v>
      </c>
      <c r="T273">
        <f t="shared" si="968"/>
        <v>-6.832820620278921E-3</v>
      </c>
    </row>
    <row r="274" spans="1:20" x14ac:dyDescent="0.25">
      <c r="A274" s="5">
        <v>44319</v>
      </c>
      <c r="B274">
        <v>16.170999999999999</v>
      </c>
      <c r="C274">
        <v>17</v>
      </c>
      <c r="D274">
        <v>15.678000000000001</v>
      </c>
      <c r="E274">
        <v>16.222999999999999</v>
      </c>
      <c r="F274">
        <v>750870.19799999997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-0.1754916792738298</v>
      </c>
      <c r="Q274">
        <f t="shared" si="965"/>
        <v>-131771.47196369307</v>
      </c>
      <c r="R274">
        <f t="shared" si="966"/>
        <v>-191294.78854295253</v>
      </c>
      <c r="S274">
        <f t="shared" si="967"/>
        <v>-1.9129478854295254</v>
      </c>
      <c r="T274">
        <f t="shared" si="968"/>
        <v>-1.9129478854295254E-3</v>
      </c>
    </row>
    <row r="275" spans="1:20" x14ac:dyDescent="0.25">
      <c r="A275" s="5">
        <v>44318</v>
      </c>
      <c r="B275">
        <v>16.977</v>
      </c>
      <c r="C275">
        <v>17.55</v>
      </c>
      <c r="D275">
        <v>15.151</v>
      </c>
      <c r="E275">
        <v>16.170000000000002</v>
      </c>
      <c r="F275">
        <v>1013291.814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-0.15047936640266651</v>
      </c>
      <c r="Q275">
        <f t="shared" si="965"/>
        <v>-152479.51015172861</v>
      </c>
      <c r="R275">
        <f t="shared" si="966"/>
        <v>-59523.316579259466</v>
      </c>
      <c r="S275">
        <f t="shared" si="967"/>
        <v>-0.59523316579259467</v>
      </c>
      <c r="T275">
        <f t="shared" si="968"/>
        <v>-5.9523316579259463E-4</v>
      </c>
    </row>
    <row r="276" spans="1:20" x14ac:dyDescent="0.25">
      <c r="A276" s="5">
        <v>44317</v>
      </c>
      <c r="B276">
        <v>14.852</v>
      </c>
      <c r="C276">
        <v>19.222999999999999</v>
      </c>
      <c r="D276">
        <v>14.657</v>
      </c>
      <c r="E276">
        <v>17.001000000000001</v>
      </c>
      <c r="F276">
        <v>2914483.7149999999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2.6719229084538648E-2</v>
      </c>
      <c r="Q276">
        <f t="shared" si="965"/>
        <v>77872.758044242248</v>
      </c>
      <c r="R276">
        <f t="shared" si="966"/>
        <v>92956.193572469143</v>
      </c>
      <c r="S276">
        <f t="shared" si="967"/>
        <v>0.92956193572469148</v>
      </c>
      <c r="T276">
        <f t="shared" si="968"/>
        <v>9.295619357246915E-4</v>
      </c>
    </row>
    <row r="277" spans="1:20" x14ac:dyDescent="0.25">
      <c r="A277" s="5">
        <v>44316</v>
      </c>
      <c r="B277">
        <v>14.053000000000001</v>
      </c>
      <c r="C277">
        <v>15.55</v>
      </c>
      <c r="D277">
        <v>12.898999999999999</v>
      </c>
      <c r="E277">
        <v>14.849</v>
      </c>
      <c r="F277">
        <v>1068945.01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0.47114296491889845</v>
      </c>
      <c r="Q277">
        <f t="shared" si="965"/>
        <v>503625.92134666158</v>
      </c>
      <c r="R277">
        <f t="shared" si="966"/>
        <v>15083.435528226895</v>
      </c>
      <c r="S277">
        <f t="shared" si="967"/>
        <v>0.15083435528226896</v>
      </c>
      <c r="T277">
        <f t="shared" si="968"/>
        <v>1.5083435528226896E-4</v>
      </c>
    </row>
    <row r="278" spans="1:20" x14ac:dyDescent="0.25">
      <c r="A278" s="5">
        <v>44315</v>
      </c>
      <c r="B278">
        <v>14.2</v>
      </c>
      <c r="C278">
        <v>14.88</v>
      </c>
      <c r="D278">
        <v>13.2</v>
      </c>
      <c r="E278">
        <v>14.045</v>
      </c>
      <c r="F278">
        <v>824794.06299999997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5.9523809523808202E-3</v>
      </c>
      <c r="Q278">
        <f t="shared" si="965"/>
        <v>4909.4884702379859</v>
      </c>
      <c r="R278">
        <f t="shared" si="966"/>
        <v>-488542.48581843468</v>
      </c>
      <c r="S278">
        <f t="shared" si="967"/>
        <v>-4.8854248581843471</v>
      </c>
      <c r="T278">
        <f t="shared" si="968"/>
        <v>-4.8854248581843476E-3</v>
      </c>
    </row>
    <row r="279" spans="1:20" x14ac:dyDescent="0.25">
      <c r="A279" s="5">
        <v>44314</v>
      </c>
      <c r="B279">
        <v>14.78</v>
      </c>
      <c r="C279">
        <v>14.78</v>
      </c>
      <c r="D279">
        <v>13.009</v>
      </c>
      <c r="E279">
        <v>14.192</v>
      </c>
      <c r="F279">
        <v>679548.11600000004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0.33596837944664087</v>
      </c>
      <c r="Q279">
        <f t="shared" si="965"/>
        <v>228306.67928853794</v>
      </c>
      <c r="R279">
        <f t="shared" si="966"/>
        <v>-493451.97428867267</v>
      </c>
      <c r="S279">
        <f t="shared" si="967"/>
        <v>-4.9345197428867271</v>
      </c>
      <c r="T279">
        <f t="shared" si="968"/>
        <v>-4.934519742886727E-3</v>
      </c>
    </row>
    <row r="280" spans="1:20" x14ac:dyDescent="0.25">
      <c r="A280" s="5">
        <v>44313</v>
      </c>
      <c r="B280">
        <v>12.773999999999999</v>
      </c>
      <c r="C280">
        <v>14.805999999999999</v>
      </c>
      <c r="D280">
        <v>12.242000000000001</v>
      </c>
      <c r="E280">
        <v>14.785</v>
      </c>
      <c r="F280">
        <v>847509.17200000002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0.98361934477379176</v>
      </c>
      <c r="Q280">
        <f t="shared" si="965"/>
        <v>833626.41645241878</v>
      </c>
      <c r="R280">
        <f t="shared" si="966"/>
        <v>-721758.65357721061</v>
      </c>
      <c r="S280">
        <f t="shared" si="967"/>
        <v>-7.2175865357721065</v>
      </c>
      <c r="T280">
        <f t="shared" si="968"/>
        <v>-7.2175865357721062E-3</v>
      </c>
    </row>
    <row r="281" spans="1:20" x14ac:dyDescent="0.25">
      <c r="A281" s="5">
        <v>44312</v>
      </c>
      <c r="B281">
        <v>11.183</v>
      </c>
      <c r="C281">
        <v>13.2</v>
      </c>
      <c r="D281">
        <v>11.1</v>
      </c>
      <c r="E281">
        <v>12.782</v>
      </c>
      <c r="F281">
        <v>789893.39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0.6019047619047625</v>
      </c>
      <c r="Q281">
        <f t="shared" si="965"/>
        <v>475440.59283809573</v>
      </c>
      <c r="R281">
        <f t="shared" si="966"/>
        <v>-1555385.0700296294</v>
      </c>
      <c r="S281">
        <f t="shared" si="967"/>
        <v>-15.553850700296294</v>
      </c>
      <c r="T281">
        <f t="shared" si="968"/>
        <v>-1.5553850700296294E-2</v>
      </c>
    </row>
    <row r="282" spans="1:20" x14ac:dyDescent="0.25">
      <c r="A282" s="5">
        <v>44311</v>
      </c>
      <c r="B282">
        <v>10.7826</v>
      </c>
      <c r="C282">
        <v>11.65</v>
      </c>
      <c r="D282">
        <v>10.5</v>
      </c>
      <c r="E282">
        <v>11.180999999999999</v>
      </c>
      <c r="F282">
        <v>454001.261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0.18434782608695469</v>
      </c>
      <c r="Q282">
        <f t="shared" si="965"/>
        <v>83694.145506086119</v>
      </c>
      <c r="R282">
        <f t="shared" si="966"/>
        <v>-2030825.6628677251</v>
      </c>
      <c r="S282">
        <f t="shared" si="967"/>
        <v>-20.308256628677253</v>
      </c>
      <c r="T282">
        <f t="shared" si="968"/>
        <v>-2.0308256628677253E-2</v>
      </c>
    </row>
    <row r="283" spans="1:20" x14ac:dyDescent="0.25">
      <c r="A283" s="5">
        <v>44310</v>
      </c>
      <c r="B283">
        <v>11.647</v>
      </c>
      <c r="C283">
        <v>11.902699999999999</v>
      </c>
      <c r="D283">
        <v>10.712199999999999</v>
      </c>
      <c r="E283">
        <v>10.7827</v>
      </c>
      <c r="F283">
        <v>456623.76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-0.8815623687526235</v>
      </c>
      <c r="Q283">
        <f t="shared" si="965"/>
        <v>-402542.32349432947</v>
      </c>
      <c r="R283">
        <f t="shared" si="966"/>
        <v>-2114519.8083738112</v>
      </c>
      <c r="S283">
        <f t="shared" si="967"/>
        <v>-21.145198083738112</v>
      </c>
      <c r="T283">
        <f t="shared" si="968"/>
        <v>-2.1145198083738111E-2</v>
      </c>
    </row>
    <row r="284" spans="1:20" x14ac:dyDescent="0.25">
      <c r="A284" s="5">
        <v>44309</v>
      </c>
      <c r="B284">
        <v>12.3293</v>
      </c>
      <c r="C284">
        <v>12.5116</v>
      </c>
      <c r="D284">
        <v>10.190300000000001</v>
      </c>
      <c r="E284">
        <v>11.648</v>
      </c>
      <c r="F284">
        <v>1063002.4099999999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0.25593417481583569</v>
      </c>
      <c r="Q284">
        <f t="shared" si="965"/>
        <v>272058.64463059464</v>
      </c>
      <c r="R284">
        <f t="shared" si="966"/>
        <v>-1711977.4848794818</v>
      </c>
      <c r="S284">
        <f t="shared" si="967"/>
        <v>-17.119774848794819</v>
      </c>
      <c r="T284">
        <f t="shared" si="968"/>
        <v>-1.711977484879482E-2</v>
      </c>
    </row>
    <row r="285" spans="1:20" x14ac:dyDescent="0.25">
      <c r="A285" s="5">
        <v>44308</v>
      </c>
      <c r="B285">
        <v>13.253500000000001</v>
      </c>
      <c r="C285">
        <v>14.332800000000001</v>
      </c>
      <c r="D285">
        <v>11.2</v>
      </c>
      <c r="E285">
        <v>12.383599999999999</v>
      </c>
      <c r="F285">
        <v>763011.24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-0.24438202247191032</v>
      </c>
      <c r="Q285">
        <f t="shared" si="965"/>
        <v>-186466.23000000016</v>
      </c>
      <c r="R285">
        <f t="shared" si="966"/>
        <v>-1984036.1295100765</v>
      </c>
      <c r="S285">
        <f t="shared" si="967"/>
        <v>-19.840361295100763</v>
      </c>
      <c r="T285">
        <f t="shared" si="968"/>
        <v>-1.9840361295100764E-2</v>
      </c>
    </row>
    <row r="286" spans="1:20" x14ac:dyDescent="0.25">
      <c r="A286" s="5">
        <v>44307</v>
      </c>
      <c r="B286">
        <v>13.693199999999999</v>
      </c>
      <c r="C286">
        <v>14.92</v>
      </c>
      <c r="D286">
        <v>12.930999999999999</v>
      </c>
      <c r="E286">
        <v>13.2577</v>
      </c>
      <c r="F286">
        <v>696987.84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-0.67149321266968276</v>
      </c>
      <c r="Q286">
        <f t="shared" si="965"/>
        <v>-468022.60387330281</v>
      </c>
      <c r="R286">
        <f t="shared" si="966"/>
        <v>-1797569.8995100763</v>
      </c>
      <c r="S286">
        <f t="shared" si="967"/>
        <v>-17.975698995100764</v>
      </c>
      <c r="T286">
        <f t="shared" si="968"/>
        <v>-1.7975698995100764E-2</v>
      </c>
    </row>
    <row r="287" spans="1:20" x14ac:dyDescent="0.25">
      <c r="A287" s="5">
        <v>44306</v>
      </c>
      <c r="B287">
        <v>13.377599999999999</v>
      </c>
      <c r="C287">
        <v>13.916600000000001</v>
      </c>
      <c r="D287">
        <v>12.11</v>
      </c>
      <c r="E287">
        <v>13.7087</v>
      </c>
      <c r="F287">
        <v>710181.25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0.76984390567917604</v>
      </c>
      <c r="Q287">
        <f t="shared" si="965"/>
        <v>546728.70724011934</v>
      </c>
      <c r="R287">
        <f t="shared" si="966"/>
        <v>-1329547.2956367733</v>
      </c>
      <c r="S287">
        <f t="shared" si="967"/>
        <v>-13.295472956367734</v>
      </c>
      <c r="T287">
        <f t="shared" si="968"/>
        <v>-1.3295472956367734E-2</v>
      </c>
    </row>
    <row r="288" spans="1:20" x14ac:dyDescent="0.25">
      <c r="A288" s="5">
        <v>44305</v>
      </c>
      <c r="B288">
        <v>14.546099999999999</v>
      </c>
      <c r="C288">
        <v>15.4</v>
      </c>
      <c r="D288">
        <v>12.7041</v>
      </c>
      <c r="E288">
        <v>13.3719</v>
      </c>
      <c r="F288">
        <v>674309.62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-0.50458103045365199</v>
      </c>
      <c r="Q288">
        <f t="shared" si="965"/>
        <v>-340243.8429044105</v>
      </c>
      <c r="R288">
        <f t="shared" si="966"/>
        <v>-1876276.0028768927</v>
      </c>
      <c r="S288">
        <f t="shared" si="967"/>
        <v>-18.762760028768927</v>
      </c>
      <c r="T288">
        <f t="shared" si="968"/>
        <v>-1.8762760028768928E-2</v>
      </c>
    </row>
    <row r="289" spans="1:20" x14ac:dyDescent="0.25">
      <c r="A289" s="5">
        <v>44304</v>
      </c>
      <c r="B289">
        <v>15.409800000000001</v>
      </c>
      <c r="C289">
        <v>15.5562</v>
      </c>
      <c r="D289">
        <v>12.2</v>
      </c>
      <c r="E289">
        <v>14.5457</v>
      </c>
      <c r="F289">
        <v>902081.19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0.39783088016208806</v>
      </c>
      <c r="Q289">
        <f t="shared" si="965"/>
        <v>358875.75379536377</v>
      </c>
      <c r="R289">
        <f t="shared" si="966"/>
        <v>-1536032.1599724821</v>
      </c>
      <c r="S289">
        <f t="shared" si="967"/>
        <v>-15.360321599724822</v>
      </c>
      <c r="T289">
        <f t="shared" si="968"/>
        <v>-1.5360321599724822E-2</v>
      </c>
    </row>
    <row r="290" spans="1:20" x14ac:dyDescent="0.25">
      <c r="A290" s="5">
        <v>44303</v>
      </c>
      <c r="B290">
        <v>15.7752</v>
      </c>
      <c r="C290">
        <v>16.776800000000001</v>
      </c>
      <c r="D290">
        <v>15.2097</v>
      </c>
      <c r="E290">
        <v>15.4</v>
      </c>
      <c r="F290">
        <v>540813.71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-0.75713100631740105</v>
      </c>
      <c r="Q290">
        <f t="shared" si="965"/>
        <v>-409466.82848254708</v>
      </c>
      <c r="R290">
        <f t="shared" si="966"/>
        <v>-1894907.9137678458</v>
      </c>
      <c r="S290">
        <f t="shared" si="967"/>
        <v>-18.94907913767846</v>
      </c>
      <c r="T290">
        <f t="shared" si="968"/>
        <v>-1.894907913767846E-2</v>
      </c>
    </row>
    <row r="291" spans="1:20" x14ac:dyDescent="0.25">
      <c r="A291" s="5">
        <v>44302</v>
      </c>
      <c r="B291">
        <v>16.921099999999999</v>
      </c>
      <c r="C291">
        <v>16.943000000000001</v>
      </c>
      <c r="D291">
        <v>15.02</v>
      </c>
      <c r="E291">
        <v>15.7752</v>
      </c>
      <c r="F291">
        <v>878043.69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-0.21456058242329734</v>
      </c>
      <c r="Q291">
        <f t="shared" si="965"/>
        <v>-188393.56551950113</v>
      </c>
      <c r="R291">
        <f t="shared" si="966"/>
        <v>-1485441.0852852988</v>
      </c>
      <c r="S291">
        <f t="shared" si="967"/>
        <v>-14.854410852852988</v>
      </c>
      <c r="T291">
        <f t="shared" si="968"/>
        <v>-1.4854410852852988E-2</v>
      </c>
    </row>
    <row r="292" spans="1:20" x14ac:dyDescent="0.25">
      <c r="A292" s="5">
        <v>44301</v>
      </c>
      <c r="B292">
        <v>16.4375</v>
      </c>
      <c r="C292">
        <v>17.886900000000001</v>
      </c>
      <c r="D292">
        <v>16.379200000000001</v>
      </c>
      <c r="E292">
        <v>16.904</v>
      </c>
      <c r="F292">
        <v>1042340.34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-0.30384028652915157</v>
      </c>
      <c r="Q292">
        <f t="shared" si="965"/>
        <v>-316704.98756649328</v>
      </c>
      <c r="R292">
        <f t="shared" si="966"/>
        <v>-1297047.5197657975</v>
      </c>
      <c r="S292">
        <f t="shared" si="967"/>
        <v>-12.970475197657976</v>
      </c>
      <c r="T292">
        <f t="shared" si="968"/>
        <v>-1.2970475197657975E-2</v>
      </c>
    </row>
    <row r="293" spans="1:20" x14ac:dyDescent="0.25">
      <c r="A293" s="5">
        <v>44300</v>
      </c>
      <c r="B293">
        <v>15.1004</v>
      </c>
      <c r="C293">
        <v>17.149999999999999</v>
      </c>
      <c r="D293">
        <v>14.6244</v>
      </c>
      <c r="E293">
        <v>16.428599999999999</v>
      </c>
      <c r="F293">
        <v>1017063.62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0.42872980677858769</v>
      </c>
      <c r="Q293">
        <f t="shared" si="965"/>
        <v>436045.48928413092</v>
      </c>
      <c r="R293">
        <f t="shared" si="966"/>
        <v>-980342.53219930432</v>
      </c>
      <c r="S293">
        <f t="shared" si="967"/>
        <v>-9.8034253219930427</v>
      </c>
      <c r="T293">
        <f t="shared" si="968"/>
        <v>-9.8034253219930426E-3</v>
      </c>
    </row>
    <row r="294" spans="1:20" x14ac:dyDescent="0.25">
      <c r="A294" s="5">
        <v>44299</v>
      </c>
      <c r="B294">
        <v>14.747400000000001</v>
      </c>
      <c r="C294">
        <v>16.197199999999999</v>
      </c>
      <c r="D294">
        <v>14.4732</v>
      </c>
      <c r="E294">
        <v>15.100300000000001</v>
      </c>
      <c r="F294">
        <v>1204673.8999999999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-0.27250580046403594</v>
      </c>
      <c r="Q294">
        <f t="shared" si="965"/>
        <v>-328280.62541763193</v>
      </c>
      <c r="R294">
        <f t="shared" si="966"/>
        <v>-1416388.0214834353</v>
      </c>
      <c r="S294">
        <f t="shared" si="967"/>
        <v>-14.163880214834354</v>
      </c>
      <c r="T294">
        <f t="shared" si="968"/>
        <v>-1.4163880214834354E-2</v>
      </c>
    </row>
    <row r="295" spans="1:20" x14ac:dyDescent="0.25">
      <c r="A295" s="5">
        <v>44298</v>
      </c>
      <c r="B295">
        <v>15.647500000000001</v>
      </c>
      <c r="C295">
        <v>15.954000000000001</v>
      </c>
      <c r="D295">
        <v>14.483000000000001</v>
      </c>
      <c r="E295">
        <v>14.747400000000001</v>
      </c>
      <c r="F295">
        <v>1272162.3600000001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-0.64051665533650559</v>
      </c>
      <c r="Q295">
        <f t="shared" si="965"/>
        <v>-814841.17987219559</v>
      </c>
      <c r="R295">
        <f t="shared" si="966"/>
        <v>-1088107.3960658035</v>
      </c>
      <c r="S295">
        <f t="shared" si="967"/>
        <v>-10.881073960658036</v>
      </c>
      <c r="T295">
        <f t="shared" si="968"/>
        <v>-1.0881073960658036E-2</v>
      </c>
    </row>
    <row r="296" spans="1:20" x14ac:dyDescent="0.25">
      <c r="A296" s="5">
        <v>44297</v>
      </c>
      <c r="B296">
        <v>17.075199999999999</v>
      </c>
      <c r="C296">
        <v>17.442299999999999</v>
      </c>
      <c r="D296">
        <v>15.343999999999999</v>
      </c>
      <c r="E296">
        <v>15.6568</v>
      </c>
      <c r="F296">
        <v>808186.29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-0.70185388171376728</v>
      </c>
      <c r="Q296">
        <f t="shared" si="965"/>
        <v>-567228.68478434847</v>
      </c>
      <c r="R296">
        <f t="shared" si="966"/>
        <v>-273266.21619360789</v>
      </c>
      <c r="S296">
        <f t="shared" si="967"/>
        <v>-2.7326621619360791</v>
      </c>
      <c r="T296">
        <f t="shared" si="968"/>
        <v>-2.732662161936079E-3</v>
      </c>
    </row>
    <row r="297" spans="1:20" x14ac:dyDescent="0.25">
      <c r="A297" s="5">
        <v>44296</v>
      </c>
      <c r="B297">
        <v>18.480899999999998</v>
      </c>
      <c r="C297">
        <v>19.13</v>
      </c>
      <c r="D297">
        <v>16.399999999999999</v>
      </c>
      <c r="E297">
        <v>17.119599999999998</v>
      </c>
      <c r="F297">
        <v>886696.71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-0.47282051282051307</v>
      </c>
      <c r="Q297">
        <f t="shared" si="965"/>
        <v>-419248.39313846175</v>
      </c>
      <c r="R297">
        <f t="shared" si="966"/>
        <v>293962.46859074058</v>
      </c>
      <c r="S297">
        <f t="shared" si="967"/>
        <v>2.9396246859074058</v>
      </c>
      <c r="T297">
        <f t="shared" si="968"/>
        <v>2.9396246859074056E-3</v>
      </c>
    </row>
    <row r="298" spans="1:20" x14ac:dyDescent="0.25">
      <c r="A298" s="5">
        <v>44295</v>
      </c>
      <c r="B298">
        <v>16.881</v>
      </c>
      <c r="C298">
        <v>18.708600000000001</v>
      </c>
      <c r="D298">
        <v>16.475000000000001</v>
      </c>
      <c r="E298">
        <v>18.5</v>
      </c>
      <c r="F298">
        <v>800325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0.81321633237822288</v>
      </c>
      <c r="Q298">
        <f t="shared" si="965"/>
        <v>650837.36121060117</v>
      </c>
      <c r="R298">
        <f t="shared" si="966"/>
        <v>713210.86172920233</v>
      </c>
      <c r="S298">
        <f t="shared" si="967"/>
        <v>7.1321086172920234</v>
      </c>
      <c r="T298">
        <f t="shared" si="968"/>
        <v>7.1321086172920238E-3</v>
      </c>
    </row>
    <row r="299" spans="1:20" x14ac:dyDescent="0.25">
      <c r="A299" s="5">
        <v>44294</v>
      </c>
      <c r="B299">
        <v>16.292899999999999</v>
      </c>
      <c r="C299">
        <v>17.399999999999999</v>
      </c>
      <c r="D299">
        <v>16.054099999999998</v>
      </c>
      <c r="E299">
        <v>16.881</v>
      </c>
      <c r="F299">
        <v>440627.04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0.22876885355524448</v>
      </c>
      <c r="Q299">
        <f t="shared" si="965"/>
        <v>100801.74278624085</v>
      </c>
      <c r="R299">
        <f t="shared" si="966"/>
        <v>62373.500518601126</v>
      </c>
      <c r="S299">
        <f t="shared" si="967"/>
        <v>0.62373500518601122</v>
      </c>
      <c r="T299">
        <f t="shared" si="968"/>
        <v>6.2373500518601117E-4</v>
      </c>
    </row>
    <row r="300" spans="1:20" x14ac:dyDescent="0.25">
      <c r="A300" s="5">
        <v>44293</v>
      </c>
      <c r="B300">
        <v>17.663</v>
      </c>
      <c r="C300">
        <v>17.7011</v>
      </c>
      <c r="D300">
        <v>15.453099999999999</v>
      </c>
      <c r="E300">
        <v>16.304099999999998</v>
      </c>
      <c r="F300">
        <v>632560.96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-0.24288256227758126</v>
      </c>
      <c r="Q300">
        <f t="shared" si="965"/>
        <v>-153638.02676156658</v>
      </c>
      <c r="R300">
        <f t="shared" si="966"/>
        <v>-38428.242267639725</v>
      </c>
      <c r="S300">
        <f t="shared" si="967"/>
        <v>-0.38428242267639723</v>
      </c>
      <c r="T300">
        <f t="shared" si="968"/>
        <v>-3.8428242267639725E-4</v>
      </c>
    </row>
    <row r="301" spans="1:20" x14ac:dyDescent="0.25">
      <c r="A301" s="5">
        <v>44292</v>
      </c>
      <c r="B301">
        <v>18.037199999999999</v>
      </c>
      <c r="C301">
        <v>19.399999999999999</v>
      </c>
      <c r="D301">
        <v>17.288</v>
      </c>
      <c r="E301">
        <v>17.718</v>
      </c>
      <c r="F301">
        <v>578445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-0.59280303030303028</v>
      </c>
      <c r="Q301">
        <f t="shared" si="965"/>
        <v>-342903.94886363635</v>
      </c>
      <c r="R301">
        <f t="shared" si="966"/>
        <v>115209.78449392685</v>
      </c>
      <c r="S301">
        <f t="shared" si="967"/>
        <v>1.1520978449392685</v>
      </c>
      <c r="T301">
        <f t="shared" si="968"/>
        <v>1.1520978449392684E-3</v>
      </c>
    </row>
    <row r="302" spans="1:20" x14ac:dyDescent="0.25">
      <c r="A302" s="5">
        <v>44291</v>
      </c>
      <c r="B302">
        <v>19.2913</v>
      </c>
      <c r="C302">
        <v>19.5456</v>
      </c>
      <c r="D302">
        <v>17.6081</v>
      </c>
      <c r="E302">
        <v>18.053100000000001</v>
      </c>
      <c r="F302">
        <v>647373.89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-0.54064516129032225</v>
      </c>
      <c r="Q302">
        <f t="shared" si="965"/>
        <v>-349999.56117419334</v>
      </c>
      <c r="R302">
        <f t="shared" si="966"/>
        <v>458113.73335756321</v>
      </c>
      <c r="S302">
        <f t="shared" si="967"/>
        <v>4.581137333575632</v>
      </c>
      <c r="T302">
        <f t="shared" si="968"/>
        <v>4.5811373335756323E-3</v>
      </c>
    </row>
    <row r="303" spans="1:20" x14ac:dyDescent="0.25">
      <c r="A303" s="5">
        <v>44290</v>
      </c>
      <c r="B303">
        <v>16.849900000000002</v>
      </c>
      <c r="C303">
        <v>21</v>
      </c>
      <c r="D303">
        <v>16.500399999999999</v>
      </c>
      <c r="E303">
        <v>19.3294</v>
      </c>
      <c r="F303">
        <v>1197406.01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0.25744510623166506</v>
      </c>
      <c r="Q303">
        <f t="shared" si="965"/>
        <v>308266.31744688418</v>
      </c>
      <c r="R303">
        <f t="shared" si="966"/>
        <v>808113.29453175655</v>
      </c>
      <c r="S303">
        <f t="shared" si="967"/>
        <v>8.0811329453175649</v>
      </c>
      <c r="T303">
        <f t="shared" si="968"/>
        <v>8.0811329453175651E-3</v>
      </c>
    </row>
    <row r="304" spans="1:20" x14ac:dyDescent="0.25">
      <c r="A304" s="5">
        <v>44289</v>
      </c>
      <c r="B304">
        <v>18.902200000000001</v>
      </c>
      <c r="C304">
        <v>19</v>
      </c>
      <c r="D304">
        <v>16.3</v>
      </c>
      <c r="E304">
        <v>16.857900000000001</v>
      </c>
      <c r="F304">
        <v>1196385.81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-0.58674074074074056</v>
      </c>
      <c r="Q304">
        <f t="shared" si="965"/>
        <v>-701968.29637111095</v>
      </c>
      <c r="R304">
        <f t="shared" si="966"/>
        <v>499846.97708487231</v>
      </c>
      <c r="S304">
        <f t="shared" si="967"/>
        <v>4.9984697708487236</v>
      </c>
      <c r="T304">
        <f t="shared" si="968"/>
        <v>4.9984697708487236E-3</v>
      </c>
    </row>
    <row r="305" spans="1:20" x14ac:dyDescent="0.25">
      <c r="A305" s="5">
        <v>44288</v>
      </c>
      <c r="B305">
        <v>20.696899999999999</v>
      </c>
      <c r="C305">
        <v>20.740400000000001</v>
      </c>
      <c r="D305">
        <v>18.320799999999998</v>
      </c>
      <c r="E305">
        <v>18.929200000000002</v>
      </c>
      <c r="F305">
        <v>1068982.32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-0.49710695982806868</v>
      </c>
      <c r="Q305">
        <f t="shared" si="965"/>
        <v>-531398.55120515567</v>
      </c>
      <c r="R305">
        <f t="shared" si="966"/>
        <v>1201815.2734559833</v>
      </c>
      <c r="S305">
        <f t="shared" si="967"/>
        <v>12.018152734559832</v>
      </c>
      <c r="T305">
        <f t="shared" si="968"/>
        <v>1.2018152734559832E-2</v>
      </c>
    </row>
    <row r="306" spans="1:20" x14ac:dyDescent="0.25">
      <c r="A306" s="5">
        <v>44287</v>
      </c>
      <c r="B306">
        <v>21.716899999999999</v>
      </c>
      <c r="C306">
        <v>22.200099999999999</v>
      </c>
      <c r="D306">
        <v>19.7</v>
      </c>
      <c r="E306">
        <v>20.587</v>
      </c>
      <c r="F306">
        <v>1134057.1100000001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-0.29042838286468498</v>
      </c>
      <c r="Q306">
        <f t="shared" si="965"/>
        <v>-329362.37253349822</v>
      </c>
      <c r="R306">
        <f t="shared" si="966"/>
        <v>1733213.8246611389</v>
      </c>
      <c r="S306">
        <f t="shared" si="967"/>
        <v>17.33213824661139</v>
      </c>
      <c r="T306">
        <f t="shared" si="968"/>
        <v>1.7332138246611388E-2</v>
      </c>
    </row>
    <row r="307" spans="1:20" x14ac:dyDescent="0.25">
      <c r="A307" s="5">
        <v>44286</v>
      </c>
      <c r="B307">
        <v>25.959199999999999</v>
      </c>
      <c r="C307">
        <v>26.25</v>
      </c>
      <c r="D307">
        <v>19.334800000000001</v>
      </c>
      <c r="E307">
        <v>21.717099999999999</v>
      </c>
      <c r="F307">
        <v>1396967.59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-0.31099606663581741</v>
      </c>
      <c r="Q307">
        <f t="shared" si="965"/>
        <v>-434451.42570771731</v>
      </c>
      <c r="R307">
        <f t="shared" si="966"/>
        <v>2062576.1971946373</v>
      </c>
      <c r="S307">
        <f t="shared" si="967"/>
        <v>20.625761971946371</v>
      </c>
      <c r="T307">
        <f t="shared" si="968"/>
        <v>2.062576197194637E-2</v>
      </c>
    </row>
    <row r="308" spans="1:20" x14ac:dyDescent="0.25">
      <c r="A308" s="5">
        <v>44285</v>
      </c>
      <c r="B308">
        <v>25.137</v>
      </c>
      <c r="C308">
        <v>26.65</v>
      </c>
      <c r="D308">
        <v>23.63</v>
      </c>
      <c r="E308">
        <v>25.959199999999999</v>
      </c>
      <c r="F308">
        <v>425139.94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0.54251655629139106</v>
      </c>
      <c r="Q308">
        <f t="shared" si="965"/>
        <v>230645.45619072861</v>
      </c>
      <c r="R308">
        <f t="shared" si="966"/>
        <v>2497027.6229023547</v>
      </c>
      <c r="S308">
        <f t="shared" si="967"/>
        <v>24.970276229023547</v>
      </c>
      <c r="T308">
        <f t="shared" si="968"/>
        <v>2.4970276229023546E-2</v>
      </c>
    </row>
    <row r="309" spans="1:20" x14ac:dyDescent="0.25">
      <c r="A309" s="5">
        <v>44284</v>
      </c>
      <c r="B309">
        <v>24.541599999999999</v>
      </c>
      <c r="C309">
        <v>25.881499999999999</v>
      </c>
      <c r="D309">
        <v>23.9085</v>
      </c>
      <c r="E309">
        <v>25.078299999999999</v>
      </c>
      <c r="F309">
        <v>325144.7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0.1858084135833748</v>
      </c>
      <c r="Q309">
        <f t="shared" si="965"/>
        <v>60414.620892042323</v>
      </c>
      <c r="R309">
        <f t="shared" si="966"/>
        <v>2266382.1667116261</v>
      </c>
      <c r="S309">
        <f t="shared" si="967"/>
        <v>22.66382166711626</v>
      </c>
      <c r="T309">
        <f t="shared" si="968"/>
        <v>2.2663821667116259E-2</v>
      </c>
    </row>
    <row r="310" spans="1:20" x14ac:dyDescent="0.25">
      <c r="A310" s="5">
        <v>44283</v>
      </c>
      <c r="B310">
        <v>24.917999999999999</v>
      </c>
      <c r="C310">
        <v>26.75</v>
      </c>
      <c r="D310">
        <v>23.555499999999999</v>
      </c>
      <c r="E310">
        <v>24.5441</v>
      </c>
      <c r="F310">
        <v>336550.61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-0.38106119893566992</v>
      </c>
      <c r="Q310">
        <f t="shared" si="965"/>
        <v>-128246.37894913106</v>
      </c>
      <c r="R310">
        <f t="shared" si="966"/>
        <v>2205967.5458195838</v>
      </c>
      <c r="S310">
        <f t="shared" si="967"/>
        <v>22.059675458195837</v>
      </c>
      <c r="T310">
        <f t="shared" si="968"/>
        <v>2.2059675458195836E-2</v>
      </c>
    </row>
    <row r="311" spans="1:20" x14ac:dyDescent="0.25">
      <c r="A311" s="5">
        <v>44282</v>
      </c>
      <c r="B311">
        <v>25.153099999999998</v>
      </c>
      <c r="C311">
        <v>25.99</v>
      </c>
      <c r="D311">
        <v>23.640599999999999</v>
      </c>
      <c r="E311">
        <v>24.898</v>
      </c>
      <c r="F311">
        <v>334980.5</v>
      </c>
      <c r="G311">
        <v>0</v>
      </c>
      <c r="L311" t="s">
        <v>7</v>
      </c>
      <c r="M311" t="s">
        <v>8</v>
      </c>
      <c r="N311" t="s">
        <v>8</v>
      </c>
      <c r="P311">
        <f t="shared" si="964"/>
        <v>7.0400953434920324E-2</v>
      </c>
      <c r="Q311">
        <f t="shared" si="965"/>
        <v>23582.946582106328</v>
      </c>
      <c r="R311">
        <f t="shared" si="966"/>
        <v>2334213.9247687147</v>
      </c>
      <c r="S311">
        <f t="shared" si="967"/>
        <v>23.342139247687147</v>
      </c>
      <c r="T311">
        <f t="shared" si="968"/>
        <v>2.3342139247687146E-2</v>
      </c>
    </row>
    <row r="312" spans="1:20" x14ac:dyDescent="0.25">
      <c r="A312" s="5">
        <v>44281</v>
      </c>
      <c r="B312">
        <v>22.907</v>
      </c>
      <c r="C312">
        <v>25.95</v>
      </c>
      <c r="D312">
        <v>21.942499999999999</v>
      </c>
      <c r="E312">
        <v>25.152999999999999</v>
      </c>
      <c r="F312">
        <v>474573.71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0.60224578914535221</v>
      </c>
      <c r="Q312">
        <f t="shared" si="965"/>
        <v>285810.01848658756</v>
      </c>
      <c r="R312">
        <f t="shared" si="966"/>
        <v>2310630.9781866083</v>
      </c>
      <c r="S312">
        <f t="shared" si="967"/>
        <v>23.106309781866084</v>
      </c>
      <c r="T312">
        <f t="shared" si="968"/>
        <v>2.3106309781866084E-2</v>
      </c>
    </row>
    <row r="313" spans="1:20" x14ac:dyDescent="0.25">
      <c r="A313" s="5">
        <v>44280</v>
      </c>
      <c r="B313">
        <v>23.831499999999998</v>
      </c>
      <c r="C313">
        <v>24.481400000000001</v>
      </c>
      <c r="D313">
        <v>21.5106</v>
      </c>
      <c r="E313">
        <v>22.9954</v>
      </c>
      <c r="F313">
        <v>513422.84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-4.0393160091583272E-4</v>
      </c>
      <c r="Q313">
        <f t="shared" si="965"/>
        <v>-207.38770970795346</v>
      </c>
      <c r="R313">
        <f t="shared" si="966"/>
        <v>2024820.959700021</v>
      </c>
      <c r="S313">
        <f t="shared" si="967"/>
        <v>20.248209597000209</v>
      </c>
      <c r="T313">
        <f t="shared" si="968"/>
        <v>2.0248209597000209E-2</v>
      </c>
    </row>
    <row r="314" spans="1:20" x14ac:dyDescent="0.25">
      <c r="A314" s="5">
        <v>44279</v>
      </c>
      <c r="B314">
        <v>26.033999999999999</v>
      </c>
      <c r="C314">
        <v>28.69</v>
      </c>
      <c r="D314">
        <v>21.815300000000001</v>
      </c>
      <c r="E314">
        <v>23.700099999999999</v>
      </c>
      <c r="F314">
        <v>672019.01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-0.45167061835425598</v>
      </c>
      <c r="Q314">
        <f t="shared" si="965"/>
        <v>-303531.24179251492</v>
      </c>
      <c r="R314">
        <f t="shared" si="966"/>
        <v>2025028.3474097289</v>
      </c>
      <c r="S314">
        <f t="shared" si="967"/>
        <v>20.250283474097291</v>
      </c>
      <c r="T314">
        <f t="shared" si="968"/>
        <v>2.025028347409729E-2</v>
      </c>
    </row>
    <row r="315" spans="1:20" x14ac:dyDescent="0.25">
      <c r="A315" s="5">
        <v>44278</v>
      </c>
      <c r="B315">
        <v>27.8459</v>
      </c>
      <c r="C315">
        <v>28.807300000000001</v>
      </c>
      <c r="D315">
        <v>25.562100000000001</v>
      </c>
      <c r="E315">
        <v>26.118200000000002</v>
      </c>
      <c r="F315">
        <v>457111.53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-0.65727844200665564</v>
      </c>
      <c r="Q315">
        <f t="shared" si="965"/>
        <v>-300449.55426167866</v>
      </c>
      <c r="R315">
        <f t="shared" si="966"/>
        <v>2328559.5892022438</v>
      </c>
      <c r="S315">
        <f t="shared" si="967"/>
        <v>23.285595892022439</v>
      </c>
      <c r="T315">
        <f t="shared" si="968"/>
        <v>2.3285595892022438E-2</v>
      </c>
    </row>
    <row r="316" spans="1:20" x14ac:dyDescent="0.25">
      <c r="A316" s="5">
        <v>44277</v>
      </c>
      <c r="B316">
        <v>26.193999999999999</v>
      </c>
      <c r="C316">
        <v>29.85</v>
      </c>
      <c r="D316">
        <v>25.75</v>
      </c>
      <c r="E316">
        <v>27.847300000000001</v>
      </c>
      <c r="F316">
        <v>876547.13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2.3073170731707258E-2</v>
      </c>
      <c r="Q316">
        <f t="shared" si="965"/>
        <v>20224.721584877996</v>
      </c>
      <c r="R316">
        <f t="shared" si="966"/>
        <v>2629009.1434639227</v>
      </c>
      <c r="S316">
        <f t="shared" si="967"/>
        <v>26.290091434639226</v>
      </c>
      <c r="T316">
        <f t="shared" si="968"/>
        <v>2.6290091434639225E-2</v>
      </c>
    </row>
    <row r="317" spans="1:20" x14ac:dyDescent="0.25">
      <c r="A317" s="5">
        <v>44276</v>
      </c>
      <c r="B317">
        <v>24.25</v>
      </c>
      <c r="C317">
        <v>27.667899999999999</v>
      </c>
      <c r="D317">
        <v>22.707999999999998</v>
      </c>
      <c r="E317">
        <v>26.1951</v>
      </c>
      <c r="F317">
        <v>694808.44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0.40611705881166993</v>
      </c>
      <c r="Q317">
        <f t="shared" si="965"/>
        <v>282173.56009032461</v>
      </c>
      <c r="R317">
        <f t="shared" si="966"/>
        <v>2608784.4218790447</v>
      </c>
      <c r="S317">
        <f t="shared" si="967"/>
        <v>26.087844218790448</v>
      </c>
      <c r="T317">
        <f t="shared" si="968"/>
        <v>2.6087844218790446E-2</v>
      </c>
    </row>
    <row r="318" spans="1:20" x14ac:dyDescent="0.25">
      <c r="A318" s="5">
        <v>44275</v>
      </c>
      <c r="B318">
        <v>26.261900000000001</v>
      </c>
      <c r="C318">
        <v>27.667899999999999</v>
      </c>
      <c r="D318">
        <v>24.11</v>
      </c>
      <c r="E318">
        <v>24.245899999999999</v>
      </c>
      <c r="F318">
        <v>683623.18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-0.92360662188369569</v>
      </c>
      <c r="Q318">
        <f t="shared" si="965"/>
        <v>-631398.89592118969</v>
      </c>
      <c r="R318">
        <f t="shared" si="966"/>
        <v>2326610.8617887204</v>
      </c>
      <c r="S318">
        <f t="shared" si="967"/>
        <v>23.266108617887202</v>
      </c>
      <c r="T318">
        <f t="shared" si="968"/>
        <v>2.32661086178872E-2</v>
      </c>
    </row>
    <row r="319" spans="1:20" x14ac:dyDescent="0.25">
      <c r="A319" s="5">
        <v>44274</v>
      </c>
      <c r="B319">
        <v>23.0871</v>
      </c>
      <c r="C319">
        <v>28.45</v>
      </c>
      <c r="D319">
        <v>23.0001</v>
      </c>
      <c r="E319">
        <v>26.248000000000001</v>
      </c>
      <c r="F319">
        <v>1342353.84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0.1919117781977657</v>
      </c>
      <c r="Q319">
        <f t="shared" si="965"/>
        <v>257613.51240499908</v>
      </c>
      <c r="R319">
        <f t="shared" si="966"/>
        <v>2958009.7577099102</v>
      </c>
      <c r="S319">
        <f t="shared" si="967"/>
        <v>29.580097577099103</v>
      </c>
      <c r="T319">
        <f t="shared" si="968"/>
        <v>2.9580097577099104E-2</v>
      </c>
    </row>
    <row r="320" spans="1:20" x14ac:dyDescent="0.25">
      <c r="A320" s="5">
        <v>44273</v>
      </c>
      <c r="B320">
        <v>20.537500000000001</v>
      </c>
      <c r="C320">
        <v>23.95</v>
      </c>
      <c r="D320">
        <v>19.7</v>
      </c>
      <c r="E320">
        <v>23.0871</v>
      </c>
      <c r="F320">
        <v>759042.22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0.59392941176470604</v>
      </c>
      <c r="Q320">
        <f t="shared" si="965"/>
        <v>450817.49922917655</v>
      </c>
      <c r="R320">
        <f t="shared" si="966"/>
        <v>2700396.2453049109</v>
      </c>
      <c r="S320">
        <f t="shared" si="967"/>
        <v>27.003962453049109</v>
      </c>
      <c r="T320">
        <f t="shared" si="968"/>
        <v>2.7003962453049108E-2</v>
      </c>
    </row>
    <row r="321" spans="1:20" x14ac:dyDescent="0.25">
      <c r="A321" s="5">
        <v>44272</v>
      </c>
      <c r="B321">
        <v>19.584700000000002</v>
      </c>
      <c r="C321">
        <v>20.59</v>
      </c>
      <c r="D321">
        <v>18.565300000000001</v>
      </c>
      <c r="E321">
        <v>20.516300000000001</v>
      </c>
      <c r="F321">
        <v>460817.9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0.92719909122339228</v>
      </c>
      <c r="Q321">
        <f t="shared" si="965"/>
        <v>427269.93809947209</v>
      </c>
      <c r="R321">
        <f t="shared" si="966"/>
        <v>2249578.7460757345</v>
      </c>
      <c r="S321">
        <f t="shared" si="967"/>
        <v>22.495787460757345</v>
      </c>
      <c r="T321">
        <f t="shared" si="968"/>
        <v>2.2495787460757345E-2</v>
      </c>
    </row>
    <row r="322" spans="1:20" x14ac:dyDescent="0.25">
      <c r="A322" s="5">
        <v>44271</v>
      </c>
      <c r="B322">
        <v>16.961300000000001</v>
      </c>
      <c r="C322">
        <v>19.850000000000001</v>
      </c>
      <c r="D322">
        <v>16.706499999999998</v>
      </c>
      <c r="E322">
        <v>19.5398</v>
      </c>
      <c r="F322">
        <v>514190.34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0.80264036901542768</v>
      </c>
      <c r="Q322">
        <f t="shared" si="965"/>
        <v>412709.92424176825</v>
      </c>
      <c r="R322">
        <f t="shared" si="966"/>
        <v>1822308.8079762622</v>
      </c>
      <c r="S322">
        <f t="shared" si="967"/>
        <v>18.223088079762622</v>
      </c>
      <c r="T322">
        <f t="shared" si="968"/>
        <v>1.8223088079762622E-2</v>
      </c>
    </row>
    <row r="323" spans="1:20" x14ac:dyDescent="0.25">
      <c r="A323" s="5">
        <v>44270</v>
      </c>
      <c r="B323">
        <v>17.474799999999998</v>
      </c>
      <c r="C323">
        <v>18.227399999999999</v>
      </c>
      <c r="D323">
        <v>16</v>
      </c>
      <c r="E323">
        <v>16.996500000000001</v>
      </c>
      <c r="F323">
        <v>412704.52</v>
      </c>
      <c r="G323">
        <v>0</v>
      </c>
      <c r="L323" t="s">
        <v>8</v>
      </c>
      <c r="M323" t="s">
        <v>7</v>
      </c>
      <c r="N323" t="s">
        <v>8</v>
      </c>
      <c r="P323">
        <f t="shared" si="964"/>
        <v>-0.10523480290922033</v>
      </c>
      <c r="Q323">
        <f t="shared" si="965"/>
        <v>-43430.878821944381</v>
      </c>
      <c r="R323">
        <f t="shared" si="966"/>
        <v>1409598.883734494</v>
      </c>
      <c r="S323">
        <f t="shared" si="967"/>
        <v>14.09598883734494</v>
      </c>
      <c r="T323">
        <f t="shared" si="968"/>
        <v>1.409598883734494E-2</v>
      </c>
    </row>
    <row r="324" spans="1:20" x14ac:dyDescent="0.25">
      <c r="A324" s="5">
        <v>44269</v>
      </c>
      <c r="B324">
        <v>17.102799999999998</v>
      </c>
      <c r="C324">
        <v>19.1158</v>
      </c>
      <c r="D324">
        <v>16.2622</v>
      </c>
      <c r="E324">
        <v>17.475300000000001</v>
      </c>
      <c r="F324">
        <v>506343.4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-0.14977572189514951</v>
      </c>
      <c r="Q324">
        <f t="shared" si="965"/>
        <v>-75837.948261844445</v>
      </c>
      <c r="R324">
        <f t="shared" si="966"/>
        <v>1453029.7625564383</v>
      </c>
      <c r="S324">
        <f t="shared" si="967"/>
        <v>14.530297625564383</v>
      </c>
      <c r="T324">
        <f t="shared" si="968"/>
        <v>1.4530297625564383E-2</v>
      </c>
    </row>
    <row r="325" spans="1:20" x14ac:dyDescent="0.25">
      <c r="A325" s="5">
        <v>44268</v>
      </c>
      <c r="B325">
        <v>17.052499999999998</v>
      </c>
      <c r="C325">
        <v>18.809999999999999</v>
      </c>
      <c r="D325">
        <v>16.516200000000001</v>
      </c>
      <c r="E325">
        <v>17.112300000000001</v>
      </c>
      <c r="F325">
        <v>332567.86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-0.48025111169238771</v>
      </c>
      <c r="Q325">
        <f t="shared" si="965"/>
        <v>-159716.08447815836</v>
      </c>
      <c r="R325">
        <f t="shared" si="966"/>
        <v>1528867.7108182828</v>
      </c>
      <c r="S325">
        <f t="shared" si="967"/>
        <v>15.288677108182828</v>
      </c>
      <c r="T325">
        <f t="shared" si="968"/>
        <v>1.5288677108182828E-2</v>
      </c>
    </row>
    <row r="326" spans="1:20" x14ac:dyDescent="0.25">
      <c r="A326" s="5">
        <v>44267</v>
      </c>
      <c r="B326">
        <v>19.422999999999998</v>
      </c>
      <c r="C326">
        <v>19.529399999999999</v>
      </c>
      <c r="D326">
        <v>16.784099999999999</v>
      </c>
      <c r="E326">
        <v>17.059799999999999</v>
      </c>
      <c r="F326">
        <v>491849.12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-0.79914763413834522</v>
      </c>
      <c r="Q326">
        <f t="shared" ref="Q326:Q389" si="970">F326*P326</f>
        <v>-393060.06060102704</v>
      </c>
      <c r="R326">
        <f t="shared" ref="R326:R389" si="971">R327+Q326</f>
        <v>1688583.7952964411</v>
      </c>
      <c r="S326">
        <f t="shared" ref="S326:S389" si="972">R326/100000</f>
        <v>16.885837952964412</v>
      </c>
      <c r="T326">
        <f t="shared" ref="T326:T389" si="973">S326/1000</f>
        <v>1.6885837952964413E-2</v>
      </c>
    </row>
    <row r="327" spans="1:20" x14ac:dyDescent="0.25">
      <c r="A327" s="5">
        <v>44266</v>
      </c>
      <c r="B327">
        <v>18.97</v>
      </c>
      <c r="C327">
        <v>19.86</v>
      </c>
      <c r="D327">
        <v>18.010000000000002</v>
      </c>
      <c r="E327">
        <v>19.420000000000002</v>
      </c>
      <c r="F327">
        <v>458299.91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0.52432432432432619</v>
      </c>
      <c r="Q327">
        <f t="shared" si="970"/>
        <v>240297.79064864948</v>
      </c>
      <c r="R327">
        <f t="shared" si="971"/>
        <v>2081643.855897468</v>
      </c>
      <c r="S327">
        <f t="shared" si="972"/>
        <v>20.816438558974681</v>
      </c>
      <c r="T327">
        <f t="shared" si="973"/>
        <v>2.0816438558974682E-2</v>
      </c>
    </row>
    <row r="328" spans="1:20" x14ac:dyDescent="0.25">
      <c r="A328" s="5">
        <v>44265</v>
      </c>
      <c r="B328">
        <v>18.4086</v>
      </c>
      <c r="C328">
        <v>19.989999999999998</v>
      </c>
      <c r="D328">
        <v>17.144600000000001</v>
      </c>
      <c r="E328">
        <v>18.970099999999999</v>
      </c>
      <c r="F328">
        <v>699918.38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0.28312363815280767</v>
      </c>
      <c r="Q328">
        <f t="shared" si="970"/>
        <v>198163.43815561934</v>
      </c>
      <c r="R328">
        <f t="shared" si="971"/>
        <v>1841346.0652488186</v>
      </c>
      <c r="S328">
        <f t="shared" si="972"/>
        <v>18.413460652488187</v>
      </c>
      <c r="T328">
        <f t="shared" si="973"/>
        <v>1.8413460652488188E-2</v>
      </c>
    </row>
    <row r="329" spans="1:20" x14ac:dyDescent="0.25">
      <c r="A329" s="5">
        <v>44264</v>
      </c>
      <c r="B329">
        <v>18.595600000000001</v>
      </c>
      <c r="C329">
        <v>19.7499</v>
      </c>
      <c r="D329">
        <v>17</v>
      </c>
      <c r="E329">
        <v>18.527000000000001</v>
      </c>
      <c r="F329">
        <v>547413.80000000005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0.11058583948507283</v>
      </c>
      <c r="Q329">
        <f t="shared" si="970"/>
        <v>60536.21461871377</v>
      </c>
      <c r="R329">
        <f t="shared" si="971"/>
        <v>1643182.6270931992</v>
      </c>
      <c r="S329">
        <f t="shared" si="972"/>
        <v>16.431826270931992</v>
      </c>
      <c r="T329">
        <f t="shared" si="973"/>
        <v>1.6431826270931992E-2</v>
      </c>
    </row>
    <row r="330" spans="1:20" x14ac:dyDescent="0.25">
      <c r="A330" s="5">
        <v>44263</v>
      </c>
      <c r="B330">
        <v>16.502600000000001</v>
      </c>
      <c r="C330">
        <v>19.05</v>
      </c>
      <c r="D330">
        <v>16.381499999999999</v>
      </c>
      <c r="E330">
        <v>18.525500000000001</v>
      </c>
      <c r="F330">
        <v>657908.44999999995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0.60689525950908796</v>
      </c>
      <c r="Q330">
        <f t="shared" si="970"/>
        <v>399281.51949597179</v>
      </c>
      <c r="R330">
        <f t="shared" si="971"/>
        <v>1582646.4124744853</v>
      </c>
      <c r="S330">
        <f t="shared" si="972"/>
        <v>15.826464124744854</v>
      </c>
      <c r="T330">
        <f t="shared" si="973"/>
        <v>1.5826464124744855E-2</v>
      </c>
    </row>
    <row r="331" spans="1:20" x14ac:dyDescent="0.25">
      <c r="A331" s="5">
        <v>44262</v>
      </c>
      <c r="B331">
        <v>16.542100000000001</v>
      </c>
      <c r="C331">
        <v>17.55</v>
      </c>
      <c r="D331">
        <v>15.898999999999999</v>
      </c>
      <c r="E331">
        <v>16.5016</v>
      </c>
      <c r="F331">
        <v>359240.17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-0.27001817080557222</v>
      </c>
      <c r="Q331">
        <f t="shared" si="970"/>
        <v>-97001.373583282795</v>
      </c>
      <c r="R331">
        <f t="shared" si="971"/>
        <v>1183364.8929785136</v>
      </c>
      <c r="S331">
        <f t="shared" si="972"/>
        <v>11.833648929785136</v>
      </c>
      <c r="T331">
        <f t="shared" si="973"/>
        <v>1.1833648929785136E-2</v>
      </c>
    </row>
    <row r="332" spans="1:20" x14ac:dyDescent="0.25">
      <c r="A332" s="5">
        <v>44261</v>
      </c>
      <c r="B332">
        <v>17.150200000000002</v>
      </c>
      <c r="C332">
        <v>17.849900000000002</v>
      </c>
      <c r="D332">
        <v>15.8086</v>
      </c>
      <c r="E332">
        <v>16.541</v>
      </c>
      <c r="F332">
        <v>495765.21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-0.28241806691814075</v>
      </c>
      <c r="Q332">
        <f t="shared" si="970"/>
        <v>-140013.0522534661</v>
      </c>
      <c r="R332">
        <f t="shared" si="971"/>
        <v>1280366.2665617964</v>
      </c>
      <c r="S332">
        <f t="shared" si="972"/>
        <v>12.803662665617964</v>
      </c>
      <c r="T332">
        <f t="shared" si="973"/>
        <v>1.2803662665617964E-2</v>
      </c>
    </row>
    <row r="333" spans="1:20" x14ac:dyDescent="0.25">
      <c r="A333" s="5">
        <v>44260</v>
      </c>
      <c r="B333">
        <v>15.8874</v>
      </c>
      <c r="C333">
        <v>17.850000000000001</v>
      </c>
      <c r="D333">
        <v>14.75</v>
      </c>
      <c r="E333">
        <v>17.150200000000002</v>
      </c>
      <c r="F333">
        <v>782957.34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0.54851612903225844</v>
      </c>
      <c r="Q333">
        <f t="shared" si="970"/>
        <v>429464.72933419381</v>
      </c>
      <c r="R333">
        <f t="shared" si="971"/>
        <v>1420379.3188152625</v>
      </c>
      <c r="S333">
        <f t="shared" si="972"/>
        <v>14.203793188152625</v>
      </c>
      <c r="T333">
        <f t="shared" si="973"/>
        <v>1.4203793188152625E-2</v>
      </c>
    </row>
    <row r="334" spans="1:20" x14ac:dyDescent="0.25">
      <c r="A334" s="5">
        <v>44259</v>
      </c>
      <c r="B334">
        <v>16.938700000000001</v>
      </c>
      <c r="C334">
        <v>18.09</v>
      </c>
      <c r="D334">
        <v>15.2</v>
      </c>
      <c r="E334">
        <v>15.8874</v>
      </c>
      <c r="F334">
        <v>777228.72</v>
      </c>
      <c r="G334">
        <v>0</v>
      </c>
      <c r="L334" t="s">
        <v>8</v>
      </c>
      <c r="M334" t="s">
        <v>7</v>
      </c>
      <c r="N334" t="s">
        <v>8</v>
      </c>
      <c r="P334">
        <f t="shared" si="969"/>
        <v>-0.52429065743944625</v>
      </c>
      <c r="Q334">
        <f t="shared" si="970"/>
        <v>-407493.75658961927</v>
      </c>
      <c r="R334">
        <f t="shared" si="971"/>
        <v>990914.58948106878</v>
      </c>
      <c r="S334">
        <f t="shared" si="972"/>
        <v>9.9091458948106883</v>
      </c>
      <c r="T334">
        <f t="shared" si="973"/>
        <v>9.9091458948106885E-3</v>
      </c>
    </row>
    <row r="335" spans="1:20" x14ac:dyDescent="0.25">
      <c r="A335" s="5">
        <v>44258</v>
      </c>
      <c r="B335">
        <v>14.836</v>
      </c>
      <c r="C335">
        <v>18</v>
      </c>
      <c r="D335">
        <v>14.546099999999999</v>
      </c>
      <c r="E335">
        <v>16.899999999999999</v>
      </c>
      <c r="F335">
        <v>955701.54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0.36303888358087893</v>
      </c>
      <c r="Q335">
        <f t="shared" si="970"/>
        <v>346956.82011812675</v>
      </c>
      <c r="R335">
        <f t="shared" si="971"/>
        <v>1398408.346070688</v>
      </c>
      <c r="S335">
        <f t="shared" si="972"/>
        <v>13.984083460706881</v>
      </c>
      <c r="T335">
        <f t="shared" si="973"/>
        <v>1.398408346070688E-2</v>
      </c>
    </row>
    <row r="336" spans="1:20" x14ac:dyDescent="0.25">
      <c r="A336" s="5">
        <v>44257</v>
      </c>
      <c r="B336">
        <v>14.463900000000001</v>
      </c>
      <c r="C336">
        <v>16</v>
      </c>
      <c r="D336">
        <v>13.1106</v>
      </c>
      <c r="E336">
        <v>14.7841</v>
      </c>
      <c r="F336">
        <v>1036558.35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0.15837198034193989</v>
      </c>
      <c r="Q336">
        <f t="shared" si="970"/>
        <v>164161.79862947363</v>
      </c>
      <c r="R336">
        <f t="shared" si="971"/>
        <v>1051451.5259525613</v>
      </c>
      <c r="S336">
        <f t="shared" si="972"/>
        <v>10.514515259525613</v>
      </c>
      <c r="T336">
        <f t="shared" si="973"/>
        <v>1.0514515259525613E-2</v>
      </c>
    </row>
    <row r="337" spans="1:20" x14ac:dyDescent="0.25">
      <c r="A337" s="5">
        <v>44256</v>
      </c>
      <c r="B337">
        <v>11.2385</v>
      </c>
      <c r="C337">
        <v>14.494</v>
      </c>
      <c r="D337">
        <v>11.100099999999999</v>
      </c>
      <c r="E337">
        <v>14.331799999999999</v>
      </c>
      <c r="F337">
        <v>644126.63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0.90441674769439273</v>
      </c>
      <c r="Q337">
        <f t="shared" si="970"/>
        <v>582558.91180794942</v>
      </c>
      <c r="R337">
        <f t="shared" si="971"/>
        <v>887289.72732308763</v>
      </c>
      <c r="S337">
        <f t="shared" si="972"/>
        <v>8.8728972732308762</v>
      </c>
      <c r="T337">
        <f t="shared" si="973"/>
        <v>8.8728972732308765E-3</v>
      </c>
    </row>
    <row r="338" spans="1:20" x14ac:dyDescent="0.25">
      <c r="A338" s="5">
        <v>44255</v>
      </c>
      <c r="B338">
        <v>12.226900000000001</v>
      </c>
      <c r="C338">
        <v>12.61</v>
      </c>
      <c r="D338">
        <v>10.29</v>
      </c>
      <c r="E338">
        <v>11.245799999999999</v>
      </c>
      <c r="F338">
        <v>639184.69999999995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-0.1760344827586208</v>
      </c>
      <c r="Q338">
        <f t="shared" si="970"/>
        <v>-112518.5480517242</v>
      </c>
      <c r="R338">
        <f t="shared" si="971"/>
        <v>304730.81551513815</v>
      </c>
      <c r="S338">
        <f t="shared" si="972"/>
        <v>3.0473081551513816</v>
      </c>
      <c r="T338">
        <f t="shared" si="973"/>
        <v>3.0473081551513816E-3</v>
      </c>
    </row>
    <row r="339" spans="1:20" x14ac:dyDescent="0.25">
      <c r="A339" s="5">
        <v>44254</v>
      </c>
      <c r="B339">
        <v>12.308999999999999</v>
      </c>
      <c r="C339">
        <v>13.054</v>
      </c>
      <c r="D339">
        <v>11.875</v>
      </c>
      <c r="E339">
        <v>12.0847</v>
      </c>
      <c r="F339">
        <v>504106.79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-0.64427480916030577</v>
      </c>
      <c r="Q339">
        <f t="shared" si="970"/>
        <v>-324783.3059236643</v>
      </c>
      <c r="R339">
        <f t="shared" si="971"/>
        <v>417249.36356686236</v>
      </c>
      <c r="S339">
        <f t="shared" si="972"/>
        <v>4.1724936356686237</v>
      </c>
      <c r="T339">
        <f t="shared" si="973"/>
        <v>4.1724936356686239E-3</v>
      </c>
    </row>
    <row r="340" spans="1:20" x14ac:dyDescent="0.25">
      <c r="A340" s="5">
        <v>44253</v>
      </c>
      <c r="B340">
        <v>12.2393</v>
      </c>
      <c r="C340">
        <v>14</v>
      </c>
      <c r="D340">
        <v>11.2811</v>
      </c>
      <c r="E340">
        <v>12.312099999999999</v>
      </c>
      <c r="F340">
        <v>1013026.94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-0.24160506087020564</v>
      </c>
      <c r="Q340">
        <f t="shared" si="970"/>
        <v>-244752.43550185816</v>
      </c>
      <c r="R340">
        <f t="shared" si="971"/>
        <v>742032.66949052666</v>
      </c>
      <c r="S340">
        <f t="shared" si="972"/>
        <v>7.4203266949052669</v>
      </c>
      <c r="T340">
        <f t="shared" si="973"/>
        <v>7.4203266949052667E-3</v>
      </c>
    </row>
    <row r="341" spans="1:20" x14ac:dyDescent="0.25">
      <c r="A341" s="5">
        <v>44252</v>
      </c>
      <c r="B341">
        <v>12.549899999999999</v>
      </c>
      <c r="C341">
        <v>15.2</v>
      </c>
      <c r="D341">
        <v>12.18</v>
      </c>
      <c r="E341">
        <v>12.2393</v>
      </c>
      <c r="F341">
        <v>1249267.75</v>
      </c>
      <c r="G341">
        <v>0</v>
      </c>
      <c r="L341" t="s">
        <v>8</v>
      </c>
      <c r="M341" t="s">
        <v>7</v>
      </c>
      <c r="N341" t="s">
        <v>8</v>
      </c>
      <c r="P341">
        <f t="shared" si="969"/>
        <v>-0.96072847682119178</v>
      </c>
      <c r="Q341">
        <f t="shared" si="970"/>
        <v>-1200207.1025993375</v>
      </c>
      <c r="R341">
        <f t="shared" si="971"/>
        <v>986785.10499238479</v>
      </c>
      <c r="S341">
        <f t="shared" si="972"/>
        <v>9.8678510499238481</v>
      </c>
      <c r="T341">
        <f t="shared" si="973"/>
        <v>9.8678510499238484E-3</v>
      </c>
    </row>
    <row r="342" spans="1:20" x14ac:dyDescent="0.25">
      <c r="A342" s="5">
        <v>44251</v>
      </c>
      <c r="B342">
        <v>11.5021</v>
      </c>
      <c r="C342">
        <v>14.6958</v>
      </c>
      <c r="D342">
        <v>10.58</v>
      </c>
      <c r="E342">
        <v>12.549899999999999</v>
      </c>
      <c r="F342">
        <v>2313390.36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-4.2762038971767807E-2</v>
      </c>
      <c r="Q342">
        <f t="shared" si="970"/>
        <v>-98925.288731231951</v>
      </c>
      <c r="R342">
        <f t="shared" si="971"/>
        <v>2186992.2075917223</v>
      </c>
      <c r="S342">
        <f t="shared" si="972"/>
        <v>21.869922075917223</v>
      </c>
      <c r="T342">
        <f t="shared" si="973"/>
        <v>2.1869922075917224E-2</v>
      </c>
    </row>
    <row r="343" spans="1:20" x14ac:dyDescent="0.25">
      <c r="A343" s="5">
        <v>44250</v>
      </c>
      <c r="B343">
        <v>9.7287999999999997</v>
      </c>
      <c r="C343">
        <v>13</v>
      </c>
      <c r="D343">
        <v>7</v>
      </c>
      <c r="E343">
        <v>11.500999999999999</v>
      </c>
      <c r="F343">
        <v>2426646.4900000002</v>
      </c>
      <c r="G343">
        <v>0</v>
      </c>
      <c r="L343" t="s">
        <v>8</v>
      </c>
      <c r="M343" t="s">
        <v>7</v>
      </c>
      <c r="N343" t="s">
        <v>8</v>
      </c>
      <c r="P343">
        <f t="shared" si="969"/>
        <v>0.50033333333333319</v>
      </c>
      <c r="Q343">
        <f t="shared" si="970"/>
        <v>1214132.1271633331</v>
      </c>
      <c r="R343">
        <f t="shared" si="971"/>
        <v>2285917.4963229541</v>
      </c>
      <c r="S343">
        <f t="shared" si="972"/>
        <v>22.859174963229542</v>
      </c>
      <c r="T343">
        <f t="shared" si="973"/>
        <v>2.2859174963229541E-2</v>
      </c>
    </row>
    <row r="344" spans="1:20" x14ac:dyDescent="0.25">
      <c r="A344" s="5">
        <v>44249</v>
      </c>
      <c r="B344">
        <v>9.3846000000000007</v>
      </c>
      <c r="C344">
        <v>9.86</v>
      </c>
      <c r="D344">
        <v>7.2039999999999997</v>
      </c>
      <c r="E344">
        <v>9.7759</v>
      </c>
      <c r="F344">
        <v>1109905.3600000001</v>
      </c>
      <c r="G344">
        <v>0</v>
      </c>
      <c r="L344" t="s">
        <v>8</v>
      </c>
      <c r="M344" t="s">
        <v>7</v>
      </c>
      <c r="N344" t="s">
        <v>8</v>
      </c>
      <c r="P344">
        <f t="shared" si="969"/>
        <v>0.93667168674698842</v>
      </c>
      <c r="Q344">
        <f t="shared" si="970"/>
        <v>1039616.9256807235</v>
      </c>
      <c r="R344">
        <f t="shared" si="971"/>
        <v>1071785.3691596207</v>
      </c>
      <c r="S344">
        <f t="shared" si="972"/>
        <v>10.717853691596208</v>
      </c>
      <c r="T344">
        <f t="shared" si="973"/>
        <v>1.0717853691596209E-2</v>
      </c>
    </row>
    <row r="345" spans="1:20" x14ac:dyDescent="0.25">
      <c r="A345" s="5">
        <v>44248</v>
      </c>
      <c r="B345">
        <v>8.6621000000000006</v>
      </c>
      <c r="C345">
        <v>9.75</v>
      </c>
      <c r="D345">
        <v>8.4418000000000006</v>
      </c>
      <c r="E345">
        <v>9.3383000000000003</v>
      </c>
      <c r="F345">
        <v>682405.91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0.37058553737960565</v>
      </c>
      <c r="Q345">
        <f t="shared" si="970"/>
        <v>252889.76086836882</v>
      </c>
      <c r="R345">
        <f t="shared" si="971"/>
        <v>32168.443478897127</v>
      </c>
      <c r="S345">
        <f t="shared" si="972"/>
        <v>0.32168443478897124</v>
      </c>
      <c r="T345">
        <f t="shared" si="973"/>
        <v>3.2168443478897124E-4</v>
      </c>
    </row>
    <row r="346" spans="1:20" x14ac:dyDescent="0.25">
      <c r="A346" s="5">
        <v>44247</v>
      </c>
      <c r="B346">
        <v>8.4473000000000003</v>
      </c>
      <c r="C346">
        <v>9.4149999999999991</v>
      </c>
      <c r="D346">
        <v>7.7</v>
      </c>
      <c r="E346">
        <v>8.6622000000000003</v>
      </c>
      <c r="F346">
        <v>963801.33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0.12209912536443235</v>
      </c>
      <c r="Q346">
        <f t="shared" si="970"/>
        <v>117679.29941807663</v>
      </c>
      <c r="R346">
        <f t="shared" si="971"/>
        <v>-220721.31738947169</v>
      </c>
      <c r="S346">
        <f t="shared" si="972"/>
        <v>-2.2072131738947167</v>
      </c>
      <c r="T346">
        <f t="shared" si="973"/>
        <v>-2.2072131738947167E-3</v>
      </c>
    </row>
    <row r="347" spans="1:20" x14ac:dyDescent="0.25">
      <c r="A347" s="5">
        <v>44246</v>
      </c>
      <c r="B347">
        <v>7.1673</v>
      </c>
      <c r="C347">
        <v>8.5498999999999992</v>
      </c>
      <c r="D347">
        <v>6.85</v>
      </c>
      <c r="E347">
        <v>8.4250000000000007</v>
      </c>
      <c r="F347">
        <v>898948.28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0.85305017942232075</v>
      </c>
      <c r="Q347">
        <f t="shared" si="970"/>
        <v>766847.99154538661</v>
      </c>
      <c r="R347">
        <f t="shared" si="971"/>
        <v>-338400.61680754833</v>
      </c>
      <c r="S347">
        <f t="shared" si="972"/>
        <v>-3.3840061680754832</v>
      </c>
      <c r="T347">
        <f t="shared" si="973"/>
        <v>-3.384006168075483E-3</v>
      </c>
    </row>
    <row r="348" spans="1:20" x14ac:dyDescent="0.25">
      <c r="A348" s="5">
        <v>44245</v>
      </c>
      <c r="B348">
        <v>6.1069000000000004</v>
      </c>
      <c r="C348">
        <v>7.2720000000000002</v>
      </c>
      <c r="D348">
        <v>6</v>
      </c>
      <c r="E348">
        <v>7.1608999999999998</v>
      </c>
      <c r="F348">
        <v>606134.56999999995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0.82531446540880438</v>
      </c>
      <c r="Q348">
        <f t="shared" si="970"/>
        <v>500251.6286053455</v>
      </c>
      <c r="R348">
        <f t="shared" si="971"/>
        <v>-1105248.6083529349</v>
      </c>
      <c r="S348">
        <f t="shared" si="972"/>
        <v>-11.052486083529349</v>
      </c>
      <c r="T348">
        <f t="shared" si="973"/>
        <v>-1.1052486083529349E-2</v>
      </c>
    </row>
    <row r="349" spans="1:20" x14ac:dyDescent="0.25">
      <c r="A349" s="5">
        <v>44244</v>
      </c>
      <c r="B349">
        <v>6.0601000000000003</v>
      </c>
      <c r="C349">
        <v>6.3259999999999996</v>
      </c>
      <c r="D349">
        <v>5.6668000000000003</v>
      </c>
      <c r="E349">
        <v>6.1056999999999997</v>
      </c>
      <c r="F349">
        <v>534113.13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0.33161407766990242</v>
      </c>
      <c r="Q349">
        <f t="shared" si="970"/>
        <v>177119.43297633468</v>
      </c>
      <c r="R349">
        <f t="shared" si="971"/>
        <v>-1605500.2369582804</v>
      </c>
      <c r="S349">
        <f t="shared" si="972"/>
        <v>-16.055002369582805</v>
      </c>
      <c r="T349">
        <f t="shared" si="973"/>
        <v>-1.6055002369582804E-2</v>
      </c>
    </row>
    <row r="350" spans="1:20" x14ac:dyDescent="0.25">
      <c r="A350" s="5">
        <v>44243</v>
      </c>
      <c r="B350">
        <v>6.1638999999999999</v>
      </c>
      <c r="C350">
        <v>6.5782999999999996</v>
      </c>
      <c r="D350">
        <v>5.8440000000000003</v>
      </c>
      <c r="E350">
        <v>6.0799000000000003</v>
      </c>
      <c r="F350">
        <v>529822.65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-0.35748331744518524</v>
      </c>
      <c r="Q350">
        <f t="shared" si="970"/>
        <v>-189402.75857959929</v>
      </c>
      <c r="R350">
        <f t="shared" si="971"/>
        <v>-1782619.669934615</v>
      </c>
      <c r="S350">
        <f t="shared" si="972"/>
        <v>-17.826196699346152</v>
      </c>
      <c r="T350">
        <f t="shared" si="973"/>
        <v>-1.7826196699346153E-2</v>
      </c>
    </row>
    <row r="351" spans="1:20" x14ac:dyDescent="0.25">
      <c r="A351" s="5">
        <v>44242</v>
      </c>
      <c r="B351">
        <v>6.0000999999999998</v>
      </c>
      <c r="C351">
        <v>6.6</v>
      </c>
      <c r="D351">
        <v>5.3517000000000001</v>
      </c>
      <c r="E351">
        <v>6.1642999999999999</v>
      </c>
      <c r="F351">
        <v>566566.75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0.30193062565088535</v>
      </c>
      <c r="Q351">
        <f t="shared" si="970"/>
        <v>171063.85330048876</v>
      </c>
      <c r="R351">
        <f t="shared" si="971"/>
        <v>-1593216.9113550158</v>
      </c>
      <c r="S351">
        <f t="shared" si="972"/>
        <v>-15.932169113550158</v>
      </c>
      <c r="T351">
        <f t="shared" si="973"/>
        <v>-1.5932169113550158E-2</v>
      </c>
    </row>
    <row r="352" spans="1:20" x14ac:dyDescent="0.25">
      <c r="A352" s="5">
        <v>44241</v>
      </c>
      <c r="B352">
        <v>6.2925000000000004</v>
      </c>
      <c r="C352">
        <v>6.6997</v>
      </c>
      <c r="D352">
        <v>6</v>
      </c>
      <c r="E352">
        <v>6</v>
      </c>
      <c r="F352">
        <v>535651.25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-1</v>
      </c>
      <c r="Q352">
        <f t="shared" si="970"/>
        <v>-535651.25</v>
      </c>
      <c r="R352">
        <f t="shared" si="971"/>
        <v>-1764280.7646555046</v>
      </c>
      <c r="S352">
        <f t="shared" si="972"/>
        <v>-17.642807646555045</v>
      </c>
      <c r="T352">
        <f t="shared" si="973"/>
        <v>-1.7642807646555046E-2</v>
      </c>
    </row>
    <row r="353" spans="1:20" x14ac:dyDescent="0.25">
      <c r="A353" s="5">
        <v>44240</v>
      </c>
      <c r="B353">
        <v>6.5101000000000004</v>
      </c>
      <c r="C353">
        <v>6.7618</v>
      </c>
      <c r="D353">
        <v>5.9112999999999998</v>
      </c>
      <c r="E353">
        <v>6.2929000000000004</v>
      </c>
      <c r="F353">
        <v>466146.12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-0.10264550264550149</v>
      </c>
      <c r="Q353">
        <f t="shared" si="970"/>
        <v>-47847.802793650255</v>
      </c>
      <c r="R353">
        <f t="shared" si="971"/>
        <v>-1228629.5146555046</v>
      </c>
      <c r="S353">
        <f t="shared" si="972"/>
        <v>-12.286295146555046</v>
      </c>
      <c r="T353">
        <f t="shared" si="973"/>
        <v>-1.2286295146555047E-2</v>
      </c>
    </row>
    <row r="354" spans="1:20" x14ac:dyDescent="0.25">
      <c r="A354" s="5">
        <v>44239</v>
      </c>
      <c r="B354">
        <v>6.8871000000000002</v>
      </c>
      <c r="C354">
        <v>7.09</v>
      </c>
      <c r="D354">
        <v>6.1322000000000001</v>
      </c>
      <c r="E354">
        <v>6.51</v>
      </c>
      <c r="F354">
        <v>614115.96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-0.21110879097932808</v>
      </c>
      <c r="Q354">
        <f t="shared" si="970"/>
        <v>-129645.2778367094</v>
      </c>
      <c r="R354">
        <f t="shared" si="971"/>
        <v>-1180781.7118618544</v>
      </c>
      <c r="S354">
        <f t="shared" si="972"/>
        <v>-11.807817118618544</v>
      </c>
      <c r="T354">
        <f t="shared" si="973"/>
        <v>-1.1807817118618544E-2</v>
      </c>
    </row>
    <row r="355" spans="1:20" x14ac:dyDescent="0.25">
      <c r="A355" s="5">
        <v>44238</v>
      </c>
      <c r="B355">
        <v>5.9298000000000002</v>
      </c>
      <c r="C355">
        <v>7.02</v>
      </c>
      <c r="D355">
        <v>5.5854999999999997</v>
      </c>
      <c r="E355">
        <v>6.8583999999999996</v>
      </c>
      <c r="F355">
        <v>670246.85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0.77469501568490762</v>
      </c>
      <c r="Q355">
        <f t="shared" si="970"/>
        <v>519236.8939735099</v>
      </c>
      <c r="R355">
        <f t="shared" si="971"/>
        <v>-1051136.4340251451</v>
      </c>
      <c r="S355">
        <f t="shared" si="972"/>
        <v>-10.51136434025145</v>
      </c>
      <c r="T355">
        <f t="shared" si="973"/>
        <v>-1.0511364340251451E-2</v>
      </c>
    </row>
    <row r="356" spans="1:20" x14ac:dyDescent="0.25">
      <c r="A356" s="5">
        <v>44237</v>
      </c>
      <c r="B356">
        <v>5.9509999999999996</v>
      </c>
      <c r="C356">
        <v>6.2861000000000002</v>
      </c>
      <c r="D356">
        <v>5.21</v>
      </c>
      <c r="E356">
        <v>5.9341999999999997</v>
      </c>
      <c r="F356">
        <v>811470.1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0.34597156398104179</v>
      </c>
      <c r="Q356">
        <f t="shared" si="970"/>
        <v>280745.57962085237</v>
      </c>
      <c r="R356">
        <f t="shared" si="971"/>
        <v>-1570373.3279986551</v>
      </c>
      <c r="S356">
        <f t="shared" si="972"/>
        <v>-15.703733279986551</v>
      </c>
      <c r="T356">
        <f t="shared" si="973"/>
        <v>-1.5703733279986552E-2</v>
      </c>
    </row>
    <row r="357" spans="1:20" x14ac:dyDescent="0.25">
      <c r="A357" s="5">
        <v>44236</v>
      </c>
      <c r="B357">
        <v>4.9039999999999999</v>
      </c>
      <c r="C357">
        <v>6</v>
      </c>
      <c r="D357">
        <v>4.6900000000000004</v>
      </c>
      <c r="E357">
        <v>5.9509999999999996</v>
      </c>
      <c r="F357">
        <v>889922.77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0.92519083969465588</v>
      </c>
      <c r="Q357">
        <f t="shared" si="970"/>
        <v>823348.39483969414</v>
      </c>
      <c r="R357">
        <f t="shared" si="971"/>
        <v>-1851118.9076195075</v>
      </c>
      <c r="S357">
        <f t="shared" si="972"/>
        <v>-18.511189076195077</v>
      </c>
      <c r="T357">
        <f t="shared" si="973"/>
        <v>-1.8511189076195075E-2</v>
      </c>
    </row>
    <row r="358" spans="1:20" x14ac:dyDescent="0.25">
      <c r="A358" s="5">
        <v>44235</v>
      </c>
      <c r="B358">
        <v>4.3140999999999998</v>
      </c>
      <c r="C358">
        <v>5.13</v>
      </c>
      <c r="D358">
        <v>4.3014000000000001</v>
      </c>
      <c r="E358">
        <v>4.8899999999999997</v>
      </c>
      <c r="F358">
        <v>754276.28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0.42070963070238893</v>
      </c>
      <c r="Q358">
        <f t="shared" si="970"/>
        <v>317331.29520637169</v>
      </c>
      <c r="R358">
        <f t="shared" si="971"/>
        <v>-2674467.3024592018</v>
      </c>
      <c r="S358">
        <f t="shared" si="972"/>
        <v>-26.744673024592018</v>
      </c>
      <c r="T358">
        <f t="shared" si="973"/>
        <v>-2.6744673024592019E-2</v>
      </c>
    </row>
    <row r="359" spans="1:20" x14ac:dyDescent="0.25">
      <c r="A359" s="5">
        <v>44234</v>
      </c>
      <c r="B359">
        <v>4.4199000000000002</v>
      </c>
      <c r="C359">
        <v>4.51</v>
      </c>
      <c r="D359">
        <v>3.9</v>
      </c>
      <c r="E359">
        <v>4.3154000000000003</v>
      </c>
      <c r="F359">
        <v>552066.9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0.36196721311475583</v>
      </c>
      <c r="Q359">
        <f t="shared" si="970"/>
        <v>199830.1172459026</v>
      </c>
      <c r="R359">
        <f t="shared" si="971"/>
        <v>-2991798.5976655735</v>
      </c>
      <c r="S359">
        <f t="shared" si="972"/>
        <v>-29.917985976655736</v>
      </c>
      <c r="T359">
        <f t="shared" si="973"/>
        <v>-2.9917985976655737E-2</v>
      </c>
    </row>
    <row r="360" spans="1:20" x14ac:dyDescent="0.25">
      <c r="A360" s="5">
        <v>44233</v>
      </c>
      <c r="B360">
        <v>4.9282000000000004</v>
      </c>
      <c r="C360">
        <v>4.9635999999999996</v>
      </c>
      <c r="D360">
        <v>4.3129999999999997</v>
      </c>
      <c r="E360">
        <v>4.4013</v>
      </c>
      <c r="F360">
        <v>497703.47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-0.72855825391945805</v>
      </c>
      <c r="Q360">
        <f t="shared" si="970"/>
        <v>-362605.97107285535</v>
      </c>
      <c r="R360">
        <f t="shared" si="971"/>
        <v>-3191628.7149114762</v>
      </c>
      <c r="S360">
        <f t="shared" si="972"/>
        <v>-31.916287149114762</v>
      </c>
      <c r="T360">
        <f t="shared" si="973"/>
        <v>-3.1916287149114764E-2</v>
      </c>
    </row>
    <row r="361" spans="1:20" x14ac:dyDescent="0.25">
      <c r="A361" s="5">
        <v>44232</v>
      </c>
      <c r="B361">
        <v>4.7607999999999997</v>
      </c>
      <c r="C361">
        <v>5.29</v>
      </c>
      <c r="D361">
        <v>4.7074999999999996</v>
      </c>
      <c r="E361">
        <v>4.9276</v>
      </c>
      <c r="F361">
        <v>641506.99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-0.24429184549356145</v>
      </c>
      <c r="Q361">
        <f t="shared" si="970"/>
        <v>-156714.92648411967</v>
      </c>
      <c r="R361">
        <f t="shared" si="971"/>
        <v>-2829022.7438386208</v>
      </c>
      <c r="S361">
        <f t="shared" si="972"/>
        <v>-28.290227438386207</v>
      </c>
      <c r="T361">
        <f t="shared" si="973"/>
        <v>-2.8290227438386207E-2</v>
      </c>
    </row>
    <row r="362" spans="1:20" x14ac:dyDescent="0.25">
      <c r="A362" s="5">
        <v>44231</v>
      </c>
      <c r="B362">
        <v>4.7758000000000003</v>
      </c>
      <c r="C362">
        <v>5.2601000000000004</v>
      </c>
      <c r="D362">
        <v>4.5636000000000001</v>
      </c>
      <c r="E362">
        <v>4.7629999999999999</v>
      </c>
      <c r="F362">
        <v>757667.75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-0.4274228284278544</v>
      </c>
      <c r="Q362">
        <f t="shared" si="970"/>
        <v>-323844.4927135685</v>
      </c>
      <c r="R362">
        <f t="shared" si="971"/>
        <v>-2672307.8173545012</v>
      </c>
      <c r="S362">
        <f t="shared" si="972"/>
        <v>-26.723078173545012</v>
      </c>
      <c r="T362">
        <f t="shared" si="973"/>
        <v>-2.6723078173545012E-2</v>
      </c>
    </row>
    <row r="363" spans="1:20" x14ac:dyDescent="0.25">
      <c r="A363" s="5">
        <v>44230</v>
      </c>
      <c r="B363">
        <v>4.1159999999999997</v>
      </c>
      <c r="C363">
        <v>4.8099999999999996</v>
      </c>
      <c r="D363">
        <v>3.9016999999999999</v>
      </c>
      <c r="E363">
        <v>4.7754000000000003</v>
      </c>
      <c r="F363">
        <v>1001838.23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0.92381371793460465</v>
      </c>
      <c r="Q363">
        <f t="shared" si="970"/>
        <v>925511.90002532362</v>
      </c>
      <c r="R363">
        <f t="shared" si="971"/>
        <v>-2348463.324640933</v>
      </c>
      <c r="S363">
        <f t="shared" si="972"/>
        <v>-23.484633246409331</v>
      </c>
      <c r="T363">
        <f t="shared" si="973"/>
        <v>-2.3484633246409332E-2</v>
      </c>
    </row>
    <row r="364" spans="1:20" x14ac:dyDescent="0.25">
      <c r="A364" s="5">
        <v>44229</v>
      </c>
      <c r="B364">
        <v>3.6924000000000001</v>
      </c>
      <c r="C364">
        <v>4.21</v>
      </c>
      <c r="D364">
        <v>3.5714999999999999</v>
      </c>
      <c r="E364">
        <v>4.1166</v>
      </c>
      <c r="F364">
        <v>824292.2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0.70743931088488676</v>
      </c>
      <c r="Q364">
        <f t="shared" si="970"/>
        <v>583136.70593578718</v>
      </c>
      <c r="R364">
        <f t="shared" si="971"/>
        <v>-3273975.2246662565</v>
      </c>
      <c r="S364">
        <f t="shared" si="972"/>
        <v>-32.739752246662562</v>
      </c>
      <c r="T364">
        <f t="shared" si="973"/>
        <v>-3.2739752246662562E-2</v>
      </c>
    </row>
    <row r="365" spans="1:20" x14ac:dyDescent="0.25">
      <c r="A365" s="5">
        <v>44228</v>
      </c>
      <c r="B365">
        <v>3.4121000000000001</v>
      </c>
      <c r="C365">
        <v>3.85</v>
      </c>
      <c r="D365">
        <v>3.26</v>
      </c>
      <c r="E365">
        <v>3.6924000000000001</v>
      </c>
      <c r="F365">
        <v>547614.37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0.46576271186440721</v>
      </c>
      <c r="Q365">
        <f t="shared" si="970"/>
        <v>255058.35402711888</v>
      </c>
      <c r="R365">
        <f t="shared" si="971"/>
        <v>-3857111.9306020434</v>
      </c>
      <c r="S365">
        <f t="shared" si="972"/>
        <v>-38.571119306020435</v>
      </c>
      <c r="T365">
        <f t="shared" si="973"/>
        <v>-3.8571119306020432E-2</v>
      </c>
    </row>
    <row r="366" spans="1:20" x14ac:dyDescent="0.25">
      <c r="A366" s="5">
        <v>44227</v>
      </c>
      <c r="B366">
        <v>3.5478999999999998</v>
      </c>
      <c r="C366">
        <v>3.67</v>
      </c>
      <c r="D366">
        <v>3.2046999999999999</v>
      </c>
      <c r="E366">
        <v>3.4066000000000001</v>
      </c>
      <c r="F366">
        <v>526800.66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-0.1321727917472591</v>
      </c>
      <c r="Q366">
        <f t="shared" si="970"/>
        <v>-69628.713926498647</v>
      </c>
      <c r="R366">
        <f t="shared" si="971"/>
        <v>-4112170.2846291624</v>
      </c>
      <c r="S366">
        <f t="shared" si="972"/>
        <v>-41.121702846291626</v>
      </c>
      <c r="T366">
        <f t="shared" si="973"/>
        <v>-4.1121702846291623E-2</v>
      </c>
    </row>
    <row r="367" spans="1:20" x14ac:dyDescent="0.25">
      <c r="A367" s="5">
        <v>44226</v>
      </c>
      <c r="B367">
        <v>3.0497999999999998</v>
      </c>
      <c r="C367">
        <v>3.9</v>
      </c>
      <c r="D367">
        <v>2.9634</v>
      </c>
      <c r="E367">
        <v>3.5305</v>
      </c>
      <c r="F367">
        <v>1128711.9099999999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0.21097587016869532</v>
      </c>
      <c r="Q367">
        <f t="shared" si="970"/>
        <v>238130.97738202009</v>
      </c>
      <c r="R367">
        <f t="shared" si="971"/>
        <v>-4042541.5707026636</v>
      </c>
      <c r="S367">
        <f t="shared" si="972"/>
        <v>-40.425415707026637</v>
      </c>
      <c r="T367">
        <f t="shared" si="973"/>
        <v>-4.0425415707026638E-2</v>
      </c>
    </row>
    <row r="368" spans="1:20" x14ac:dyDescent="0.25">
      <c r="A368" s="5">
        <v>44225</v>
      </c>
      <c r="B368">
        <v>3.0337999999999998</v>
      </c>
      <c r="C368">
        <v>3.1665999999999999</v>
      </c>
      <c r="D368">
        <v>2.8273000000000001</v>
      </c>
      <c r="E368">
        <v>3.0497999999999998</v>
      </c>
      <c r="F368">
        <v>381615.42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0.31152372531682809</v>
      </c>
      <c r="Q368">
        <f t="shared" si="970"/>
        <v>118882.25727674598</v>
      </c>
      <c r="R368">
        <f t="shared" si="971"/>
        <v>-4280672.5480846837</v>
      </c>
      <c r="S368">
        <f t="shared" si="972"/>
        <v>-42.806725480846836</v>
      </c>
      <c r="T368">
        <f t="shared" si="973"/>
        <v>-4.2806725480846838E-2</v>
      </c>
    </row>
    <row r="369" spans="1:20" x14ac:dyDescent="0.25">
      <c r="A369" s="5">
        <v>44224</v>
      </c>
      <c r="B369">
        <v>2.7241</v>
      </c>
      <c r="C369">
        <v>3.21</v>
      </c>
      <c r="D369">
        <v>2.6452</v>
      </c>
      <c r="E369">
        <v>3.0337000000000001</v>
      </c>
      <c r="F369">
        <v>604060.73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0.37570821529745074</v>
      </c>
      <c r="Q369">
        <f t="shared" si="970"/>
        <v>226950.57879957525</v>
      </c>
      <c r="R369">
        <f t="shared" si="971"/>
        <v>-4399554.8053614302</v>
      </c>
      <c r="S369">
        <f t="shared" si="972"/>
        <v>-43.9955480536143</v>
      </c>
      <c r="T369">
        <f t="shared" si="973"/>
        <v>-4.3995548053614303E-2</v>
      </c>
    </row>
    <row r="370" spans="1:20" x14ac:dyDescent="0.25">
      <c r="A370" s="5">
        <v>44223</v>
      </c>
      <c r="B370">
        <v>2.9813000000000001</v>
      </c>
      <c r="C370">
        <v>3.05</v>
      </c>
      <c r="D370">
        <v>2.6480000000000001</v>
      </c>
      <c r="E370">
        <v>2.7239</v>
      </c>
      <c r="F370">
        <v>328205.67</v>
      </c>
      <c r="G370">
        <v>0</v>
      </c>
      <c r="L370" t="s">
        <v>8</v>
      </c>
      <c r="M370" t="s">
        <v>7</v>
      </c>
      <c r="N370" t="s">
        <v>7</v>
      </c>
      <c r="P370">
        <f t="shared" si="969"/>
        <v>-0.62238805970149291</v>
      </c>
      <c r="Q370">
        <f t="shared" si="970"/>
        <v>-204271.29013432848</v>
      </c>
      <c r="R370">
        <f t="shared" si="971"/>
        <v>-4626505.3841610057</v>
      </c>
      <c r="S370">
        <f t="shared" si="972"/>
        <v>-46.265053841610055</v>
      </c>
      <c r="T370">
        <f t="shared" si="973"/>
        <v>-4.6265053841610053E-2</v>
      </c>
    </row>
    <row r="371" spans="1:20" x14ac:dyDescent="0.25">
      <c r="A371" s="5">
        <v>44222</v>
      </c>
      <c r="B371">
        <v>2.7997999999999998</v>
      </c>
      <c r="C371">
        <v>3.0411999999999999</v>
      </c>
      <c r="D371">
        <v>2.61</v>
      </c>
      <c r="E371">
        <v>2.9811000000000001</v>
      </c>
      <c r="F371">
        <v>298061.58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0.72124304267161499</v>
      </c>
      <c r="Q371">
        <f t="shared" si="970"/>
        <v>214974.84086270901</v>
      </c>
      <c r="R371">
        <f t="shared" si="971"/>
        <v>-4422234.0940266773</v>
      </c>
      <c r="S371">
        <f t="shared" si="972"/>
        <v>-44.222340940266776</v>
      </c>
      <c r="T371">
        <f t="shared" si="973"/>
        <v>-4.4222340940266773E-2</v>
      </c>
    </row>
    <row r="372" spans="1:20" x14ac:dyDescent="0.25">
      <c r="A372" s="5">
        <v>44221</v>
      </c>
      <c r="B372">
        <v>2.9159000000000002</v>
      </c>
      <c r="C372">
        <v>3.09</v>
      </c>
      <c r="D372">
        <v>2.7416999999999998</v>
      </c>
      <c r="E372">
        <v>2.8</v>
      </c>
      <c r="F372">
        <v>356759.18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-0.66523112259546358</v>
      </c>
      <c r="Q372">
        <f t="shared" si="970"/>
        <v>-237327.30980763707</v>
      </c>
      <c r="R372">
        <f t="shared" si="971"/>
        <v>-4637208.9348893864</v>
      </c>
      <c r="S372">
        <f t="shared" si="972"/>
        <v>-46.372089348893866</v>
      </c>
      <c r="T372">
        <f t="shared" si="973"/>
        <v>-4.6372089348893863E-2</v>
      </c>
    </row>
    <row r="373" spans="1:20" x14ac:dyDescent="0.25">
      <c r="A373" s="5">
        <v>44220</v>
      </c>
      <c r="B373">
        <v>2.7286000000000001</v>
      </c>
      <c r="C373">
        <v>3.09</v>
      </c>
      <c r="D373">
        <v>2.7174</v>
      </c>
      <c r="E373">
        <v>2.9157000000000002</v>
      </c>
      <c r="F373">
        <v>312541.64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6.4412238325283089E-2</v>
      </c>
      <c r="Q373">
        <f t="shared" si="970"/>
        <v>20131.506602254831</v>
      </c>
      <c r="R373">
        <f t="shared" si="971"/>
        <v>-4399881.6250817496</v>
      </c>
      <c r="S373">
        <f t="shared" si="972"/>
        <v>-43.998816250817498</v>
      </c>
      <c r="T373">
        <f t="shared" si="973"/>
        <v>-4.3998816250817495E-2</v>
      </c>
    </row>
    <row r="374" spans="1:20" x14ac:dyDescent="0.25">
      <c r="A374" s="5">
        <v>44219</v>
      </c>
      <c r="B374">
        <v>2.7677</v>
      </c>
      <c r="C374">
        <v>2.87</v>
      </c>
      <c r="D374">
        <v>2.62</v>
      </c>
      <c r="E374">
        <v>2.7288000000000001</v>
      </c>
      <c r="F374">
        <v>308418.24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-0.12959999999999994</v>
      </c>
      <c r="Q374">
        <f t="shared" si="970"/>
        <v>-39971.003903999983</v>
      </c>
      <c r="R374">
        <f t="shared" si="971"/>
        <v>-4420013.1316840043</v>
      </c>
      <c r="S374">
        <f t="shared" si="972"/>
        <v>-44.200131316840043</v>
      </c>
      <c r="T374">
        <f t="shared" si="973"/>
        <v>-4.4200131316840044E-2</v>
      </c>
    </row>
    <row r="375" spans="1:20" x14ac:dyDescent="0.25">
      <c r="A375" s="5">
        <v>44218</v>
      </c>
      <c r="B375">
        <v>2.4609999999999999</v>
      </c>
      <c r="C375">
        <v>3.0312999999999999</v>
      </c>
      <c r="D375">
        <v>2.3199999999999998</v>
      </c>
      <c r="E375">
        <v>2.7673000000000001</v>
      </c>
      <c r="F375">
        <v>714402.16</v>
      </c>
      <c r="G375">
        <v>0</v>
      </c>
      <c r="L375" t="s">
        <v>7</v>
      </c>
      <c r="M375" t="s">
        <v>8</v>
      </c>
      <c r="N375" t="s">
        <v>7</v>
      </c>
      <c r="P375">
        <f t="shared" si="969"/>
        <v>0.25769717418810689</v>
      </c>
      <c r="Q375">
        <f t="shared" si="970"/>
        <v>184099.4178658798</v>
      </c>
      <c r="R375">
        <f t="shared" si="971"/>
        <v>-4380042.1277800044</v>
      </c>
      <c r="S375">
        <f t="shared" si="972"/>
        <v>-43.800421277800041</v>
      </c>
      <c r="T375">
        <f t="shared" si="973"/>
        <v>-4.3800421277800039E-2</v>
      </c>
    </row>
    <row r="376" spans="1:20" x14ac:dyDescent="0.25">
      <c r="A376" s="5">
        <v>44217</v>
      </c>
      <c r="B376">
        <v>2.9601999999999999</v>
      </c>
      <c r="C376">
        <v>3</v>
      </c>
      <c r="D376">
        <v>2.38</v>
      </c>
      <c r="E376">
        <v>2.4603999999999999</v>
      </c>
      <c r="F376">
        <v>366049.26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-0.74064516129032254</v>
      </c>
      <c r="Q376">
        <f t="shared" si="970"/>
        <v>-271112.6132129032</v>
      </c>
      <c r="R376">
        <f t="shared" si="971"/>
        <v>-4564141.5456458842</v>
      </c>
      <c r="S376">
        <f t="shared" si="972"/>
        <v>-45.641415456458844</v>
      </c>
      <c r="T376">
        <f t="shared" si="973"/>
        <v>-4.5641415456458848E-2</v>
      </c>
    </row>
    <row r="377" spans="1:20" x14ac:dyDescent="0.25">
      <c r="A377" s="5">
        <v>44216</v>
      </c>
      <c r="B377">
        <v>2.8818999999999999</v>
      </c>
      <c r="C377">
        <v>2.9603000000000002</v>
      </c>
      <c r="D377">
        <v>2.5583</v>
      </c>
      <c r="E377">
        <v>2.9380999999999999</v>
      </c>
      <c r="F377">
        <v>431180.59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0.88955223880596912</v>
      </c>
      <c r="Q377">
        <f t="shared" si="970"/>
        <v>383557.65916417871</v>
      </c>
      <c r="R377">
        <f t="shared" si="971"/>
        <v>-4293028.9324329812</v>
      </c>
      <c r="S377">
        <f t="shared" si="972"/>
        <v>-42.930289324329813</v>
      </c>
      <c r="T377">
        <f t="shared" si="973"/>
        <v>-4.2930289324329809E-2</v>
      </c>
    </row>
    <row r="378" spans="1:20" x14ac:dyDescent="0.25">
      <c r="A378" s="5">
        <v>44215</v>
      </c>
      <c r="B378">
        <v>3.0785999999999998</v>
      </c>
      <c r="C378">
        <v>3.29</v>
      </c>
      <c r="D378">
        <v>2.8418999999999999</v>
      </c>
      <c r="E378">
        <v>2.8822999999999999</v>
      </c>
      <c r="F378">
        <v>608228.85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-0.8196831064494533</v>
      </c>
      <c r="Q378">
        <f t="shared" si="970"/>
        <v>-498554.91320017853</v>
      </c>
      <c r="R378">
        <f t="shared" si="971"/>
        <v>-4676586.5915971603</v>
      </c>
      <c r="S378">
        <f t="shared" si="972"/>
        <v>-46.765865915971602</v>
      </c>
      <c r="T378">
        <f t="shared" si="973"/>
        <v>-4.6765865915971601E-2</v>
      </c>
    </row>
    <row r="379" spans="1:20" x14ac:dyDescent="0.25">
      <c r="A379" s="5">
        <v>44214</v>
      </c>
      <c r="B379">
        <v>2.8540999999999999</v>
      </c>
      <c r="C379">
        <v>3.13</v>
      </c>
      <c r="D379">
        <v>2.8340000000000001</v>
      </c>
      <c r="E379">
        <v>3.0655000000000001</v>
      </c>
      <c r="F379">
        <v>693516.28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0.56418918918919037</v>
      </c>
      <c r="Q379">
        <f t="shared" si="970"/>
        <v>391274.38770270353</v>
      </c>
      <c r="R379">
        <f t="shared" si="971"/>
        <v>-4178031.6783969821</v>
      </c>
      <c r="S379">
        <f t="shared" si="972"/>
        <v>-41.780316783969823</v>
      </c>
      <c r="T379">
        <f t="shared" si="973"/>
        <v>-4.1780316783969824E-2</v>
      </c>
    </row>
    <row r="380" spans="1:20" x14ac:dyDescent="0.25">
      <c r="A380" s="5">
        <v>44213</v>
      </c>
      <c r="B380">
        <v>2.6493000000000002</v>
      </c>
      <c r="C380">
        <v>2.996</v>
      </c>
      <c r="D380">
        <v>2.4243000000000001</v>
      </c>
      <c r="E380">
        <v>2.8403</v>
      </c>
      <c r="F380">
        <v>590883.92000000004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0.45530872835403191</v>
      </c>
      <c r="Q380">
        <f t="shared" si="970"/>
        <v>269034.60622004553</v>
      </c>
      <c r="R380">
        <f t="shared" si="971"/>
        <v>-4569306.0660996856</v>
      </c>
      <c r="S380">
        <f t="shared" si="972"/>
        <v>-45.693060660996856</v>
      </c>
      <c r="T380">
        <f t="shared" si="973"/>
        <v>-4.5693060660996855E-2</v>
      </c>
    </row>
    <row r="381" spans="1:20" x14ac:dyDescent="0.25">
      <c r="A381" s="5">
        <v>44212</v>
      </c>
      <c r="B381">
        <v>2.4443999999999999</v>
      </c>
      <c r="C381">
        <v>2.75</v>
      </c>
      <c r="D381">
        <v>2.3822000000000001</v>
      </c>
      <c r="E381">
        <v>2.6493000000000002</v>
      </c>
      <c r="F381">
        <v>388220.55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0.45241979336596078</v>
      </c>
      <c r="Q381">
        <f t="shared" si="970"/>
        <v>175638.66101141964</v>
      </c>
      <c r="R381">
        <f t="shared" si="971"/>
        <v>-4838340.6723197307</v>
      </c>
      <c r="S381">
        <f t="shared" si="972"/>
        <v>-48.383406723197311</v>
      </c>
      <c r="T381">
        <f t="shared" si="973"/>
        <v>-4.8383406723197311E-2</v>
      </c>
    </row>
    <row r="382" spans="1:20" x14ac:dyDescent="0.25">
      <c r="A382" s="5">
        <v>44211</v>
      </c>
      <c r="B382">
        <v>2.42</v>
      </c>
      <c r="C382">
        <v>2.5099999999999998</v>
      </c>
      <c r="D382">
        <v>2.2402000000000002</v>
      </c>
      <c r="E382">
        <v>2.4443000000000001</v>
      </c>
      <c r="F382">
        <v>236169.31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0.51297257227576165</v>
      </c>
      <c r="Q382">
        <f t="shared" si="970"/>
        <v>121148.37844329176</v>
      </c>
      <c r="R382">
        <f t="shared" si="971"/>
        <v>-5013979.33333115</v>
      </c>
      <c r="S382">
        <f t="shared" si="972"/>
        <v>-50.139793333311502</v>
      </c>
      <c r="T382">
        <f t="shared" si="973"/>
        <v>-5.0139793333311505E-2</v>
      </c>
    </row>
    <row r="383" spans="1:20" x14ac:dyDescent="0.25">
      <c r="A383" s="5">
        <v>44210</v>
      </c>
      <c r="B383">
        <v>2.3445999999999998</v>
      </c>
      <c r="C383">
        <v>2.5874000000000001</v>
      </c>
      <c r="D383">
        <v>2.2826</v>
      </c>
      <c r="E383">
        <v>2.4073000000000002</v>
      </c>
      <c r="F383">
        <v>231700.02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-0.18175853018372584</v>
      </c>
      <c r="Q383">
        <f t="shared" si="970"/>
        <v>-42113.455078739877</v>
      </c>
      <c r="R383">
        <f t="shared" si="971"/>
        <v>-5135127.7117744414</v>
      </c>
      <c r="S383">
        <f t="shared" si="972"/>
        <v>-51.351277117744417</v>
      </c>
      <c r="T383">
        <f t="shared" si="973"/>
        <v>-5.1351277117744419E-2</v>
      </c>
    </row>
    <row r="384" spans="1:20" x14ac:dyDescent="0.25">
      <c r="A384" s="5">
        <v>44209</v>
      </c>
      <c r="B384">
        <v>2.1511</v>
      </c>
      <c r="C384">
        <v>2.4289999999999998</v>
      </c>
      <c r="D384">
        <v>2.0196000000000001</v>
      </c>
      <c r="E384">
        <v>2.3226</v>
      </c>
      <c r="F384">
        <v>277667.53000000003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0.48021494870542308</v>
      </c>
      <c r="Q384">
        <f t="shared" si="970"/>
        <v>133340.09867611155</v>
      </c>
      <c r="R384">
        <f t="shared" si="971"/>
        <v>-5093014.2566957017</v>
      </c>
      <c r="S384">
        <f t="shared" si="972"/>
        <v>-50.930142566957016</v>
      </c>
      <c r="T384">
        <f t="shared" si="973"/>
        <v>-5.0930142566957014E-2</v>
      </c>
    </row>
    <row r="385" spans="1:20" x14ac:dyDescent="0.25">
      <c r="A385" s="5">
        <v>44208</v>
      </c>
      <c r="B385">
        <v>2.2334999999999998</v>
      </c>
      <c r="C385">
        <v>2.39</v>
      </c>
      <c r="D385">
        <v>2.0011000000000001</v>
      </c>
      <c r="E385">
        <v>2.1516999999999999</v>
      </c>
      <c r="F385">
        <v>200078.58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-0.22550784263306847</v>
      </c>
      <c r="Q385">
        <f t="shared" si="970"/>
        <v>-45119.288932887801</v>
      </c>
      <c r="R385">
        <f t="shared" si="971"/>
        <v>-5226354.3553718133</v>
      </c>
      <c r="S385">
        <f t="shared" si="972"/>
        <v>-52.263543553718129</v>
      </c>
      <c r="T385">
        <f t="shared" si="973"/>
        <v>-5.2263543553718129E-2</v>
      </c>
    </row>
    <row r="386" spans="1:20" x14ac:dyDescent="0.25">
      <c r="A386" s="5">
        <v>44207</v>
      </c>
      <c r="B386">
        <v>2.4876999999999998</v>
      </c>
      <c r="C386">
        <v>2.4876999999999998</v>
      </c>
      <c r="D386">
        <v>1.8540000000000001</v>
      </c>
      <c r="E386">
        <v>2.2458999999999998</v>
      </c>
      <c r="F386">
        <v>410172.32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0.23686286886539332</v>
      </c>
      <c r="Q386">
        <f t="shared" si="970"/>
        <v>97154.592444374153</v>
      </c>
      <c r="R386">
        <f t="shared" si="971"/>
        <v>-5181235.0664389255</v>
      </c>
      <c r="S386">
        <f t="shared" si="972"/>
        <v>-51.812350664389257</v>
      </c>
      <c r="T386">
        <f t="shared" si="973"/>
        <v>-5.1812350664389259E-2</v>
      </c>
    </row>
    <row r="387" spans="1:20" x14ac:dyDescent="0.25">
      <c r="A387" s="5">
        <v>44206</v>
      </c>
      <c r="B387">
        <v>2.5950000000000002</v>
      </c>
      <c r="C387">
        <v>2.87</v>
      </c>
      <c r="D387">
        <v>2.2353000000000001</v>
      </c>
      <c r="E387">
        <v>2.4876999999999998</v>
      </c>
      <c r="F387">
        <v>382939.14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-0.20466362060816223</v>
      </c>
      <c r="Q387">
        <f t="shared" si="970"/>
        <v>-78373.710864975932</v>
      </c>
      <c r="R387">
        <f t="shared" si="971"/>
        <v>-5278389.6588832997</v>
      </c>
      <c r="S387">
        <f t="shared" si="972"/>
        <v>-52.783896588832995</v>
      </c>
      <c r="T387">
        <f t="shared" si="973"/>
        <v>-5.2783896588832993E-2</v>
      </c>
    </row>
    <row r="388" spans="1:20" x14ac:dyDescent="0.25">
      <c r="A388" s="5">
        <v>44205</v>
      </c>
      <c r="B388">
        <v>2.4900000000000002</v>
      </c>
      <c r="C388">
        <v>2.6699000000000002</v>
      </c>
      <c r="D388">
        <v>2.3801999999999999</v>
      </c>
      <c r="E388">
        <v>2.6032999999999999</v>
      </c>
      <c r="F388">
        <v>263107.53999999998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0.5402140144977553</v>
      </c>
      <c r="Q388">
        <f t="shared" si="970"/>
        <v>142134.38042802873</v>
      </c>
      <c r="R388">
        <f t="shared" si="971"/>
        <v>-5200015.9480183236</v>
      </c>
      <c r="S388">
        <f t="shared" si="972"/>
        <v>-52.000159480183235</v>
      </c>
      <c r="T388">
        <f t="shared" si="973"/>
        <v>-5.2000159480183238E-2</v>
      </c>
    </row>
    <row r="389" spans="1:20" x14ac:dyDescent="0.25">
      <c r="A389" s="5">
        <v>44204</v>
      </c>
      <c r="B389">
        <v>2.5627</v>
      </c>
      <c r="C389">
        <v>2.64</v>
      </c>
      <c r="D389">
        <v>2.2999999999999998</v>
      </c>
      <c r="E389">
        <v>2.4900000000000002</v>
      </c>
      <c r="F389">
        <v>263164.42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0.11764705882353071</v>
      </c>
      <c r="Q389">
        <f t="shared" si="970"/>
        <v>30960.520000000342</v>
      </c>
      <c r="R389">
        <f t="shared" si="971"/>
        <v>-5342150.3284463519</v>
      </c>
      <c r="S389">
        <f t="shared" si="972"/>
        <v>-53.421503284463519</v>
      </c>
      <c r="T389">
        <f t="shared" si="973"/>
        <v>-5.3421503284463517E-2</v>
      </c>
    </row>
    <row r="390" spans="1:20" x14ac:dyDescent="0.25">
      <c r="A390" s="5">
        <v>44203</v>
      </c>
      <c r="B390">
        <v>2.6452</v>
      </c>
      <c r="C390">
        <v>2.7480000000000002</v>
      </c>
      <c r="D390">
        <v>2.3700999999999999</v>
      </c>
      <c r="E390">
        <v>2.56</v>
      </c>
      <c r="F390">
        <v>362014.74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5.0277851283408604E-3</v>
      </c>
      <c r="Q390">
        <f t="shared" ref="Q390:Q453" si="975">F390*P390</f>
        <v>1820.1323260121831</v>
      </c>
      <c r="R390">
        <f t="shared" ref="R390:R453" si="976">R391+Q390</f>
        <v>-5373110.8484463524</v>
      </c>
      <c r="S390">
        <f t="shared" ref="S390:S453" si="977">R390/100000</f>
        <v>-53.731108484463526</v>
      </c>
      <c r="T390">
        <f t="shared" ref="T390:T453" si="978">S390/1000</f>
        <v>-5.3731108484463524E-2</v>
      </c>
    </row>
    <row r="391" spans="1:20" x14ac:dyDescent="0.25">
      <c r="A391" s="5">
        <v>44202</v>
      </c>
      <c r="B391">
        <v>2.61</v>
      </c>
      <c r="C391">
        <v>2.7646000000000002</v>
      </c>
      <c r="D391">
        <v>2.5</v>
      </c>
      <c r="E391">
        <v>2.6440000000000001</v>
      </c>
      <c r="F391">
        <v>408742.05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8.8435374149660143E-2</v>
      </c>
      <c r="Q391">
        <f t="shared" si="975"/>
        <v>36147.256122449093</v>
      </c>
      <c r="R391">
        <f t="shared" si="976"/>
        <v>-5374930.9807723649</v>
      </c>
      <c r="S391">
        <f t="shared" si="977"/>
        <v>-53.749309807723648</v>
      </c>
      <c r="T391">
        <f t="shared" si="978"/>
        <v>-5.3749309807723647E-2</v>
      </c>
    </row>
    <row r="392" spans="1:20" x14ac:dyDescent="0.25">
      <c r="A392" s="5">
        <v>44201</v>
      </c>
      <c r="B392">
        <v>2.4081000000000001</v>
      </c>
      <c r="C392">
        <v>2.68</v>
      </c>
      <c r="D392">
        <v>2.3123999999999998</v>
      </c>
      <c r="E392">
        <v>2.61</v>
      </c>
      <c r="F392">
        <v>444309.12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0.61915125136017291</v>
      </c>
      <c r="Q392">
        <f t="shared" si="975"/>
        <v>275094.54763873725</v>
      </c>
      <c r="R392">
        <f t="shared" si="976"/>
        <v>-5411078.2368948143</v>
      </c>
      <c r="S392">
        <f t="shared" si="977"/>
        <v>-54.110782368948144</v>
      </c>
      <c r="T392">
        <f t="shared" si="978"/>
        <v>-5.4110782368948146E-2</v>
      </c>
    </row>
    <row r="393" spans="1:20" x14ac:dyDescent="0.25">
      <c r="A393" s="5">
        <v>44200</v>
      </c>
      <c r="B393">
        <v>2.4651000000000001</v>
      </c>
      <c r="C393">
        <v>2.69</v>
      </c>
      <c r="D393">
        <v>2.1</v>
      </c>
      <c r="E393">
        <v>2.3935</v>
      </c>
      <c r="F393">
        <v>605444.81000000006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-5.0847457627120583E-3</v>
      </c>
      <c r="Q393">
        <f t="shared" si="975"/>
        <v>-3078.5329322035077</v>
      </c>
      <c r="R393">
        <f t="shared" si="976"/>
        <v>-5686172.7845335519</v>
      </c>
      <c r="S393">
        <f t="shared" si="977"/>
        <v>-56.861727845335515</v>
      </c>
      <c r="T393">
        <f t="shared" si="978"/>
        <v>-5.6861727845335518E-2</v>
      </c>
    </row>
    <row r="394" spans="1:20" x14ac:dyDescent="0.25">
      <c r="A394" s="5">
        <v>44199</v>
      </c>
      <c r="B394">
        <v>2.1387</v>
      </c>
      <c r="C394">
        <v>2.5329999999999999</v>
      </c>
      <c r="D394">
        <v>2.1000999999999999</v>
      </c>
      <c r="E394">
        <v>2.4649999999999999</v>
      </c>
      <c r="F394">
        <v>389181.92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0.68583968583968558</v>
      </c>
      <c r="Q394">
        <f t="shared" si="975"/>
        <v>266916.40574728564</v>
      </c>
      <c r="R394">
        <f t="shared" si="976"/>
        <v>-5683094.2516013486</v>
      </c>
      <c r="S394">
        <f t="shared" si="977"/>
        <v>-56.830942516013486</v>
      </c>
      <c r="T394">
        <f t="shared" si="978"/>
        <v>-5.6830942516013484E-2</v>
      </c>
    </row>
    <row r="395" spans="1:20" x14ac:dyDescent="0.25">
      <c r="A395" s="5">
        <v>44198</v>
      </c>
      <c r="B395">
        <v>2.1164000000000001</v>
      </c>
      <c r="C395">
        <v>2.23</v>
      </c>
      <c r="D395">
        <v>2.0741999999999998</v>
      </c>
      <c r="E395">
        <v>2.1398000000000001</v>
      </c>
      <c r="F395">
        <v>243300.39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-0.15789473684210195</v>
      </c>
      <c r="Q395">
        <f t="shared" si="975"/>
        <v>-38415.851052630773</v>
      </c>
      <c r="R395">
        <f t="shared" si="976"/>
        <v>-5950010.6573486347</v>
      </c>
      <c r="S395">
        <f t="shared" si="977"/>
        <v>-59.500106573486349</v>
      </c>
      <c r="T395">
        <f t="shared" si="978"/>
        <v>-5.9500106573486346E-2</v>
      </c>
    </row>
    <row r="396" spans="1:20" x14ac:dyDescent="0.25">
      <c r="A396" s="5">
        <v>44197</v>
      </c>
      <c r="B396">
        <v>2.1476999999999999</v>
      </c>
      <c r="C396">
        <v>2.2999999999999998</v>
      </c>
      <c r="D396">
        <v>2.0499999999999998</v>
      </c>
      <c r="E396">
        <v>2.1048</v>
      </c>
      <c r="F396">
        <v>222122.44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-0.56159999999999854</v>
      </c>
      <c r="Q396">
        <f t="shared" si="975"/>
        <v>-124743.96230399968</v>
      </c>
      <c r="R396">
        <f t="shared" si="976"/>
        <v>-5911594.806296004</v>
      </c>
      <c r="S396">
        <f t="shared" si="977"/>
        <v>-59.115948062960037</v>
      </c>
      <c r="T396">
        <f t="shared" si="978"/>
        <v>-5.9115948062960035E-2</v>
      </c>
    </row>
    <row r="397" spans="1:20" x14ac:dyDescent="0.25">
      <c r="A397" s="5">
        <v>44196</v>
      </c>
      <c r="B397">
        <v>2.2059000000000002</v>
      </c>
      <c r="C397">
        <v>2.2999999999999998</v>
      </c>
      <c r="D397">
        <v>2.11</v>
      </c>
      <c r="E397">
        <v>2.1280000000000001</v>
      </c>
      <c r="F397">
        <v>108611.56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-0.8105263157894711</v>
      </c>
      <c r="Q397">
        <f t="shared" si="975"/>
        <v>-88032.527578947091</v>
      </c>
      <c r="R397">
        <f t="shared" si="976"/>
        <v>-5786850.8439920042</v>
      </c>
      <c r="S397">
        <f t="shared" si="977"/>
        <v>-57.868508439920042</v>
      </c>
      <c r="T397">
        <f t="shared" si="978"/>
        <v>-5.7868508439920044E-2</v>
      </c>
    </row>
    <row r="398" spans="1:20" x14ac:dyDescent="0.25">
      <c r="A398" s="5">
        <v>44195</v>
      </c>
      <c r="B398">
        <v>2.2214</v>
      </c>
      <c r="C398">
        <v>2.2999999999999998</v>
      </c>
      <c r="D398">
        <v>2.121</v>
      </c>
      <c r="E398">
        <v>2.2000000000000002</v>
      </c>
      <c r="F398">
        <v>195126.44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-0.11731843575418706</v>
      </c>
      <c r="Q398">
        <f t="shared" si="975"/>
        <v>-22891.928715083235</v>
      </c>
      <c r="R398">
        <f t="shared" si="976"/>
        <v>-5698818.316413057</v>
      </c>
      <c r="S398">
        <f t="shared" si="977"/>
        <v>-56.988183164130568</v>
      </c>
      <c r="T398">
        <f t="shared" si="978"/>
        <v>-5.6988183164130568E-2</v>
      </c>
    </row>
    <row r="399" spans="1:20" x14ac:dyDescent="0.25">
      <c r="A399" s="5">
        <v>44194</v>
      </c>
      <c r="B399">
        <v>2.2265999999999999</v>
      </c>
      <c r="C399">
        <v>2.2999999999999998</v>
      </c>
      <c r="D399">
        <v>2.1233</v>
      </c>
      <c r="E399">
        <v>2.2343999999999999</v>
      </c>
      <c r="F399">
        <v>171654.3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0.25749858517260971</v>
      </c>
      <c r="Q399">
        <f t="shared" si="975"/>
        <v>44200.739388794696</v>
      </c>
      <c r="R399">
        <f t="shared" si="976"/>
        <v>-5675926.3876979742</v>
      </c>
      <c r="S399">
        <f t="shared" si="977"/>
        <v>-56.759263876979745</v>
      </c>
      <c r="T399">
        <f t="shared" si="978"/>
        <v>-5.6759263876979743E-2</v>
      </c>
    </row>
    <row r="400" spans="1:20" x14ac:dyDescent="0.25">
      <c r="A400" s="5">
        <v>44193</v>
      </c>
      <c r="B400">
        <v>2.194</v>
      </c>
      <c r="C400">
        <v>2.41</v>
      </c>
      <c r="D400">
        <v>2.15</v>
      </c>
      <c r="E400">
        <v>2.226</v>
      </c>
      <c r="F400">
        <v>253111.87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-0.41538461538461541</v>
      </c>
      <c r="Q400">
        <f t="shared" si="975"/>
        <v>-105138.77676923077</v>
      </c>
      <c r="R400">
        <f t="shared" si="976"/>
        <v>-5720127.1270867689</v>
      </c>
      <c r="S400">
        <f t="shared" si="977"/>
        <v>-57.201271270867686</v>
      </c>
      <c r="T400">
        <f t="shared" si="978"/>
        <v>-5.7201271270867687E-2</v>
      </c>
    </row>
    <row r="401" spans="1:20" x14ac:dyDescent="0.25">
      <c r="A401" s="5">
        <v>44192</v>
      </c>
      <c r="B401">
        <v>2.1543000000000001</v>
      </c>
      <c r="C401">
        <v>2.4</v>
      </c>
      <c r="D401">
        <v>2</v>
      </c>
      <c r="E401">
        <v>2.1941999999999999</v>
      </c>
      <c r="F401">
        <v>284959.09999999998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-2.9000000000000144E-2</v>
      </c>
      <c r="Q401">
        <f t="shared" si="975"/>
        <v>-8263.813900000041</v>
      </c>
      <c r="R401">
        <f t="shared" si="976"/>
        <v>-5614988.3503175378</v>
      </c>
      <c r="S401">
        <f t="shared" si="977"/>
        <v>-56.149883503175381</v>
      </c>
      <c r="T401">
        <f t="shared" si="978"/>
        <v>-5.6149883503175381E-2</v>
      </c>
    </row>
    <row r="402" spans="1:20" x14ac:dyDescent="0.25">
      <c r="A402" s="5">
        <v>44191</v>
      </c>
      <c r="B402">
        <v>2.2618</v>
      </c>
      <c r="C402">
        <v>2.3553000000000002</v>
      </c>
      <c r="D402">
        <v>2.1132</v>
      </c>
      <c r="E402">
        <v>2.1543000000000001</v>
      </c>
      <c r="F402">
        <v>181352.45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-0.66047087980173402</v>
      </c>
      <c r="Q402">
        <f t="shared" si="975"/>
        <v>-119778.01220569998</v>
      </c>
      <c r="R402">
        <f t="shared" si="976"/>
        <v>-5606724.5364175374</v>
      </c>
      <c r="S402">
        <f t="shared" si="977"/>
        <v>-56.067245364175371</v>
      </c>
      <c r="T402">
        <f t="shared" si="978"/>
        <v>-5.6067245364175372E-2</v>
      </c>
    </row>
    <row r="403" spans="1:20" x14ac:dyDescent="0.25">
      <c r="A403" s="5">
        <v>44190</v>
      </c>
      <c r="B403">
        <v>2.3149999999999999</v>
      </c>
      <c r="C403">
        <v>2.3887999999999998</v>
      </c>
      <c r="D403">
        <v>2.2307000000000001</v>
      </c>
      <c r="E403">
        <v>2.2622</v>
      </c>
      <c r="F403">
        <v>153292.97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-0.60151802656546582</v>
      </c>
      <c r="Q403">
        <f t="shared" si="975"/>
        <v>-92208.48480075915</v>
      </c>
      <c r="R403">
        <f t="shared" si="976"/>
        <v>-5486946.524211837</v>
      </c>
      <c r="S403">
        <f t="shared" si="977"/>
        <v>-54.869465242118373</v>
      </c>
      <c r="T403">
        <f t="shared" si="978"/>
        <v>-5.4869465242118373E-2</v>
      </c>
    </row>
    <row r="404" spans="1:20" x14ac:dyDescent="0.25">
      <c r="A404" s="5">
        <v>44189</v>
      </c>
      <c r="B404">
        <v>2.2339000000000002</v>
      </c>
      <c r="C404">
        <v>2.4198</v>
      </c>
      <c r="D404">
        <v>2.1208</v>
      </c>
      <c r="E404">
        <v>2.3201999999999998</v>
      </c>
      <c r="F404">
        <v>297757.53000000003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0.3337792642140458</v>
      </c>
      <c r="Q404">
        <f t="shared" si="975"/>
        <v>99385.289277591684</v>
      </c>
      <c r="R404">
        <f t="shared" si="976"/>
        <v>-5394738.0394110782</v>
      </c>
      <c r="S404">
        <f t="shared" si="977"/>
        <v>-53.94738039411078</v>
      </c>
      <c r="T404">
        <f t="shared" si="978"/>
        <v>-5.3947380394110782E-2</v>
      </c>
    </row>
    <row r="405" spans="1:20" x14ac:dyDescent="0.25">
      <c r="A405" s="5">
        <v>44188</v>
      </c>
      <c r="B405">
        <v>2.4510999999999998</v>
      </c>
      <c r="C405">
        <v>2.4702000000000002</v>
      </c>
      <c r="D405">
        <v>1.8</v>
      </c>
      <c r="E405">
        <v>2.234</v>
      </c>
      <c r="F405">
        <v>445077.07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0.29513578036407001</v>
      </c>
      <c r="Q405">
        <f t="shared" si="975"/>
        <v>131358.1683766038</v>
      </c>
      <c r="R405">
        <f t="shared" si="976"/>
        <v>-5494123.3286886699</v>
      </c>
      <c r="S405">
        <f t="shared" si="977"/>
        <v>-54.9412332868867</v>
      </c>
      <c r="T405">
        <f t="shared" si="978"/>
        <v>-5.4941233286886701E-2</v>
      </c>
    </row>
    <row r="406" spans="1:20" x14ac:dyDescent="0.25">
      <c r="A406" s="5">
        <v>44187</v>
      </c>
      <c r="B406">
        <v>2.2999999999999998</v>
      </c>
      <c r="C406">
        <v>2.59</v>
      </c>
      <c r="D406">
        <v>2.1709999999999998</v>
      </c>
      <c r="E406">
        <v>2.4340999999999999</v>
      </c>
      <c r="F406">
        <v>618221.49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0.25584725536992881</v>
      </c>
      <c r="Q406">
        <f t="shared" si="975"/>
        <v>158170.27142720789</v>
      </c>
      <c r="R406">
        <f t="shared" si="976"/>
        <v>-5625481.497065274</v>
      </c>
      <c r="S406">
        <f t="shared" si="977"/>
        <v>-56.254814970652738</v>
      </c>
      <c r="T406">
        <f t="shared" si="978"/>
        <v>-5.6254814970652739E-2</v>
      </c>
    </row>
    <row r="407" spans="1:20" x14ac:dyDescent="0.25">
      <c r="A407" s="5">
        <v>44186</v>
      </c>
      <c r="B407">
        <v>2.2538</v>
      </c>
      <c r="C407">
        <v>2.4491999999999998</v>
      </c>
      <c r="D407">
        <v>2.0529000000000002</v>
      </c>
      <c r="E407">
        <v>2.2999999999999998</v>
      </c>
      <c r="F407">
        <v>555502.91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0.24703507443855599</v>
      </c>
      <c r="Q407">
        <f t="shared" si="975"/>
        <v>137228.70272268448</v>
      </c>
      <c r="R407">
        <f t="shared" si="976"/>
        <v>-5783651.7684924817</v>
      </c>
      <c r="S407">
        <f t="shared" si="977"/>
        <v>-57.836517684924814</v>
      </c>
      <c r="T407">
        <f t="shared" si="978"/>
        <v>-5.7836517684924815E-2</v>
      </c>
    </row>
    <row r="408" spans="1:20" x14ac:dyDescent="0.25">
      <c r="A408" s="5">
        <v>44185</v>
      </c>
      <c r="B408">
        <v>2.4910999999999999</v>
      </c>
      <c r="C408">
        <v>2.6059000000000001</v>
      </c>
      <c r="D408">
        <v>2.1711</v>
      </c>
      <c r="E408">
        <v>2.2536999999999998</v>
      </c>
      <c r="F408">
        <v>490648.86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-0.6200551977920894</v>
      </c>
      <c r="Q408">
        <f t="shared" si="975"/>
        <v>-304229.37593376316</v>
      </c>
      <c r="R408">
        <f t="shared" si="976"/>
        <v>-5920880.4712151662</v>
      </c>
      <c r="S408">
        <f t="shared" si="977"/>
        <v>-59.208804712151661</v>
      </c>
      <c r="T408">
        <f t="shared" si="978"/>
        <v>-5.9208804712151661E-2</v>
      </c>
    </row>
    <row r="409" spans="1:20" x14ac:dyDescent="0.25">
      <c r="A409" s="5">
        <v>44184</v>
      </c>
      <c r="B409">
        <v>2.5489000000000002</v>
      </c>
      <c r="C409">
        <v>2.69</v>
      </c>
      <c r="D409">
        <v>2.4900000000000002</v>
      </c>
      <c r="E409">
        <v>2.4914999999999998</v>
      </c>
      <c r="F409">
        <v>397663.16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-0.98500000000000387</v>
      </c>
      <c r="Q409">
        <f t="shared" si="975"/>
        <v>-391698.21260000154</v>
      </c>
      <c r="R409">
        <f t="shared" si="976"/>
        <v>-5616651.0952814026</v>
      </c>
      <c r="S409">
        <f t="shared" si="977"/>
        <v>-56.166510952814029</v>
      </c>
      <c r="T409">
        <f t="shared" si="978"/>
        <v>-5.6166510952814032E-2</v>
      </c>
    </row>
    <row r="410" spans="1:20" x14ac:dyDescent="0.25">
      <c r="A410" s="5">
        <v>44183</v>
      </c>
      <c r="B410">
        <v>2.5461999999999998</v>
      </c>
      <c r="C410">
        <v>2.6999</v>
      </c>
      <c r="D410">
        <v>2.4655</v>
      </c>
      <c r="E410">
        <v>2.5579999999999998</v>
      </c>
      <c r="F410">
        <v>484953.31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-0.21075085324232229</v>
      </c>
      <c r="Q410">
        <f t="shared" si="975"/>
        <v>-102204.32386518843</v>
      </c>
      <c r="R410">
        <f t="shared" si="976"/>
        <v>-5224952.8826814014</v>
      </c>
      <c r="S410">
        <f t="shared" si="977"/>
        <v>-52.249528826814014</v>
      </c>
      <c r="T410">
        <f t="shared" si="978"/>
        <v>-5.2249528826814017E-2</v>
      </c>
    </row>
    <row r="411" spans="1:20" x14ac:dyDescent="0.25">
      <c r="A411" s="5">
        <v>44182</v>
      </c>
      <c r="B411">
        <v>2.3757999999999999</v>
      </c>
      <c r="C411">
        <v>2.79</v>
      </c>
      <c r="D411">
        <v>2.351</v>
      </c>
      <c r="E411">
        <v>2.5463</v>
      </c>
      <c r="F411">
        <v>855897.31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-0.11025056947608199</v>
      </c>
      <c r="Q411">
        <f t="shared" si="975"/>
        <v>-94363.165840546688</v>
      </c>
      <c r="R411">
        <f t="shared" si="976"/>
        <v>-5122748.5588162132</v>
      </c>
      <c r="S411">
        <f t="shared" si="977"/>
        <v>-51.227485588162132</v>
      </c>
      <c r="T411">
        <f t="shared" si="978"/>
        <v>-5.1227485588162133E-2</v>
      </c>
    </row>
    <row r="412" spans="1:20" x14ac:dyDescent="0.25">
      <c r="A412" s="5">
        <v>44181</v>
      </c>
      <c r="B412">
        <v>2.5714999999999999</v>
      </c>
      <c r="C412">
        <v>2.5908000000000002</v>
      </c>
      <c r="D412">
        <v>2.2999999999999998</v>
      </c>
      <c r="E412">
        <v>2.3757999999999999</v>
      </c>
      <c r="F412">
        <v>926500.45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-0.47867950481430543</v>
      </c>
      <c r="Q412">
        <f t="shared" si="975"/>
        <v>-443496.77661623113</v>
      </c>
      <c r="R412">
        <f t="shared" si="976"/>
        <v>-5028385.3929756666</v>
      </c>
      <c r="S412">
        <f t="shared" si="977"/>
        <v>-50.283853929756667</v>
      </c>
      <c r="T412">
        <f t="shared" si="978"/>
        <v>-5.0283853929756664E-2</v>
      </c>
    </row>
    <row r="413" spans="1:20" x14ac:dyDescent="0.25">
      <c r="A413" s="5">
        <v>44180</v>
      </c>
      <c r="B413">
        <v>2.8132999999999999</v>
      </c>
      <c r="C413">
        <v>2.9872000000000001</v>
      </c>
      <c r="D413">
        <v>2.52</v>
      </c>
      <c r="E413">
        <v>2.5823999999999998</v>
      </c>
      <c r="F413">
        <v>1277976.71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-0.73287671232876805</v>
      </c>
      <c r="Q413">
        <f t="shared" si="975"/>
        <v>-936599.36965753546</v>
      </c>
      <c r="R413">
        <f t="shared" si="976"/>
        <v>-4584888.616359435</v>
      </c>
      <c r="S413">
        <f t="shared" si="977"/>
        <v>-45.848886163594351</v>
      </c>
      <c r="T413">
        <f t="shared" si="978"/>
        <v>-4.5848886163594352E-2</v>
      </c>
    </row>
    <row r="414" spans="1:20" x14ac:dyDescent="0.25">
      <c r="A414" s="5">
        <v>44179</v>
      </c>
      <c r="B414">
        <v>2.855</v>
      </c>
      <c r="C414">
        <v>2.92</v>
      </c>
      <c r="D414">
        <v>2.7326000000000001</v>
      </c>
      <c r="E414">
        <v>2.8153999999999999</v>
      </c>
      <c r="F414">
        <v>400727.26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-0.11632870864461199</v>
      </c>
      <c r="Q414">
        <f t="shared" si="975"/>
        <v>-46616.084674493679</v>
      </c>
      <c r="R414">
        <f t="shared" si="976"/>
        <v>-3648289.2467018995</v>
      </c>
      <c r="S414">
        <f t="shared" si="977"/>
        <v>-36.482892467018992</v>
      </c>
      <c r="T414">
        <f t="shared" si="978"/>
        <v>-3.6482892467018989E-2</v>
      </c>
    </row>
    <row r="415" spans="1:20" x14ac:dyDescent="0.25">
      <c r="A415" s="5">
        <v>44178</v>
      </c>
      <c r="B415">
        <v>3.0407000000000002</v>
      </c>
      <c r="C415">
        <v>3.1</v>
      </c>
      <c r="D415">
        <v>2.8220000000000001</v>
      </c>
      <c r="E415">
        <v>2.8549000000000002</v>
      </c>
      <c r="F415">
        <v>335819.15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-0.7633093525179846</v>
      </c>
      <c r="Q415">
        <f t="shared" si="975"/>
        <v>-256333.89794963997</v>
      </c>
      <c r="R415">
        <f t="shared" si="976"/>
        <v>-3601673.1620274056</v>
      </c>
      <c r="S415">
        <f t="shared" si="977"/>
        <v>-36.016731620274058</v>
      </c>
      <c r="T415">
        <f t="shared" si="978"/>
        <v>-3.6016731620274058E-2</v>
      </c>
    </row>
    <row r="416" spans="1:20" x14ac:dyDescent="0.25">
      <c r="A416" s="5">
        <v>44177</v>
      </c>
      <c r="B416">
        <v>2.6657000000000002</v>
      </c>
      <c r="C416">
        <v>3.2360000000000002</v>
      </c>
      <c r="D416">
        <v>2.6</v>
      </c>
      <c r="E416">
        <v>3.0676000000000001</v>
      </c>
      <c r="F416">
        <v>588030.21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0.47044025157232683</v>
      </c>
      <c r="Q416">
        <f t="shared" si="975"/>
        <v>276633.07992452814</v>
      </c>
      <c r="R416">
        <f t="shared" si="976"/>
        <v>-3345339.2640777654</v>
      </c>
      <c r="S416">
        <f t="shared" si="977"/>
        <v>-33.453392640777651</v>
      </c>
      <c r="T416">
        <f t="shared" si="978"/>
        <v>-3.3453392640777652E-2</v>
      </c>
    </row>
    <row r="417" spans="1:20" x14ac:dyDescent="0.25">
      <c r="A417" s="5">
        <v>44176</v>
      </c>
      <c r="B417">
        <v>3.0007000000000001</v>
      </c>
      <c r="C417">
        <v>3.0007000000000001</v>
      </c>
      <c r="D417">
        <v>2.5543999999999998</v>
      </c>
      <c r="E417">
        <v>2.6657000000000002</v>
      </c>
      <c r="F417">
        <v>483976.24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-0.50123235491821505</v>
      </c>
      <c r="Q417">
        <f t="shared" si="975"/>
        <v>-242584.55049966322</v>
      </c>
      <c r="R417">
        <f t="shared" si="976"/>
        <v>-3621972.3440022934</v>
      </c>
      <c r="S417">
        <f t="shared" si="977"/>
        <v>-36.219723440022932</v>
      </c>
      <c r="T417">
        <f t="shared" si="978"/>
        <v>-3.621972344002293E-2</v>
      </c>
    </row>
    <row r="418" spans="1:20" x14ac:dyDescent="0.25">
      <c r="A418" s="5">
        <v>44175</v>
      </c>
      <c r="B418">
        <v>3.3022</v>
      </c>
      <c r="C418">
        <v>3.3033999999999999</v>
      </c>
      <c r="D418">
        <v>2.8936999999999999</v>
      </c>
      <c r="E418">
        <v>2.9975999999999998</v>
      </c>
      <c r="F418">
        <v>451488.11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-0.49279960947034468</v>
      </c>
      <c r="Q418">
        <f t="shared" si="975"/>
        <v>-222493.16428850402</v>
      </c>
      <c r="R418">
        <f t="shared" si="976"/>
        <v>-3379387.7935026302</v>
      </c>
      <c r="S418">
        <f t="shared" si="977"/>
        <v>-33.793877935026302</v>
      </c>
      <c r="T418">
        <f t="shared" si="978"/>
        <v>-3.3793877935026299E-2</v>
      </c>
    </row>
    <row r="419" spans="1:20" x14ac:dyDescent="0.25">
      <c r="A419" s="5">
        <v>44174</v>
      </c>
      <c r="B419">
        <v>3.1711999999999998</v>
      </c>
      <c r="C419">
        <v>3.5097999999999998</v>
      </c>
      <c r="D419">
        <v>2.88</v>
      </c>
      <c r="E419">
        <v>3.3022</v>
      </c>
      <c r="F419">
        <v>795280.97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0.34074309304541184</v>
      </c>
      <c r="Q419">
        <f t="shared" si="975"/>
        <v>270986.49755795539</v>
      </c>
      <c r="R419">
        <f t="shared" si="976"/>
        <v>-3156894.6292141262</v>
      </c>
      <c r="S419">
        <f t="shared" si="977"/>
        <v>-31.568946292141263</v>
      </c>
      <c r="T419">
        <f t="shared" si="978"/>
        <v>-3.1568946292141263E-2</v>
      </c>
    </row>
    <row r="420" spans="1:20" x14ac:dyDescent="0.25">
      <c r="A420" s="5">
        <v>44173</v>
      </c>
      <c r="B420">
        <v>3.9253999999999998</v>
      </c>
      <c r="C420">
        <v>3.94</v>
      </c>
      <c r="D420">
        <v>3.0346000000000002</v>
      </c>
      <c r="E420">
        <v>3.1791</v>
      </c>
      <c r="F420">
        <v>1165887.51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-0.68080406450187791</v>
      </c>
      <c r="Q420">
        <f t="shared" si="975"/>
        <v>-793740.95555997384</v>
      </c>
      <c r="R420">
        <f t="shared" si="976"/>
        <v>-3427881.1267720815</v>
      </c>
      <c r="S420">
        <f t="shared" si="977"/>
        <v>-34.278811267720812</v>
      </c>
      <c r="T420">
        <f t="shared" si="978"/>
        <v>-3.427881126772081E-2</v>
      </c>
    </row>
    <row r="421" spans="1:20" x14ac:dyDescent="0.25">
      <c r="A421" s="5">
        <v>44172</v>
      </c>
      <c r="B421">
        <v>3.7541000000000002</v>
      </c>
      <c r="C421">
        <v>4.25</v>
      </c>
      <c r="D421">
        <v>3.6656</v>
      </c>
      <c r="E421">
        <v>3.9138000000000002</v>
      </c>
      <c r="F421">
        <v>1455118.51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-0.15058179329226493</v>
      </c>
      <c r="Q421">
        <f t="shared" si="975"/>
        <v>-219114.35468856854</v>
      </c>
      <c r="R421">
        <f t="shared" si="976"/>
        <v>-2634140.1712121074</v>
      </c>
      <c r="S421">
        <f t="shared" si="977"/>
        <v>-26.341401712121073</v>
      </c>
      <c r="T421">
        <f t="shared" si="978"/>
        <v>-2.6341401712121074E-2</v>
      </c>
    </row>
    <row r="422" spans="1:20" x14ac:dyDescent="0.25">
      <c r="A422" s="5">
        <v>44171</v>
      </c>
      <c r="B422">
        <v>3.2492000000000001</v>
      </c>
      <c r="C422">
        <v>3.99</v>
      </c>
      <c r="D422">
        <v>3.2321</v>
      </c>
      <c r="E422">
        <v>3.7401</v>
      </c>
      <c r="F422">
        <v>1332318.76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0.34054624620662316</v>
      </c>
      <c r="Q422">
        <f t="shared" si="975"/>
        <v>453716.15246866288</v>
      </c>
      <c r="R422">
        <f t="shared" si="976"/>
        <v>-2415025.8165235389</v>
      </c>
      <c r="S422">
        <f t="shared" si="977"/>
        <v>-24.150258165235389</v>
      </c>
      <c r="T422">
        <f t="shared" si="978"/>
        <v>-2.4150258165235389E-2</v>
      </c>
    </row>
    <row r="423" spans="1:20" x14ac:dyDescent="0.25">
      <c r="A423" s="5">
        <v>44170</v>
      </c>
      <c r="B423">
        <v>2.9558</v>
      </c>
      <c r="C423">
        <v>3.35</v>
      </c>
      <c r="D423">
        <v>2.8813</v>
      </c>
      <c r="E423">
        <v>3.2492000000000001</v>
      </c>
      <c r="F423">
        <v>340463.48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0.56987411990612347</v>
      </c>
      <c r="Q423">
        <f t="shared" si="975"/>
        <v>194021.32602517607</v>
      </c>
      <c r="R423">
        <f t="shared" si="976"/>
        <v>-2868741.9689922016</v>
      </c>
      <c r="S423">
        <f t="shared" si="977"/>
        <v>-28.687419689922017</v>
      </c>
      <c r="T423">
        <f t="shared" si="978"/>
        <v>-2.8687419689922018E-2</v>
      </c>
    </row>
    <row r="424" spans="1:20" x14ac:dyDescent="0.25">
      <c r="A424" s="5">
        <v>44169</v>
      </c>
      <c r="B424">
        <v>3.4906999999999999</v>
      </c>
      <c r="C424">
        <v>3.62</v>
      </c>
      <c r="D424">
        <v>2.9281000000000001</v>
      </c>
      <c r="E424">
        <v>2.9561000000000002</v>
      </c>
      <c r="F424">
        <v>682328.21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-0.91906344847521315</v>
      </c>
      <c r="Q424">
        <f t="shared" si="975"/>
        <v>-627102.91767451935</v>
      </c>
      <c r="R424">
        <f t="shared" si="976"/>
        <v>-3062763.2950173775</v>
      </c>
      <c r="S424">
        <f t="shared" si="977"/>
        <v>-30.627632950173776</v>
      </c>
      <c r="T424">
        <f t="shared" si="978"/>
        <v>-3.0627632950173775E-2</v>
      </c>
    </row>
    <row r="425" spans="1:20" x14ac:dyDescent="0.25">
      <c r="A425" s="5">
        <v>44168</v>
      </c>
      <c r="B425">
        <v>2.9735999999999998</v>
      </c>
      <c r="C425">
        <v>3.57</v>
      </c>
      <c r="D425">
        <v>2.9</v>
      </c>
      <c r="E425">
        <v>3.4903</v>
      </c>
      <c r="F425">
        <v>860391.96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0.76208955223880626</v>
      </c>
      <c r="Q425">
        <f t="shared" si="975"/>
        <v>655695.72354626888</v>
      </c>
      <c r="R425">
        <f t="shared" si="976"/>
        <v>-2435660.3773428584</v>
      </c>
      <c r="S425">
        <f t="shared" si="977"/>
        <v>-24.356603773428585</v>
      </c>
      <c r="T425">
        <f t="shared" si="978"/>
        <v>-2.4356603773428586E-2</v>
      </c>
    </row>
    <row r="426" spans="1:20" x14ac:dyDescent="0.25">
      <c r="A426" s="5">
        <v>44167</v>
      </c>
      <c r="B426">
        <v>2.9176000000000002</v>
      </c>
      <c r="C426">
        <v>3.2599</v>
      </c>
      <c r="D426">
        <v>2.8546999999999998</v>
      </c>
      <c r="E426">
        <v>2.9630999999999998</v>
      </c>
      <c r="F426">
        <v>665239.43000000005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-0.46495557749259631</v>
      </c>
      <c r="Q426">
        <f t="shared" si="975"/>
        <v>-309306.78334649559</v>
      </c>
      <c r="R426">
        <f t="shared" si="976"/>
        <v>-3091356.1008891272</v>
      </c>
      <c r="S426">
        <f t="shared" si="977"/>
        <v>-30.913561008891271</v>
      </c>
      <c r="T426">
        <f t="shared" si="978"/>
        <v>-3.0913561008891272E-2</v>
      </c>
    </row>
    <row r="427" spans="1:20" x14ac:dyDescent="0.25">
      <c r="A427" s="5">
        <v>44166</v>
      </c>
      <c r="B427">
        <v>3.1360000000000001</v>
      </c>
      <c r="C427">
        <v>3.1518000000000002</v>
      </c>
      <c r="D427">
        <v>2.75</v>
      </c>
      <c r="E427">
        <v>2.95</v>
      </c>
      <c r="F427">
        <v>752665.65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-4.4798407167740192E-3</v>
      </c>
      <c r="Q427">
        <f t="shared" si="975"/>
        <v>-3371.8222249871833</v>
      </c>
      <c r="R427">
        <f t="shared" si="976"/>
        <v>-2782049.3175426316</v>
      </c>
      <c r="S427">
        <f t="shared" si="977"/>
        <v>-27.820493175426318</v>
      </c>
      <c r="T427">
        <f t="shared" si="978"/>
        <v>-2.7820493175426318E-2</v>
      </c>
    </row>
    <row r="428" spans="1:20" x14ac:dyDescent="0.25">
      <c r="A428" s="5">
        <v>44165</v>
      </c>
      <c r="B428">
        <v>3.4681999999999999</v>
      </c>
      <c r="C428">
        <v>3.5406</v>
      </c>
      <c r="D428">
        <v>3.0508999999999999</v>
      </c>
      <c r="E428">
        <v>3.1015000000000001</v>
      </c>
      <c r="F428">
        <v>988255.4</v>
      </c>
      <c r="G428">
        <v>0</v>
      </c>
      <c r="L428" t="s">
        <v>7</v>
      </c>
      <c r="M428" t="s">
        <v>8</v>
      </c>
      <c r="N428" t="s">
        <v>8</v>
      </c>
      <c r="P428">
        <f t="shared" si="974"/>
        <v>-0.79334286297733225</v>
      </c>
      <c r="Q428">
        <f t="shared" si="975"/>
        <v>-784025.36838880868</v>
      </c>
      <c r="R428">
        <f t="shared" si="976"/>
        <v>-2778677.4953176444</v>
      </c>
      <c r="S428">
        <f t="shared" si="977"/>
        <v>-27.786774953176444</v>
      </c>
      <c r="T428">
        <f t="shared" si="978"/>
        <v>-2.7786774953176444E-2</v>
      </c>
    </row>
    <row r="429" spans="1:20" x14ac:dyDescent="0.25">
      <c r="A429" s="5">
        <v>44164</v>
      </c>
      <c r="B429">
        <v>2.4689999999999999</v>
      </c>
      <c r="C429">
        <v>3.5499000000000001</v>
      </c>
      <c r="D429">
        <v>2.4291999999999998</v>
      </c>
      <c r="E429">
        <v>3.4548999999999999</v>
      </c>
      <c r="F429">
        <v>2326003.7599999998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0.83046310341750662</v>
      </c>
      <c r="Q429">
        <f t="shared" si="975"/>
        <v>1931660.301090389</v>
      </c>
      <c r="R429">
        <f t="shared" si="976"/>
        <v>-1994652.1269288356</v>
      </c>
      <c r="S429">
        <f t="shared" si="977"/>
        <v>-19.946521269288358</v>
      </c>
      <c r="T429">
        <f t="shared" si="978"/>
        <v>-1.9946521269288357E-2</v>
      </c>
    </row>
    <row r="430" spans="1:20" x14ac:dyDescent="0.25">
      <c r="A430" s="5">
        <v>44163</v>
      </c>
      <c r="B430">
        <v>2.1172</v>
      </c>
      <c r="C430">
        <v>2.59</v>
      </c>
      <c r="D430">
        <v>2.1042000000000001</v>
      </c>
      <c r="E430">
        <v>2.4731000000000001</v>
      </c>
      <c r="F430">
        <v>578688.71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0.51873198847262314</v>
      </c>
      <c r="Q430">
        <f t="shared" si="975"/>
        <v>300184.34524495713</v>
      </c>
      <c r="R430">
        <f t="shared" si="976"/>
        <v>-3926312.4280192247</v>
      </c>
      <c r="S430">
        <f t="shared" si="977"/>
        <v>-39.263124280192244</v>
      </c>
      <c r="T430">
        <f t="shared" si="978"/>
        <v>-3.9263124280192241E-2</v>
      </c>
    </row>
    <row r="431" spans="1:20" x14ac:dyDescent="0.25">
      <c r="A431" s="5">
        <v>44162</v>
      </c>
      <c r="B431">
        <v>2.0590000000000002</v>
      </c>
      <c r="C431">
        <v>2.2349999999999999</v>
      </c>
      <c r="D431">
        <v>1.9653</v>
      </c>
      <c r="E431">
        <v>2.1305000000000001</v>
      </c>
      <c r="F431">
        <v>294749.12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0.2250648869113839</v>
      </c>
      <c r="Q431">
        <f t="shared" si="975"/>
        <v>66337.67736002992</v>
      </c>
      <c r="R431">
        <f t="shared" si="976"/>
        <v>-4226496.7732641818</v>
      </c>
      <c r="S431">
        <f t="shared" si="977"/>
        <v>-42.264967732641821</v>
      </c>
      <c r="T431">
        <f t="shared" si="978"/>
        <v>-4.2264967732641823E-2</v>
      </c>
    </row>
    <row r="432" spans="1:20" x14ac:dyDescent="0.25">
      <c r="A432" s="5">
        <v>44161</v>
      </c>
      <c r="B432">
        <v>2.1549</v>
      </c>
      <c r="C432">
        <v>2.4550999999999998</v>
      </c>
      <c r="D432">
        <v>1.8</v>
      </c>
      <c r="E432">
        <v>2.0571999999999999</v>
      </c>
      <c r="F432">
        <v>878663.03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-0.21477637001984443</v>
      </c>
      <c r="Q432">
        <f t="shared" si="975"/>
        <v>-188716.05605403768</v>
      </c>
      <c r="R432">
        <f t="shared" si="976"/>
        <v>-4292834.4506242117</v>
      </c>
      <c r="S432">
        <f t="shared" si="977"/>
        <v>-42.928344506242119</v>
      </c>
      <c r="T432">
        <f t="shared" si="978"/>
        <v>-4.2928344506242118E-2</v>
      </c>
    </row>
    <row r="433" spans="1:20" x14ac:dyDescent="0.25">
      <c r="A433" s="5">
        <v>44160</v>
      </c>
      <c r="B433">
        <v>2.0884</v>
      </c>
      <c r="C433">
        <v>2.5</v>
      </c>
      <c r="D433">
        <v>1.9742</v>
      </c>
      <c r="E433">
        <v>2.1718000000000002</v>
      </c>
      <c r="F433">
        <v>560780.16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-0.24838341574743172</v>
      </c>
      <c r="Q433">
        <f t="shared" si="975"/>
        <v>-139288.49162419129</v>
      </c>
      <c r="R433">
        <f t="shared" si="976"/>
        <v>-4104118.3945701737</v>
      </c>
      <c r="S433">
        <f t="shared" si="977"/>
        <v>-41.041183945701739</v>
      </c>
      <c r="T433">
        <f t="shared" si="978"/>
        <v>-4.1041183945701741E-2</v>
      </c>
    </row>
    <row r="434" spans="1:20" x14ac:dyDescent="0.25">
      <c r="A434" s="5">
        <v>44159</v>
      </c>
      <c r="B434">
        <v>1.8554999999999999</v>
      </c>
      <c r="C434">
        <v>2.2000000000000002</v>
      </c>
      <c r="D434">
        <v>1.8165</v>
      </c>
      <c r="E434">
        <v>2.0884</v>
      </c>
      <c r="F434">
        <v>517390.31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0.41799217731421073</v>
      </c>
      <c r="Q434">
        <f t="shared" si="975"/>
        <v>216265.10219817446</v>
      </c>
      <c r="R434">
        <f t="shared" si="976"/>
        <v>-3964829.9029459823</v>
      </c>
      <c r="S434">
        <f t="shared" si="977"/>
        <v>-39.648299029459821</v>
      </c>
      <c r="T434">
        <f t="shared" si="978"/>
        <v>-3.9648299029459821E-2</v>
      </c>
    </row>
    <row r="435" spans="1:20" x14ac:dyDescent="0.25">
      <c r="A435" s="5">
        <v>44158</v>
      </c>
      <c r="B435">
        <v>1.7231000000000001</v>
      </c>
      <c r="C435">
        <v>1.9145000000000001</v>
      </c>
      <c r="D435">
        <v>1.7152000000000001</v>
      </c>
      <c r="E435">
        <v>1.8369</v>
      </c>
      <c r="F435">
        <v>434464.76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0.22127446061214148</v>
      </c>
      <c r="Q435">
        <f t="shared" si="975"/>
        <v>96135.955423983498</v>
      </c>
      <c r="R435">
        <f t="shared" si="976"/>
        <v>-4181095.005144157</v>
      </c>
      <c r="S435">
        <f t="shared" si="977"/>
        <v>-41.810950051441573</v>
      </c>
      <c r="T435">
        <f t="shared" si="978"/>
        <v>-4.1810950051441573E-2</v>
      </c>
    </row>
    <row r="436" spans="1:20" x14ac:dyDescent="0.25">
      <c r="A436" s="5">
        <v>44157</v>
      </c>
      <c r="B436">
        <v>1.7907</v>
      </c>
      <c r="C436">
        <v>1.8101</v>
      </c>
      <c r="D436">
        <v>1.62</v>
      </c>
      <c r="E436">
        <v>1.7495000000000001</v>
      </c>
      <c r="F436">
        <v>202545.3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0.36244082062072586</v>
      </c>
      <c r="Q436">
        <f t="shared" si="975"/>
        <v>73410.684744871105</v>
      </c>
      <c r="R436">
        <f t="shared" si="976"/>
        <v>-4277230.9605681403</v>
      </c>
      <c r="S436">
        <f t="shared" si="977"/>
        <v>-42.7723096056814</v>
      </c>
      <c r="T436">
        <f t="shared" si="978"/>
        <v>-4.2772309605681402E-2</v>
      </c>
    </row>
    <row r="437" spans="1:20" x14ac:dyDescent="0.25">
      <c r="A437" s="5">
        <v>44156</v>
      </c>
      <c r="B437">
        <v>1.7507999999999999</v>
      </c>
      <c r="C437">
        <v>1.8117000000000001</v>
      </c>
      <c r="D437">
        <v>1.6881999999999999</v>
      </c>
      <c r="E437">
        <v>1.7881</v>
      </c>
      <c r="F437">
        <v>199798.42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0.61781376518218567</v>
      </c>
      <c r="Q437">
        <f t="shared" si="975"/>
        <v>123438.21413765171</v>
      </c>
      <c r="R437">
        <f t="shared" si="976"/>
        <v>-4350641.6453130115</v>
      </c>
      <c r="S437">
        <f t="shared" si="977"/>
        <v>-43.506416453130115</v>
      </c>
      <c r="T437">
        <f t="shared" si="978"/>
        <v>-4.3506416453130116E-2</v>
      </c>
    </row>
    <row r="438" spans="1:20" x14ac:dyDescent="0.25">
      <c r="A438" s="5">
        <v>44155</v>
      </c>
      <c r="B438">
        <v>1.6404000000000001</v>
      </c>
      <c r="C438">
        <v>1.8053999999999999</v>
      </c>
      <c r="D438">
        <v>1.6385000000000001</v>
      </c>
      <c r="E438">
        <v>1.7362</v>
      </c>
      <c r="F438">
        <v>201935.84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0.170760934691432</v>
      </c>
      <c r="Q438">
        <f t="shared" si="975"/>
        <v>34482.75278609946</v>
      </c>
      <c r="R438">
        <f t="shared" si="976"/>
        <v>-4474079.8594506634</v>
      </c>
      <c r="S438">
        <f t="shared" si="977"/>
        <v>-44.740798594506636</v>
      </c>
      <c r="T438">
        <f t="shared" si="978"/>
        <v>-4.4740798594506637E-2</v>
      </c>
    </row>
    <row r="439" spans="1:20" x14ac:dyDescent="0.25">
      <c r="A439" s="5">
        <v>44154</v>
      </c>
      <c r="B439">
        <v>1.7019</v>
      </c>
      <c r="C439">
        <v>1.7049000000000001</v>
      </c>
      <c r="D439">
        <v>1.6003000000000001</v>
      </c>
      <c r="E439">
        <v>1.6404000000000001</v>
      </c>
      <c r="F439">
        <v>177446.09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-0.23326959847036302</v>
      </c>
      <c r="Q439">
        <f t="shared" si="975"/>
        <v>-41392.778164435898</v>
      </c>
      <c r="R439">
        <f t="shared" si="976"/>
        <v>-4508562.6122367634</v>
      </c>
      <c r="S439">
        <f t="shared" si="977"/>
        <v>-45.085626122367636</v>
      </c>
      <c r="T439">
        <f t="shared" si="978"/>
        <v>-4.5085626122367634E-2</v>
      </c>
    </row>
    <row r="440" spans="1:20" x14ac:dyDescent="0.25">
      <c r="A440" s="5">
        <v>44153</v>
      </c>
      <c r="B440">
        <v>1.7754000000000001</v>
      </c>
      <c r="C440">
        <v>1.81</v>
      </c>
      <c r="D440">
        <v>1.6439999999999999</v>
      </c>
      <c r="E440">
        <v>1.7</v>
      </c>
      <c r="F440">
        <v>163914.07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-0.3253012048192771</v>
      </c>
      <c r="Q440">
        <f t="shared" si="975"/>
        <v>-53321.444457831327</v>
      </c>
      <c r="R440">
        <f t="shared" si="976"/>
        <v>-4467169.8340723272</v>
      </c>
      <c r="S440">
        <f t="shared" si="977"/>
        <v>-44.671698340723275</v>
      </c>
      <c r="T440">
        <f t="shared" si="978"/>
        <v>-4.4671698340723272E-2</v>
      </c>
    </row>
    <row r="441" spans="1:20" x14ac:dyDescent="0.25">
      <c r="A441" s="5">
        <v>44152</v>
      </c>
      <c r="B441">
        <v>1.7908999999999999</v>
      </c>
      <c r="C441">
        <v>1.8338000000000001</v>
      </c>
      <c r="D441">
        <v>1.7092000000000001</v>
      </c>
      <c r="E441">
        <v>1.7754000000000001</v>
      </c>
      <c r="F441">
        <v>280263.53999999998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6.2600321027287534E-2</v>
      </c>
      <c r="Q441">
        <f t="shared" si="975"/>
        <v>17544.587576244041</v>
      </c>
      <c r="R441">
        <f t="shared" si="976"/>
        <v>-4413848.3896144954</v>
      </c>
      <c r="S441">
        <f t="shared" si="977"/>
        <v>-44.138483896144955</v>
      </c>
      <c r="T441">
        <f t="shared" si="978"/>
        <v>-4.4138483896144956E-2</v>
      </c>
    </row>
    <row r="442" spans="1:20" x14ac:dyDescent="0.25">
      <c r="A442" s="5">
        <v>44151</v>
      </c>
      <c r="B442">
        <v>1.7414000000000001</v>
      </c>
      <c r="C442">
        <v>1.81</v>
      </c>
      <c r="D442">
        <v>1.7301</v>
      </c>
      <c r="E442">
        <v>1.7938000000000001</v>
      </c>
      <c r="F442">
        <v>204947.26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0.59449311639549496</v>
      </c>
      <c r="Q442">
        <f t="shared" si="975"/>
        <v>121839.73529411777</v>
      </c>
      <c r="R442">
        <f t="shared" si="976"/>
        <v>-4431392.9771907395</v>
      </c>
      <c r="S442">
        <f t="shared" si="977"/>
        <v>-44.313929771907397</v>
      </c>
      <c r="T442">
        <f t="shared" si="978"/>
        <v>-4.4313929771907394E-2</v>
      </c>
    </row>
    <row r="443" spans="1:20" x14ac:dyDescent="0.25">
      <c r="A443" s="5">
        <v>44150</v>
      </c>
      <c r="B443">
        <v>1.7453000000000001</v>
      </c>
      <c r="C443">
        <v>1.8482000000000001</v>
      </c>
      <c r="D443">
        <v>1.69</v>
      </c>
      <c r="E443">
        <v>1.7382</v>
      </c>
      <c r="F443">
        <v>317134.37</v>
      </c>
      <c r="G443">
        <v>0</v>
      </c>
      <c r="L443" t="s">
        <v>8</v>
      </c>
      <c r="M443" t="s">
        <v>7</v>
      </c>
      <c r="N443" t="s">
        <v>7</v>
      </c>
      <c r="P443">
        <f t="shared" si="974"/>
        <v>-0.39064475347661209</v>
      </c>
      <c r="Q443">
        <f t="shared" si="975"/>
        <v>-123886.87778761069</v>
      </c>
      <c r="R443">
        <f t="shared" si="976"/>
        <v>-4553232.7124848571</v>
      </c>
      <c r="S443">
        <f t="shared" si="977"/>
        <v>-45.532327124848571</v>
      </c>
      <c r="T443">
        <f t="shared" si="978"/>
        <v>-4.5532327124848573E-2</v>
      </c>
    </row>
    <row r="444" spans="1:20" x14ac:dyDescent="0.25">
      <c r="A444" s="5">
        <v>44149</v>
      </c>
      <c r="B444">
        <v>1.8170999999999999</v>
      </c>
      <c r="C444">
        <v>1.85</v>
      </c>
      <c r="D444">
        <v>1.6968000000000001</v>
      </c>
      <c r="E444">
        <v>1.7410000000000001</v>
      </c>
      <c r="F444">
        <v>226695.97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-0.42297650130548281</v>
      </c>
      <c r="Q444">
        <f t="shared" si="975"/>
        <v>-95887.068250652694</v>
      </c>
      <c r="R444">
        <f t="shared" si="976"/>
        <v>-4429345.8346972466</v>
      </c>
      <c r="S444">
        <f t="shared" si="977"/>
        <v>-44.293458346972464</v>
      </c>
      <c r="T444">
        <f t="shared" si="978"/>
        <v>-4.4293458346972465E-2</v>
      </c>
    </row>
    <row r="445" spans="1:20" x14ac:dyDescent="0.25">
      <c r="A445" s="5">
        <v>44148</v>
      </c>
      <c r="B445">
        <v>1.6678999999999999</v>
      </c>
      <c r="C445">
        <v>1.87</v>
      </c>
      <c r="D445">
        <v>1.6674</v>
      </c>
      <c r="E445">
        <v>1.8164</v>
      </c>
      <c r="F445">
        <v>221801.18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0.47087857847976244</v>
      </c>
      <c r="Q445">
        <f t="shared" si="975"/>
        <v>104441.42434353392</v>
      </c>
      <c r="R445">
        <f t="shared" si="976"/>
        <v>-4333458.7664465941</v>
      </c>
      <c r="S445">
        <f t="shared" si="977"/>
        <v>-43.334587664465943</v>
      </c>
      <c r="T445">
        <f t="shared" si="978"/>
        <v>-4.3334587664465941E-2</v>
      </c>
    </row>
    <row r="446" spans="1:20" x14ac:dyDescent="0.25">
      <c r="A446" s="5">
        <v>44147</v>
      </c>
      <c r="B446">
        <v>1.6757</v>
      </c>
      <c r="C446">
        <v>1.7470000000000001</v>
      </c>
      <c r="D446">
        <v>1.6389</v>
      </c>
      <c r="E446">
        <v>1.6675</v>
      </c>
      <c r="F446">
        <v>132128.54</v>
      </c>
      <c r="G446">
        <v>0</v>
      </c>
      <c r="L446" t="s">
        <v>8</v>
      </c>
      <c r="M446" t="s">
        <v>7</v>
      </c>
      <c r="N446" t="s">
        <v>7</v>
      </c>
      <c r="P446">
        <f t="shared" si="974"/>
        <v>-0.47086031452359045</v>
      </c>
      <c r="Q446">
        <f t="shared" si="975"/>
        <v>-62214.085901942803</v>
      </c>
      <c r="R446">
        <f t="shared" si="976"/>
        <v>-4437900.190790128</v>
      </c>
      <c r="S446">
        <f t="shared" si="977"/>
        <v>-44.379001907901277</v>
      </c>
      <c r="T446">
        <f t="shared" si="978"/>
        <v>-4.4379001907901276E-2</v>
      </c>
    </row>
    <row r="447" spans="1:20" x14ac:dyDescent="0.25">
      <c r="A447" s="5">
        <v>44146</v>
      </c>
      <c r="B447">
        <v>1.7887999999999999</v>
      </c>
      <c r="C447">
        <v>1.8265</v>
      </c>
      <c r="D447">
        <v>1.61</v>
      </c>
      <c r="E447">
        <v>1.6757</v>
      </c>
      <c r="F447">
        <v>173419.77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-0.39307159353348825</v>
      </c>
      <c r="Q447">
        <f t="shared" si="975"/>
        <v>-68166.385344111011</v>
      </c>
      <c r="R447">
        <f t="shared" si="976"/>
        <v>-4375686.1048881849</v>
      </c>
      <c r="S447">
        <f t="shared" si="977"/>
        <v>-43.756861048881852</v>
      </c>
      <c r="T447">
        <f t="shared" si="978"/>
        <v>-4.3756861048881851E-2</v>
      </c>
    </row>
    <row r="448" spans="1:20" x14ac:dyDescent="0.25">
      <c r="A448" s="5">
        <v>44145</v>
      </c>
      <c r="B448">
        <v>1.6539999999999999</v>
      </c>
      <c r="C448">
        <v>1.89</v>
      </c>
      <c r="D448">
        <v>1.65</v>
      </c>
      <c r="E448">
        <v>1.7887</v>
      </c>
      <c r="F448">
        <v>349650.65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0.15583333333333377</v>
      </c>
      <c r="Q448">
        <f t="shared" si="975"/>
        <v>54487.226291666819</v>
      </c>
      <c r="R448">
        <f t="shared" si="976"/>
        <v>-4307519.7195440736</v>
      </c>
      <c r="S448">
        <f t="shared" si="977"/>
        <v>-43.075197195440737</v>
      </c>
      <c r="T448">
        <f t="shared" si="978"/>
        <v>-4.3075197195440736E-2</v>
      </c>
    </row>
    <row r="449" spans="1:20" x14ac:dyDescent="0.25">
      <c r="A449" s="5">
        <v>44144</v>
      </c>
      <c r="B449">
        <v>1.5403</v>
      </c>
      <c r="C449">
        <v>1.67</v>
      </c>
      <c r="D449">
        <v>1.4556</v>
      </c>
      <c r="E449">
        <v>1.6543000000000001</v>
      </c>
      <c r="F449">
        <v>219613.31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0.8535447761194046</v>
      </c>
      <c r="Q449">
        <f t="shared" si="975"/>
        <v>187449.7935167914</v>
      </c>
      <c r="R449">
        <f t="shared" si="976"/>
        <v>-4362006.9458357403</v>
      </c>
      <c r="S449">
        <f t="shared" si="977"/>
        <v>-43.620069458357406</v>
      </c>
      <c r="T449">
        <f t="shared" si="978"/>
        <v>-4.3620069458357405E-2</v>
      </c>
    </row>
    <row r="450" spans="1:20" x14ac:dyDescent="0.25">
      <c r="A450" s="5">
        <v>44143</v>
      </c>
      <c r="B450">
        <v>1.5049999999999999</v>
      </c>
      <c r="C450">
        <v>1.55</v>
      </c>
      <c r="D450">
        <v>1.4783999999999999</v>
      </c>
      <c r="E450">
        <v>1.5401</v>
      </c>
      <c r="F450">
        <v>86360.98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0.72346368715083786</v>
      </c>
      <c r="Q450">
        <f t="shared" si="975"/>
        <v>62479.033016759764</v>
      </c>
      <c r="R450">
        <f t="shared" si="976"/>
        <v>-4549456.7393525317</v>
      </c>
      <c r="S450">
        <f t="shared" si="977"/>
        <v>-45.494567393525315</v>
      </c>
      <c r="T450">
        <f t="shared" si="978"/>
        <v>-4.5494567393525316E-2</v>
      </c>
    </row>
    <row r="451" spans="1:20" x14ac:dyDescent="0.25">
      <c r="A451" s="5">
        <v>44142</v>
      </c>
      <c r="B451">
        <v>1.6659999999999999</v>
      </c>
      <c r="C451">
        <v>1.71</v>
      </c>
      <c r="D451">
        <v>1.4515</v>
      </c>
      <c r="E451">
        <v>1.5053000000000001</v>
      </c>
      <c r="F451">
        <v>178374.66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-0.58375241779497034</v>
      </c>
      <c r="Q451">
        <f t="shared" si="975"/>
        <v>-104126.63904835579</v>
      </c>
      <c r="R451">
        <f t="shared" si="976"/>
        <v>-4611935.7723692916</v>
      </c>
      <c r="S451">
        <f t="shared" si="977"/>
        <v>-46.119357723692914</v>
      </c>
      <c r="T451">
        <f t="shared" si="978"/>
        <v>-4.6119357723692918E-2</v>
      </c>
    </row>
    <row r="452" spans="1:20" x14ac:dyDescent="0.25">
      <c r="A452" s="5">
        <v>44141</v>
      </c>
      <c r="B452">
        <v>1.4661</v>
      </c>
      <c r="C452">
        <v>1.6739999999999999</v>
      </c>
      <c r="D452">
        <v>1.4613</v>
      </c>
      <c r="E452">
        <v>1.6658999999999999</v>
      </c>
      <c r="F452">
        <v>186623.58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0.92383638928067702</v>
      </c>
      <c r="Q452">
        <f t="shared" si="975"/>
        <v>172409.65430183357</v>
      </c>
      <c r="R452">
        <f t="shared" si="976"/>
        <v>-4507809.133320936</v>
      </c>
      <c r="S452">
        <f t="shared" si="977"/>
        <v>-45.078091333209358</v>
      </c>
      <c r="T452">
        <f t="shared" si="978"/>
        <v>-4.5078091333209357E-2</v>
      </c>
    </row>
    <row r="453" spans="1:20" x14ac:dyDescent="0.25">
      <c r="A453" s="5">
        <v>44140</v>
      </c>
      <c r="B453">
        <v>1.4836</v>
      </c>
      <c r="C453">
        <v>1.5125</v>
      </c>
      <c r="D453">
        <v>1.4233</v>
      </c>
      <c r="E453">
        <v>1.466</v>
      </c>
      <c r="F453">
        <v>162834.51999999999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-4.2600896860986857E-2</v>
      </c>
      <c r="Q453">
        <f t="shared" si="975"/>
        <v>-6936.8965919283009</v>
      </c>
      <c r="R453">
        <f t="shared" si="976"/>
        <v>-4680218.7876227694</v>
      </c>
      <c r="S453">
        <f t="shared" si="977"/>
        <v>-46.802187876227691</v>
      </c>
      <c r="T453">
        <f t="shared" si="978"/>
        <v>-4.680218787622769E-2</v>
      </c>
    </row>
    <row r="454" spans="1:20" x14ac:dyDescent="0.25">
      <c r="A454" s="5">
        <v>44139</v>
      </c>
      <c r="B454">
        <v>1.4167000000000001</v>
      </c>
      <c r="C454">
        <v>1.5388999999999999</v>
      </c>
      <c r="D454">
        <v>1.345</v>
      </c>
      <c r="E454">
        <v>1.4833000000000001</v>
      </c>
      <c r="F454">
        <v>170697.65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0.42650850954100172</v>
      </c>
      <c r="Q454">
        <f t="shared" ref="Q454:Q517" si="980">F454*P454</f>
        <v>72804.000283651563</v>
      </c>
      <c r="R454">
        <f t="shared" ref="R454:R517" si="981">R455+Q454</f>
        <v>-4673281.8910308415</v>
      </c>
      <c r="S454">
        <f t="shared" ref="S454:S517" si="982">R454/100000</f>
        <v>-46.732818910308417</v>
      </c>
      <c r="T454">
        <f t="shared" ref="T454:T517" si="983">S454/1000</f>
        <v>-4.6732818910308414E-2</v>
      </c>
    </row>
    <row r="455" spans="1:20" x14ac:dyDescent="0.25">
      <c r="A455" s="5">
        <v>44138</v>
      </c>
      <c r="B455">
        <v>1.4621999999999999</v>
      </c>
      <c r="C455">
        <v>1.4792000000000001</v>
      </c>
      <c r="D455">
        <v>1.3886000000000001</v>
      </c>
      <c r="E455">
        <v>1.4165000000000001</v>
      </c>
      <c r="F455">
        <v>113471.23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-0.38410596026489996</v>
      </c>
      <c r="Q455">
        <f t="shared" si="980"/>
        <v>-43584.975761589325</v>
      </c>
      <c r="R455">
        <f t="shared" si="981"/>
        <v>-4746085.8913144935</v>
      </c>
      <c r="S455">
        <f t="shared" si="982"/>
        <v>-47.460858913144932</v>
      </c>
      <c r="T455">
        <f t="shared" si="983"/>
        <v>-4.7460858913144929E-2</v>
      </c>
    </row>
    <row r="456" spans="1:20" x14ac:dyDescent="0.25">
      <c r="A456" s="5">
        <v>44137</v>
      </c>
      <c r="B456">
        <v>1.4582999999999999</v>
      </c>
      <c r="C456">
        <v>1.5794999999999999</v>
      </c>
      <c r="D456">
        <v>1.4204000000000001</v>
      </c>
      <c r="E456">
        <v>1.4614</v>
      </c>
      <c r="F456">
        <v>195852.16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-0.48460087994971746</v>
      </c>
      <c r="Q456">
        <f t="shared" si="980"/>
        <v>-94910.12907605285</v>
      </c>
      <c r="R456">
        <f t="shared" si="981"/>
        <v>-4702500.9155529039</v>
      </c>
      <c r="S456">
        <f t="shared" si="982"/>
        <v>-47.025009155529041</v>
      </c>
      <c r="T456">
        <f t="shared" si="983"/>
        <v>-4.7025009155529041E-2</v>
      </c>
    </row>
    <row r="457" spans="1:20" x14ac:dyDescent="0.25">
      <c r="A457" s="5">
        <v>44136</v>
      </c>
      <c r="B457">
        <v>1.4161999999999999</v>
      </c>
      <c r="C457">
        <v>1.5228999999999999</v>
      </c>
      <c r="D457">
        <v>1.4020999999999999</v>
      </c>
      <c r="E457">
        <v>1.4584999999999999</v>
      </c>
      <c r="F457">
        <v>142807.91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-6.6225165562913954E-2</v>
      </c>
      <c r="Q457">
        <f t="shared" si="980"/>
        <v>-9457.4774834437158</v>
      </c>
      <c r="R457">
        <f t="shared" si="981"/>
        <v>-4607590.7864768514</v>
      </c>
      <c r="S457">
        <f t="shared" si="982"/>
        <v>-46.075907864768517</v>
      </c>
      <c r="T457">
        <f t="shared" si="983"/>
        <v>-4.607590786476852E-2</v>
      </c>
    </row>
    <row r="458" spans="1:20" x14ac:dyDescent="0.25">
      <c r="A458" s="5">
        <v>44135</v>
      </c>
      <c r="B458">
        <v>1.4692000000000001</v>
      </c>
      <c r="C458">
        <v>1.5541</v>
      </c>
      <c r="D458">
        <v>1.4138999999999999</v>
      </c>
      <c r="E458">
        <v>1.4160999999999999</v>
      </c>
      <c r="F458">
        <v>124354.82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-0.96861626248216859</v>
      </c>
      <c r="Q458">
        <f t="shared" si="980"/>
        <v>-120452.10097004284</v>
      </c>
      <c r="R458">
        <f t="shared" si="981"/>
        <v>-4598133.3089934075</v>
      </c>
      <c r="S458">
        <f t="shared" si="982"/>
        <v>-45.981333089934076</v>
      </c>
      <c r="T458">
        <f t="shared" si="983"/>
        <v>-4.5981333089934073E-2</v>
      </c>
    </row>
    <row r="459" spans="1:20" x14ac:dyDescent="0.25">
      <c r="A459" s="5">
        <v>44134</v>
      </c>
      <c r="B459">
        <v>1.4320999999999999</v>
      </c>
      <c r="C459">
        <v>1.4798</v>
      </c>
      <c r="D459">
        <v>1.3624000000000001</v>
      </c>
      <c r="E459">
        <v>1.4693000000000001</v>
      </c>
      <c r="F459">
        <v>125498.5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0.82112436115843346</v>
      </c>
      <c r="Q459">
        <f t="shared" si="980"/>
        <v>103049.87563884167</v>
      </c>
      <c r="R459">
        <f t="shared" si="981"/>
        <v>-4477681.2080233647</v>
      </c>
      <c r="S459">
        <f t="shared" si="982"/>
        <v>-44.776812080233647</v>
      </c>
      <c r="T459">
        <f t="shared" si="983"/>
        <v>-4.4776812080233645E-2</v>
      </c>
    </row>
    <row r="460" spans="1:20" x14ac:dyDescent="0.25">
      <c r="A460" s="5">
        <v>44133</v>
      </c>
      <c r="B460">
        <v>1.4736</v>
      </c>
      <c r="C460">
        <v>1.6</v>
      </c>
      <c r="D460">
        <v>1.4061999999999999</v>
      </c>
      <c r="E460">
        <v>1.4327000000000001</v>
      </c>
      <c r="F460">
        <v>186790.97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-0.72652218782249578</v>
      </c>
      <c r="Q460">
        <f t="shared" si="980"/>
        <v>-135707.78418988618</v>
      </c>
      <c r="R460">
        <f t="shared" si="981"/>
        <v>-4580731.0836622063</v>
      </c>
      <c r="S460">
        <f t="shared" si="982"/>
        <v>-45.807310836622065</v>
      </c>
      <c r="T460">
        <f t="shared" si="983"/>
        <v>-4.5807310836622067E-2</v>
      </c>
    </row>
    <row r="461" spans="1:20" x14ac:dyDescent="0.25">
      <c r="A461" s="5">
        <v>44132</v>
      </c>
      <c r="B461">
        <v>1.6491</v>
      </c>
      <c r="C461">
        <v>1.6680999999999999</v>
      </c>
      <c r="D461">
        <v>1.46</v>
      </c>
      <c r="E461">
        <v>1.4734</v>
      </c>
      <c r="F461">
        <v>155452.63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-0.87121576165305059</v>
      </c>
      <c r="Q461">
        <f t="shared" si="980"/>
        <v>-135432.78144641986</v>
      </c>
      <c r="R461">
        <f t="shared" si="981"/>
        <v>-4445023.2994723199</v>
      </c>
      <c r="S461">
        <f t="shared" si="982"/>
        <v>-44.450232994723201</v>
      </c>
      <c r="T461">
        <f t="shared" si="983"/>
        <v>-4.4450232994723199E-2</v>
      </c>
    </row>
    <row r="462" spans="1:20" x14ac:dyDescent="0.25">
      <c r="A462" s="5">
        <v>44131</v>
      </c>
      <c r="B462">
        <v>1.5588</v>
      </c>
      <c r="C462">
        <v>1.7499</v>
      </c>
      <c r="D462">
        <v>1.5528999999999999</v>
      </c>
      <c r="E462">
        <v>1.6517999999999999</v>
      </c>
      <c r="F462">
        <v>208429.31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4.0609137055833081E-3</v>
      </c>
      <c r="Q462">
        <f t="shared" si="980"/>
        <v>846.41344162427208</v>
      </c>
      <c r="R462">
        <f t="shared" si="981"/>
        <v>-4309590.5180259002</v>
      </c>
      <c r="S462">
        <f t="shared" si="982"/>
        <v>-43.095905180259003</v>
      </c>
      <c r="T462">
        <f t="shared" si="983"/>
        <v>-4.3095905180259006E-2</v>
      </c>
    </row>
    <row r="463" spans="1:20" x14ac:dyDescent="0.25">
      <c r="A463" s="5">
        <v>44130</v>
      </c>
      <c r="B463">
        <v>1.6208</v>
      </c>
      <c r="C463">
        <v>1.6255999999999999</v>
      </c>
      <c r="D463">
        <v>1.49</v>
      </c>
      <c r="E463">
        <v>1.5504</v>
      </c>
      <c r="F463">
        <v>143436.95000000001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-0.10914454277286084</v>
      </c>
      <c r="Q463">
        <f t="shared" si="980"/>
        <v>-15655.360324483703</v>
      </c>
      <c r="R463">
        <f t="shared" si="981"/>
        <v>-4310436.9314675247</v>
      </c>
      <c r="S463">
        <f t="shared" si="982"/>
        <v>-43.104369314675246</v>
      </c>
      <c r="T463">
        <f t="shared" si="983"/>
        <v>-4.3104369314675248E-2</v>
      </c>
    </row>
    <row r="464" spans="1:20" x14ac:dyDescent="0.25">
      <c r="A464" s="5">
        <v>44129</v>
      </c>
      <c r="B464">
        <v>1.6629</v>
      </c>
      <c r="C464">
        <v>1.6777</v>
      </c>
      <c r="D464">
        <v>1.5789</v>
      </c>
      <c r="E464">
        <v>1.6209</v>
      </c>
      <c r="F464">
        <v>105047.02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-0.14979757085020168</v>
      </c>
      <c r="Q464">
        <f t="shared" si="980"/>
        <v>-15735.788421052554</v>
      </c>
      <c r="R464">
        <f t="shared" si="981"/>
        <v>-4294781.5711430414</v>
      </c>
      <c r="S464">
        <f t="shared" si="982"/>
        <v>-42.947815711430415</v>
      </c>
      <c r="T464">
        <f t="shared" si="983"/>
        <v>-4.2947815711430415E-2</v>
      </c>
    </row>
    <row r="465" spans="1:20" x14ac:dyDescent="0.25">
      <c r="A465" s="5">
        <v>44128</v>
      </c>
      <c r="B465">
        <v>1.6977</v>
      </c>
      <c r="C465">
        <v>1.7052</v>
      </c>
      <c r="D465">
        <v>1.617</v>
      </c>
      <c r="E465">
        <v>1.6633</v>
      </c>
      <c r="F465">
        <v>109170.94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4.9886621315192253E-2</v>
      </c>
      <c r="Q465">
        <f t="shared" si="980"/>
        <v>5446.1693424035748</v>
      </c>
      <c r="R465">
        <f t="shared" si="981"/>
        <v>-4279045.7827219889</v>
      </c>
      <c r="S465">
        <f t="shared" si="982"/>
        <v>-42.790457827219889</v>
      </c>
      <c r="T465">
        <f t="shared" si="983"/>
        <v>-4.2790457827219887E-2</v>
      </c>
    </row>
    <row r="466" spans="1:20" x14ac:dyDescent="0.25">
      <c r="A466" s="5">
        <v>44127</v>
      </c>
      <c r="B466">
        <v>1.6515</v>
      </c>
      <c r="C466">
        <v>1.7487999999999999</v>
      </c>
      <c r="D466">
        <v>1.6332</v>
      </c>
      <c r="E466">
        <v>1.6982999999999999</v>
      </c>
      <c r="F466">
        <v>159511.04999999999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0.12629757785467091</v>
      </c>
      <c r="Q466">
        <f t="shared" si="980"/>
        <v>20145.859256055304</v>
      </c>
      <c r="R466">
        <f t="shared" si="981"/>
        <v>-4284491.9520643922</v>
      </c>
      <c r="S466">
        <f t="shared" si="982"/>
        <v>-42.84491952064392</v>
      </c>
      <c r="T466">
        <f t="shared" si="983"/>
        <v>-4.2844919520643919E-2</v>
      </c>
    </row>
    <row r="467" spans="1:20" x14ac:dyDescent="0.25">
      <c r="A467" s="5">
        <v>44126</v>
      </c>
      <c r="B467">
        <v>1.5952</v>
      </c>
      <c r="C467">
        <v>1.8949</v>
      </c>
      <c r="D467">
        <v>1.585</v>
      </c>
      <c r="E467">
        <v>1.6665000000000001</v>
      </c>
      <c r="F467">
        <v>544461.36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-0.47402387867053819</v>
      </c>
      <c r="Q467">
        <f t="shared" si="980"/>
        <v>-258087.6856534362</v>
      </c>
      <c r="R467">
        <f t="shared" si="981"/>
        <v>-4304637.8113204474</v>
      </c>
      <c r="S467">
        <f t="shared" si="982"/>
        <v>-43.046378113204476</v>
      </c>
      <c r="T467">
        <f t="shared" si="983"/>
        <v>-4.3046378113204477E-2</v>
      </c>
    </row>
    <row r="468" spans="1:20" x14ac:dyDescent="0.25">
      <c r="A468" s="5">
        <v>44125</v>
      </c>
      <c r="B468">
        <v>1.3980999999999999</v>
      </c>
      <c r="C468">
        <v>1.6963999999999999</v>
      </c>
      <c r="D468">
        <v>1.3589</v>
      </c>
      <c r="E468">
        <v>1.5980000000000001</v>
      </c>
      <c r="F468">
        <v>370265.99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0.41688888888888981</v>
      </c>
      <c r="Q468">
        <f t="shared" si="980"/>
        <v>154359.77716444479</v>
      </c>
      <c r="R468">
        <f t="shared" si="981"/>
        <v>-4046550.1256670109</v>
      </c>
      <c r="S468">
        <f t="shared" si="982"/>
        <v>-40.465501256670109</v>
      </c>
      <c r="T468">
        <f t="shared" si="983"/>
        <v>-4.046550125667011E-2</v>
      </c>
    </row>
    <row r="469" spans="1:20" x14ac:dyDescent="0.25">
      <c r="A469" s="5">
        <v>44124</v>
      </c>
      <c r="B469">
        <v>1.5711999999999999</v>
      </c>
      <c r="C469">
        <v>1.5854999999999999</v>
      </c>
      <c r="D469">
        <v>1.3340000000000001</v>
      </c>
      <c r="E469">
        <v>1.4036999999999999</v>
      </c>
      <c r="F469">
        <v>378073.88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-0.4457256461232611</v>
      </c>
      <c r="Q469">
        <f t="shared" si="980"/>
        <v>-168517.22444532829</v>
      </c>
      <c r="R469">
        <f t="shared" si="981"/>
        <v>-4200909.9028314557</v>
      </c>
      <c r="S469">
        <f t="shared" si="982"/>
        <v>-42.009099028314559</v>
      </c>
      <c r="T469">
        <f t="shared" si="983"/>
        <v>-4.200909902831456E-2</v>
      </c>
    </row>
    <row r="470" spans="1:20" x14ac:dyDescent="0.25">
      <c r="A470" s="5">
        <v>44123</v>
      </c>
      <c r="B470">
        <v>1.6586000000000001</v>
      </c>
      <c r="C470">
        <v>1.8032999999999999</v>
      </c>
      <c r="D470">
        <v>1.5644</v>
      </c>
      <c r="E470">
        <v>1.5712999999999999</v>
      </c>
      <c r="F470">
        <v>300926.64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-0.94223524487233223</v>
      </c>
      <c r="Q470">
        <f t="shared" si="980"/>
        <v>-283543.6863290082</v>
      </c>
      <c r="R470">
        <f t="shared" si="981"/>
        <v>-4032392.6783861271</v>
      </c>
      <c r="S470">
        <f t="shared" si="982"/>
        <v>-40.323926783861268</v>
      </c>
      <c r="T470">
        <f t="shared" si="983"/>
        <v>-4.0323926783861271E-2</v>
      </c>
    </row>
    <row r="471" spans="1:20" x14ac:dyDescent="0.25">
      <c r="A471" s="5">
        <v>44122</v>
      </c>
      <c r="B471">
        <v>1.7205999999999999</v>
      </c>
      <c r="C471">
        <v>1.7728999999999999</v>
      </c>
      <c r="D471">
        <v>1.65</v>
      </c>
      <c r="E471">
        <v>1.6588000000000001</v>
      </c>
      <c r="F471">
        <v>159335.03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-0.85679414157851685</v>
      </c>
      <c r="Q471">
        <f t="shared" si="980"/>
        <v>-136517.32025223723</v>
      </c>
      <c r="R471">
        <f t="shared" si="981"/>
        <v>-3748848.992057119</v>
      </c>
      <c r="S471">
        <f t="shared" si="982"/>
        <v>-37.48848992057119</v>
      </c>
      <c r="T471">
        <f t="shared" si="983"/>
        <v>-3.7488489920571189E-2</v>
      </c>
    </row>
    <row r="472" spans="1:20" x14ac:dyDescent="0.25">
      <c r="A472" s="5">
        <v>44121</v>
      </c>
      <c r="B472">
        <v>1.6937</v>
      </c>
      <c r="C472">
        <v>1.7250000000000001</v>
      </c>
      <c r="D472">
        <v>1.6698</v>
      </c>
      <c r="E472">
        <v>1.7206999999999999</v>
      </c>
      <c r="F472">
        <v>143467.53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0.84420289855071806</v>
      </c>
      <c r="Q472">
        <f t="shared" si="980"/>
        <v>121115.7046739121</v>
      </c>
      <c r="R472">
        <f t="shared" si="981"/>
        <v>-3612331.6718048817</v>
      </c>
      <c r="S472">
        <f t="shared" si="982"/>
        <v>-36.123316718048819</v>
      </c>
      <c r="T472">
        <f t="shared" si="983"/>
        <v>-3.6123316718048817E-2</v>
      </c>
    </row>
    <row r="473" spans="1:20" x14ac:dyDescent="0.25">
      <c r="A473" s="5">
        <v>44120</v>
      </c>
      <c r="B473">
        <v>1.8451</v>
      </c>
      <c r="C473">
        <v>1.93</v>
      </c>
      <c r="D473">
        <v>1.5852999999999999</v>
      </c>
      <c r="E473">
        <v>1.6939</v>
      </c>
      <c r="F473">
        <v>577449.47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-0.36988685813751071</v>
      </c>
      <c r="Q473">
        <f t="shared" si="980"/>
        <v>-213590.97019147073</v>
      </c>
      <c r="R473">
        <f t="shared" si="981"/>
        <v>-3733447.3764787936</v>
      </c>
      <c r="S473">
        <f t="shared" si="982"/>
        <v>-37.334473764787937</v>
      </c>
      <c r="T473">
        <f t="shared" si="983"/>
        <v>-3.7334473764787934E-2</v>
      </c>
    </row>
    <row r="474" spans="1:20" x14ac:dyDescent="0.25">
      <c r="A474" s="5">
        <v>44119</v>
      </c>
      <c r="B474">
        <v>1.8643000000000001</v>
      </c>
      <c r="C474">
        <v>1.9342999999999999</v>
      </c>
      <c r="D474">
        <v>1.8003</v>
      </c>
      <c r="E474">
        <v>1.8453999999999999</v>
      </c>
      <c r="F474">
        <v>133097.29999999999</v>
      </c>
      <c r="G474">
        <v>0</v>
      </c>
      <c r="L474" t="s">
        <v>8</v>
      </c>
      <c r="M474" t="s">
        <v>7</v>
      </c>
      <c r="N474" t="s">
        <v>8</v>
      </c>
      <c r="P474">
        <f t="shared" si="979"/>
        <v>-0.32686567164179176</v>
      </c>
      <c r="Q474">
        <f t="shared" si="980"/>
        <v>-43504.938358209045</v>
      </c>
      <c r="R474">
        <f t="shared" si="981"/>
        <v>-3519856.4062873228</v>
      </c>
      <c r="S474">
        <f t="shared" si="982"/>
        <v>-35.198564062873224</v>
      </c>
      <c r="T474">
        <f t="shared" si="983"/>
        <v>-3.5198564062873222E-2</v>
      </c>
    </row>
    <row r="475" spans="1:20" x14ac:dyDescent="0.25">
      <c r="A475" s="5">
        <v>44118</v>
      </c>
      <c r="B475">
        <v>1.9782999999999999</v>
      </c>
      <c r="C475">
        <v>1.9948999999999999</v>
      </c>
      <c r="D475">
        <v>1.8048999999999999</v>
      </c>
      <c r="E475">
        <v>1.8646</v>
      </c>
      <c r="F475">
        <v>214473.16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-0.37157894736841995</v>
      </c>
      <c r="Q475">
        <f t="shared" si="980"/>
        <v>-79693.711031578714</v>
      </c>
      <c r="R475">
        <f t="shared" si="981"/>
        <v>-3476351.4679291137</v>
      </c>
      <c r="S475">
        <f t="shared" si="982"/>
        <v>-34.763514679291134</v>
      </c>
      <c r="T475">
        <f t="shared" si="983"/>
        <v>-3.4763514679291133E-2</v>
      </c>
    </row>
    <row r="476" spans="1:20" x14ac:dyDescent="0.25">
      <c r="A476" s="5">
        <v>44117</v>
      </c>
      <c r="B476">
        <v>1.8069999999999999</v>
      </c>
      <c r="C476">
        <v>2.2799999999999998</v>
      </c>
      <c r="D476">
        <v>1.8045</v>
      </c>
      <c r="E476">
        <v>1.9822</v>
      </c>
      <c r="F476">
        <v>623045.07999999996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-0.25257623554153508</v>
      </c>
      <c r="Q476">
        <f t="shared" si="980"/>
        <v>-157366.38087907457</v>
      </c>
      <c r="R476">
        <f t="shared" si="981"/>
        <v>-3396657.7568975352</v>
      </c>
      <c r="S476">
        <f t="shared" si="982"/>
        <v>-33.966577568975353</v>
      </c>
      <c r="T476">
        <f t="shared" si="983"/>
        <v>-3.3966577568975351E-2</v>
      </c>
    </row>
    <row r="477" spans="1:20" x14ac:dyDescent="0.25">
      <c r="A477" s="5">
        <v>44116</v>
      </c>
      <c r="B477">
        <v>1.7799</v>
      </c>
      <c r="C477">
        <v>1.93</v>
      </c>
      <c r="D477">
        <v>1.7422</v>
      </c>
      <c r="E477">
        <v>1.8068</v>
      </c>
      <c r="F477">
        <v>222326.69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-0.31203407880724171</v>
      </c>
      <c r="Q477">
        <f t="shared" si="980"/>
        <v>-69373.5039084132</v>
      </c>
      <c r="R477">
        <f t="shared" si="981"/>
        <v>-3239291.3760184604</v>
      </c>
      <c r="S477">
        <f t="shared" si="982"/>
        <v>-32.392913760184605</v>
      </c>
      <c r="T477">
        <f t="shared" si="983"/>
        <v>-3.2392913760184605E-2</v>
      </c>
    </row>
    <row r="478" spans="1:20" x14ac:dyDescent="0.25">
      <c r="A478" s="5">
        <v>44115</v>
      </c>
      <c r="B478">
        <v>1.863</v>
      </c>
      <c r="C478">
        <v>1.87</v>
      </c>
      <c r="D478">
        <v>1.7583</v>
      </c>
      <c r="E478">
        <v>1.7795000000000001</v>
      </c>
      <c r="F478">
        <v>126648.19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-0.62041181736794837</v>
      </c>
      <c r="Q478">
        <f t="shared" si="980"/>
        <v>-78574.03372426123</v>
      </c>
      <c r="R478">
        <f t="shared" si="981"/>
        <v>-3169917.8721100474</v>
      </c>
      <c r="S478">
        <f t="shared" si="982"/>
        <v>-31.699178721100473</v>
      </c>
      <c r="T478">
        <f t="shared" si="983"/>
        <v>-3.1699178721100472E-2</v>
      </c>
    </row>
    <row r="479" spans="1:20" x14ac:dyDescent="0.25">
      <c r="A479" s="5">
        <v>44114</v>
      </c>
      <c r="B479">
        <v>1.7927</v>
      </c>
      <c r="C479">
        <v>1.8989</v>
      </c>
      <c r="D479">
        <v>1.7831999999999999</v>
      </c>
      <c r="E479">
        <v>1.8628</v>
      </c>
      <c r="F479">
        <v>170742.7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0.37597234226447745</v>
      </c>
      <c r="Q479">
        <f t="shared" si="980"/>
        <v>64194.532843560999</v>
      </c>
      <c r="R479">
        <f t="shared" si="981"/>
        <v>-3091343.8383857859</v>
      </c>
      <c r="S479">
        <f t="shared" si="982"/>
        <v>-30.913438383857859</v>
      </c>
      <c r="T479">
        <f t="shared" si="983"/>
        <v>-3.091343838385786E-2</v>
      </c>
    </row>
    <row r="480" spans="1:20" x14ac:dyDescent="0.25">
      <c r="A480" s="5">
        <v>44113</v>
      </c>
      <c r="B480">
        <v>1.8664000000000001</v>
      </c>
      <c r="C480">
        <v>1.913</v>
      </c>
      <c r="D480">
        <v>1.76</v>
      </c>
      <c r="E480">
        <v>1.7968999999999999</v>
      </c>
      <c r="F480">
        <v>304392.96999999997</v>
      </c>
      <c r="G480">
        <v>0</v>
      </c>
      <c r="L480" t="s">
        <v>7</v>
      </c>
      <c r="M480" t="s">
        <v>7</v>
      </c>
      <c r="N480" t="s">
        <v>7</v>
      </c>
      <c r="P480">
        <f t="shared" si="979"/>
        <v>-0.51764705882353035</v>
      </c>
      <c r="Q480">
        <f t="shared" si="980"/>
        <v>-157568.12564705909</v>
      </c>
      <c r="R480">
        <f t="shared" si="981"/>
        <v>-3155538.3712293468</v>
      </c>
      <c r="S480">
        <f t="shared" si="982"/>
        <v>-31.55538371229347</v>
      </c>
      <c r="T480">
        <f t="shared" si="983"/>
        <v>-3.1555383712293467E-2</v>
      </c>
    </row>
    <row r="481" spans="1:20" x14ac:dyDescent="0.25">
      <c r="A481" s="5">
        <v>44112</v>
      </c>
      <c r="B481">
        <v>1.8183</v>
      </c>
      <c r="C481">
        <v>1.9625999999999999</v>
      </c>
      <c r="D481">
        <v>1.7586999999999999</v>
      </c>
      <c r="E481">
        <v>1.8662000000000001</v>
      </c>
      <c r="F481">
        <v>245713.19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5.4438450220698056E-2</v>
      </c>
      <c r="Q481">
        <f t="shared" si="980"/>
        <v>13376.245262383924</v>
      </c>
      <c r="R481">
        <f t="shared" si="981"/>
        <v>-2997970.2455822877</v>
      </c>
      <c r="S481">
        <f t="shared" si="982"/>
        <v>-29.979702455822878</v>
      </c>
      <c r="T481">
        <f t="shared" si="983"/>
        <v>-2.9979702455822876E-2</v>
      </c>
    </row>
    <row r="482" spans="1:20" x14ac:dyDescent="0.25">
      <c r="A482" s="5">
        <v>44111</v>
      </c>
      <c r="B482">
        <v>1.7939000000000001</v>
      </c>
      <c r="C482">
        <v>2.1</v>
      </c>
      <c r="D482">
        <v>1.5762</v>
      </c>
      <c r="E482">
        <v>1.8182</v>
      </c>
      <c r="F482">
        <v>635445.76000000001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-7.598319969454001E-2</v>
      </c>
      <c r="Q482">
        <f t="shared" si="980"/>
        <v>-48283.202077128743</v>
      </c>
      <c r="R482">
        <f t="shared" si="981"/>
        <v>-3011346.4908446716</v>
      </c>
      <c r="S482">
        <f t="shared" si="982"/>
        <v>-30.113464908446716</v>
      </c>
      <c r="T482">
        <f t="shared" si="983"/>
        <v>-3.0113464908446717E-2</v>
      </c>
    </row>
    <row r="483" spans="1:20" x14ac:dyDescent="0.25">
      <c r="A483" s="5">
        <v>44110</v>
      </c>
      <c r="B483">
        <v>2.0746000000000002</v>
      </c>
      <c r="C483">
        <v>2.0874999999999999</v>
      </c>
      <c r="D483">
        <v>1.6269</v>
      </c>
      <c r="E483">
        <v>1.7936000000000001</v>
      </c>
      <c r="F483">
        <v>427203.05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-0.27616152844116326</v>
      </c>
      <c r="Q483">
        <f t="shared" si="980"/>
        <v>-117977.04724272669</v>
      </c>
      <c r="R483">
        <f t="shared" si="981"/>
        <v>-2963063.2887675427</v>
      </c>
      <c r="S483">
        <f t="shared" si="982"/>
        <v>-29.630632887675429</v>
      </c>
      <c r="T483">
        <f t="shared" si="983"/>
        <v>-2.963063288767543E-2</v>
      </c>
    </row>
    <row r="484" spans="1:20" x14ac:dyDescent="0.25">
      <c r="A484" s="5">
        <v>44109</v>
      </c>
      <c r="B484">
        <v>2.2402000000000002</v>
      </c>
      <c r="C484">
        <v>2.2599999999999998</v>
      </c>
      <c r="D484">
        <v>2.0640000000000001</v>
      </c>
      <c r="E484">
        <v>2.0754000000000001</v>
      </c>
      <c r="F484">
        <v>329408.8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-0.88367346938775415</v>
      </c>
      <c r="Q484">
        <f t="shared" si="980"/>
        <v>-291089.81714285683</v>
      </c>
      <c r="R484">
        <f t="shared" si="981"/>
        <v>-2845086.241524816</v>
      </c>
      <c r="S484">
        <f t="shared" si="982"/>
        <v>-28.45086241524816</v>
      </c>
      <c r="T484">
        <f t="shared" si="983"/>
        <v>-2.8450862415248159E-2</v>
      </c>
    </row>
    <row r="485" spans="1:20" x14ac:dyDescent="0.25">
      <c r="A485" s="5">
        <v>44108</v>
      </c>
      <c r="B485">
        <v>2.3904999999999998</v>
      </c>
      <c r="C485">
        <v>2.4131999999999998</v>
      </c>
      <c r="D485">
        <v>2.0606</v>
      </c>
      <c r="E485">
        <v>2.2399</v>
      </c>
      <c r="F485">
        <v>340948.46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1.701644923426044E-2</v>
      </c>
      <c r="Q485">
        <f t="shared" si="980"/>
        <v>5801.7321610892768</v>
      </c>
      <c r="R485">
        <f t="shared" si="981"/>
        <v>-2553996.4243819593</v>
      </c>
      <c r="S485">
        <f t="shared" si="982"/>
        <v>-25.539964243819593</v>
      </c>
      <c r="T485">
        <f t="shared" si="983"/>
        <v>-2.5539964243819595E-2</v>
      </c>
    </row>
    <row r="486" spans="1:20" x14ac:dyDescent="0.25">
      <c r="A486" s="5">
        <v>44107</v>
      </c>
      <c r="B486">
        <v>2.4950000000000001</v>
      </c>
      <c r="C486">
        <v>2.62</v>
      </c>
      <c r="D486">
        <v>2.3618000000000001</v>
      </c>
      <c r="E486">
        <v>2.3919000000000001</v>
      </c>
      <c r="F486">
        <v>467860.36</v>
      </c>
      <c r="G486">
        <v>0</v>
      </c>
      <c r="L486" t="s">
        <v>7</v>
      </c>
      <c r="M486" t="s">
        <v>7</v>
      </c>
      <c r="N486" t="s">
        <v>8</v>
      </c>
      <c r="P486">
        <f t="shared" si="979"/>
        <v>-0.76684740511231586</v>
      </c>
      <c r="Q486">
        <f t="shared" si="980"/>
        <v>-358777.50302091392</v>
      </c>
      <c r="R486">
        <f t="shared" si="981"/>
        <v>-2559798.1565430486</v>
      </c>
      <c r="S486">
        <f t="shared" si="982"/>
        <v>-25.597981565430487</v>
      </c>
      <c r="T486">
        <f t="shared" si="983"/>
        <v>-2.5597981565430486E-2</v>
      </c>
    </row>
    <row r="487" spans="1:20" x14ac:dyDescent="0.25">
      <c r="A487" s="5">
        <v>44106</v>
      </c>
      <c r="B487">
        <v>2.6600999999999999</v>
      </c>
      <c r="C487">
        <v>2.8490000000000002</v>
      </c>
      <c r="D487">
        <v>2.4201000000000001</v>
      </c>
      <c r="E487">
        <v>2.4946999999999999</v>
      </c>
      <c r="F487">
        <v>899090.75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-0.65213336442061198</v>
      </c>
      <c r="Q487">
        <f t="shared" si="980"/>
        <v>-586327.0757169514</v>
      </c>
      <c r="R487">
        <f t="shared" si="981"/>
        <v>-2201020.6535221348</v>
      </c>
      <c r="S487">
        <f t="shared" si="982"/>
        <v>-22.010206535221347</v>
      </c>
      <c r="T487">
        <f t="shared" si="983"/>
        <v>-2.2010206535221347E-2</v>
      </c>
    </row>
    <row r="488" spans="1:20" x14ac:dyDescent="0.25">
      <c r="A488" s="5">
        <v>44105</v>
      </c>
      <c r="B488">
        <v>2.8643000000000001</v>
      </c>
      <c r="C488">
        <v>2.97</v>
      </c>
      <c r="D488">
        <v>2.4220000000000002</v>
      </c>
      <c r="E488">
        <v>2.6602999999999999</v>
      </c>
      <c r="F488">
        <v>1401466.76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-0.13029197080292074</v>
      </c>
      <c r="Q488">
        <f t="shared" si="980"/>
        <v>-182599.86617518394</v>
      </c>
      <c r="R488">
        <f t="shared" si="981"/>
        <v>-1614693.5778051834</v>
      </c>
      <c r="S488">
        <f t="shared" si="982"/>
        <v>-16.146935778051834</v>
      </c>
      <c r="T488">
        <f t="shared" si="983"/>
        <v>-1.6146935778051832E-2</v>
      </c>
    </row>
    <row r="489" spans="1:20" x14ac:dyDescent="0.25">
      <c r="A489" s="5">
        <v>44104</v>
      </c>
      <c r="B489">
        <v>2.4</v>
      </c>
      <c r="C489">
        <v>4.2</v>
      </c>
      <c r="D489">
        <v>2.4</v>
      </c>
      <c r="E489">
        <v>2.8637000000000001</v>
      </c>
      <c r="F489">
        <v>2954124.09</v>
      </c>
      <c r="G489">
        <v>0</v>
      </c>
      <c r="P489">
        <f t="shared" si="979"/>
        <v>-0.48477777777777759</v>
      </c>
      <c r="Q489">
        <f t="shared" si="980"/>
        <v>-1432093.7116299993</v>
      </c>
      <c r="R489">
        <f t="shared" si="981"/>
        <v>-1432093.7116299993</v>
      </c>
      <c r="S489">
        <f t="shared" si="982"/>
        <v>-14.320937116299993</v>
      </c>
      <c r="T489">
        <f t="shared" si="983"/>
        <v>-1.4320937116299993E-2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X520" sqref="IX52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$A$519</v>
      </c>
      <c r="D111" s="1" t="str">
        <f>ADDRESS(C121-1,D121,1,1)</f>
        <v>$IX$519</v>
      </c>
      <c r="E111"/>
    </row>
    <row r="112" spans="1:5" x14ac:dyDescent="0.25">
      <c r="A112" s="7">
        <v>12164.144957890772</v>
      </c>
      <c r="C112" s="1" t="str">
        <f>ADDRESS(C121,1,1,1)</f>
        <v>$A$520</v>
      </c>
      <c r="D112" s="1" t="str">
        <f>ADDRESS(C121,D121-1,1,1)</f>
        <v>$IW$520</v>
      </c>
      <c r="E112"/>
    </row>
    <row r="113" spans="1:5" x14ac:dyDescent="0.25">
      <c r="A113" s="7">
        <v>11925.63231165762</v>
      </c>
      <c r="C113" s="1" t="str">
        <f>ADDRESS(C121+1,1,1,1)</f>
        <v>$A$521</v>
      </c>
      <c r="D113" s="1" t="str">
        <f>ADDRESS(C121-1,D121+1,1,1)</f>
        <v>$IY$519</v>
      </c>
    </row>
    <row r="114" spans="1:5" x14ac:dyDescent="0.25">
      <c r="A114" s="7">
        <v>11691.796383978059</v>
      </c>
      <c r="C114" s="1" t="str">
        <f>ADDRESS(C121,D121,1,1)</f>
        <v>$IX$520</v>
      </c>
      <c r="D114" s="1" t="str">
        <f>ADDRESS(C121+1,D121+1,1,1)</f>
        <v>$IY$521</v>
      </c>
    </row>
    <row r="115" spans="1:5" x14ac:dyDescent="0.25">
      <c r="A115" s="7">
        <v>11462.545474488292</v>
      </c>
      <c r="C115" s="1" t="str">
        <f>ADDRESS(C121+1,D121,1,1)</f>
        <v>$IX$521</v>
      </c>
    </row>
    <row r="116" spans="1:5" x14ac:dyDescent="0.25">
      <c r="A116" s="7">
        <v>11237.789680870874</v>
      </c>
      <c r="C116" s="1">
        <f>C117-1</f>
        <v>519</v>
      </c>
    </row>
    <row r="117" spans="1:5" x14ac:dyDescent="0.25">
      <c r="A117" s="7">
        <v>11017.440863598895</v>
      </c>
      <c r="C117" s="1">
        <f>C121</f>
        <v>520</v>
      </c>
      <c r="D117" s="1">
        <f>D121</f>
        <v>258</v>
      </c>
    </row>
    <row r="118" spans="1:5" x14ac:dyDescent="0.25">
      <c r="A118" s="7">
        <v>10801.412611371465</v>
      </c>
      <c r="C118" s="1">
        <f>C117+1</f>
        <v>521</v>
      </c>
      <c r="D118" s="1">
        <f>D117+1</f>
        <v>259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520</v>
      </c>
      <c r="D121" s="19">
        <v>258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R520</v>
      </c>
      <c r="D123" s="1" t="str">
        <f>"C"&amp;D121</f>
        <v>C258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3.7688730417113687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97" x14ac:dyDescent="0.25">
      <c r="A401" s="7">
        <v>39.776992891402749</v>
      </c>
      <c r="B401"/>
      <c r="C401"/>
      <c r="D401"/>
      <c r="E401"/>
    </row>
    <row r="402" spans="1:97" x14ac:dyDescent="0.25">
      <c r="A402" s="7">
        <v>38.997051854316418</v>
      </c>
      <c r="B402"/>
      <c r="C402"/>
      <c r="D402"/>
      <c r="E402"/>
    </row>
    <row r="403" spans="1:97" x14ac:dyDescent="0.25">
      <c r="A403" s="7">
        <v>38.232403778741585</v>
      </c>
      <c r="B403"/>
      <c r="C403"/>
      <c r="D403"/>
      <c r="E403"/>
    </row>
    <row r="404" spans="1:97" x14ac:dyDescent="0.25">
      <c r="A404" s="7">
        <v>37.48274880268783</v>
      </c>
      <c r="B404"/>
      <c r="C404"/>
      <c r="D404"/>
      <c r="E404"/>
    </row>
    <row r="405" spans="1:97" x14ac:dyDescent="0.25">
      <c r="A405" s="7">
        <v>36.747792943811596</v>
      </c>
      <c r="B405"/>
      <c r="C405"/>
      <c r="D405"/>
      <c r="E405"/>
    </row>
    <row r="406" spans="1:97" x14ac:dyDescent="0.25">
      <c r="A406" s="7">
        <v>36.027247984129012</v>
      </c>
      <c r="B406"/>
      <c r="C406"/>
      <c r="D406"/>
      <c r="E406"/>
    </row>
    <row r="407" spans="1:97" x14ac:dyDescent="0.25">
      <c r="A407" s="7">
        <v>35.320831356989224</v>
      </c>
      <c r="B407"/>
      <c r="C407"/>
      <c r="D407"/>
      <c r="E407"/>
    </row>
    <row r="408" spans="1:97" x14ac:dyDescent="0.25">
      <c r="A408" s="7">
        <v>34.628266036263945</v>
      </c>
      <c r="B408"/>
      <c r="C408"/>
      <c r="D408"/>
      <c r="E408"/>
    </row>
    <row r="409" spans="1:97" x14ac:dyDescent="0.25">
      <c r="A409" s="7">
        <v>33.949280427709752</v>
      </c>
      <c r="B409"/>
      <c r="C409"/>
      <c r="D409"/>
      <c r="E409"/>
    </row>
    <row r="410" spans="1:97" x14ac:dyDescent="0.25">
      <c r="A410" s="7">
        <v>33.28360826246054</v>
      </c>
      <c r="B410"/>
      <c r="C410"/>
      <c r="D410"/>
      <c r="E410"/>
    </row>
    <row r="411" spans="1:97" x14ac:dyDescent="0.25">
      <c r="A411" s="7">
        <v>32.630988492608374</v>
      </c>
      <c r="B411"/>
      <c r="C411"/>
      <c r="D411"/>
      <c r="E411"/>
    </row>
    <row r="412" spans="1:97" x14ac:dyDescent="0.25">
      <c r="A412" s="7">
        <v>31.99116518883174</v>
      </c>
      <c r="B412"/>
      <c r="C412"/>
      <c r="D412"/>
      <c r="E412"/>
    </row>
    <row r="413" spans="1:97" x14ac:dyDescent="0.25">
      <c r="A413" s="7">
        <v>31.363887440031117</v>
      </c>
      <c r="B413"/>
      <c r="C413"/>
      <c r="D413"/>
      <c r="E413"/>
    </row>
    <row r="414" spans="1:97" x14ac:dyDescent="0.25">
      <c r="A414" s="7">
        <v>30.748909254932467</v>
      </c>
      <c r="B414"/>
      <c r="C414"/>
      <c r="D414"/>
      <c r="E414"/>
    </row>
    <row r="415" spans="1:97" x14ac:dyDescent="0.25">
      <c r="A415" s="7">
        <v>30.145989465620065</v>
      </c>
      <c r="B415"/>
      <c r="C415"/>
      <c r="D415"/>
      <c r="E415"/>
    </row>
    <row r="416" spans="1:97" x14ac:dyDescent="0.25">
      <c r="A416" s="7">
        <v>29.55489163296085</v>
      </c>
      <c r="B416"/>
      <c r="C416"/>
      <c r="D416"/>
      <c r="E416"/>
      <c r="CS416" s="27" t="s">
        <v>8</v>
      </c>
    </row>
    <row r="417" spans="1:104" x14ac:dyDescent="0.25">
      <c r="A417" s="7">
        <v>28.975383953883185</v>
      </c>
      <c r="B417"/>
      <c r="C417"/>
      <c r="D417"/>
      <c r="E417"/>
      <c r="CS417" s="27" t="s">
        <v>8</v>
      </c>
      <c r="CT417" s="27" t="s">
        <v>7</v>
      </c>
    </row>
    <row r="418" spans="1:104" x14ac:dyDescent="0.25">
      <c r="A418" s="7">
        <v>28.407239170473709</v>
      </c>
      <c r="B418"/>
      <c r="C418"/>
      <c r="D418"/>
      <c r="E418"/>
      <c r="CQ418" s="27" t="s">
        <v>8</v>
      </c>
      <c r="CS418" s="27" t="s">
        <v>8</v>
      </c>
      <c r="CT418" s="27" t="s">
        <v>7</v>
      </c>
    </row>
    <row r="419" spans="1:104" x14ac:dyDescent="0.25">
      <c r="A419" s="7">
        <v>27.850234480856578</v>
      </c>
      <c r="B419"/>
      <c r="C419"/>
      <c r="D419"/>
      <c r="E419"/>
      <c r="CQ419" s="27" t="s">
        <v>8</v>
      </c>
      <c r="CR419" s="27" t="s">
        <v>7</v>
      </c>
      <c r="CS419" s="27" t="s">
        <v>8</v>
      </c>
      <c r="CT419" s="27" t="s">
        <v>7</v>
      </c>
    </row>
    <row r="420" spans="1:104" x14ac:dyDescent="0.25">
      <c r="A420" s="7">
        <v>27.304151451820175</v>
      </c>
      <c r="B420"/>
      <c r="C420"/>
      <c r="D420"/>
      <c r="E420"/>
      <c r="CQ420" s="27" t="s">
        <v>8</v>
      </c>
      <c r="CR420" s="27" t="s">
        <v>7</v>
      </c>
      <c r="CS420" s="27" t="s">
        <v>8</v>
      </c>
      <c r="CT420" s="27" t="s">
        <v>7</v>
      </c>
    </row>
    <row r="421" spans="1:104" x14ac:dyDescent="0.25">
      <c r="A421" s="7">
        <v>26.768775933157034</v>
      </c>
      <c r="B421"/>
      <c r="C421"/>
      <c r="D421"/>
      <c r="E421"/>
      <c r="CQ421" s="27" t="s">
        <v>8</v>
      </c>
      <c r="CR421" s="27" t="s">
        <v>7</v>
      </c>
      <c r="CS421" s="27" t="s">
        <v>8</v>
      </c>
      <c r="CT421" s="27" t="s">
        <v>7</v>
      </c>
    </row>
    <row r="422" spans="1:104" x14ac:dyDescent="0.25">
      <c r="A422" s="7">
        <v>26.243897973683367</v>
      </c>
      <c r="B422"/>
      <c r="C422"/>
      <c r="D422"/>
      <c r="E422"/>
      <c r="CQ422" s="27" t="s">
        <v>8</v>
      </c>
      <c r="CR422" s="27" t="s">
        <v>7</v>
      </c>
      <c r="CS422" s="27" t="s">
        <v>8</v>
      </c>
      <c r="CT422" s="27" t="s">
        <v>7</v>
      </c>
      <c r="CW422" s="27" t="s">
        <v>8</v>
      </c>
    </row>
    <row r="423" spans="1:104" x14ac:dyDescent="0.25">
      <c r="A423" s="7">
        <v>25.729311738905263</v>
      </c>
      <c r="B423"/>
      <c r="C423"/>
      <c r="D423"/>
      <c r="E423"/>
      <c r="CQ423" s="27" t="s">
        <v>8</v>
      </c>
      <c r="CR423" s="27" t="s">
        <v>7</v>
      </c>
      <c r="CS423" s="27" t="s">
        <v>8</v>
      </c>
      <c r="CT423" s="27" t="s">
        <v>7</v>
      </c>
      <c r="CU423" s="27" t="s">
        <v>8</v>
      </c>
      <c r="CW423" s="27" t="s">
        <v>8</v>
      </c>
      <c r="CX423" s="27" t="s">
        <v>7</v>
      </c>
    </row>
    <row r="424" spans="1:104" x14ac:dyDescent="0.25">
      <c r="A424" s="7">
        <v>25.224815430299277</v>
      </c>
      <c r="B424"/>
      <c r="C424"/>
      <c r="D424"/>
      <c r="E424"/>
      <c r="CQ424" s="27" t="s">
        <v>8</v>
      </c>
      <c r="CR424" s="27" t="s">
        <v>7</v>
      </c>
      <c r="CS424" s="27" t="s">
        <v>8</v>
      </c>
      <c r="CT424" s="27" t="s">
        <v>7</v>
      </c>
      <c r="CU424" s="27" t="s">
        <v>8</v>
      </c>
      <c r="CV424" s="27" t="s">
        <v>7</v>
      </c>
      <c r="CW424" s="27" t="s">
        <v>8</v>
      </c>
      <c r="CX424" s="27" t="s">
        <v>7</v>
      </c>
    </row>
    <row r="425" spans="1:104" x14ac:dyDescent="0.25">
      <c r="A425" s="7">
        <v>24.73021120617576</v>
      </c>
      <c r="B425"/>
      <c r="C425"/>
      <c r="D425"/>
      <c r="E425"/>
      <c r="CQ425" s="27" t="s">
        <v>8</v>
      </c>
      <c r="CR425" s="27" t="s">
        <v>7</v>
      </c>
      <c r="CS425" s="27" t="s">
        <v>8</v>
      </c>
      <c r="CT425" s="27" t="s">
        <v>7</v>
      </c>
      <c r="CU425" s="27" t="s">
        <v>8</v>
      </c>
      <c r="CV425" s="27" t="s">
        <v>7</v>
      </c>
      <c r="CW425" s="27" t="s">
        <v>8</v>
      </c>
      <c r="CX425" s="27" t="s">
        <v>7</v>
      </c>
    </row>
    <row r="426" spans="1:104" x14ac:dyDescent="0.25">
      <c r="A426" s="7">
        <v>24.24530510409388</v>
      </c>
      <c r="B426"/>
      <c r="C426"/>
      <c r="D426"/>
      <c r="E426"/>
      <c r="CQ426" s="27" t="s">
        <v>8</v>
      </c>
      <c r="CR426" s="27" t="s">
        <v>7</v>
      </c>
      <c r="CS426" s="27" t="s">
        <v>8</v>
      </c>
      <c r="CT426" s="27" t="s">
        <v>7</v>
      </c>
      <c r="CU426" s="27" t="s">
        <v>8</v>
      </c>
      <c r="CV426" s="27" t="s">
        <v>7</v>
      </c>
      <c r="CW426" s="27" t="s">
        <v>8</v>
      </c>
      <c r="CX426" s="27" t="s">
        <v>7</v>
      </c>
    </row>
    <row r="427" spans="1:104" x14ac:dyDescent="0.25">
      <c r="A427" s="7">
        <v>23.769906964797922</v>
      </c>
      <c r="B427"/>
      <c r="C427"/>
      <c r="D427"/>
      <c r="E427"/>
      <c r="CQ427" s="27" t="s">
        <v>8</v>
      </c>
      <c r="CR427" s="27" t="s">
        <v>7</v>
      </c>
      <c r="CS427" s="27" t="s">
        <v>8</v>
      </c>
      <c r="CT427" s="27" t="s">
        <v>7</v>
      </c>
      <c r="CU427" s="27" t="s">
        <v>8</v>
      </c>
      <c r="CV427" s="27" t="s">
        <v>7</v>
      </c>
      <c r="CX427" s="27" t="s">
        <v>7</v>
      </c>
    </row>
    <row r="428" spans="1:104" x14ac:dyDescent="0.25">
      <c r="A428" s="7">
        <v>23.303830357645023</v>
      </c>
      <c r="B428"/>
      <c r="C428"/>
      <c r="D428"/>
      <c r="E428"/>
      <c r="CQ428" s="27" t="s">
        <v>8</v>
      </c>
      <c r="CR428" s="27" t="s">
        <v>7</v>
      </c>
      <c r="CS428" s="27" t="s">
        <v>8</v>
      </c>
      <c r="CT428" s="27" t="s">
        <v>7</v>
      </c>
      <c r="CU428" s="27" t="s">
        <v>8</v>
      </c>
      <c r="CX428" s="27" t="s">
        <v>7</v>
      </c>
    </row>
    <row r="429" spans="1:104" x14ac:dyDescent="0.25">
      <c r="A429" s="7">
        <v>22.84689250749512</v>
      </c>
      <c r="B429"/>
      <c r="C429"/>
      <c r="D429"/>
      <c r="E429"/>
      <c r="CQ429" s="27" t="s">
        <v>8</v>
      </c>
      <c r="CR429" s="27" t="s">
        <v>7</v>
      </c>
      <c r="CT429" s="27" t="s">
        <v>7</v>
      </c>
      <c r="CU429" s="27" t="s">
        <v>8</v>
      </c>
      <c r="CX429" s="27" t="s">
        <v>7</v>
      </c>
    </row>
    <row r="430" spans="1:104" x14ac:dyDescent="0.25">
      <c r="A430" s="7">
        <v>22.398914223034431</v>
      </c>
      <c r="B430"/>
      <c r="C430"/>
      <c r="D430"/>
      <c r="E430"/>
      <c r="CQ430" s="27" t="s">
        <v>8</v>
      </c>
      <c r="CT430" s="27" t="s">
        <v>7</v>
      </c>
      <c r="CU430" s="27" t="s">
        <v>8</v>
      </c>
      <c r="CX430" s="27" t="s">
        <v>7</v>
      </c>
    </row>
    <row r="431" spans="1:104" x14ac:dyDescent="0.25">
      <c r="A431" s="7">
        <v>21.959719826504344</v>
      </c>
      <c r="B431"/>
      <c r="C431"/>
      <c r="D431"/>
      <c r="E431"/>
      <c r="CQ431" s="27" t="s">
        <v>8</v>
      </c>
      <c r="CT431" s="27" t="s">
        <v>7</v>
      </c>
      <c r="CU431" s="27" t="s">
        <v>8</v>
      </c>
      <c r="CX431" s="27" t="s">
        <v>7</v>
      </c>
      <c r="CY431" s="27" t="s">
        <v>8</v>
      </c>
    </row>
    <row r="432" spans="1:104" x14ac:dyDescent="0.25">
      <c r="A432" s="7">
        <v>21.52913708480818</v>
      </c>
      <c r="B432"/>
      <c r="C432"/>
      <c r="D432"/>
      <c r="E432"/>
      <c r="CQ432" s="27" t="s">
        <v>8</v>
      </c>
      <c r="CT432" s="27" t="s">
        <v>7</v>
      </c>
      <c r="CX432" s="27" t="s">
        <v>7</v>
      </c>
      <c r="CY432" s="27" t="s">
        <v>8</v>
      </c>
      <c r="CZ432" s="27" t="s">
        <v>7</v>
      </c>
    </row>
    <row r="433" spans="1:128" x14ac:dyDescent="0.25">
      <c r="A433" s="7">
        <v>21.106997141968804</v>
      </c>
      <c r="B433"/>
      <c r="C433"/>
      <c r="D433"/>
      <c r="E433"/>
      <c r="CQ433" s="27" t="s">
        <v>8</v>
      </c>
      <c r="CX433" s="27" t="s">
        <v>7</v>
      </c>
      <c r="CY433" s="27" t="s">
        <v>8</v>
      </c>
      <c r="CZ433" s="27" t="s">
        <v>7</v>
      </c>
    </row>
    <row r="434" spans="1:128" x14ac:dyDescent="0.25">
      <c r="A434" s="7">
        <v>20.693134452910591</v>
      </c>
      <c r="B434"/>
      <c r="C434"/>
      <c r="D434"/>
      <c r="E434"/>
      <c r="CQ434" s="27" t="s">
        <v>8</v>
      </c>
      <c r="CX434" s="27" t="s">
        <v>7</v>
      </c>
      <c r="CY434" s="27" t="s">
        <v>8</v>
      </c>
      <c r="CZ434" s="27" t="s">
        <v>7</v>
      </c>
      <c r="DA434" s="27" t="s">
        <v>8</v>
      </c>
    </row>
    <row r="435" spans="1:128" x14ac:dyDescent="0.25">
      <c r="A435" s="7">
        <v>20.287386718539796</v>
      </c>
      <c r="B435"/>
      <c r="C435"/>
      <c r="D435"/>
      <c r="E435"/>
      <c r="CQ435" s="27" t="s">
        <v>8</v>
      </c>
      <c r="CX435" s="27" t="s">
        <v>7</v>
      </c>
      <c r="CY435" s="27" t="s">
        <v>8</v>
      </c>
      <c r="CZ435" s="27" t="s">
        <v>7</v>
      </c>
      <c r="DA435" s="27" t="s">
        <v>8</v>
      </c>
      <c r="DB435" s="27" t="s">
        <v>7</v>
      </c>
    </row>
    <row r="436" spans="1:128" x14ac:dyDescent="0.25">
      <c r="A436" s="7">
        <v>19.889594822097838</v>
      </c>
      <c r="B436"/>
      <c r="C436"/>
      <c r="D436"/>
      <c r="E436"/>
      <c r="CO436" s="27" t="s">
        <v>8</v>
      </c>
      <c r="CQ436" s="27" t="s">
        <v>8</v>
      </c>
      <c r="CX436" s="27" t="s">
        <v>7</v>
      </c>
      <c r="CY436" s="27" t="s">
        <v>8</v>
      </c>
      <c r="CZ436" s="27" t="s">
        <v>7</v>
      </c>
      <c r="DA436" s="27" t="s">
        <v>8</v>
      </c>
      <c r="DB436" s="27" t="s">
        <v>7</v>
      </c>
    </row>
    <row r="437" spans="1:128" x14ac:dyDescent="0.25">
      <c r="A437" s="7">
        <v>19.499602766762585</v>
      </c>
      <c r="B437"/>
      <c r="C437"/>
      <c r="D437"/>
      <c r="E437"/>
      <c r="CO437" s="27" t="s">
        <v>8</v>
      </c>
      <c r="CP437" s="27" t="s">
        <v>7</v>
      </c>
      <c r="CQ437" s="27" t="s">
        <v>8</v>
      </c>
      <c r="CX437" s="27" t="s">
        <v>7</v>
      </c>
      <c r="CZ437" s="27" t="s">
        <v>7</v>
      </c>
      <c r="DA437" s="27" t="s">
        <v>8</v>
      </c>
      <c r="DB437" s="27" t="s">
        <v>7</v>
      </c>
    </row>
    <row r="438" spans="1:128" x14ac:dyDescent="0.25">
      <c r="A438" s="7">
        <v>19.117257614473122</v>
      </c>
      <c r="B438"/>
      <c r="C438"/>
      <c r="D438"/>
      <c r="E438"/>
      <c r="CO438" s="27" t="s">
        <v>8</v>
      </c>
      <c r="CP438" s="27" t="s">
        <v>7</v>
      </c>
      <c r="CQ438" s="27" t="s">
        <v>8</v>
      </c>
      <c r="CZ438" s="27" t="s">
        <v>7</v>
      </c>
      <c r="DA438" s="27" t="s">
        <v>8</v>
      </c>
      <c r="DB438" s="27" t="s">
        <v>7</v>
      </c>
      <c r="DC438" s="27" t="s">
        <v>8</v>
      </c>
      <c r="DQ438" s="27" t="s">
        <v>8</v>
      </c>
    </row>
    <row r="439" spans="1:128" x14ac:dyDescent="0.25">
      <c r="A439" s="7">
        <v>18.74240942595404</v>
      </c>
      <c r="B439"/>
      <c r="C439"/>
      <c r="D439"/>
      <c r="E439"/>
      <c r="CO439" s="27" t="s">
        <v>8</v>
      </c>
      <c r="CP439" s="27" t="s">
        <v>7</v>
      </c>
      <c r="CQ439" s="27" t="s">
        <v>8</v>
      </c>
      <c r="CZ439" s="27" t="s">
        <v>7</v>
      </c>
      <c r="DA439" s="27" t="s">
        <v>8</v>
      </c>
      <c r="DB439" s="27" t="s">
        <v>7</v>
      </c>
      <c r="DC439" s="27" t="s">
        <v>8</v>
      </c>
      <c r="DD439" s="27" t="s">
        <v>7</v>
      </c>
      <c r="DQ439" s="27" t="s">
        <v>8</v>
      </c>
      <c r="DR439" s="27" t="s">
        <v>7</v>
      </c>
    </row>
    <row r="440" spans="1:128" x14ac:dyDescent="0.25">
      <c r="A440" s="7">
        <v>18.374911201915726</v>
      </c>
      <c r="B440"/>
      <c r="C440"/>
      <c r="D440"/>
      <c r="E440"/>
      <c r="CO440" s="27" t="s">
        <v>8</v>
      </c>
      <c r="CP440" s="27" t="s">
        <v>7</v>
      </c>
      <c r="CQ440" s="27" t="s">
        <v>8</v>
      </c>
      <c r="CZ440" s="27" t="s">
        <v>7</v>
      </c>
      <c r="DA440" s="27" t="s">
        <v>8</v>
      </c>
      <c r="DB440" s="27" t="s">
        <v>7</v>
      </c>
      <c r="DC440" s="27" t="s">
        <v>8</v>
      </c>
      <c r="DD440" s="27" t="s">
        <v>7</v>
      </c>
      <c r="DQ440" s="27" t="s">
        <v>8</v>
      </c>
      <c r="DR440" s="27" t="s">
        <v>7</v>
      </c>
    </row>
    <row r="441" spans="1:128" x14ac:dyDescent="0.25">
      <c r="A441" s="7">
        <v>18.014618825407574</v>
      </c>
      <c r="B441"/>
      <c r="C441"/>
      <c r="D441"/>
      <c r="E441"/>
      <c r="CK441" s="27" t="s">
        <v>8</v>
      </c>
      <c r="CO441" s="27" t="s">
        <v>8</v>
      </c>
      <c r="CP441" s="27" t="s">
        <v>7</v>
      </c>
      <c r="CQ441" s="27" t="s">
        <v>8</v>
      </c>
      <c r="CZ441" s="27" t="s">
        <v>7</v>
      </c>
      <c r="DA441" s="27" t="s">
        <v>8</v>
      </c>
      <c r="DB441" s="27" t="s">
        <v>7</v>
      </c>
      <c r="DC441" s="27" t="s">
        <v>8</v>
      </c>
      <c r="DD441" s="27" t="s">
        <v>7</v>
      </c>
      <c r="DQ441" s="27" t="s">
        <v>8</v>
      </c>
      <c r="DR441" s="27" t="s">
        <v>7</v>
      </c>
    </row>
    <row r="442" spans="1:128" x14ac:dyDescent="0.25">
      <c r="A442" s="7">
        <v>17.661391005301542</v>
      </c>
      <c r="B442"/>
      <c r="C442"/>
      <c r="D442"/>
      <c r="E442"/>
      <c r="CK442" s="27" t="s">
        <v>8</v>
      </c>
      <c r="CL442" s="27" t="s">
        <v>7</v>
      </c>
      <c r="CM442" s="27" t="s">
        <v>8</v>
      </c>
      <c r="CO442" s="27" t="s">
        <v>8</v>
      </c>
      <c r="CP442" s="27" t="s">
        <v>7</v>
      </c>
      <c r="CQ442" s="27" t="s">
        <v>8</v>
      </c>
      <c r="CZ442" s="27" t="s">
        <v>7</v>
      </c>
      <c r="DA442" s="27" t="s">
        <v>8</v>
      </c>
      <c r="DB442" s="27" t="s">
        <v>7</v>
      </c>
      <c r="DC442" s="27" t="s">
        <v>8</v>
      </c>
      <c r="DD442" s="27" t="s">
        <v>7</v>
      </c>
      <c r="DE442" s="27" t="s">
        <v>8</v>
      </c>
      <c r="DQ442" s="27" t="s">
        <v>8</v>
      </c>
      <c r="DR442" s="27" t="s">
        <v>7</v>
      </c>
    </row>
    <row r="443" spans="1:128" x14ac:dyDescent="0.25">
      <c r="A443" s="7">
        <v>17.315089220883866</v>
      </c>
      <c r="B443"/>
      <c r="C443"/>
      <c r="D443"/>
      <c r="E443"/>
      <c r="CK443" s="27" t="s">
        <v>8</v>
      </c>
      <c r="CL443" s="27" t="s">
        <v>7</v>
      </c>
      <c r="CM443" s="27" t="s">
        <v>8</v>
      </c>
      <c r="CN443" s="27" t="s">
        <v>7</v>
      </c>
      <c r="CO443" s="27" t="s">
        <v>8</v>
      </c>
      <c r="CP443" s="27" t="s">
        <v>7</v>
      </c>
      <c r="CQ443" s="27" t="s">
        <v>8</v>
      </c>
      <c r="CZ443" s="27" t="s">
        <v>7</v>
      </c>
      <c r="DA443" s="27" t="s">
        <v>8</v>
      </c>
      <c r="DB443" s="27" t="s">
        <v>7</v>
      </c>
      <c r="DC443" s="27" t="s">
        <v>8</v>
      </c>
      <c r="DD443" s="27" t="s">
        <v>7</v>
      </c>
      <c r="DE443" s="27" t="s">
        <v>8</v>
      </c>
      <c r="DF443" s="27" t="s">
        <v>7</v>
      </c>
      <c r="DQ443" s="27" t="s">
        <v>8</v>
      </c>
      <c r="DR443" s="27" t="s">
        <v>7</v>
      </c>
      <c r="DW443" s="27" t="s">
        <v>8</v>
      </c>
    </row>
    <row r="444" spans="1:128" x14ac:dyDescent="0.25">
      <c r="A444" s="7">
        <v>16.975577667533202</v>
      </c>
      <c r="B444"/>
      <c r="C444"/>
      <c r="D444"/>
      <c r="E444"/>
      <c r="CK444" s="27" t="s">
        <v>8</v>
      </c>
      <c r="CL444" s="27" t="s">
        <v>7</v>
      </c>
      <c r="CM444" s="27" t="s">
        <v>8</v>
      </c>
      <c r="CN444" s="27" t="s">
        <v>7</v>
      </c>
      <c r="CO444" s="27" t="s">
        <v>8</v>
      </c>
      <c r="CP444" s="27" t="s">
        <v>7</v>
      </c>
      <c r="CQ444" s="27" t="s">
        <v>8</v>
      </c>
      <c r="CZ444" s="27" t="s">
        <v>7</v>
      </c>
      <c r="DA444" s="27" t="s">
        <v>8</v>
      </c>
      <c r="DB444" s="27" t="s">
        <v>7</v>
      </c>
      <c r="DC444" s="27" t="s">
        <v>8</v>
      </c>
      <c r="DD444" s="27" t="s">
        <v>7</v>
      </c>
      <c r="DE444" s="27" t="s">
        <v>8</v>
      </c>
      <c r="DF444" s="27" t="s">
        <v>7</v>
      </c>
      <c r="DQ444" s="27" t="s">
        <v>8</v>
      </c>
      <c r="DR444" s="27" t="s">
        <v>7</v>
      </c>
      <c r="DS444" s="27" t="s">
        <v>8</v>
      </c>
      <c r="DW444" s="27" t="s">
        <v>8</v>
      </c>
      <c r="DX444" s="27" t="s">
        <v>7</v>
      </c>
    </row>
    <row r="445" spans="1:128" x14ac:dyDescent="0.25">
      <c r="A445" s="7">
        <v>16.642723203463923</v>
      </c>
      <c r="B445"/>
      <c r="C445"/>
      <c r="D445"/>
      <c r="E445"/>
      <c r="CK445" s="27" t="s">
        <v>8</v>
      </c>
      <c r="CL445" s="27" t="s">
        <v>7</v>
      </c>
      <c r="CM445" s="27" t="s">
        <v>8</v>
      </c>
      <c r="CN445" s="27" t="s">
        <v>7</v>
      </c>
      <c r="CO445" s="27" t="s">
        <v>8</v>
      </c>
      <c r="CP445" s="27" t="s">
        <v>7</v>
      </c>
      <c r="CQ445" s="27" t="s">
        <v>8</v>
      </c>
      <c r="CZ445" s="27" t="s">
        <v>7</v>
      </c>
      <c r="DA445" s="27" t="s">
        <v>8</v>
      </c>
      <c r="DB445" s="27" t="s">
        <v>7</v>
      </c>
      <c r="DC445" s="27" t="s">
        <v>8</v>
      </c>
      <c r="DD445" s="27" t="s">
        <v>7</v>
      </c>
      <c r="DE445" s="27" t="s">
        <v>8</v>
      </c>
      <c r="DF445" s="27" t="s">
        <v>7</v>
      </c>
      <c r="DG445" s="27" t="s">
        <v>8</v>
      </c>
      <c r="DQ445" s="27" t="s">
        <v>8</v>
      </c>
      <c r="DR445" s="27" t="s">
        <v>7</v>
      </c>
      <c r="DS445" s="27" t="s">
        <v>8</v>
      </c>
      <c r="DT445" s="27" t="s">
        <v>7</v>
      </c>
      <c r="DW445" s="27" t="s">
        <v>8</v>
      </c>
      <c r="DX445" s="27" t="s">
        <v>7</v>
      </c>
    </row>
    <row r="446" spans="1:128" x14ac:dyDescent="0.25">
      <c r="A446" s="7">
        <v>16.316395297513651</v>
      </c>
      <c r="B446"/>
      <c r="C446"/>
      <c r="D446"/>
      <c r="E446"/>
      <c r="CK446" s="27" t="s">
        <v>8</v>
      </c>
      <c r="CL446" s="27" t="s">
        <v>7</v>
      </c>
      <c r="CM446" s="27" t="s">
        <v>8</v>
      </c>
      <c r="CN446" s="27" t="s">
        <v>7</v>
      </c>
      <c r="CO446" s="27" t="s">
        <v>8</v>
      </c>
      <c r="CP446" s="27" t="s">
        <v>7</v>
      </c>
      <c r="CZ446" s="27" t="s">
        <v>7</v>
      </c>
      <c r="DB446" s="27" t="s">
        <v>7</v>
      </c>
      <c r="DC446" s="27" t="s">
        <v>8</v>
      </c>
      <c r="DD446" s="27" t="s">
        <v>7</v>
      </c>
      <c r="DE446" s="27" t="s">
        <v>8</v>
      </c>
      <c r="DF446" s="27" t="s">
        <v>7</v>
      </c>
      <c r="DG446" s="27" t="s">
        <v>8</v>
      </c>
      <c r="DH446" s="27" t="s">
        <v>7</v>
      </c>
      <c r="DQ446" s="27" t="s">
        <v>8</v>
      </c>
      <c r="DR446" s="27" t="s">
        <v>7</v>
      </c>
      <c r="DS446" s="27" t="s">
        <v>8</v>
      </c>
      <c r="DT446" s="27" t="s">
        <v>7</v>
      </c>
      <c r="DU446" s="27" t="s">
        <v>8</v>
      </c>
      <c r="DW446" s="27" t="s">
        <v>8</v>
      </c>
      <c r="DX446" s="27" t="s">
        <v>7</v>
      </c>
    </row>
    <row r="447" spans="1:128" x14ac:dyDescent="0.25">
      <c r="A447" s="7">
        <v>15.996465977954561</v>
      </c>
      <c r="B447"/>
      <c r="C447"/>
      <c r="D447"/>
      <c r="E447"/>
      <c r="CK447" s="27" t="s">
        <v>8</v>
      </c>
      <c r="CL447" s="27" t="s">
        <v>7</v>
      </c>
      <c r="CM447" s="27" t="s">
        <v>8</v>
      </c>
      <c r="CN447" s="27" t="s">
        <v>7</v>
      </c>
      <c r="DB447" s="27" t="s">
        <v>7</v>
      </c>
      <c r="DC447" s="27" t="s">
        <v>8</v>
      </c>
      <c r="DD447" s="27" t="s">
        <v>7</v>
      </c>
      <c r="DE447" s="27" t="s">
        <v>8</v>
      </c>
      <c r="DF447" s="27" t="s">
        <v>7</v>
      </c>
      <c r="DG447" s="27" t="s">
        <v>8</v>
      </c>
      <c r="DH447" s="27" t="s">
        <v>7</v>
      </c>
      <c r="DQ447" s="27" t="s">
        <v>8</v>
      </c>
      <c r="DR447" s="27" t="s">
        <v>7</v>
      </c>
      <c r="DS447" s="27" t="s">
        <v>8</v>
      </c>
      <c r="DT447" s="27" t="s">
        <v>7</v>
      </c>
      <c r="DU447" s="27" t="s">
        <v>8</v>
      </c>
      <c r="DV447" s="27" t="s">
        <v>7</v>
      </c>
      <c r="DW447" s="27" t="s">
        <v>8</v>
      </c>
      <c r="DX447" s="27" t="s">
        <v>7</v>
      </c>
    </row>
    <row r="448" spans="1:128" x14ac:dyDescent="0.25">
      <c r="A448" s="7">
        <v>15.682809782308393</v>
      </c>
      <c r="B448"/>
      <c r="C448"/>
      <c r="D448"/>
      <c r="E448"/>
      <c r="CK448" s="27" t="s">
        <v>8</v>
      </c>
      <c r="CL448" s="27" t="s">
        <v>7</v>
      </c>
      <c r="CM448" s="27" t="s">
        <v>8</v>
      </c>
      <c r="DB448" s="27" t="s">
        <v>7</v>
      </c>
      <c r="DD448" s="27" t="s">
        <v>7</v>
      </c>
      <c r="DE448" s="27" t="s">
        <v>8</v>
      </c>
      <c r="DF448" s="27" t="s">
        <v>7</v>
      </c>
      <c r="DG448" s="27" t="s">
        <v>8</v>
      </c>
      <c r="DH448" s="27" t="s">
        <v>7</v>
      </c>
      <c r="DQ448" s="27" t="s">
        <v>8</v>
      </c>
      <c r="DR448" s="27" t="s">
        <v>7</v>
      </c>
      <c r="DS448" s="27" t="s">
        <v>8</v>
      </c>
      <c r="DT448" s="27" t="s">
        <v>7</v>
      </c>
      <c r="DU448" s="27" t="s">
        <v>8</v>
      </c>
      <c r="DV448" s="27" t="s">
        <v>7</v>
      </c>
      <c r="DW448" s="27" t="s">
        <v>8</v>
      </c>
      <c r="DX448" s="27" t="s">
        <v>7</v>
      </c>
    </row>
    <row r="449" spans="1:190" x14ac:dyDescent="0.25">
      <c r="A449" s="7">
        <v>15.375303708145482</v>
      </c>
      <c r="B449"/>
      <c r="C449"/>
      <c r="D449"/>
      <c r="E449"/>
      <c r="CK449" s="27" t="s">
        <v>8</v>
      </c>
      <c r="CL449" s="27" t="s">
        <v>7</v>
      </c>
      <c r="CM449" s="27" t="s">
        <v>8</v>
      </c>
      <c r="DD449" s="27" t="s">
        <v>7</v>
      </c>
      <c r="DE449" s="27" t="s">
        <v>8</v>
      </c>
      <c r="DF449" s="27" t="s">
        <v>7</v>
      </c>
      <c r="DG449" s="27" t="s">
        <v>8</v>
      </c>
      <c r="DH449" s="27" t="s">
        <v>7</v>
      </c>
      <c r="DI449" s="27" t="s">
        <v>8</v>
      </c>
      <c r="DQ449" s="27" t="s">
        <v>8</v>
      </c>
      <c r="DR449" s="27" t="s">
        <v>7</v>
      </c>
      <c r="DT449" s="27" t="s">
        <v>7</v>
      </c>
      <c r="DU449" s="27" t="s">
        <v>8</v>
      </c>
      <c r="DV449" s="27" t="s">
        <v>7</v>
      </c>
      <c r="DW449" s="27" t="s">
        <v>8</v>
      </c>
      <c r="DX449" s="27" t="s">
        <v>7</v>
      </c>
    </row>
    <row r="450" spans="1:190" x14ac:dyDescent="0.25">
      <c r="A450" s="7">
        <v>15.073827164848511</v>
      </c>
      <c r="B450"/>
      <c r="C450"/>
      <c r="D450"/>
      <c r="E450"/>
      <c r="CG450" s="27" t="s">
        <v>8</v>
      </c>
      <c r="CK450" s="27" t="s">
        <v>8</v>
      </c>
      <c r="CL450" s="27" t="s">
        <v>7</v>
      </c>
      <c r="CM450" s="27" t="s">
        <v>8</v>
      </c>
      <c r="DD450" s="27" t="s">
        <v>7</v>
      </c>
      <c r="DE450" s="27" t="s">
        <v>8</v>
      </c>
      <c r="DF450" s="27" t="s">
        <v>7</v>
      </c>
      <c r="DH450" s="27" t="s">
        <v>7</v>
      </c>
      <c r="DI450" s="27" t="s">
        <v>8</v>
      </c>
      <c r="DJ450" s="27" t="s">
        <v>7</v>
      </c>
      <c r="DQ450" s="27" t="s">
        <v>8</v>
      </c>
      <c r="DT450" s="27" t="s">
        <v>7</v>
      </c>
      <c r="DU450" s="27" t="s">
        <v>8</v>
      </c>
      <c r="DV450" s="27" t="s">
        <v>7</v>
      </c>
      <c r="DW450" s="27" t="s">
        <v>8</v>
      </c>
      <c r="DX450" s="27" t="s">
        <v>7</v>
      </c>
    </row>
    <row r="451" spans="1:190" x14ac:dyDescent="0.25">
      <c r="A451" s="7">
        <v>14.77826192632207</v>
      </c>
      <c r="B451"/>
      <c r="C451"/>
      <c r="D451"/>
      <c r="E451"/>
      <c r="CG451" s="27" t="s">
        <v>8</v>
      </c>
      <c r="CH451" s="27" t="s">
        <v>7</v>
      </c>
      <c r="CK451" s="27" t="s">
        <v>8</v>
      </c>
      <c r="CL451" s="27" t="s">
        <v>7</v>
      </c>
      <c r="DD451" s="27" t="s">
        <v>7</v>
      </c>
      <c r="DE451" s="27" t="s">
        <v>8</v>
      </c>
      <c r="DH451" s="27" t="s">
        <v>7</v>
      </c>
      <c r="DI451" s="27" t="s">
        <v>8</v>
      </c>
      <c r="DJ451" s="27" t="s">
        <v>7</v>
      </c>
      <c r="DK451" s="27" t="s">
        <v>8</v>
      </c>
      <c r="DO451" s="27" t="s">
        <v>8</v>
      </c>
      <c r="DQ451" s="27" t="s">
        <v>8</v>
      </c>
      <c r="DT451" s="27" t="s">
        <v>7</v>
      </c>
      <c r="DU451" s="27" t="s">
        <v>8</v>
      </c>
      <c r="DV451" s="27" t="s">
        <v>7</v>
      </c>
      <c r="DW451" s="27" t="s">
        <v>8</v>
      </c>
      <c r="DX451" s="27" t="s">
        <v>7</v>
      </c>
      <c r="DY451" s="27" t="s">
        <v>8</v>
      </c>
    </row>
    <row r="452" spans="1:190" x14ac:dyDescent="0.25">
      <c r="A452" s="7">
        <v>14.488492084629481</v>
      </c>
      <c r="B452"/>
      <c r="C452"/>
      <c r="D452"/>
      <c r="E452"/>
      <c r="CG452" s="27" t="s">
        <v>8</v>
      </c>
      <c r="CH452" s="27" t="s">
        <v>7</v>
      </c>
      <c r="CK452" s="27" t="s">
        <v>8</v>
      </c>
      <c r="DD452" s="27" t="s">
        <v>7</v>
      </c>
      <c r="DH452" s="27" t="s">
        <v>7</v>
      </c>
      <c r="DI452" s="27" t="s">
        <v>8</v>
      </c>
      <c r="DJ452" s="27" t="s">
        <v>7</v>
      </c>
      <c r="DK452" s="27" t="s">
        <v>8</v>
      </c>
      <c r="DL452" s="27" t="s">
        <v>7</v>
      </c>
      <c r="DO452" s="27" t="s">
        <v>8</v>
      </c>
      <c r="DP452" s="27" t="s">
        <v>7</v>
      </c>
      <c r="DQ452" s="27" t="s">
        <v>8</v>
      </c>
      <c r="DT452" s="27" t="s">
        <v>7</v>
      </c>
      <c r="DU452" s="27" t="s">
        <v>8</v>
      </c>
      <c r="DV452" s="27" t="s">
        <v>7</v>
      </c>
      <c r="DW452" s="27" t="s">
        <v>8</v>
      </c>
      <c r="DX452" s="27" t="s">
        <v>7</v>
      </c>
      <c r="DY452" s="27" t="s">
        <v>8</v>
      </c>
      <c r="DZ452" s="27" t="s">
        <v>7</v>
      </c>
    </row>
    <row r="453" spans="1:190" x14ac:dyDescent="0.25">
      <c r="A453" s="7">
        <v>14.204404004538707</v>
      </c>
      <c r="B453"/>
      <c r="C453"/>
      <c r="D453"/>
      <c r="E453"/>
      <c r="CG453" s="27" t="s">
        <v>8</v>
      </c>
      <c r="CH453" s="27" t="s">
        <v>7</v>
      </c>
      <c r="CK453" s="27" t="s">
        <v>8</v>
      </c>
      <c r="DH453" s="27" t="s">
        <v>7</v>
      </c>
      <c r="DI453" s="27" t="s">
        <v>8</v>
      </c>
      <c r="DJ453" s="27" t="s">
        <v>7</v>
      </c>
      <c r="DK453" s="27" t="s">
        <v>8</v>
      </c>
      <c r="DL453" s="27" t="s">
        <v>7</v>
      </c>
      <c r="DO453" s="27" t="s">
        <v>8</v>
      </c>
      <c r="DP453" s="27" t="s">
        <v>7</v>
      </c>
      <c r="DQ453" s="27" t="s">
        <v>8</v>
      </c>
      <c r="DT453" s="27" t="s">
        <v>7</v>
      </c>
      <c r="DU453" s="27" t="s">
        <v>8</v>
      </c>
      <c r="DV453" s="27" t="s">
        <v>7</v>
      </c>
      <c r="DX453" s="27" t="s">
        <v>7</v>
      </c>
      <c r="DY453" s="27" t="s">
        <v>8</v>
      </c>
      <c r="DZ453" s="27" t="s">
        <v>7</v>
      </c>
      <c r="EA453" s="27" t="s">
        <v>8</v>
      </c>
    </row>
    <row r="454" spans="1:190" x14ac:dyDescent="0.25">
      <c r="A454" s="7">
        <v>13.925886278959517</v>
      </c>
      <c r="B454"/>
      <c r="C454"/>
      <c r="D454"/>
      <c r="E454"/>
      <c r="CG454" s="27" t="s">
        <v>8</v>
      </c>
      <c r="CH454" s="27" t="s">
        <v>7</v>
      </c>
      <c r="CK454" s="27" t="s">
        <v>8</v>
      </c>
      <c r="DH454" s="27" t="s">
        <v>7</v>
      </c>
      <c r="DI454" s="27" t="s">
        <v>8</v>
      </c>
      <c r="DJ454" s="27" t="s">
        <v>7</v>
      </c>
      <c r="DK454" s="27" t="s">
        <v>8</v>
      </c>
      <c r="DL454" s="27" t="s">
        <v>7</v>
      </c>
      <c r="DO454" s="27" t="s">
        <v>8</v>
      </c>
      <c r="DP454" s="27" t="s">
        <v>7</v>
      </c>
      <c r="DQ454" s="27" t="s">
        <v>8</v>
      </c>
      <c r="DT454" s="27" t="s">
        <v>7</v>
      </c>
      <c r="DU454" s="27" t="s">
        <v>8</v>
      </c>
      <c r="DX454" s="27" t="s">
        <v>7</v>
      </c>
      <c r="DY454" s="27" t="s">
        <v>8</v>
      </c>
      <c r="DZ454" s="27" t="s">
        <v>7</v>
      </c>
      <c r="EA454" s="27" t="s">
        <v>8</v>
      </c>
      <c r="EB454" s="27" t="s">
        <v>7</v>
      </c>
    </row>
    <row r="455" spans="1:190" x14ac:dyDescent="0.25">
      <c r="A455" s="7">
        <v>13.652829685254428</v>
      </c>
      <c r="B455"/>
      <c r="C455"/>
      <c r="D455"/>
      <c r="E455"/>
      <c r="CG455" s="27" t="s">
        <v>8</v>
      </c>
      <c r="CH455" s="27" t="s">
        <v>7</v>
      </c>
      <c r="CK455" s="27" t="s">
        <v>8</v>
      </c>
      <c r="DH455" s="27" t="s">
        <v>7</v>
      </c>
      <c r="DI455" s="27" t="s">
        <v>8</v>
      </c>
      <c r="DJ455" s="27" t="s">
        <v>7</v>
      </c>
      <c r="DK455" s="27" t="s">
        <v>8</v>
      </c>
      <c r="DL455" s="27" t="s">
        <v>7</v>
      </c>
      <c r="DO455" s="27" t="s">
        <v>8</v>
      </c>
      <c r="DP455" s="27" t="s">
        <v>7</v>
      </c>
      <c r="DQ455" s="27" t="s">
        <v>8</v>
      </c>
      <c r="DT455" s="27" t="s">
        <v>7</v>
      </c>
      <c r="DX455" s="27" t="s">
        <v>7</v>
      </c>
      <c r="DY455" s="27" t="s">
        <v>8</v>
      </c>
      <c r="DZ455" s="27" t="s">
        <v>7</v>
      </c>
      <c r="EA455" s="27" t="s">
        <v>8</v>
      </c>
      <c r="EB455" s="27" t="s">
        <v>7</v>
      </c>
    </row>
    <row r="456" spans="1:190" x14ac:dyDescent="0.25">
      <c r="A456" s="7">
        <v>13.385127142406303</v>
      </c>
      <c r="B456"/>
      <c r="C456"/>
      <c r="D456"/>
      <c r="E456"/>
      <c r="CG456" s="27" t="s">
        <v>8</v>
      </c>
      <c r="CH456" s="27" t="s">
        <v>7</v>
      </c>
      <c r="CK456" s="27" t="s">
        <v>8</v>
      </c>
      <c r="DH456" s="27" t="s">
        <v>7</v>
      </c>
      <c r="DI456" s="27" t="s">
        <v>8</v>
      </c>
      <c r="DJ456" s="27" t="s">
        <v>7</v>
      </c>
      <c r="DK456" s="27" t="s">
        <v>8</v>
      </c>
      <c r="DL456" s="27" t="s">
        <v>7</v>
      </c>
      <c r="DO456" s="27" t="s">
        <v>8</v>
      </c>
      <c r="DP456" s="27" t="s">
        <v>7</v>
      </c>
      <c r="DQ456" s="27" t="s">
        <v>8</v>
      </c>
      <c r="DX456" s="27" t="s">
        <v>7</v>
      </c>
      <c r="DY456" s="27" t="s">
        <v>8</v>
      </c>
      <c r="DZ456" s="27" t="s">
        <v>7</v>
      </c>
      <c r="EA456" s="27" t="s">
        <v>8</v>
      </c>
      <c r="EB456" s="27" t="s">
        <v>7</v>
      </c>
    </row>
    <row r="457" spans="1:190" x14ac:dyDescent="0.25">
      <c r="A457" s="7">
        <v>13.122673669025787</v>
      </c>
      <c r="B457"/>
      <c r="C457"/>
      <c r="D457"/>
      <c r="E457"/>
      <c r="CG457" s="27" t="s">
        <v>8</v>
      </c>
      <c r="CH457" s="27" t="s">
        <v>7</v>
      </c>
      <c r="CK457" s="27" t="s">
        <v>8</v>
      </c>
      <c r="DH457" s="27" t="s">
        <v>7</v>
      </c>
      <c r="DI457" s="27" t="s">
        <v>8</v>
      </c>
      <c r="DJ457" s="27" t="s">
        <v>7</v>
      </c>
      <c r="DK457" s="27" t="s">
        <v>8</v>
      </c>
      <c r="DL457" s="27" t="s">
        <v>7</v>
      </c>
      <c r="DO457" s="27" t="s">
        <v>8</v>
      </c>
      <c r="DP457" s="27" t="s">
        <v>7</v>
      </c>
      <c r="DX457" s="27" t="s">
        <v>7</v>
      </c>
      <c r="DY457" s="27" t="s">
        <v>8</v>
      </c>
      <c r="DZ457" s="27" t="s">
        <v>7</v>
      </c>
      <c r="EA457" s="27" t="s">
        <v>8</v>
      </c>
      <c r="EB457" s="27" t="s">
        <v>7</v>
      </c>
      <c r="GG457" s="27" t="s">
        <v>8</v>
      </c>
    </row>
    <row r="458" spans="1:190" x14ac:dyDescent="0.25">
      <c r="A458" s="7">
        <v>12.865366342182144</v>
      </c>
      <c r="B458"/>
      <c r="C458"/>
      <c r="D458"/>
      <c r="E458"/>
      <c r="CG458" s="27" t="s">
        <v>8</v>
      </c>
      <c r="CH458" s="27" t="s">
        <v>7</v>
      </c>
      <c r="CI458" s="27" t="s">
        <v>8</v>
      </c>
      <c r="CK458" s="27" t="s">
        <v>8</v>
      </c>
      <c r="DH458" s="27" t="s">
        <v>7</v>
      </c>
      <c r="DI458" s="27" t="s">
        <v>8</v>
      </c>
      <c r="DJ458" s="27" t="s">
        <v>7</v>
      </c>
      <c r="DK458" s="27" t="s">
        <v>8</v>
      </c>
      <c r="DL458" s="27" t="s">
        <v>7</v>
      </c>
      <c r="DO458" s="27" t="s">
        <v>8</v>
      </c>
      <c r="DX458" s="27" t="s">
        <v>7</v>
      </c>
      <c r="DY458" s="27" t="s">
        <v>8</v>
      </c>
      <c r="DZ458" s="27" t="s">
        <v>7</v>
      </c>
      <c r="EA458" s="27" t="s">
        <v>8</v>
      </c>
      <c r="EB458" s="27" t="s">
        <v>7</v>
      </c>
      <c r="GG458" s="27" t="s">
        <v>8</v>
      </c>
      <c r="GH458" s="27" t="s">
        <v>7</v>
      </c>
    </row>
    <row r="459" spans="1:190" x14ac:dyDescent="0.25">
      <c r="A459" s="7">
        <v>12.613104257041318</v>
      </c>
      <c r="B459"/>
      <c r="C459"/>
      <c r="D459"/>
      <c r="E459"/>
      <c r="CG459" s="27" t="s">
        <v>8</v>
      </c>
      <c r="CH459" s="27" t="s">
        <v>7</v>
      </c>
      <c r="CI459" s="27" t="s">
        <v>8</v>
      </c>
      <c r="CJ459" s="27" t="s">
        <v>7</v>
      </c>
      <c r="CK459" s="27" t="s">
        <v>8</v>
      </c>
      <c r="DH459" s="27" t="s">
        <v>7</v>
      </c>
      <c r="DI459" s="27" t="s">
        <v>8</v>
      </c>
      <c r="DJ459" s="27" t="s">
        <v>7</v>
      </c>
      <c r="DK459" s="27" t="s">
        <v>8</v>
      </c>
      <c r="DL459" s="27" t="s">
        <v>7</v>
      </c>
      <c r="DO459" s="27" t="s">
        <v>8</v>
      </c>
      <c r="DX459" s="27" t="s">
        <v>7</v>
      </c>
      <c r="DZ459" s="27" t="s">
        <v>7</v>
      </c>
      <c r="EA459" s="27" t="s">
        <v>8</v>
      </c>
      <c r="EB459" s="27" t="s">
        <v>7</v>
      </c>
      <c r="GG459" s="27" t="s">
        <v>8</v>
      </c>
      <c r="GH459" s="27" t="s">
        <v>7</v>
      </c>
    </row>
    <row r="460" spans="1:190" x14ac:dyDescent="0.25">
      <c r="A460" s="7">
        <v>12.36578848729541</v>
      </c>
      <c r="B460"/>
      <c r="C460"/>
      <c r="D460"/>
      <c r="E460"/>
      <c r="CG460" s="27" t="s">
        <v>8</v>
      </c>
      <c r="CH460" s="27" t="s">
        <v>7</v>
      </c>
      <c r="CI460" s="27" t="s">
        <v>8</v>
      </c>
      <c r="CJ460" s="27" t="s">
        <v>7</v>
      </c>
      <c r="CK460" s="27" t="s">
        <v>8</v>
      </c>
      <c r="DH460" s="27" t="s">
        <v>7</v>
      </c>
      <c r="DJ460" s="27" t="s">
        <v>7</v>
      </c>
      <c r="DK460" s="27" t="s">
        <v>8</v>
      </c>
      <c r="DL460" s="27" t="s">
        <v>7</v>
      </c>
      <c r="DO460" s="27" t="s">
        <v>8</v>
      </c>
      <c r="DZ460" s="27" t="s">
        <v>7</v>
      </c>
      <c r="EA460" s="27" t="s">
        <v>8</v>
      </c>
      <c r="EB460" s="27" t="s">
        <v>7</v>
      </c>
      <c r="GG460" s="27" t="s">
        <v>8</v>
      </c>
      <c r="GH460" s="27" t="s">
        <v>7</v>
      </c>
    </row>
    <row r="461" spans="1:190" x14ac:dyDescent="0.25">
      <c r="A461" s="7">
        <v>12.123322046368049</v>
      </c>
      <c r="B461"/>
      <c r="C461"/>
      <c r="D461"/>
      <c r="E461"/>
      <c r="CG461" s="27" t="s">
        <v>8</v>
      </c>
      <c r="CH461" s="27" t="s">
        <v>7</v>
      </c>
      <c r="CI461" s="27" t="s">
        <v>8</v>
      </c>
      <c r="CJ461" s="27" t="s">
        <v>7</v>
      </c>
      <c r="CK461" s="27" t="s">
        <v>8</v>
      </c>
      <c r="DJ461" s="27" t="s">
        <v>7</v>
      </c>
      <c r="DL461" s="27" t="s">
        <v>7</v>
      </c>
      <c r="DO461" s="27" t="s">
        <v>8</v>
      </c>
      <c r="DZ461" s="27" t="s">
        <v>7</v>
      </c>
      <c r="EA461" s="27" t="s">
        <v>8</v>
      </c>
      <c r="EB461" s="27" t="s">
        <v>7</v>
      </c>
      <c r="GE461" s="27" t="s">
        <v>8</v>
      </c>
      <c r="GG461" s="27" t="s">
        <v>8</v>
      </c>
      <c r="GH461" s="27" t="s">
        <v>7</v>
      </c>
    </row>
    <row r="462" spans="1:190" x14ac:dyDescent="0.25">
      <c r="A462" s="7">
        <v>11.88560984938044</v>
      </c>
      <c r="B462"/>
      <c r="C462"/>
      <c r="D462"/>
      <c r="E462"/>
      <c r="CG462" s="27" t="s">
        <v>8</v>
      </c>
      <c r="CH462" s="27" t="s">
        <v>7</v>
      </c>
      <c r="CI462" s="27" t="s">
        <v>8</v>
      </c>
      <c r="CJ462" s="27" t="s">
        <v>7</v>
      </c>
      <c r="CK462" s="27" t="s">
        <v>8</v>
      </c>
      <c r="DL462" s="27" t="s">
        <v>7</v>
      </c>
      <c r="DM462" s="27" t="s">
        <v>8</v>
      </c>
      <c r="DO462" s="27" t="s">
        <v>8</v>
      </c>
      <c r="DZ462" s="27" t="s">
        <v>7</v>
      </c>
      <c r="EA462" s="27" t="s">
        <v>8</v>
      </c>
      <c r="EB462" s="27" t="s">
        <v>7</v>
      </c>
      <c r="EC462" s="27" t="s">
        <v>8</v>
      </c>
      <c r="GE462" s="27" t="s">
        <v>8</v>
      </c>
      <c r="GF462" s="27" t="s">
        <v>7</v>
      </c>
      <c r="GG462" s="27" t="s">
        <v>8</v>
      </c>
      <c r="GH462" s="27" t="s">
        <v>7</v>
      </c>
    </row>
    <row r="463" spans="1:190" x14ac:dyDescent="0.25">
      <c r="A463" s="7">
        <v>11.652558675863176</v>
      </c>
      <c r="B463"/>
      <c r="C463"/>
      <c r="D463"/>
      <c r="E463"/>
      <c r="CG463" s="27" t="s">
        <v>8</v>
      </c>
      <c r="CH463" s="27" t="s">
        <v>7</v>
      </c>
      <c r="CI463" s="27" t="s">
        <v>8</v>
      </c>
      <c r="CJ463" s="27" t="s">
        <v>7</v>
      </c>
      <c r="CK463" s="27" t="s">
        <v>8</v>
      </c>
      <c r="DL463" s="27" t="s">
        <v>7</v>
      </c>
      <c r="DM463" s="27" t="s">
        <v>8</v>
      </c>
      <c r="DN463" s="27" t="s">
        <v>7</v>
      </c>
      <c r="DO463" s="27" t="s">
        <v>8</v>
      </c>
      <c r="DZ463" s="27" t="s">
        <v>7</v>
      </c>
      <c r="EB463" s="27" t="s">
        <v>7</v>
      </c>
      <c r="EC463" s="27" t="s">
        <v>8</v>
      </c>
      <c r="ED463" s="27" t="s">
        <v>7</v>
      </c>
      <c r="GE463" s="27" t="s">
        <v>8</v>
      </c>
      <c r="GF463" s="27" t="s">
        <v>7</v>
      </c>
      <c r="GG463" s="27" t="s">
        <v>8</v>
      </c>
      <c r="GH463" s="27" t="s">
        <v>7</v>
      </c>
    </row>
    <row r="464" spans="1:190" x14ac:dyDescent="0.25">
      <c r="A464" s="7">
        <v>11.424077133199193</v>
      </c>
      <c r="B464"/>
      <c r="C464"/>
      <c r="D464"/>
      <c r="E464"/>
      <c r="CG464" s="27" t="s">
        <v>8</v>
      </c>
      <c r="CH464" s="27" t="s">
        <v>7</v>
      </c>
      <c r="CJ464" s="27" t="s">
        <v>7</v>
      </c>
      <c r="CK464" s="27" t="s">
        <v>8</v>
      </c>
      <c r="DL464" s="27" t="s">
        <v>7</v>
      </c>
      <c r="DM464" s="27" t="s">
        <v>8</v>
      </c>
      <c r="DN464" s="27" t="s">
        <v>7</v>
      </c>
      <c r="DO464" s="27" t="s">
        <v>8</v>
      </c>
      <c r="EB464" s="27" t="s">
        <v>7</v>
      </c>
      <c r="EC464" s="27" t="s">
        <v>8</v>
      </c>
      <c r="ED464" s="27" t="s">
        <v>7</v>
      </c>
      <c r="FO464" s="27" t="s">
        <v>8</v>
      </c>
      <c r="GE464" s="27" t="s">
        <v>8</v>
      </c>
      <c r="GF464" s="27" t="s">
        <v>7</v>
      </c>
      <c r="GG464" s="27" t="s">
        <v>8</v>
      </c>
      <c r="GH464" s="27" t="s">
        <v>7</v>
      </c>
    </row>
    <row r="465" spans="1:230" x14ac:dyDescent="0.25">
      <c r="A465" s="7">
        <v>11.200075620783522</v>
      </c>
      <c r="B465"/>
      <c r="C465"/>
      <c r="D465"/>
      <c r="E465"/>
      <c r="CG465" s="27" t="s">
        <v>8</v>
      </c>
      <c r="CJ465" s="27" t="s">
        <v>7</v>
      </c>
      <c r="CK465" s="27" t="s">
        <v>8</v>
      </c>
      <c r="DL465" s="27" t="s">
        <v>7</v>
      </c>
      <c r="DM465" s="27" t="s">
        <v>8</v>
      </c>
      <c r="DN465" s="27" t="s">
        <v>7</v>
      </c>
      <c r="DO465" s="27" t="s">
        <v>8</v>
      </c>
      <c r="EB465" s="27" t="s">
        <v>7</v>
      </c>
      <c r="EC465" s="27" t="s">
        <v>8</v>
      </c>
      <c r="ED465" s="27" t="s">
        <v>7</v>
      </c>
      <c r="FO465" s="27" t="s">
        <v>8</v>
      </c>
      <c r="FP465" s="27" t="s">
        <v>7</v>
      </c>
      <c r="GE465" s="27" t="s">
        <v>8</v>
      </c>
      <c r="GF465" s="27" t="s">
        <v>7</v>
      </c>
      <c r="GG465" s="27" t="s">
        <v>8</v>
      </c>
      <c r="GH465" s="27" t="s">
        <v>7</v>
      </c>
    </row>
    <row r="466" spans="1:230" x14ac:dyDescent="0.25">
      <c r="A466" s="7">
        <v>10.980466294885806</v>
      </c>
      <c r="B466"/>
      <c r="C466"/>
      <c r="D466"/>
      <c r="E466"/>
      <c r="CG466" s="27" t="s">
        <v>8</v>
      </c>
      <c r="CJ466" s="27" t="s">
        <v>7</v>
      </c>
      <c r="CK466" s="27" t="s">
        <v>8</v>
      </c>
      <c r="DL466" s="27" t="s">
        <v>7</v>
      </c>
      <c r="DM466" s="27" t="s">
        <v>8</v>
      </c>
      <c r="DN466" s="27" t="s">
        <v>7</v>
      </c>
      <c r="DO466" s="27" t="s">
        <v>8</v>
      </c>
      <c r="EB466" s="27" t="s">
        <v>7</v>
      </c>
      <c r="EC466" s="27" t="s">
        <v>8</v>
      </c>
      <c r="ED466" s="27" t="s">
        <v>7</v>
      </c>
      <c r="FO466" s="27" t="s">
        <v>8</v>
      </c>
      <c r="FP466" s="27" t="s">
        <v>7</v>
      </c>
      <c r="GE466" s="27" t="s">
        <v>8</v>
      </c>
      <c r="GF466" s="27" t="s">
        <v>7</v>
      </c>
      <c r="GG466" s="27" t="s">
        <v>8</v>
      </c>
      <c r="GH466" s="27" t="s">
        <v>7</v>
      </c>
    </row>
    <row r="467" spans="1:230" x14ac:dyDescent="0.25">
      <c r="A467" s="7">
        <v>10.765163034201771</v>
      </c>
      <c r="B467"/>
      <c r="C467"/>
      <c r="D467"/>
      <c r="E467"/>
      <c r="CG467" s="27" t="s">
        <v>8</v>
      </c>
      <c r="CJ467" s="27" t="s">
        <v>7</v>
      </c>
      <c r="CK467" s="27" t="s">
        <v>8</v>
      </c>
      <c r="DL467" s="27" t="s">
        <v>7</v>
      </c>
      <c r="DM467" s="27" t="s">
        <v>8</v>
      </c>
      <c r="DN467" s="27" t="s">
        <v>7</v>
      </c>
      <c r="DO467" s="27" t="s">
        <v>8</v>
      </c>
      <c r="EB467" s="27" t="s">
        <v>7</v>
      </c>
      <c r="EC467" s="27" t="s">
        <v>8</v>
      </c>
      <c r="ED467" s="27" t="s">
        <v>7</v>
      </c>
      <c r="FO467" s="27" t="s">
        <v>8</v>
      </c>
      <c r="FP467" s="27" t="s">
        <v>7</v>
      </c>
      <c r="GA467" s="27" t="s">
        <v>8</v>
      </c>
      <c r="GE467" s="27" t="s">
        <v>8</v>
      </c>
      <c r="GF467" s="27" t="s">
        <v>7</v>
      </c>
      <c r="GG467" s="27" t="s">
        <v>8</v>
      </c>
      <c r="GH467" s="27" t="s">
        <v>7</v>
      </c>
    </row>
    <row r="468" spans="1:230" x14ac:dyDescent="0.25">
      <c r="A468" s="7">
        <v>10.554081406080169</v>
      </c>
      <c r="B468"/>
      <c r="C468"/>
      <c r="D468"/>
      <c r="E468"/>
      <c r="CG468" s="27" t="s">
        <v>8</v>
      </c>
      <c r="CJ468" s="27" t="s">
        <v>7</v>
      </c>
      <c r="CK468" s="27" t="s">
        <v>8</v>
      </c>
      <c r="DL468" s="27" t="s">
        <v>7</v>
      </c>
      <c r="DM468" s="27" t="s">
        <v>8</v>
      </c>
      <c r="DN468" s="27" t="s">
        <v>7</v>
      </c>
      <c r="EB468" s="27" t="s">
        <v>7</v>
      </c>
      <c r="ED468" s="27" t="s">
        <v>7</v>
      </c>
      <c r="FO468" s="27" t="s">
        <v>8</v>
      </c>
      <c r="FP468" s="27" t="s">
        <v>7</v>
      </c>
      <c r="GA468" s="27" t="s">
        <v>8</v>
      </c>
      <c r="GB468" s="27" t="s">
        <v>7</v>
      </c>
      <c r="GE468" s="27" t="s">
        <v>8</v>
      </c>
      <c r="GF468" s="27" t="s">
        <v>7</v>
      </c>
      <c r="GG468" s="27" t="s">
        <v>8</v>
      </c>
      <c r="GH468" s="27" t="s">
        <v>7</v>
      </c>
    </row>
    <row r="469" spans="1:230" x14ac:dyDescent="0.25">
      <c r="A469" s="7">
        <v>10.34713863341193</v>
      </c>
      <c r="B469"/>
      <c r="C469"/>
      <c r="D469"/>
      <c r="E469"/>
      <c r="CG469" s="27" t="s">
        <v>8</v>
      </c>
      <c r="CJ469" s="27" t="s">
        <v>7</v>
      </c>
      <c r="DL469" s="27" t="s">
        <v>7</v>
      </c>
      <c r="ED469" s="27" t="s">
        <v>7</v>
      </c>
      <c r="FO469" s="27" t="s">
        <v>8</v>
      </c>
      <c r="FP469" s="27" t="s">
        <v>7</v>
      </c>
      <c r="FU469" s="27" t="s">
        <v>8</v>
      </c>
      <c r="GA469" s="27" t="s">
        <v>8</v>
      </c>
      <c r="GB469" s="27" t="s">
        <v>7</v>
      </c>
      <c r="GE469" s="27" t="s">
        <v>8</v>
      </c>
      <c r="GF469" s="27" t="s">
        <v>7</v>
      </c>
      <c r="GG469" s="27" t="s">
        <v>8</v>
      </c>
      <c r="GH469" s="27" t="s">
        <v>7</v>
      </c>
    </row>
    <row r="470" spans="1:230" x14ac:dyDescent="0.25">
      <c r="A470" s="7">
        <v>10.14425356216856</v>
      </c>
      <c r="B470"/>
      <c r="C470"/>
      <c r="D470"/>
      <c r="E470"/>
      <c r="CG470" s="27" t="s">
        <v>8</v>
      </c>
      <c r="ED470" s="27" t="s">
        <v>7</v>
      </c>
      <c r="FO470" s="27" t="s">
        <v>8</v>
      </c>
      <c r="FP470" s="27" t="s">
        <v>7</v>
      </c>
      <c r="FU470" s="27" t="s">
        <v>8</v>
      </c>
      <c r="FV470" s="27" t="s">
        <v>7</v>
      </c>
      <c r="GA470" s="27" t="s">
        <v>8</v>
      </c>
      <c r="GB470" s="27" t="s">
        <v>7</v>
      </c>
      <c r="GC470" s="27" t="s">
        <v>8</v>
      </c>
      <c r="GE470" s="27" t="s">
        <v>8</v>
      </c>
      <c r="GF470" s="27" t="s">
        <v>7</v>
      </c>
      <c r="GH470" s="27" t="s">
        <v>7</v>
      </c>
    </row>
    <row r="471" spans="1:230" x14ac:dyDescent="0.25">
      <c r="A471" s="7">
        <v>9.9453466295770188</v>
      </c>
      <c r="B471"/>
      <c r="C471"/>
      <c r="D471"/>
      <c r="E471"/>
      <c r="CG471" s="27" t="s">
        <v>8</v>
      </c>
      <c r="ED471" s="27" t="s">
        <v>7</v>
      </c>
      <c r="ES471" s="27" t="s">
        <v>8</v>
      </c>
      <c r="FO471" s="27" t="s">
        <v>8</v>
      </c>
      <c r="FP471" s="27" t="s">
        <v>7</v>
      </c>
      <c r="FU471" s="27" t="s">
        <v>8</v>
      </c>
      <c r="FV471" s="27" t="s">
        <v>7</v>
      </c>
      <c r="GA471" s="27" t="s">
        <v>8</v>
      </c>
      <c r="GB471" s="27" t="s">
        <v>7</v>
      </c>
      <c r="GC471" s="27" t="s">
        <v>8</v>
      </c>
      <c r="GD471" s="27" t="s">
        <v>7</v>
      </c>
      <c r="GE471" s="27" t="s">
        <v>8</v>
      </c>
      <c r="GH471" s="27" t="s">
        <v>7</v>
      </c>
    </row>
    <row r="472" spans="1:230" x14ac:dyDescent="0.25">
      <c r="A472" s="7">
        <v>9.7503398329186464</v>
      </c>
      <c r="B472"/>
      <c r="C472"/>
      <c r="D472"/>
      <c r="E472"/>
      <c r="CG472" s="27" t="s">
        <v>8</v>
      </c>
      <c r="ED472" s="27" t="s">
        <v>7</v>
      </c>
      <c r="EE472" s="27" t="s">
        <v>8</v>
      </c>
      <c r="ES472" s="27" t="s">
        <v>8</v>
      </c>
      <c r="ET472" s="27" t="s">
        <v>7</v>
      </c>
      <c r="FO472" s="27" t="s">
        <v>8</v>
      </c>
      <c r="FP472" s="27" t="s">
        <v>7</v>
      </c>
      <c r="FU472" s="27" t="s">
        <v>8</v>
      </c>
      <c r="FV472" s="27" t="s">
        <v>7</v>
      </c>
      <c r="FY472" s="27" t="s">
        <v>8</v>
      </c>
      <c r="GA472" s="27" t="s">
        <v>8</v>
      </c>
      <c r="GB472" s="27" t="s">
        <v>7</v>
      </c>
      <c r="GC472" s="27" t="s">
        <v>8</v>
      </c>
      <c r="GD472" s="27" t="s">
        <v>7</v>
      </c>
      <c r="GE472" s="27" t="s">
        <v>8</v>
      </c>
      <c r="GH472" s="27" t="s">
        <v>7</v>
      </c>
      <c r="GI472" s="27" t="s">
        <v>8</v>
      </c>
    </row>
    <row r="473" spans="1:230" x14ac:dyDescent="0.25">
      <c r="A473" s="7">
        <v>9.5591566989398498</v>
      </c>
      <c r="B473"/>
      <c r="C473"/>
      <c r="D473"/>
      <c r="E473"/>
      <c r="CG473" s="27" t="s">
        <v>8</v>
      </c>
      <c r="ED473" s="27" t="s">
        <v>7</v>
      </c>
      <c r="EE473" s="27" t="s">
        <v>8</v>
      </c>
      <c r="EF473" s="27" t="s">
        <v>7</v>
      </c>
      <c r="ES473" s="27" t="s">
        <v>8</v>
      </c>
      <c r="ET473" s="27" t="s">
        <v>7</v>
      </c>
      <c r="FO473" s="27" t="s">
        <v>8</v>
      </c>
      <c r="FP473" s="27" t="s">
        <v>7</v>
      </c>
      <c r="FU473" s="27" t="s">
        <v>8</v>
      </c>
      <c r="FV473" s="27" t="s">
        <v>7</v>
      </c>
      <c r="FY473" s="27" t="s">
        <v>8</v>
      </c>
      <c r="FZ473" s="27" t="s">
        <v>7</v>
      </c>
      <c r="GA473" s="27" t="s">
        <v>8</v>
      </c>
      <c r="GB473" s="27" t="s">
        <v>7</v>
      </c>
      <c r="GC473" s="27" t="s">
        <v>8</v>
      </c>
      <c r="GD473" s="27" t="s">
        <v>7</v>
      </c>
      <c r="GE473" s="27" t="s">
        <v>8</v>
      </c>
      <c r="GH473" s="27" t="s">
        <v>7</v>
      </c>
      <c r="GI473" s="27" t="s">
        <v>8</v>
      </c>
      <c r="GJ473" s="27" t="s">
        <v>7</v>
      </c>
      <c r="HG473" s="27" t="s">
        <v>8</v>
      </c>
    </row>
    <row r="474" spans="1:230" x14ac:dyDescent="0.25">
      <c r="A474" s="7">
        <v>9.3717222538625968</v>
      </c>
      <c r="B474"/>
      <c r="C474"/>
      <c r="D474"/>
      <c r="E474"/>
      <c r="CG474" s="27" t="s">
        <v>8</v>
      </c>
      <c r="ED474" s="27" t="s">
        <v>7</v>
      </c>
      <c r="EE474" s="27" t="s">
        <v>8</v>
      </c>
      <c r="EF474" s="27" t="s">
        <v>7</v>
      </c>
      <c r="EK474" s="27" t="s">
        <v>8</v>
      </c>
      <c r="ES474" s="27" t="s">
        <v>8</v>
      </c>
      <c r="ET474" s="27" t="s">
        <v>7</v>
      </c>
      <c r="FO474" s="27" t="s">
        <v>8</v>
      </c>
      <c r="FP474" s="27" t="s">
        <v>7</v>
      </c>
      <c r="FQ474" s="27" t="s">
        <v>8</v>
      </c>
      <c r="FU474" s="27" t="s">
        <v>8</v>
      </c>
      <c r="FV474" s="27" t="s">
        <v>7</v>
      </c>
      <c r="FY474" s="27" t="s">
        <v>8</v>
      </c>
      <c r="FZ474" s="27" t="s">
        <v>7</v>
      </c>
      <c r="GA474" s="27" t="s">
        <v>8</v>
      </c>
      <c r="GB474" s="27" t="s">
        <v>7</v>
      </c>
      <c r="GC474" s="27" t="s">
        <v>8</v>
      </c>
      <c r="GD474" s="27" t="s">
        <v>7</v>
      </c>
      <c r="GE474" s="27" t="s">
        <v>8</v>
      </c>
      <c r="GH474" s="27" t="s">
        <v>7</v>
      </c>
      <c r="GI474" s="27" t="s">
        <v>8</v>
      </c>
      <c r="GJ474" s="27" t="s">
        <v>7</v>
      </c>
      <c r="GO474" s="27" t="s">
        <v>8</v>
      </c>
      <c r="HG474" s="27" t="s">
        <v>8</v>
      </c>
      <c r="HH474" s="27" t="s">
        <v>7</v>
      </c>
    </row>
    <row r="475" spans="1:230" x14ac:dyDescent="0.25">
      <c r="A475" s="7">
        <v>9.1879629939829375</v>
      </c>
      <c r="B475"/>
      <c r="C475"/>
      <c r="D475"/>
      <c r="E475"/>
      <c r="CG475" s="27" t="s">
        <v>8</v>
      </c>
      <c r="ED475" s="27" t="s">
        <v>7</v>
      </c>
      <c r="EE475" s="27" t="s">
        <v>8</v>
      </c>
      <c r="EF475" s="27" t="s">
        <v>7</v>
      </c>
      <c r="EK475" s="27" t="s">
        <v>8</v>
      </c>
      <c r="EL475" s="27" t="s">
        <v>7</v>
      </c>
      <c r="ES475" s="27" t="s">
        <v>8</v>
      </c>
      <c r="ET475" s="27" t="s">
        <v>7</v>
      </c>
      <c r="FO475" s="27" t="s">
        <v>8</v>
      </c>
      <c r="FP475" s="27" t="s">
        <v>7</v>
      </c>
      <c r="FQ475" s="27" t="s">
        <v>8</v>
      </c>
      <c r="FR475" s="27" t="s">
        <v>7</v>
      </c>
      <c r="FS475" s="27" t="s">
        <v>8</v>
      </c>
      <c r="FU475" s="27" t="s">
        <v>8</v>
      </c>
      <c r="FV475" s="27" t="s">
        <v>7</v>
      </c>
      <c r="FY475" s="27" t="s">
        <v>8</v>
      </c>
      <c r="FZ475" s="27" t="s">
        <v>7</v>
      </c>
      <c r="GA475" s="27" t="s">
        <v>8</v>
      </c>
      <c r="GB475" s="27" t="s">
        <v>7</v>
      </c>
      <c r="GC475" s="27" t="s">
        <v>8</v>
      </c>
      <c r="GD475" s="27" t="s">
        <v>7</v>
      </c>
      <c r="GE475" s="27" t="s">
        <v>8</v>
      </c>
      <c r="GH475" s="27" t="s">
        <v>7</v>
      </c>
      <c r="GI475" s="27" t="s">
        <v>8</v>
      </c>
      <c r="GJ475" s="27" t="s">
        <v>7</v>
      </c>
      <c r="GO475" s="27" t="s">
        <v>8</v>
      </c>
      <c r="GP475" s="27" t="s">
        <v>7</v>
      </c>
      <c r="HG475" s="27" t="s">
        <v>8</v>
      </c>
      <c r="HH475" s="27" t="s">
        <v>7</v>
      </c>
    </row>
    <row r="476" spans="1:230" x14ac:dyDescent="0.25">
      <c r="A476" s="7">
        <v>9.0078068568460168</v>
      </c>
      <c r="B476"/>
      <c r="C476"/>
      <c r="D476"/>
      <c r="E476"/>
      <c r="CG476" s="27" t="s">
        <v>8</v>
      </c>
      <c r="ED476" s="27" t="s">
        <v>7</v>
      </c>
      <c r="EE476" s="27" t="s">
        <v>8</v>
      </c>
      <c r="EF476" s="27" t="s">
        <v>7</v>
      </c>
      <c r="EK476" s="27" t="s">
        <v>8</v>
      </c>
      <c r="EL476" s="27" t="s">
        <v>7</v>
      </c>
      <c r="ES476" s="27" t="s">
        <v>8</v>
      </c>
      <c r="ET476" s="27" t="s">
        <v>7</v>
      </c>
      <c r="FO476" s="27" t="s">
        <v>8</v>
      </c>
      <c r="FP476" s="27" t="s">
        <v>7</v>
      </c>
      <c r="FQ476" s="27" t="s">
        <v>8</v>
      </c>
      <c r="FR476" s="27" t="s">
        <v>7</v>
      </c>
      <c r="FS476" s="27" t="s">
        <v>8</v>
      </c>
      <c r="FT476" s="27" t="s">
        <v>7</v>
      </c>
      <c r="FU476" s="27" t="s">
        <v>8</v>
      </c>
      <c r="FV476" s="27" t="s">
        <v>7</v>
      </c>
      <c r="FY476" s="27" t="s">
        <v>8</v>
      </c>
      <c r="FZ476" s="27" t="s">
        <v>7</v>
      </c>
      <c r="GA476" s="27" t="s">
        <v>8</v>
      </c>
      <c r="GB476" s="27" t="s">
        <v>7</v>
      </c>
      <c r="GC476" s="27" t="s">
        <v>8</v>
      </c>
      <c r="GD476" s="27" t="s">
        <v>7</v>
      </c>
      <c r="GE476" s="27" t="s">
        <v>8</v>
      </c>
      <c r="GH476" s="27" t="s">
        <v>7</v>
      </c>
      <c r="GI476" s="27" t="s">
        <v>8</v>
      </c>
      <c r="GJ476" s="27" t="s">
        <v>7</v>
      </c>
      <c r="GM476" s="27" t="s">
        <v>8</v>
      </c>
      <c r="GO476" s="27" t="s">
        <v>8</v>
      </c>
      <c r="GP476" s="27" t="s">
        <v>7</v>
      </c>
      <c r="GU476" s="27" t="s">
        <v>8</v>
      </c>
      <c r="HG476" s="27" t="s">
        <v>8</v>
      </c>
      <c r="HH476" s="27" t="s">
        <v>7</v>
      </c>
    </row>
    <row r="477" spans="1:230" x14ac:dyDescent="0.25">
      <c r="A477" s="7">
        <v>8.8311831929862912</v>
      </c>
      <c r="B477"/>
      <c r="C477"/>
      <c r="D477"/>
      <c r="E477"/>
      <c r="CG477" s="27" t="s">
        <v>8</v>
      </c>
      <c r="ED477" s="27" t="s">
        <v>7</v>
      </c>
      <c r="EE477" s="27" t="s">
        <v>8</v>
      </c>
      <c r="EF477" s="27" t="s">
        <v>7</v>
      </c>
      <c r="EK477" s="27" t="s">
        <v>8</v>
      </c>
      <c r="EL477" s="27" t="s">
        <v>7</v>
      </c>
      <c r="ES477" s="27" t="s">
        <v>8</v>
      </c>
      <c r="ET477" s="27" t="s">
        <v>7</v>
      </c>
      <c r="FO477" s="27" t="s">
        <v>8</v>
      </c>
      <c r="FP477" s="27" t="s">
        <v>7</v>
      </c>
      <c r="FQ477" s="27" t="s">
        <v>8</v>
      </c>
      <c r="FR477" s="27" t="s">
        <v>7</v>
      </c>
      <c r="FS477" s="27" t="s">
        <v>8</v>
      </c>
      <c r="FT477" s="27" t="s">
        <v>7</v>
      </c>
      <c r="FU477" s="27" t="s">
        <v>8</v>
      </c>
      <c r="FV477" s="27" t="s">
        <v>7</v>
      </c>
      <c r="FY477" s="27" t="s">
        <v>8</v>
      </c>
      <c r="FZ477" s="27" t="s">
        <v>7</v>
      </c>
      <c r="GA477" s="27" t="s">
        <v>8</v>
      </c>
      <c r="GB477" s="27" t="s">
        <v>7</v>
      </c>
      <c r="GC477" s="27" t="s">
        <v>8</v>
      </c>
      <c r="GD477" s="27" t="s">
        <v>7</v>
      </c>
      <c r="GE477" s="27" t="s">
        <v>8</v>
      </c>
      <c r="GH477" s="27" t="s">
        <v>7</v>
      </c>
      <c r="GI477" s="27" t="s">
        <v>8</v>
      </c>
      <c r="GJ477" s="27" t="s">
        <v>7</v>
      </c>
      <c r="GM477" s="27" t="s">
        <v>8</v>
      </c>
      <c r="GN477" s="27" t="s">
        <v>7</v>
      </c>
      <c r="GO477" s="27" t="s">
        <v>8</v>
      </c>
      <c r="GP477" s="27" t="s">
        <v>7</v>
      </c>
      <c r="GQ477" s="27" t="s">
        <v>8</v>
      </c>
      <c r="GU477" s="27" t="s">
        <v>8</v>
      </c>
      <c r="GV477" s="27" t="s">
        <v>7</v>
      </c>
      <c r="HG477" s="27" t="s">
        <v>8</v>
      </c>
      <c r="HH477" s="27" t="s">
        <v>7</v>
      </c>
      <c r="HU477" s="27" t="s">
        <v>8</v>
      </c>
    </row>
    <row r="478" spans="1:230" x14ac:dyDescent="0.25">
      <c r="A478" s="7">
        <v>8.6580227382218542</v>
      </c>
      <c r="B478"/>
      <c r="C478"/>
      <c r="D478"/>
      <c r="E478"/>
      <c r="CG478" s="27" t="s">
        <v>8</v>
      </c>
      <c r="ED478" s="27" t="s">
        <v>7</v>
      </c>
      <c r="EE478" s="27" t="s">
        <v>8</v>
      </c>
      <c r="EF478" s="27" t="s">
        <v>7</v>
      </c>
      <c r="EK478" s="27" t="s">
        <v>8</v>
      </c>
      <c r="EL478" s="27" t="s">
        <v>7</v>
      </c>
      <c r="ES478" s="27" t="s">
        <v>8</v>
      </c>
      <c r="ET478" s="27" t="s">
        <v>7</v>
      </c>
      <c r="FO478" s="27" t="s">
        <v>8</v>
      </c>
      <c r="FP478" s="27" t="s">
        <v>7</v>
      </c>
      <c r="FQ478" s="27" t="s">
        <v>8</v>
      </c>
      <c r="FR478" s="27" t="s">
        <v>7</v>
      </c>
      <c r="FS478" s="27" t="s">
        <v>8</v>
      </c>
      <c r="FT478" s="27" t="s">
        <v>7</v>
      </c>
      <c r="FU478" s="27" t="s">
        <v>8</v>
      </c>
      <c r="FV478" s="27" t="s">
        <v>7</v>
      </c>
      <c r="FW478" s="27" t="s">
        <v>8</v>
      </c>
      <c r="FY478" s="27" t="s">
        <v>8</v>
      </c>
      <c r="FZ478" s="27" t="s">
        <v>7</v>
      </c>
      <c r="GA478" s="27" t="s">
        <v>8</v>
      </c>
      <c r="GB478" s="27" t="s">
        <v>7</v>
      </c>
      <c r="GC478" s="27" t="s">
        <v>8</v>
      </c>
      <c r="GD478" s="27" t="s">
        <v>7</v>
      </c>
      <c r="GE478" s="27" t="s">
        <v>8</v>
      </c>
      <c r="GH478" s="27" t="s">
        <v>7</v>
      </c>
      <c r="GI478" s="27" t="s">
        <v>8</v>
      </c>
      <c r="GJ478" s="27" t="s">
        <v>7</v>
      </c>
      <c r="GM478" s="27" t="s">
        <v>8</v>
      </c>
      <c r="GN478" s="27" t="s">
        <v>7</v>
      </c>
      <c r="GO478" s="27" t="s">
        <v>8</v>
      </c>
      <c r="GP478" s="27" t="s">
        <v>7</v>
      </c>
      <c r="GQ478" s="27" t="s">
        <v>8</v>
      </c>
      <c r="GR478" s="27" t="s">
        <v>7</v>
      </c>
      <c r="GU478" s="27" t="s">
        <v>8</v>
      </c>
      <c r="GV478" s="27" t="s">
        <v>7</v>
      </c>
      <c r="HG478" s="27" t="s">
        <v>8</v>
      </c>
      <c r="HH478" s="27" t="s">
        <v>7</v>
      </c>
      <c r="HU478" s="27" t="s">
        <v>8</v>
      </c>
      <c r="HV478" s="27" t="s">
        <v>7</v>
      </c>
    </row>
    <row r="479" spans="1:230" x14ac:dyDescent="0.25">
      <c r="A479" s="7">
        <v>8.4882575864920131</v>
      </c>
      <c r="B479"/>
      <c r="C479"/>
      <c r="D479"/>
      <c r="E479"/>
      <c r="CG479" s="27" t="s">
        <v>8</v>
      </c>
      <c r="ED479" s="27" t="s">
        <v>7</v>
      </c>
      <c r="EE479" s="27" t="s">
        <v>8</v>
      </c>
      <c r="EF479" s="27" t="s">
        <v>7</v>
      </c>
      <c r="EK479" s="27" t="s">
        <v>8</v>
      </c>
      <c r="EL479" s="27" t="s">
        <v>7</v>
      </c>
      <c r="EM479" s="27" t="s">
        <v>8</v>
      </c>
      <c r="EQ479" s="27" t="s">
        <v>8</v>
      </c>
      <c r="ES479" s="27" t="s">
        <v>8</v>
      </c>
      <c r="ET479" s="27" t="s">
        <v>7</v>
      </c>
      <c r="FO479" s="27" t="s">
        <v>8</v>
      </c>
      <c r="FP479" s="27" t="s">
        <v>7</v>
      </c>
      <c r="FQ479" s="27" t="s">
        <v>8</v>
      </c>
      <c r="FR479" s="27" t="s">
        <v>7</v>
      </c>
      <c r="FS479" s="27" t="s">
        <v>8</v>
      </c>
      <c r="FT479" s="27" t="s">
        <v>7</v>
      </c>
      <c r="FU479" s="27" t="s">
        <v>8</v>
      </c>
      <c r="FV479" s="27" t="s">
        <v>7</v>
      </c>
      <c r="FW479" s="27" t="s">
        <v>8</v>
      </c>
      <c r="FX479" s="27" t="s">
        <v>7</v>
      </c>
      <c r="FY479" s="27" t="s">
        <v>8</v>
      </c>
      <c r="FZ479" s="27" t="s">
        <v>7</v>
      </c>
      <c r="GA479" s="27" t="s">
        <v>8</v>
      </c>
      <c r="GB479" s="27" t="s">
        <v>7</v>
      </c>
      <c r="GC479" s="27" t="s">
        <v>8</v>
      </c>
      <c r="GD479" s="27" t="s">
        <v>7</v>
      </c>
      <c r="GH479" s="27" t="s">
        <v>7</v>
      </c>
      <c r="GI479" s="27" t="s">
        <v>8</v>
      </c>
      <c r="GJ479" s="27" t="s">
        <v>7</v>
      </c>
      <c r="GK479" s="27" t="s">
        <v>8</v>
      </c>
      <c r="GM479" s="27" t="s">
        <v>8</v>
      </c>
      <c r="GN479" s="27" t="s">
        <v>7</v>
      </c>
      <c r="GP479" s="27" t="s">
        <v>7</v>
      </c>
      <c r="GQ479" s="27" t="s">
        <v>8</v>
      </c>
      <c r="GR479" s="27" t="s">
        <v>7</v>
      </c>
      <c r="GS479" s="27" t="s">
        <v>8</v>
      </c>
      <c r="GU479" s="27" t="s">
        <v>8</v>
      </c>
      <c r="GV479" s="27" t="s">
        <v>7</v>
      </c>
      <c r="GW479" s="27" t="s">
        <v>8</v>
      </c>
      <c r="GY479" s="27" t="s">
        <v>8</v>
      </c>
      <c r="HG479" s="27" t="s">
        <v>8</v>
      </c>
      <c r="HH479" s="27" t="s">
        <v>7</v>
      </c>
      <c r="HI479" s="27" t="s">
        <v>8</v>
      </c>
      <c r="HK479" s="27" t="s">
        <v>8</v>
      </c>
      <c r="HM479" s="27" t="s">
        <v>8</v>
      </c>
      <c r="HU479" s="27" t="s">
        <v>8</v>
      </c>
      <c r="HV479" s="27" t="s">
        <v>7</v>
      </c>
    </row>
    <row r="480" spans="1:230" x14ac:dyDescent="0.25">
      <c r="A480" s="7">
        <v>8.3218211632274635</v>
      </c>
      <c r="B480"/>
      <c r="C480"/>
      <c r="D480"/>
      <c r="E480"/>
      <c r="CG480" s="27" t="s">
        <v>8</v>
      </c>
      <c r="ED480" s="27" t="s">
        <v>7</v>
      </c>
      <c r="EE480" s="27" t="s">
        <v>8</v>
      </c>
      <c r="EF480" s="27" t="s">
        <v>7</v>
      </c>
      <c r="EG480" s="27" t="s">
        <v>8</v>
      </c>
      <c r="EI480" s="27" t="s">
        <v>8</v>
      </c>
      <c r="EK480" s="27" t="s">
        <v>8</v>
      </c>
      <c r="EL480" s="27" t="s">
        <v>7</v>
      </c>
      <c r="EM480" s="27" t="s">
        <v>8</v>
      </c>
      <c r="EN480" s="27" t="s">
        <v>7</v>
      </c>
      <c r="EQ480" s="27" t="s">
        <v>8</v>
      </c>
      <c r="ER480" s="27" t="s">
        <v>7</v>
      </c>
      <c r="ES480" s="27" t="s">
        <v>8</v>
      </c>
      <c r="ET480" s="27" t="s">
        <v>7</v>
      </c>
      <c r="FO480" s="27" t="s">
        <v>8</v>
      </c>
      <c r="FP480" s="27" t="s">
        <v>7</v>
      </c>
      <c r="FR480" s="27" t="s">
        <v>7</v>
      </c>
      <c r="FS480" s="27" t="s">
        <v>8</v>
      </c>
      <c r="FT480" s="27" t="s">
        <v>7</v>
      </c>
      <c r="FU480" s="27" t="s">
        <v>8</v>
      </c>
      <c r="FV480" s="27" t="s">
        <v>7</v>
      </c>
      <c r="FW480" s="27" t="s">
        <v>8</v>
      </c>
      <c r="FX480" s="27" t="s">
        <v>7</v>
      </c>
      <c r="FY480" s="27" t="s">
        <v>8</v>
      </c>
      <c r="FZ480" s="27" t="s">
        <v>7</v>
      </c>
      <c r="GA480" s="27" t="s">
        <v>8</v>
      </c>
      <c r="GB480" s="27" t="s">
        <v>7</v>
      </c>
      <c r="GC480" s="27" t="s">
        <v>8</v>
      </c>
      <c r="GH480" s="27" t="s">
        <v>7</v>
      </c>
      <c r="GI480" s="27" t="s">
        <v>8</v>
      </c>
      <c r="GJ480" s="27" t="s">
        <v>7</v>
      </c>
      <c r="GK480" s="27" t="s">
        <v>8</v>
      </c>
      <c r="GL480" s="27" t="s">
        <v>7</v>
      </c>
      <c r="GM480" s="27" t="s">
        <v>8</v>
      </c>
      <c r="GP480" s="27" t="s">
        <v>7</v>
      </c>
      <c r="GQ480" s="27" t="s">
        <v>8</v>
      </c>
      <c r="GR480" s="27" t="s">
        <v>7</v>
      </c>
      <c r="GS480" s="27" t="s">
        <v>8</v>
      </c>
      <c r="GT480" s="27" t="s">
        <v>7</v>
      </c>
      <c r="GU480" s="27" t="s">
        <v>8</v>
      </c>
      <c r="GV480" s="27" t="s">
        <v>7</v>
      </c>
      <c r="GW480" s="27" t="s">
        <v>8</v>
      </c>
      <c r="GX480" s="27" t="s">
        <v>7</v>
      </c>
      <c r="GY480" s="27" t="s">
        <v>8</v>
      </c>
      <c r="GZ480" s="27" t="s">
        <v>7</v>
      </c>
      <c r="HC480" s="27" t="s">
        <v>8</v>
      </c>
      <c r="HE480" s="27" t="s">
        <v>8</v>
      </c>
      <c r="HG480" s="27" t="s">
        <v>8</v>
      </c>
      <c r="HH480" s="27" t="s">
        <v>7</v>
      </c>
      <c r="HI480" s="27" t="s">
        <v>8</v>
      </c>
      <c r="HJ480" s="27" t="s">
        <v>7</v>
      </c>
      <c r="HK480" s="27" t="s">
        <v>8</v>
      </c>
      <c r="HL480" s="27" t="s">
        <v>7</v>
      </c>
      <c r="HM480" s="27" t="s">
        <v>8</v>
      </c>
      <c r="HN480" s="27" t="s">
        <v>7</v>
      </c>
      <c r="HQ480" s="27" t="s">
        <v>8</v>
      </c>
      <c r="HU480" s="27" t="s">
        <v>8</v>
      </c>
      <c r="HV480" s="27" t="s">
        <v>7</v>
      </c>
    </row>
    <row r="481" spans="1:246" x14ac:dyDescent="0.25">
      <c r="A481" s="7">
        <v>8.1586481992426112</v>
      </c>
      <c r="B481"/>
      <c r="C481"/>
      <c r="D481"/>
      <c r="E481"/>
      <c r="CG481" s="27" t="s">
        <v>8</v>
      </c>
      <c r="ED481" s="27" t="s">
        <v>7</v>
      </c>
      <c r="EE481" s="27" t="s">
        <v>8</v>
      </c>
      <c r="EF481" s="27" t="s">
        <v>7</v>
      </c>
      <c r="EG481" s="27" t="s">
        <v>8</v>
      </c>
      <c r="EH481" s="27" t="s">
        <v>7</v>
      </c>
      <c r="EI481" s="27" t="s">
        <v>8</v>
      </c>
      <c r="EJ481" s="27" t="s">
        <v>7</v>
      </c>
      <c r="EK481" s="27" t="s">
        <v>8</v>
      </c>
      <c r="EL481" s="27" t="s">
        <v>7</v>
      </c>
      <c r="EM481" s="27" t="s">
        <v>8</v>
      </c>
      <c r="EN481" s="27" t="s">
        <v>7</v>
      </c>
      <c r="EQ481" s="27" t="s">
        <v>8</v>
      </c>
      <c r="ER481" s="27" t="s">
        <v>7</v>
      </c>
      <c r="ES481" s="27" t="s">
        <v>8</v>
      </c>
      <c r="ET481" s="27" t="s">
        <v>7</v>
      </c>
      <c r="FO481" s="27" t="s">
        <v>8</v>
      </c>
      <c r="FR481" s="27" t="s">
        <v>7</v>
      </c>
      <c r="FT481" s="27" t="s">
        <v>7</v>
      </c>
      <c r="FV481" s="27" t="s">
        <v>7</v>
      </c>
      <c r="FW481" s="27" t="s">
        <v>8</v>
      </c>
      <c r="FX481" s="27" t="s">
        <v>7</v>
      </c>
      <c r="FZ481" s="27" t="s">
        <v>7</v>
      </c>
      <c r="GB481" s="27" t="s">
        <v>7</v>
      </c>
      <c r="GC481" s="27" t="s">
        <v>8</v>
      </c>
      <c r="GH481" s="27" t="s">
        <v>7</v>
      </c>
      <c r="GI481" s="27" t="s">
        <v>8</v>
      </c>
      <c r="GJ481" s="27" t="s">
        <v>7</v>
      </c>
      <c r="GK481" s="27" t="s">
        <v>8</v>
      </c>
      <c r="GL481" s="27" t="s">
        <v>7</v>
      </c>
      <c r="GM481" s="27" t="s">
        <v>8</v>
      </c>
      <c r="GP481" s="27" t="s">
        <v>7</v>
      </c>
      <c r="GR481" s="27" t="s">
        <v>7</v>
      </c>
      <c r="GS481" s="27" t="s">
        <v>8</v>
      </c>
      <c r="GT481" s="27" t="s">
        <v>7</v>
      </c>
      <c r="GU481" s="27" t="s">
        <v>8</v>
      </c>
      <c r="GV481" s="27" t="s">
        <v>7</v>
      </c>
      <c r="GW481" s="27" t="s">
        <v>8</v>
      </c>
      <c r="GX481" s="27" t="s">
        <v>7</v>
      </c>
      <c r="GY481" s="27" t="s">
        <v>8</v>
      </c>
      <c r="GZ481" s="27" t="s">
        <v>7</v>
      </c>
      <c r="HA481" s="27" t="s">
        <v>8</v>
      </c>
      <c r="HC481" s="27" t="s">
        <v>8</v>
      </c>
      <c r="HD481" s="27" t="s">
        <v>7</v>
      </c>
      <c r="HE481" s="27" t="s">
        <v>8</v>
      </c>
      <c r="HF481" s="27" t="s">
        <v>7</v>
      </c>
      <c r="HG481" s="27" t="s">
        <v>8</v>
      </c>
      <c r="HH481" s="27" t="s">
        <v>7</v>
      </c>
      <c r="HI481" s="27" t="s">
        <v>8</v>
      </c>
      <c r="HJ481" s="27" t="s">
        <v>7</v>
      </c>
      <c r="HK481" s="27" t="s">
        <v>8</v>
      </c>
      <c r="HL481" s="27" t="s">
        <v>7</v>
      </c>
      <c r="HM481" s="27" t="s">
        <v>8</v>
      </c>
      <c r="HN481" s="27" t="s">
        <v>7</v>
      </c>
      <c r="HQ481" s="27" t="s">
        <v>8</v>
      </c>
      <c r="HR481" s="27" t="s">
        <v>7</v>
      </c>
      <c r="HU481" s="27" t="s">
        <v>8</v>
      </c>
      <c r="HV481" s="27" t="s">
        <v>7</v>
      </c>
    </row>
    <row r="482" spans="1:246" x14ac:dyDescent="0.25">
      <c r="A482" s="7">
        <v>7.9986747051398144</v>
      </c>
      <c r="B482"/>
      <c r="C482"/>
      <c r="D482"/>
      <c r="E482"/>
      <c r="CG482" s="27" t="s">
        <v>8</v>
      </c>
      <c r="ED482" s="27" t="s">
        <v>7</v>
      </c>
      <c r="EE482" s="27" t="s">
        <v>8</v>
      </c>
      <c r="EF482" s="27" t="s">
        <v>7</v>
      </c>
      <c r="EG482" s="27" t="s">
        <v>8</v>
      </c>
      <c r="EH482" s="27" t="s">
        <v>7</v>
      </c>
      <c r="EI482" s="27" t="s">
        <v>8</v>
      </c>
      <c r="EJ482" s="27" t="s">
        <v>7</v>
      </c>
      <c r="EK482" s="27" t="s">
        <v>8</v>
      </c>
      <c r="EL482" s="27" t="s">
        <v>7</v>
      </c>
      <c r="EM482" s="27" t="s">
        <v>8</v>
      </c>
      <c r="EN482" s="27" t="s">
        <v>7</v>
      </c>
      <c r="EO482" s="27" t="s">
        <v>8</v>
      </c>
      <c r="EQ482" s="27" t="s">
        <v>8</v>
      </c>
      <c r="ER482" s="27" t="s">
        <v>7</v>
      </c>
      <c r="ES482" s="27" t="s">
        <v>8</v>
      </c>
      <c r="ET482" s="27" t="s">
        <v>7</v>
      </c>
      <c r="FO482" s="27" t="s">
        <v>8</v>
      </c>
      <c r="FV482" s="27" t="s">
        <v>7</v>
      </c>
      <c r="FW482" s="27" t="s">
        <v>8</v>
      </c>
      <c r="GB482" s="27" t="s">
        <v>7</v>
      </c>
      <c r="GC482" s="27" t="s">
        <v>8</v>
      </c>
      <c r="GH482" s="27" t="s">
        <v>7</v>
      </c>
      <c r="GI482" s="27" t="s">
        <v>8</v>
      </c>
      <c r="GJ482" s="27" t="s">
        <v>7</v>
      </c>
      <c r="GK482" s="27" t="s">
        <v>8</v>
      </c>
      <c r="GL482" s="27" t="s">
        <v>7</v>
      </c>
      <c r="GM482" s="27" t="s">
        <v>8</v>
      </c>
      <c r="GR482" s="27" t="s">
        <v>7</v>
      </c>
      <c r="GT482" s="27" t="s">
        <v>7</v>
      </c>
      <c r="GU482" s="27" t="s">
        <v>8</v>
      </c>
      <c r="GV482" s="27" t="s">
        <v>7</v>
      </c>
      <c r="GW482" s="27" t="s">
        <v>8</v>
      </c>
      <c r="GX482" s="27" t="s">
        <v>7</v>
      </c>
      <c r="GY482" s="27" t="s">
        <v>8</v>
      </c>
      <c r="GZ482" s="27" t="s">
        <v>7</v>
      </c>
      <c r="HA482" s="27" t="s">
        <v>8</v>
      </c>
      <c r="HB482" s="27" t="s">
        <v>7</v>
      </c>
      <c r="HC482" s="27" t="s">
        <v>8</v>
      </c>
      <c r="HD482" s="27" t="s">
        <v>7</v>
      </c>
      <c r="HE482" s="27" t="s">
        <v>8</v>
      </c>
      <c r="HF482" s="27" t="s">
        <v>7</v>
      </c>
      <c r="HG482" s="27" t="s">
        <v>8</v>
      </c>
      <c r="HH482" s="27" t="s">
        <v>7</v>
      </c>
      <c r="HJ482" s="27" t="s">
        <v>7</v>
      </c>
      <c r="HK482" s="27" t="s">
        <v>8</v>
      </c>
      <c r="HL482" s="27" t="s">
        <v>7</v>
      </c>
      <c r="HM482" s="27" t="s">
        <v>8</v>
      </c>
      <c r="HN482" s="27" t="s">
        <v>7</v>
      </c>
      <c r="HO482" s="27" t="s">
        <v>8</v>
      </c>
      <c r="HQ482" s="27" t="s">
        <v>8</v>
      </c>
      <c r="HR482" s="27" t="s">
        <v>7</v>
      </c>
      <c r="HU482" s="27" t="s">
        <v>8</v>
      </c>
      <c r="HV482" s="27" t="s">
        <v>7</v>
      </c>
    </row>
    <row r="483" spans="1:246" x14ac:dyDescent="0.25">
      <c r="A483" s="7">
        <v>7.8418379462155041</v>
      </c>
      <c r="B483"/>
      <c r="C483"/>
      <c r="D483"/>
      <c r="E483"/>
      <c r="CG483" s="27" t="s">
        <v>8</v>
      </c>
      <c r="ED483" s="27" t="s">
        <v>7</v>
      </c>
      <c r="EE483" s="27" t="s">
        <v>8</v>
      </c>
      <c r="EF483" s="27" t="s">
        <v>7</v>
      </c>
      <c r="EG483" s="27" t="s">
        <v>8</v>
      </c>
      <c r="EH483" s="27" t="s">
        <v>7</v>
      </c>
      <c r="EI483" s="27" t="s">
        <v>8</v>
      </c>
      <c r="EJ483" s="27" t="s">
        <v>7</v>
      </c>
      <c r="EK483" s="27" t="s">
        <v>8</v>
      </c>
      <c r="EL483" s="27" t="s">
        <v>7</v>
      </c>
      <c r="EM483" s="27" t="s">
        <v>8</v>
      </c>
      <c r="EN483" s="27" t="s">
        <v>7</v>
      </c>
      <c r="EO483" s="27" t="s">
        <v>8</v>
      </c>
      <c r="EP483" s="27" t="s">
        <v>7</v>
      </c>
      <c r="EQ483" s="27" t="s">
        <v>8</v>
      </c>
      <c r="ER483" s="27" t="s">
        <v>7</v>
      </c>
      <c r="ES483" s="27" t="s">
        <v>8</v>
      </c>
      <c r="ET483" s="27" t="s">
        <v>7</v>
      </c>
      <c r="FO483" s="27" t="s">
        <v>8</v>
      </c>
      <c r="FV483" s="27" t="s">
        <v>7</v>
      </c>
      <c r="GB483" s="27" t="s">
        <v>7</v>
      </c>
      <c r="GC483" s="27" t="s">
        <v>8</v>
      </c>
      <c r="GH483" s="27" t="s">
        <v>7</v>
      </c>
      <c r="GI483" s="27" t="s">
        <v>8</v>
      </c>
      <c r="GJ483" s="27" t="s">
        <v>7</v>
      </c>
      <c r="GK483" s="27" t="s">
        <v>8</v>
      </c>
      <c r="GL483" s="27" t="s">
        <v>7</v>
      </c>
      <c r="GM483" s="27" t="s">
        <v>8</v>
      </c>
      <c r="GT483" s="27" t="s">
        <v>7</v>
      </c>
      <c r="GU483" s="27" t="s">
        <v>8</v>
      </c>
      <c r="GV483" s="27" t="s">
        <v>7</v>
      </c>
      <c r="GX483" s="27" t="s">
        <v>7</v>
      </c>
      <c r="GY483" s="27" t="s">
        <v>8</v>
      </c>
      <c r="GZ483" s="27" t="s">
        <v>7</v>
      </c>
      <c r="HA483" s="27" t="s">
        <v>8</v>
      </c>
      <c r="HB483" s="27" t="s">
        <v>7</v>
      </c>
      <c r="HC483" s="27" t="s">
        <v>8</v>
      </c>
      <c r="HD483" s="27" t="s">
        <v>7</v>
      </c>
      <c r="HF483" s="27" t="s">
        <v>7</v>
      </c>
      <c r="HJ483" s="27" t="s">
        <v>7</v>
      </c>
      <c r="HL483" s="27" t="s">
        <v>7</v>
      </c>
      <c r="HM483" s="27" t="s">
        <v>8</v>
      </c>
      <c r="HN483" s="27" t="s">
        <v>7</v>
      </c>
      <c r="HO483" s="27" t="s">
        <v>8</v>
      </c>
      <c r="HP483" s="27" t="s">
        <v>7</v>
      </c>
      <c r="HQ483" s="27" t="s">
        <v>8</v>
      </c>
      <c r="HR483" s="27" t="s">
        <v>7</v>
      </c>
      <c r="HU483" s="27" t="s">
        <v>8</v>
      </c>
      <c r="HV483" s="27" t="s">
        <v>7</v>
      </c>
    </row>
    <row r="484" spans="1:246" x14ac:dyDescent="0.25">
      <c r="A484" s="7">
        <v>7.688076417858337</v>
      </c>
      <c r="B484"/>
      <c r="C484"/>
      <c r="D484"/>
      <c r="E484"/>
      <c r="CG484" s="27" t="s">
        <v>8</v>
      </c>
      <c r="ED484" s="27" t="s">
        <v>7</v>
      </c>
      <c r="EE484" s="27" t="s">
        <v>8</v>
      </c>
      <c r="EF484" s="27" t="s">
        <v>7</v>
      </c>
      <c r="EG484" s="27" t="s">
        <v>8</v>
      </c>
      <c r="EH484" s="27" t="s">
        <v>7</v>
      </c>
      <c r="EI484" s="27" t="s">
        <v>8</v>
      </c>
      <c r="EJ484" s="27" t="s">
        <v>7</v>
      </c>
      <c r="EK484" s="27" t="s">
        <v>8</v>
      </c>
      <c r="EL484" s="27" t="s">
        <v>7</v>
      </c>
      <c r="EM484" s="27" t="s">
        <v>8</v>
      </c>
      <c r="EN484" s="27" t="s">
        <v>7</v>
      </c>
      <c r="EO484" s="27" t="s">
        <v>8</v>
      </c>
      <c r="EP484" s="27" t="s">
        <v>7</v>
      </c>
      <c r="EQ484" s="27" t="s">
        <v>8</v>
      </c>
      <c r="ER484" s="27" t="s">
        <v>7</v>
      </c>
      <c r="ES484" s="27" t="s">
        <v>8</v>
      </c>
      <c r="ET484" s="27" t="s">
        <v>7</v>
      </c>
      <c r="FO484" s="27" t="s">
        <v>8</v>
      </c>
      <c r="GB484" s="27" t="s">
        <v>7</v>
      </c>
      <c r="GC484" s="27" t="s">
        <v>8</v>
      </c>
      <c r="GH484" s="27" t="s">
        <v>7</v>
      </c>
      <c r="GJ484" s="27" t="s">
        <v>7</v>
      </c>
      <c r="GL484" s="27" t="s">
        <v>7</v>
      </c>
      <c r="GM484" s="27" t="s">
        <v>8</v>
      </c>
      <c r="GT484" s="27" t="s">
        <v>7</v>
      </c>
      <c r="GU484" s="27" t="s">
        <v>8</v>
      </c>
      <c r="GX484" s="27" t="s">
        <v>7</v>
      </c>
      <c r="GZ484" s="27" t="s">
        <v>7</v>
      </c>
      <c r="HA484" s="27" t="s">
        <v>8</v>
      </c>
      <c r="HB484" s="27" t="s">
        <v>7</v>
      </c>
      <c r="HC484" s="27" t="s">
        <v>8</v>
      </c>
      <c r="HL484" s="27" t="s">
        <v>7</v>
      </c>
      <c r="HM484" s="27" t="s">
        <v>8</v>
      </c>
      <c r="HN484" s="27" t="s">
        <v>7</v>
      </c>
      <c r="HO484" s="27" t="s">
        <v>8</v>
      </c>
      <c r="HP484" s="27" t="s">
        <v>7</v>
      </c>
      <c r="HQ484" s="27" t="s">
        <v>8</v>
      </c>
      <c r="HR484" s="27" t="s">
        <v>7</v>
      </c>
      <c r="HU484" s="27" t="s">
        <v>8</v>
      </c>
      <c r="HV484" s="27" t="s">
        <v>7</v>
      </c>
    </row>
    <row r="485" spans="1:246" x14ac:dyDescent="0.25">
      <c r="A485" s="7">
        <v>7.5373298214297417</v>
      </c>
      <c r="B485"/>
      <c r="C485"/>
      <c r="D485"/>
      <c r="E485"/>
      <c r="CG485" s="27" t="s">
        <v>8</v>
      </c>
      <c r="ED485" s="27" t="s">
        <v>7</v>
      </c>
      <c r="EE485" s="27" t="s">
        <v>8</v>
      </c>
      <c r="EF485" s="27" t="s">
        <v>7</v>
      </c>
      <c r="EG485" s="27" t="s">
        <v>8</v>
      </c>
      <c r="EH485" s="27" t="s">
        <v>7</v>
      </c>
      <c r="EI485" s="27" t="s">
        <v>8</v>
      </c>
      <c r="EJ485" s="27" t="s">
        <v>7</v>
      </c>
      <c r="EK485" s="27" t="s">
        <v>8</v>
      </c>
      <c r="EL485" s="27" t="s">
        <v>7</v>
      </c>
      <c r="EM485" s="27" t="s">
        <v>8</v>
      </c>
      <c r="EN485" s="27" t="s">
        <v>7</v>
      </c>
      <c r="EO485" s="27" t="s">
        <v>8</v>
      </c>
      <c r="EP485" s="27" t="s">
        <v>7</v>
      </c>
      <c r="EQ485" s="27" t="s">
        <v>8</v>
      </c>
      <c r="ER485" s="27" t="s">
        <v>7</v>
      </c>
      <c r="ES485" s="27" t="s">
        <v>8</v>
      </c>
      <c r="ET485" s="27" t="s">
        <v>7</v>
      </c>
      <c r="FO485" s="27" t="s">
        <v>8</v>
      </c>
      <c r="GB485" s="27" t="s">
        <v>7</v>
      </c>
      <c r="GC485" s="27" t="s">
        <v>8</v>
      </c>
      <c r="GL485" s="27" t="s">
        <v>7</v>
      </c>
      <c r="GM485" s="27" t="s">
        <v>8</v>
      </c>
      <c r="GT485" s="27" t="s">
        <v>7</v>
      </c>
      <c r="GU485" s="27" t="s">
        <v>8</v>
      </c>
      <c r="GZ485" s="27" t="s">
        <v>7</v>
      </c>
      <c r="HA485" s="27" t="s">
        <v>8</v>
      </c>
      <c r="HB485" s="27" t="s">
        <v>7</v>
      </c>
      <c r="HC485" s="27" t="s">
        <v>8</v>
      </c>
      <c r="HL485" s="27" t="s">
        <v>7</v>
      </c>
      <c r="HM485" s="27" t="s">
        <v>8</v>
      </c>
      <c r="HN485" s="27" t="s">
        <v>7</v>
      </c>
      <c r="HO485" s="27" t="s">
        <v>8</v>
      </c>
      <c r="HP485" s="27" t="s">
        <v>7</v>
      </c>
      <c r="HR485" s="27" t="s">
        <v>7</v>
      </c>
      <c r="HS485" s="27" t="s">
        <v>8</v>
      </c>
      <c r="HU485" s="27" t="s">
        <v>8</v>
      </c>
      <c r="HV485" s="27" t="s">
        <v>7</v>
      </c>
    </row>
    <row r="486" spans="1:246" x14ac:dyDescent="0.25">
      <c r="A486" s="7">
        <v>7.389539040617394</v>
      </c>
      <c r="B486"/>
      <c r="C486"/>
      <c r="D486"/>
      <c r="E486"/>
      <c r="CG486" s="27" t="s">
        <v>8</v>
      </c>
      <c r="ED486" s="27" t="s">
        <v>7</v>
      </c>
      <c r="EE486" s="27" t="s">
        <v>8</v>
      </c>
      <c r="EF486" s="27" t="s">
        <v>7</v>
      </c>
      <c r="EG486" s="27" t="s">
        <v>8</v>
      </c>
      <c r="EH486" s="27" t="s">
        <v>7</v>
      </c>
      <c r="EI486" s="27" t="s">
        <v>8</v>
      </c>
      <c r="EJ486" s="27" t="s">
        <v>7</v>
      </c>
      <c r="EK486" s="27" t="s">
        <v>8</v>
      </c>
      <c r="EL486" s="27" t="s">
        <v>7</v>
      </c>
      <c r="EM486" s="27" t="s">
        <v>8</v>
      </c>
      <c r="EN486" s="27" t="s">
        <v>7</v>
      </c>
      <c r="EO486" s="27" t="s">
        <v>8</v>
      </c>
      <c r="EP486" s="27" t="s">
        <v>7</v>
      </c>
      <c r="EQ486" s="27" t="s">
        <v>8</v>
      </c>
      <c r="ER486" s="27" t="s">
        <v>7</v>
      </c>
      <c r="ES486" s="27" t="s">
        <v>8</v>
      </c>
      <c r="ET486" s="27" t="s">
        <v>7</v>
      </c>
      <c r="FO486" s="27" t="s">
        <v>8</v>
      </c>
      <c r="GB486" s="27" t="s">
        <v>7</v>
      </c>
      <c r="GL486" s="27" t="s">
        <v>7</v>
      </c>
      <c r="GT486" s="27" t="s">
        <v>7</v>
      </c>
      <c r="GU486" s="27" t="s">
        <v>8</v>
      </c>
      <c r="GZ486" s="27" t="s">
        <v>7</v>
      </c>
      <c r="HA486" s="27" t="s">
        <v>8</v>
      </c>
      <c r="HB486" s="27" t="s">
        <v>7</v>
      </c>
      <c r="HL486" s="27" t="s">
        <v>7</v>
      </c>
      <c r="HM486" s="27" t="s">
        <v>8</v>
      </c>
      <c r="HN486" s="27" t="s">
        <v>7</v>
      </c>
      <c r="HR486" s="27" t="s">
        <v>7</v>
      </c>
      <c r="HS486" s="27" t="s">
        <v>8</v>
      </c>
      <c r="HT486" s="27" t="s">
        <v>7</v>
      </c>
      <c r="HU486" s="27" t="s">
        <v>8</v>
      </c>
      <c r="HV486" s="27" t="s">
        <v>7</v>
      </c>
    </row>
    <row r="487" spans="1:246" x14ac:dyDescent="0.25">
      <c r="A487" s="7">
        <v>7.2446461182523469</v>
      </c>
      <c r="B487"/>
      <c r="C487"/>
      <c r="D487"/>
      <c r="E487"/>
      <c r="CG487" s="27" t="s">
        <v>8</v>
      </c>
      <c r="ED487" s="27" t="s">
        <v>7</v>
      </c>
      <c r="EE487" s="27" t="s">
        <v>8</v>
      </c>
      <c r="EF487" s="27" t="s">
        <v>7</v>
      </c>
      <c r="EG487" s="27" t="s">
        <v>8</v>
      </c>
      <c r="EH487" s="27" t="s">
        <v>7</v>
      </c>
      <c r="EI487" s="27" t="s">
        <v>8</v>
      </c>
      <c r="EJ487" s="27" t="s">
        <v>7</v>
      </c>
      <c r="EK487" s="27" t="s">
        <v>8</v>
      </c>
      <c r="EL487" s="27" t="s">
        <v>7</v>
      </c>
      <c r="EM487" s="27" t="s">
        <v>8</v>
      </c>
      <c r="EN487" s="27" t="s">
        <v>7</v>
      </c>
      <c r="EO487" s="27" t="s">
        <v>8</v>
      </c>
      <c r="EP487" s="27" t="s">
        <v>7</v>
      </c>
      <c r="EQ487" s="27" t="s">
        <v>8</v>
      </c>
      <c r="ER487" s="27" t="s">
        <v>7</v>
      </c>
      <c r="ES487" s="27" t="s">
        <v>8</v>
      </c>
      <c r="ET487" s="27" t="s">
        <v>7</v>
      </c>
      <c r="FM487" s="27" t="s">
        <v>8</v>
      </c>
      <c r="FO487" s="27" t="s">
        <v>8</v>
      </c>
      <c r="GT487" s="27" t="s">
        <v>7</v>
      </c>
      <c r="GU487" s="27" t="s">
        <v>8</v>
      </c>
      <c r="GZ487" s="27" t="s">
        <v>7</v>
      </c>
      <c r="HL487" s="27" t="s">
        <v>7</v>
      </c>
      <c r="HM487" s="27" t="s">
        <v>8</v>
      </c>
      <c r="HR487" s="27" t="s">
        <v>7</v>
      </c>
      <c r="HS487" s="27" t="s">
        <v>8</v>
      </c>
      <c r="HT487" s="27" t="s">
        <v>7</v>
      </c>
      <c r="HU487" s="27" t="s">
        <v>8</v>
      </c>
      <c r="HV487" s="27" t="s">
        <v>7</v>
      </c>
      <c r="II487" s="27" t="s">
        <v>8</v>
      </c>
    </row>
    <row r="488" spans="1:246" x14ac:dyDescent="0.25">
      <c r="A488" s="7">
        <v>7.1025942335807324</v>
      </c>
      <c r="B488"/>
      <c r="C488"/>
      <c r="D488"/>
      <c r="E488"/>
      <c r="CG488" s="27" t="s">
        <v>8</v>
      </c>
      <c r="ED488" s="27" t="s">
        <v>7</v>
      </c>
      <c r="EE488" s="27" t="s">
        <v>8</v>
      </c>
      <c r="EF488" s="27" t="s">
        <v>7</v>
      </c>
      <c r="EG488" s="27" t="s">
        <v>8</v>
      </c>
      <c r="EH488" s="27" t="s">
        <v>7</v>
      </c>
      <c r="EI488" s="27" t="s">
        <v>8</v>
      </c>
      <c r="EJ488" s="27" t="s">
        <v>7</v>
      </c>
      <c r="EL488" s="27" t="s">
        <v>7</v>
      </c>
      <c r="EM488" s="27" t="s">
        <v>8</v>
      </c>
      <c r="EN488" s="27" t="s">
        <v>7</v>
      </c>
      <c r="EO488" s="27" t="s">
        <v>8</v>
      </c>
      <c r="EP488" s="27" t="s">
        <v>7</v>
      </c>
      <c r="EQ488" s="27" t="s">
        <v>8</v>
      </c>
      <c r="ER488" s="27" t="s">
        <v>7</v>
      </c>
      <c r="ES488" s="27" t="s">
        <v>8</v>
      </c>
      <c r="ET488" s="27" t="s">
        <v>7</v>
      </c>
      <c r="FM488" s="27" t="s">
        <v>8</v>
      </c>
      <c r="FN488" s="27" t="s">
        <v>7</v>
      </c>
      <c r="FO488" s="27" t="s">
        <v>8</v>
      </c>
      <c r="GT488" s="27" t="s">
        <v>7</v>
      </c>
      <c r="HL488" s="27" t="s">
        <v>7</v>
      </c>
      <c r="HM488" s="27" t="s">
        <v>8</v>
      </c>
      <c r="HR488" s="27" t="s">
        <v>7</v>
      </c>
      <c r="HT488" s="27" t="s">
        <v>7</v>
      </c>
      <c r="HU488" s="27" t="s">
        <v>8</v>
      </c>
      <c r="HV488" s="27" t="s">
        <v>7</v>
      </c>
      <c r="II488" s="27" t="s">
        <v>8</v>
      </c>
      <c r="IJ488" s="27" t="s">
        <v>7</v>
      </c>
    </row>
    <row r="489" spans="1:246" x14ac:dyDescent="0.25">
      <c r="A489" s="7">
        <v>6.9633276799811101</v>
      </c>
      <c r="B489"/>
      <c r="C489"/>
      <c r="D489"/>
      <c r="E489"/>
      <c r="CA489" s="27" t="s">
        <v>8</v>
      </c>
      <c r="CG489" s="27" t="s">
        <v>8</v>
      </c>
      <c r="ED489" s="27" t="s">
        <v>7</v>
      </c>
      <c r="EE489" s="27" t="s">
        <v>8</v>
      </c>
      <c r="EF489" s="27" t="s">
        <v>7</v>
      </c>
      <c r="EG489" s="27" t="s">
        <v>8</v>
      </c>
      <c r="EH489" s="27" t="s">
        <v>7</v>
      </c>
      <c r="EI489" s="27" t="s">
        <v>8</v>
      </c>
      <c r="EL489" s="27" t="s">
        <v>7</v>
      </c>
      <c r="EM489" s="27" t="s">
        <v>8</v>
      </c>
      <c r="EN489" s="27" t="s">
        <v>7</v>
      </c>
      <c r="EO489" s="27" t="s">
        <v>8</v>
      </c>
      <c r="EP489" s="27" t="s">
        <v>7</v>
      </c>
      <c r="EQ489" s="27" t="s">
        <v>8</v>
      </c>
      <c r="ER489" s="27" t="s">
        <v>7</v>
      </c>
      <c r="ES489" s="27" t="s">
        <v>8</v>
      </c>
      <c r="ET489" s="27" t="s">
        <v>7</v>
      </c>
      <c r="FM489" s="27" t="s">
        <v>8</v>
      </c>
      <c r="FN489" s="27" t="s">
        <v>7</v>
      </c>
      <c r="FO489" s="27" t="s">
        <v>8</v>
      </c>
      <c r="HL489" s="27" t="s">
        <v>7</v>
      </c>
      <c r="HM489" s="27" t="s">
        <v>8</v>
      </c>
      <c r="HT489" s="27" t="s">
        <v>7</v>
      </c>
      <c r="HV489" s="27" t="s">
        <v>7</v>
      </c>
      <c r="II489" s="27" t="s">
        <v>8</v>
      </c>
      <c r="IJ489" s="27" t="s">
        <v>7</v>
      </c>
    </row>
    <row r="490" spans="1:246" x14ac:dyDescent="0.25">
      <c r="A490" s="7">
        <v>6.8267918431187349</v>
      </c>
      <c r="B490"/>
      <c r="C490"/>
      <c r="D490"/>
      <c r="E490"/>
      <c r="CA490" s="27" t="s">
        <v>8</v>
      </c>
      <c r="CB490" s="27" t="s">
        <v>7</v>
      </c>
      <c r="CG490" s="27" t="s">
        <v>8</v>
      </c>
      <c r="ED490" s="27" t="s">
        <v>7</v>
      </c>
      <c r="EE490" s="27" t="s">
        <v>8</v>
      </c>
      <c r="EF490" s="27" t="s">
        <v>7</v>
      </c>
      <c r="EG490" s="27" t="s">
        <v>8</v>
      </c>
      <c r="EH490" s="27" t="s">
        <v>7</v>
      </c>
      <c r="EI490" s="27" t="s">
        <v>8</v>
      </c>
      <c r="EL490" s="27" t="s">
        <v>7</v>
      </c>
      <c r="EM490" s="27" t="s">
        <v>8</v>
      </c>
      <c r="EN490" s="27" t="s">
        <v>7</v>
      </c>
      <c r="EP490" s="27" t="s">
        <v>7</v>
      </c>
      <c r="EQ490" s="27" t="s">
        <v>8</v>
      </c>
      <c r="ER490" s="27" t="s">
        <v>7</v>
      </c>
      <c r="ES490" s="27" t="s">
        <v>8</v>
      </c>
      <c r="ET490" s="27" t="s">
        <v>7</v>
      </c>
      <c r="FM490" s="27" t="s">
        <v>8</v>
      </c>
      <c r="FN490" s="27" t="s">
        <v>7</v>
      </c>
      <c r="FO490" s="27" t="s">
        <v>8</v>
      </c>
      <c r="HL490" s="27" t="s">
        <v>7</v>
      </c>
      <c r="HM490" s="27" t="s">
        <v>8</v>
      </c>
      <c r="HV490" s="27" t="s">
        <v>7</v>
      </c>
      <c r="II490" s="27" t="s">
        <v>8</v>
      </c>
      <c r="IJ490" s="27" t="s">
        <v>7</v>
      </c>
    </row>
    <row r="491" spans="1:246" x14ac:dyDescent="0.25">
      <c r="A491" s="7">
        <v>6.692933179528171</v>
      </c>
      <c r="B491"/>
      <c r="C491"/>
      <c r="D491"/>
      <c r="E491"/>
      <c r="CA491" s="27" t="s">
        <v>8</v>
      </c>
      <c r="CB491" s="27" t="s">
        <v>7</v>
      </c>
      <c r="CC491" s="27" t="s">
        <v>8</v>
      </c>
      <c r="CG491" s="27" t="s">
        <v>8</v>
      </c>
      <c r="ED491" s="27" t="s">
        <v>7</v>
      </c>
      <c r="EE491" s="27" t="s">
        <v>8</v>
      </c>
      <c r="EF491" s="27" t="s">
        <v>7</v>
      </c>
      <c r="EG491" s="27" t="s">
        <v>8</v>
      </c>
      <c r="EH491" s="27" t="s">
        <v>7</v>
      </c>
      <c r="EI491" s="27" t="s">
        <v>8</v>
      </c>
      <c r="EL491" s="27" t="s">
        <v>7</v>
      </c>
      <c r="EM491" s="27" t="s">
        <v>8</v>
      </c>
      <c r="EP491" s="27" t="s">
        <v>7</v>
      </c>
      <c r="EQ491" s="27" t="s">
        <v>8</v>
      </c>
      <c r="ER491" s="27" t="s">
        <v>7</v>
      </c>
      <c r="ES491" s="27" t="s">
        <v>8</v>
      </c>
      <c r="ET491" s="27" t="s">
        <v>7</v>
      </c>
      <c r="FK491" s="27" t="s">
        <v>8</v>
      </c>
      <c r="FM491" s="27" t="s">
        <v>8</v>
      </c>
      <c r="FN491" s="27" t="s">
        <v>7</v>
      </c>
      <c r="HL491" s="27" t="s">
        <v>7</v>
      </c>
      <c r="HM491" s="27" t="s">
        <v>8</v>
      </c>
      <c r="HV491" s="27" t="s">
        <v>7</v>
      </c>
      <c r="HW491" s="27" t="s">
        <v>8</v>
      </c>
      <c r="II491" s="27" t="s">
        <v>8</v>
      </c>
      <c r="IJ491" s="27" t="s">
        <v>7</v>
      </c>
    </row>
    <row r="492" spans="1:246" x14ac:dyDescent="0.25">
      <c r="A492" s="7">
        <v>6.5616991956158541</v>
      </c>
      <c r="B492"/>
      <c r="C492"/>
      <c r="D492"/>
      <c r="E492"/>
      <c r="CA492" s="27" t="s">
        <v>8</v>
      </c>
      <c r="CB492" s="27" t="s">
        <v>7</v>
      </c>
      <c r="CC492" s="27" t="s">
        <v>8</v>
      </c>
      <c r="CD492" s="27" t="s">
        <v>7</v>
      </c>
      <c r="CE492" s="27" t="s">
        <v>8</v>
      </c>
      <c r="CG492" s="27" t="s">
        <v>8</v>
      </c>
      <c r="ED492" s="27" t="s">
        <v>7</v>
      </c>
      <c r="EE492" s="27" t="s">
        <v>8</v>
      </c>
      <c r="EF492" s="27" t="s">
        <v>7</v>
      </c>
      <c r="EH492" s="27" t="s">
        <v>7</v>
      </c>
      <c r="EI492" s="27" t="s">
        <v>8</v>
      </c>
      <c r="EL492" s="27" t="s">
        <v>7</v>
      </c>
      <c r="EM492" s="27" t="s">
        <v>8</v>
      </c>
      <c r="EP492" s="27" t="s">
        <v>7</v>
      </c>
      <c r="EQ492" s="27" t="s">
        <v>8</v>
      </c>
      <c r="ER492" s="27" t="s">
        <v>7</v>
      </c>
      <c r="ES492" s="27" t="s">
        <v>8</v>
      </c>
      <c r="ET492" s="27" t="s">
        <v>7</v>
      </c>
      <c r="FK492" s="27" t="s">
        <v>8</v>
      </c>
      <c r="FL492" s="27" t="s">
        <v>7</v>
      </c>
      <c r="FM492" s="27" t="s">
        <v>8</v>
      </c>
      <c r="HL492" s="27" t="s">
        <v>7</v>
      </c>
      <c r="HV492" s="27" t="s">
        <v>7</v>
      </c>
      <c r="HW492" s="27" t="s">
        <v>8</v>
      </c>
      <c r="HX492" s="27" t="s">
        <v>7</v>
      </c>
      <c r="II492" s="27" t="s">
        <v>8</v>
      </c>
      <c r="IJ492" s="27" t="s">
        <v>7</v>
      </c>
    </row>
    <row r="493" spans="1:246" x14ac:dyDescent="0.25">
      <c r="A493" s="7">
        <v>6.4330384270743668</v>
      </c>
      <c r="B493"/>
      <c r="C493"/>
      <c r="D493"/>
      <c r="E493"/>
      <c r="CA493" s="27" t="s">
        <v>8</v>
      </c>
      <c r="CB493" s="27" t="s">
        <v>7</v>
      </c>
      <c r="CC493" s="27" t="s">
        <v>8</v>
      </c>
      <c r="CD493" s="27" t="s">
        <v>7</v>
      </c>
      <c r="CE493" s="27" t="s">
        <v>8</v>
      </c>
      <c r="CF493" s="27" t="s">
        <v>7</v>
      </c>
      <c r="CG493" s="27" t="s">
        <v>8</v>
      </c>
      <c r="ED493" s="27" t="s">
        <v>7</v>
      </c>
      <c r="EE493" s="27" t="s">
        <v>8</v>
      </c>
      <c r="EH493" s="27" t="s">
        <v>7</v>
      </c>
      <c r="EI493" s="27" t="s">
        <v>8</v>
      </c>
      <c r="EL493" s="27" t="s">
        <v>7</v>
      </c>
      <c r="EM493" s="27" t="s">
        <v>8</v>
      </c>
      <c r="EP493" s="27" t="s">
        <v>7</v>
      </c>
      <c r="EQ493" s="27" t="s">
        <v>8</v>
      </c>
      <c r="ER493" s="27" t="s">
        <v>7</v>
      </c>
      <c r="ET493" s="27" t="s">
        <v>7</v>
      </c>
      <c r="FK493" s="27" t="s">
        <v>8</v>
      </c>
      <c r="FL493" s="27" t="s">
        <v>7</v>
      </c>
      <c r="FM493" s="27" t="s">
        <v>8</v>
      </c>
      <c r="HV493" s="27" t="s">
        <v>7</v>
      </c>
      <c r="HW493" s="27" t="s">
        <v>8</v>
      </c>
      <c r="HX493" s="27" t="s">
        <v>7</v>
      </c>
      <c r="IG493" s="27" t="s">
        <v>8</v>
      </c>
      <c r="II493" s="27" t="s">
        <v>8</v>
      </c>
      <c r="IJ493" s="27" t="s">
        <v>7</v>
      </c>
    </row>
    <row r="494" spans="1:246" x14ac:dyDescent="0.25">
      <c r="A494" s="7">
        <v>6.3069004187003594</v>
      </c>
      <c r="B494"/>
      <c r="C494"/>
      <c r="D494"/>
      <c r="E494"/>
      <c r="CA494" s="27" t="s">
        <v>8</v>
      </c>
      <c r="CB494" s="27" t="s">
        <v>7</v>
      </c>
      <c r="CC494" s="27" t="s">
        <v>8</v>
      </c>
      <c r="CD494" s="27" t="s">
        <v>7</v>
      </c>
      <c r="CE494" s="27" t="s">
        <v>8</v>
      </c>
      <c r="CF494" s="27" t="s">
        <v>7</v>
      </c>
      <c r="CG494" s="27" t="s">
        <v>8</v>
      </c>
      <c r="ED494" s="27" t="s">
        <v>7</v>
      </c>
      <c r="EE494" s="27" t="s">
        <v>8</v>
      </c>
      <c r="EH494" s="27" t="s">
        <v>7</v>
      </c>
      <c r="EI494" s="27" t="s">
        <v>8</v>
      </c>
      <c r="EL494" s="27" t="s">
        <v>7</v>
      </c>
      <c r="EM494" s="27" t="s">
        <v>8</v>
      </c>
      <c r="EP494" s="27" t="s">
        <v>7</v>
      </c>
      <c r="EQ494" s="27" t="s">
        <v>8</v>
      </c>
      <c r="ET494" s="27" t="s">
        <v>7</v>
      </c>
      <c r="EU494" s="27" t="s">
        <v>8</v>
      </c>
      <c r="FK494" s="27" t="s">
        <v>8</v>
      </c>
      <c r="FL494" s="27" t="s">
        <v>7</v>
      </c>
      <c r="FM494" s="27" t="s">
        <v>8</v>
      </c>
      <c r="HV494" s="27" t="s">
        <v>7</v>
      </c>
      <c r="HW494" s="27" t="s">
        <v>8</v>
      </c>
      <c r="HX494" s="27" t="s">
        <v>7</v>
      </c>
      <c r="HY494" s="27" t="s">
        <v>8</v>
      </c>
      <c r="IG494" s="27" t="s">
        <v>8</v>
      </c>
      <c r="IH494" s="27" t="s">
        <v>7</v>
      </c>
      <c r="II494" s="27" t="s">
        <v>8</v>
      </c>
      <c r="IJ494" s="27" t="s">
        <v>7</v>
      </c>
    </row>
    <row r="495" spans="1:246" x14ac:dyDescent="0.25">
      <c r="A495" s="7">
        <v>6.1832357046081956</v>
      </c>
      <c r="B495"/>
      <c r="C495"/>
      <c r="D495"/>
      <c r="E495"/>
      <c r="CA495" s="27" t="s">
        <v>8</v>
      </c>
      <c r="CB495" s="27" t="s">
        <v>7</v>
      </c>
      <c r="CC495" s="27" t="s">
        <v>8</v>
      </c>
      <c r="CD495" s="27" t="s">
        <v>7</v>
      </c>
      <c r="CE495" s="27" t="s">
        <v>8</v>
      </c>
      <c r="CF495" s="27" t="s">
        <v>7</v>
      </c>
      <c r="CG495" s="27" t="s">
        <v>8</v>
      </c>
      <c r="ED495" s="27" t="s">
        <v>7</v>
      </c>
      <c r="EE495" s="27" t="s">
        <v>8</v>
      </c>
      <c r="EH495" s="27" t="s">
        <v>7</v>
      </c>
      <c r="EI495" s="27" t="s">
        <v>8</v>
      </c>
      <c r="EL495" s="27" t="s">
        <v>7</v>
      </c>
      <c r="EP495" s="27" t="s">
        <v>7</v>
      </c>
      <c r="EQ495" s="27" t="s">
        <v>8</v>
      </c>
      <c r="ET495" s="27" t="s">
        <v>7</v>
      </c>
      <c r="EU495" s="27" t="s">
        <v>8</v>
      </c>
      <c r="EV495" s="27" t="s">
        <v>7</v>
      </c>
      <c r="FI495" s="27" t="s">
        <v>8</v>
      </c>
      <c r="FK495" s="27" t="s">
        <v>8</v>
      </c>
      <c r="FL495" s="27" t="s">
        <v>7</v>
      </c>
      <c r="FM495" s="27" t="s">
        <v>8</v>
      </c>
      <c r="HV495" s="27" t="s">
        <v>7</v>
      </c>
      <c r="HW495" s="27" t="s">
        <v>8</v>
      </c>
      <c r="HX495" s="27" t="s">
        <v>7</v>
      </c>
      <c r="HY495" s="27" t="s">
        <v>8</v>
      </c>
      <c r="HZ495" s="27" t="s">
        <v>7</v>
      </c>
      <c r="IG495" s="27" t="s">
        <v>8</v>
      </c>
      <c r="IH495" s="27" t="s">
        <v>7</v>
      </c>
      <c r="II495" s="27" t="s">
        <v>8</v>
      </c>
      <c r="IJ495" s="27" t="s">
        <v>7</v>
      </c>
      <c r="IK495" s="27" t="s">
        <v>8</v>
      </c>
    </row>
    <row r="496" spans="1:246" x14ac:dyDescent="0.25">
      <c r="A496" s="7">
        <v>6.0619957888315641</v>
      </c>
      <c r="B496"/>
      <c r="C496"/>
      <c r="D496"/>
      <c r="E496"/>
      <c r="CA496" s="27" t="s">
        <v>8</v>
      </c>
      <c r="CB496" s="27" t="s">
        <v>7</v>
      </c>
      <c r="CC496" s="27" t="s">
        <v>8</v>
      </c>
      <c r="CD496" s="27" t="s">
        <v>7</v>
      </c>
      <c r="CE496" s="27" t="s">
        <v>8</v>
      </c>
      <c r="CF496" s="27" t="s">
        <v>7</v>
      </c>
      <c r="CG496" s="27" t="s">
        <v>8</v>
      </c>
      <c r="ED496" s="27" t="s">
        <v>7</v>
      </c>
      <c r="EE496" s="27" t="s">
        <v>8</v>
      </c>
      <c r="EH496" s="27" t="s">
        <v>7</v>
      </c>
      <c r="EI496" s="27" t="s">
        <v>8</v>
      </c>
      <c r="EP496" s="27" t="s">
        <v>7</v>
      </c>
      <c r="EQ496" s="27" t="s">
        <v>8</v>
      </c>
      <c r="ET496" s="27" t="s">
        <v>7</v>
      </c>
      <c r="EU496" s="27" t="s">
        <v>8</v>
      </c>
      <c r="EV496" s="27" t="s">
        <v>7</v>
      </c>
      <c r="EW496" s="27" t="s">
        <v>8</v>
      </c>
      <c r="FA496" s="27" t="s">
        <v>8</v>
      </c>
      <c r="FI496" s="27" t="s">
        <v>8</v>
      </c>
      <c r="FJ496" s="27" t="s">
        <v>7</v>
      </c>
      <c r="FK496" s="27" t="s">
        <v>8</v>
      </c>
      <c r="FL496" s="27" t="s">
        <v>7</v>
      </c>
      <c r="HV496" s="27" t="s">
        <v>7</v>
      </c>
      <c r="HW496" s="27" t="s">
        <v>8</v>
      </c>
      <c r="HX496" s="27" t="s">
        <v>7</v>
      </c>
      <c r="HY496" s="27" t="s">
        <v>8</v>
      </c>
      <c r="HZ496" s="27" t="s">
        <v>7</v>
      </c>
      <c r="IC496" s="27" t="s">
        <v>8</v>
      </c>
      <c r="IG496" s="27" t="s">
        <v>8</v>
      </c>
      <c r="IH496" s="27" t="s">
        <v>7</v>
      </c>
      <c r="II496" s="27" t="s">
        <v>8</v>
      </c>
      <c r="IJ496" s="27" t="s">
        <v>7</v>
      </c>
      <c r="IK496" s="27" t="s">
        <v>8</v>
      </c>
      <c r="IL496" s="27" t="s">
        <v>7</v>
      </c>
    </row>
    <row r="497" spans="1:254" x14ac:dyDescent="0.25">
      <c r="A497" s="7">
        <v>5.9431331263054545</v>
      </c>
      <c r="B497"/>
      <c r="C497"/>
      <c r="D497"/>
      <c r="E497"/>
      <c r="CA497" s="27" t="s">
        <v>8</v>
      </c>
      <c r="CB497" s="27" t="s">
        <v>7</v>
      </c>
      <c r="CD497" s="27" t="s">
        <v>7</v>
      </c>
      <c r="CE497" s="27" t="s">
        <v>8</v>
      </c>
      <c r="CF497" s="27" t="s">
        <v>7</v>
      </c>
      <c r="CG497" s="27" t="s">
        <v>8</v>
      </c>
      <c r="ED497" s="27" t="s">
        <v>7</v>
      </c>
      <c r="EE497" s="27" t="s">
        <v>8</v>
      </c>
      <c r="EH497" s="27" t="s">
        <v>7</v>
      </c>
      <c r="EI497" s="27" t="s">
        <v>8</v>
      </c>
      <c r="EP497" s="27" t="s">
        <v>7</v>
      </c>
      <c r="EQ497" s="27" t="s">
        <v>8</v>
      </c>
      <c r="ET497" s="27" t="s">
        <v>7</v>
      </c>
      <c r="EU497" s="27" t="s">
        <v>8</v>
      </c>
      <c r="EV497" s="27" t="s">
        <v>7</v>
      </c>
      <c r="EW497" s="27" t="s">
        <v>8</v>
      </c>
      <c r="EX497" s="27" t="s">
        <v>7</v>
      </c>
      <c r="FA497" s="27" t="s">
        <v>8</v>
      </c>
      <c r="FB497" s="27" t="s">
        <v>7</v>
      </c>
      <c r="FI497" s="27" t="s">
        <v>8</v>
      </c>
      <c r="FJ497" s="27" t="s">
        <v>7</v>
      </c>
      <c r="FK497" s="27" t="s">
        <v>8</v>
      </c>
      <c r="HV497" s="27" t="s">
        <v>7</v>
      </c>
      <c r="HX497" s="27" t="s">
        <v>7</v>
      </c>
      <c r="HY497" s="27" t="s">
        <v>8</v>
      </c>
      <c r="HZ497" s="27" t="s">
        <v>7</v>
      </c>
      <c r="IC497" s="27" t="s">
        <v>8</v>
      </c>
      <c r="ID497" s="27" t="s">
        <v>7</v>
      </c>
      <c r="IG497" s="27" t="s">
        <v>8</v>
      </c>
      <c r="IH497" s="27" t="s">
        <v>7</v>
      </c>
      <c r="II497" s="27" t="s">
        <v>8</v>
      </c>
      <c r="IJ497" s="27" t="s">
        <v>7</v>
      </c>
      <c r="IK497" s="27" t="s">
        <v>8</v>
      </c>
      <c r="IL497" s="27" t="s">
        <v>7</v>
      </c>
    </row>
    <row r="498" spans="1:254" x14ac:dyDescent="0.25">
      <c r="A498" s="7">
        <v>5.8266011042210337</v>
      </c>
      <c r="B498"/>
      <c r="C498"/>
      <c r="D498"/>
      <c r="E498"/>
      <c r="CA498" s="27" t="s">
        <v>8</v>
      </c>
      <c r="CD498" s="27" t="s">
        <v>7</v>
      </c>
      <c r="CE498" s="27" t="s">
        <v>8</v>
      </c>
      <c r="CF498" s="27" t="s">
        <v>7</v>
      </c>
      <c r="CG498" s="27" t="s">
        <v>8</v>
      </c>
      <c r="ED498" s="27" t="s">
        <v>7</v>
      </c>
      <c r="EE498" s="27" t="s">
        <v>8</v>
      </c>
      <c r="EH498" s="27" t="s">
        <v>7</v>
      </c>
      <c r="EI498" s="27" t="s">
        <v>8</v>
      </c>
      <c r="EP498" s="27" t="s">
        <v>7</v>
      </c>
      <c r="ET498" s="27" t="s">
        <v>7</v>
      </c>
      <c r="EU498" s="27" t="s">
        <v>8</v>
      </c>
      <c r="EV498" s="27" t="s">
        <v>7</v>
      </c>
      <c r="EW498" s="27" t="s">
        <v>8</v>
      </c>
      <c r="EX498" s="27" t="s">
        <v>7</v>
      </c>
      <c r="EY498" s="27" t="s">
        <v>8</v>
      </c>
      <c r="FA498" s="27" t="s">
        <v>8</v>
      </c>
      <c r="FB498" s="27" t="s">
        <v>7</v>
      </c>
      <c r="FI498" s="27" t="s">
        <v>8</v>
      </c>
      <c r="FJ498" s="27" t="s">
        <v>7</v>
      </c>
      <c r="FK498" s="27" t="s">
        <v>8</v>
      </c>
      <c r="HX498" s="27" t="s">
        <v>7</v>
      </c>
      <c r="HY498" s="27" t="s">
        <v>8</v>
      </c>
      <c r="HZ498" s="27" t="s">
        <v>7</v>
      </c>
      <c r="IC498" s="27" t="s">
        <v>8</v>
      </c>
      <c r="ID498" s="27" t="s">
        <v>7</v>
      </c>
      <c r="IG498" s="27" t="s">
        <v>8</v>
      </c>
      <c r="IH498" s="27" t="s">
        <v>7</v>
      </c>
      <c r="II498" s="27" t="s">
        <v>8</v>
      </c>
      <c r="IJ498" s="27" t="s">
        <v>7</v>
      </c>
      <c r="IK498" s="27" t="s">
        <v>8</v>
      </c>
      <c r="IL498" s="27" t="s">
        <v>7</v>
      </c>
    </row>
    <row r="499" spans="1:254" x14ac:dyDescent="0.25">
      <c r="A499" s="7">
        <v>5.7123540237461112</v>
      </c>
      <c r="B499"/>
      <c r="C499"/>
      <c r="D499"/>
      <c r="E499"/>
      <c r="CA499" s="27" t="s">
        <v>8</v>
      </c>
      <c r="CD499" s="27" t="s">
        <v>7</v>
      </c>
      <c r="CE499" s="27" t="s">
        <v>8</v>
      </c>
      <c r="CF499" s="27" t="s">
        <v>7</v>
      </c>
      <c r="ED499" s="27" t="s">
        <v>7</v>
      </c>
      <c r="EE499" s="27" t="s">
        <v>8</v>
      </c>
      <c r="EH499" s="27" t="s">
        <v>7</v>
      </c>
      <c r="EI499" s="27" t="s">
        <v>8</v>
      </c>
      <c r="ET499" s="27" t="s">
        <v>7</v>
      </c>
      <c r="EU499" s="27" t="s">
        <v>8</v>
      </c>
      <c r="EV499" s="27" t="s">
        <v>7</v>
      </c>
      <c r="EW499" s="27" t="s">
        <v>8</v>
      </c>
      <c r="EX499" s="27" t="s">
        <v>7</v>
      </c>
      <c r="EY499" s="27" t="s">
        <v>8</v>
      </c>
      <c r="EZ499" s="27" t="s">
        <v>7</v>
      </c>
      <c r="FA499" s="27" t="s">
        <v>8</v>
      </c>
      <c r="FB499" s="27" t="s">
        <v>7</v>
      </c>
      <c r="FI499" s="27" t="s">
        <v>8</v>
      </c>
      <c r="FJ499" s="27" t="s">
        <v>7</v>
      </c>
      <c r="HX499" s="27" t="s">
        <v>7</v>
      </c>
      <c r="HY499" s="27" t="s">
        <v>8</v>
      </c>
      <c r="HZ499" s="27" t="s">
        <v>7</v>
      </c>
      <c r="IA499" s="27" t="s">
        <v>8</v>
      </c>
      <c r="IC499" s="27" t="s">
        <v>8</v>
      </c>
      <c r="ID499" s="27" t="s">
        <v>7</v>
      </c>
      <c r="IG499" s="27" t="s">
        <v>8</v>
      </c>
      <c r="IH499" s="27" t="s">
        <v>7</v>
      </c>
      <c r="II499" s="27" t="s">
        <v>8</v>
      </c>
      <c r="IJ499" s="27" t="s">
        <v>7</v>
      </c>
      <c r="IL499" s="27" t="s">
        <v>7</v>
      </c>
    </row>
    <row r="500" spans="1:254" x14ac:dyDescent="0.25">
      <c r="A500" s="7">
        <v>5.6003470821040304</v>
      </c>
      <c r="B500"/>
      <c r="C500"/>
      <c r="D500"/>
      <c r="E500"/>
      <c r="CA500" s="27" t="s">
        <v>8</v>
      </c>
      <c r="CD500" s="27" t="s">
        <v>7</v>
      </c>
      <c r="CE500" s="27" t="s">
        <v>8</v>
      </c>
      <c r="ED500" s="27" t="s">
        <v>7</v>
      </c>
      <c r="EE500" s="27" t="s">
        <v>8</v>
      </c>
      <c r="EH500" s="27" t="s">
        <v>7</v>
      </c>
      <c r="EI500" s="27" t="s">
        <v>8</v>
      </c>
      <c r="ET500" s="27" t="s">
        <v>7</v>
      </c>
      <c r="EU500" s="27" t="s">
        <v>8</v>
      </c>
      <c r="EV500" s="27" t="s">
        <v>7</v>
      </c>
      <c r="EW500" s="27" t="s">
        <v>8</v>
      </c>
      <c r="EX500" s="27" t="s">
        <v>7</v>
      </c>
      <c r="EY500" s="27" t="s">
        <v>8</v>
      </c>
      <c r="EZ500" s="27" t="s">
        <v>7</v>
      </c>
      <c r="FA500" s="27" t="s">
        <v>8</v>
      </c>
      <c r="FB500" s="27" t="s">
        <v>7</v>
      </c>
      <c r="FI500" s="27" t="s">
        <v>8</v>
      </c>
      <c r="HX500" s="27" t="s">
        <v>7</v>
      </c>
      <c r="HY500" s="27" t="s">
        <v>8</v>
      </c>
      <c r="HZ500" s="27" t="s">
        <v>7</v>
      </c>
      <c r="IA500" s="27" t="s">
        <v>8</v>
      </c>
      <c r="IB500" s="27" t="s">
        <v>7</v>
      </c>
      <c r="IC500" s="27" t="s">
        <v>8</v>
      </c>
      <c r="ID500" s="27" t="s">
        <v>7</v>
      </c>
      <c r="IG500" s="27" t="s">
        <v>8</v>
      </c>
      <c r="IH500" s="27" t="s">
        <v>7</v>
      </c>
      <c r="II500" s="27" t="s">
        <v>8</v>
      </c>
      <c r="IL500" s="27" t="s">
        <v>7</v>
      </c>
    </row>
    <row r="501" spans="1:254" x14ac:dyDescent="0.25">
      <c r="A501" s="7">
        <v>5.4905363550039512</v>
      </c>
      <c r="B501"/>
      <c r="C501"/>
      <c r="D501"/>
      <c r="E501"/>
      <c r="CA501" s="27" t="s">
        <v>8</v>
      </c>
      <c r="CD501" s="27" t="s">
        <v>7</v>
      </c>
      <c r="CE501" s="27" t="s">
        <v>8</v>
      </c>
      <c r="ED501" s="27" t="s">
        <v>7</v>
      </c>
      <c r="EE501" s="27" t="s">
        <v>8</v>
      </c>
      <c r="EH501" s="27" t="s">
        <v>7</v>
      </c>
      <c r="EI501" s="27" t="s">
        <v>8</v>
      </c>
      <c r="ET501" s="27" t="s">
        <v>7</v>
      </c>
      <c r="EU501" s="27" t="s">
        <v>8</v>
      </c>
      <c r="EV501" s="27" t="s">
        <v>7</v>
      </c>
      <c r="EW501" s="27" t="s">
        <v>8</v>
      </c>
      <c r="EX501" s="27" t="s">
        <v>7</v>
      </c>
      <c r="EY501" s="27" t="s">
        <v>8</v>
      </c>
      <c r="EZ501" s="27" t="s">
        <v>7</v>
      </c>
      <c r="FA501" s="27" t="s">
        <v>8</v>
      </c>
      <c r="FB501" s="27" t="s">
        <v>7</v>
      </c>
      <c r="FI501" s="27" t="s">
        <v>8</v>
      </c>
      <c r="HX501" s="27" t="s">
        <v>7</v>
      </c>
      <c r="HY501" s="27" t="s">
        <v>8</v>
      </c>
      <c r="HZ501" s="27" t="s">
        <v>7</v>
      </c>
      <c r="IA501" s="27" t="s">
        <v>8</v>
      </c>
      <c r="IB501" s="27" t="s">
        <v>7</v>
      </c>
      <c r="IC501" s="27" t="s">
        <v>8</v>
      </c>
      <c r="ID501" s="27" t="s">
        <v>7</v>
      </c>
      <c r="IE501" s="27" t="s">
        <v>8</v>
      </c>
      <c r="IG501" s="27" t="s">
        <v>8</v>
      </c>
      <c r="IH501" s="27" t="s">
        <v>7</v>
      </c>
      <c r="II501" s="27" t="s">
        <v>8</v>
      </c>
      <c r="IL501" s="27" t="s">
        <v>7</v>
      </c>
    </row>
    <row r="502" spans="1:254" x14ac:dyDescent="0.25">
      <c r="A502" s="7">
        <v>5.3828787794156385</v>
      </c>
      <c r="B502"/>
      <c r="C502"/>
      <c r="D502"/>
      <c r="E502"/>
      <c r="CA502" s="27" t="s">
        <v>8</v>
      </c>
      <c r="CD502" s="27" t="s">
        <v>7</v>
      </c>
      <c r="ED502" s="27" t="s">
        <v>7</v>
      </c>
      <c r="EE502" s="27" t="s">
        <v>8</v>
      </c>
      <c r="EH502" s="27" t="s">
        <v>7</v>
      </c>
      <c r="ET502" s="27" t="s">
        <v>7</v>
      </c>
      <c r="EU502" s="27" t="s">
        <v>8</v>
      </c>
      <c r="EV502" s="27" t="s">
        <v>7</v>
      </c>
      <c r="EW502" s="27" t="s">
        <v>8</v>
      </c>
      <c r="EX502" s="27" t="s">
        <v>7</v>
      </c>
      <c r="EY502" s="27" t="s">
        <v>8</v>
      </c>
      <c r="EZ502" s="27" t="s">
        <v>7</v>
      </c>
      <c r="FA502" s="27" t="s">
        <v>8</v>
      </c>
      <c r="FB502" s="27" t="s">
        <v>7</v>
      </c>
      <c r="FC502" s="27" t="s">
        <v>8</v>
      </c>
      <c r="FI502" s="27" t="s">
        <v>8</v>
      </c>
      <c r="HX502" s="27" t="s">
        <v>7</v>
      </c>
      <c r="HZ502" s="27" t="s">
        <v>7</v>
      </c>
      <c r="IA502" s="27" t="s">
        <v>8</v>
      </c>
      <c r="IB502" s="27" t="s">
        <v>7</v>
      </c>
      <c r="IC502" s="27" t="s">
        <v>8</v>
      </c>
      <c r="ID502" s="27" t="s">
        <v>7</v>
      </c>
      <c r="IE502" s="27" t="s">
        <v>8</v>
      </c>
      <c r="IF502" s="27" t="s">
        <v>7</v>
      </c>
      <c r="IG502" s="27" t="s">
        <v>8</v>
      </c>
      <c r="IH502" s="27" t="s">
        <v>7</v>
      </c>
      <c r="II502" s="27" t="s">
        <v>8</v>
      </c>
      <c r="IL502" s="27" t="s">
        <v>7</v>
      </c>
      <c r="IQ502" s="27" t="s">
        <v>8</v>
      </c>
    </row>
    <row r="503" spans="1:254" x14ac:dyDescent="0.25">
      <c r="A503" s="7">
        <v>5.2773321366819985</v>
      </c>
      <c r="B503"/>
      <c r="C503"/>
      <c r="D503"/>
      <c r="E503"/>
      <c r="BY503" s="27" t="s">
        <v>8</v>
      </c>
      <c r="CA503" s="27" t="s">
        <v>8</v>
      </c>
      <c r="ED503" s="27" t="s">
        <v>7</v>
      </c>
      <c r="EE503" s="27" t="s">
        <v>8</v>
      </c>
      <c r="ET503" s="27" t="s">
        <v>7</v>
      </c>
      <c r="EU503" s="27" t="s">
        <v>8</v>
      </c>
      <c r="EV503" s="27" t="s">
        <v>7</v>
      </c>
      <c r="EW503" s="27" t="s">
        <v>8</v>
      </c>
      <c r="EX503" s="27" t="s">
        <v>7</v>
      </c>
      <c r="EY503" s="27" t="s">
        <v>8</v>
      </c>
      <c r="EZ503" s="27" t="s">
        <v>7</v>
      </c>
      <c r="FB503" s="27" t="s">
        <v>7</v>
      </c>
      <c r="FC503" s="27" t="s">
        <v>8</v>
      </c>
      <c r="FD503" s="27" t="s">
        <v>7</v>
      </c>
      <c r="FI503" s="27" t="s">
        <v>8</v>
      </c>
      <c r="HZ503" s="27" t="s">
        <v>7</v>
      </c>
      <c r="IB503" s="27" t="s">
        <v>7</v>
      </c>
      <c r="IC503" s="27" t="s">
        <v>8</v>
      </c>
      <c r="ID503" s="27" t="s">
        <v>7</v>
      </c>
      <c r="IE503" s="27" t="s">
        <v>8</v>
      </c>
      <c r="IF503" s="27" t="s">
        <v>7</v>
      </c>
      <c r="IG503" s="27" t="s">
        <v>8</v>
      </c>
      <c r="IH503" s="27" t="s">
        <v>7</v>
      </c>
      <c r="II503" s="27" t="s">
        <v>8</v>
      </c>
      <c r="IL503" s="27" t="s">
        <v>7</v>
      </c>
      <c r="IQ503" s="27" t="s">
        <v>8</v>
      </c>
      <c r="IR503" s="27" t="s">
        <v>7</v>
      </c>
    </row>
    <row r="504" spans="1:254" x14ac:dyDescent="0.25">
      <c r="A504" s="7">
        <v>5.1738550359627435</v>
      </c>
      <c r="B504"/>
      <c r="C504"/>
      <c r="D504"/>
      <c r="E504"/>
      <c r="BY504" s="27" t="s">
        <v>8</v>
      </c>
      <c r="BZ504" s="27" t="s">
        <v>7</v>
      </c>
      <c r="CA504" s="27" t="s">
        <v>8</v>
      </c>
      <c r="ED504" s="27" t="s">
        <v>7</v>
      </c>
      <c r="EE504" s="27" t="s">
        <v>8</v>
      </c>
      <c r="ET504" s="27" t="s">
        <v>7</v>
      </c>
      <c r="EU504" s="27" t="s">
        <v>8</v>
      </c>
      <c r="EV504" s="27" t="s">
        <v>7</v>
      </c>
      <c r="EW504" s="27" t="s">
        <v>8</v>
      </c>
      <c r="EX504" s="27" t="s">
        <v>7</v>
      </c>
      <c r="FB504" s="27" t="s">
        <v>7</v>
      </c>
      <c r="FC504" s="27" t="s">
        <v>8</v>
      </c>
      <c r="FD504" s="27" t="s">
        <v>7</v>
      </c>
      <c r="FG504" s="27" t="s">
        <v>8</v>
      </c>
      <c r="FI504" s="27" t="s">
        <v>8</v>
      </c>
      <c r="IB504" s="27" t="s">
        <v>7</v>
      </c>
      <c r="IC504" s="27" t="s">
        <v>8</v>
      </c>
      <c r="ID504" s="27" t="s">
        <v>7</v>
      </c>
      <c r="IE504" s="27" t="s">
        <v>8</v>
      </c>
      <c r="IF504" s="27" t="s">
        <v>7</v>
      </c>
      <c r="IG504" s="27" t="s">
        <v>8</v>
      </c>
      <c r="IH504" s="27" t="s">
        <v>7</v>
      </c>
      <c r="IL504" s="27" t="s">
        <v>7</v>
      </c>
      <c r="IQ504" s="27" t="s">
        <v>8</v>
      </c>
      <c r="IR504" s="27" t="s">
        <v>7</v>
      </c>
    </row>
    <row r="505" spans="1:254" x14ac:dyDescent="0.25">
      <c r="A505" s="7">
        <v>5.07240689800269</v>
      </c>
      <c r="B505"/>
      <c r="C505"/>
      <c r="D505"/>
      <c r="E505"/>
      <c r="BY505" s="27" t="s">
        <v>8</v>
      </c>
      <c r="BZ505" s="27" t="s">
        <v>7</v>
      </c>
      <c r="CA505" s="27" t="s">
        <v>8</v>
      </c>
      <c r="ED505" s="27" t="s">
        <v>7</v>
      </c>
      <c r="EE505" s="27" t="s">
        <v>8</v>
      </c>
      <c r="ET505" s="27" t="s">
        <v>7</v>
      </c>
      <c r="EU505" s="27" t="s">
        <v>8</v>
      </c>
      <c r="EV505" s="27" t="s">
        <v>7</v>
      </c>
      <c r="EW505" s="27" t="s">
        <v>8</v>
      </c>
      <c r="FB505" s="27" t="s">
        <v>7</v>
      </c>
      <c r="FC505" s="27" t="s">
        <v>8</v>
      </c>
      <c r="FD505" s="27" t="s">
        <v>7</v>
      </c>
      <c r="FG505" s="27" t="s">
        <v>8</v>
      </c>
      <c r="FH505" s="27" t="s">
        <v>7</v>
      </c>
      <c r="FI505" s="27" t="s">
        <v>8</v>
      </c>
      <c r="IB505" s="27" t="s">
        <v>7</v>
      </c>
      <c r="IC505" s="27" t="s">
        <v>8</v>
      </c>
      <c r="ID505" s="27" t="s">
        <v>7</v>
      </c>
      <c r="IF505" s="27" t="s">
        <v>7</v>
      </c>
      <c r="IG505" s="27" t="s">
        <v>8</v>
      </c>
      <c r="IL505" s="27" t="s">
        <v>7</v>
      </c>
      <c r="IM505" s="27" t="s">
        <v>8</v>
      </c>
      <c r="IO505" s="27" t="s">
        <v>8</v>
      </c>
      <c r="IQ505" s="27" t="s">
        <v>8</v>
      </c>
      <c r="IR505" s="27" t="s">
        <v>7</v>
      </c>
    </row>
    <row r="506" spans="1:254" x14ac:dyDescent="0.25">
      <c r="A506" s="7">
        <v>4.9729479392183231</v>
      </c>
      <c r="B506"/>
      <c r="C506"/>
      <c r="D506"/>
      <c r="E506"/>
      <c r="BY506" s="27" t="s">
        <v>8</v>
      </c>
      <c r="BZ506" s="27" t="s">
        <v>7</v>
      </c>
      <c r="CA506" s="27" t="s">
        <v>8</v>
      </c>
      <c r="ED506" s="27" t="s">
        <v>7</v>
      </c>
      <c r="ET506" s="27" t="s">
        <v>7</v>
      </c>
      <c r="EV506" s="27" t="s">
        <v>7</v>
      </c>
      <c r="EW506" s="27" t="s">
        <v>8</v>
      </c>
      <c r="FB506" s="27" t="s">
        <v>7</v>
      </c>
      <c r="FC506" s="27" t="s">
        <v>8</v>
      </c>
      <c r="FD506" s="27" t="s">
        <v>7</v>
      </c>
      <c r="FG506" s="27" t="s">
        <v>8</v>
      </c>
      <c r="FH506" s="27" t="s">
        <v>7</v>
      </c>
      <c r="FI506" s="27" t="s">
        <v>8</v>
      </c>
      <c r="IB506" s="27" t="s">
        <v>7</v>
      </c>
      <c r="IC506" s="27" t="s">
        <v>8</v>
      </c>
      <c r="IF506" s="27" t="s">
        <v>7</v>
      </c>
      <c r="IG506" s="27" t="s">
        <v>8</v>
      </c>
      <c r="IL506" s="27" t="s">
        <v>7</v>
      </c>
      <c r="IM506" s="27" t="s">
        <v>8</v>
      </c>
      <c r="IN506" s="27" t="s">
        <v>7</v>
      </c>
      <c r="IO506" s="27" t="s">
        <v>8</v>
      </c>
      <c r="IP506" s="27" t="s">
        <v>7</v>
      </c>
      <c r="IQ506" s="27" t="s">
        <v>8</v>
      </c>
      <c r="IR506" s="27" t="s">
        <v>7</v>
      </c>
    </row>
    <row r="507" spans="1:254" x14ac:dyDescent="0.25">
      <c r="A507" s="7">
        <v>4.8754391560963954</v>
      </c>
      <c r="B507"/>
      <c r="C507"/>
      <c r="D507"/>
      <c r="E507"/>
      <c r="BY507" s="27" t="s">
        <v>8</v>
      </c>
      <c r="BZ507" s="27" t="s">
        <v>7</v>
      </c>
      <c r="CA507" s="27" t="s">
        <v>8</v>
      </c>
      <c r="EV507" s="27" t="s">
        <v>7</v>
      </c>
      <c r="EW507" s="27" t="s">
        <v>8</v>
      </c>
      <c r="FB507" s="27" t="s">
        <v>7</v>
      </c>
      <c r="FD507" s="27" t="s">
        <v>7</v>
      </c>
      <c r="FG507" s="27" t="s">
        <v>8</v>
      </c>
      <c r="FH507" s="27" t="s">
        <v>7</v>
      </c>
      <c r="FI507" s="27" t="s">
        <v>8</v>
      </c>
      <c r="IB507" s="27" t="s">
        <v>7</v>
      </c>
      <c r="IF507" s="27" t="s">
        <v>7</v>
      </c>
      <c r="IG507" s="27" t="s">
        <v>8</v>
      </c>
      <c r="IL507" s="27" t="s">
        <v>7</v>
      </c>
      <c r="IM507" s="27" t="s">
        <v>8</v>
      </c>
      <c r="IN507" s="27" t="s">
        <v>7</v>
      </c>
      <c r="IO507" s="27" t="s">
        <v>8</v>
      </c>
      <c r="IP507" s="27" t="s">
        <v>7</v>
      </c>
      <c r="IQ507" s="27" t="s">
        <v>8</v>
      </c>
      <c r="IR507" s="27" t="s">
        <v>7</v>
      </c>
      <c r="IS507" s="27" t="s">
        <v>8</v>
      </c>
    </row>
    <row r="508" spans="1:254" x14ac:dyDescent="0.25">
      <c r="A508" s="7">
        <v>4.7798423098984264</v>
      </c>
      <c r="B508"/>
      <c r="C508"/>
      <c r="D508"/>
      <c r="E508"/>
      <c r="BY508" s="27" t="s">
        <v>8</v>
      </c>
      <c r="BZ508" s="27" t="s">
        <v>7</v>
      </c>
      <c r="CA508" s="27" t="s">
        <v>8</v>
      </c>
      <c r="EV508" s="27" t="s">
        <v>7</v>
      </c>
      <c r="FD508" s="27" t="s">
        <v>7</v>
      </c>
      <c r="FG508" s="27" t="s">
        <v>8</v>
      </c>
      <c r="FH508" s="27" t="s">
        <v>7</v>
      </c>
      <c r="FI508" s="27" t="s">
        <v>8</v>
      </c>
      <c r="IF508" s="27" t="s">
        <v>7</v>
      </c>
      <c r="IG508" s="27" t="s">
        <v>8</v>
      </c>
      <c r="IL508" s="27" t="s">
        <v>7</v>
      </c>
      <c r="IM508" s="27" t="s">
        <v>8</v>
      </c>
      <c r="IN508" s="27" t="s">
        <v>7</v>
      </c>
      <c r="IO508" s="27" t="s">
        <v>8</v>
      </c>
      <c r="IP508" s="27" t="s">
        <v>7</v>
      </c>
      <c r="IQ508" s="27" t="s">
        <v>8</v>
      </c>
      <c r="IR508" s="27" t="s">
        <v>7</v>
      </c>
      <c r="IS508" s="27" t="s">
        <v>8</v>
      </c>
      <c r="IT508" s="27" t="s">
        <v>7</v>
      </c>
    </row>
    <row r="509" spans="1:254" x14ac:dyDescent="0.25">
      <c r="A509" s="7">
        <v>4.6861199116651235</v>
      </c>
      <c r="B509"/>
      <c r="C509"/>
      <c r="D509"/>
      <c r="E509"/>
      <c r="BY509" s="27" t="s">
        <v>8</v>
      </c>
      <c r="BZ509" s="27" t="s">
        <v>7</v>
      </c>
      <c r="CA509" s="27" t="s">
        <v>8</v>
      </c>
      <c r="FD509" s="27" t="s">
        <v>7</v>
      </c>
      <c r="FG509" s="27" t="s">
        <v>8</v>
      </c>
      <c r="FH509" s="27" t="s">
        <v>7</v>
      </c>
      <c r="IF509" s="27" t="s">
        <v>7</v>
      </c>
      <c r="IL509" s="27" t="s">
        <v>7</v>
      </c>
      <c r="IN509" s="27" t="s">
        <v>7</v>
      </c>
      <c r="IO509" s="27" t="s">
        <v>8</v>
      </c>
      <c r="IP509" s="27" t="s">
        <v>7</v>
      </c>
      <c r="IR509" s="27" t="s">
        <v>7</v>
      </c>
      <c r="IS509" s="27" t="s">
        <v>8</v>
      </c>
      <c r="IT509" s="27" t="s">
        <v>7</v>
      </c>
    </row>
    <row r="510" spans="1:254" x14ac:dyDescent="0.25">
      <c r="A510" s="7">
        <v>4.5942352075148269</v>
      </c>
      <c r="B510"/>
      <c r="C510"/>
      <c r="D510"/>
      <c r="E510"/>
      <c r="BY510" s="27" t="s">
        <v>8</v>
      </c>
      <c r="BZ510" s="27" t="s">
        <v>7</v>
      </c>
      <c r="CA510" s="27" t="s">
        <v>8</v>
      </c>
      <c r="FD510" s="27" t="s">
        <v>7</v>
      </c>
      <c r="FG510" s="27" t="s">
        <v>8</v>
      </c>
      <c r="IN510" s="27" t="s">
        <v>7</v>
      </c>
      <c r="IR510" s="27" t="s">
        <v>7</v>
      </c>
      <c r="IT510" s="27" t="s">
        <v>7</v>
      </c>
    </row>
    <row r="511" spans="1:254" x14ac:dyDescent="0.25">
      <c r="A511" s="7">
        <v>4.5041521642302227</v>
      </c>
      <c r="B511"/>
      <c r="C511"/>
      <c r="D511"/>
      <c r="E511"/>
      <c r="BY511" s="27" t="s">
        <v>8</v>
      </c>
      <c r="BZ511" s="27" t="s">
        <v>7</v>
      </c>
      <c r="CA511" s="27" t="s">
        <v>8</v>
      </c>
      <c r="FD511" s="27" t="s">
        <v>7</v>
      </c>
      <c r="FG511" s="27" t="s">
        <v>8</v>
      </c>
      <c r="IT511" s="27" t="s">
        <v>7</v>
      </c>
    </row>
    <row r="512" spans="1:254" x14ac:dyDescent="0.25">
      <c r="A512" s="7">
        <v>4.4158354551276693</v>
      </c>
      <c r="B512"/>
      <c r="C512"/>
      <c r="D512"/>
      <c r="E512"/>
      <c r="BY512" s="27" t="s">
        <v>8</v>
      </c>
      <c r="BZ512" s="27" t="s">
        <v>7</v>
      </c>
      <c r="CA512" s="27" t="s">
        <v>8</v>
      </c>
      <c r="FD512" s="27" t="s">
        <v>7</v>
      </c>
      <c r="FG512" s="27" t="s">
        <v>8</v>
      </c>
      <c r="IT512" s="27" t="s">
        <v>7</v>
      </c>
    </row>
    <row r="513" spans="1:258" x14ac:dyDescent="0.25">
      <c r="A513" s="7">
        <v>4.3292504462035977</v>
      </c>
      <c r="B513"/>
      <c r="C513"/>
      <c r="D513"/>
      <c r="E513"/>
      <c r="BY513" s="27" t="s">
        <v>8</v>
      </c>
      <c r="BZ513" s="27" t="s">
        <v>7</v>
      </c>
      <c r="CA513" s="27" t="s">
        <v>8</v>
      </c>
      <c r="FD513" s="27" t="s">
        <v>7</v>
      </c>
      <c r="FE513" s="27" t="s">
        <v>8</v>
      </c>
      <c r="FG513" s="27" t="s">
        <v>8</v>
      </c>
      <c r="IT513" s="27" t="s">
        <v>7</v>
      </c>
    </row>
    <row r="514" spans="1:258" x14ac:dyDescent="0.25">
      <c r="A514" s="7">
        <v>4.2443631825525463</v>
      </c>
      <c r="B514"/>
      <c r="C514"/>
      <c r="D514"/>
      <c r="E514"/>
      <c r="AQ514" s="27" t="s">
        <v>8</v>
      </c>
      <c r="BY514" s="27" t="s">
        <v>8</v>
      </c>
      <c r="BZ514" s="27" t="s">
        <v>7</v>
      </c>
      <c r="CA514" s="27" t="s">
        <v>8</v>
      </c>
      <c r="FD514" s="27" t="s">
        <v>7</v>
      </c>
      <c r="FE514" s="27" t="s">
        <v>8</v>
      </c>
      <c r="FF514" s="27" t="s">
        <v>7</v>
      </c>
      <c r="FG514" s="27" t="s">
        <v>8</v>
      </c>
      <c r="IT514" s="27" t="s">
        <v>7</v>
      </c>
    </row>
    <row r="515" spans="1:258" x14ac:dyDescent="0.25">
      <c r="A515" s="7">
        <v>4.1611403750515157</v>
      </c>
      <c r="B515"/>
      <c r="C515"/>
      <c r="D515"/>
      <c r="E515"/>
      <c r="AQ515" s="27" t="s">
        <v>8</v>
      </c>
      <c r="AR515" s="27" t="s">
        <v>7</v>
      </c>
      <c r="BY515" s="27" t="s">
        <v>8</v>
      </c>
      <c r="BZ515" s="27" t="s">
        <v>7</v>
      </c>
      <c r="CA515" s="27" t="s">
        <v>8</v>
      </c>
      <c r="FD515" s="27" t="s">
        <v>7</v>
      </c>
      <c r="FE515" s="27" t="s">
        <v>8</v>
      </c>
      <c r="FF515" s="27" t="s">
        <v>7</v>
      </c>
      <c r="FG515" s="27" t="s">
        <v>8</v>
      </c>
      <c r="IT515" s="27" t="s">
        <v>7</v>
      </c>
      <c r="IW515" s="27" t="s">
        <v>8</v>
      </c>
    </row>
    <row r="516" spans="1:258" x14ac:dyDescent="0.25">
      <c r="A516" s="7">
        <v>4.0795493873054074</v>
      </c>
      <c r="B516"/>
      <c r="C516"/>
      <c r="D516"/>
      <c r="E516"/>
      <c r="AQ516" s="27" t="s">
        <v>8</v>
      </c>
      <c r="AR516" s="27" t="s">
        <v>7</v>
      </c>
      <c r="BY516" s="27" t="s">
        <v>8</v>
      </c>
      <c r="BZ516" s="27" t="s">
        <v>7</v>
      </c>
      <c r="CA516" s="27" t="s">
        <v>8</v>
      </c>
      <c r="FD516" s="27" t="s">
        <v>7</v>
      </c>
      <c r="FE516" s="27" t="s">
        <v>8</v>
      </c>
      <c r="FF516" s="27" t="s">
        <v>7</v>
      </c>
      <c r="IT516" s="27" t="s">
        <v>7</v>
      </c>
      <c r="IW516" s="27" t="s">
        <v>8</v>
      </c>
      <c r="IX516" s="27" t="s">
        <v>7</v>
      </c>
    </row>
    <row r="517" spans="1:258" x14ac:dyDescent="0.25">
      <c r="A517" s="7">
        <v>3.9995582228484383</v>
      </c>
      <c r="B517"/>
      <c r="C517"/>
      <c r="D517"/>
      <c r="E517"/>
      <c r="AQ517" s="27" t="s">
        <v>8</v>
      </c>
      <c r="AR517" s="27" t="s">
        <v>7</v>
      </c>
      <c r="BY517" s="27" t="s">
        <v>8</v>
      </c>
      <c r="BZ517" s="27" t="s">
        <v>7</v>
      </c>
      <c r="CA517" s="27" t="s">
        <v>8</v>
      </c>
      <c r="FD517" s="27" t="s">
        <v>7</v>
      </c>
      <c r="FE517" s="27" t="s">
        <v>8</v>
      </c>
      <c r="IT517" s="27" t="s">
        <v>7</v>
      </c>
      <c r="IW517" s="27" t="s">
        <v>8</v>
      </c>
      <c r="IX517" s="27" t="s">
        <v>7</v>
      </c>
    </row>
    <row r="518" spans="1:258" x14ac:dyDescent="0.25">
      <c r="A518" s="7">
        <v>3.9211355125965079</v>
      </c>
      <c r="B518"/>
      <c r="C518"/>
      <c r="D518"/>
      <c r="E518"/>
      <c r="AQ518" s="27" t="s">
        <v>8</v>
      </c>
      <c r="AR518" s="27" t="s">
        <v>7</v>
      </c>
      <c r="BY518" s="27" t="s">
        <v>8</v>
      </c>
      <c r="BZ518" s="27" t="s">
        <v>7</v>
      </c>
      <c r="FD518" s="27" t="s">
        <v>7</v>
      </c>
      <c r="FE518" s="27" t="s">
        <v>8</v>
      </c>
      <c r="IT518" s="27" t="s">
        <v>7</v>
      </c>
      <c r="IW518" s="27" t="s">
        <v>8</v>
      </c>
      <c r="IX518" s="27" t="s">
        <v>7</v>
      </c>
    </row>
    <row r="519" spans="1:258" x14ac:dyDescent="0.25">
      <c r="A519" s="7">
        <v>3.844250502545596</v>
      </c>
      <c r="B519"/>
      <c r="C519"/>
      <c r="D519"/>
      <c r="E519"/>
      <c r="AQ519" s="27" t="s">
        <v>8</v>
      </c>
      <c r="AR519" s="27" t="s">
        <v>7</v>
      </c>
      <c r="BW519" s="27" t="s">
        <v>8</v>
      </c>
      <c r="BY519" s="27" t="s">
        <v>8</v>
      </c>
      <c r="FD519" s="18" t="s">
        <v>7</v>
      </c>
      <c r="FE519" s="27" t="s">
        <v>8</v>
      </c>
      <c r="IT519" s="27" t="s">
        <v>7</v>
      </c>
      <c r="IW519" s="27" t="s">
        <v>8</v>
      </c>
      <c r="IX519" s="27" t="s">
        <v>7</v>
      </c>
    </row>
    <row r="520" spans="1:258" x14ac:dyDescent="0.25">
      <c r="A520" s="7">
        <v>3.7688730417113687</v>
      </c>
      <c r="B520"/>
      <c r="C520"/>
      <c r="D520"/>
      <c r="E520"/>
      <c r="AQ520" s="27" t="s">
        <v>8</v>
      </c>
      <c r="AR520" s="27" t="s">
        <v>7</v>
      </c>
      <c r="BW520" s="27" t="s">
        <v>8</v>
      </c>
      <c r="BX520" s="27" t="s">
        <v>7</v>
      </c>
      <c r="BY520" s="27" t="s">
        <v>8</v>
      </c>
      <c r="FD520" s="27" t="s">
        <v>7</v>
      </c>
      <c r="FE520" s="27" t="s">
        <v>8</v>
      </c>
      <c r="IT520" s="27" t="s">
        <v>7</v>
      </c>
      <c r="IW520" s="27" t="s">
        <v>8</v>
      </c>
      <c r="IX520" s="27" t="s">
        <v>7</v>
      </c>
    </row>
    <row r="521" spans="1:258" x14ac:dyDescent="0.25">
      <c r="A521" s="7">
        <v>3.6949735703052635</v>
      </c>
      <c r="B521"/>
      <c r="C521"/>
      <c r="D521"/>
      <c r="E521"/>
      <c r="AQ521" s="27" t="s">
        <v>8</v>
      </c>
      <c r="AR521" s="27" t="s">
        <v>7</v>
      </c>
      <c r="BW521" s="27" t="s">
        <v>8</v>
      </c>
      <c r="BX521" s="27" t="s">
        <v>7</v>
      </c>
      <c r="BY521" s="27" t="s">
        <v>8</v>
      </c>
      <c r="FD521" s="27" t="s">
        <v>7</v>
      </c>
      <c r="FE521" s="27" t="s">
        <v>8</v>
      </c>
      <c r="IT521" s="27" t="s">
        <v>7</v>
      </c>
      <c r="IU521" s="27" t="s">
        <v>8</v>
      </c>
      <c r="IW521" s="27" t="s">
        <v>8</v>
      </c>
    </row>
    <row r="522" spans="1:258" x14ac:dyDescent="0.25">
      <c r="A522" s="7">
        <v>3.6225231081424152</v>
      </c>
      <c r="B522"/>
      <c r="C522"/>
      <c r="D522"/>
      <c r="E522"/>
      <c r="AQ522" s="27" t="s">
        <v>8</v>
      </c>
      <c r="AR522" s="27" t="s">
        <v>7</v>
      </c>
      <c r="BW522" s="27" t="s">
        <v>8</v>
      </c>
      <c r="BX522" s="27" t="s">
        <v>7</v>
      </c>
      <c r="BY522" s="27" t="s">
        <v>8</v>
      </c>
      <c r="FD522" s="27" t="s">
        <v>7</v>
      </c>
      <c r="IT522" s="27" t="s">
        <v>7</v>
      </c>
      <c r="IU522" s="27" t="s">
        <v>8</v>
      </c>
      <c r="IV522" s="27" t="s">
        <v>7</v>
      </c>
      <c r="IW522" s="27" t="s">
        <v>8</v>
      </c>
    </row>
    <row r="523" spans="1:258" x14ac:dyDescent="0.25">
      <c r="A523" s="7">
        <v>3.5514932432768775</v>
      </c>
      <c r="B523"/>
      <c r="C523"/>
      <c r="D523"/>
      <c r="E523"/>
      <c r="AO523" s="27" t="s">
        <v>8</v>
      </c>
      <c r="AQ523" s="27" t="s">
        <v>8</v>
      </c>
      <c r="AR523" s="27" t="s">
        <v>7</v>
      </c>
      <c r="BW523" s="27" t="s">
        <v>8</v>
      </c>
      <c r="BX523" s="27" t="s">
        <v>7</v>
      </c>
      <c r="BY523" s="27" t="s">
        <v>8</v>
      </c>
      <c r="IT523" s="27" t="s">
        <v>7</v>
      </c>
      <c r="IU523" s="27" t="s">
        <v>8</v>
      </c>
      <c r="IV523" s="27" t="s">
        <v>7</v>
      </c>
      <c r="IW523" s="27" t="s">
        <v>8</v>
      </c>
    </row>
    <row r="524" spans="1:258" x14ac:dyDescent="0.25">
      <c r="A524" s="7">
        <v>3.4818561208596837</v>
      </c>
      <c r="B524"/>
      <c r="C524"/>
      <c r="D524"/>
      <c r="E524"/>
      <c r="AM524" s="27" t="s">
        <v>8</v>
      </c>
      <c r="AO524" s="27" t="s">
        <v>8</v>
      </c>
      <c r="AP524" s="27" t="s">
        <v>7</v>
      </c>
      <c r="AQ524" s="27" t="s">
        <v>8</v>
      </c>
      <c r="AR524" s="27" t="s">
        <v>7</v>
      </c>
      <c r="BW524" s="27" t="s">
        <v>8</v>
      </c>
      <c r="BX524" s="27" t="s">
        <v>7</v>
      </c>
      <c r="BY524" s="27" t="s">
        <v>8</v>
      </c>
      <c r="IT524" s="27" t="s">
        <v>7</v>
      </c>
      <c r="IU524" s="27" t="s">
        <v>8</v>
      </c>
      <c r="IV524" s="27" t="s">
        <v>7</v>
      </c>
      <c r="IW524" s="27" t="s">
        <v>8</v>
      </c>
    </row>
    <row r="525" spans="1:258" x14ac:dyDescent="0.25">
      <c r="A525" s="7">
        <v>3.4135844322153761</v>
      </c>
      <c r="B525"/>
      <c r="C525"/>
      <c r="D525"/>
      <c r="E525"/>
      <c r="AM525" s="27" t="s">
        <v>8</v>
      </c>
      <c r="AN525" s="27" t="s">
        <v>7</v>
      </c>
      <c r="AO525" s="27" t="s">
        <v>8</v>
      </c>
      <c r="AP525" s="27" t="s">
        <v>7</v>
      </c>
      <c r="AQ525" s="27" t="s">
        <v>8</v>
      </c>
      <c r="AR525" s="27" t="s">
        <v>7</v>
      </c>
      <c r="BW525" s="27" t="s">
        <v>8</v>
      </c>
      <c r="BX525" s="27" t="s">
        <v>7</v>
      </c>
      <c r="BY525" s="27" t="s">
        <v>8</v>
      </c>
      <c r="IT525" s="27" t="s">
        <v>7</v>
      </c>
      <c r="IU525" s="27" t="s">
        <v>8</v>
      </c>
      <c r="IV525" s="27" t="s">
        <v>7</v>
      </c>
      <c r="IW525" s="27" t="s">
        <v>8</v>
      </c>
    </row>
    <row r="526" spans="1:258" x14ac:dyDescent="0.25">
      <c r="A526" s="7">
        <v>3.3466514041327216</v>
      </c>
      <c r="B526"/>
      <c r="C526"/>
      <c r="D526"/>
      <c r="E526"/>
      <c r="AM526" s="27" t="s">
        <v>8</v>
      </c>
      <c r="AN526" s="27" t="s">
        <v>7</v>
      </c>
      <c r="AO526" s="27" t="s">
        <v>8</v>
      </c>
      <c r="AP526" s="27" t="s">
        <v>7</v>
      </c>
      <c r="AQ526" s="27" t="s">
        <v>8</v>
      </c>
      <c r="AR526" s="27" t="s">
        <v>7</v>
      </c>
      <c r="BW526" s="27" t="s">
        <v>8</v>
      </c>
      <c r="BX526" s="27" t="s">
        <v>7</v>
      </c>
      <c r="BY526" s="27" t="s">
        <v>8</v>
      </c>
      <c r="IT526" s="27" t="s">
        <v>7</v>
      </c>
      <c r="IU526" s="27" t="s">
        <v>8</v>
      </c>
      <c r="IV526" s="27" t="s">
        <v>7</v>
      </c>
      <c r="IW526" s="27" t="s">
        <v>8</v>
      </c>
    </row>
    <row r="527" spans="1:258" x14ac:dyDescent="0.25">
      <c r="A527" s="7">
        <v>3.2810307883654133</v>
      </c>
      <c r="B527"/>
      <c r="C527"/>
      <c r="D527"/>
      <c r="E527"/>
      <c r="AM527" s="27" t="s">
        <v>8</v>
      </c>
      <c r="AN527" s="27" t="s">
        <v>7</v>
      </c>
      <c r="AO527" s="27" t="s">
        <v>8</v>
      </c>
      <c r="AP527" s="27" t="s">
        <v>7</v>
      </c>
      <c r="AQ527" s="27" t="s">
        <v>8</v>
      </c>
      <c r="AR527" s="27" t="s">
        <v>7</v>
      </c>
      <c r="AS527" s="27" t="s">
        <v>8</v>
      </c>
      <c r="BQ527" s="27" t="s">
        <v>8</v>
      </c>
      <c r="BW527" s="27" t="s">
        <v>8</v>
      </c>
      <c r="BX527" s="27" t="s">
        <v>7</v>
      </c>
      <c r="BY527" s="27" t="s">
        <v>8</v>
      </c>
      <c r="IT527" s="27" t="s">
        <v>7</v>
      </c>
      <c r="IU527" s="27" t="s">
        <v>8</v>
      </c>
      <c r="IV527" s="27" t="s">
        <v>7</v>
      </c>
      <c r="IW527" s="27" t="s">
        <v>8</v>
      </c>
    </row>
    <row r="528" spans="1:258" x14ac:dyDescent="0.25">
      <c r="A528" s="7">
        <v>3.2166968513386403</v>
      </c>
      <c r="B528"/>
      <c r="C528"/>
      <c r="D528"/>
      <c r="E528"/>
      <c r="AM528" s="27" t="s">
        <v>8</v>
      </c>
      <c r="AN528" s="27" t="s">
        <v>7</v>
      </c>
      <c r="AO528" s="27" t="s">
        <v>8</v>
      </c>
      <c r="AP528" s="27" t="s">
        <v>7</v>
      </c>
      <c r="AQ528" s="27" t="s">
        <v>8</v>
      </c>
      <c r="AR528" s="27" t="s">
        <v>7</v>
      </c>
      <c r="AS528" s="27" t="s">
        <v>8</v>
      </c>
      <c r="AT528" s="27" t="s">
        <v>7</v>
      </c>
      <c r="AU528" s="27" t="s">
        <v>8</v>
      </c>
      <c r="BQ528" s="27" t="s">
        <v>8</v>
      </c>
      <c r="BR528" s="27" t="s">
        <v>7</v>
      </c>
      <c r="BW528" s="27" t="s">
        <v>8</v>
      </c>
      <c r="BX528" s="27" t="s">
        <v>7</v>
      </c>
      <c r="IT528" s="27" t="s">
        <v>7</v>
      </c>
      <c r="IU528" s="27" t="s">
        <v>8</v>
      </c>
      <c r="IV528" s="27" t="s">
        <v>7</v>
      </c>
      <c r="IW528" s="27" t="s">
        <v>8</v>
      </c>
    </row>
    <row r="529" spans="1:257" x14ac:dyDescent="0.25">
      <c r="A529" s="7">
        <v>3.1536243640574906</v>
      </c>
      <c r="B529"/>
      <c r="C529"/>
      <c r="D529"/>
      <c r="E529"/>
      <c r="AM529" s="27" t="s">
        <v>8</v>
      </c>
      <c r="AN529" s="27" t="s">
        <v>7</v>
      </c>
      <c r="AO529" s="27" t="s">
        <v>8</v>
      </c>
      <c r="AP529" s="27" t="s">
        <v>7</v>
      </c>
      <c r="AQ529" s="27" t="s">
        <v>8</v>
      </c>
      <c r="AR529" s="27" t="s">
        <v>7</v>
      </c>
      <c r="AS529" s="27" t="s">
        <v>8</v>
      </c>
      <c r="AT529" s="27" t="s">
        <v>7</v>
      </c>
      <c r="AU529" s="27" t="s">
        <v>8</v>
      </c>
      <c r="AV529" s="27" t="s">
        <v>7</v>
      </c>
      <c r="BQ529" s="27" t="s">
        <v>8</v>
      </c>
      <c r="BR529" s="27" t="s">
        <v>7</v>
      </c>
      <c r="BU529" s="27" t="s">
        <v>8</v>
      </c>
      <c r="BW529" s="27" t="s">
        <v>8</v>
      </c>
      <c r="IT529" s="27" t="s">
        <v>7</v>
      </c>
      <c r="IV529" s="27" t="s">
        <v>7</v>
      </c>
      <c r="IW529" s="27" t="s">
        <v>8</v>
      </c>
    </row>
    <row r="530" spans="1:257" x14ac:dyDescent="0.25">
      <c r="A530" s="7">
        <v>3.0917885922132262</v>
      </c>
      <c r="B530"/>
      <c r="C530"/>
      <c r="D530"/>
      <c r="E530"/>
      <c r="AM530" s="27" t="s">
        <v>8</v>
      </c>
      <c r="AN530" s="27" t="s">
        <v>7</v>
      </c>
      <c r="AO530" s="27" t="s">
        <v>8</v>
      </c>
      <c r="AP530" s="27" t="s">
        <v>7</v>
      </c>
      <c r="AQ530" s="27" t="s">
        <v>8</v>
      </c>
      <c r="AR530" s="27" t="s">
        <v>7</v>
      </c>
      <c r="AS530" s="27" t="s">
        <v>8</v>
      </c>
      <c r="AT530" s="27" t="s">
        <v>7</v>
      </c>
      <c r="AU530" s="27" t="s">
        <v>8</v>
      </c>
      <c r="AV530" s="27" t="s">
        <v>7</v>
      </c>
      <c r="BQ530" s="27" t="s">
        <v>8</v>
      </c>
      <c r="BR530" s="27" t="s">
        <v>7</v>
      </c>
      <c r="BU530" s="27" t="s">
        <v>8</v>
      </c>
      <c r="BV530" s="27" t="s">
        <v>7</v>
      </c>
      <c r="BW530" s="27" t="s">
        <v>8</v>
      </c>
      <c r="IV530" s="27" t="s">
        <v>7</v>
      </c>
    </row>
    <row r="531" spans="1:257" x14ac:dyDescent="0.25">
      <c r="A531" s="7">
        <v>3.0311652864835552</v>
      </c>
      <c r="B531"/>
      <c r="C531"/>
      <c r="D531"/>
      <c r="E531"/>
      <c r="AM531" s="27" t="s">
        <v>8</v>
      </c>
      <c r="AN531" s="27" t="s">
        <v>7</v>
      </c>
      <c r="AO531" s="27" t="s">
        <v>8</v>
      </c>
      <c r="AP531" s="27" t="s">
        <v>7</v>
      </c>
      <c r="AQ531" s="27" t="s">
        <v>8</v>
      </c>
      <c r="AR531" s="27" t="s">
        <v>7</v>
      </c>
      <c r="AS531" s="27" t="s">
        <v>8</v>
      </c>
      <c r="AT531" s="27" t="s">
        <v>7</v>
      </c>
      <c r="AU531" s="27" t="s">
        <v>8</v>
      </c>
      <c r="AV531" s="27" t="s">
        <v>7</v>
      </c>
      <c r="BQ531" s="27" t="s">
        <v>8</v>
      </c>
      <c r="BR531" s="27" t="s">
        <v>7</v>
      </c>
      <c r="BS531" s="27" t="s">
        <v>8</v>
      </c>
      <c r="BU531" s="27" t="s">
        <v>8</v>
      </c>
      <c r="BV531" s="27" t="s">
        <v>7</v>
      </c>
      <c r="BW531" s="27" t="s">
        <v>8</v>
      </c>
    </row>
    <row r="532" spans="1:257" x14ac:dyDescent="0.25">
      <c r="A532" s="7">
        <v>2.9717306730230932</v>
      </c>
      <c r="B532"/>
      <c r="C532"/>
      <c r="D532"/>
      <c r="E532"/>
      <c r="AM532" s="27" t="s">
        <v>8</v>
      </c>
      <c r="AN532" s="27" t="s">
        <v>7</v>
      </c>
      <c r="AO532" s="27" t="s">
        <v>8</v>
      </c>
      <c r="AP532" s="27" t="s">
        <v>7</v>
      </c>
      <c r="AQ532" s="27" t="s">
        <v>8</v>
      </c>
      <c r="AR532" s="27" t="s">
        <v>7</v>
      </c>
      <c r="AS532" s="27" t="s">
        <v>8</v>
      </c>
      <c r="AT532" s="27" t="s">
        <v>7</v>
      </c>
      <c r="AU532" s="27" t="s">
        <v>8</v>
      </c>
      <c r="AV532" s="27" t="s">
        <v>7</v>
      </c>
      <c r="BQ532" s="27" t="s">
        <v>8</v>
      </c>
      <c r="BR532" s="27" t="s">
        <v>7</v>
      </c>
      <c r="BS532" s="27" t="s">
        <v>8</v>
      </c>
      <c r="BT532" s="27" t="s">
        <v>7</v>
      </c>
      <c r="BU532" s="27" t="s">
        <v>8</v>
      </c>
      <c r="BV532" s="27" t="s">
        <v>7</v>
      </c>
      <c r="BW532" s="27" t="s">
        <v>8</v>
      </c>
    </row>
    <row r="533" spans="1:257" x14ac:dyDescent="0.25">
      <c r="A533" s="7">
        <v>2.9134614441402875</v>
      </c>
      <c r="B533"/>
      <c r="C533"/>
      <c r="D533"/>
      <c r="E533" t="s">
        <v>8</v>
      </c>
      <c r="AM533" s="27" t="s">
        <v>8</v>
      </c>
      <c r="AN533" s="27" t="s">
        <v>7</v>
      </c>
      <c r="AO533" s="27" t="s">
        <v>8</v>
      </c>
      <c r="AP533" s="27" t="s">
        <v>7</v>
      </c>
      <c r="AR533" s="27" t="s">
        <v>7</v>
      </c>
      <c r="AT533" s="27" t="s">
        <v>7</v>
      </c>
      <c r="AU533" s="27" t="s">
        <v>8</v>
      </c>
      <c r="AV533" s="27" t="s">
        <v>7</v>
      </c>
      <c r="BQ533" s="27" t="s">
        <v>8</v>
      </c>
      <c r="BR533" s="27" t="s">
        <v>7</v>
      </c>
      <c r="BS533" s="27" t="s">
        <v>8</v>
      </c>
      <c r="BT533" s="27" t="s">
        <v>7</v>
      </c>
      <c r="BU533" s="27" t="s">
        <v>8</v>
      </c>
      <c r="BV533" s="27" t="s">
        <v>7</v>
      </c>
      <c r="BW533" s="27" t="s">
        <v>8</v>
      </c>
    </row>
    <row r="534" spans="1:257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AM534" s="27" t="s">
        <v>8</v>
      </c>
      <c r="AN534" s="27" t="s">
        <v>7</v>
      </c>
      <c r="AO534" s="27" t="s">
        <v>8</v>
      </c>
      <c r="AT534" s="27" t="s">
        <v>7</v>
      </c>
      <c r="AU534" s="27" t="s">
        <v>8</v>
      </c>
      <c r="AV534" s="27" t="s">
        <v>7</v>
      </c>
      <c r="BM534" s="27" t="s">
        <v>8</v>
      </c>
      <c r="BQ534" s="27" t="s">
        <v>8</v>
      </c>
      <c r="BR534" s="27" t="s">
        <v>7</v>
      </c>
      <c r="BS534" s="27" t="s">
        <v>8</v>
      </c>
      <c r="BT534" s="27" t="s">
        <v>7</v>
      </c>
      <c r="BU534" s="27" t="s">
        <v>8</v>
      </c>
      <c r="BV534" s="27" t="s">
        <v>7</v>
      </c>
    </row>
    <row r="535" spans="1:257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AM535" s="27" t="s">
        <v>8</v>
      </c>
      <c r="AN535" s="27" t="s">
        <v>7</v>
      </c>
      <c r="AT535" s="27" t="s">
        <v>7</v>
      </c>
      <c r="AU535" s="27" t="s">
        <v>8</v>
      </c>
      <c r="AV535" s="27" t="s">
        <v>7</v>
      </c>
      <c r="BM535" s="27" t="s">
        <v>8</v>
      </c>
      <c r="BN535" s="27" t="s">
        <v>7</v>
      </c>
      <c r="BQ535" s="27" t="s">
        <v>8</v>
      </c>
      <c r="BR535" s="27" t="s">
        <v>7</v>
      </c>
      <c r="BS535" s="27" t="s">
        <v>8</v>
      </c>
      <c r="BT535" s="27" t="s">
        <v>7</v>
      </c>
      <c r="BU535" s="27" t="s">
        <v>8</v>
      </c>
    </row>
    <row r="536" spans="1:257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AM536" s="27" t="s">
        <v>8</v>
      </c>
      <c r="AT536" s="27" t="s">
        <v>7</v>
      </c>
      <c r="AU536" s="27" t="s">
        <v>8</v>
      </c>
      <c r="AV536" s="27" t="s">
        <v>7</v>
      </c>
      <c r="AW536" s="27" t="s">
        <v>8</v>
      </c>
      <c r="BK536" s="27" t="s">
        <v>8</v>
      </c>
      <c r="BM536" s="27" t="s">
        <v>8</v>
      </c>
      <c r="BN536" s="27" t="s">
        <v>7</v>
      </c>
      <c r="BQ536" s="27" t="s">
        <v>8</v>
      </c>
      <c r="BR536" s="27" t="s">
        <v>7</v>
      </c>
      <c r="BS536" s="27" t="s">
        <v>8</v>
      </c>
      <c r="BT536" s="27" t="s">
        <v>7</v>
      </c>
      <c r="BU536" s="27" t="s">
        <v>8</v>
      </c>
    </row>
    <row r="537" spans="1:257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AM537" s="27" t="s">
        <v>8</v>
      </c>
      <c r="AT537" s="27" t="s">
        <v>7</v>
      </c>
      <c r="AU537" s="27" t="s">
        <v>8</v>
      </c>
      <c r="AV537" s="27" t="s">
        <v>7</v>
      </c>
      <c r="AW537" s="27" t="s">
        <v>8</v>
      </c>
      <c r="AX537" s="27" t="s">
        <v>7</v>
      </c>
      <c r="BK537" s="27" t="s">
        <v>8</v>
      </c>
      <c r="BL537" s="27" t="s">
        <v>7</v>
      </c>
      <c r="BM537" s="27" t="s">
        <v>8</v>
      </c>
      <c r="BN537" s="27" t="s">
        <v>7</v>
      </c>
      <c r="BQ537" s="27" t="s">
        <v>8</v>
      </c>
      <c r="BR537" s="27" t="s">
        <v>7</v>
      </c>
      <c r="BS537" s="27" t="s">
        <v>8</v>
      </c>
      <c r="BT537" s="27" t="s">
        <v>7</v>
      </c>
      <c r="BU537" s="27" t="s">
        <v>8</v>
      </c>
    </row>
    <row r="538" spans="1:257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AM538" s="27" t="s">
        <v>8</v>
      </c>
      <c r="AT538" s="27" t="s">
        <v>7</v>
      </c>
      <c r="AU538" s="27" t="s">
        <v>8</v>
      </c>
      <c r="AV538" s="27" t="s">
        <v>7</v>
      </c>
      <c r="AW538" s="27" t="s">
        <v>8</v>
      </c>
      <c r="AX538" s="27" t="s">
        <v>7</v>
      </c>
      <c r="AY538" s="27" t="s">
        <v>8</v>
      </c>
      <c r="BI538" s="27" t="s">
        <v>8</v>
      </c>
      <c r="BK538" s="27" t="s">
        <v>8</v>
      </c>
      <c r="BL538" s="27" t="s">
        <v>7</v>
      </c>
      <c r="BM538" s="27" t="s">
        <v>8</v>
      </c>
      <c r="BN538" s="27" t="s">
        <v>7</v>
      </c>
      <c r="BQ538" s="27" t="s">
        <v>8</v>
      </c>
      <c r="BR538" s="27" t="s">
        <v>7</v>
      </c>
      <c r="BS538" s="27" t="s">
        <v>8</v>
      </c>
      <c r="BT538" s="27" t="s">
        <v>7</v>
      </c>
    </row>
    <row r="539" spans="1:257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AM539" s="27" t="s">
        <v>8</v>
      </c>
      <c r="AT539" s="27" t="s">
        <v>7</v>
      </c>
      <c r="AV539" s="27" t="s">
        <v>7</v>
      </c>
      <c r="AW539" s="27" t="s">
        <v>8</v>
      </c>
      <c r="AX539" s="27" t="s">
        <v>7</v>
      </c>
      <c r="AY539" s="27" t="s">
        <v>8</v>
      </c>
      <c r="AZ539" s="27" t="s">
        <v>7</v>
      </c>
      <c r="BA539" s="27" t="s">
        <v>8</v>
      </c>
      <c r="BI539" s="27" t="s">
        <v>8</v>
      </c>
      <c r="BJ539" s="27" t="s">
        <v>7</v>
      </c>
      <c r="BK539" s="27" t="s">
        <v>8</v>
      </c>
      <c r="BL539" s="27" t="s">
        <v>7</v>
      </c>
      <c r="BM539" s="27" t="s">
        <v>8</v>
      </c>
      <c r="BN539" s="27" t="s">
        <v>7</v>
      </c>
      <c r="BO539" s="27" t="s">
        <v>8</v>
      </c>
      <c r="BQ539" s="27" t="s">
        <v>8</v>
      </c>
      <c r="BR539" s="27" t="s">
        <v>7</v>
      </c>
      <c r="BS539" s="27" t="s">
        <v>8</v>
      </c>
    </row>
    <row r="540" spans="1:257" x14ac:dyDescent="0.25">
      <c r="A540" s="7">
        <v>2.53634351519552</v>
      </c>
      <c r="B540"/>
      <c r="C540"/>
      <c r="D540"/>
      <c r="E540" t="s">
        <v>8</v>
      </c>
      <c r="F540" s="27" t="s">
        <v>7</v>
      </c>
      <c r="AM540" s="27" t="s">
        <v>8</v>
      </c>
      <c r="AV540" s="27" t="s">
        <v>7</v>
      </c>
      <c r="AW540" s="27" t="s">
        <v>8</v>
      </c>
      <c r="AX540" s="27" t="s">
        <v>7</v>
      </c>
      <c r="AY540" s="27" t="s">
        <v>8</v>
      </c>
      <c r="AZ540" s="27" t="s">
        <v>7</v>
      </c>
      <c r="BA540" s="27" t="s">
        <v>8</v>
      </c>
      <c r="BB540" s="27" t="s">
        <v>7</v>
      </c>
      <c r="BI540" s="27" t="s">
        <v>8</v>
      </c>
      <c r="BJ540" s="27" t="s">
        <v>7</v>
      </c>
      <c r="BK540" s="27" t="s">
        <v>8</v>
      </c>
      <c r="BL540" s="27" t="s">
        <v>7</v>
      </c>
      <c r="BM540" s="27" t="s">
        <v>8</v>
      </c>
      <c r="BN540" s="27" t="s">
        <v>7</v>
      </c>
      <c r="BO540" s="27" t="s">
        <v>8</v>
      </c>
      <c r="BP540" s="27" t="s">
        <v>7</v>
      </c>
      <c r="BQ540" s="27" t="s">
        <v>8</v>
      </c>
      <c r="BR540" s="27" t="s">
        <v>7</v>
      </c>
      <c r="BS540" s="27" t="s">
        <v>8</v>
      </c>
    </row>
    <row r="541" spans="1:257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AK541" s="27" t="s">
        <v>8</v>
      </c>
      <c r="AM541" s="27" t="s">
        <v>8</v>
      </c>
      <c r="AV541" s="27" t="s">
        <v>7</v>
      </c>
      <c r="AW541" s="27" t="s">
        <v>8</v>
      </c>
      <c r="AX541" s="27" t="s">
        <v>7</v>
      </c>
      <c r="AZ541" s="27" t="s">
        <v>7</v>
      </c>
      <c r="BA541" s="27" t="s">
        <v>8</v>
      </c>
      <c r="BB541" s="27" t="s">
        <v>7</v>
      </c>
      <c r="BI541" s="27" t="s">
        <v>8</v>
      </c>
      <c r="BJ541" s="27" t="s">
        <v>7</v>
      </c>
      <c r="BK541" s="27" t="s">
        <v>8</v>
      </c>
      <c r="BL541" s="27" t="s">
        <v>7</v>
      </c>
      <c r="BM541" s="27" t="s">
        <v>8</v>
      </c>
      <c r="BN541" s="27" t="s">
        <v>7</v>
      </c>
      <c r="BO541" s="27" t="s">
        <v>8</v>
      </c>
      <c r="BP541" s="27" t="s">
        <v>7</v>
      </c>
      <c r="BQ541" s="27" t="s">
        <v>8</v>
      </c>
      <c r="BR541" s="27" t="s">
        <v>7</v>
      </c>
      <c r="BS541" s="27" t="s">
        <v>8</v>
      </c>
    </row>
    <row r="542" spans="1:257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AK542" s="27" t="s">
        <v>8</v>
      </c>
      <c r="AL542" s="27" t="s">
        <v>7</v>
      </c>
      <c r="AM542" s="27" t="s">
        <v>8</v>
      </c>
      <c r="AV542" s="27" t="s">
        <v>7</v>
      </c>
      <c r="AW542" s="27" t="s">
        <v>8</v>
      </c>
      <c r="AZ542" s="27" t="s">
        <v>7</v>
      </c>
      <c r="BA542" s="27" t="s">
        <v>8</v>
      </c>
      <c r="BB542" s="27" t="s">
        <v>7</v>
      </c>
      <c r="BI542" s="27" t="s">
        <v>8</v>
      </c>
      <c r="BJ542" s="27" t="s">
        <v>7</v>
      </c>
      <c r="BK542" s="27" t="s">
        <v>8</v>
      </c>
      <c r="BL542" s="27" t="s">
        <v>7</v>
      </c>
      <c r="BM542" s="27" t="s">
        <v>8</v>
      </c>
      <c r="BN542" s="27" t="s">
        <v>7</v>
      </c>
      <c r="BO542" s="27" t="s">
        <v>8</v>
      </c>
      <c r="BP542" s="27" t="s">
        <v>7</v>
      </c>
      <c r="BQ542" s="27" t="s">
        <v>8</v>
      </c>
      <c r="BR542" s="27" t="s">
        <v>7</v>
      </c>
      <c r="BS542" s="27" t="s">
        <v>8</v>
      </c>
    </row>
    <row r="543" spans="1:257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AK543" s="27" t="s">
        <v>8</v>
      </c>
      <c r="AL543" s="27" t="s">
        <v>7</v>
      </c>
      <c r="AM543" s="27" t="s">
        <v>8</v>
      </c>
      <c r="AV543" s="27" t="s">
        <v>7</v>
      </c>
      <c r="AW543" s="27" t="s">
        <v>8</v>
      </c>
      <c r="AZ543" s="27" t="s">
        <v>7</v>
      </c>
      <c r="BA543" s="27" t="s">
        <v>8</v>
      </c>
      <c r="BB543" s="27" t="s">
        <v>7</v>
      </c>
      <c r="BC543" s="27" t="s">
        <v>8</v>
      </c>
      <c r="BE543" s="27" t="s">
        <v>8</v>
      </c>
      <c r="BI543" s="27" t="s">
        <v>8</v>
      </c>
      <c r="BJ543" s="27" t="s">
        <v>7</v>
      </c>
      <c r="BK543" s="27" t="s">
        <v>8</v>
      </c>
      <c r="BL543" s="27" t="s">
        <v>7</v>
      </c>
      <c r="BM543" s="27" t="s">
        <v>8</v>
      </c>
      <c r="BN543" s="27" t="s">
        <v>7</v>
      </c>
      <c r="BO543" s="27" t="s">
        <v>8</v>
      </c>
      <c r="BP543" s="27" t="s">
        <v>7</v>
      </c>
      <c r="BQ543" s="27" t="s">
        <v>8</v>
      </c>
      <c r="BR543" s="27" t="s">
        <v>7</v>
      </c>
      <c r="BS543" s="27" t="s">
        <v>8</v>
      </c>
    </row>
    <row r="544" spans="1:257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AK544" s="27" t="s">
        <v>8</v>
      </c>
      <c r="AL544" s="27" t="s">
        <v>7</v>
      </c>
      <c r="AM544" s="27" t="s">
        <v>8</v>
      </c>
      <c r="AV544" s="27" t="s">
        <v>7</v>
      </c>
      <c r="AZ544" s="27" t="s">
        <v>7</v>
      </c>
      <c r="BA544" s="27" t="s">
        <v>8</v>
      </c>
      <c r="BB544" s="27" t="s">
        <v>7</v>
      </c>
      <c r="BC544" s="27" t="s">
        <v>8</v>
      </c>
      <c r="BD544" s="27" t="s">
        <v>7</v>
      </c>
      <c r="BE544" s="27" t="s">
        <v>8</v>
      </c>
      <c r="BF544" s="27" t="s">
        <v>7</v>
      </c>
      <c r="BI544" s="27" t="s">
        <v>8</v>
      </c>
      <c r="BJ544" s="27" t="s">
        <v>7</v>
      </c>
      <c r="BL544" s="27" t="s">
        <v>7</v>
      </c>
      <c r="BN544" s="27" t="s">
        <v>7</v>
      </c>
      <c r="BO544" s="27" t="s">
        <v>8</v>
      </c>
      <c r="BP544" s="27" t="s">
        <v>7</v>
      </c>
      <c r="BQ544" s="27" t="s">
        <v>8</v>
      </c>
      <c r="BR544" s="27" t="s">
        <v>7</v>
      </c>
    </row>
    <row r="545" spans="1:69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AK545" s="27" t="s">
        <v>8</v>
      </c>
      <c r="AL545" s="27" t="s">
        <v>7</v>
      </c>
      <c r="AM545" s="27" t="s">
        <v>8</v>
      </c>
      <c r="AZ545" s="27" t="s">
        <v>7</v>
      </c>
      <c r="BA545" s="27" t="s">
        <v>8</v>
      </c>
      <c r="BB545" s="27" t="s">
        <v>7</v>
      </c>
      <c r="BC545" s="27" t="s">
        <v>8</v>
      </c>
      <c r="BD545" s="27" t="s">
        <v>7</v>
      </c>
      <c r="BE545" s="27" t="s">
        <v>8</v>
      </c>
      <c r="BF545" s="27" t="s">
        <v>7</v>
      </c>
      <c r="BG545" s="27" t="s">
        <v>8</v>
      </c>
      <c r="BI545" s="27" t="s">
        <v>8</v>
      </c>
      <c r="BN545" s="27" t="s">
        <v>7</v>
      </c>
      <c r="BO545" s="27" t="s">
        <v>8</v>
      </c>
      <c r="BP545" s="27" t="s">
        <v>7</v>
      </c>
      <c r="BQ545" s="27" t="s">
        <v>8</v>
      </c>
    </row>
    <row r="546" spans="1:69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M546" s="27" t="s">
        <v>8</v>
      </c>
      <c r="AK546" s="27" t="s">
        <v>8</v>
      </c>
      <c r="AL546" s="27" t="s">
        <v>7</v>
      </c>
      <c r="AM546" s="27" t="s">
        <v>8</v>
      </c>
      <c r="AZ546" s="27" t="s">
        <v>7</v>
      </c>
      <c r="BA546" s="27" t="s">
        <v>8</v>
      </c>
      <c r="BB546" s="27" t="s">
        <v>7</v>
      </c>
      <c r="BC546" s="27" t="s">
        <v>8</v>
      </c>
      <c r="BD546" s="27" t="s">
        <v>7</v>
      </c>
      <c r="BE546" s="27" t="s">
        <v>8</v>
      </c>
      <c r="BF546" s="27" t="s">
        <v>7</v>
      </c>
      <c r="BG546" s="27" t="s">
        <v>8</v>
      </c>
      <c r="BH546" s="27" t="s">
        <v>7</v>
      </c>
      <c r="BI546" s="27" t="s">
        <v>8</v>
      </c>
      <c r="BN546" s="27" t="s">
        <v>7</v>
      </c>
      <c r="BO546" s="27" t="s">
        <v>8</v>
      </c>
      <c r="BP546" s="27" t="s">
        <v>7</v>
      </c>
    </row>
    <row r="547" spans="1:69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M547" s="27" t="s">
        <v>8</v>
      </c>
      <c r="N547" s="27" t="s">
        <v>7</v>
      </c>
      <c r="AK547" s="27" t="s">
        <v>8</v>
      </c>
      <c r="AL547" s="27" t="s">
        <v>7</v>
      </c>
      <c r="AM547" s="27" t="s">
        <v>8</v>
      </c>
      <c r="AZ547" s="27" t="s">
        <v>7</v>
      </c>
      <c r="BA547" s="27" t="s">
        <v>8</v>
      </c>
      <c r="BB547" s="27" t="s">
        <v>7</v>
      </c>
      <c r="BC547" s="27" t="s">
        <v>8</v>
      </c>
      <c r="BD547" s="27" t="s">
        <v>7</v>
      </c>
      <c r="BE547" s="27" t="s">
        <v>8</v>
      </c>
      <c r="BF547" s="27" t="s">
        <v>7</v>
      </c>
      <c r="BG547" s="27" t="s">
        <v>8</v>
      </c>
      <c r="BH547" s="27" t="s">
        <v>7</v>
      </c>
      <c r="BI547" s="27" t="s">
        <v>8</v>
      </c>
      <c r="BN547" s="27" t="s">
        <v>7</v>
      </c>
      <c r="BO547" s="27" t="s">
        <v>8</v>
      </c>
    </row>
    <row r="548" spans="1:69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H548" s="27" t="s">
        <v>7</v>
      </c>
      <c r="M548" s="27" t="s">
        <v>8</v>
      </c>
      <c r="N548" s="27" t="s">
        <v>7</v>
      </c>
      <c r="AK548" s="27" t="s">
        <v>8</v>
      </c>
      <c r="AL548" s="27" t="s">
        <v>7</v>
      </c>
      <c r="AM548" s="27" t="s">
        <v>8</v>
      </c>
      <c r="AZ548" s="27" t="s">
        <v>7</v>
      </c>
      <c r="BA548" s="27" t="s">
        <v>8</v>
      </c>
      <c r="BB548" s="27" t="s">
        <v>7</v>
      </c>
      <c r="BC548" s="27" t="s">
        <v>8</v>
      </c>
      <c r="BD548" s="27" t="s">
        <v>7</v>
      </c>
      <c r="BE548" s="27" t="s">
        <v>8</v>
      </c>
      <c r="BF548" s="27" t="s">
        <v>7</v>
      </c>
      <c r="BG548" s="27" t="s">
        <v>8</v>
      </c>
      <c r="BH548" s="27" t="s">
        <v>7</v>
      </c>
      <c r="BI548" s="27" t="s">
        <v>8</v>
      </c>
      <c r="BN548" s="27" t="s">
        <v>7</v>
      </c>
      <c r="BO548" s="27" t="s">
        <v>8</v>
      </c>
    </row>
    <row r="549" spans="1:69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H549" s="27" t="s">
        <v>7</v>
      </c>
      <c r="M549" s="27" t="s">
        <v>8</v>
      </c>
      <c r="N549" s="27" t="s">
        <v>7</v>
      </c>
      <c r="AK549" s="27" t="s">
        <v>8</v>
      </c>
      <c r="AL549" s="27" t="s">
        <v>7</v>
      </c>
      <c r="AM549" s="27" t="s">
        <v>8</v>
      </c>
      <c r="AZ549" s="27" t="s">
        <v>7</v>
      </c>
      <c r="BA549" s="27" t="s">
        <v>8</v>
      </c>
      <c r="BB549" s="27" t="s">
        <v>7</v>
      </c>
      <c r="BC549" s="27" t="s">
        <v>8</v>
      </c>
      <c r="BD549" s="27" t="s">
        <v>7</v>
      </c>
      <c r="BE549" s="27" t="s">
        <v>8</v>
      </c>
      <c r="BF549" s="27" t="s">
        <v>7</v>
      </c>
      <c r="BH549" s="27" t="s">
        <v>7</v>
      </c>
      <c r="BI549" s="27" t="s">
        <v>8</v>
      </c>
      <c r="BN549" s="27" t="s">
        <v>7</v>
      </c>
      <c r="BO549" s="27" t="s">
        <v>8</v>
      </c>
    </row>
    <row r="550" spans="1:69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H550" s="27" t="s">
        <v>7</v>
      </c>
      <c r="M550" s="27" t="s">
        <v>8</v>
      </c>
      <c r="N550" s="27" t="s">
        <v>7</v>
      </c>
      <c r="AK550" s="27" t="s">
        <v>8</v>
      </c>
      <c r="AL550" s="27" t="s">
        <v>7</v>
      </c>
      <c r="AM550" s="27" t="s">
        <v>8</v>
      </c>
      <c r="AZ550" s="27" t="s">
        <v>7</v>
      </c>
      <c r="BB550" s="27" t="s">
        <v>7</v>
      </c>
      <c r="BC550" s="27" t="s">
        <v>8</v>
      </c>
      <c r="BD550" s="27" t="s">
        <v>7</v>
      </c>
      <c r="BE550" s="27" t="s">
        <v>8</v>
      </c>
      <c r="BH550" s="27" t="s">
        <v>7</v>
      </c>
      <c r="BN550" s="27" t="s">
        <v>7</v>
      </c>
      <c r="BO550" s="27" t="s">
        <v>8</v>
      </c>
    </row>
    <row r="551" spans="1:69" x14ac:dyDescent="0.25">
      <c r="A551" s="7">
        <v>2.0398873437157055</v>
      </c>
      <c r="B551"/>
      <c r="C551"/>
      <c r="D551"/>
      <c r="E551" t="s">
        <v>8</v>
      </c>
      <c r="H551" s="27" t="s">
        <v>7</v>
      </c>
      <c r="M551" s="27" t="s">
        <v>8</v>
      </c>
      <c r="N551" s="27" t="s">
        <v>7</v>
      </c>
      <c r="AK551" s="27" t="s">
        <v>8</v>
      </c>
      <c r="AL551" s="27" t="s">
        <v>7</v>
      </c>
      <c r="AM551" s="27" t="s">
        <v>8</v>
      </c>
      <c r="BB551" s="27" t="s">
        <v>7</v>
      </c>
      <c r="BC551" s="27" t="s">
        <v>8</v>
      </c>
      <c r="BD551" s="27" t="s">
        <v>7</v>
      </c>
      <c r="BN551" s="27" t="s">
        <v>7</v>
      </c>
      <c r="BO551" s="27" t="s">
        <v>8</v>
      </c>
    </row>
    <row r="552" spans="1:69" x14ac:dyDescent="0.25">
      <c r="A552" s="7">
        <v>1.9998895526624565</v>
      </c>
      <c r="B552"/>
      <c r="C552"/>
      <c r="D552"/>
      <c r="E552" t="s">
        <v>8</v>
      </c>
      <c r="H552" s="27" t="s">
        <v>7</v>
      </c>
      <c r="M552" s="27" t="s">
        <v>8</v>
      </c>
      <c r="N552" s="27" t="s">
        <v>7</v>
      </c>
      <c r="AK552" s="27" t="s">
        <v>8</v>
      </c>
      <c r="AL552" s="27" t="s">
        <v>7</v>
      </c>
      <c r="AM552" s="27" t="s">
        <v>8</v>
      </c>
      <c r="BB552" s="27" t="s">
        <v>7</v>
      </c>
      <c r="BC552" s="27" t="s">
        <v>8</v>
      </c>
      <c r="BN552" s="27" t="s">
        <v>7</v>
      </c>
      <c r="BO552" s="27" t="s">
        <v>8</v>
      </c>
    </row>
    <row r="553" spans="1:69" x14ac:dyDescent="0.25">
      <c r="A553" s="7">
        <v>1.9606760320220162</v>
      </c>
      <c r="B553"/>
      <c r="C553"/>
      <c r="D553"/>
      <c r="E553" t="s">
        <v>8</v>
      </c>
      <c r="H553" s="27" t="s">
        <v>7</v>
      </c>
      <c r="I553" s="27" t="s">
        <v>8</v>
      </c>
      <c r="M553" s="27" t="s">
        <v>8</v>
      </c>
      <c r="N553" s="27" t="s">
        <v>7</v>
      </c>
      <c r="AK553" s="27" t="s">
        <v>8</v>
      </c>
      <c r="AL553" s="27" t="s">
        <v>7</v>
      </c>
      <c r="AM553" s="27" t="s">
        <v>8</v>
      </c>
      <c r="BB553" s="27" t="s">
        <v>7</v>
      </c>
      <c r="BC553" s="27" t="s">
        <v>8</v>
      </c>
      <c r="BN553" s="27" t="s">
        <v>7</v>
      </c>
      <c r="BO553" s="27" t="s">
        <v>8</v>
      </c>
    </row>
    <row r="554" spans="1:69" x14ac:dyDescent="0.25">
      <c r="A554" s="7">
        <v>1.9222314039431532</v>
      </c>
      <c r="B554"/>
      <c r="C554"/>
      <c r="D554"/>
      <c r="E554" t="s">
        <v>8</v>
      </c>
      <c r="H554" s="27" t="s">
        <v>7</v>
      </c>
      <c r="I554" s="27" t="s">
        <v>8</v>
      </c>
      <c r="J554" s="27" t="s">
        <v>7</v>
      </c>
      <c r="M554" s="27" t="s">
        <v>8</v>
      </c>
      <c r="N554" s="27" t="s">
        <v>7</v>
      </c>
      <c r="O554" s="27" t="s">
        <v>8</v>
      </c>
      <c r="AK554" s="27" t="s">
        <v>8</v>
      </c>
      <c r="AL554" s="27" t="s">
        <v>7</v>
      </c>
      <c r="AM554" s="27" t="s">
        <v>8</v>
      </c>
      <c r="BB554" s="27" t="s">
        <v>7</v>
      </c>
      <c r="BC554" s="27" t="s">
        <v>8</v>
      </c>
      <c r="BN554" s="27" t="s">
        <v>7</v>
      </c>
      <c r="BO554" s="27" t="s">
        <v>8</v>
      </c>
    </row>
    <row r="555" spans="1:69" x14ac:dyDescent="0.25">
      <c r="A555" s="7">
        <v>1.8845405921011305</v>
      </c>
      <c r="B555"/>
      <c r="C555"/>
      <c r="D555"/>
      <c r="E555" t="s">
        <v>8</v>
      </c>
      <c r="H555" s="27" t="s">
        <v>7</v>
      </c>
      <c r="I555" s="27" t="s">
        <v>8</v>
      </c>
      <c r="J555" s="27" t="s">
        <v>7</v>
      </c>
      <c r="K555" s="27" t="s">
        <v>8</v>
      </c>
      <c r="M555" s="27" t="s">
        <v>8</v>
      </c>
      <c r="N555" s="27" t="s">
        <v>7</v>
      </c>
      <c r="O555" s="27" t="s">
        <v>8</v>
      </c>
      <c r="P555" s="27" t="s">
        <v>7</v>
      </c>
      <c r="S555" s="27" t="s">
        <v>8</v>
      </c>
      <c r="AC555" s="27" t="s">
        <v>8</v>
      </c>
      <c r="AK555" s="27" t="s">
        <v>8</v>
      </c>
      <c r="AL555" s="27" t="s">
        <v>7</v>
      </c>
      <c r="AM555" s="27" t="s">
        <v>8</v>
      </c>
      <c r="BB555" s="27" t="s">
        <v>7</v>
      </c>
      <c r="BC555" s="27" t="s">
        <v>8</v>
      </c>
      <c r="BN555" s="27" t="s">
        <v>7</v>
      </c>
    </row>
    <row r="556" spans="1:69" x14ac:dyDescent="0.25">
      <c r="A556" s="7">
        <v>1.8475888157854219</v>
      </c>
      <c r="B556"/>
      <c r="C556"/>
      <c r="D556"/>
      <c r="E556" t="s">
        <v>8</v>
      </c>
      <c r="H556" s="27" t="s">
        <v>7</v>
      </c>
      <c r="I556" s="27" t="s">
        <v>8</v>
      </c>
      <c r="J556" s="27" t="s">
        <v>7</v>
      </c>
      <c r="K556" s="27" t="s">
        <v>8</v>
      </c>
      <c r="L556" s="27" t="s">
        <v>7</v>
      </c>
      <c r="M556" s="27" t="s">
        <v>8</v>
      </c>
      <c r="N556" s="27" t="s">
        <v>7</v>
      </c>
      <c r="O556" s="27" t="s">
        <v>8</v>
      </c>
      <c r="P556" s="27" t="s">
        <v>7</v>
      </c>
      <c r="S556" s="27" t="s">
        <v>8</v>
      </c>
      <c r="T556" s="27" t="s">
        <v>7</v>
      </c>
      <c r="AC556" s="27" t="s">
        <v>8</v>
      </c>
      <c r="AD556" s="27" t="s">
        <v>7</v>
      </c>
      <c r="AE556" s="27" t="s">
        <v>8</v>
      </c>
      <c r="AG556" s="27" t="s">
        <v>8</v>
      </c>
      <c r="AK556" s="27" t="s">
        <v>8</v>
      </c>
      <c r="AL556" s="27" t="s">
        <v>7</v>
      </c>
      <c r="AM556" s="27" t="s">
        <v>8</v>
      </c>
      <c r="BB556" s="27" t="s">
        <v>7</v>
      </c>
      <c r="BC556" s="27" t="s">
        <v>8</v>
      </c>
    </row>
    <row r="557" spans="1:69" x14ac:dyDescent="0.25">
      <c r="A557" s="7">
        <v>1.8113615841033548</v>
      </c>
      <c r="B557"/>
      <c r="C557"/>
      <c r="D557"/>
      <c r="E557" t="s">
        <v>8</v>
      </c>
      <c r="H557" s="27" t="s">
        <v>7</v>
      </c>
      <c r="I557" s="27" t="s">
        <v>8</v>
      </c>
      <c r="J557" s="27" t="s">
        <v>7</v>
      </c>
      <c r="K557" s="27" t="s">
        <v>8</v>
      </c>
      <c r="L557" s="27" t="s">
        <v>7</v>
      </c>
      <c r="M557" s="27" t="s">
        <v>8</v>
      </c>
      <c r="N557" s="27" t="s">
        <v>7</v>
      </c>
      <c r="P557" s="27" t="s">
        <v>7</v>
      </c>
      <c r="S557" s="27" t="s">
        <v>8</v>
      </c>
      <c r="T557" s="27" t="s">
        <v>7</v>
      </c>
      <c r="AC557" s="27" t="s">
        <v>8</v>
      </c>
      <c r="AD557" s="27" t="s">
        <v>7</v>
      </c>
      <c r="AE557" s="27" t="s">
        <v>8</v>
      </c>
      <c r="AF557" s="27" t="s">
        <v>7</v>
      </c>
      <c r="AG557" s="27" t="s">
        <v>8</v>
      </c>
      <c r="AH557" s="27" t="s">
        <v>7</v>
      </c>
      <c r="AI557" s="27" t="s">
        <v>8</v>
      </c>
      <c r="AK557" s="27" t="s">
        <v>8</v>
      </c>
      <c r="AL557" s="27" t="s">
        <v>7</v>
      </c>
      <c r="BB557" s="27" t="s">
        <v>7</v>
      </c>
    </row>
    <row r="558" spans="1:69" x14ac:dyDescent="0.25">
      <c r="A558" s="7">
        <v>1.7758446902974065</v>
      </c>
      <c r="B558"/>
      <c r="C558"/>
      <c r="D558"/>
      <c r="E558" t="s">
        <v>8</v>
      </c>
      <c r="H558" s="27" t="s">
        <v>7</v>
      </c>
      <c r="I558" s="27" t="s">
        <v>8</v>
      </c>
      <c r="J558" s="27" t="s">
        <v>7</v>
      </c>
      <c r="L558" s="27" t="s">
        <v>7</v>
      </c>
      <c r="P558" s="27" t="s">
        <v>7</v>
      </c>
      <c r="Q558" s="27" t="s">
        <v>8</v>
      </c>
      <c r="S558" s="27" t="s">
        <v>8</v>
      </c>
      <c r="T558" s="27" t="s">
        <v>7</v>
      </c>
      <c r="AC558" s="27" t="s">
        <v>8</v>
      </c>
      <c r="AD558" s="27" t="s">
        <v>7</v>
      </c>
      <c r="AE558" s="27" t="s">
        <v>8</v>
      </c>
      <c r="AF558" s="27" t="s">
        <v>7</v>
      </c>
      <c r="AG558" s="27" t="s">
        <v>8</v>
      </c>
      <c r="AH558" s="27" t="s">
        <v>7</v>
      </c>
      <c r="AI558" s="27" t="s">
        <v>8</v>
      </c>
      <c r="AJ558" s="27" t="s">
        <v>7</v>
      </c>
      <c r="AK558" s="27" t="s">
        <v>8</v>
      </c>
    </row>
    <row r="559" spans="1:69" x14ac:dyDescent="0.25">
      <c r="A559" s="7">
        <v>1.7410242061739281</v>
      </c>
      <c r="B559"/>
      <c r="C559"/>
      <c r="D559"/>
      <c r="E559" t="s">
        <v>8</v>
      </c>
      <c r="H559" s="27" t="s">
        <v>7</v>
      </c>
      <c r="I559" s="27" t="s">
        <v>8</v>
      </c>
      <c r="P559" s="27" t="s">
        <v>7</v>
      </c>
      <c r="Q559" s="27" t="s">
        <v>8</v>
      </c>
      <c r="R559" s="27" t="s">
        <v>7</v>
      </c>
      <c r="S559" s="27" t="s">
        <v>8</v>
      </c>
      <c r="T559" s="27" t="s">
        <v>7</v>
      </c>
      <c r="U559" s="27" t="s">
        <v>8</v>
      </c>
      <c r="AC559" s="27" t="s">
        <v>8</v>
      </c>
      <c r="AD559" s="27" t="s">
        <v>7</v>
      </c>
      <c r="AE559" s="27" t="s">
        <v>8</v>
      </c>
      <c r="AF559" s="27" t="s">
        <v>7</v>
      </c>
      <c r="AG559" s="27" t="s">
        <v>8</v>
      </c>
      <c r="AH559" s="27" t="s">
        <v>7</v>
      </c>
      <c r="AI559" s="27" t="s">
        <v>8</v>
      </c>
      <c r="AJ559" s="27" t="s">
        <v>7</v>
      </c>
      <c r="AK559" s="27" t="s">
        <v>8</v>
      </c>
    </row>
    <row r="560" spans="1:69" x14ac:dyDescent="0.25">
      <c r="A560" s="7">
        <v>1.7068864766411058</v>
      </c>
      <c r="B560"/>
      <c r="C560"/>
      <c r="D560"/>
      <c r="E560" t="s">
        <v>8</v>
      </c>
      <c r="H560" s="27" t="s">
        <v>7</v>
      </c>
      <c r="I560" s="27" t="s">
        <v>8</v>
      </c>
      <c r="P560" s="27" t="s">
        <v>7</v>
      </c>
      <c r="Q560" s="27" t="s">
        <v>8</v>
      </c>
      <c r="R560" s="27" t="s">
        <v>7</v>
      </c>
      <c r="S560" s="27" t="s">
        <v>8</v>
      </c>
      <c r="T560" s="27" t="s">
        <v>7</v>
      </c>
      <c r="U560" s="27" t="s">
        <v>8</v>
      </c>
      <c r="V560" s="27" t="s">
        <v>7</v>
      </c>
      <c r="AA560" s="27" t="s">
        <v>8</v>
      </c>
      <c r="AC560" s="27" t="s">
        <v>8</v>
      </c>
      <c r="AD560" s="27" t="s">
        <v>7</v>
      </c>
      <c r="AE560" s="27" t="s">
        <v>8</v>
      </c>
      <c r="AF560" s="27" t="s">
        <v>7</v>
      </c>
      <c r="AH560" s="27" t="s">
        <v>7</v>
      </c>
      <c r="AI560" s="27" t="s">
        <v>8</v>
      </c>
      <c r="AJ560" s="27" t="s">
        <v>7</v>
      </c>
      <c r="AK560" s="27" t="s">
        <v>8</v>
      </c>
    </row>
    <row r="561" spans="1:37" x14ac:dyDescent="0.25">
      <c r="A561" s="7">
        <v>1.6734181143540252</v>
      </c>
      <c r="B561"/>
      <c r="C561"/>
      <c r="D561"/>
      <c r="E561" t="s">
        <v>8</v>
      </c>
      <c r="H561" s="27" t="s">
        <v>7</v>
      </c>
      <c r="I561" s="27" t="s">
        <v>8</v>
      </c>
      <c r="P561" s="27" t="s">
        <v>7</v>
      </c>
      <c r="Q561" s="27" t="s">
        <v>8</v>
      </c>
      <c r="R561" s="27" t="s">
        <v>7</v>
      </c>
      <c r="S561" s="27" t="s">
        <v>8</v>
      </c>
      <c r="T561" s="27" t="s">
        <v>7</v>
      </c>
      <c r="U561" s="27" t="s">
        <v>8</v>
      </c>
      <c r="V561" s="27" t="s">
        <v>7</v>
      </c>
      <c r="AA561" s="27" t="s">
        <v>8</v>
      </c>
      <c r="AB561" s="27" t="s">
        <v>7</v>
      </c>
      <c r="AC561" s="27" t="s">
        <v>8</v>
      </c>
      <c r="AD561" s="27" t="s">
        <v>7</v>
      </c>
      <c r="AE561" s="27" t="s">
        <v>8</v>
      </c>
      <c r="AH561" s="27" t="s">
        <v>7</v>
      </c>
      <c r="AI561" s="27" t="s">
        <v>8</v>
      </c>
      <c r="AJ561" s="27" t="s">
        <v>7</v>
      </c>
      <c r="AK561" s="27" t="s">
        <v>8</v>
      </c>
    </row>
    <row r="562" spans="1:37" x14ac:dyDescent="0.25">
      <c r="A562" s="7">
        <v>1.6406059944647307</v>
      </c>
      <c r="B562"/>
      <c r="C562"/>
      <c r="D562"/>
      <c r="E562" t="s">
        <v>8</v>
      </c>
      <c r="H562" s="27" t="s">
        <v>7</v>
      </c>
      <c r="I562" s="27" t="s">
        <v>8</v>
      </c>
      <c r="P562" s="27" t="s">
        <v>7</v>
      </c>
      <c r="Q562" s="27" t="s">
        <v>8</v>
      </c>
      <c r="R562" s="27" t="s">
        <v>7</v>
      </c>
      <c r="S562" s="27" t="s">
        <v>8</v>
      </c>
      <c r="T562" s="27" t="s">
        <v>7</v>
      </c>
      <c r="U562" s="27" t="s">
        <v>8</v>
      </c>
      <c r="V562" s="27" t="s">
        <v>7</v>
      </c>
      <c r="AA562" s="27" t="s">
        <v>8</v>
      </c>
      <c r="AB562" s="27" t="s">
        <v>7</v>
      </c>
      <c r="AC562" s="27" t="s">
        <v>8</v>
      </c>
      <c r="AD562" s="27" t="s">
        <v>7</v>
      </c>
      <c r="AH562" s="27" t="s">
        <v>7</v>
      </c>
      <c r="AI562" s="27" t="s">
        <v>8</v>
      </c>
      <c r="AJ562" s="27" t="s">
        <v>7</v>
      </c>
    </row>
    <row r="563" spans="1:37" x14ac:dyDescent="0.25">
      <c r="A563" s="7">
        <v>1.6084372494752261</v>
      </c>
      <c r="B563"/>
      <c r="C563"/>
      <c r="D563"/>
      <c r="E563" t="s">
        <v>8</v>
      </c>
      <c r="H563" s="27" t="s">
        <v>7</v>
      </c>
      <c r="I563" s="27" t="s">
        <v>8</v>
      </c>
      <c r="P563" s="27" t="s">
        <v>7</v>
      </c>
      <c r="R563" s="27" t="s">
        <v>7</v>
      </c>
      <c r="S563" s="27" t="s">
        <v>8</v>
      </c>
      <c r="T563" s="27" t="s">
        <v>7</v>
      </c>
      <c r="U563" s="27" t="s">
        <v>8</v>
      </c>
      <c r="V563" s="27" t="s">
        <v>7</v>
      </c>
      <c r="AA563" s="27" t="s">
        <v>8</v>
      </c>
      <c r="AB563" s="27" t="s">
        <v>7</v>
      </c>
      <c r="AC563" s="27" t="s">
        <v>8</v>
      </c>
      <c r="AH563" s="27" t="s">
        <v>7</v>
      </c>
    </row>
    <row r="564" spans="1:37" x14ac:dyDescent="0.25">
      <c r="A564" s="7">
        <v>1.5768992641913981</v>
      </c>
      <c r="B564"/>
      <c r="C564"/>
      <c r="D564"/>
      <c r="E564" t="s">
        <v>8</v>
      </c>
      <c r="H564" s="27" t="s">
        <v>7</v>
      </c>
      <c r="R564" s="27" t="s">
        <v>7</v>
      </c>
      <c r="S564" s="27" t="s">
        <v>8</v>
      </c>
      <c r="T564" s="27" t="s">
        <v>7</v>
      </c>
      <c r="U564" s="27" t="s">
        <v>8</v>
      </c>
      <c r="V564" s="27" t="s">
        <v>7</v>
      </c>
      <c r="Y564" s="27" t="s">
        <v>8</v>
      </c>
      <c r="AA564" s="27" t="s">
        <v>8</v>
      </c>
      <c r="AB564" s="27" t="s">
        <v>7</v>
      </c>
      <c r="AC564" s="27" t="s">
        <v>8</v>
      </c>
    </row>
    <row r="565" spans="1:37" x14ac:dyDescent="0.25">
      <c r="A565" s="7">
        <v>1.5459796707758806</v>
      </c>
      <c r="B565"/>
      <c r="C565"/>
      <c r="D565"/>
      <c r="E565" t="s">
        <v>8</v>
      </c>
      <c r="R565" s="27" t="s">
        <v>7</v>
      </c>
      <c r="S565" s="27" t="s">
        <v>8</v>
      </c>
      <c r="T565" s="27" t="s">
        <v>7</v>
      </c>
      <c r="U565" s="27" t="s">
        <v>8</v>
      </c>
      <c r="V565" s="27" t="s">
        <v>7</v>
      </c>
      <c r="W565" s="27" t="s">
        <v>8</v>
      </c>
      <c r="Y565" s="27" t="s">
        <v>8</v>
      </c>
      <c r="Z565" s="27" t="s">
        <v>7</v>
      </c>
      <c r="AA565" s="27" t="s">
        <v>8</v>
      </c>
      <c r="AB565" s="27" t="s">
        <v>7</v>
      </c>
      <c r="AC565" s="27" t="s">
        <v>8</v>
      </c>
    </row>
    <row r="566" spans="1:37" x14ac:dyDescent="0.25">
      <c r="A566" s="7">
        <v>1.5156663438979221</v>
      </c>
      <c r="B566"/>
      <c r="C566"/>
      <c r="D566"/>
      <c r="E566" t="s">
        <v>8</v>
      </c>
      <c r="R566" s="27" t="s">
        <v>7</v>
      </c>
      <c r="S566" s="27" t="s">
        <v>8</v>
      </c>
      <c r="T566" s="27" t="s">
        <v>7</v>
      </c>
      <c r="V566" s="27" t="s">
        <v>7</v>
      </c>
      <c r="W566" s="27" t="s">
        <v>8</v>
      </c>
      <c r="X566" s="27" t="s">
        <v>7</v>
      </c>
      <c r="Y566" s="27" t="s">
        <v>8</v>
      </c>
      <c r="Z566" s="27" t="s">
        <v>7</v>
      </c>
      <c r="AA566" s="27" t="s">
        <v>8</v>
      </c>
      <c r="AB566" s="27" t="s">
        <v>7</v>
      </c>
      <c r="AC566" s="27" t="s">
        <v>8</v>
      </c>
    </row>
    <row r="567" spans="1:37" x14ac:dyDescent="0.25">
      <c r="A567" s="7">
        <v>1.4859473959783549</v>
      </c>
      <c r="B567"/>
      <c r="C567"/>
      <c r="D567"/>
      <c r="E567" t="s">
        <v>8</v>
      </c>
      <c r="R567" s="27" t="s">
        <v>7</v>
      </c>
      <c r="S567" s="27" t="s">
        <v>8</v>
      </c>
      <c r="V567" s="27" t="s">
        <v>7</v>
      </c>
      <c r="W567" s="27" t="s">
        <v>8</v>
      </c>
      <c r="X567" s="27" t="s">
        <v>7</v>
      </c>
      <c r="Y567" s="27" t="s">
        <v>8</v>
      </c>
      <c r="Z567" s="27" t="s">
        <v>7</v>
      </c>
      <c r="AA567" s="27" t="s">
        <v>8</v>
      </c>
      <c r="AB567" s="27" t="s">
        <v>7</v>
      </c>
      <c r="AC567" s="27" t="s">
        <v>8</v>
      </c>
    </row>
    <row r="568" spans="1:37" x14ac:dyDescent="0.25">
      <c r="A568" s="7">
        <v>1.4568111725277988</v>
      </c>
      <c r="B568"/>
      <c r="C568"/>
      <c r="D568"/>
      <c r="E568" t="s">
        <v>8</v>
      </c>
      <c r="R568" s="27" t="s">
        <v>7</v>
      </c>
      <c r="S568" s="27" t="s">
        <v>8</v>
      </c>
      <c r="V568" s="27" t="s">
        <v>7</v>
      </c>
      <c r="W568" s="27" t="s">
        <v>8</v>
      </c>
      <c r="X568" s="27" t="s">
        <v>7</v>
      </c>
      <c r="Y568" s="27" t="s">
        <v>8</v>
      </c>
      <c r="Z568" s="27" t="s">
        <v>7</v>
      </c>
      <c r="AA568" s="27" t="s">
        <v>8</v>
      </c>
      <c r="AB568" s="27" t="s">
        <v>7</v>
      </c>
    </row>
    <row r="569" spans="1:37" x14ac:dyDescent="0.25">
      <c r="A569" s="7">
        <v>1.4282462475762734</v>
      </c>
      <c r="B569"/>
      <c r="C569"/>
      <c r="D569"/>
      <c r="E569" t="s">
        <v>8</v>
      </c>
      <c r="R569" s="27" t="s">
        <v>7</v>
      </c>
      <c r="S569" s="27" t="s">
        <v>8</v>
      </c>
      <c r="V569" s="27" t="s">
        <v>7</v>
      </c>
      <c r="W569" s="27" t="s">
        <v>8</v>
      </c>
      <c r="X569" s="27" t="s">
        <v>7</v>
      </c>
      <c r="Z569" s="27" t="s">
        <v>7</v>
      </c>
      <c r="AA569" s="27" t="s">
        <v>8</v>
      </c>
    </row>
    <row r="570" spans="1:37" x14ac:dyDescent="0.25">
      <c r="A570" s="7">
        <v>1.4002414191924248</v>
      </c>
      <c r="B570"/>
      <c r="C570"/>
      <c r="D570"/>
      <c r="E570" t="s">
        <v>8</v>
      </c>
      <c r="R570" s="27" t="s">
        <v>7</v>
      </c>
      <c r="S570" s="27" t="s">
        <v>8</v>
      </c>
      <c r="V570" s="27" t="s">
        <v>7</v>
      </c>
      <c r="W570" s="27" t="s">
        <v>8</v>
      </c>
      <c r="Z570" s="27" t="s">
        <v>7</v>
      </c>
      <c r="AA570" s="27" t="s">
        <v>8</v>
      </c>
    </row>
    <row r="571" spans="1:37" x14ac:dyDescent="0.25">
      <c r="A571" s="7">
        <v>1.3727857050906125</v>
      </c>
      <c r="B571"/>
      <c r="C571"/>
      <c r="D571"/>
      <c r="E571" t="s">
        <v>8</v>
      </c>
      <c r="R571" s="27" t="s">
        <v>7</v>
      </c>
      <c r="S571" s="27" t="s">
        <v>8</v>
      </c>
      <c r="V571" s="27" t="s">
        <v>7</v>
      </c>
      <c r="Z571" s="27" t="s">
        <v>7</v>
      </c>
      <c r="AA571" s="27" t="s">
        <v>8</v>
      </c>
    </row>
    <row r="572" spans="1:37" x14ac:dyDescent="0.25">
      <c r="A572" s="7">
        <v>1.3458683383241299</v>
      </c>
      <c r="B572"/>
      <c r="C572"/>
      <c r="D572"/>
      <c r="E572" t="s">
        <v>8</v>
      </c>
      <c r="R572" s="27" t="s">
        <v>7</v>
      </c>
      <c r="Z572" s="27" t="s">
        <v>7</v>
      </c>
    </row>
    <row r="573" spans="1:37" x14ac:dyDescent="0.25">
      <c r="A573" s="7">
        <v>1.3194787630628724</v>
      </c>
      <c r="B573"/>
      <c r="C573"/>
      <c r="D573"/>
      <c r="E573" t="s">
        <v>8</v>
      </c>
    </row>
    <row r="574" spans="1:37" x14ac:dyDescent="0.25">
      <c r="A574" s="7">
        <v>1.2936066304537963</v>
      </c>
      <c r="B574"/>
      <c r="C574"/>
      <c r="D574"/>
      <c r="E574" t="s">
        <v>8</v>
      </c>
    </row>
    <row r="575" spans="1:37" x14ac:dyDescent="0.25">
      <c r="A575" s="7">
        <v>1.2682417945625455</v>
      </c>
      <c r="B575"/>
      <c r="C575"/>
      <c r="D575"/>
      <c r="E575" t="s">
        <v>8</v>
      </c>
    </row>
    <row r="576" spans="1:37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0" operator="equal">
      <formula>$U$1</formula>
    </cfRule>
    <cfRule type="cellIs" dxfId="89" priority="891" operator="equal">
      <formula>$S$1</formula>
    </cfRule>
  </conditionalFormatting>
  <conditionalFormatting sqref="D27">
    <cfRule type="cellIs" dxfId="88" priority="888" operator="equal">
      <formula>$S$1</formula>
    </cfRule>
    <cfRule type="cellIs" dxfId="87" priority="889" operator="equal">
      <formula>$U$1</formula>
    </cfRule>
  </conditionalFormatting>
  <conditionalFormatting sqref="C164">
    <cfRule type="cellIs" dxfId="86" priority="886" operator="equal">
      <formula>$U$1</formula>
    </cfRule>
    <cfRule type="cellIs" dxfId="85" priority="887" operator="equal">
      <formula>$S$1</formula>
    </cfRule>
  </conditionalFormatting>
  <conditionalFormatting sqref="D164">
    <cfRule type="cellIs" dxfId="84" priority="884" operator="equal">
      <formula>$S$1</formula>
    </cfRule>
    <cfRule type="cellIs" dxfId="83" priority="885" operator="equal">
      <formula>$U$1</formula>
    </cfRule>
  </conditionalFormatting>
  <conditionalFormatting sqref="C55">
    <cfRule type="cellIs" dxfId="82" priority="882" operator="equal">
      <formula>$U$1</formula>
    </cfRule>
    <cfRule type="cellIs" dxfId="81" priority="883" operator="equal">
      <formula>$S$1</formula>
    </cfRule>
  </conditionalFormatting>
  <conditionalFormatting sqref="D55">
    <cfRule type="cellIs" dxfId="80" priority="880" operator="equal">
      <formula>$S$1</formula>
    </cfRule>
    <cfRule type="cellIs" dxfId="79" priority="881" operator="equal">
      <formula>$U$1</formula>
    </cfRule>
  </conditionalFormatting>
  <conditionalFormatting sqref="C89">
    <cfRule type="cellIs" dxfId="78" priority="878" operator="equal">
      <formula>$U$1</formula>
    </cfRule>
    <cfRule type="cellIs" dxfId="77" priority="879" operator="equal">
      <formula>$S$1</formula>
    </cfRule>
  </conditionalFormatting>
  <conditionalFormatting sqref="D89">
    <cfRule type="cellIs" dxfId="76" priority="876" operator="equal">
      <formula>$S$1</formula>
    </cfRule>
    <cfRule type="cellIs" dxfId="75" priority="877" operator="equal">
      <formula>$U$1</formula>
    </cfRule>
  </conditionalFormatting>
  <conditionalFormatting sqref="C136">
    <cfRule type="cellIs" dxfId="74" priority="874" operator="equal">
      <formula>$U$1</formula>
    </cfRule>
    <cfRule type="cellIs" dxfId="73" priority="875" operator="equal">
      <formula>$S$1</formula>
    </cfRule>
  </conditionalFormatting>
  <conditionalFormatting sqref="D136">
    <cfRule type="cellIs" dxfId="72" priority="872" operator="equal">
      <formula>$S$1</formula>
    </cfRule>
    <cfRule type="cellIs" dxfId="71" priority="873" operator="equal">
      <formula>$U$1</formula>
    </cfRule>
  </conditionalFormatting>
  <conditionalFormatting sqref="C1">
    <cfRule type="cellIs" dxfId="70" priority="8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8" zoomScale="90" zoomScaleNormal="90" workbookViewId="0">
      <pane xSplit="4" topLeftCell="AX1" activePane="topRight" state="frozen"/>
      <selection activeCell="A109" sqref="A109"/>
      <selection pane="topRight" activeCell="EA211" sqref="EA21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$A$210</v>
      </c>
      <c r="D111" s="1" t="str">
        <f>ADDRESS(C121-1,D121,1,1)</f>
        <v>$EA$210</v>
      </c>
      <c r="E111"/>
    </row>
    <row r="112" spans="1:5" x14ac:dyDescent="0.25">
      <c r="A112" s="30">
        <v>515.50191262726139</v>
      </c>
      <c r="C112" s="1" t="str">
        <f>ADDRESS(C121,1,1,1)</f>
        <v>$A$211</v>
      </c>
      <c r="D112" s="1" t="str">
        <f>ADDRESS(C121,D121-1,1,1)</f>
        <v>$DZ$211</v>
      </c>
      <c r="E112"/>
    </row>
    <row r="113" spans="1:5" x14ac:dyDescent="0.25">
      <c r="A113" s="30">
        <v>490.95420250215363</v>
      </c>
      <c r="C113" s="1" t="str">
        <f>ADDRESS(C121+1,1,1,1)</f>
        <v>$A$212</v>
      </c>
      <c r="D113" s="1" t="str">
        <f>ADDRESS(C121-1,D121+1,1,1)</f>
        <v>$EB$210</v>
      </c>
    </row>
    <row r="114" spans="1:5" x14ac:dyDescent="0.25">
      <c r="A114" s="30">
        <v>467.57543095443202</v>
      </c>
      <c r="C114" s="1" t="str">
        <f>ADDRESS(C121,D121,1,1)</f>
        <v>$EA$211</v>
      </c>
      <c r="D114" s="1" t="str">
        <f>ADDRESS(C121+1,D121+1,1,1)</f>
        <v>$EB$212</v>
      </c>
    </row>
    <row r="115" spans="1:5" x14ac:dyDescent="0.25">
      <c r="A115" s="30">
        <v>445.30993424231622</v>
      </c>
      <c r="C115" s="1" t="str">
        <f>ADDRESS(C121+1,D121,1,1)</f>
        <v>$EA$212</v>
      </c>
    </row>
    <row r="116" spans="1:5" x14ac:dyDescent="0.25">
      <c r="A116" s="30">
        <v>424.10469927839637</v>
      </c>
      <c r="C116" s="1">
        <f>C117-1</f>
        <v>210</v>
      </c>
    </row>
    <row r="117" spans="1:5" x14ac:dyDescent="0.25">
      <c r="A117" s="30">
        <v>403.9092374079965</v>
      </c>
      <c r="C117" s="1">
        <f>C121</f>
        <v>211</v>
      </c>
      <c r="D117" s="1">
        <f>D121</f>
        <v>131</v>
      </c>
    </row>
    <row r="118" spans="1:5" x14ac:dyDescent="0.25">
      <c r="A118" s="30">
        <v>384.6754641980919</v>
      </c>
      <c r="C118" s="1">
        <f>C117+1</f>
        <v>212</v>
      </c>
      <c r="D118" s="1">
        <f>D117+1</f>
        <v>132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211</v>
      </c>
      <c r="D121" s="19">
        <v>131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R211</v>
      </c>
      <c r="D123" s="1" t="str">
        <f>"C"&amp;D121</f>
        <v>C131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4.1161355953815884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8" x14ac:dyDescent="0.25">
      <c r="A161" s="30">
        <v>47.201372444612005</v>
      </c>
      <c r="E161"/>
    </row>
    <row r="162" spans="1:58" x14ac:dyDescent="0.25">
      <c r="A162" s="30">
        <v>44.95368804248762</v>
      </c>
      <c r="E162"/>
    </row>
    <row r="163" spans="1:58" x14ac:dyDescent="0.25">
      <c r="A163" s="30">
        <v>42.81303623094059</v>
      </c>
      <c r="E163"/>
    </row>
    <row r="164" spans="1:58" x14ac:dyDescent="0.25">
      <c r="A164" s="30">
        <v>40.774320219943419</v>
      </c>
      <c r="E164"/>
    </row>
    <row r="165" spans="1:58" x14ac:dyDescent="0.25">
      <c r="A165" s="30">
        <v>38.832685923755633</v>
      </c>
      <c r="E165"/>
    </row>
    <row r="166" spans="1:58" x14ac:dyDescent="0.25">
      <c r="A166" s="30">
        <v>36.983510403576794</v>
      </c>
      <c r="E166"/>
    </row>
    <row r="167" spans="1:58" x14ac:dyDescent="0.25">
      <c r="A167" s="30">
        <v>35.222390860549325</v>
      </c>
      <c r="E167"/>
    </row>
    <row r="168" spans="1:58" x14ac:dyDescent="0.25">
      <c r="A168" s="30">
        <v>33.545134152904119</v>
      </c>
      <c r="E168"/>
    </row>
    <row r="169" spans="1:58" x14ac:dyDescent="0.25">
      <c r="A169" s="30">
        <v>31.947746812289637</v>
      </c>
      <c r="E169"/>
    </row>
    <row r="170" spans="1:58" x14ac:dyDescent="0.25">
      <c r="A170" s="30">
        <v>30.426425535513939</v>
      </c>
      <c r="E170"/>
    </row>
    <row r="171" spans="1:58" x14ac:dyDescent="0.25">
      <c r="A171" s="30">
        <v>28.977548129060892</v>
      </c>
      <c r="E171"/>
      <c r="BC171" s="27" t="s">
        <v>8</v>
      </c>
    </row>
    <row r="172" spans="1:58" x14ac:dyDescent="0.25">
      <c r="A172" s="30">
        <v>27.597664884819896</v>
      </c>
      <c r="E172"/>
      <c r="BA172" s="27" t="s">
        <v>8</v>
      </c>
      <c r="BC172" s="27" t="s">
        <v>8</v>
      </c>
      <c r="BD172" s="27" t="s">
        <v>7</v>
      </c>
    </row>
    <row r="173" spans="1:58" x14ac:dyDescent="0.25">
      <c r="A173" s="30">
        <v>26.283490366495137</v>
      </c>
      <c r="E173"/>
      <c r="BA173" s="27" t="s">
        <v>8</v>
      </c>
      <c r="BB173" s="27" t="s">
        <v>7</v>
      </c>
      <c r="BC173" s="27" t="s">
        <v>8</v>
      </c>
      <c r="BD173" s="27" t="s">
        <v>7</v>
      </c>
      <c r="BE173" s="27" t="s">
        <v>8</v>
      </c>
    </row>
    <row r="174" spans="1:58" x14ac:dyDescent="0.25">
      <c r="A174" s="30">
        <v>25.031895587138223</v>
      </c>
      <c r="E174"/>
      <c r="BA174" s="27" t="s">
        <v>8</v>
      </c>
      <c r="BB174" s="27" t="s">
        <v>7</v>
      </c>
      <c r="BC174" s="27" t="s">
        <v>8</v>
      </c>
      <c r="BD174" s="27" t="s">
        <v>7</v>
      </c>
      <c r="BE174" s="27" t="s">
        <v>8</v>
      </c>
      <c r="BF174" s="27" t="s">
        <v>7</v>
      </c>
    </row>
    <row r="175" spans="1:58" x14ac:dyDescent="0.25">
      <c r="A175" s="30">
        <v>23.839900559179259</v>
      </c>
      <c r="E175"/>
      <c r="BA175" s="27" t="s">
        <v>8</v>
      </c>
      <c r="BB175" s="27" t="s">
        <v>7</v>
      </c>
      <c r="BD175" s="27" t="s">
        <v>7</v>
      </c>
      <c r="BE175" s="27" t="s">
        <v>8</v>
      </c>
      <c r="BF175" s="27" t="s">
        <v>7</v>
      </c>
    </row>
    <row r="176" spans="1:58" x14ac:dyDescent="0.25">
      <c r="A176" s="30">
        <v>22.704667199218342</v>
      </c>
      <c r="E176"/>
      <c r="BA176" s="27" t="s">
        <v>8</v>
      </c>
      <c r="BD176" s="27" t="s">
        <v>7</v>
      </c>
      <c r="BE176" s="27" t="s">
        <v>8</v>
      </c>
      <c r="BF176" s="27" t="s">
        <v>7</v>
      </c>
    </row>
    <row r="177" spans="1:110" x14ac:dyDescent="0.25">
      <c r="A177" s="30">
        <v>21.623492570684135</v>
      </c>
      <c r="E177"/>
      <c r="BA177" s="27" t="s">
        <v>8</v>
      </c>
      <c r="BD177" s="27" t="s">
        <v>7</v>
      </c>
      <c r="BF177" s="27" t="s">
        <v>7</v>
      </c>
    </row>
    <row r="178" spans="1:110" x14ac:dyDescent="0.25">
      <c r="A178" s="30">
        <v>20.593802448270605</v>
      </c>
      <c r="C178" s="7"/>
      <c r="D178"/>
      <c r="E178"/>
      <c r="BA178" s="27" t="s">
        <v>8</v>
      </c>
      <c r="BF178" s="27" t="s">
        <v>7</v>
      </c>
      <c r="BG178" s="27" t="s">
        <v>8</v>
      </c>
    </row>
    <row r="179" spans="1:110" x14ac:dyDescent="0.25">
      <c r="A179" s="30">
        <v>19.613145188829147</v>
      </c>
      <c r="E179"/>
      <c r="AY179" s="27" t="s">
        <v>8</v>
      </c>
      <c r="BA179" s="27" t="s">
        <v>8</v>
      </c>
      <c r="BF179" s="27" t="s">
        <v>7</v>
      </c>
      <c r="BG179" s="27" t="s">
        <v>8</v>
      </c>
      <c r="BH179" s="27" t="s">
        <v>7</v>
      </c>
    </row>
    <row r="180" spans="1:110" x14ac:dyDescent="0.25">
      <c r="A180" s="30">
        <v>18.679185894122998</v>
      </c>
      <c r="E180"/>
      <c r="AY180" s="27" t="s">
        <v>8</v>
      </c>
      <c r="AZ180" s="27" t="s">
        <v>7</v>
      </c>
      <c r="BA180" s="27" t="s">
        <v>8</v>
      </c>
      <c r="BF180" s="27" t="s">
        <v>7</v>
      </c>
      <c r="BG180" s="27" t="s">
        <v>8</v>
      </c>
      <c r="BH180" s="27" t="s">
        <v>7</v>
      </c>
      <c r="BI180" s="27" t="s">
        <v>8</v>
      </c>
      <c r="BQ180" s="27" t="s">
        <v>8</v>
      </c>
    </row>
    <row r="181" spans="1:110" x14ac:dyDescent="0.25">
      <c r="A181" s="30">
        <v>17.78970085154571</v>
      </c>
      <c r="C181"/>
      <c r="D181"/>
      <c r="E181"/>
      <c r="AW181" s="27" t="s">
        <v>8</v>
      </c>
      <c r="AY181" s="27" t="s">
        <v>8</v>
      </c>
      <c r="AZ181" s="27" t="s">
        <v>7</v>
      </c>
      <c r="BA181" s="27" t="s">
        <v>8</v>
      </c>
      <c r="BF181" s="27" t="s">
        <v>7</v>
      </c>
      <c r="BG181" s="27" t="s">
        <v>8</v>
      </c>
      <c r="BH181" s="27" t="s">
        <v>7</v>
      </c>
      <c r="BI181" s="27" t="s">
        <v>8</v>
      </c>
      <c r="BJ181" s="27" t="s">
        <v>7</v>
      </c>
      <c r="BK181" s="27" t="s">
        <v>8</v>
      </c>
      <c r="BQ181" s="27" t="s">
        <v>8</v>
      </c>
      <c r="BR181" s="27" t="s">
        <v>7</v>
      </c>
    </row>
    <row r="182" spans="1:110" x14ac:dyDescent="0.25">
      <c r="A182" s="30">
        <v>16.942572239567344</v>
      </c>
      <c r="E182"/>
      <c r="AW182" s="27" t="s">
        <v>8</v>
      </c>
      <c r="AX182" s="27" t="s">
        <v>7</v>
      </c>
      <c r="AY182" s="27" t="s">
        <v>8</v>
      </c>
      <c r="AZ182" s="27" t="s">
        <v>7</v>
      </c>
      <c r="BA182" s="27" t="s">
        <v>8</v>
      </c>
      <c r="BF182" s="27" t="s">
        <v>7</v>
      </c>
      <c r="BH182" s="27" t="s">
        <v>7</v>
      </c>
      <c r="BI182" s="27" t="s">
        <v>8</v>
      </c>
      <c r="BJ182" s="27" t="s">
        <v>7</v>
      </c>
      <c r="BK182" s="27" t="s">
        <v>8</v>
      </c>
      <c r="BL182" s="27" t="s">
        <v>7</v>
      </c>
      <c r="BQ182" s="27" t="s">
        <v>8</v>
      </c>
      <c r="BR182" s="27" t="s">
        <v>7</v>
      </c>
      <c r="BS182" s="27" t="s">
        <v>8</v>
      </c>
    </row>
    <row r="183" spans="1:110" x14ac:dyDescent="0.25">
      <c r="A183" s="30">
        <v>16.135783085302233</v>
      </c>
      <c r="E183"/>
      <c r="AW183" s="27" t="s">
        <v>8</v>
      </c>
      <c r="AX183" s="27" t="s">
        <v>7</v>
      </c>
      <c r="AY183" s="27" t="s">
        <v>8</v>
      </c>
      <c r="AZ183" s="27" t="s">
        <v>7</v>
      </c>
      <c r="BH183" s="27" t="s">
        <v>7</v>
      </c>
      <c r="BJ183" s="27" t="s">
        <v>7</v>
      </c>
      <c r="BK183" s="27" t="s">
        <v>8</v>
      </c>
      <c r="BL183" s="27" t="s">
        <v>7</v>
      </c>
      <c r="BQ183" s="27" t="s">
        <v>8</v>
      </c>
      <c r="BR183" s="27" t="s">
        <v>7</v>
      </c>
      <c r="BS183" s="27" t="s">
        <v>8</v>
      </c>
      <c r="BT183" s="27" t="s">
        <v>7</v>
      </c>
    </row>
    <row r="184" spans="1:110" x14ac:dyDescent="0.25">
      <c r="A184" s="30">
        <v>15.367412462192602</v>
      </c>
      <c r="E184"/>
      <c r="AW184" s="27" t="s">
        <v>8</v>
      </c>
      <c r="AX184" s="27" t="s">
        <v>7</v>
      </c>
      <c r="BJ184" s="27" t="s">
        <v>7</v>
      </c>
      <c r="BK184" s="27" t="s">
        <v>8</v>
      </c>
      <c r="BL184" s="27" t="s">
        <v>7</v>
      </c>
      <c r="BM184" s="27" t="s">
        <v>8</v>
      </c>
      <c r="BQ184" s="27" t="s">
        <v>8</v>
      </c>
      <c r="BR184" s="27" t="s">
        <v>7</v>
      </c>
      <c r="BS184" s="27" t="s">
        <v>8</v>
      </c>
      <c r="BT184" s="27" t="s">
        <v>7</v>
      </c>
    </row>
    <row r="185" spans="1:110" x14ac:dyDescent="0.25">
      <c r="A185" s="30">
        <v>14.635630916373906</v>
      </c>
      <c r="C185"/>
      <c r="E185"/>
      <c r="AU185" s="27" t="s">
        <v>8</v>
      </c>
      <c r="AW185" s="27" t="s">
        <v>8</v>
      </c>
      <c r="BJ185" s="27" t="s">
        <v>7</v>
      </c>
      <c r="BL185" s="27" t="s">
        <v>7</v>
      </c>
      <c r="BM185" s="27" t="s">
        <v>8</v>
      </c>
      <c r="BN185" s="27" t="s">
        <v>7</v>
      </c>
      <c r="BO185" s="27" t="s">
        <v>8</v>
      </c>
      <c r="BQ185" s="27" t="s">
        <v>8</v>
      </c>
      <c r="BR185" s="27" t="s">
        <v>7</v>
      </c>
      <c r="BS185" s="27" t="s">
        <v>8</v>
      </c>
      <c r="BT185" s="27" t="s">
        <v>7</v>
      </c>
      <c r="BU185" s="27" t="s">
        <v>8</v>
      </c>
    </row>
    <row r="186" spans="1:110" x14ac:dyDescent="0.25">
      <c r="A186" s="30">
        <v>13.938696110832291</v>
      </c>
      <c r="E186"/>
      <c r="AU186" s="27" t="s">
        <v>8</v>
      </c>
      <c r="AV186" s="27" t="s">
        <v>7</v>
      </c>
      <c r="AW186" s="27" t="s">
        <v>8</v>
      </c>
      <c r="BL186" s="27" t="s">
        <v>7</v>
      </c>
      <c r="BM186" s="27" t="s">
        <v>8</v>
      </c>
      <c r="BN186" s="27" t="s">
        <v>7</v>
      </c>
      <c r="BO186" s="27" t="s">
        <v>8</v>
      </c>
      <c r="BP186" s="27" t="s">
        <v>7</v>
      </c>
      <c r="BQ186" s="27" t="s">
        <v>8</v>
      </c>
      <c r="BR186" s="27" t="s">
        <v>7</v>
      </c>
      <c r="BT186" s="27" t="s">
        <v>7</v>
      </c>
      <c r="BU186" s="27" t="s">
        <v>8</v>
      </c>
      <c r="BV186" s="27" t="s">
        <v>7</v>
      </c>
      <c r="BW186" s="27" t="s">
        <v>8</v>
      </c>
    </row>
    <row r="187" spans="1:110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U187" s="27" t="s">
        <v>8</v>
      </c>
      <c r="AV187" s="27" t="s">
        <v>7</v>
      </c>
      <c r="AW187" s="27" t="s">
        <v>8</v>
      </c>
      <c r="BL187" s="27" t="s">
        <v>7</v>
      </c>
      <c r="BM187" s="27" t="s">
        <v>8</v>
      </c>
      <c r="BN187" s="27" t="s">
        <v>7</v>
      </c>
      <c r="BO187" s="27" t="s">
        <v>8</v>
      </c>
      <c r="BP187" s="27" t="s">
        <v>7</v>
      </c>
      <c r="BQ187" s="27" t="s">
        <v>8</v>
      </c>
      <c r="BT187" s="27" t="s">
        <v>7</v>
      </c>
      <c r="BU187" s="27" t="s">
        <v>8</v>
      </c>
      <c r="BV187" s="27" t="s">
        <v>7</v>
      </c>
      <c r="BW187" s="27" t="s">
        <v>8</v>
      </c>
      <c r="BX187" s="27" t="s">
        <v>7</v>
      </c>
    </row>
    <row r="188" spans="1:110" x14ac:dyDescent="0.25">
      <c r="A188" s="30">
        <v>12.64280826379346</v>
      </c>
      <c r="E188"/>
      <c r="AU188" s="27" t="s">
        <v>8</v>
      </c>
      <c r="AV188" s="27" t="s">
        <v>7</v>
      </c>
      <c r="AW188" s="27" t="s">
        <v>8</v>
      </c>
      <c r="BL188" s="27" t="s">
        <v>7</v>
      </c>
      <c r="BN188" s="27" t="s">
        <v>7</v>
      </c>
      <c r="BP188" s="27" t="s">
        <v>7</v>
      </c>
      <c r="BQ188" s="27" t="s">
        <v>8</v>
      </c>
      <c r="BT188" s="27" t="s">
        <v>7</v>
      </c>
      <c r="BV188" s="27" t="s">
        <v>7</v>
      </c>
      <c r="BW188" s="27" t="s">
        <v>8</v>
      </c>
      <c r="BX188" s="27" t="s">
        <v>7</v>
      </c>
      <c r="DE188" s="27" t="s">
        <v>8</v>
      </c>
    </row>
    <row r="189" spans="1:110" x14ac:dyDescent="0.25">
      <c r="A189" s="30">
        <v>12.04076977504139</v>
      </c>
      <c r="E189"/>
      <c r="AU189" s="27" t="s">
        <v>8</v>
      </c>
      <c r="AV189" s="27" t="s">
        <v>7</v>
      </c>
      <c r="AW189" s="27" t="s">
        <v>8</v>
      </c>
      <c r="BP189" s="27" t="s">
        <v>7</v>
      </c>
      <c r="BQ189" s="27" t="s">
        <v>8</v>
      </c>
      <c r="BV189" s="27" t="s">
        <v>7</v>
      </c>
      <c r="BX189" s="27" t="s">
        <v>7</v>
      </c>
      <c r="DC189" s="27" t="s">
        <v>8</v>
      </c>
      <c r="DE189" s="27" t="s">
        <v>8</v>
      </c>
      <c r="DF189" s="27" t="s">
        <v>7</v>
      </c>
    </row>
    <row r="190" spans="1:110" x14ac:dyDescent="0.25">
      <c r="A190" s="30">
        <v>11.467399785753704</v>
      </c>
      <c r="E190"/>
      <c r="AU190" s="27" t="s">
        <v>8</v>
      </c>
      <c r="AV190" s="27" t="s">
        <v>7</v>
      </c>
      <c r="AW190" s="27" t="s">
        <v>8</v>
      </c>
      <c r="BP190" s="27" t="s">
        <v>7</v>
      </c>
      <c r="BQ190" s="27" t="s">
        <v>8</v>
      </c>
      <c r="BX190" s="27" t="s">
        <v>7</v>
      </c>
      <c r="CS190" s="27" t="s">
        <v>8</v>
      </c>
      <c r="DC190" s="27" t="s">
        <v>8</v>
      </c>
      <c r="DD190" s="27" t="s">
        <v>7</v>
      </c>
      <c r="DE190" s="27" t="s">
        <v>8</v>
      </c>
      <c r="DF190" s="27" t="s">
        <v>7</v>
      </c>
    </row>
    <row r="191" spans="1:110" x14ac:dyDescent="0.25">
      <c r="A191" s="30">
        <v>10.921333129289241</v>
      </c>
      <c r="E191"/>
      <c r="AU191" s="27" t="s">
        <v>8</v>
      </c>
      <c r="AV191" s="27" t="s">
        <v>7</v>
      </c>
      <c r="AW191" s="27" t="s">
        <v>8</v>
      </c>
      <c r="BP191" s="27" t="s">
        <v>7</v>
      </c>
      <c r="BQ191" s="27" t="s">
        <v>8</v>
      </c>
      <c r="BX191" s="27" t="s">
        <v>7</v>
      </c>
      <c r="CS191" s="27" t="s">
        <v>8</v>
      </c>
      <c r="CT191" s="27" t="s">
        <v>7</v>
      </c>
      <c r="DC191" s="27" t="s">
        <v>8</v>
      </c>
      <c r="DD191" s="27" t="s">
        <v>7</v>
      </c>
      <c r="DE191" s="27" t="s">
        <v>8</v>
      </c>
      <c r="DF191" s="27" t="s">
        <v>7</v>
      </c>
    </row>
    <row r="192" spans="1:110" x14ac:dyDescent="0.25">
      <c r="A192" s="30">
        <v>10.401269646942135</v>
      </c>
      <c r="E192"/>
      <c r="AU192" s="27" t="s">
        <v>8</v>
      </c>
      <c r="AV192" s="27" t="s">
        <v>7</v>
      </c>
      <c r="BP192" s="27" t="s">
        <v>7</v>
      </c>
      <c r="BX192" s="27" t="s">
        <v>7</v>
      </c>
      <c r="CS192" s="27" t="s">
        <v>8</v>
      </c>
      <c r="CT192" s="27" t="s">
        <v>7</v>
      </c>
      <c r="CU192" s="27" t="s">
        <v>8</v>
      </c>
      <c r="CY192" s="27" t="s">
        <v>8</v>
      </c>
      <c r="DC192" s="27" t="s">
        <v>8</v>
      </c>
      <c r="DD192" s="27" t="s">
        <v>7</v>
      </c>
      <c r="DF192" s="27" t="s">
        <v>7</v>
      </c>
    </row>
    <row r="193" spans="1:130" x14ac:dyDescent="0.25">
      <c r="A193" s="30">
        <v>9.9059710923258422</v>
      </c>
      <c r="E193"/>
      <c r="AU193" s="27" t="s">
        <v>8</v>
      </c>
      <c r="BX193" s="27" t="s">
        <v>7</v>
      </c>
      <c r="CK193" s="31" t="s">
        <v>8</v>
      </c>
      <c r="CS193" s="27" t="s">
        <v>8</v>
      </c>
      <c r="CT193" s="27" t="s">
        <v>7</v>
      </c>
      <c r="CU193" s="27" t="s">
        <v>8</v>
      </c>
      <c r="CV193" s="27" t="s">
        <v>7</v>
      </c>
      <c r="CY193" s="27" t="s">
        <v>8</v>
      </c>
      <c r="CZ193" s="27" t="s">
        <v>7</v>
      </c>
      <c r="DA193" s="27" t="s">
        <v>8</v>
      </c>
      <c r="DC193" s="27" t="s">
        <v>8</v>
      </c>
      <c r="DF193" s="27" t="s">
        <v>7</v>
      </c>
    </row>
    <row r="194" spans="1:130" x14ac:dyDescent="0.25">
      <c r="A194" s="30">
        <v>9.4342581831674686</v>
      </c>
      <c r="E194"/>
      <c r="AS194" s="27" t="s">
        <v>8</v>
      </c>
      <c r="AU194" s="27" t="s">
        <v>8</v>
      </c>
      <c r="BX194" s="27" t="s">
        <v>7</v>
      </c>
      <c r="BY194" s="27" t="s">
        <v>8</v>
      </c>
      <c r="CE194" s="27" t="s">
        <v>8</v>
      </c>
      <c r="CK194" s="27" t="s">
        <v>8</v>
      </c>
      <c r="CL194" s="31" t="s">
        <v>7</v>
      </c>
      <c r="CS194" s="27" t="s">
        <v>8</v>
      </c>
      <c r="CT194" s="27" t="s">
        <v>7</v>
      </c>
      <c r="CU194" s="27" t="s">
        <v>8</v>
      </c>
      <c r="CV194" s="27" t="s">
        <v>7</v>
      </c>
      <c r="CW194" s="27" t="s">
        <v>8</v>
      </c>
      <c r="CY194" s="27" t="s">
        <v>8</v>
      </c>
      <c r="CZ194" s="27" t="s">
        <v>7</v>
      </c>
      <c r="DA194" s="27" t="s">
        <v>8</v>
      </c>
      <c r="DB194" s="27" t="s">
        <v>7</v>
      </c>
      <c r="DC194" s="27" t="s">
        <v>8</v>
      </c>
      <c r="DF194" s="27" t="s">
        <v>7</v>
      </c>
      <c r="DG194" s="27" t="s">
        <v>8</v>
      </c>
      <c r="DI194" s="27" t="s">
        <v>8</v>
      </c>
      <c r="DM194" s="27" t="s">
        <v>8</v>
      </c>
    </row>
    <row r="195" spans="1:130" x14ac:dyDescent="0.25">
      <c r="A195" s="30">
        <v>8.9850077934928265</v>
      </c>
      <c r="E195"/>
      <c r="AS195" s="27" t="s">
        <v>8</v>
      </c>
      <c r="AT195" s="27" t="s">
        <v>7</v>
      </c>
      <c r="AU195" s="27" t="s">
        <v>8</v>
      </c>
      <c r="BX195" s="27" t="s">
        <v>7</v>
      </c>
      <c r="BY195" s="27" t="s">
        <v>8</v>
      </c>
      <c r="BZ195" s="27" t="s">
        <v>7</v>
      </c>
      <c r="CE195" s="27" t="s">
        <v>8</v>
      </c>
      <c r="CF195" s="27" t="s">
        <v>7</v>
      </c>
      <c r="CK195" s="27" t="s">
        <v>8</v>
      </c>
      <c r="CL195" s="27" t="s">
        <v>7</v>
      </c>
      <c r="CM195" s="31"/>
      <c r="CS195" s="27" t="s">
        <v>8</v>
      </c>
      <c r="CT195" s="27" t="s">
        <v>7</v>
      </c>
      <c r="CU195" s="27" t="s">
        <v>8</v>
      </c>
      <c r="CV195" s="27" t="s">
        <v>7</v>
      </c>
      <c r="CW195" s="27" t="s">
        <v>8</v>
      </c>
      <c r="CX195" s="27" t="s">
        <v>7</v>
      </c>
      <c r="CY195" s="27" t="s">
        <v>8</v>
      </c>
      <c r="CZ195" s="27" t="s">
        <v>7</v>
      </c>
      <c r="DA195" s="27" t="s">
        <v>8</v>
      </c>
      <c r="DB195" s="27" t="s">
        <v>7</v>
      </c>
      <c r="DC195" s="27" t="s">
        <v>8</v>
      </c>
      <c r="DF195" s="27" t="s">
        <v>7</v>
      </c>
      <c r="DG195" s="27" t="s">
        <v>8</v>
      </c>
      <c r="DH195" s="27" t="s">
        <v>7</v>
      </c>
      <c r="DI195" s="27" t="s">
        <v>8</v>
      </c>
      <c r="DJ195" s="27" t="s">
        <v>7</v>
      </c>
      <c r="DK195" s="27" t="s">
        <v>8</v>
      </c>
      <c r="DM195" s="27" t="s">
        <v>8</v>
      </c>
      <c r="DN195" s="27" t="s">
        <v>7</v>
      </c>
    </row>
    <row r="196" spans="1:130" x14ac:dyDescent="0.25">
      <c r="A196" s="30">
        <v>8.5571502795169767</v>
      </c>
      <c r="E196"/>
      <c r="AS196" s="27" t="s">
        <v>8</v>
      </c>
      <c r="AT196" s="27" t="s">
        <v>7</v>
      </c>
      <c r="AU196" s="27" t="s">
        <v>8</v>
      </c>
      <c r="BX196" s="27" t="s">
        <v>7</v>
      </c>
      <c r="BY196" s="27" t="s">
        <v>8</v>
      </c>
      <c r="BZ196" s="27" t="s">
        <v>7</v>
      </c>
      <c r="CE196" s="27" t="s">
        <v>8</v>
      </c>
      <c r="CF196" s="27" t="s">
        <v>7</v>
      </c>
      <c r="CK196" s="27" t="s">
        <v>8</v>
      </c>
      <c r="CL196" s="27" t="s">
        <v>7</v>
      </c>
      <c r="CN196" s="31"/>
      <c r="CS196" s="27" t="s">
        <v>8</v>
      </c>
      <c r="CT196" s="27" t="s">
        <v>7</v>
      </c>
      <c r="CU196" s="27" t="s">
        <v>8</v>
      </c>
      <c r="CV196" s="27" t="s">
        <v>7</v>
      </c>
      <c r="CW196" s="27" t="s">
        <v>8</v>
      </c>
      <c r="CX196" s="27" t="s">
        <v>7</v>
      </c>
      <c r="CY196" s="27" t="s">
        <v>8</v>
      </c>
      <c r="CZ196" s="27" t="s">
        <v>7</v>
      </c>
      <c r="DA196" s="27" t="s">
        <v>8</v>
      </c>
      <c r="DB196" s="27" t="s">
        <v>7</v>
      </c>
      <c r="DF196" s="27" t="s">
        <v>7</v>
      </c>
      <c r="DG196" s="27" t="s">
        <v>8</v>
      </c>
      <c r="DH196" s="27" t="s">
        <v>7</v>
      </c>
      <c r="DI196" s="27" t="s">
        <v>8</v>
      </c>
      <c r="DJ196" s="27" t="s">
        <v>7</v>
      </c>
      <c r="DK196" s="27" t="s">
        <v>8</v>
      </c>
      <c r="DL196" s="27" t="s">
        <v>7</v>
      </c>
      <c r="DM196" s="27" t="s">
        <v>8</v>
      </c>
      <c r="DN196" s="27" t="s">
        <v>7</v>
      </c>
      <c r="DO196" s="27" t="s">
        <v>8</v>
      </c>
      <c r="DQ196" s="27" t="s">
        <v>8</v>
      </c>
    </row>
    <row r="197" spans="1:130" x14ac:dyDescent="0.25">
      <c r="A197" s="30">
        <v>8.1496669328733109</v>
      </c>
      <c r="E197"/>
      <c r="AS197" s="27" t="s">
        <v>8</v>
      </c>
      <c r="AT197" s="27" t="s">
        <v>7</v>
      </c>
      <c r="AU197" s="27" t="s">
        <v>8</v>
      </c>
      <c r="BX197" s="27" t="s">
        <v>7</v>
      </c>
      <c r="BY197" s="27" t="s">
        <v>8</v>
      </c>
      <c r="BZ197" s="27" t="s">
        <v>7</v>
      </c>
      <c r="CA197" s="27" t="s">
        <v>8</v>
      </c>
      <c r="CC197" s="27" t="s">
        <v>8</v>
      </c>
      <c r="CE197" s="27" t="s">
        <v>8</v>
      </c>
      <c r="CF197" s="27" t="s">
        <v>7</v>
      </c>
      <c r="CG197" s="27" t="s">
        <v>8</v>
      </c>
      <c r="CI197" s="27" t="s">
        <v>8</v>
      </c>
      <c r="CK197" s="27" t="s">
        <v>8</v>
      </c>
      <c r="CL197" s="27" t="s">
        <v>7</v>
      </c>
      <c r="CO197" s="31"/>
      <c r="CS197" s="27" t="s">
        <v>8</v>
      </c>
      <c r="CT197" s="27" t="s">
        <v>7</v>
      </c>
      <c r="CV197" s="27" t="s">
        <v>7</v>
      </c>
      <c r="CX197" s="27" t="s">
        <v>7</v>
      </c>
      <c r="CZ197" s="27" t="s">
        <v>7</v>
      </c>
      <c r="DA197" s="27" t="s">
        <v>8</v>
      </c>
      <c r="DF197" s="27" t="s">
        <v>7</v>
      </c>
      <c r="DG197" s="27" t="s">
        <v>8</v>
      </c>
      <c r="DH197" s="27" t="s">
        <v>7</v>
      </c>
      <c r="DI197" s="27" t="s">
        <v>8</v>
      </c>
      <c r="DJ197" s="27" t="s">
        <v>7</v>
      </c>
      <c r="DK197" s="27" t="s">
        <v>8</v>
      </c>
      <c r="DL197" s="27" t="s">
        <v>7</v>
      </c>
      <c r="DM197" s="27" t="s">
        <v>8</v>
      </c>
      <c r="DN197" s="27" t="s">
        <v>7</v>
      </c>
      <c r="DO197" s="27" t="s">
        <v>8</v>
      </c>
      <c r="DP197" s="27" t="s">
        <v>7</v>
      </c>
      <c r="DQ197" s="27" t="s">
        <v>8</v>
      </c>
      <c r="DR197" s="27" t="s">
        <v>7</v>
      </c>
    </row>
    <row r="198" spans="1:130" x14ac:dyDescent="0.25">
      <c r="A198" s="30">
        <v>7.7615875551174378</v>
      </c>
      <c r="E198"/>
      <c r="AS198" s="27" t="s">
        <v>8</v>
      </c>
      <c r="AT198" s="27" t="s">
        <v>7</v>
      </c>
      <c r="AU198" s="27" t="s">
        <v>8</v>
      </c>
      <c r="BX198" s="27" t="s">
        <v>7</v>
      </c>
      <c r="BY198" s="27" t="s">
        <v>8</v>
      </c>
      <c r="BZ198" s="27" t="s">
        <v>7</v>
      </c>
      <c r="CA198" s="27" t="s">
        <v>8</v>
      </c>
      <c r="CB198" s="27" t="s">
        <v>7</v>
      </c>
      <c r="CC198" s="27" t="s">
        <v>8</v>
      </c>
      <c r="CD198" s="27" t="s">
        <v>7</v>
      </c>
      <c r="CE198" s="27" t="s">
        <v>8</v>
      </c>
      <c r="CF198" s="27" t="s">
        <v>7</v>
      </c>
      <c r="CG198" s="27" t="s">
        <v>8</v>
      </c>
      <c r="CH198" s="27" t="s">
        <v>7</v>
      </c>
      <c r="CI198" s="27" t="s">
        <v>8</v>
      </c>
      <c r="CJ198" s="27" t="s">
        <v>7</v>
      </c>
      <c r="CK198" s="27" t="s">
        <v>8</v>
      </c>
      <c r="CL198" s="27" t="s">
        <v>7</v>
      </c>
      <c r="CP198" s="31"/>
      <c r="CS198" s="27" t="s">
        <v>8</v>
      </c>
      <c r="CZ198" s="27" t="s">
        <v>7</v>
      </c>
      <c r="DA198" s="27" t="s">
        <v>8</v>
      </c>
      <c r="DF198" s="27" t="s">
        <v>7</v>
      </c>
      <c r="DH198" s="27" t="s">
        <v>7</v>
      </c>
      <c r="DI198" s="27" t="s">
        <v>8</v>
      </c>
      <c r="DJ198" s="27" t="s">
        <v>7</v>
      </c>
      <c r="DK198" s="27" t="s">
        <v>8</v>
      </c>
      <c r="DL198" s="27" t="s">
        <v>7</v>
      </c>
      <c r="DM198" s="27" t="s">
        <v>8</v>
      </c>
      <c r="DN198" s="27" t="s">
        <v>7</v>
      </c>
      <c r="DO198" s="27" t="s">
        <v>8</v>
      </c>
      <c r="DP198" s="27" t="s">
        <v>7</v>
      </c>
      <c r="DQ198" s="27" t="s">
        <v>8</v>
      </c>
      <c r="DR198" s="27" t="s">
        <v>7</v>
      </c>
    </row>
    <row r="199" spans="1:130" x14ac:dyDescent="0.25">
      <c r="A199" s="30">
        <v>7.3919881477308929</v>
      </c>
      <c r="E199"/>
      <c r="AS199" s="27" t="s">
        <v>8</v>
      </c>
      <c r="AT199" s="27" t="s">
        <v>7</v>
      </c>
      <c r="AU199" s="27" t="s">
        <v>8</v>
      </c>
      <c r="BX199" s="27" t="s">
        <v>7</v>
      </c>
      <c r="BY199" s="27" t="s">
        <v>8</v>
      </c>
      <c r="BZ199" s="27" t="s">
        <v>7</v>
      </c>
      <c r="CA199" s="27" t="s">
        <v>8</v>
      </c>
      <c r="CB199" s="27" t="s">
        <v>7</v>
      </c>
      <c r="CC199" s="27" t="s">
        <v>8</v>
      </c>
      <c r="CD199" s="27" t="s">
        <v>7</v>
      </c>
      <c r="CE199" s="27" t="s">
        <v>8</v>
      </c>
      <c r="CF199" s="27" t="s">
        <v>7</v>
      </c>
      <c r="CG199" s="27" t="s">
        <v>8</v>
      </c>
      <c r="CH199" s="27" t="s">
        <v>7</v>
      </c>
      <c r="CI199" s="27" t="s">
        <v>8</v>
      </c>
      <c r="CJ199" s="27" t="s">
        <v>7</v>
      </c>
      <c r="CK199" s="27" t="s">
        <v>8</v>
      </c>
      <c r="CL199" s="27" t="s">
        <v>7</v>
      </c>
      <c r="CQ199" s="31"/>
      <c r="CS199" s="27" t="s">
        <v>8</v>
      </c>
      <c r="CZ199" s="27" t="s">
        <v>7</v>
      </c>
      <c r="DH199" s="27" t="s">
        <v>7</v>
      </c>
      <c r="DJ199" s="27" t="s">
        <v>7</v>
      </c>
      <c r="DL199" s="27" t="s">
        <v>7</v>
      </c>
      <c r="DN199" s="27" t="s">
        <v>7</v>
      </c>
      <c r="DO199" s="27" t="s">
        <v>8</v>
      </c>
      <c r="DP199" s="27" t="s">
        <v>7</v>
      </c>
      <c r="DQ199" s="27" t="s">
        <v>8</v>
      </c>
      <c r="DR199" s="27" t="s">
        <v>7</v>
      </c>
    </row>
    <row r="200" spans="1:130" x14ac:dyDescent="0.25">
      <c r="A200" s="30">
        <v>7.0399887121246598</v>
      </c>
      <c r="E200"/>
      <c r="AQ200" s="27" t="s">
        <v>8</v>
      </c>
      <c r="AS200" s="27" t="s">
        <v>8</v>
      </c>
      <c r="AT200" s="27" t="s">
        <v>7</v>
      </c>
      <c r="BX200" s="27" t="s">
        <v>7</v>
      </c>
      <c r="BY200" s="27" t="s">
        <v>8</v>
      </c>
      <c r="BZ200" s="27" t="s">
        <v>7</v>
      </c>
      <c r="CA200" s="27" t="s">
        <v>8</v>
      </c>
      <c r="CB200" s="27" t="s">
        <v>7</v>
      </c>
      <c r="CC200" s="27" t="s">
        <v>8</v>
      </c>
      <c r="CD200" s="27" t="s">
        <v>7</v>
      </c>
      <c r="CF200" s="27" t="s">
        <v>7</v>
      </c>
      <c r="CG200" s="27" t="s">
        <v>8</v>
      </c>
      <c r="CH200" s="27" t="s">
        <v>7</v>
      </c>
      <c r="CI200" s="27" t="s">
        <v>8</v>
      </c>
      <c r="CJ200" s="27" t="s">
        <v>7</v>
      </c>
      <c r="CK200" s="27" t="s">
        <v>8</v>
      </c>
      <c r="CL200" s="27" t="s">
        <v>7</v>
      </c>
      <c r="CR200" s="31"/>
      <c r="CS200" s="27" t="s">
        <v>8</v>
      </c>
      <c r="DN200" s="27" t="s">
        <v>7</v>
      </c>
      <c r="DO200" s="27" t="s">
        <v>8</v>
      </c>
      <c r="DP200" s="27" t="s">
        <v>7</v>
      </c>
      <c r="DR200" s="27" t="s">
        <v>7</v>
      </c>
      <c r="DW200" s="27" t="s">
        <v>8</v>
      </c>
    </row>
    <row r="201" spans="1:130" x14ac:dyDescent="0.25">
      <c r="A201" s="30">
        <v>6.7047511544044376</v>
      </c>
      <c r="E201"/>
      <c r="AQ201" s="27" t="s">
        <v>8</v>
      </c>
      <c r="AR201" s="27" t="s">
        <v>7</v>
      </c>
      <c r="AS201" s="27" t="s">
        <v>8</v>
      </c>
      <c r="BX201" s="27" t="s">
        <v>7</v>
      </c>
      <c r="BY201" s="27" t="s">
        <v>8</v>
      </c>
      <c r="BZ201" s="27" t="s">
        <v>7</v>
      </c>
      <c r="CB201" s="27" t="s">
        <v>7</v>
      </c>
      <c r="CC201" s="27" t="s">
        <v>8</v>
      </c>
      <c r="CF201" s="27" t="s">
        <v>7</v>
      </c>
      <c r="CG201" s="27" t="s">
        <v>8</v>
      </c>
      <c r="CH201" s="27" t="s">
        <v>7</v>
      </c>
      <c r="CI201" s="27" t="s">
        <v>8</v>
      </c>
      <c r="CJ201" s="27" t="s">
        <v>7</v>
      </c>
      <c r="CL201" s="27" t="s">
        <v>7</v>
      </c>
      <c r="CS201" s="31" t="s">
        <v>8</v>
      </c>
      <c r="DN201" s="27" t="s">
        <v>7</v>
      </c>
      <c r="DR201" s="27" t="s">
        <v>7</v>
      </c>
      <c r="DW201" s="27" t="s">
        <v>8</v>
      </c>
      <c r="DX201" s="27" t="s">
        <v>7</v>
      </c>
    </row>
    <row r="202" spans="1:130" x14ac:dyDescent="0.25">
      <c r="A202" s="30">
        <v>6.3854772899089882</v>
      </c>
      <c r="E202"/>
      <c r="AQ202" s="27" t="s">
        <v>8</v>
      </c>
      <c r="AR202" s="27" t="s">
        <v>7</v>
      </c>
      <c r="AS202" s="27" t="s">
        <v>8</v>
      </c>
      <c r="BX202" s="27" t="s">
        <v>7</v>
      </c>
      <c r="BY202" s="27" t="s">
        <v>8</v>
      </c>
      <c r="CB202" s="27" t="s">
        <v>7</v>
      </c>
      <c r="CC202" s="27" t="s">
        <v>8</v>
      </c>
      <c r="CF202" s="27" t="s">
        <v>7</v>
      </c>
      <c r="CH202" s="27" t="s">
        <v>7</v>
      </c>
      <c r="CI202" s="27" t="s">
        <v>8</v>
      </c>
      <c r="CL202" s="27" t="s">
        <v>7</v>
      </c>
      <c r="CM202" s="27" t="s">
        <v>8</v>
      </c>
      <c r="CS202" s="27" t="s">
        <v>8</v>
      </c>
      <c r="CT202" s="31"/>
      <c r="DR202" s="27" t="s">
        <v>7</v>
      </c>
      <c r="DU202" s="27" t="s">
        <v>8</v>
      </c>
      <c r="DW202" s="27" t="s">
        <v>8</v>
      </c>
      <c r="DX202" s="27" t="s">
        <v>7</v>
      </c>
    </row>
    <row r="203" spans="1:130" x14ac:dyDescent="0.25">
      <c r="A203" s="30">
        <v>6.0814069427704647</v>
      </c>
      <c r="C203" s="7"/>
      <c r="D203"/>
      <c r="E203"/>
      <c r="AQ203" s="27" t="s">
        <v>8</v>
      </c>
      <c r="AR203" s="27" t="s">
        <v>7</v>
      </c>
      <c r="AS203" s="27" t="s">
        <v>8</v>
      </c>
      <c r="BX203" s="27" t="s">
        <v>7</v>
      </c>
      <c r="BY203" s="27" t="s">
        <v>8</v>
      </c>
      <c r="CB203" s="27" t="s">
        <v>7</v>
      </c>
      <c r="CC203" s="27" t="s">
        <v>8</v>
      </c>
      <c r="CH203" s="27" t="s">
        <v>7</v>
      </c>
      <c r="CI203" s="27" t="s">
        <v>8</v>
      </c>
      <c r="CL203" s="27" t="s">
        <v>7</v>
      </c>
      <c r="CM203" s="27" t="s">
        <v>8</v>
      </c>
      <c r="CN203" s="27" t="s">
        <v>7</v>
      </c>
      <c r="CO203" s="27" t="s">
        <v>8</v>
      </c>
      <c r="CQ203" s="27" t="s">
        <v>8</v>
      </c>
      <c r="CS203" s="27" t="s">
        <v>8</v>
      </c>
      <c r="DR203" s="27" t="s">
        <v>7</v>
      </c>
      <c r="DS203" s="27" t="s">
        <v>8</v>
      </c>
      <c r="DU203" s="27" t="s">
        <v>8</v>
      </c>
      <c r="DV203" s="27" t="s">
        <v>7</v>
      </c>
      <c r="DW203" s="27" t="s">
        <v>8</v>
      </c>
      <c r="DX203" s="27" t="s">
        <v>7</v>
      </c>
    </row>
    <row r="204" spans="1:130" x14ac:dyDescent="0.25">
      <c r="A204" s="30">
        <v>5.7918161359718709</v>
      </c>
      <c r="E204"/>
      <c r="AQ204" s="27" t="s">
        <v>8</v>
      </c>
      <c r="AR204" s="27" t="s">
        <v>7</v>
      </c>
      <c r="AS204" s="27" t="s">
        <v>8</v>
      </c>
      <c r="BX204" s="27" t="s">
        <v>7</v>
      </c>
      <c r="BY204" s="27" t="s">
        <v>8</v>
      </c>
      <c r="CB204" s="27" t="s">
        <v>7</v>
      </c>
      <c r="CC204" s="27" t="s">
        <v>8</v>
      </c>
      <c r="CH204" s="27" t="s">
        <v>7</v>
      </c>
      <c r="CL204" s="27" t="s">
        <v>7</v>
      </c>
      <c r="CM204" s="27" t="s">
        <v>8</v>
      </c>
      <c r="CN204" s="27" t="s">
        <v>7</v>
      </c>
      <c r="CO204" s="27" t="s">
        <v>8</v>
      </c>
      <c r="CP204" s="27" t="s">
        <v>7</v>
      </c>
      <c r="CQ204" s="27" t="s">
        <v>8</v>
      </c>
      <c r="CR204" s="27" t="s">
        <v>7</v>
      </c>
      <c r="CS204" s="27" t="s">
        <v>8</v>
      </c>
      <c r="DR204" s="27" t="s">
        <v>7</v>
      </c>
      <c r="DS204" s="27" t="s">
        <v>8</v>
      </c>
      <c r="DT204" s="27" t="s">
        <v>7</v>
      </c>
      <c r="DU204" s="27" t="s">
        <v>8</v>
      </c>
      <c r="DV204" s="27" t="s">
        <v>7</v>
      </c>
      <c r="DW204" s="27" t="s">
        <v>8</v>
      </c>
      <c r="DX204" s="27" t="s">
        <v>7</v>
      </c>
    </row>
    <row r="205" spans="1:130" x14ac:dyDescent="0.25">
      <c r="A205" s="30">
        <v>5.5160153675922574</v>
      </c>
      <c r="E205"/>
      <c r="AQ205" s="27" t="s">
        <v>8</v>
      </c>
      <c r="AR205" s="27" t="s">
        <v>7</v>
      </c>
      <c r="BX205" s="27" t="s">
        <v>7</v>
      </c>
      <c r="BY205" s="27" t="s">
        <v>8</v>
      </c>
      <c r="CB205" s="27" t="s">
        <v>7</v>
      </c>
      <c r="CL205" s="27" t="s">
        <v>7</v>
      </c>
      <c r="CM205" s="27" t="s">
        <v>8</v>
      </c>
      <c r="CN205" s="27" t="s">
        <v>7</v>
      </c>
      <c r="CO205" s="27" t="s">
        <v>8</v>
      </c>
      <c r="CP205" s="27" t="s">
        <v>7</v>
      </c>
      <c r="CQ205" s="27" t="s">
        <v>8</v>
      </c>
      <c r="CR205" s="27" t="s">
        <v>7</v>
      </c>
      <c r="CS205" s="27" t="s">
        <v>8</v>
      </c>
      <c r="DR205" s="27" t="s">
        <v>7</v>
      </c>
      <c r="DS205" s="27" t="s">
        <v>8</v>
      </c>
      <c r="DT205" s="27" t="s">
        <v>7</v>
      </c>
      <c r="DU205" s="27" t="s">
        <v>8</v>
      </c>
      <c r="DV205" s="27" t="s">
        <v>7</v>
      </c>
      <c r="DW205" s="27" t="s">
        <v>8</v>
      </c>
      <c r="DX205" s="27" t="s">
        <v>7</v>
      </c>
    </row>
    <row r="206" spans="1:130" x14ac:dyDescent="0.25">
      <c r="A206" s="30">
        <v>5.2533479691354827</v>
      </c>
      <c r="C206"/>
      <c r="D206"/>
      <c r="E206"/>
      <c r="AO206" s="27" t="s">
        <v>8</v>
      </c>
      <c r="AQ206" s="27" t="s">
        <v>8</v>
      </c>
      <c r="BX206" s="27" t="s">
        <v>7</v>
      </c>
      <c r="BY206" s="27" t="s">
        <v>8</v>
      </c>
      <c r="CL206" s="27" t="s">
        <v>7</v>
      </c>
      <c r="CM206" s="27" t="s">
        <v>8</v>
      </c>
      <c r="CN206" s="27" t="s">
        <v>7</v>
      </c>
      <c r="CO206" s="27" t="s">
        <v>8</v>
      </c>
      <c r="CP206" s="27" t="s">
        <v>7</v>
      </c>
      <c r="CR206" s="27" t="s">
        <v>7</v>
      </c>
      <c r="CS206" s="27" t="s">
        <v>8</v>
      </c>
      <c r="DR206" s="27" t="s">
        <v>7</v>
      </c>
      <c r="DS206" s="27" t="s">
        <v>8</v>
      </c>
      <c r="DT206" s="27" t="s">
        <v>7</v>
      </c>
      <c r="DU206" s="27" t="s">
        <v>8</v>
      </c>
      <c r="DV206" s="27" t="s">
        <v>7</v>
      </c>
      <c r="DX206" s="27" t="s">
        <v>7</v>
      </c>
      <c r="DY206" s="27" t="s">
        <v>8</v>
      </c>
    </row>
    <row r="207" spans="1:130" x14ac:dyDescent="0.25">
      <c r="A207" s="30">
        <v>5.0031885420337927</v>
      </c>
      <c r="E207"/>
      <c r="AO207" s="27" t="s">
        <v>8</v>
      </c>
      <c r="AP207" s="27" t="s">
        <v>7</v>
      </c>
      <c r="AQ207" s="27" t="s">
        <v>8</v>
      </c>
      <c r="BX207" s="27" t="s">
        <v>7</v>
      </c>
      <c r="CL207" s="27" t="s">
        <v>7</v>
      </c>
      <c r="CN207" s="27" t="s">
        <v>7</v>
      </c>
      <c r="CO207" s="27" t="s">
        <v>8</v>
      </c>
      <c r="CR207" s="27" t="s">
        <v>7</v>
      </c>
      <c r="CS207" s="27" t="s">
        <v>8</v>
      </c>
      <c r="DR207" s="27" t="s">
        <v>7</v>
      </c>
      <c r="DT207" s="27" t="s">
        <v>7</v>
      </c>
      <c r="DU207" s="27" t="s">
        <v>8</v>
      </c>
      <c r="DX207" s="27" t="s">
        <v>7</v>
      </c>
      <c r="DY207" s="27" t="s">
        <v>8</v>
      </c>
      <c r="DZ207" s="27" t="s">
        <v>7</v>
      </c>
    </row>
    <row r="208" spans="1:130" x14ac:dyDescent="0.25">
      <c r="A208" s="30">
        <v>4.7649414686036122</v>
      </c>
      <c r="E208"/>
      <c r="AO208" s="27" t="s">
        <v>8</v>
      </c>
      <c r="AP208" s="27" t="s">
        <v>7</v>
      </c>
      <c r="AQ208" s="27" t="s">
        <v>8</v>
      </c>
      <c r="CN208" s="27" t="s">
        <v>7</v>
      </c>
      <c r="CR208" s="27" t="s">
        <v>7</v>
      </c>
      <c r="CS208" s="27" t="s">
        <v>8</v>
      </c>
      <c r="DT208" s="27" t="s">
        <v>7</v>
      </c>
      <c r="DX208" s="27" t="s">
        <v>7</v>
      </c>
      <c r="DY208" s="27" t="s">
        <v>8</v>
      </c>
      <c r="DZ208" s="27" t="s">
        <v>7</v>
      </c>
    </row>
    <row r="209" spans="1:131" x14ac:dyDescent="0.25">
      <c r="A209" s="30">
        <v>4.5380394939082018</v>
      </c>
      <c r="E209"/>
      <c r="AO209" s="27" t="s">
        <v>8</v>
      </c>
      <c r="AP209" s="27" t="s">
        <v>7</v>
      </c>
      <c r="AQ209" s="27" t="s">
        <v>8</v>
      </c>
      <c r="CR209" s="27" t="s">
        <v>7</v>
      </c>
      <c r="CS209" s="27" t="s">
        <v>8</v>
      </c>
      <c r="DX209" s="27" t="s">
        <v>7</v>
      </c>
      <c r="DZ209" s="27" t="s">
        <v>7</v>
      </c>
    </row>
    <row r="210" spans="1:131" x14ac:dyDescent="0.25">
      <c r="A210" s="30">
        <v>4.3219423751506678</v>
      </c>
      <c r="C210"/>
      <c r="E210"/>
      <c r="AO210" s="27" t="s">
        <v>8</v>
      </c>
      <c r="AP210" s="27" t="s">
        <v>7</v>
      </c>
      <c r="AQ210" s="27" t="s">
        <v>8</v>
      </c>
      <c r="CR210" s="27" t="s">
        <v>7</v>
      </c>
      <c r="CS210" s="27" t="s">
        <v>8</v>
      </c>
      <c r="DZ210" s="27" t="s">
        <v>7</v>
      </c>
    </row>
    <row r="211" spans="1:131" x14ac:dyDescent="0.25">
      <c r="A211" s="30">
        <v>4.1161355953815884</v>
      </c>
      <c r="E211"/>
      <c r="U211" s="27" t="s">
        <v>8</v>
      </c>
      <c r="AO211" s="27" t="s">
        <v>8</v>
      </c>
      <c r="AP211" s="27" t="s">
        <v>7</v>
      </c>
      <c r="AQ211" s="27" t="s">
        <v>8</v>
      </c>
      <c r="CR211" s="27" t="s">
        <v>7</v>
      </c>
      <c r="CS211" s="27" t="s">
        <v>8</v>
      </c>
      <c r="DZ211" s="27" t="s">
        <v>7</v>
      </c>
      <c r="EA211" s="27" t="s">
        <v>8</v>
      </c>
    </row>
    <row r="212" spans="1:131" x14ac:dyDescent="0.25">
      <c r="A212" s="30">
        <v>3.9201291384586554</v>
      </c>
      <c r="E212"/>
      <c r="U212" s="27" t="s">
        <v>8</v>
      </c>
      <c r="V212" s="27" t="s">
        <v>7</v>
      </c>
      <c r="AO212" s="27" t="s">
        <v>8</v>
      </c>
      <c r="AP212" s="27" t="s">
        <v>7</v>
      </c>
      <c r="CR212" s="18" t="s">
        <v>7</v>
      </c>
      <c r="CS212" s="27" t="s">
        <v>8</v>
      </c>
      <c r="DZ212" s="27" t="s">
        <v>7</v>
      </c>
      <c r="EA212" s="27" t="s">
        <v>8</v>
      </c>
    </row>
    <row r="213" spans="1:131" x14ac:dyDescent="0.25">
      <c r="A213" s="30">
        <v>3.7334563223415764</v>
      </c>
      <c r="E213"/>
      <c r="U213" s="27" t="s">
        <v>8</v>
      </c>
      <c r="V213" s="27" t="s">
        <v>7</v>
      </c>
      <c r="AM213" s="27" t="s">
        <v>8</v>
      </c>
      <c r="AO213" s="27" t="s">
        <v>8</v>
      </c>
      <c r="CR213" s="27" t="s">
        <v>7</v>
      </c>
      <c r="DZ213" s="27" t="s">
        <v>7</v>
      </c>
      <c r="EA213" s="27" t="s">
        <v>8</v>
      </c>
    </row>
    <row r="214" spans="1:131" x14ac:dyDescent="0.25">
      <c r="A214" s="30">
        <v>3.5556726879443583</v>
      </c>
      <c r="E214"/>
      <c r="S214" s="27" t="s">
        <v>8</v>
      </c>
      <c r="U214" s="27" t="s">
        <v>8</v>
      </c>
      <c r="V214" s="27" t="s">
        <v>7</v>
      </c>
      <c r="AM214" s="27" t="s">
        <v>8</v>
      </c>
      <c r="AN214" s="27" t="s">
        <v>7</v>
      </c>
      <c r="AO214" s="27" t="s">
        <v>8</v>
      </c>
      <c r="DZ214" s="27" t="s">
        <v>7</v>
      </c>
      <c r="EA214" s="27" t="s">
        <v>8</v>
      </c>
    </row>
    <row r="215" spans="1:131" x14ac:dyDescent="0.25">
      <c r="A215" s="30">
        <v>3.3863549408993889</v>
      </c>
      <c r="E215"/>
      <c r="Q215" s="27" t="s">
        <v>8</v>
      </c>
      <c r="S215" s="27" t="s">
        <v>8</v>
      </c>
      <c r="T215" s="27" t="s">
        <v>7</v>
      </c>
      <c r="U215" s="27" t="s">
        <v>8</v>
      </c>
      <c r="V215" s="27" t="s">
        <v>7</v>
      </c>
      <c r="AM215" s="27" t="s">
        <v>8</v>
      </c>
      <c r="AN215" s="27" t="s">
        <v>7</v>
      </c>
      <c r="AO215" s="27" t="s">
        <v>8</v>
      </c>
      <c r="DZ215" s="27" t="s">
        <v>7</v>
      </c>
      <c r="EA215" s="27" t="s">
        <v>8</v>
      </c>
    </row>
    <row r="216" spans="1:131" x14ac:dyDescent="0.25">
      <c r="A216" s="30">
        <v>3.2250999437137038</v>
      </c>
      <c r="E216"/>
      <c r="Q216" s="27" t="s">
        <v>8</v>
      </c>
      <c r="R216" s="27" t="s">
        <v>7</v>
      </c>
      <c r="S216" s="27" t="s">
        <v>8</v>
      </c>
      <c r="T216" s="27" t="s">
        <v>7</v>
      </c>
      <c r="U216" s="27" t="s">
        <v>8</v>
      </c>
      <c r="V216" s="27" t="s">
        <v>7</v>
      </c>
      <c r="W216" s="27" t="s">
        <v>8</v>
      </c>
      <c r="AI216" s="27" t="s">
        <v>8</v>
      </c>
      <c r="AM216" s="27" t="s">
        <v>8</v>
      </c>
      <c r="AN216" s="27" t="s">
        <v>7</v>
      </c>
      <c r="DZ216" s="27" t="s">
        <v>7</v>
      </c>
      <c r="EA216" s="27" t="s">
        <v>8</v>
      </c>
    </row>
    <row r="217" spans="1:131" x14ac:dyDescent="0.25">
      <c r="A217" s="30">
        <v>3.0715237559178128</v>
      </c>
      <c r="E217"/>
      <c r="Q217" s="27" t="s">
        <v>8</v>
      </c>
      <c r="R217" s="27" t="s">
        <v>7</v>
      </c>
      <c r="S217" s="27" t="s">
        <v>8</v>
      </c>
      <c r="T217" s="27" t="s">
        <v>7</v>
      </c>
      <c r="U217" s="27" t="s">
        <v>8</v>
      </c>
      <c r="V217" s="27" t="s">
        <v>7</v>
      </c>
      <c r="W217" s="27" t="s">
        <v>8</v>
      </c>
      <c r="X217" s="27" t="s">
        <v>7</v>
      </c>
      <c r="AI217" s="27" t="s">
        <v>8</v>
      </c>
      <c r="AJ217" s="27" t="s">
        <v>7</v>
      </c>
      <c r="AK217" s="27" t="s">
        <v>8</v>
      </c>
      <c r="AM217" s="27" t="s">
        <v>8</v>
      </c>
      <c r="DZ217" s="27" t="s">
        <v>7</v>
      </c>
    </row>
    <row r="218" spans="1:131" x14ac:dyDescent="0.25">
      <c r="A218" s="30">
        <v>2.9252607199217264</v>
      </c>
      <c r="E218" t="s">
        <v>8</v>
      </c>
      <c r="Q218" s="27" t="s">
        <v>8</v>
      </c>
      <c r="R218" s="27" t="s">
        <v>7</v>
      </c>
      <c r="S218" s="27" t="s">
        <v>8</v>
      </c>
      <c r="T218" s="27" t="s">
        <v>7</v>
      </c>
      <c r="V218" s="27" t="s">
        <v>7</v>
      </c>
      <c r="W218" s="27" t="s">
        <v>8</v>
      </c>
      <c r="X218" s="27" t="s">
        <v>7</v>
      </c>
      <c r="AI218" s="27" t="s">
        <v>8</v>
      </c>
      <c r="AJ218" s="27" t="s">
        <v>7</v>
      </c>
      <c r="AK218" s="27" t="s">
        <v>8</v>
      </c>
      <c r="AL218" s="27" t="s">
        <v>7</v>
      </c>
      <c r="AM218" s="27" t="s">
        <v>8</v>
      </c>
    </row>
    <row r="219" spans="1:131" x14ac:dyDescent="0.25">
      <c r="A219" s="30">
        <v>2.7859625904016441</v>
      </c>
      <c r="E219" t="s">
        <v>8</v>
      </c>
      <c r="F219" s="27" t="s">
        <v>7</v>
      </c>
      <c r="Q219" s="27" t="s">
        <v>8</v>
      </c>
      <c r="R219" s="27" t="s">
        <v>7</v>
      </c>
      <c r="V219" s="27" t="s">
        <v>7</v>
      </c>
      <c r="W219" s="27" t="s">
        <v>8</v>
      </c>
      <c r="X219" s="27" t="s">
        <v>7</v>
      </c>
      <c r="Y219" s="27" t="s">
        <v>8</v>
      </c>
      <c r="AG219" s="27" t="s">
        <v>8</v>
      </c>
      <c r="AI219" s="27" t="s">
        <v>8</v>
      </c>
      <c r="AJ219" s="27" t="s">
        <v>7</v>
      </c>
      <c r="AK219" s="27" t="s">
        <v>8</v>
      </c>
      <c r="AL219" s="27" t="s">
        <v>7</v>
      </c>
      <c r="AM219" s="27" t="s">
        <v>8</v>
      </c>
    </row>
    <row r="220" spans="1:131" x14ac:dyDescent="0.25">
      <c r="A220" s="30">
        <v>2.6532977051444226</v>
      </c>
      <c r="E220" t="s">
        <v>8</v>
      </c>
      <c r="F220" s="27" t="s">
        <v>7</v>
      </c>
      <c r="Q220" s="27" t="s">
        <v>8</v>
      </c>
      <c r="V220" s="27" t="s">
        <v>7</v>
      </c>
      <c r="X220" s="27" t="s">
        <v>7</v>
      </c>
      <c r="Y220" s="27" t="s">
        <v>8</v>
      </c>
      <c r="Z220" s="27" t="s">
        <v>7</v>
      </c>
      <c r="AG220" s="27" t="s">
        <v>8</v>
      </c>
      <c r="AH220" s="27" t="s">
        <v>7</v>
      </c>
      <c r="AI220" s="27" t="s">
        <v>8</v>
      </c>
      <c r="AJ220" s="27" t="s">
        <v>7</v>
      </c>
      <c r="AK220" s="27" t="s">
        <v>8</v>
      </c>
      <c r="AL220" s="27" t="s">
        <v>7</v>
      </c>
    </row>
    <row r="221" spans="1:131" x14ac:dyDescent="0.25">
      <c r="A221" s="30">
        <v>2.5269501953756404</v>
      </c>
      <c r="E221" t="s">
        <v>8</v>
      </c>
      <c r="F221" s="27" t="s">
        <v>7</v>
      </c>
      <c r="Q221" s="27" t="s">
        <v>8</v>
      </c>
      <c r="X221" s="27" t="s">
        <v>7</v>
      </c>
      <c r="Y221" s="27" t="s">
        <v>8</v>
      </c>
      <c r="Z221" s="27" t="s">
        <v>7</v>
      </c>
      <c r="AA221" s="27" t="s">
        <v>8</v>
      </c>
      <c r="AG221" s="27" t="s">
        <v>8</v>
      </c>
      <c r="AH221" s="27" t="s">
        <v>7</v>
      </c>
      <c r="AI221" s="27" t="s">
        <v>8</v>
      </c>
      <c r="AJ221" s="27" t="s">
        <v>7</v>
      </c>
      <c r="AK221" s="27" t="s">
        <v>8</v>
      </c>
    </row>
    <row r="222" spans="1:131" x14ac:dyDescent="0.25">
      <c r="A222" s="30">
        <v>2.4066192336910861</v>
      </c>
      <c r="E222" t="s">
        <v>8</v>
      </c>
      <c r="F222" s="27" t="s">
        <v>7</v>
      </c>
      <c r="O222" s="27" t="s">
        <v>8</v>
      </c>
      <c r="Q222" s="27" t="s">
        <v>8</v>
      </c>
      <c r="X222" s="27" t="s">
        <v>7</v>
      </c>
      <c r="Z222" s="27" t="s">
        <v>7</v>
      </c>
      <c r="AA222" s="27" t="s">
        <v>8</v>
      </c>
      <c r="AB222" s="27" t="s">
        <v>7</v>
      </c>
      <c r="AC222" s="27" t="s">
        <v>8</v>
      </c>
      <c r="AE222" s="27" t="s">
        <v>8</v>
      </c>
      <c r="AG222" s="27" t="s">
        <v>8</v>
      </c>
      <c r="AH222" s="27" t="s">
        <v>7</v>
      </c>
      <c r="AI222" s="27" t="s">
        <v>8</v>
      </c>
      <c r="AJ222" s="27" t="s">
        <v>7</v>
      </c>
    </row>
    <row r="223" spans="1:131" x14ac:dyDescent="0.25">
      <c r="A223" s="30">
        <v>2.2920183178010345</v>
      </c>
      <c r="E223" t="s">
        <v>8</v>
      </c>
      <c r="F223" s="27" t="s">
        <v>7</v>
      </c>
      <c r="O223" s="27" t="s">
        <v>8</v>
      </c>
      <c r="P223" s="27" t="s">
        <v>7</v>
      </c>
      <c r="Q223" s="27" t="s">
        <v>8</v>
      </c>
      <c r="Z223" s="27" t="s">
        <v>7</v>
      </c>
      <c r="AA223" s="27" t="s">
        <v>8</v>
      </c>
      <c r="AB223" s="27" t="s">
        <v>7</v>
      </c>
      <c r="AC223" s="27" t="s">
        <v>8</v>
      </c>
      <c r="AD223" s="27" t="s">
        <v>7</v>
      </c>
      <c r="AE223" s="27" t="s">
        <v>8</v>
      </c>
      <c r="AF223" s="27" t="s">
        <v>7</v>
      </c>
      <c r="AG223" s="27" t="s">
        <v>8</v>
      </c>
      <c r="AH223" s="27" t="s">
        <v>7</v>
      </c>
      <c r="AI223" s="27" t="s">
        <v>8</v>
      </c>
    </row>
    <row r="224" spans="1:131" x14ac:dyDescent="0.25">
      <c r="A224" s="30">
        <v>2.1828745883819374</v>
      </c>
      <c r="E224" t="s">
        <v>8</v>
      </c>
      <c r="F224" s="27" t="s">
        <v>7</v>
      </c>
      <c r="I224" s="27" t="s">
        <v>8</v>
      </c>
      <c r="O224" s="27" t="s">
        <v>8</v>
      </c>
      <c r="P224" s="27" t="s">
        <v>7</v>
      </c>
      <c r="Q224" s="27" t="s">
        <v>8</v>
      </c>
      <c r="Z224" s="27" t="s">
        <v>7</v>
      </c>
      <c r="AA224" s="27" t="s">
        <v>8</v>
      </c>
      <c r="AB224" s="27" t="s">
        <v>7</v>
      </c>
      <c r="AC224" s="27" t="s">
        <v>8</v>
      </c>
      <c r="AD224" s="27" t="s">
        <v>7</v>
      </c>
      <c r="AE224" s="27" t="s">
        <v>8</v>
      </c>
      <c r="AF224" s="27" t="s">
        <v>7</v>
      </c>
      <c r="AG224" s="27" t="s">
        <v>8</v>
      </c>
      <c r="AH224" s="27" t="s">
        <v>7</v>
      </c>
      <c r="AI224" s="27" t="s">
        <v>8</v>
      </c>
    </row>
    <row r="225" spans="1:35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I225" s="27" t="s">
        <v>8</v>
      </c>
      <c r="J225" s="27" t="s">
        <v>7</v>
      </c>
      <c r="O225" s="27" t="s">
        <v>8</v>
      </c>
      <c r="P225" s="27" t="s">
        <v>7</v>
      </c>
      <c r="Q225" s="27" t="s">
        <v>8</v>
      </c>
      <c r="Z225" s="27" t="s">
        <v>7</v>
      </c>
      <c r="AB225" s="27" t="s">
        <v>7</v>
      </c>
      <c r="AC225" s="27" t="s">
        <v>8</v>
      </c>
      <c r="AD225" s="27" t="s">
        <v>7</v>
      </c>
      <c r="AF225" s="27" t="s">
        <v>7</v>
      </c>
      <c r="AH225" s="27" t="s">
        <v>7</v>
      </c>
      <c r="AI225" s="27" t="s">
        <v>8</v>
      </c>
    </row>
    <row r="226" spans="1:35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H226" s="27" t="s">
        <v>7</v>
      </c>
      <c r="I226" s="27" t="s">
        <v>8</v>
      </c>
      <c r="J226" s="27" t="s">
        <v>7</v>
      </c>
      <c r="O226" s="27" t="s">
        <v>8</v>
      </c>
      <c r="P226" s="27" t="s">
        <v>7</v>
      </c>
      <c r="Q226" s="27" t="s">
        <v>8</v>
      </c>
      <c r="AB226" s="27" t="s">
        <v>7</v>
      </c>
      <c r="AC226" s="27" t="s">
        <v>8</v>
      </c>
      <c r="AH226" s="27" t="s">
        <v>7</v>
      </c>
      <c r="AI226" s="27" t="s">
        <v>8</v>
      </c>
    </row>
    <row r="227" spans="1:35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H227" s="27" t="s">
        <v>7</v>
      </c>
      <c r="I227" s="27" t="s">
        <v>8</v>
      </c>
      <c r="J227" s="27" t="s">
        <v>7</v>
      </c>
      <c r="K227" s="27" t="s">
        <v>8</v>
      </c>
      <c r="M227" s="27" t="s">
        <v>8</v>
      </c>
      <c r="O227" s="27" t="s">
        <v>8</v>
      </c>
      <c r="P227" s="27" t="s">
        <v>7</v>
      </c>
      <c r="AB227" s="27" t="s">
        <v>7</v>
      </c>
      <c r="AH227" s="27" t="s">
        <v>7</v>
      </c>
    </row>
    <row r="228" spans="1:35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H228" s="27" t="s">
        <v>7</v>
      </c>
      <c r="J228" s="27" t="s">
        <v>7</v>
      </c>
      <c r="K228" s="27" t="s">
        <v>8</v>
      </c>
      <c r="L228" s="27" t="s">
        <v>7</v>
      </c>
      <c r="M228" s="27" t="s">
        <v>8</v>
      </c>
      <c r="N228" s="27" t="s">
        <v>7</v>
      </c>
      <c r="O228" s="27" t="s">
        <v>8</v>
      </c>
    </row>
    <row r="229" spans="1:35" x14ac:dyDescent="0.25">
      <c r="A229" s="30">
        <v>1.7103393581163142</v>
      </c>
      <c r="E229" t="s">
        <v>8</v>
      </c>
      <c r="F229" s="27" t="s">
        <v>7</v>
      </c>
      <c r="G229" s="27" t="s">
        <v>8</v>
      </c>
      <c r="J229" s="27" t="s">
        <v>7</v>
      </c>
      <c r="K229" s="27" t="s">
        <v>8</v>
      </c>
      <c r="L229" s="27" t="s">
        <v>7</v>
      </c>
      <c r="M229" s="27" t="s">
        <v>8</v>
      </c>
      <c r="N229" s="27" t="s">
        <v>7</v>
      </c>
      <c r="O229" s="27" t="s">
        <v>8</v>
      </c>
    </row>
    <row r="230" spans="1:35" x14ac:dyDescent="0.25">
      <c r="A230" s="30">
        <v>1.628894626777442</v>
      </c>
      <c r="E230" t="s">
        <v>8</v>
      </c>
      <c r="F230" s="27" t="s">
        <v>7</v>
      </c>
      <c r="J230" s="27" t="s">
        <v>7</v>
      </c>
      <c r="K230" s="27" t="s">
        <v>8</v>
      </c>
      <c r="L230" s="27" t="s">
        <v>7</v>
      </c>
      <c r="M230" s="27" t="s">
        <v>8</v>
      </c>
      <c r="N230" s="27" t="s">
        <v>7</v>
      </c>
    </row>
    <row r="231" spans="1:35" x14ac:dyDescent="0.25">
      <c r="A231" s="30">
        <v>1.5513282159785162</v>
      </c>
      <c r="C231"/>
      <c r="D231"/>
      <c r="E231" t="s">
        <v>8</v>
      </c>
      <c r="J231" s="27" t="s">
        <v>7</v>
      </c>
      <c r="K231" s="27" t="s">
        <v>8</v>
      </c>
      <c r="L231" s="27" t="s">
        <v>7</v>
      </c>
      <c r="M231" s="27" t="s">
        <v>8</v>
      </c>
    </row>
    <row r="232" spans="1:35" x14ac:dyDescent="0.25">
      <c r="A232" s="30">
        <v>1.477455443789063</v>
      </c>
      <c r="E232" t="s">
        <v>8</v>
      </c>
      <c r="J232" s="27" t="s">
        <v>7</v>
      </c>
      <c r="K232" s="27" t="s">
        <v>8</v>
      </c>
      <c r="L232" s="27" t="s">
        <v>7</v>
      </c>
      <c r="M232" s="27" t="s">
        <v>8</v>
      </c>
    </row>
    <row r="233" spans="1:35" x14ac:dyDescent="0.25">
      <c r="A233" s="30">
        <v>1.4071004226562505</v>
      </c>
      <c r="E233" t="s">
        <v>8</v>
      </c>
      <c r="J233" s="27" t="s">
        <v>7</v>
      </c>
      <c r="K233" s="27" t="s">
        <v>8</v>
      </c>
      <c r="L233" s="27" t="s">
        <v>7</v>
      </c>
    </row>
    <row r="234" spans="1:35" x14ac:dyDescent="0.25">
      <c r="A234" s="30">
        <v>1.3400956406250004</v>
      </c>
      <c r="E234" t="s">
        <v>8</v>
      </c>
      <c r="J234" s="27" t="s">
        <v>7</v>
      </c>
    </row>
    <row r="235" spans="1:35" x14ac:dyDescent="0.25">
      <c r="A235" s="30">
        <v>1.2762815625000004</v>
      </c>
      <c r="C235"/>
      <c r="E235" t="s">
        <v>8</v>
      </c>
    </row>
    <row r="236" spans="1:35" x14ac:dyDescent="0.25">
      <c r="A236" s="30">
        <v>1.2155062500000002</v>
      </c>
      <c r="E236" t="s">
        <v>8</v>
      </c>
    </row>
    <row r="237" spans="1:3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35" x14ac:dyDescent="0.25">
      <c r="A238" s="30">
        <v>1.1025</v>
      </c>
      <c r="E238" t="s">
        <v>8</v>
      </c>
    </row>
    <row r="239" spans="1:35" x14ac:dyDescent="0.25">
      <c r="A239" s="30">
        <v>1.05</v>
      </c>
      <c r="E239" t="s">
        <v>8</v>
      </c>
    </row>
    <row r="240" spans="1:3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05" operator="equal">
      <formula>$U$1</formula>
    </cfRule>
    <cfRule type="cellIs" dxfId="67" priority="906" operator="equal">
      <formula>$S$1</formula>
    </cfRule>
  </conditionalFormatting>
  <conditionalFormatting sqref="D136">
    <cfRule type="cellIs" dxfId="66" priority="903" operator="equal">
      <formula>$S$1</formula>
    </cfRule>
    <cfRule type="cellIs" dxfId="65" priority="904" operator="equal">
      <formula>$U$1</formula>
    </cfRule>
  </conditionalFormatting>
  <conditionalFormatting sqref="C162">
    <cfRule type="cellIs" dxfId="64" priority="901" operator="equal">
      <formula>$U$1</formula>
    </cfRule>
    <cfRule type="cellIs" dxfId="63" priority="902" operator="equal">
      <formula>$S$1</formula>
    </cfRule>
  </conditionalFormatting>
  <conditionalFormatting sqref="D162">
    <cfRule type="cellIs" dxfId="62" priority="899" operator="equal">
      <formula>$S$1</formula>
    </cfRule>
    <cfRule type="cellIs" dxfId="61" priority="900" operator="equal">
      <formula>$U$1</formula>
    </cfRule>
  </conditionalFormatting>
  <conditionalFormatting sqref="C187">
    <cfRule type="cellIs" dxfId="60" priority="897" operator="equal">
      <formula>$U$1</formula>
    </cfRule>
    <cfRule type="cellIs" dxfId="59" priority="898" operator="equal">
      <formula>$S$1</formula>
    </cfRule>
  </conditionalFormatting>
  <conditionalFormatting sqref="D187">
    <cfRule type="cellIs" dxfId="58" priority="895" operator="equal">
      <formula>$S$1</formula>
    </cfRule>
    <cfRule type="cellIs" dxfId="57" priority="896" operator="equal">
      <formula>$U$1</formula>
    </cfRule>
  </conditionalFormatting>
  <conditionalFormatting sqref="C212">
    <cfRule type="cellIs" dxfId="56" priority="893" operator="equal">
      <formula>$U$1</formula>
    </cfRule>
    <cfRule type="cellIs" dxfId="55" priority="894" operator="equal">
      <formula>$S$1</formula>
    </cfRule>
  </conditionalFormatting>
  <conditionalFormatting sqref="D212">
    <cfRule type="cellIs" dxfId="54" priority="891" operator="equal">
      <formula>$S$1</formula>
    </cfRule>
    <cfRule type="cellIs" dxfId="53" priority="892" operator="equal">
      <formula>$U$1</formula>
    </cfRule>
  </conditionalFormatting>
  <conditionalFormatting sqref="C237">
    <cfRule type="cellIs" dxfId="52" priority="889" operator="equal">
      <formula>$U$1</formula>
    </cfRule>
    <cfRule type="cellIs" dxfId="51" priority="890" operator="equal">
      <formula>$S$1</formula>
    </cfRule>
  </conditionalFormatting>
  <conditionalFormatting sqref="D237">
    <cfRule type="cellIs" dxfId="50" priority="887" operator="equal">
      <formula>$S$1</formula>
    </cfRule>
    <cfRule type="cellIs" dxfId="49" priority="888" operator="equal">
      <formula>$U$1</formula>
    </cfRule>
  </conditionalFormatting>
  <conditionalFormatting sqref="C106">
    <cfRule type="cellIs" dxfId="48" priority="885" operator="equal">
      <formula>$U$1</formula>
    </cfRule>
    <cfRule type="cellIs" dxfId="47" priority="886" operator="equal">
      <formula>$S$1</formula>
    </cfRule>
  </conditionalFormatting>
  <conditionalFormatting sqref="D106">
    <cfRule type="cellIs" dxfId="46" priority="883" operator="equal">
      <formula>$S$1</formula>
    </cfRule>
    <cfRule type="cellIs" dxfId="45" priority="884" operator="equal">
      <formula>$U$1</formula>
    </cfRule>
  </conditionalFormatting>
  <conditionalFormatting sqref="C81">
    <cfRule type="cellIs" dxfId="44" priority="881" operator="equal">
      <formula>$U$1</formula>
    </cfRule>
    <cfRule type="cellIs" dxfId="43" priority="882" operator="equal">
      <formula>$S$1</formula>
    </cfRule>
  </conditionalFormatting>
  <conditionalFormatting sqref="D81">
    <cfRule type="cellIs" dxfId="42" priority="879" operator="equal">
      <formula>$S$1</formula>
    </cfRule>
    <cfRule type="cellIs" dxfId="41" priority="880" operator="equal">
      <formula>$U$1</formula>
    </cfRule>
  </conditionalFormatting>
  <conditionalFormatting sqref="C56">
    <cfRule type="cellIs" dxfId="40" priority="877" operator="equal">
      <formula>$U$1</formula>
    </cfRule>
    <cfRule type="cellIs" dxfId="39" priority="878" operator="equal">
      <formula>$S$1</formula>
    </cfRule>
  </conditionalFormatting>
  <conditionalFormatting sqref="D56">
    <cfRule type="cellIs" dxfId="38" priority="875" operator="equal">
      <formula>$S$1</formula>
    </cfRule>
    <cfRule type="cellIs" dxfId="37" priority="876" operator="equal">
      <formula>$U$1</formula>
    </cfRule>
  </conditionalFormatting>
  <conditionalFormatting sqref="C31">
    <cfRule type="cellIs" dxfId="36" priority="873" operator="equal">
      <formula>$U$1</formula>
    </cfRule>
    <cfRule type="cellIs" dxfId="35" priority="874" operator="equal">
      <formula>$S$1</formula>
    </cfRule>
  </conditionalFormatting>
  <conditionalFormatting sqref="D31">
    <cfRule type="cellIs" dxfId="34" priority="871" operator="equal">
      <formula>$S$1</formula>
    </cfRule>
    <cfRule type="cellIs" dxfId="33" priority="8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K106" sqref="AK10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32" x14ac:dyDescent="0.25">
      <c r="A81" s="30">
        <v>45.259255568176073</v>
      </c>
      <c r="E81"/>
    </row>
    <row r="82" spans="1:32" x14ac:dyDescent="0.25">
      <c r="A82" s="30">
        <v>41.144777789250973</v>
      </c>
      <c r="E82"/>
    </row>
    <row r="83" spans="1:32" x14ac:dyDescent="0.25">
      <c r="A83" s="30">
        <v>37.404343444773609</v>
      </c>
      <c r="E83"/>
    </row>
    <row r="84" spans="1:32" x14ac:dyDescent="0.25">
      <c r="A84" s="30">
        <v>34.003948586157826</v>
      </c>
      <c r="E84"/>
    </row>
    <row r="85" spans="1:32" x14ac:dyDescent="0.25">
      <c r="A85" s="30">
        <v>30.912680532870748</v>
      </c>
      <c r="E85"/>
    </row>
    <row r="86" spans="1:32" x14ac:dyDescent="0.25">
      <c r="A86" s="30">
        <v>28.102436848064315</v>
      </c>
      <c r="E86"/>
      <c r="Q86" s="27" t="s">
        <v>8</v>
      </c>
    </row>
    <row r="87" spans="1:32" x14ac:dyDescent="0.25">
      <c r="A87" s="30">
        <v>25.547669861876649</v>
      </c>
      <c r="E87"/>
      <c r="Q87" s="27" t="s">
        <v>8</v>
      </c>
      <c r="R87" s="27" t="s">
        <v>7</v>
      </c>
    </row>
    <row r="88" spans="1:32" x14ac:dyDescent="0.25">
      <c r="A88" s="30">
        <v>23.225154419887861</v>
      </c>
      <c r="E88"/>
      <c r="Q88" s="27" t="s">
        <v>8</v>
      </c>
      <c r="R88" s="27" t="s">
        <v>7</v>
      </c>
    </row>
    <row r="89" spans="1:32" x14ac:dyDescent="0.25">
      <c r="A89" s="30">
        <v>21.113776745352599</v>
      </c>
      <c r="E89"/>
      <c r="Q89" s="27" t="s">
        <v>8</v>
      </c>
      <c r="R89" s="27" t="s">
        <v>7</v>
      </c>
    </row>
    <row r="90" spans="1:32" x14ac:dyDescent="0.25">
      <c r="A90" s="30">
        <v>19.194342495775089</v>
      </c>
      <c r="E90"/>
      <c r="Q90" s="27" t="s">
        <v>8</v>
      </c>
      <c r="R90" s="27" t="s">
        <v>7</v>
      </c>
      <c r="S90" s="27" t="s">
        <v>8</v>
      </c>
    </row>
    <row r="91" spans="1:32" x14ac:dyDescent="0.25">
      <c r="A91" s="30">
        <v>17.449402268886445</v>
      </c>
      <c r="E91"/>
      <c r="Q91" s="27" t="s">
        <v>8</v>
      </c>
      <c r="R91" s="27" t="s">
        <v>7</v>
      </c>
      <c r="S91" s="27" t="s">
        <v>8</v>
      </c>
      <c r="T91" s="27" t="s">
        <v>7</v>
      </c>
    </row>
    <row r="92" spans="1:32" x14ac:dyDescent="0.25">
      <c r="A92" s="30">
        <v>15.863092971714948</v>
      </c>
      <c r="C92" s="1" t="s">
        <v>15</v>
      </c>
      <c r="E92"/>
      <c r="Q92" s="27" t="s">
        <v>8</v>
      </c>
      <c r="R92" s="27" t="s">
        <v>7</v>
      </c>
      <c r="S92" s="27" t="s">
        <v>8</v>
      </c>
      <c r="T92" s="27" t="s">
        <v>7</v>
      </c>
    </row>
    <row r="93" spans="1:32" x14ac:dyDescent="0.25">
      <c r="A93" s="30">
        <v>14.420993610649951</v>
      </c>
      <c r="C93" s="7">
        <v>0.11167815779424731</v>
      </c>
      <c r="D93"/>
      <c r="E93"/>
      <c r="O93" s="27" t="s">
        <v>8</v>
      </c>
      <c r="Q93" s="27" t="s">
        <v>8</v>
      </c>
      <c r="R93" s="27" t="s">
        <v>7</v>
      </c>
      <c r="S93" s="27" t="s">
        <v>8</v>
      </c>
      <c r="T93" s="27" t="s">
        <v>7</v>
      </c>
    </row>
    <row r="94" spans="1:32" x14ac:dyDescent="0.25">
      <c r="A94" s="30">
        <v>13.109994191499954</v>
      </c>
      <c r="E94"/>
      <c r="O94" s="27" t="s">
        <v>8</v>
      </c>
      <c r="P94" s="27" t="s">
        <v>7</v>
      </c>
      <c r="Q94" s="27" t="s">
        <v>8</v>
      </c>
      <c r="R94" s="27" t="s">
        <v>7</v>
      </c>
      <c r="S94" s="27" t="s">
        <v>8</v>
      </c>
      <c r="T94" s="27" t="s">
        <v>7</v>
      </c>
      <c r="AE94" s="27" t="s">
        <v>8</v>
      </c>
    </row>
    <row r="95" spans="1:32" x14ac:dyDescent="0.25">
      <c r="A95" s="30">
        <v>11.918176537727231</v>
      </c>
      <c r="C95" s="1" t="s">
        <v>11</v>
      </c>
      <c r="D95" s="1" t="s">
        <v>12</v>
      </c>
      <c r="E95"/>
      <c r="O95" s="27" t="s">
        <v>8</v>
      </c>
      <c r="P95" s="27" t="s">
        <v>7</v>
      </c>
      <c r="Q95" s="27" t="s">
        <v>8</v>
      </c>
      <c r="R95" s="27" t="s">
        <v>7</v>
      </c>
      <c r="S95" s="27" t="s">
        <v>8</v>
      </c>
      <c r="T95" s="27" t="s">
        <v>7</v>
      </c>
      <c r="AE95" s="27" t="s">
        <v>8</v>
      </c>
      <c r="AF95" s="27" t="s">
        <v>7</v>
      </c>
    </row>
    <row r="96" spans="1:32" x14ac:dyDescent="0.25">
      <c r="A96" s="30">
        <v>10.834705943388391</v>
      </c>
      <c r="C96"/>
      <c r="D96"/>
      <c r="E96"/>
      <c r="O96" s="27" t="s">
        <v>8</v>
      </c>
      <c r="P96" s="27" t="s">
        <v>7</v>
      </c>
      <c r="R96" s="27" t="s">
        <v>7</v>
      </c>
      <c r="T96" s="27" t="s">
        <v>7</v>
      </c>
      <c r="AC96" s="27" t="s">
        <v>8</v>
      </c>
      <c r="AE96" s="27" t="s">
        <v>8</v>
      </c>
      <c r="AF96" s="27" t="s">
        <v>7</v>
      </c>
    </row>
    <row r="97" spans="1:37" x14ac:dyDescent="0.25">
      <c r="A97" s="30">
        <v>9.849732675807628</v>
      </c>
      <c r="E97"/>
      <c r="O97" s="27" t="s">
        <v>8</v>
      </c>
      <c r="T97" s="27" t="s">
        <v>7</v>
      </c>
      <c r="U97" s="27" t="s">
        <v>8</v>
      </c>
      <c r="AA97" s="27" t="s">
        <v>8</v>
      </c>
      <c r="AC97" s="27" t="s">
        <v>8</v>
      </c>
      <c r="AD97" s="27" t="s">
        <v>7</v>
      </c>
      <c r="AE97" s="27" t="s">
        <v>8</v>
      </c>
      <c r="AF97" s="27" t="s">
        <v>7</v>
      </c>
    </row>
    <row r="98" spans="1:37" x14ac:dyDescent="0.25">
      <c r="A98" s="30">
        <v>8.9543024325523888</v>
      </c>
      <c r="C98" s="1" t="s">
        <v>13</v>
      </c>
      <c r="E98"/>
      <c r="O98" s="27" t="s">
        <v>8</v>
      </c>
      <c r="T98" s="27" t="s">
        <v>7</v>
      </c>
      <c r="U98" s="27" t="s">
        <v>8</v>
      </c>
      <c r="V98" s="27" t="s">
        <v>7</v>
      </c>
      <c r="W98" s="27" t="s">
        <v>8</v>
      </c>
      <c r="AA98" s="27" t="s">
        <v>8</v>
      </c>
      <c r="AB98" s="27" t="s">
        <v>7</v>
      </c>
      <c r="AC98" s="27" t="s">
        <v>8</v>
      </c>
      <c r="AD98" s="27" t="s">
        <v>7</v>
      </c>
      <c r="AE98" s="27" t="s">
        <v>8</v>
      </c>
      <c r="AF98" s="27" t="s">
        <v>7</v>
      </c>
      <c r="AG98" s="27" t="s">
        <v>8</v>
      </c>
    </row>
    <row r="99" spans="1:37" x14ac:dyDescent="0.25">
      <c r="A99" s="30">
        <v>8.140274938683989</v>
      </c>
      <c r="C99" s="1">
        <f>C88</f>
        <v>0</v>
      </c>
      <c r="E99"/>
      <c r="O99" s="27" t="s">
        <v>8</v>
      </c>
      <c r="T99" s="27" t="s">
        <v>7</v>
      </c>
      <c r="U99" s="27" t="s">
        <v>8</v>
      </c>
      <c r="V99" s="27" t="s">
        <v>7</v>
      </c>
      <c r="W99" s="27" t="s">
        <v>8</v>
      </c>
      <c r="X99" s="27" t="s">
        <v>7</v>
      </c>
      <c r="Y99" s="27" t="s">
        <v>8</v>
      </c>
      <c r="AA99" s="27" t="s">
        <v>8</v>
      </c>
      <c r="AB99" s="27" t="s">
        <v>7</v>
      </c>
      <c r="AC99" s="27" t="s">
        <v>8</v>
      </c>
      <c r="AD99" s="27" t="s">
        <v>7</v>
      </c>
      <c r="AE99" s="27" t="s">
        <v>8</v>
      </c>
      <c r="AF99" s="27" t="s">
        <v>7</v>
      </c>
      <c r="AG99" s="27" t="s">
        <v>8</v>
      </c>
      <c r="AH99" s="27" t="s">
        <v>7</v>
      </c>
    </row>
    <row r="100" spans="1:37" x14ac:dyDescent="0.25">
      <c r="A100" s="30">
        <v>7.4002499442581717</v>
      </c>
      <c r="C100"/>
      <c r="D100"/>
      <c r="E100"/>
      <c r="O100" s="27" t="s">
        <v>8</v>
      </c>
      <c r="T100" s="27" t="s">
        <v>7</v>
      </c>
      <c r="U100" s="27" t="s">
        <v>8</v>
      </c>
      <c r="V100" s="27" t="s">
        <v>7</v>
      </c>
      <c r="W100" s="27" t="s">
        <v>8</v>
      </c>
      <c r="X100" s="27" t="s">
        <v>7</v>
      </c>
      <c r="Y100" s="27" t="s">
        <v>8</v>
      </c>
      <c r="Z100" s="27" t="s">
        <v>7</v>
      </c>
      <c r="AA100" s="27" t="s">
        <v>8</v>
      </c>
      <c r="AB100" s="27" t="s">
        <v>7</v>
      </c>
      <c r="AC100" s="27" t="s">
        <v>8</v>
      </c>
      <c r="AD100" s="27" t="s">
        <v>7</v>
      </c>
      <c r="AE100" s="27" t="s">
        <v>8</v>
      </c>
      <c r="AF100" s="27" t="s">
        <v>7</v>
      </c>
      <c r="AG100" s="27" t="s">
        <v>8</v>
      </c>
      <c r="AH100" s="27" t="s">
        <v>7</v>
      </c>
    </row>
    <row r="101" spans="1:37" x14ac:dyDescent="0.25">
      <c r="A101" s="30">
        <v>6.72749994932561</v>
      </c>
      <c r="C101" s="1" t="s">
        <v>14</v>
      </c>
      <c r="E101"/>
      <c r="O101" s="27" t="s">
        <v>8</v>
      </c>
      <c r="T101" s="27" t="s">
        <v>7</v>
      </c>
      <c r="U101" s="27" t="s">
        <v>8</v>
      </c>
      <c r="V101" s="27" t="s">
        <v>7</v>
      </c>
      <c r="W101" s="27" t="s">
        <v>8</v>
      </c>
      <c r="X101" s="27" t="s">
        <v>7</v>
      </c>
      <c r="Y101" s="27" t="s">
        <v>8</v>
      </c>
      <c r="Z101" s="27" t="s">
        <v>7</v>
      </c>
      <c r="AA101" s="27" t="s">
        <v>8</v>
      </c>
      <c r="AB101" s="27" t="s">
        <v>7</v>
      </c>
      <c r="AC101" s="27" t="s">
        <v>8</v>
      </c>
      <c r="AD101" s="27" t="s">
        <v>7</v>
      </c>
      <c r="AF101" s="27" t="s">
        <v>7</v>
      </c>
      <c r="AH101" s="27" t="s">
        <v>7</v>
      </c>
      <c r="AI101" s="27" t="s">
        <v>8</v>
      </c>
    </row>
    <row r="102" spans="1:37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O102" s="27" t="s">
        <v>8</v>
      </c>
      <c r="T102" s="27" t="s">
        <v>7</v>
      </c>
      <c r="U102" s="27" t="s">
        <v>8</v>
      </c>
      <c r="V102" s="27" t="s">
        <v>7</v>
      </c>
      <c r="W102" s="27" t="s">
        <v>8</v>
      </c>
      <c r="X102" s="27" t="s">
        <v>7</v>
      </c>
      <c r="Z102" s="27" t="s">
        <v>7</v>
      </c>
      <c r="AB102" s="27" t="s">
        <v>7</v>
      </c>
      <c r="AC102" s="27" t="s">
        <v>8</v>
      </c>
      <c r="AH102" s="27" t="s">
        <v>7</v>
      </c>
      <c r="AI102" s="27" t="s">
        <v>8</v>
      </c>
      <c r="AJ102" s="27" t="s">
        <v>7</v>
      </c>
    </row>
    <row r="103" spans="1:37" x14ac:dyDescent="0.25">
      <c r="A103" s="30">
        <v>5.5599173134922388</v>
      </c>
      <c r="E103"/>
      <c r="O103" s="27" t="s">
        <v>8</v>
      </c>
      <c r="T103" s="27" t="s">
        <v>7</v>
      </c>
      <c r="U103" s="27" t="s">
        <v>8</v>
      </c>
      <c r="V103" s="27" t="s">
        <v>7</v>
      </c>
      <c r="AB103" s="27" t="s">
        <v>7</v>
      </c>
      <c r="AC103" s="27" t="s">
        <v>8</v>
      </c>
      <c r="AH103" s="27" t="s">
        <v>7</v>
      </c>
      <c r="AI103" s="27" t="s">
        <v>8</v>
      </c>
      <c r="AJ103" s="27" t="s">
        <v>7</v>
      </c>
    </row>
    <row r="104" spans="1:37" x14ac:dyDescent="0.25">
      <c r="A104" s="30">
        <v>5.0544702849929442</v>
      </c>
      <c r="E104"/>
      <c r="O104" s="27" t="s">
        <v>8</v>
      </c>
      <c r="T104" s="27" t="s">
        <v>7</v>
      </c>
      <c r="AB104" s="27" t="s">
        <v>7</v>
      </c>
      <c r="AC104" s="27" t="s">
        <v>8</v>
      </c>
      <c r="AH104" s="27" t="s">
        <v>7</v>
      </c>
      <c r="AJ104" s="27" t="s">
        <v>7</v>
      </c>
    </row>
    <row r="105" spans="1:37" x14ac:dyDescent="0.25">
      <c r="A105" s="30">
        <v>4.594972986357222</v>
      </c>
      <c r="E105"/>
      <c r="O105" s="27" t="s">
        <v>8</v>
      </c>
      <c r="AB105" s="27" t="s">
        <v>7</v>
      </c>
      <c r="AC105" s="27" t="s">
        <v>8</v>
      </c>
      <c r="AJ105" s="27" t="s">
        <v>7</v>
      </c>
    </row>
    <row r="106" spans="1:37" x14ac:dyDescent="0.25">
      <c r="A106" s="30">
        <v>4.1772481694156562</v>
      </c>
      <c r="E106"/>
      <c r="I106" s="27" t="s">
        <v>8</v>
      </c>
      <c r="O106" s="27" t="s">
        <v>8</v>
      </c>
      <c r="AB106" s="18" t="s">
        <v>7</v>
      </c>
      <c r="AC106" s="27" t="s">
        <v>8</v>
      </c>
      <c r="AJ106" s="27" t="s">
        <v>7</v>
      </c>
      <c r="AK106" s="27" t="s">
        <v>8</v>
      </c>
    </row>
    <row r="107" spans="1:37" x14ac:dyDescent="0.25">
      <c r="A107" s="30">
        <v>3.7974983358324148</v>
      </c>
      <c r="E107"/>
      <c r="I107" s="27" t="s">
        <v>8</v>
      </c>
      <c r="J107" s="27" t="s">
        <v>7</v>
      </c>
      <c r="O107" s="27" t="s">
        <v>8</v>
      </c>
      <c r="AB107" s="27" t="s">
        <v>7</v>
      </c>
      <c r="AJ107" s="27" t="s">
        <v>7</v>
      </c>
      <c r="AK107" s="27" t="s">
        <v>8</v>
      </c>
    </row>
    <row r="108" spans="1:37" x14ac:dyDescent="0.25">
      <c r="A108" s="30">
        <v>3.4522712143931042</v>
      </c>
      <c r="E108"/>
      <c r="I108" s="27" t="s">
        <v>8</v>
      </c>
      <c r="J108" s="27" t="s">
        <v>7</v>
      </c>
      <c r="O108" s="27" t="s">
        <v>8</v>
      </c>
      <c r="AJ108" s="27" t="s">
        <v>7</v>
      </c>
      <c r="AK108" s="27" t="s">
        <v>8</v>
      </c>
    </row>
    <row r="109" spans="1:37" x14ac:dyDescent="0.25">
      <c r="A109" s="30">
        <v>3.1384283767210035</v>
      </c>
      <c r="E109"/>
      <c r="I109" s="27" t="s">
        <v>8</v>
      </c>
      <c r="J109" s="27" t="s">
        <v>7</v>
      </c>
      <c r="M109" s="27" t="s">
        <v>8</v>
      </c>
      <c r="O109" s="27" t="s">
        <v>8</v>
      </c>
      <c r="AJ109" s="27" t="s">
        <v>7</v>
      </c>
    </row>
    <row r="110" spans="1:37" x14ac:dyDescent="0.25">
      <c r="A110" s="30">
        <v>2.8531167061100029</v>
      </c>
      <c r="E110" t="s">
        <v>8</v>
      </c>
      <c r="I110" s="27" t="s">
        <v>8</v>
      </c>
      <c r="J110" s="27" t="s">
        <v>7</v>
      </c>
      <c r="K110" s="27" t="s">
        <v>8</v>
      </c>
      <c r="M110" s="27" t="s">
        <v>8</v>
      </c>
      <c r="N110" s="27" t="s">
        <v>7</v>
      </c>
      <c r="O110" s="27" t="s">
        <v>8</v>
      </c>
    </row>
    <row r="111" spans="1:37" x14ac:dyDescent="0.25">
      <c r="A111" s="30">
        <v>2.5937424601000023</v>
      </c>
      <c r="C111" s="1" t="str">
        <f>ADDRESS(C121-1,1,1,1)</f>
        <v>$A$105</v>
      </c>
      <c r="D111" s="1" t="str">
        <f>ADDRESS(C121-1,D121,1,1)</f>
        <v>$AK$105</v>
      </c>
      <c r="E111" t="s">
        <v>8</v>
      </c>
      <c r="F111" s="27" t="s">
        <v>7</v>
      </c>
      <c r="I111" s="27" t="s">
        <v>8</v>
      </c>
      <c r="J111" s="27" t="s">
        <v>7</v>
      </c>
      <c r="K111" s="27" t="s">
        <v>8</v>
      </c>
      <c r="L111" s="27" t="s">
        <v>7</v>
      </c>
      <c r="M111" s="27" t="s">
        <v>8</v>
      </c>
      <c r="N111" s="27" t="s">
        <v>7</v>
      </c>
      <c r="O111" s="27" t="s">
        <v>8</v>
      </c>
    </row>
    <row r="112" spans="1:37" x14ac:dyDescent="0.25">
      <c r="A112" s="30">
        <v>2.3579476910000019</v>
      </c>
      <c r="C112" s="1" t="str">
        <f>ADDRESS(C121,1,1,1)</f>
        <v>$A$106</v>
      </c>
      <c r="D112" s="1" t="str">
        <f>ADDRESS(C121,D121-1,1,1)</f>
        <v>$AJ$106</v>
      </c>
      <c r="E112" t="s">
        <v>8</v>
      </c>
      <c r="F112" s="27" t="s">
        <v>7</v>
      </c>
      <c r="I112" s="27" t="s">
        <v>8</v>
      </c>
      <c r="J112" s="27" t="s">
        <v>7</v>
      </c>
      <c r="K112" s="27" t="s">
        <v>8</v>
      </c>
      <c r="L112" s="27" t="s">
        <v>7</v>
      </c>
      <c r="M112" s="27" t="s">
        <v>8</v>
      </c>
      <c r="N112" s="27" t="s">
        <v>7</v>
      </c>
    </row>
    <row r="113" spans="1:13" x14ac:dyDescent="0.25">
      <c r="A113" s="30">
        <v>2.1435888100000016</v>
      </c>
      <c r="C113" s="1" t="str">
        <f>ADDRESS(C121+1,1,1,1)</f>
        <v>$A$107</v>
      </c>
      <c r="D113" s="1" t="str">
        <f>ADDRESS(C121-1,D121+1,1,1)</f>
        <v>$AL$105</v>
      </c>
      <c r="E113" s="1" t="s">
        <v>8</v>
      </c>
      <c r="F113" s="27" t="s">
        <v>7</v>
      </c>
      <c r="G113" s="27" t="s">
        <v>8</v>
      </c>
      <c r="I113" s="27" t="s">
        <v>8</v>
      </c>
      <c r="J113" s="27" t="s">
        <v>7</v>
      </c>
      <c r="K113" s="27" t="s">
        <v>8</v>
      </c>
      <c r="L113" s="27" t="s">
        <v>7</v>
      </c>
      <c r="M113" s="27" t="s">
        <v>8</v>
      </c>
    </row>
    <row r="114" spans="1:13" x14ac:dyDescent="0.25">
      <c r="A114" s="30">
        <v>1.9487171000000014</v>
      </c>
      <c r="C114" s="1" t="str">
        <f>ADDRESS(C121,D121,1,1)</f>
        <v>$AK$106</v>
      </c>
      <c r="D114" s="1" t="str">
        <f>ADDRESS(C121+1,D121+1,1,1)</f>
        <v>$AL$107</v>
      </c>
      <c r="E114" s="1" t="s">
        <v>8</v>
      </c>
      <c r="F114" s="27" t="s">
        <v>7</v>
      </c>
      <c r="G114" s="27" t="s">
        <v>8</v>
      </c>
      <c r="H114" s="27" t="s">
        <v>7</v>
      </c>
      <c r="I114" s="27" t="s">
        <v>8</v>
      </c>
      <c r="J114" s="27" t="s">
        <v>7</v>
      </c>
      <c r="L114" s="27" t="s">
        <v>7</v>
      </c>
    </row>
    <row r="115" spans="1:13" x14ac:dyDescent="0.25">
      <c r="A115" s="30">
        <v>1.7715610000000011</v>
      </c>
      <c r="C115" s="1" t="str">
        <f>ADDRESS(C121+1,D121,1,1)</f>
        <v>$AK$107</v>
      </c>
      <c r="E115" s="1" t="s">
        <v>8</v>
      </c>
      <c r="F115" s="27" t="s">
        <v>7</v>
      </c>
      <c r="G115" s="27" t="s">
        <v>8</v>
      </c>
      <c r="H115" s="27" t="s">
        <v>7</v>
      </c>
      <c r="I115" s="27" t="s">
        <v>8</v>
      </c>
    </row>
    <row r="116" spans="1:13" x14ac:dyDescent="0.25">
      <c r="A116" s="30">
        <v>1.6105100000000008</v>
      </c>
      <c r="C116" s="1">
        <f>C117-1</f>
        <v>105</v>
      </c>
      <c r="E116" s="1" t="s">
        <v>8</v>
      </c>
      <c r="F116" s="27" t="s">
        <v>7</v>
      </c>
      <c r="H116" s="27" t="s">
        <v>7</v>
      </c>
      <c r="I116" s="27" t="s">
        <v>8</v>
      </c>
    </row>
    <row r="117" spans="1:13" x14ac:dyDescent="0.25">
      <c r="A117" s="30">
        <v>1.4641000000000006</v>
      </c>
      <c r="C117" s="1">
        <f>C121</f>
        <v>106</v>
      </c>
      <c r="D117" s="1">
        <f>D121</f>
        <v>37</v>
      </c>
      <c r="E117" s="1" t="s">
        <v>8</v>
      </c>
      <c r="H117" s="27" t="s">
        <v>7</v>
      </c>
    </row>
    <row r="118" spans="1:13" x14ac:dyDescent="0.25">
      <c r="A118" s="30">
        <v>1.3310000000000004</v>
      </c>
      <c r="C118" s="1">
        <f>C117+1</f>
        <v>107</v>
      </c>
      <c r="D118" s="1">
        <f>D117+1</f>
        <v>38</v>
      </c>
      <c r="E118" s="1" t="s">
        <v>8</v>
      </c>
    </row>
    <row r="119" spans="1:13" x14ac:dyDescent="0.25">
      <c r="A119" s="30">
        <v>1.2100000000000002</v>
      </c>
      <c r="E119" s="1" t="s">
        <v>8</v>
      </c>
    </row>
    <row r="120" spans="1:13" x14ac:dyDescent="0.25">
      <c r="A120" s="30">
        <v>1.1000000000000001</v>
      </c>
      <c r="C120" s="1" t="s">
        <v>9</v>
      </c>
      <c r="E120" s="1" t="s">
        <v>8</v>
      </c>
    </row>
    <row r="121" spans="1:13" x14ac:dyDescent="0.25">
      <c r="A121" s="30">
        <v>1</v>
      </c>
      <c r="C121" s="18">
        <v>106</v>
      </c>
      <c r="D121" s="19">
        <v>37</v>
      </c>
      <c r="E121" s="18" t="s">
        <v>8</v>
      </c>
    </row>
    <row r="122" spans="1:13" x14ac:dyDescent="0.25">
      <c r="A122" s="30">
        <v>0.90909090909090895</v>
      </c>
      <c r="C122" s="1" t="str">
        <f>INDEX(1:1048576,C117,D117)</f>
        <v>X</v>
      </c>
    </row>
    <row r="123" spans="1:13" x14ac:dyDescent="0.25">
      <c r="A123" s="30">
        <v>0.82644628099173523</v>
      </c>
      <c r="C123" s="1" t="str">
        <f>"R"&amp;C121</f>
        <v>R106</v>
      </c>
      <c r="D123" s="1" t="str">
        <f>"C"&amp;D121</f>
        <v>C37</v>
      </c>
    </row>
    <row r="124" spans="1:13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13" x14ac:dyDescent="0.25">
      <c r="A125" s="30">
        <v>0.68301345536507019</v>
      </c>
    </row>
    <row r="126" spans="1:13" x14ac:dyDescent="0.25">
      <c r="A126" s="30">
        <v>0.6209213230591546</v>
      </c>
      <c r="C126" s="1" t="s">
        <v>10</v>
      </c>
    </row>
    <row r="127" spans="1:13" x14ac:dyDescent="0.25">
      <c r="A127" s="30">
        <v>0.56447393005377677</v>
      </c>
      <c r="C127" s="30">
        <v>4.1772481694156562</v>
      </c>
      <c r="D127"/>
    </row>
    <row r="128" spans="1:13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89" operator="equal">
      <formula>$U$1</formula>
    </cfRule>
    <cfRule type="cellIs" dxfId="30" priority="890" operator="equal">
      <formula>$S$1</formula>
    </cfRule>
  </conditionalFormatting>
  <conditionalFormatting sqref="D136">
    <cfRule type="cellIs" dxfId="29" priority="887" operator="equal">
      <formula>$S$1</formula>
    </cfRule>
    <cfRule type="cellIs" dxfId="28" priority="888" operator="equal">
      <formula>$U$1</formula>
    </cfRule>
  </conditionalFormatting>
  <conditionalFormatting sqref="C102">
    <cfRule type="cellIs" dxfId="27" priority="885" operator="equal">
      <formula>$U$1</formula>
    </cfRule>
    <cfRule type="cellIs" dxfId="26" priority="886" operator="equal">
      <formula>$S$1</formula>
    </cfRule>
  </conditionalFormatting>
  <conditionalFormatting sqref="D102">
    <cfRule type="cellIs" dxfId="25" priority="883" operator="equal">
      <formula>$S$1</formula>
    </cfRule>
    <cfRule type="cellIs" dxfId="24" priority="884" operator="equal">
      <formula>$U$1</formula>
    </cfRule>
  </conditionalFormatting>
  <conditionalFormatting sqref="C77">
    <cfRule type="cellIs" dxfId="23" priority="881" operator="equal">
      <formula>$U$1</formula>
    </cfRule>
    <cfRule type="cellIs" dxfId="22" priority="882" operator="equal">
      <formula>$S$1</formula>
    </cfRule>
  </conditionalFormatting>
  <conditionalFormatting sqref="D77">
    <cfRule type="cellIs" dxfId="21" priority="879" operator="equal">
      <formula>$S$1</formula>
    </cfRule>
    <cfRule type="cellIs" dxfId="20" priority="880" operator="equal">
      <formula>$U$1</formula>
    </cfRule>
  </conditionalFormatting>
  <conditionalFormatting sqref="C52">
    <cfRule type="cellIs" dxfId="19" priority="877" operator="equal">
      <formula>$U$1</formula>
    </cfRule>
    <cfRule type="cellIs" dxfId="18" priority="878" operator="equal">
      <formula>$S$1</formula>
    </cfRule>
  </conditionalFormatting>
  <conditionalFormatting sqref="D52">
    <cfRule type="cellIs" dxfId="17" priority="875" operator="equal">
      <formula>$S$1</formula>
    </cfRule>
    <cfRule type="cellIs" dxfId="16" priority="876" operator="equal">
      <formula>$U$1</formula>
    </cfRule>
  </conditionalFormatting>
  <conditionalFormatting sqref="C26">
    <cfRule type="cellIs" dxfId="15" priority="873" operator="equal">
      <formula>$U$1</formula>
    </cfRule>
    <cfRule type="cellIs" dxfId="14" priority="874" operator="equal">
      <formula>$S$1</formula>
    </cfRule>
  </conditionalFormatting>
  <conditionalFormatting sqref="D26">
    <cfRule type="cellIs" dxfId="13" priority="871" operator="equal">
      <formula>$S$1</formula>
    </cfRule>
    <cfRule type="cellIs" dxfId="12" priority="8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2022-01-28T01:19:55Z</dcterms:modified>
</cp:coreProperties>
</file>