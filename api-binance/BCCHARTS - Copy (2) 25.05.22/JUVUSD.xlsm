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27108C6-AF83-4719-A44C-5EE19F91962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R765" i="1"/>
  <c r="R764" i="1"/>
  <c r="S764" i="1" s="1"/>
  <c r="T764" i="1" s="1"/>
  <c r="S765" i="1"/>
  <c r="T765" i="1" s="1"/>
  <c r="C122" i="4"/>
  <c r="C133" i="4" s="1"/>
  <c r="C136" i="4" s="1"/>
  <c r="C116" i="4"/>
  <c r="C116" i="3"/>
  <c r="C122" i="3"/>
  <c r="C133" i="3" s="1"/>
  <c r="C136" i="3" s="1"/>
  <c r="R763" i="1"/>
  <c r="C136" i="5" l="1"/>
  <c r="C138" i="5" s="1"/>
  <c r="D136" i="4"/>
  <c r="C138" i="4" s="1"/>
  <c r="D136" i="3"/>
  <c r="C138" i="3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S700" i="1" l="1"/>
  <c r="T700" i="1" s="1"/>
  <c r="R699" i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S638" i="1" l="1"/>
  <c r="T638" i="1" s="1"/>
  <c r="R637" i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S614" i="1" l="1"/>
  <c r="T614" i="1" s="1"/>
  <c r="R613" i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S590" i="1" l="1"/>
  <c r="T590" i="1" s="1"/>
  <c r="R589" i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S566" i="1" l="1"/>
  <c r="T566" i="1" s="1"/>
  <c r="R565" i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S550" i="1" l="1"/>
  <c r="T550" i="1" s="1"/>
  <c r="R549" i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S542" i="1" l="1"/>
  <c r="T542" i="1" s="1"/>
  <c r="R541" i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S509" i="1" l="1"/>
  <c r="T509" i="1" s="1"/>
  <c r="R508" i="1"/>
  <c r="S508" i="1" l="1"/>
  <c r="T508" i="1" s="1"/>
  <c r="R507" i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S494" i="1" l="1"/>
  <c r="T494" i="1" s="1"/>
  <c r="R493" i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S478" i="1" l="1"/>
  <c r="T478" i="1" s="1"/>
  <c r="R477" i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S398" i="1" l="1"/>
  <c r="T398" i="1" s="1"/>
  <c r="R397" i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S161" i="1" l="1"/>
  <c r="T161" i="1" s="1"/>
  <c r="R160" i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<sst xmlns="http://schemas.openxmlformats.org/spreadsheetml/2006/main" count="4836" uniqueCount="34">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</sst>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5.58</c:v>
                </c:pt>
                <c:pt idx="1">
                  <c:v>5.68</c:v>
                </c:pt>
                <c:pt idx="2">
                  <c:v>5.6</c:v>
                </c:pt>
                <c:pt idx="3">
                  <c:v>5.59</c:v>
                </c:pt>
                <c:pt idx="4">
                  <c:v>5.85</c:v>
                </c:pt>
                <c:pt idx="5">
                  <c:v>5.66</c:v>
                </c:pt>
                <c:pt idx="6">
                  <c:v>6.56</c:v>
                </c:pt>
                <c:pt idx="7">
                  <c:v>7.4</c:v>
                </c:pt>
                <c:pt idx="8">
                  <c:v>7.57</c:v>
                </c:pt>
                <c:pt idx="9">
                  <c:v>7.81</c:v>
                </c:pt>
                <c:pt idx="10">
                  <c:v>7.96</c:v>
                </c:pt>
                <c:pt idx="11">
                  <c:v>8.06</c:v>
                </c:pt>
                <c:pt idx="12">
                  <c:v>8.0399999999999991</c:v>
                </c:pt>
                <c:pt idx="13">
                  <c:v>8.0399999999999991</c:v>
                </c:pt>
                <c:pt idx="14">
                  <c:v>8.02</c:v>
                </c:pt>
                <c:pt idx="15">
                  <c:v>8.19</c:v>
                </c:pt>
                <c:pt idx="16">
                  <c:v>8.1</c:v>
                </c:pt>
                <c:pt idx="17">
                  <c:v>7.61</c:v>
                </c:pt>
                <c:pt idx="18">
                  <c:v>7.81</c:v>
                </c:pt>
                <c:pt idx="19">
                  <c:v>7.81</c:v>
                </c:pt>
                <c:pt idx="20">
                  <c:v>8.0299999999999994</c:v>
                </c:pt>
                <c:pt idx="21">
                  <c:v>8.15</c:v>
                </c:pt>
                <c:pt idx="22">
                  <c:v>8.07</c:v>
                </c:pt>
                <c:pt idx="23">
                  <c:v>8.5</c:v>
                </c:pt>
                <c:pt idx="24">
                  <c:v>8.6</c:v>
                </c:pt>
                <c:pt idx="25">
                  <c:v>8.56</c:v>
                </c:pt>
                <c:pt idx="26">
                  <c:v>8.65</c:v>
                </c:pt>
                <c:pt idx="27">
                  <c:v>8.41</c:v>
                </c:pt>
                <c:pt idx="28">
                  <c:v>8.7200000000000006</c:v>
                </c:pt>
                <c:pt idx="29">
                  <c:v>8.64</c:v>
                </c:pt>
                <c:pt idx="30">
                  <c:v>9.08</c:v>
                </c:pt>
                <c:pt idx="31">
                  <c:v>9.33</c:v>
                </c:pt>
                <c:pt idx="32">
                  <c:v>9.4</c:v>
                </c:pt>
                <c:pt idx="33">
                  <c:v>9.34</c:v>
                </c:pt>
                <c:pt idx="34">
                  <c:v>9.07</c:v>
                </c:pt>
                <c:pt idx="35">
                  <c:v>9.17</c:v>
                </c:pt>
                <c:pt idx="36">
                  <c:v>8.83</c:v>
                </c:pt>
                <c:pt idx="37">
                  <c:v>8.69</c:v>
                </c:pt>
                <c:pt idx="38">
                  <c:v>8.69</c:v>
                </c:pt>
                <c:pt idx="39">
                  <c:v>8.34</c:v>
                </c:pt>
                <c:pt idx="40">
                  <c:v>8.34</c:v>
                </c:pt>
                <c:pt idx="41">
                  <c:v>8.1300000000000008</c:v>
                </c:pt>
                <c:pt idx="42">
                  <c:v>8.3800000000000008</c:v>
                </c:pt>
                <c:pt idx="43">
                  <c:v>8.5299999999999994</c:v>
                </c:pt>
                <c:pt idx="44">
                  <c:v>8.3800000000000008</c:v>
                </c:pt>
                <c:pt idx="45">
                  <c:v>8.23</c:v>
                </c:pt>
                <c:pt idx="46">
                  <c:v>9.0500000000000007</c:v>
                </c:pt>
                <c:pt idx="47">
                  <c:v>8.94</c:v>
                </c:pt>
                <c:pt idx="48">
                  <c:v>8.89</c:v>
                </c:pt>
                <c:pt idx="49">
                  <c:v>9.0500000000000007</c:v>
                </c:pt>
                <c:pt idx="50">
                  <c:v>9.59</c:v>
                </c:pt>
                <c:pt idx="51">
                  <c:v>9.76</c:v>
                </c:pt>
                <c:pt idx="52">
                  <c:v>9.77</c:v>
                </c:pt>
                <c:pt idx="53">
                  <c:v>10.25</c:v>
                </c:pt>
                <c:pt idx="54">
                  <c:v>8.93</c:v>
                </c:pt>
                <c:pt idx="55">
                  <c:v>10</c:v>
                </c:pt>
                <c:pt idx="56">
                  <c:v>10.18</c:v>
                </c:pt>
                <c:pt idx="57">
                  <c:v>10.09</c:v>
                </c:pt>
                <c:pt idx="58">
                  <c:v>10.02</c:v>
                </c:pt>
                <c:pt idx="59">
                  <c:v>10.23</c:v>
                </c:pt>
                <c:pt idx="60">
                  <c:v>10.06</c:v>
                </c:pt>
                <c:pt idx="61">
                  <c:v>9.89</c:v>
                </c:pt>
                <c:pt idx="62">
                  <c:v>9.66</c:v>
                </c:pt>
                <c:pt idx="63">
                  <c:v>10.68</c:v>
                </c:pt>
                <c:pt idx="64">
                  <c:v>10.52</c:v>
                </c:pt>
                <c:pt idx="65">
                  <c:v>10.7</c:v>
                </c:pt>
                <c:pt idx="66">
                  <c:v>11.06</c:v>
                </c:pt>
                <c:pt idx="67">
                  <c:v>11.16</c:v>
                </c:pt>
                <c:pt idx="68">
                  <c:v>11.29</c:v>
                </c:pt>
                <c:pt idx="69">
                  <c:v>11.28</c:v>
                </c:pt>
                <c:pt idx="70">
                  <c:v>10.66</c:v>
                </c:pt>
                <c:pt idx="71">
                  <c:v>11.59</c:v>
                </c:pt>
                <c:pt idx="72">
                  <c:v>11.86</c:v>
                </c:pt>
                <c:pt idx="73">
                  <c:v>12.64</c:v>
                </c:pt>
                <c:pt idx="74">
                  <c:v>12.68</c:v>
                </c:pt>
                <c:pt idx="75">
                  <c:v>12.64</c:v>
                </c:pt>
                <c:pt idx="76">
                  <c:v>12.72</c:v>
                </c:pt>
                <c:pt idx="77">
                  <c:v>12.67</c:v>
                </c:pt>
                <c:pt idx="78">
                  <c:v>12.46</c:v>
                </c:pt>
                <c:pt idx="79">
                  <c:v>12.77</c:v>
                </c:pt>
                <c:pt idx="80">
                  <c:v>12.88</c:v>
                </c:pt>
                <c:pt idx="81">
                  <c:v>13.14</c:v>
                </c:pt>
                <c:pt idx="82">
                  <c:v>12.64</c:v>
                </c:pt>
                <c:pt idx="83">
                  <c:v>12.58</c:v>
                </c:pt>
                <c:pt idx="84">
                  <c:v>12.54</c:v>
                </c:pt>
                <c:pt idx="85">
                  <c:v>12.57</c:v>
                </c:pt>
                <c:pt idx="86">
                  <c:v>12.64</c:v>
                </c:pt>
                <c:pt idx="87">
                  <c:v>12.76</c:v>
                </c:pt>
                <c:pt idx="88">
                  <c:v>12.53</c:v>
                </c:pt>
                <c:pt idx="89">
                  <c:v>12.93</c:v>
                </c:pt>
                <c:pt idx="90">
                  <c:v>13.1</c:v>
                </c:pt>
                <c:pt idx="91">
                  <c:v>13.02</c:v>
                </c:pt>
                <c:pt idx="92">
                  <c:v>12.71</c:v>
                </c:pt>
                <c:pt idx="93">
                  <c:v>14</c:v>
                </c:pt>
                <c:pt idx="94">
                  <c:v>14.13</c:v>
                </c:pt>
                <c:pt idx="95">
                  <c:v>13.79</c:v>
                </c:pt>
                <c:pt idx="96">
                  <c:v>14.11</c:v>
                </c:pt>
                <c:pt idx="97">
                  <c:v>14</c:v>
                </c:pt>
                <c:pt idx="98">
                  <c:v>14.31</c:v>
                </c:pt>
                <c:pt idx="99">
                  <c:v>14.35</c:v>
                </c:pt>
                <c:pt idx="100">
                  <c:v>13.88</c:v>
                </c:pt>
                <c:pt idx="101">
                  <c:v>13.74</c:v>
                </c:pt>
                <c:pt idx="102">
                  <c:v>13.8</c:v>
                </c:pt>
                <c:pt idx="103">
                  <c:v>13.93</c:v>
                </c:pt>
                <c:pt idx="104">
                  <c:v>13.89</c:v>
                </c:pt>
                <c:pt idx="105">
                  <c:v>14.52</c:v>
                </c:pt>
                <c:pt idx="106">
                  <c:v>14.25</c:v>
                </c:pt>
                <c:pt idx="107">
                  <c:v>14.05</c:v>
                </c:pt>
                <c:pt idx="108">
                  <c:v>14.08</c:v>
                </c:pt>
                <c:pt idx="109">
                  <c:v>14.11</c:v>
                </c:pt>
                <c:pt idx="110">
                  <c:v>14.5</c:v>
                </c:pt>
                <c:pt idx="111">
                  <c:v>14.8</c:v>
                </c:pt>
                <c:pt idx="112">
                  <c:v>15.23</c:v>
                </c:pt>
                <c:pt idx="113">
                  <c:v>14.22</c:v>
                </c:pt>
                <c:pt idx="114">
                  <c:v>12.86</c:v>
                </c:pt>
                <c:pt idx="115">
                  <c:v>12.4</c:v>
                </c:pt>
                <c:pt idx="116">
                  <c:v>12.49</c:v>
                </c:pt>
                <c:pt idx="117">
                  <c:v>12.72</c:v>
                </c:pt>
                <c:pt idx="118">
                  <c:v>12.28</c:v>
                </c:pt>
                <c:pt idx="119">
                  <c:v>12</c:v>
                </c:pt>
                <c:pt idx="120">
                  <c:v>11.46</c:v>
                </c:pt>
                <c:pt idx="121">
                  <c:v>11.75</c:v>
                </c:pt>
                <c:pt idx="122">
                  <c:v>11.66</c:v>
                </c:pt>
                <c:pt idx="123">
                  <c:v>11.78</c:v>
                </c:pt>
                <c:pt idx="124">
                  <c:v>11.8</c:v>
                </c:pt>
                <c:pt idx="125">
                  <c:v>12.29</c:v>
                </c:pt>
                <c:pt idx="126">
                  <c:v>11.77</c:v>
                </c:pt>
                <c:pt idx="127">
                  <c:v>11.24</c:v>
                </c:pt>
                <c:pt idx="128">
                  <c:v>10.66</c:v>
                </c:pt>
                <c:pt idx="129">
                  <c:v>11.29</c:v>
                </c:pt>
                <c:pt idx="130">
                  <c:v>11.85</c:v>
                </c:pt>
                <c:pt idx="131">
                  <c:v>12.81</c:v>
                </c:pt>
                <c:pt idx="132">
                  <c:v>13.29</c:v>
                </c:pt>
                <c:pt idx="133">
                  <c:v>12.58</c:v>
                </c:pt>
                <c:pt idx="134">
                  <c:v>12.42</c:v>
                </c:pt>
                <c:pt idx="135">
                  <c:v>11.82</c:v>
                </c:pt>
                <c:pt idx="136">
                  <c:v>11.62</c:v>
                </c:pt>
                <c:pt idx="137">
                  <c:v>12.38</c:v>
                </c:pt>
                <c:pt idx="138">
                  <c:v>12.63</c:v>
                </c:pt>
                <c:pt idx="139">
                  <c:v>12.96</c:v>
                </c:pt>
                <c:pt idx="140">
                  <c:v>10.5</c:v>
                </c:pt>
                <c:pt idx="141">
                  <c:v>10.47</c:v>
                </c:pt>
                <c:pt idx="142">
                  <c:v>10.65</c:v>
                </c:pt>
                <c:pt idx="143">
                  <c:v>12.5</c:v>
                </c:pt>
                <c:pt idx="144">
                  <c:v>12.71</c:v>
                </c:pt>
                <c:pt idx="145">
                  <c:v>12.36</c:v>
                </c:pt>
                <c:pt idx="146">
                  <c:v>12.59</c:v>
                </c:pt>
                <c:pt idx="147">
                  <c:v>12.13</c:v>
                </c:pt>
                <c:pt idx="148">
                  <c:v>11.98</c:v>
                </c:pt>
                <c:pt idx="149">
                  <c:v>11.25</c:v>
                </c:pt>
                <c:pt idx="150">
                  <c:v>11.41</c:v>
                </c:pt>
                <c:pt idx="151">
                  <c:v>11.79</c:v>
                </c:pt>
                <c:pt idx="152">
                  <c:v>11.98</c:v>
                </c:pt>
                <c:pt idx="153">
                  <c:v>12.32</c:v>
                </c:pt>
                <c:pt idx="154">
                  <c:v>12.12</c:v>
                </c:pt>
                <c:pt idx="155">
                  <c:v>12.997999999999999</c:v>
                </c:pt>
                <c:pt idx="156">
                  <c:v>13.161</c:v>
                </c:pt>
                <c:pt idx="157">
                  <c:v>13.329000000000001</c:v>
                </c:pt>
                <c:pt idx="158">
                  <c:v>13.763999999999999</c:v>
                </c:pt>
                <c:pt idx="159">
                  <c:v>13.632999999999999</c:v>
                </c:pt>
                <c:pt idx="160">
                  <c:v>13.743</c:v>
                </c:pt>
                <c:pt idx="161">
                  <c:v>13.827999999999999</c:v>
                </c:pt>
                <c:pt idx="162">
                  <c:v>13.199</c:v>
                </c:pt>
                <c:pt idx="163">
                  <c:v>13.382</c:v>
                </c:pt>
                <c:pt idx="164">
                  <c:v>13.584</c:v>
                </c:pt>
                <c:pt idx="165">
                  <c:v>14.13</c:v>
                </c:pt>
                <c:pt idx="166">
                  <c:v>14.204000000000001</c:v>
                </c:pt>
                <c:pt idx="167">
                  <c:v>14.542999999999999</c:v>
                </c:pt>
                <c:pt idx="168">
                  <c:v>14.445</c:v>
                </c:pt>
                <c:pt idx="169">
                  <c:v>14.16</c:v>
                </c:pt>
                <c:pt idx="170">
                  <c:v>14.92</c:v>
                </c:pt>
                <c:pt idx="171">
                  <c:v>15.46</c:v>
                </c:pt>
                <c:pt idx="172">
                  <c:v>13.118</c:v>
                </c:pt>
                <c:pt idx="173">
                  <c:v>13.496</c:v>
                </c:pt>
                <c:pt idx="174">
                  <c:v>13.57</c:v>
                </c:pt>
                <c:pt idx="175">
                  <c:v>12.75</c:v>
                </c:pt>
                <c:pt idx="176">
                  <c:v>12.47</c:v>
                </c:pt>
                <c:pt idx="177">
                  <c:v>12.45</c:v>
                </c:pt>
                <c:pt idx="178">
                  <c:v>12.706</c:v>
                </c:pt>
                <c:pt idx="179">
                  <c:v>12.207000000000001</c:v>
                </c:pt>
                <c:pt idx="180">
                  <c:v>12.6</c:v>
                </c:pt>
                <c:pt idx="181">
                  <c:v>12.791</c:v>
                </c:pt>
                <c:pt idx="182">
                  <c:v>12.138</c:v>
                </c:pt>
                <c:pt idx="183">
                  <c:v>10.787000000000001</c:v>
                </c:pt>
                <c:pt idx="184">
                  <c:v>10.5</c:v>
                </c:pt>
                <c:pt idx="185">
                  <c:v>10.073</c:v>
                </c:pt>
                <c:pt idx="186">
                  <c:v>10.500999999999999</c:v>
                </c:pt>
                <c:pt idx="187">
                  <c:v>10.199999999999999</c:v>
                </c:pt>
                <c:pt idx="188">
                  <c:v>10.766999999999999</c:v>
                </c:pt>
                <c:pt idx="189">
                  <c:v>10.67</c:v>
                </c:pt>
                <c:pt idx="190">
                  <c:v>9.1959999999999997</c:v>
                </c:pt>
                <c:pt idx="191">
                  <c:v>8.3770000000000007</c:v>
                </c:pt>
                <c:pt idx="192">
                  <c:v>8.6929999999999996</c:v>
                </c:pt>
                <c:pt idx="193">
                  <c:v>8.0530000000000008</c:v>
                </c:pt>
                <c:pt idx="194">
                  <c:v>7.8659999999999997</c:v>
                </c:pt>
                <c:pt idx="195">
                  <c:v>7.9</c:v>
                </c:pt>
                <c:pt idx="196">
                  <c:v>8.23</c:v>
                </c:pt>
                <c:pt idx="197">
                  <c:v>8.6059999999999999</c:v>
                </c:pt>
                <c:pt idx="198">
                  <c:v>8.5050000000000008</c:v>
                </c:pt>
                <c:pt idx="199">
                  <c:v>8.5410000000000004</c:v>
                </c:pt>
                <c:pt idx="200">
                  <c:v>8.0009999999999994</c:v>
                </c:pt>
                <c:pt idx="201">
                  <c:v>7.8559999999999999</c:v>
                </c:pt>
                <c:pt idx="202">
                  <c:v>7.5750000000000002</c:v>
                </c:pt>
                <c:pt idx="203">
                  <c:v>7.48</c:v>
                </c:pt>
                <c:pt idx="204">
                  <c:v>7.7329999999999997</c:v>
                </c:pt>
                <c:pt idx="205">
                  <c:v>7.3150000000000004</c:v>
                </c:pt>
                <c:pt idx="206">
                  <c:v>7.335</c:v>
                </c:pt>
                <c:pt idx="207">
                  <c:v>7.3440000000000003</c:v>
                </c:pt>
                <c:pt idx="208">
                  <c:v>7.2380000000000004</c:v>
                </c:pt>
                <c:pt idx="209">
                  <c:v>7.2670000000000003</c:v>
                </c:pt>
                <c:pt idx="210">
                  <c:v>7.5359999999999996</c:v>
                </c:pt>
                <c:pt idx="211">
                  <c:v>7.26</c:v>
                </c:pt>
                <c:pt idx="212">
                  <c:v>7.2839999999999998</c:v>
                </c:pt>
                <c:pt idx="213">
                  <c:v>7.1870000000000003</c:v>
                </c:pt>
                <c:pt idx="214">
                  <c:v>7.1529999999999996</c:v>
                </c:pt>
                <c:pt idx="215">
                  <c:v>7.0049999999999999</c:v>
                </c:pt>
                <c:pt idx="216">
                  <c:v>7.0229999999999997</c:v>
                </c:pt>
                <c:pt idx="217">
                  <c:v>7.3339999999999996</c:v>
                </c:pt>
                <c:pt idx="218">
                  <c:v>7.35</c:v>
                </c:pt>
                <c:pt idx="219">
                  <c:v>7.0419999999999998</c:v>
                </c:pt>
                <c:pt idx="220">
                  <c:v>7.0890000000000004</c:v>
                </c:pt>
                <c:pt idx="221">
                  <c:v>8.8379999999999992</c:v>
                </c:pt>
                <c:pt idx="222">
                  <c:v>9.1050000000000004</c:v>
                </c:pt>
                <c:pt idx="223">
                  <c:v>8.9830000000000005</c:v>
                </c:pt>
                <c:pt idx="224">
                  <c:v>9.4559999999999995</c:v>
                </c:pt>
                <c:pt idx="225">
                  <c:v>9.0809999999999995</c:v>
                </c:pt>
                <c:pt idx="226">
                  <c:v>9.5350000000000001</c:v>
                </c:pt>
                <c:pt idx="227">
                  <c:v>9.3759999999999994</c:v>
                </c:pt>
                <c:pt idx="228">
                  <c:v>9.2629999999999999</c:v>
                </c:pt>
                <c:pt idx="229">
                  <c:v>8.9359999999999999</c:v>
                </c:pt>
                <c:pt idx="230">
                  <c:v>9.5239999999999991</c:v>
                </c:pt>
                <c:pt idx="231">
                  <c:v>10.169</c:v>
                </c:pt>
                <c:pt idx="232">
                  <c:v>9.1300000000000008</c:v>
                </c:pt>
                <c:pt idx="233">
                  <c:v>8.9359999999999999</c:v>
                </c:pt>
                <c:pt idx="234">
                  <c:v>9.2330000000000005</c:v>
                </c:pt>
                <c:pt idx="235">
                  <c:v>10.138</c:v>
                </c:pt>
                <c:pt idx="236">
                  <c:v>10.135999999999999</c:v>
                </c:pt>
                <c:pt idx="237">
                  <c:v>10.134</c:v>
                </c:pt>
                <c:pt idx="238">
                  <c:v>10.750999999999999</c:v>
                </c:pt>
                <c:pt idx="239">
                  <c:v>10.526</c:v>
                </c:pt>
                <c:pt idx="240">
                  <c:v>10.077</c:v>
                </c:pt>
                <c:pt idx="241">
                  <c:v>10.481999999999999</c:v>
                </c:pt>
                <c:pt idx="242">
                  <c:v>10.303000000000001</c:v>
                </c:pt>
                <c:pt idx="243">
                  <c:v>10.266999999999999</c:v>
                </c:pt>
                <c:pt idx="244">
                  <c:v>11.045</c:v>
                </c:pt>
                <c:pt idx="245">
                  <c:v>12.5</c:v>
                </c:pt>
                <c:pt idx="246">
                  <c:v>10.85</c:v>
                </c:pt>
                <c:pt idx="247">
                  <c:v>10.215</c:v>
                </c:pt>
                <c:pt idx="248">
                  <c:v>10.37</c:v>
                </c:pt>
                <c:pt idx="249">
                  <c:v>9.9459999999999997</c:v>
                </c:pt>
                <c:pt idx="250">
                  <c:v>14.837999999999999</c:v>
                </c:pt>
                <c:pt idx="251">
                  <c:v>17.878</c:v>
                </c:pt>
                <c:pt idx="252">
                  <c:v>16.114999999999998</c:v>
                </c:pt>
                <c:pt idx="253">
                  <c:v>14.526</c:v>
                </c:pt>
                <c:pt idx="254">
                  <c:v>26.306000000000001</c:v>
                </c:pt>
                <c:pt idx="255">
                  <c:v>19.18</c:v>
                </c:pt>
                <c:pt idx="256">
                  <c:v>18.283999999999999</c:v>
                </c:pt>
                <c:pt idx="257">
                  <c:v>20.106000000000002</c:v>
                </c:pt>
                <c:pt idx="258">
                  <c:v>17.431999999999999</c:v>
                </c:pt>
                <c:pt idx="259">
                  <c:v>15.855</c:v>
                </c:pt>
                <c:pt idx="260">
                  <c:v>14.685</c:v>
                </c:pt>
                <c:pt idx="261">
                  <c:v>15.287000000000001</c:v>
                </c:pt>
                <c:pt idx="262">
                  <c:v>15.132999999999999</c:v>
                </c:pt>
                <c:pt idx="263">
                  <c:v>15.988</c:v>
                </c:pt>
                <c:pt idx="264">
                  <c:v>17.074999999999999</c:v>
                </c:pt>
                <c:pt idx="265">
                  <c:v>17.204000000000001</c:v>
                </c:pt>
                <c:pt idx="266">
                  <c:v>17.687000000000001</c:v>
                </c:pt>
                <c:pt idx="267">
                  <c:v>18.475999999999999</c:v>
                </c:pt>
                <c:pt idx="268">
                  <c:v>17.686</c:v>
                </c:pt>
                <c:pt idx="269">
                  <c:v>20.268999999999998</c:v>
                </c:pt>
                <c:pt idx="270">
                  <c:v>22.241</c:v>
                </c:pt>
                <c:pt idx="271">
                  <c:v>18.800999999999998</c:v>
                </c:pt>
                <c:pt idx="272">
                  <c:v>17.702000000000002</c:v>
                </c:pt>
                <c:pt idx="273">
                  <c:v>16.738</c:v>
                </c:pt>
                <c:pt idx="274">
                  <c:v>16.013000000000002</c:v>
                </c:pt>
                <c:pt idx="275">
                  <c:v>16.881</c:v>
                </c:pt>
                <c:pt idx="276">
                  <c:v>16.751999999999999</c:v>
                </c:pt>
                <c:pt idx="277">
                  <c:v>16.5</c:v>
                </c:pt>
                <c:pt idx="278">
                  <c:v>15.503</c:v>
                </c:pt>
                <c:pt idx="279">
                  <c:v>15.708</c:v>
                </c:pt>
                <c:pt idx="280">
                  <c:v>17.997</c:v>
                </c:pt>
                <c:pt idx="281">
                  <c:v>14.048999999999999</c:v>
                </c:pt>
                <c:pt idx="282">
                  <c:v>13.842000000000001</c:v>
                </c:pt>
                <c:pt idx="283">
                  <c:v>13.282999999999999</c:v>
                </c:pt>
                <c:pt idx="284">
                  <c:v>14.125999999999999</c:v>
                </c:pt>
                <c:pt idx="285">
                  <c:v>16.190000000000001</c:v>
                </c:pt>
                <c:pt idx="286">
                  <c:v>16.213000000000001</c:v>
                </c:pt>
                <c:pt idx="287">
                  <c:v>17.158999999999999</c:v>
                </c:pt>
                <c:pt idx="288">
                  <c:v>16.611000000000001</c:v>
                </c:pt>
                <c:pt idx="289">
                  <c:v>17.196000000000002</c:v>
                </c:pt>
                <c:pt idx="290">
                  <c:v>16.809000000000001</c:v>
                </c:pt>
                <c:pt idx="291">
                  <c:v>15.8</c:v>
                </c:pt>
                <c:pt idx="292">
                  <c:v>14.948</c:v>
                </c:pt>
                <c:pt idx="293">
                  <c:v>15.525</c:v>
                </c:pt>
                <c:pt idx="294">
                  <c:v>15.643000000000001</c:v>
                </c:pt>
                <c:pt idx="295">
                  <c:v>16.940000000000001</c:v>
                </c:pt>
                <c:pt idx="296">
                  <c:v>15.8</c:v>
                </c:pt>
                <c:pt idx="297">
                  <c:v>14.195</c:v>
                </c:pt>
                <c:pt idx="298">
                  <c:v>13.916</c:v>
                </c:pt>
                <c:pt idx="299">
                  <c:v>13.448</c:v>
                </c:pt>
                <c:pt idx="300">
                  <c:v>14.478999999999999</c:v>
                </c:pt>
                <c:pt idx="301">
                  <c:v>14.066000000000001</c:v>
                </c:pt>
                <c:pt idx="302">
                  <c:v>14.153</c:v>
                </c:pt>
                <c:pt idx="303">
                  <c:v>14.436999999999999</c:v>
                </c:pt>
                <c:pt idx="304">
                  <c:v>14.933999999999999</c:v>
                </c:pt>
                <c:pt idx="305">
                  <c:v>13.84</c:v>
                </c:pt>
                <c:pt idx="306">
                  <c:v>13.988</c:v>
                </c:pt>
                <c:pt idx="307">
                  <c:v>13.958</c:v>
                </c:pt>
                <c:pt idx="308">
                  <c:v>13.295</c:v>
                </c:pt>
                <c:pt idx="309">
                  <c:v>12.851000000000001</c:v>
                </c:pt>
                <c:pt idx="310">
                  <c:v>13.888999999999999</c:v>
                </c:pt>
                <c:pt idx="311">
                  <c:v>14.41</c:v>
                </c:pt>
                <c:pt idx="312">
                  <c:v>15.013999999999999</c:v>
                </c:pt>
                <c:pt idx="313">
                  <c:v>14.71</c:v>
                </c:pt>
                <c:pt idx="314">
                  <c:v>14.893000000000001</c:v>
                </c:pt>
                <c:pt idx="315">
                  <c:v>14.997999999999999</c:v>
                </c:pt>
                <c:pt idx="316">
                  <c:v>14.747999999999999</c:v>
                </c:pt>
                <c:pt idx="317">
                  <c:v>14.927</c:v>
                </c:pt>
                <c:pt idx="318">
                  <c:v>14.368</c:v>
                </c:pt>
                <c:pt idx="319">
                  <c:v>15.493</c:v>
                </c:pt>
                <c:pt idx="320">
                  <c:v>17.619</c:v>
                </c:pt>
                <c:pt idx="321">
                  <c:v>14.2</c:v>
                </c:pt>
                <c:pt idx="322">
                  <c:v>14.406000000000001</c:v>
                </c:pt>
                <c:pt idx="323">
                  <c:v>13.986000000000001</c:v>
                </c:pt>
                <c:pt idx="324">
                  <c:v>11.275</c:v>
                </c:pt>
                <c:pt idx="325">
                  <c:v>10.11</c:v>
                </c:pt>
                <c:pt idx="326">
                  <c:v>10.102</c:v>
                </c:pt>
                <c:pt idx="327">
                  <c:v>9.73</c:v>
                </c:pt>
                <c:pt idx="328">
                  <c:v>9.1159999999999997</c:v>
                </c:pt>
                <c:pt idx="329">
                  <c:v>9.3759999999999994</c:v>
                </c:pt>
                <c:pt idx="330">
                  <c:v>9.9469999999999992</c:v>
                </c:pt>
                <c:pt idx="331">
                  <c:v>9.5</c:v>
                </c:pt>
                <c:pt idx="332">
                  <c:v>9.7430000000000003</c:v>
                </c:pt>
                <c:pt idx="333">
                  <c:v>9.1829999999999998</c:v>
                </c:pt>
                <c:pt idx="334">
                  <c:v>9.2759999999999998</c:v>
                </c:pt>
                <c:pt idx="335">
                  <c:v>9.0510000000000002</c:v>
                </c:pt>
                <c:pt idx="336">
                  <c:v>9.5190000000000001</c:v>
                </c:pt>
                <c:pt idx="337">
                  <c:v>9.6880000000000006</c:v>
                </c:pt>
                <c:pt idx="338">
                  <c:v>9.2390000000000008</c:v>
                </c:pt>
                <c:pt idx="339">
                  <c:v>10.412000000000001</c:v>
                </c:pt>
                <c:pt idx="340">
                  <c:v>11.57</c:v>
                </c:pt>
                <c:pt idx="341">
                  <c:v>11.021000000000001</c:v>
                </c:pt>
                <c:pt idx="342">
                  <c:v>12.577</c:v>
                </c:pt>
                <c:pt idx="343">
                  <c:v>11.808999999999999</c:v>
                </c:pt>
                <c:pt idx="344">
                  <c:v>10.866</c:v>
                </c:pt>
                <c:pt idx="345">
                  <c:v>10.965</c:v>
                </c:pt>
                <c:pt idx="346">
                  <c:v>10.471</c:v>
                </c:pt>
                <c:pt idx="347">
                  <c:v>11.167</c:v>
                </c:pt>
                <c:pt idx="348">
                  <c:v>12</c:v>
                </c:pt>
                <c:pt idx="349">
                  <c:v>10.75</c:v>
                </c:pt>
                <c:pt idx="350">
                  <c:v>9.4499999999999993</c:v>
                </c:pt>
                <c:pt idx="351">
                  <c:v>9.0289999999999999</c:v>
                </c:pt>
                <c:pt idx="352">
                  <c:v>8.9390000000000001</c:v>
                </c:pt>
                <c:pt idx="353">
                  <c:v>8.4339999999999993</c:v>
                </c:pt>
                <c:pt idx="354">
                  <c:v>8.3209999999999997</c:v>
                </c:pt>
                <c:pt idx="355">
                  <c:v>8.8420000000000005</c:v>
                </c:pt>
                <c:pt idx="356">
                  <c:v>8.2490000000000006</c:v>
                </c:pt>
                <c:pt idx="357">
                  <c:v>7.82</c:v>
                </c:pt>
                <c:pt idx="358">
                  <c:v>7.9379999999999997</c:v>
                </c:pt>
                <c:pt idx="359">
                  <c:v>8.0069999999999997</c:v>
                </c:pt>
                <c:pt idx="360">
                  <c:v>8.1489999999999991</c:v>
                </c:pt>
                <c:pt idx="361">
                  <c:v>7.7830000000000004</c:v>
                </c:pt>
                <c:pt idx="362">
                  <c:v>7.8719999999999999</c:v>
                </c:pt>
                <c:pt idx="363">
                  <c:v>7.9539999999999997</c:v>
                </c:pt>
                <c:pt idx="364">
                  <c:v>8.39</c:v>
                </c:pt>
                <c:pt idx="365">
                  <c:v>7.85</c:v>
                </c:pt>
                <c:pt idx="366">
                  <c:v>8.6579999999999995</c:v>
                </c:pt>
                <c:pt idx="367">
                  <c:v>8.7970000000000006</c:v>
                </c:pt>
                <c:pt idx="368">
                  <c:v>9.048</c:v>
                </c:pt>
                <c:pt idx="369">
                  <c:v>9.1999999999999993</c:v>
                </c:pt>
                <c:pt idx="370">
                  <c:v>9.1859999999999999</c:v>
                </c:pt>
                <c:pt idx="371">
                  <c:v>8.532</c:v>
                </c:pt>
                <c:pt idx="372">
                  <c:v>9.6679999999999993</c:v>
                </c:pt>
                <c:pt idx="373">
                  <c:v>9.7010000000000005</c:v>
                </c:pt>
                <c:pt idx="374">
                  <c:v>9.8290000000000006</c:v>
                </c:pt>
                <c:pt idx="375">
                  <c:v>9.8520000000000003</c:v>
                </c:pt>
                <c:pt idx="376">
                  <c:v>10.050000000000001</c:v>
                </c:pt>
                <c:pt idx="377">
                  <c:v>9.9909999999999997</c:v>
                </c:pt>
                <c:pt idx="378">
                  <c:v>10.317</c:v>
                </c:pt>
                <c:pt idx="379">
                  <c:v>10.31</c:v>
                </c:pt>
                <c:pt idx="380">
                  <c:v>9.3420000000000005</c:v>
                </c:pt>
                <c:pt idx="381">
                  <c:v>9.5540000000000003</c:v>
                </c:pt>
                <c:pt idx="382">
                  <c:v>9.7089999999999996</c:v>
                </c:pt>
                <c:pt idx="383">
                  <c:v>10.425000000000001</c:v>
                </c:pt>
                <c:pt idx="384">
                  <c:v>10.223000000000001</c:v>
                </c:pt>
                <c:pt idx="385">
                  <c:v>9.5510000000000002</c:v>
                </c:pt>
                <c:pt idx="386">
                  <c:v>9.82</c:v>
                </c:pt>
                <c:pt idx="387">
                  <c:v>10.398999999999999</c:v>
                </c:pt>
                <c:pt idx="388">
                  <c:v>10.51</c:v>
                </c:pt>
                <c:pt idx="389">
                  <c:v>11.33</c:v>
                </c:pt>
                <c:pt idx="390">
                  <c:v>11.868</c:v>
                </c:pt>
                <c:pt idx="391">
                  <c:v>12.555</c:v>
                </c:pt>
                <c:pt idx="392">
                  <c:v>12.089</c:v>
                </c:pt>
                <c:pt idx="393">
                  <c:v>13.55</c:v>
                </c:pt>
                <c:pt idx="394">
                  <c:v>14.65</c:v>
                </c:pt>
                <c:pt idx="395">
                  <c:v>15.988</c:v>
                </c:pt>
                <c:pt idx="396">
                  <c:v>15.058</c:v>
                </c:pt>
                <c:pt idx="397">
                  <c:v>13.358000000000001</c:v>
                </c:pt>
                <c:pt idx="398">
                  <c:v>14.457000000000001</c:v>
                </c:pt>
                <c:pt idx="399">
                  <c:v>15.102</c:v>
                </c:pt>
                <c:pt idx="400">
                  <c:v>13.803000000000001</c:v>
                </c:pt>
                <c:pt idx="401">
                  <c:v>18.948</c:v>
                </c:pt>
                <c:pt idx="402">
                  <c:v>25.2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D5-44F0-915B-51C7B0D1412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-0.40954694057165897</c:v>
                </c:pt>
                <c:pt idx="1">
                  <c:v>-0.40954177077165899</c:v>
                </c:pt>
                <c:pt idx="2">
                  <c:v>-0.40938017557165896</c:v>
                </c:pt>
                <c:pt idx="3">
                  <c:v>-0.40945712388704364</c:v>
                </c:pt>
                <c:pt idx="4">
                  <c:v>-0.40976739291143388</c:v>
                </c:pt>
                <c:pt idx="5">
                  <c:v>-0.40967278751143393</c:v>
                </c:pt>
                <c:pt idx="6">
                  <c:v>-0.40853646945143385</c:v>
                </c:pt>
                <c:pt idx="7">
                  <c:v>-0.40791387245501276</c:v>
                </c:pt>
                <c:pt idx="8">
                  <c:v>-0.40643054595501282</c:v>
                </c:pt>
                <c:pt idx="9">
                  <c:v>-0.40621893004121973</c:v>
                </c:pt>
                <c:pt idx="10">
                  <c:v>-0.40609115540878732</c:v>
                </c:pt>
                <c:pt idx="11">
                  <c:v>-0.40569267831405048</c:v>
                </c:pt>
                <c:pt idx="12">
                  <c:v>-0.40573506743405047</c:v>
                </c:pt>
                <c:pt idx="13">
                  <c:v>-0.40572213313405048</c:v>
                </c:pt>
                <c:pt idx="14">
                  <c:v>-0.40596407740677776</c:v>
                </c:pt>
                <c:pt idx="15">
                  <c:v>-0.40539776318253529</c:v>
                </c:pt>
                <c:pt idx="16">
                  <c:v>-0.40523056190048401</c:v>
                </c:pt>
                <c:pt idx="17">
                  <c:v>-0.40492203270588945</c:v>
                </c:pt>
                <c:pt idx="18">
                  <c:v>-0.40472203526255607</c:v>
                </c:pt>
                <c:pt idx="19">
                  <c:v>-0.40426690556255607</c:v>
                </c:pt>
                <c:pt idx="20">
                  <c:v>-0.40345594151528336</c:v>
                </c:pt>
                <c:pt idx="21">
                  <c:v>-0.40367168641242623</c:v>
                </c:pt>
                <c:pt idx="22">
                  <c:v>-0.40329464811242627</c:v>
                </c:pt>
                <c:pt idx="23">
                  <c:v>-0.40303629866070212</c:v>
                </c:pt>
                <c:pt idx="24">
                  <c:v>-0.40210145456070218</c:v>
                </c:pt>
                <c:pt idx="25">
                  <c:v>-0.40210145456070218</c:v>
                </c:pt>
                <c:pt idx="26">
                  <c:v>-0.40197398379706578</c:v>
                </c:pt>
                <c:pt idx="27">
                  <c:v>-0.40217324026947954</c:v>
                </c:pt>
                <c:pt idx="28">
                  <c:v>-0.40182866590990507</c:v>
                </c:pt>
                <c:pt idx="29">
                  <c:v>-0.4019324097941156</c:v>
                </c:pt>
                <c:pt idx="30">
                  <c:v>-0.40143774047620512</c:v>
                </c:pt>
                <c:pt idx="31">
                  <c:v>-0.39955913712851276</c:v>
                </c:pt>
                <c:pt idx="32">
                  <c:v>-0.39743261228083832</c:v>
                </c:pt>
                <c:pt idx="33">
                  <c:v>-0.39773646644750499</c:v>
                </c:pt>
                <c:pt idx="34">
                  <c:v>-0.39753122248386857</c:v>
                </c:pt>
                <c:pt idx="35">
                  <c:v>-0.39719816190694551</c:v>
                </c:pt>
                <c:pt idx="36">
                  <c:v>-0.39766213917591109</c:v>
                </c:pt>
                <c:pt idx="37">
                  <c:v>-0.39768454215539828</c:v>
                </c:pt>
                <c:pt idx="38">
                  <c:v>-0.39700331055539823</c:v>
                </c:pt>
                <c:pt idx="39">
                  <c:v>-0.39756338713977324</c:v>
                </c:pt>
                <c:pt idx="40">
                  <c:v>-0.3969747849364399</c:v>
                </c:pt>
                <c:pt idx="41">
                  <c:v>-0.39718853219358286</c:v>
                </c:pt>
                <c:pt idx="42">
                  <c:v>-0.3967858693429499</c:v>
                </c:pt>
                <c:pt idx="43">
                  <c:v>-0.39561797494639817</c:v>
                </c:pt>
                <c:pt idx="44">
                  <c:v>-0.39505487332639821</c:v>
                </c:pt>
                <c:pt idx="45">
                  <c:v>-0.39532032125072253</c:v>
                </c:pt>
                <c:pt idx="46">
                  <c:v>-0.39478235686356655</c:v>
                </c:pt>
                <c:pt idx="47">
                  <c:v>-0.39473491218356654</c:v>
                </c:pt>
                <c:pt idx="48">
                  <c:v>-0.39474615725023326</c:v>
                </c:pt>
                <c:pt idx="49">
                  <c:v>-0.39338321253912212</c:v>
                </c:pt>
                <c:pt idx="50">
                  <c:v>-0.38983539356732727</c:v>
                </c:pt>
                <c:pt idx="51">
                  <c:v>-0.38976797381956607</c:v>
                </c:pt>
                <c:pt idx="52">
                  <c:v>-0.38530784448120986</c:v>
                </c:pt>
                <c:pt idx="53">
                  <c:v>-0.37752766882805378</c:v>
                </c:pt>
                <c:pt idx="54">
                  <c:v>-0.35159552577705661</c:v>
                </c:pt>
                <c:pt idx="55">
                  <c:v>-0.35139057699705661</c:v>
                </c:pt>
                <c:pt idx="56">
                  <c:v>-0.3499788506887726</c:v>
                </c:pt>
                <c:pt idx="57">
                  <c:v>-0.3502864305041572</c:v>
                </c:pt>
                <c:pt idx="58">
                  <c:v>-0.35019779136731505</c:v>
                </c:pt>
                <c:pt idx="59">
                  <c:v>-0.34919515742731505</c:v>
                </c:pt>
                <c:pt idx="60">
                  <c:v>-0.34937585580423808</c:v>
                </c:pt>
                <c:pt idx="61">
                  <c:v>-0.34975861331803121</c:v>
                </c:pt>
                <c:pt idx="62">
                  <c:v>-0.34979710925136454</c:v>
                </c:pt>
                <c:pt idx="63">
                  <c:v>-0.34905047370090581</c:v>
                </c:pt>
                <c:pt idx="64">
                  <c:v>-0.34936998964535032</c:v>
                </c:pt>
                <c:pt idx="65">
                  <c:v>-0.34922251342135024</c:v>
                </c:pt>
                <c:pt idx="66">
                  <c:v>-0.3462658429546836</c:v>
                </c:pt>
                <c:pt idx="67">
                  <c:v>-0.34599899581182642</c:v>
                </c:pt>
                <c:pt idx="68">
                  <c:v>-0.34585365373682642</c:v>
                </c:pt>
                <c:pt idx="69">
                  <c:v>-0.34616251853682639</c:v>
                </c:pt>
                <c:pt idx="70">
                  <c:v>-0.34674154252201156</c:v>
                </c:pt>
                <c:pt idx="71">
                  <c:v>-0.34573583536201158</c:v>
                </c:pt>
                <c:pt idx="72">
                  <c:v>-0.34478481628948415</c:v>
                </c:pt>
                <c:pt idx="73">
                  <c:v>-0.34346992443268409</c:v>
                </c:pt>
                <c:pt idx="74">
                  <c:v>-0.34270810247342487</c:v>
                </c:pt>
                <c:pt idx="75">
                  <c:v>-0.3430098496347152</c:v>
                </c:pt>
                <c:pt idx="76">
                  <c:v>-0.34266963158632807</c:v>
                </c:pt>
                <c:pt idx="77">
                  <c:v>-0.34178667712478961</c:v>
                </c:pt>
                <c:pt idx="78">
                  <c:v>-0.34094151702478964</c:v>
                </c:pt>
                <c:pt idx="79">
                  <c:v>-0.33958856670478965</c:v>
                </c:pt>
                <c:pt idx="80">
                  <c:v>-0.33934630147978961</c:v>
                </c:pt>
                <c:pt idx="81">
                  <c:v>-0.33914487765978962</c:v>
                </c:pt>
                <c:pt idx="82">
                  <c:v>-0.33748575975330319</c:v>
                </c:pt>
                <c:pt idx="83">
                  <c:v>-0.33753496287638007</c:v>
                </c:pt>
                <c:pt idx="84">
                  <c:v>-0.33730926484513007</c:v>
                </c:pt>
                <c:pt idx="85">
                  <c:v>-0.336276253669268</c:v>
                </c:pt>
                <c:pt idx="86">
                  <c:v>-0.3364932306183907</c:v>
                </c:pt>
                <c:pt idx="87">
                  <c:v>-0.33589066139475438</c:v>
                </c:pt>
                <c:pt idx="88">
                  <c:v>-0.3359473896276311</c:v>
                </c:pt>
                <c:pt idx="89">
                  <c:v>-0.33579375932763106</c:v>
                </c:pt>
                <c:pt idx="90">
                  <c:v>-0.33611105121442353</c:v>
                </c:pt>
                <c:pt idx="91">
                  <c:v>-0.33630122636179194</c:v>
                </c:pt>
                <c:pt idx="92">
                  <c:v>-0.33687887460740595</c:v>
                </c:pt>
                <c:pt idx="93">
                  <c:v>-0.33548504717104233</c:v>
                </c:pt>
                <c:pt idx="94">
                  <c:v>-0.33414679097104227</c:v>
                </c:pt>
                <c:pt idx="95">
                  <c:v>-0.33495554944060751</c:v>
                </c:pt>
                <c:pt idx="96">
                  <c:v>-0.3341556837531075</c:v>
                </c:pt>
                <c:pt idx="97">
                  <c:v>-0.33410867215786938</c:v>
                </c:pt>
                <c:pt idx="98">
                  <c:v>-0.33260718098805808</c:v>
                </c:pt>
                <c:pt idx="99">
                  <c:v>-0.32884725794986713</c:v>
                </c:pt>
                <c:pt idx="100">
                  <c:v>-0.32798172489835203</c:v>
                </c:pt>
                <c:pt idx="101">
                  <c:v>-0.3274691614500761</c:v>
                </c:pt>
                <c:pt idx="102">
                  <c:v>-0.32645229467535086</c:v>
                </c:pt>
                <c:pt idx="103">
                  <c:v>-0.32614443185121289</c:v>
                </c:pt>
                <c:pt idx="104">
                  <c:v>-0.32544018459307339</c:v>
                </c:pt>
                <c:pt idx="105">
                  <c:v>-0.32433785688984762</c:v>
                </c:pt>
                <c:pt idx="106">
                  <c:v>-0.32433785688984762</c:v>
                </c:pt>
                <c:pt idx="107">
                  <c:v>-0.32409996494937138</c:v>
                </c:pt>
                <c:pt idx="108">
                  <c:v>-0.32335209211926391</c:v>
                </c:pt>
                <c:pt idx="109">
                  <c:v>-0.32246464129573449</c:v>
                </c:pt>
                <c:pt idx="110">
                  <c:v>-0.32080179984978857</c:v>
                </c:pt>
                <c:pt idx="111">
                  <c:v>-0.31938129518932346</c:v>
                </c:pt>
                <c:pt idx="112">
                  <c:v>-0.30981160157642024</c:v>
                </c:pt>
                <c:pt idx="113">
                  <c:v>-0.29040479686183096</c:v>
                </c:pt>
                <c:pt idx="114">
                  <c:v>-0.28694911947890417</c:v>
                </c:pt>
                <c:pt idx="115">
                  <c:v>-0.28474135604841089</c:v>
                </c:pt>
                <c:pt idx="116">
                  <c:v>-0.28420321684652405</c:v>
                </c:pt>
                <c:pt idx="117">
                  <c:v>-0.28223201819286547</c:v>
                </c:pt>
                <c:pt idx="118">
                  <c:v>-0.27986562969947709</c:v>
                </c:pt>
                <c:pt idx="119">
                  <c:v>-0.28009250851197703</c:v>
                </c:pt>
                <c:pt idx="120">
                  <c:v>-0.27964280725411544</c:v>
                </c:pt>
                <c:pt idx="121">
                  <c:v>-0.27852792499648832</c:v>
                </c:pt>
                <c:pt idx="122">
                  <c:v>-0.27398572972137913</c:v>
                </c:pt>
                <c:pt idx="123">
                  <c:v>-0.27291601505337909</c:v>
                </c:pt>
                <c:pt idx="124">
                  <c:v>-0.2734266604728422</c:v>
                </c:pt>
                <c:pt idx="125">
                  <c:v>-0.27248503606779167</c:v>
                </c:pt>
                <c:pt idx="126">
                  <c:v>-0.26947403517916424</c:v>
                </c:pt>
                <c:pt idx="127">
                  <c:v>-0.26863461539099853</c:v>
                </c:pt>
                <c:pt idx="128">
                  <c:v>-0.26988907076441626</c:v>
                </c:pt>
                <c:pt idx="129">
                  <c:v>-0.26656311441030373</c:v>
                </c:pt>
                <c:pt idx="130">
                  <c:v>-0.26627608133123398</c:v>
                </c:pt>
                <c:pt idx="131">
                  <c:v>-0.2648955769243963</c:v>
                </c:pt>
                <c:pt idx="132">
                  <c:v>-0.26310508633180374</c:v>
                </c:pt>
                <c:pt idx="133">
                  <c:v>-0.26268759564136895</c:v>
                </c:pt>
                <c:pt idx="134">
                  <c:v>-0.26164980943084265</c:v>
                </c:pt>
                <c:pt idx="135">
                  <c:v>-0.25451363880114569</c:v>
                </c:pt>
                <c:pt idx="136">
                  <c:v>-0.25217886540374312</c:v>
                </c:pt>
                <c:pt idx="137">
                  <c:v>-0.25014768823856454</c:v>
                </c:pt>
                <c:pt idx="138">
                  <c:v>-0.2495696558284522</c:v>
                </c:pt>
                <c:pt idx="139">
                  <c:v>-0.24204652996617673</c:v>
                </c:pt>
                <c:pt idx="140">
                  <c:v>-0.23050388156153906</c:v>
                </c:pt>
                <c:pt idx="141">
                  <c:v>-0.23055624693772953</c:v>
                </c:pt>
                <c:pt idx="142">
                  <c:v>-0.23100877839425588</c:v>
                </c:pt>
                <c:pt idx="143">
                  <c:v>-0.22964340388713139</c:v>
                </c:pt>
                <c:pt idx="144">
                  <c:v>-0.22928078654750877</c:v>
                </c:pt>
                <c:pt idx="145">
                  <c:v>-0.22944131010265609</c:v>
                </c:pt>
                <c:pt idx="146">
                  <c:v>-0.22901520672916212</c:v>
                </c:pt>
                <c:pt idx="147">
                  <c:v>-0.22982481111386102</c:v>
                </c:pt>
                <c:pt idx="148">
                  <c:v>-0.22982481111386102</c:v>
                </c:pt>
                <c:pt idx="149">
                  <c:v>-0.23080701651158828</c:v>
                </c:pt>
                <c:pt idx="150">
                  <c:v>-0.22952493792477976</c:v>
                </c:pt>
                <c:pt idx="151">
                  <c:v>-0.22849962465744644</c:v>
                </c:pt>
                <c:pt idx="152">
                  <c:v>-0.2272381336843852</c:v>
                </c:pt>
                <c:pt idx="153">
                  <c:v>-0.22643476915985689</c:v>
                </c:pt>
                <c:pt idx="154">
                  <c:v>-0.2273876420548569</c:v>
                </c:pt>
                <c:pt idx="155">
                  <c:v>-0.2255304481848569</c:v>
                </c:pt>
                <c:pt idx="156">
                  <c:v>-0.22514937256448656</c:v>
                </c:pt>
                <c:pt idx="157">
                  <c:v>-0.22294780758173102</c:v>
                </c:pt>
                <c:pt idx="158">
                  <c:v>-0.22274494097886927</c:v>
                </c:pt>
                <c:pt idx="159">
                  <c:v>-0.22242966413347756</c:v>
                </c:pt>
                <c:pt idx="160">
                  <c:v>-0.22020559018244412</c:v>
                </c:pt>
                <c:pt idx="161">
                  <c:v>-0.21958391808065494</c:v>
                </c:pt>
                <c:pt idx="162">
                  <c:v>-0.21845557659174777</c:v>
                </c:pt>
                <c:pt idx="163">
                  <c:v>-0.21800922474016884</c:v>
                </c:pt>
                <c:pt idx="164">
                  <c:v>-0.21626787775615014</c:v>
                </c:pt>
                <c:pt idx="165">
                  <c:v>-0.21476607063887523</c:v>
                </c:pt>
                <c:pt idx="166">
                  <c:v>-0.21341476732375894</c:v>
                </c:pt>
                <c:pt idx="167">
                  <c:v>-0.21236231124822222</c:v>
                </c:pt>
                <c:pt idx="168">
                  <c:v>-0.21264702662362223</c:v>
                </c:pt>
                <c:pt idx="169">
                  <c:v>-0.21260047861792974</c:v>
                </c:pt>
                <c:pt idx="170">
                  <c:v>-0.20929573831114143</c:v>
                </c:pt>
                <c:pt idx="171">
                  <c:v>-0.20645346589870184</c:v>
                </c:pt>
                <c:pt idx="172">
                  <c:v>-0.21086056363363828</c:v>
                </c:pt>
                <c:pt idx="173">
                  <c:v>-0.20569161977762215</c:v>
                </c:pt>
                <c:pt idx="174">
                  <c:v>-0.20484154129866833</c:v>
                </c:pt>
                <c:pt idx="175">
                  <c:v>-0.20722826557565721</c:v>
                </c:pt>
                <c:pt idx="176">
                  <c:v>-0.20858679685575385</c:v>
                </c:pt>
                <c:pt idx="177">
                  <c:v>-0.20869872321301411</c:v>
                </c:pt>
                <c:pt idx="178">
                  <c:v>-0.20809604573403587</c:v>
                </c:pt>
                <c:pt idx="179">
                  <c:v>-0.20822275691997219</c:v>
                </c:pt>
                <c:pt idx="180">
                  <c:v>-0.20720105546105616</c:v>
                </c:pt>
                <c:pt idx="181">
                  <c:v>-0.20666803883398233</c:v>
                </c:pt>
                <c:pt idx="182">
                  <c:v>-0.20634418409477059</c:v>
                </c:pt>
                <c:pt idx="183">
                  <c:v>-0.20809928291010774</c:v>
                </c:pt>
                <c:pt idx="184">
                  <c:v>-0.20892853697591715</c:v>
                </c:pt>
                <c:pt idx="185">
                  <c:v>-0.20844144851348692</c:v>
                </c:pt>
                <c:pt idx="186">
                  <c:v>-0.20759441668956172</c:v>
                </c:pt>
                <c:pt idx="187">
                  <c:v>-0.20835186689364293</c:v>
                </c:pt>
                <c:pt idx="188">
                  <c:v>-0.20739533603686613</c:v>
                </c:pt>
                <c:pt idx="189">
                  <c:v>-0.20779855079972837</c:v>
                </c:pt>
                <c:pt idx="190">
                  <c:v>-0.21087805931158021</c:v>
                </c:pt>
                <c:pt idx="191">
                  <c:v>-0.21259132801202796</c:v>
                </c:pt>
                <c:pt idx="192">
                  <c:v>-0.21044021603840471</c:v>
                </c:pt>
                <c:pt idx="193">
                  <c:v>-0.21343059574174192</c:v>
                </c:pt>
                <c:pt idx="194">
                  <c:v>-0.21295132786732507</c:v>
                </c:pt>
                <c:pt idx="195">
                  <c:v>-0.21299361186532506</c:v>
                </c:pt>
                <c:pt idx="196">
                  <c:v>-0.21201802703400724</c:v>
                </c:pt>
                <c:pt idx="197">
                  <c:v>-0.21122423929275078</c:v>
                </c:pt>
                <c:pt idx="198">
                  <c:v>-0.2119766314507035</c:v>
                </c:pt>
                <c:pt idx="199">
                  <c:v>-0.21174076032377437</c:v>
                </c:pt>
                <c:pt idx="200">
                  <c:v>-0.21352313615339763</c:v>
                </c:pt>
                <c:pt idx="201">
                  <c:v>-0.21026399194853931</c:v>
                </c:pt>
                <c:pt idx="202">
                  <c:v>-0.21002629659428498</c:v>
                </c:pt>
                <c:pt idx="203">
                  <c:v>-0.21051299151754341</c:v>
                </c:pt>
                <c:pt idx="204">
                  <c:v>-0.20870815818153357</c:v>
                </c:pt>
                <c:pt idx="205">
                  <c:v>-0.20841261898180047</c:v>
                </c:pt>
                <c:pt idx="206">
                  <c:v>-0.20780421699443208</c:v>
                </c:pt>
                <c:pt idx="207">
                  <c:v>-0.20766267491939758</c:v>
                </c:pt>
                <c:pt idx="208">
                  <c:v>-0.20736898848144483</c:v>
                </c:pt>
                <c:pt idx="209">
                  <c:v>-0.20621335526461149</c:v>
                </c:pt>
                <c:pt idx="210">
                  <c:v>-0.20309079042184591</c:v>
                </c:pt>
                <c:pt idx="211">
                  <c:v>-0.20180001605436854</c:v>
                </c:pt>
                <c:pt idx="212">
                  <c:v>-0.20233215176671368</c:v>
                </c:pt>
                <c:pt idx="213">
                  <c:v>-0.20211803492172906</c:v>
                </c:pt>
                <c:pt idx="214">
                  <c:v>-0.20202189510124827</c:v>
                </c:pt>
                <c:pt idx="215">
                  <c:v>-0.2029070038015921</c:v>
                </c:pt>
                <c:pt idx="216">
                  <c:v>-0.2022071608691107</c:v>
                </c:pt>
                <c:pt idx="217">
                  <c:v>-0.20148872726815623</c:v>
                </c:pt>
                <c:pt idx="218">
                  <c:v>-0.20163836172357036</c:v>
                </c:pt>
                <c:pt idx="219">
                  <c:v>-0.20187813077935984</c:v>
                </c:pt>
                <c:pt idx="220">
                  <c:v>-0.20261621186140638</c:v>
                </c:pt>
                <c:pt idx="221">
                  <c:v>-0.20043201682893244</c:v>
                </c:pt>
                <c:pt idx="222">
                  <c:v>-0.20019394027007997</c:v>
                </c:pt>
                <c:pt idx="223">
                  <c:v>-0.20011935961398239</c:v>
                </c:pt>
                <c:pt idx="224">
                  <c:v>-0.19956958611618111</c:v>
                </c:pt>
                <c:pt idx="225">
                  <c:v>-0.19847214351144515</c:v>
                </c:pt>
                <c:pt idx="226">
                  <c:v>-0.19705274291561067</c:v>
                </c:pt>
                <c:pt idx="227">
                  <c:v>-0.1977971946768452</c:v>
                </c:pt>
                <c:pt idx="228">
                  <c:v>-0.19726147431080354</c:v>
                </c:pt>
                <c:pt idx="229">
                  <c:v>-0.1976182917942628</c:v>
                </c:pt>
                <c:pt idx="230">
                  <c:v>-0.19742330452184303</c:v>
                </c:pt>
                <c:pt idx="231">
                  <c:v>-0.18339108832610471</c:v>
                </c:pt>
                <c:pt idx="232">
                  <c:v>-0.18738015725829488</c:v>
                </c:pt>
                <c:pt idx="233">
                  <c:v>-0.18847145952986349</c:v>
                </c:pt>
                <c:pt idx="234">
                  <c:v>-0.18903385367529266</c:v>
                </c:pt>
                <c:pt idx="235">
                  <c:v>-0.1863655853430779</c:v>
                </c:pt>
                <c:pt idx="236">
                  <c:v>-0.18654662902735017</c:v>
                </c:pt>
                <c:pt idx="237">
                  <c:v>-0.18629390847250307</c:v>
                </c:pt>
                <c:pt idx="238">
                  <c:v>-0.18449257087955423</c:v>
                </c:pt>
                <c:pt idx="239">
                  <c:v>-0.18391044860412989</c:v>
                </c:pt>
                <c:pt idx="240">
                  <c:v>-0.18482779543923389</c:v>
                </c:pt>
                <c:pt idx="241">
                  <c:v>-0.18320566070637229</c:v>
                </c:pt>
                <c:pt idx="242">
                  <c:v>-0.18448952727267801</c:v>
                </c:pt>
                <c:pt idx="243">
                  <c:v>-0.18459808862814428</c:v>
                </c:pt>
                <c:pt idx="244">
                  <c:v>-0.18381873713711872</c:v>
                </c:pt>
                <c:pt idx="245">
                  <c:v>-0.17944582274576926</c:v>
                </c:pt>
                <c:pt idx="246">
                  <c:v>-0.18523679840514742</c:v>
                </c:pt>
                <c:pt idx="247">
                  <c:v>-0.18814017113535611</c:v>
                </c:pt>
                <c:pt idx="248">
                  <c:v>-0.1880032619443848</c:v>
                </c:pt>
                <c:pt idx="249">
                  <c:v>-0.18937727857057035</c:v>
                </c:pt>
                <c:pt idx="250">
                  <c:v>-0.18450788710294538</c:v>
                </c:pt>
                <c:pt idx="251">
                  <c:v>-0.17680046657688323</c:v>
                </c:pt>
                <c:pt idx="252">
                  <c:v>-0.17942487207419874</c:v>
                </c:pt>
                <c:pt idx="253">
                  <c:v>-0.18369121152121157</c:v>
                </c:pt>
                <c:pt idx="254">
                  <c:v>-0.16366203202942239</c:v>
                </c:pt>
                <c:pt idx="255">
                  <c:v>-0.18080108385820526</c:v>
                </c:pt>
                <c:pt idx="256">
                  <c:v>-0.18377610812010617</c:v>
                </c:pt>
                <c:pt idx="257">
                  <c:v>-0.16453133028428338</c:v>
                </c:pt>
                <c:pt idx="258">
                  <c:v>-0.13996016206735018</c:v>
                </c:pt>
                <c:pt idx="259">
                  <c:v>-0.1448578124434878</c:v>
                </c:pt>
                <c:pt idx="260">
                  <c:v>-0.13887858983779666</c:v>
                </c:pt>
                <c:pt idx="261">
                  <c:v>-0.12456349031911754</c:v>
                </c:pt>
                <c:pt idx="262">
                  <c:v>-0.12416635688775715</c:v>
                </c:pt>
                <c:pt idx="263">
                  <c:v>-0.12334800996856236</c:v>
                </c:pt>
                <c:pt idx="264">
                  <c:v>-0.12200441030623213</c:v>
                </c:pt>
                <c:pt idx="265">
                  <c:v>-0.12125969614758805</c:v>
                </c:pt>
                <c:pt idx="266">
                  <c:v>-0.12110227331880813</c:v>
                </c:pt>
                <c:pt idx="267">
                  <c:v>-0.11982713780604146</c:v>
                </c:pt>
                <c:pt idx="268">
                  <c:v>-0.11947877749247435</c:v>
                </c:pt>
                <c:pt idx="269">
                  <c:v>-0.11732121725558609</c:v>
                </c:pt>
                <c:pt idx="270">
                  <c:v>-0.11226106507168293</c:v>
                </c:pt>
                <c:pt idx="271">
                  <c:v>-0.11503762488235522</c:v>
                </c:pt>
                <c:pt idx="272">
                  <c:v>-0.11475796343506857</c:v>
                </c:pt>
                <c:pt idx="273">
                  <c:v>-0.11332283372482505</c:v>
                </c:pt>
                <c:pt idx="274">
                  <c:v>-0.11395875368813942</c:v>
                </c:pt>
                <c:pt idx="275">
                  <c:v>-0.11271916582850933</c:v>
                </c:pt>
                <c:pt idx="276">
                  <c:v>-0.11045101450741129</c:v>
                </c:pt>
                <c:pt idx="277">
                  <c:v>-0.11094605529933693</c:v>
                </c:pt>
                <c:pt idx="278">
                  <c:v>-0.11180313452511727</c:v>
                </c:pt>
                <c:pt idx="279">
                  <c:v>-0.10894469582363951</c:v>
                </c:pt>
                <c:pt idx="280">
                  <c:v>-9.9253541284924821E-2</c:v>
                </c:pt>
                <c:pt idx="281">
                  <c:v>-9.9760800161263125E-2</c:v>
                </c:pt>
                <c:pt idx="282">
                  <c:v>-9.414521123341664E-2</c:v>
                </c:pt>
                <c:pt idx="283">
                  <c:v>-9.4562275553542255E-2</c:v>
                </c:pt>
                <c:pt idx="284">
                  <c:v>-9.3279285857134714E-2</c:v>
                </c:pt>
                <c:pt idx="285">
                  <c:v>-9.0950586016630419E-2</c:v>
                </c:pt>
                <c:pt idx="286">
                  <c:v>-9.0055954878621725E-2</c:v>
                </c:pt>
                <c:pt idx="287">
                  <c:v>-8.9618883713090847E-2</c:v>
                </c:pt>
                <c:pt idx="288">
                  <c:v>-8.9858551697094127E-2</c:v>
                </c:pt>
                <c:pt idx="289">
                  <c:v>-8.9672781791833855E-2</c:v>
                </c:pt>
                <c:pt idx="290">
                  <c:v>-8.380137574280877E-2</c:v>
                </c:pt>
                <c:pt idx="291">
                  <c:v>-7.8338589985031681E-2</c:v>
                </c:pt>
                <c:pt idx="292">
                  <c:v>-8.0028503736276665E-2</c:v>
                </c:pt>
                <c:pt idx="293">
                  <c:v>-7.8697962143906772E-2</c:v>
                </c:pt>
                <c:pt idx="294">
                  <c:v>-7.7467734096308638E-2</c:v>
                </c:pt>
                <c:pt idx="295">
                  <c:v>-7.3175879626635784E-2</c:v>
                </c:pt>
                <c:pt idx="296">
                  <c:v>-6.0100748761489776E-2</c:v>
                </c:pt>
                <c:pt idx="297">
                  <c:v>-5.875643958555371E-2</c:v>
                </c:pt>
                <c:pt idx="298">
                  <c:v>-5.9007411909068344E-2</c:v>
                </c:pt>
                <c:pt idx="299">
                  <c:v>-5.915945525811931E-2</c:v>
                </c:pt>
                <c:pt idx="300">
                  <c:v>-5.8303842364487435E-2</c:v>
                </c:pt>
                <c:pt idx="301">
                  <c:v>-5.8724959136487433E-2</c:v>
                </c:pt>
                <c:pt idx="302">
                  <c:v>-5.8440664317916009E-2</c:v>
                </c:pt>
                <c:pt idx="303">
                  <c:v>-5.747896595187741E-2</c:v>
                </c:pt>
                <c:pt idx="304">
                  <c:v>-5.6912665256877409E-2</c:v>
                </c:pt>
                <c:pt idx="305">
                  <c:v>-5.7511997822108175E-2</c:v>
                </c:pt>
                <c:pt idx="306">
                  <c:v>-5.698183462200717E-2</c:v>
                </c:pt>
                <c:pt idx="307">
                  <c:v>-5.7152894411690171E-2</c:v>
                </c:pt>
                <c:pt idx="308">
                  <c:v>-5.7189828462240633E-2</c:v>
                </c:pt>
                <c:pt idx="309">
                  <c:v>-5.6388984259200629E-2</c:v>
                </c:pt>
                <c:pt idx="310">
                  <c:v>-5.5658443769932335E-2</c:v>
                </c:pt>
                <c:pt idx="311">
                  <c:v>-5.531234143436279E-2</c:v>
                </c:pt>
                <c:pt idx="312">
                  <c:v>-5.4798151007099824E-2</c:v>
                </c:pt>
                <c:pt idx="313">
                  <c:v>-5.0120281578034082E-2</c:v>
                </c:pt>
                <c:pt idx="314">
                  <c:v>-4.8884795319055589E-2</c:v>
                </c:pt>
                <c:pt idx="315">
                  <c:v>-4.8384592522267032E-2</c:v>
                </c:pt>
                <c:pt idx="316">
                  <c:v>-4.8731533906124357E-2</c:v>
                </c:pt>
                <c:pt idx="317">
                  <c:v>-4.8359118298870463E-2</c:v>
                </c:pt>
                <c:pt idx="318">
                  <c:v>-4.862124584222563E-2</c:v>
                </c:pt>
                <c:pt idx="319">
                  <c:v>-4.6857158411273261E-2</c:v>
                </c:pt>
                <c:pt idx="320">
                  <c:v>-4.3903728819495474E-2</c:v>
                </c:pt>
                <c:pt idx="321">
                  <c:v>-4.6131288900458811E-2</c:v>
                </c:pt>
                <c:pt idx="322">
                  <c:v>-4.5352750789030241E-2</c:v>
                </c:pt>
                <c:pt idx="323">
                  <c:v>-4.5697299465095112E-2</c:v>
                </c:pt>
                <c:pt idx="324">
                  <c:v>-3.86240214558645E-2</c:v>
                </c:pt>
                <c:pt idx="325">
                  <c:v>-3.9448771483038415E-2</c:v>
                </c:pt>
                <c:pt idx="326">
                  <c:v>-3.9614536065166073E-2</c:v>
                </c:pt>
                <c:pt idx="327">
                  <c:v>-3.9143203366593514E-2</c:v>
                </c:pt>
                <c:pt idx="328">
                  <c:v>-3.7918918232780562E-2</c:v>
                </c:pt>
                <c:pt idx="329">
                  <c:v>-3.8000784088895574E-2</c:v>
                </c:pt>
                <c:pt idx="330">
                  <c:v>-3.7607010180065376E-2</c:v>
                </c:pt>
                <c:pt idx="331">
                  <c:v>-3.7764122444264268E-2</c:v>
                </c:pt>
                <c:pt idx="332">
                  <c:v>-3.7504478653884517E-2</c:v>
                </c:pt>
                <c:pt idx="333">
                  <c:v>-3.7975548624235959E-2</c:v>
                </c:pt>
                <c:pt idx="334">
                  <c:v>-3.7630251286174581E-2</c:v>
                </c:pt>
                <c:pt idx="335">
                  <c:v>-3.7506113192396086E-2</c:v>
                </c:pt>
                <c:pt idx="336">
                  <c:v>-3.7500162676545989E-2</c:v>
                </c:pt>
                <c:pt idx="337">
                  <c:v>-3.7045580766361941E-2</c:v>
                </c:pt>
                <c:pt idx="338">
                  <c:v>-3.6965840805089127E-2</c:v>
                </c:pt>
                <c:pt idx="339">
                  <c:v>-3.6957530732270288E-2</c:v>
                </c:pt>
                <c:pt idx="340">
                  <c:v>-3.7108212666297026E-2</c:v>
                </c:pt>
                <c:pt idx="341">
                  <c:v>-3.7557386607206117E-2</c:v>
                </c:pt>
                <c:pt idx="342">
                  <c:v>-3.6848608689199536E-2</c:v>
                </c:pt>
                <c:pt idx="343">
                  <c:v>-3.7209548040784149E-2</c:v>
                </c:pt>
                <c:pt idx="344">
                  <c:v>-3.7649394486089741E-2</c:v>
                </c:pt>
                <c:pt idx="345">
                  <c:v>-3.6534179080347368E-2</c:v>
                </c:pt>
                <c:pt idx="346">
                  <c:v>-3.6731868260734074E-2</c:v>
                </c:pt>
                <c:pt idx="347">
                  <c:v>-3.6703646803322318E-2</c:v>
                </c:pt>
                <c:pt idx="348">
                  <c:v>-3.6108174534006651E-2</c:v>
                </c:pt>
                <c:pt idx="349">
                  <c:v>-3.5244189891026345E-2</c:v>
                </c:pt>
                <c:pt idx="350">
                  <c:v>-3.8024930961287777E-2</c:v>
                </c:pt>
                <c:pt idx="351">
                  <c:v>-3.4386499134859201E-2</c:v>
                </c:pt>
                <c:pt idx="352">
                  <c:v>-3.3666667002130099E-2</c:v>
                </c:pt>
                <c:pt idx="353">
                  <c:v>-3.3858303014596858E-2</c:v>
                </c:pt>
                <c:pt idx="354">
                  <c:v>-3.3618519493079618E-2</c:v>
                </c:pt>
                <c:pt idx="355">
                  <c:v>-3.3040643987197263E-2</c:v>
                </c:pt>
                <c:pt idx="356">
                  <c:v>-3.1310123770160625E-2</c:v>
                </c:pt>
                <c:pt idx="357">
                  <c:v>-3.1270177391356707E-2</c:v>
                </c:pt>
                <c:pt idx="358">
                  <c:v>-3.1375328516356701E-2</c:v>
                </c:pt>
                <c:pt idx="359">
                  <c:v>-3.1157283390887316E-2</c:v>
                </c:pt>
                <c:pt idx="360">
                  <c:v>-3.110083583574446E-2</c:v>
                </c:pt>
                <c:pt idx="361">
                  <c:v>-3.1161463621842016E-2</c:v>
                </c:pt>
                <c:pt idx="362">
                  <c:v>-2.9794231928387475E-2</c:v>
                </c:pt>
                <c:pt idx="363">
                  <c:v>-2.9726456796905994E-2</c:v>
                </c:pt>
                <c:pt idx="364">
                  <c:v>-2.9618151358611313E-2</c:v>
                </c:pt>
                <c:pt idx="365">
                  <c:v>-2.958417739412518E-2</c:v>
                </c:pt>
                <c:pt idx="366">
                  <c:v>-2.9393875636125184E-2</c:v>
                </c:pt>
                <c:pt idx="367">
                  <c:v>-2.9398804353251397E-2</c:v>
                </c:pt>
                <c:pt idx="368">
                  <c:v>-2.9322943289988988E-2</c:v>
                </c:pt>
                <c:pt idx="369">
                  <c:v>-2.9371266956655654E-2</c:v>
                </c:pt>
                <c:pt idx="370">
                  <c:v>-2.947761785494625E-2</c:v>
                </c:pt>
                <c:pt idx="371">
                  <c:v>-2.9584465293085786E-2</c:v>
                </c:pt>
                <c:pt idx="372">
                  <c:v>-2.9884383115710483E-2</c:v>
                </c:pt>
                <c:pt idx="373">
                  <c:v>-3.0556112282676174E-2</c:v>
                </c:pt>
                <c:pt idx="374">
                  <c:v>-2.7068846216116205E-2</c:v>
                </c:pt>
                <c:pt idx="375">
                  <c:v>-2.643561658777336E-2</c:v>
                </c:pt>
                <c:pt idx="376">
                  <c:v>-2.4562124995800117E-2</c:v>
                </c:pt>
                <c:pt idx="377">
                  <c:v>-2.3947607432537803E-2</c:v>
                </c:pt>
                <c:pt idx="378">
                  <c:v>-2.4270210124612831E-2</c:v>
                </c:pt>
                <c:pt idx="379">
                  <c:v>-2.4022849919849196E-2</c:v>
                </c:pt>
                <c:pt idx="380">
                  <c:v>-2.293483301308041E-2</c:v>
                </c:pt>
                <c:pt idx="381">
                  <c:v>-2.2778908613776062E-2</c:v>
                </c:pt>
                <c:pt idx="382">
                  <c:v>-2.2968230917431977E-2</c:v>
                </c:pt>
                <c:pt idx="383">
                  <c:v>-2.2867562433248632E-2</c:v>
                </c:pt>
                <c:pt idx="384">
                  <c:v>-2.2827422605123632E-2</c:v>
                </c:pt>
                <c:pt idx="385">
                  <c:v>-2.2494993236093112E-2</c:v>
                </c:pt>
                <c:pt idx="386">
                  <c:v>-2.2524673820285519E-2</c:v>
                </c:pt>
                <c:pt idx="387">
                  <c:v>-2.2388485600789113E-2</c:v>
                </c:pt>
                <c:pt idx="388">
                  <c:v>-2.2402975323053034E-2</c:v>
                </c:pt>
                <c:pt idx="389">
                  <c:v>-2.2235004156526718E-2</c:v>
                </c:pt>
                <c:pt idx="390">
                  <c:v>-2.2009410118543526E-2</c:v>
                </c:pt>
                <c:pt idx="391">
                  <c:v>-2.1819520596241364E-2</c:v>
                </c:pt>
                <c:pt idx="392">
                  <c:v>-2.1624137948277566E-2</c:v>
                </c:pt>
                <c:pt idx="393">
                  <c:v>-2.0920893270021619E-2</c:v>
                </c:pt>
                <c:pt idx="394">
                  <c:v>-2.0004984163449684E-2</c:v>
                </c:pt>
                <c:pt idx="395">
                  <c:v>-1.938159847974422E-2</c:v>
                </c:pt>
                <c:pt idx="396">
                  <c:v>-1.9215718232875535E-2</c:v>
                </c:pt>
                <c:pt idx="397">
                  <c:v>-1.9596439550163474E-2</c:v>
                </c:pt>
                <c:pt idx="398">
                  <c:v>-1.8341433420105593E-2</c:v>
                </c:pt>
                <c:pt idx="399">
                  <c:v>-1.8095767050188012E-2</c:v>
                </c:pt>
                <c:pt idx="400">
                  <c:v>-1.8542915790577062E-2</c:v>
                </c:pt>
                <c:pt idx="401">
                  <c:v>-1.4864482243805108E-2</c:v>
                </c:pt>
                <c:pt idx="402">
                  <c:v>-5.2463149275469301E-3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D5-44F0-915B-51C7B0D14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904544"/>
        <c:axId val="460903296"/>
      </c:lineChart>
      <c:dateAx>
        <c:axId val="460904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03296"/>
        <c:crosses val="autoZero"/>
        <c:auto val="1"/>
        <c:lblOffset val="100"/>
        <c:baseTimeUnit val="days"/>
      </c:dateAx>
      <c:valAx>
        <c:axId val="46090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0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5ECCF7E-D2F0-4F2D-8811-5DD5875DCE25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ECD252-265C-40BD-A61F-CBFA56CF6F9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43.43</v>
      </c>
      <c r="D2" s="4">
        <f>MIN(D3:D1912)</f>
        <v>4.7009999999999996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5.68</v>
      </c>
      <c r="C5">
        <v>5.69</v>
      </c>
      <c r="D5">
        <v>5.58</v>
      </c>
      <c r="E5">
        <v>5.58</v>
      </c>
      <c r="F5">
        <v>516.98</v>
      </c>
      <c r="G5">
        <v>5.58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-516.98</v>
      </c>
      <c r="R5">
        <f t="shared" ref="R5" si="2">R6+Q5</f>
        <v>-40954694.057165898</v>
      </c>
      <c r="S5">
        <f t="shared" ref="S5" si="3">R5/100000</f>
        <v>-409.54694057165898</v>
      </c>
      <c r="T5">
        <f t="shared" ref="T5" si="4">S5/1000</f>
        <v>-0.40954694057165897</v>
      </c>
    </row>
    <row r="6" spans="1:20" x14ac:dyDescent="0.25">
      <c r="A6" s="5">
        <v>44587</v>
      </c>
      <c r="B6">
        <v>5.61</v>
      </c>
      <c r="C6">
        <v>6.03</v>
      </c>
      <c r="D6">
        <v>5.53</v>
      </c>
      <c r="E6">
        <v>5.68</v>
      </c>
      <c r="F6">
        <v>40398.800000000003</v>
      </c>
      <c r="G6">
        <v>5.68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-0.40000000000000213</v>
      </c>
      <c r="Q6">
        <f t="shared" ref="Q6" si="6">F6*P6</f>
        <v>-16159.520000000088</v>
      </c>
      <c r="R6">
        <f t="shared" ref="R6" si="7">R7+Q6</f>
        <v>-40954177.077165902</v>
      </c>
      <c r="S6">
        <f t="shared" ref="S6" si="8">R6/100000</f>
        <v>-409.541770771659</v>
      </c>
      <c r="T6">
        <f t="shared" ref="T6" si="9">S6/1000</f>
        <v>-0.40954177077165899</v>
      </c>
    </row>
    <row r="7" spans="1:20" x14ac:dyDescent="0.25">
      <c r="A7" s="5">
        <v>44586</v>
      </c>
      <c r="B7">
        <v>5.56</v>
      </c>
      <c r="C7">
        <v>5.7</v>
      </c>
      <c r="D7">
        <v>5.44</v>
      </c>
      <c r="E7">
        <v>5.6</v>
      </c>
      <c r="F7">
        <v>33344.269999999997</v>
      </c>
      <c r="G7">
        <v>5.6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0.23076923076922604</v>
      </c>
      <c r="Q7">
        <f t="shared" ref="Q7" si="11">F7*P7</f>
        <v>7694.8315384613798</v>
      </c>
      <c r="R7">
        <f t="shared" ref="R7" si="12">R8+Q7</f>
        <v>-40938017.557165898</v>
      </c>
      <c r="S7">
        <f t="shared" ref="S7" si="13">R7/100000</f>
        <v>-409.38017557165898</v>
      </c>
      <c r="T7">
        <f t="shared" ref="T7" si="14">S7/1000</f>
        <v>-0.40938017557165896</v>
      </c>
    </row>
    <row r="8" spans="1:20" x14ac:dyDescent="0.25">
      <c r="A8" s="5">
        <v>44585</v>
      </c>
      <c r="B8">
        <v>5.86</v>
      </c>
      <c r="C8">
        <v>5.86</v>
      </c>
      <c r="D8">
        <v>5.04</v>
      </c>
      <c r="E8">
        <v>5.59</v>
      </c>
      <c r="F8">
        <v>90864.5</v>
      </c>
      <c r="G8">
        <v>5.59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0.34146341463414542</v>
      </c>
      <c r="Q8">
        <f t="shared" ref="Q8" si="16">F8*P8</f>
        <v>31026.902439024307</v>
      </c>
      <c r="R8">
        <f t="shared" ref="R8" si="17">R9+Q8</f>
        <v>-40945712.38870436</v>
      </c>
      <c r="S8">
        <f t="shared" ref="S8" si="18">R8/100000</f>
        <v>-409.45712388704362</v>
      </c>
      <c r="T8">
        <f t="shared" ref="T8" si="19">S8/1000</f>
        <v>-0.40945712388704364</v>
      </c>
    </row>
    <row r="9" spans="1:20" x14ac:dyDescent="0.25">
      <c r="A9" s="5">
        <v>44584</v>
      </c>
      <c r="B9">
        <v>5.63</v>
      </c>
      <c r="C9">
        <v>6.15</v>
      </c>
      <c r="D9">
        <v>5.61</v>
      </c>
      <c r="E9">
        <v>5.85</v>
      </c>
      <c r="F9">
        <v>85144.86</v>
      </c>
      <c r="G9">
        <v>5.85</v>
      </c>
      <c r="L9" t="s">
        <v>8</v>
      </c>
      <c r="M9" t="s">
        <v>7</v>
      </c>
      <c r="N9" t="s">
        <v>7</v>
      </c>
      <c r="P9">
        <f t="shared" ref="P9" si="20">IF(C9=D9,0,((E9-D9)-(C9-E9))/(C9-D9))</f>
        <v>-0.11111111111111367</v>
      </c>
      <c r="Q9">
        <f t="shared" ref="Q9" si="21">F9*P9</f>
        <v>-9460.5400000002173</v>
      </c>
      <c r="R9">
        <f t="shared" ref="R9" si="22">R10+Q9</f>
        <v>-40976739.291143388</v>
      </c>
      <c r="S9">
        <f t="shared" ref="S9" si="23">R9/100000</f>
        <v>-409.76739291143389</v>
      </c>
      <c r="T9">
        <f t="shared" ref="T9" si="24">S9/1000</f>
        <v>-0.40976739291143388</v>
      </c>
    </row>
    <row r="10" spans="1:20" x14ac:dyDescent="0.25">
      <c r="A10" s="5">
        <v>44583</v>
      </c>
      <c r="B10">
        <v>6.56</v>
      </c>
      <c r="C10">
        <v>6.78</v>
      </c>
      <c r="D10">
        <v>5.48</v>
      </c>
      <c r="E10">
        <v>5.66</v>
      </c>
      <c r="F10">
        <v>157150.37</v>
      </c>
      <c r="G10">
        <v>5.66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-0.72307692307692351</v>
      </c>
      <c r="Q10">
        <f t="shared" ref="Q10" si="26">F10*P10</f>
        <v>-113631.80600000007</v>
      </c>
      <c r="R10">
        <f t="shared" ref="R10" si="27">R11+Q10</f>
        <v>-40967278.751143388</v>
      </c>
      <c r="S10">
        <f t="shared" ref="S10" si="28">R10/100000</f>
        <v>-409.67278751143391</v>
      </c>
      <c r="T10">
        <f t="shared" ref="T10" si="29">S10/1000</f>
        <v>-0.40967278751143393</v>
      </c>
    </row>
    <row r="11" spans="1:20" x14ac:dyDescent="0.25">
      <c r="A11" s="5">
        <v>44582</v>
      </c>
      <c r="B11">
        <v>7.39</v>
      </c>
      <c r="C11">
        <v>7.45</v>
      </c>
      <c r="D11">
        <v>6.5</v>
      </c>
      <c r="E11">
        <v>6.56</v>
      </c>
      <c r="F11">
        <v>71261.101999999999</v>
      </c>
      <c r="G11">
        <v>6.56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-0.87368421052631662</v>
      </c>
      <c r="Q11">
        <f t="shared" ref="Q11" si="31">F11*P11</f>
        <v>-62259.699642105319</v>
      </c>
      <c r="R11">
        <f t="shared" ref="R11" si="32">R12+Q11</f>
        <v>-40853646.945143387</v>
      </c>
      <c r="S11">
        <f t="shared" ref="S11" si="33">R11/100000</f>
        <v>-408.53646945143385</v>
      </c>
      <c r="T11">
        <f t="shared" ref="T11" si="34">S11/1000</f>
        <v>-0.40853646945143385</v>
      </c>
    </row>
    <row r="12" spans="1:20" x14ac:dyDescent="0.25">
      <c r="A12" s="5">
        <v>44581</v>
      </c>
      <c r="B12">
        <v>7.55</v>
      </c>
      <c r="C12">
        <v>8.3000000000000007</v>
      </c>
      <c r="D12">
        <v>7.4</v>
      </c>
      <c r="E12">
        <v>7.4</v>
      </c>
      <c r="F12">
        <v>148332.65</v>
      </c>
      <c r="G12">
        <v>7.4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-1</v>
      </c>
      <c r="Q12">
        <f t="shared" ref="Q12" si="36">F12*P12</f>
        <v>-148332.65</v>
      </c>
      <c r="R12">
        <f t="shared" ref="R12" si="37">R13+Q12</f>
        <v>-40791387.24550128</v>
      </c>
      <c r="S12">
        <f t="shared" ref="S12" si="38">R12/100000</f>
        <v>-407.91387245501278</v>
      </c>
      <c r="T12">
        <f t="shared" ref="T12" si="39">S12/1000</f>
        <v>-0.40791387245501276</v>
      </c>
    </row>
    <row r="13" spans="1:20" x14ac:dyDescent="0.25">
      <c r="A13" s="5">
        <v>44580</v>
      </c>
      <c r="B13">
        <v>7.82</v>
      </c>
      <c r="C13">
        <v>7.82</v>
      </c>
      <c r="D13">
        <v>7.53</v>
      </c>
      <c r="E13">
        <v>7.57</v>
      </c>
      <c r="F13">
        <v>29223.15</v>
      </c>
      <c r="G13">
        <v>7.57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-0.72413793103448254</v>
      </c>
      <c r="Q13">
        <f t="shared" ref="Q13" si="41">F13*P13</f>
        <v>-21161.591379310339</v>
      </c>
      <c r="R13">
        <f t="shared" ref="R13" si="42">R14+Q13</f>
        <v>-40643054.595501281</v>
      </c>
      <c r="S13">
        <f t="shared" ref="S13" si="43">R13/100000</f>
        <v>-406.4305459550128</v>
      </c>
      <c r="T13">
        <f t="shared" ref="T13" si="44">S13/1000</f>
        <v>-0.40643054595501282</v>
      </c>
    </row>
    <row r="14" spans="1:20" x14ac:dyDescent="0.25">
      <c r="A14" s="5">
        <v>44579</v>
      </c>
      <c r="B14">
        <v>7.95</v>
      </c>
      <c r="C14">
        <v>8.0500000000000007</v>
      </c>
      <c r="D14">
        <v>7.68</v>
      </c>
      <c r="E14">
        <v>7.81</v>
      </c>
      <c r="F14">
        <v>42978.74</v>
      </c>
      <c r="G14">
        <v>7.81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-0.29729729729729976</v>
      </c>
      <c r="Q14">
        <f t="shared" ref="Q14" si="46">F14*P14</f>
        <v>-12777.463243243348</v>
      </c>
      <c r="R14">
        <f t="shared" ref="R14" si="47">R15+Q14</f>
        <v>-40621893.004121974</v>
      </c>
      <c r="S14">
        <f t="shared" ref="S14" si="48">R14/100000</f>
        <v>-406.21893004121972</v>
      </c>
      <c r="T14">
        <f t="shared" ref="T14" si="49">S14/1000</f>
        <v>-0.40621893004121973</v>
      </c>
    </row>
    <row r="15" spans="1:20" x14ac:dyDescent="0.25">
      <c r="A15" s="5">
        <v>44578</v>
      </c>
      <c r="B15">
        <v>8.06</v>
      </c>
      <c r="C15">
        <v>8.39</v>
      </c>
      <c r="D15">
        <v>7.82</v>
      </c>
      <c r="E15">
        <v>7.96</v>
      </c>
      <c r="F15">
        <v>78321.36</v>
      </c>
      <c r="G15">
        <v>7.96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-0.50877192982456276</v>
      </c>
      <c r="Q15">
        <f t="shared" ref="Q15" si="51">F15*P15</f>
        <v>-39847.709473684314</v>
      </c>
      <c r="R15">
        <f t="shared" ref="R15" si="52">R16+Q15</f>
        <v>-40609115.540878728</v>
      </c>
      <c r="S15">
        <f t="shared" ref="S15" si="53">R15/100000</f>
        <v>-406.0911554087873</v>
      </c>
      <c r="T15">
        <f t="shared" ref="T15" si="54">S15/1000</f>
        <v>-0.40609115540878732</v>
      </c>
    </row>
    <row r="16" spans="1:20" x14ac:dyDescent="0.25">
      <c r="A16" s="5">
        <v>44577</v>
      </c>
      <c r="B16">
        <v>8.0399999999999991</v>
      </c>
      <c r="C16">
        <v>8.14</v>
      </c>
      <c r="D16">
        <v>7.94</v>
      </c>
      <c r="E16">
        <v>8.06</v>
      </c>
      <c r="F16">
        <v>21194.560000000001</v>
      </c>
      <c r="G16">
        <v>8.06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0.2</v>
      </c>
      <c r="Q16">
        <f t="shared" ref="Q16" si="56">F16*P16</f>
        <v>4238.9120000000003</v>
      </c>
      <c r="R16">
        <f t="shared" ref="R16" si="57">R17+Q16</f>
        <v>-40569267.831405044</v>
      </c>
      <c r="S16">
        <f t="shared" ref="S16" si="58">R16/100000</f>
        <v>-405.69267831405045</v>
      </c>
      <c r="T16">
        <f t="shared" ref="T16" si="59">S16/1000</f>
        <v>-0.40569267831405048</v>
      </c>
    </row>
    <row r="17" spans="1:20" x14ac:dyDescent="0.25">
      <c r="A17" s="5">
        <v>44576</v>
      </c>
      <c r="B17">
        <v>8.06</v>
      </c>
      <c r="C17">
        <v>8.1300000000000008</v>
      </c>
      <c r="D17">
        <v>7.96</v>
      </c>
      <c r="E17">
        <v>8.0399999999999991</v>
      </c>
      <c r="F17">
        <v>21988.31</v>
      </c>
      <c r="G17">
        <v>8.0399999999999991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-5.882352941177884E-2</v>
      </c>
      <c r="Q17">
        <f t="shared" ref="Q17" si="61">F17*P17</f>
        <v>-1293.4300000003109</v>
      </c>
      <c r="R17">
        <f t="shared" ref="R17" si="62">R18+Q17</f>
        <v>-40573506.743405044</v>
      </c>
      <c r="S17">
        <f t="shared" ref="S17" si="63">R17/100000</f>
        <v>-405.73506743405045</v>
      </c>
      <c r="T17">
        <f t="shared" ref="T17" si="64">S17/1000</f>
        <v>-0.40573506743405047</v>
      </c>
    </row>
    <row r="18" spans="1:20" x14ac:dyDescent="0.25">
      <c r="A18" s="5">
        <v>44575</v>
      </c>
      <c r="B18">
        <v>8.02</v>
      </c>
      <c r="C18">
        <v>8.11</v>
      </c>
      <c r="D18">
        <v>7.78</v>
      </c>
      <c r="E18">
        <v>8.0399999999999991</v>
      </c>
      <c r="F18">
        <v>42021.9</v>
      </c>
      <c r="G18">
        <v>8.0399999999999991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0.57575757575757303</v>
      </c>
      <c r="Q18">
        <f t="shared" ref="Q18" si="66">F18*P18</f>
        <v>24194.42727272716</v>
      </c>
      <c r="R18">
        <f t="shared" ref="R18" si="67">R19+Q18</f>
        <v>-40572213.313405044</v>
      </c>
      <c r="S18">
        <f t="shared" ref="S18" si="68">R18/100000</f>
        <v>-405.72213313405047</v>
      </c>
      <c r="T18">
        <f t="shared" ref="T18" si="69">S18/1000</f>
        <v>-0.40572213313405048</v>
      </c>
    </row>
    <row r="19" spans="1:20" x14ac:dyDescent="0.25">
      <c r="A19" s="5">
        <v>44574</v>
      </c>
      <c r="B19">
        <v>8.19</v>
      </c>
      <c r="C19">
        <v>8.3000000000000007</v>
      </c>
      <c r="D19">
        <v>7.97</v>
      </c>
      <c r="E19">
        <v>8.02</v>
      </c>
      <c r="F19">
        <v>81253.78</v>
      </c>
      <c r="G19">
        <v>8.02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-0.6969696969696989</v>
      </c>
      <c r="Q19">
        <f t="shared" ref="Q19" si="71">F19*P19</f>
        <v>-56631.422424242577</v>
      </c>
      <c r="R19">
        <f t="shared" ref="R19" si="72">R20+Q19</f>
        <v>-40596407.740677774</v>
      </c>
      <c r="S19">
        <f t="shared" ref="S19" si="73">R19/100000</f>
        <v>-405.96407740677773</v>
      </c>
      <c r="T19">
        <f t="shared" ref="T19" si="74">S19/1000</f>
        <v>-0.40596407740677776</v>
      </c>
    </row>
    <row r="20" spans="1:20" x14ac:dyDescent="0.25">
      <c r="A20" s="5">
        <v>44573</v>
      </c>
      <c r="B20">
        <v>8.1</v>
      </c>
      <c r="C20">
        <v>8.42</v>
      </c>
      <c r="D20">
        <v>8.0299999999999994</v>
      </c>
      <c r="E20">
        <v>8.19</v>
      </c>
      <c r="F20">
        <v>93155</v>
      </c>
      <c r="G20">
        <v>8.19</v>
      </c>
      <c r="L20" t="s">
        <v>7</v>
      </c>
      <c r="M20" t="s">
        <v>8</v>
      </c>
      <c r="N20" t="s">
        <v>7</v>
      </c>
      <c r="P20">
        <f t="shared" ref="P20" si="75">IF(C20=D20,0,((E20-D20)-(C20-E20))/(C20-D20))</f>
        <v>-0.17948717948717996</v>
      </c>
      <c r="Q20">
        <f t="shared" ref="Q20" si="76">F20*P20</f>
        <v>-16720.128205128251</v>
      </c>
      <c r="R20">
        <f t="shared" ref="R20" si="77">R21+Q20</f>
        <v>-40539776.318253532</v>
      </c>
      <c r="S20">
        <f t="shared" ref="S20" si="78">R20/100000</f>
        <v>-405.3977631825353</v>
      </c>
      <c r="T20">
        <f t="shared" ref="T20" si="79">S20/1000</f>
        <v>-0.40539776318253529</v>
      </c>
    </row>
    <row r="21" spans="1:20" x14ac:dyDescent="0.25">
      <c r="A21" s="5">
        <v>44572</v>
      </c>
      <c r="B21">
        <v>7.62</v>
      </c>
      <c r="C21">
        <v>8.6999999999999993</v>
      </c>
      <c r="D21">
        <v>7.59</v>
      </c>
      <c r="E21">
        <v>8.1</v>
      </c>
      <c r="F21">
        <v>380519.34</v>
      </c>
      <c r="G21">
        <v>8.1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-8.1081081081080988E-2</v>
      </c>
      <c r="Q21">
        <f t="shared" ref="Q21" si="81">F21*P21</f>
        <v>-30852.919459459426</v>
      </c>
      <c r="R21">
        <f t="shared" ref="R21" si="82">R22+Q21</f>
        <v>-40523056.190048404</v>
      </c>
      <c r="S21">
        <f t="shared" ref="S21" si="83">R21/100000</f>
        <v>-405.23056190048402</v>
      </c>
      <c r="T21">
        <f t="shared" ref="T21" si="84">S21/1000</f>
        <v>-0.40523056190048401</v>
      </c>
    </row>
    <row r="22" spans="1:20" x14ac:dyDescent="0.25">
      <c r="A22" s="5">
        <v>44571</v>
      </c>
      <c r="B22">
        <v>7.81</v>
      </c>
      <c r="C22">
        <v>7.98</v>
      </c>
      <c r="D22">
        <v>7.38</v>
      </c>
      <c r="E22">
        <v>7.61</v>
      </c>
      <c r="F22">
        <v>85713.19</v>
      </c>
      <c r="G22">
        <v>7.61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-0.23333333333333259</v>
      </c>
      <c r="Q22">
        <f t="shared" ref="Q22" si="86">F22*P22</f>
        <v>-19999.74433333327</v>
      </c>
      <c r="R22">
        <f t="shared" ref="R22" si="87">R23+Q22</f>
        <v>-40492203.270588942</v>
      </c>
      <c r="S22">
        <f t="shared" ref="S22" si="88">R22/100000</f>
        <v>-404.92203270588942</v>
      </c>
      <c r="T22">
        <f t="shared" ref="T22" si="89">S22/1000</f>
        <v>-0.40492203270588945</v>
      </c>
    </row>
    <row r="23" spans="1:20" x14ac:dyDescent="0.25">
      <c r="A23" s="5">
        <v>44570</v>
      </c>
      <c r="B23">
        <v>7.82</v>
      </c>
      <c r="C23">
        <v>7.99</v>
      </c>
      <c r="D23">
        <v>7.75</v>
      </c>
      <c r="E23">
        <v>7.81</v>
      </c>
      <c r="F23">
        <v>91025.94</v>
      </c>
      <c r="G23">
        <v>7.81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-0.50000000000000366</v>
      </c>
      <c r="Q23">
        <f t="shared" ref="Q23" si="91">F23*P23</f>
        <v>-45512.970000000336</v>
      </c>
      <c r="R23">
        <f t="shared" ref="R23" si="92">R24+Q23</f>
        <v>-40472203.526255608</v>
      </c>
      <c r="S23">
        <f t="shared" ref="S23" si="93">R23/100000</f>
        <v>-404.72203526255606</v>
      </c>
      <c r="T23">
        <f t="shared" ref="T23" si="94">S23/1000</f>
        <v>-0.40472203526255607</v>
      </c>
    </row>
    <row r="24" spans="1:20" x14ac:dyDescent="0.25">
      <c r="A24" s="5">
        <v>44569</v>
      </c>
      <c r="B24">
        <v>8.0299999999999994</v>
      </c>
      <c r="C24">
        <v>8.2899999999999991</v>
      </c>
      <c r="D24">
        <v>7.74</v>
      </c>
      <c r="E24">
        <v>7.81</v>
      </c>
      <c r="F24">
        <v>108787.86</v>
      </c>
      <c r="G24">
        <v>7.81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-0.74545454545454715</v>
      </c>
      <c r="Q24">
        <f t="shared" ref="Q24" si="96">F24*P24</f>
        <v>-81096.404727272908</v>
      </c>
      <c r="R24">
        <f t="shared" ref="R24" si="97">R25+Q24</f>
        <v>-40426690.556255609</v>
      </c>
      <c r="S24">
        <f t="shared" ref="S24" si="98">R24/100000</f>
        <v>-404.26690556255608</v>
      </c>
      <c r="T24">
        <f t="shared" ref="T24" si="99">S24/1000</f>
        <v>-0.40426690556255607</v>
      </c>
    </row>
    <row r="25" spans="1:20" x14ac:dyDescent="0.25">
      <c r="A25" s="5">
        <v>44568</v>
      </c>
      <c r="B25">
        <v>8.15</v>
      </c>
      <c r="C25">
        <v>8.32</v>
      </c>
      <c r="D25">
        <v>7.62</v>
      </c>
      <c r="E25">
        <v>8.0299999999999994</v>
      </c>
      <c r="F25">
        <v>125851.19</v>
      </c>
      <c r="G25">
        <v>8.0299999999999994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0.17142857142856899</v>
      </c>
      <c r="Q25">
        <f t="shared" ref="Q25" si="101">F25*P25</f>
        <v>21574.489714285406</v>
      </c>
      <c r="R25">
        <f t="shared" ref="R25" si="102">R26+Q25</f>
        <v>-40345594.151528336</v>
      </c>
      <c r="S25">
        <f t="shared" ref="S25" si="103">R25/100000</f>
        <v>-403.45594151528337</v>
      </c>
      <c r="T25">
        <f t="shared" ref="T25" si="104">S25/1000</f>
        <v>-0.40345594151528336</v>
      </c>
    </row>
    <row r="26" spans="1:20" x14ac:dyDescent="0.25">
      <c r="A26" s="5">
        <v>44567</v>
      </c>
      <c r="B26">
        <v>8.07</v>
      </c>
      <c r="C26">
        <v>8.65</v>
      </c>
      <c r="D26">
        <v>7.85</v>
      </c>
      <c r="E26">
        <v>8.15</v>
      </c>
      <c r="F26">
        <v>150815.32</v>
      </c>
      <c r="G26">
        <v>8.15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-0.24999999999999889</v>
      </c>
      <c r="Q26">
        <f t="shared" ref="Q26" si="106">F26*P26</f>
        <v>-37703.829999999834</v>
      </c>
      <c r="R26">
        <f t="shared" ref="R26" si="107">R27+Q26</f>
        <v>-40367168.641242623</v>
      </c>
      <c r="S26">
        <f t="shared" ref="S26" si="108">R26/100000</f>
        <v>-403.67168641242625</v>
      </c>
      <c r="T26">
        <f t="shared" ref="T26" si="109">S26/1000</f>
        <v>-0.40367168641242623</v>
      </c>
    </row>
    <row r="27" spans="1:20" x14ac:dyDescent="0.25">
      <c r="A27" s="5">
        <v>44566</v>
      </c>
      <c r="B27">
        <v>8.5</v>
      </c>
      <c r="C27">
        <v>8.67</v>
      </c>
      <c r="D27">
        <v>7.8</v>
      </c>
      <c r="E27">
        <v>8.07</v>
      </c>
      <c r="F27">
        <v>68110.31</v>
      </c>
      <c r="G27">
        <v>8.07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-0.37931034482758524</v>
      </c>
      <c r="Q27">
        <f t="shared" ref="Q27" si="111">F27*P27</f>
        <v>-25834.945172413725</v>
      </c>
      <c r="R27">
        <f t="shared" ref="R27" si="112">R28+Q27</f>
        <v>-40329464.811242625</v>
      </c>
      <c r="S27">
        <f t="shared" ref="S27" si="113">R27/100000</f>
        <v>-403.29464811242627</v>
      </c>
      <c r="T27">
        <f t="shared" ref="T27" si="114">S27/1000</f>
        <v>-0.40329464811242627</v>
      </c>
    </row>
    <row r="28" spans="1:20" x14ac:dyDescent="0.25">
      <c r="A28" s="5">
        <v>44565</v>
      </c>
      <c r="B28">
        <v>8.6300000000000008</v>
      </c>
      <c r="C28">
        <v>8.7799999999999994</v>
      </c>
      <c r="D28">
        <v>8.5</v>
      </c>
      <c r="E28">
        <v>8.5</v>
      </c>
      <c r="F28">
        <v>93484.41</v>
      </c>
      <c r="G28">
        <v>8.5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-1</v>
      </c>
      <c r="Q28">
        <f t="shared" ref="Q28" si="116">F28*P28</f>
        <v>-93484.41</v>
      </c>
      <c r="R28">
        <f t="shared" ref="R28" si="117">R29+Q28</f>
        <v>-40303629.866070211</v>
      </c>
      <c r="S28">
        <f t="shared" ref="S28" si="118">R28/100000</f>
        <v>-403.03629866070213</v>
      </c>
      <c r="T28">
        <f t="shared" ref="T28" si="119">S28/1000</f>
        <v>-0.40303629866070212</v>
      </c>
    </row>
    <row r="29" spans="1:20" x14ac:dyDescent="0.25">
      <c r="A29" s="5">
        <v>44564</v>
      </c>
      <c r="B29">
        <v>8.56</v>
      </c>
      <c r="C29">
        <v>8.7799999999999994</v>
      </c>
      <c r="D29">
        <v>8.42</v>
      </c>
      <c r="E29">
        <v>8.6</v>
      </c>
      <c r="F29">
        <v>46877.61</v>
      </c>
      <c r="G29">
        <v>8.6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0</v>
      </c>
      <c r="Q29">
        <f t="shared" ref="Q29" si="121">F29*P29</f>
        <v>0</v>
      </c>
      <c r="R29">
        <f t="shared" ref="R29" si="122">R30+Q29</f>
        <v>-40210145.456070215</v>
      </c>
      <c r="S29">
        <f t="shared" ref="S29" si="123">R29/100000</f>
        <v>-402.10145456070217</v>
      </c>
      <c r="T29">
        <f t="shared" ref="T29" si="124">S29/1000</f>
        <v>-0.40210145456070218</v>
      </c>
    </row>
    <row r="30" spans="1:20" x14ac:dyDescent="0.25">
      <c r="A30" s="5">
        <v>44563</v>
      </c>
      <c r="B30">
        <v>8.65</v>
      </c>
      <c r="C30">
        <v>8.7100000000000009</v>
      </c>
      <c r="D30">
        <v>8.49</v>
      </c>
      <c r="E30">
        <v>8.56</v>
      </c>
      <c r="F30">
        <v>35054.46</v>
      </c>
      <c r="G30">
        <v>8.56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-0.36363636363636292</v>
      </c>
      <c r="Q30">
        <f t="shared" ref="Q30" si="126">F30*P30</f>
        <v>-12747.076363636339</v>
      </c>
      <c r="R30">
        <f t="shared" ref="R30" si="127">R31+Q30</f>
        <v>-40210145.456070215</v>
      </c>
      <c r="S30">
        <f t="shared" ref="S30" si="128">R30/100000</f>
        <v>-402.10145456070217</v>
      </c>
      <c r="T30">
        <f t="shared" ref="T30" si="129">S30/1000</f>
        <v>-0.40210145456070218</v>
      </c>
    </row>
    <row r="31" spans="1:20" x14ac:dyDescent="0.25">
      <c r="A31" s="5">
        <v>44562</v>
      </c>
      <c r="B31">
        <v>8.41</v>
      </c>
      <c r="C31">
        <v>8.6999999999999993</v>
      </c>
      <c r="D31">
        <v>8.41</v>
      </c>
      <c r="E31">
        <v>8.65</v>
      </c>
      <c r="F31">
        <v>30412.83</v>
      </c>
      <c r="G31">
        <v>8.65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0.65517241379310975</v>
      </c>
      <c r="Q31">
        <f t="shared" ref="Q31" si="131">F31*P31</f>
        <v>19925.647241379502</v>
      </c>
      <c r="R31">
        <f t="shared" ref="R31" si="132">R32+Q31</f>
        <v>-40197398.379706576</v>
      </c>
      <c r="S31">
        <f t="shared" ref="S31" si="133">R31/100000</f>
        <v>-401.97398379706578</v>
      </c>
      <c r="T31">
        <f t="shared" ref="T31" si="134">S31/1000</f>
        <v>-0.40197398379706578</v>
      </c>
    </row>
    <row r="32" spans="1:20" x14ac:dyDescent="0.25">
      <c r="A32" s="5">
        <v>44561</v>
      </c>
      <c r="B32">
        <v>8.74</v>
      </c>
      <c r="C32">
        <v>8.7899999999999991</v>
      </c>
      <c r="D32">
        <v>8.32</v>
      </c>
      <c r="E32">
        <v>8.41</v>
      </c>
      <c r="F32">
        <v>55844.81</v>
      </c>
      <c r="G32">
        <v>8.41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-0.61702127659574435</v>
      </c>
      <c r="Q32">
        <f t="shared" ref="Q32" si="136">F32*P32</f>
        <v>-34457.435957446789</v>
      </c>
      <c r="R32">
        <f t="shared" ref="R32" si="137">R33+Q32</f>
        <v>-40217324.026947953</v>
      </c>
      <c r="S32">
        <f t="shared" ref="S32" si="138">R32/100000</f>
        <v>-402.17324026947955</v>
      </c>
      <c r="T32">
        <f t="shared" ref="T32" si="139">S32/1000</f>
        <v>-0.40217324026947954</v>
      </c>
    </row>
    <row r="33" spans="1:20" x14ac:dyDescent="0.25">
      <c r="A33" s="5">
        <v>44560</v>
      </c>
      <c r="B33">
        <v>8.68</v>
      </c>
      <c r="C33">
        <v>8.8800000000000008</v>
      </c>
      <c r="D33">
        <v>8.5</v>
      </c>
      <c r="E33">
        <v>8.7200000000000006</v>
      </c>
      <c r="F33">
        <v>65704.460000000006</v>
      </c>
      <c r="G33">
        <v>8.7200000000000006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0.15789473684210625</v>
      </c>
      <c r="Q33">
        <f t="shared" ref="Q33" si="141">F33*P33</f>
        <v>10374.388421052698</v>
      </c>
      <c r="R33">
        <f t="shared" ref="R33" si="142">R34+Q33</f>
        <v>-40182866.590990506</v>
      </c>
      <c r="S33">
        <f t="shared" ref="S33" si="143">R33/100000</f>
        <v>-401.82866590990506</v>
      </c>
      <c r="T33">
        <f t="shared" ref="T33" si="144">S33/1000</f>
        <v>-0.40182866590990507</v>
      </c>
    </row>
    <row r="34" spans="1:20" x14ac:dyDescent="0.25">
      <c r="A34" s="5">
        <v>44559</v>
      </c>
      <c r="B34">
        <v>9.1</v>
      </c>
      <c r="C34">
        <v>9.2100000000000009</v>
      </c>
      <c r="D34">
        <v>8.5399999999999991</v>
      </c>
      <c r="E34">
        <v>8.64</v>
      </c>
      <c r="F34">
        <v>70516.69</v>
      </c>
      <c r="G34">
        <v>8.64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-0.70149253731342931</v>
      </c>
      <c r="Q34">
        <f t="shared" ref="Q34" si="146">F34*P34</f>
        <v>-49466.931791044532</v>
      </c>
      <c r="R34">
        <f t="shared" ref="R34" si="147">R35+Q34</f>
        <v>-40193240.979411557</v>
      </c>
      <c r="S34">
        <f t="shared" ref="S34" si="148">R34/100000</f>
        <v>-401.93240979411559</v>
      </c>
      <c r="T34">
        <f t="shared" ref="T34" si="149">S34/1000</f>
        <v>-0.4019324097941156</v>
      </c>
    </row>
    <row r="35" spans="1:20" x14ac:dyDescent="0.25">
      <c r="A35" s="5">
        <v>44558</v>
      </c>
      <c r="B35">
        <v>9.32</v>
      </c>
      <c r="C35">
        <v>10.14</v>
      </c>
      <c r="D35">
        <v>8.84</v>
      </c>
      <c r="E35">
        <v>9.08</v>
      </c>
      <c r="F35">
        <v>297827.36</v>
      </c>
      <c r="G35">
        <v>9.08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-0.63076923076923064</v>
      </c>
      <c r="Q35">
        <f t="shared" ref="Q35" si="151">F35*P35</f>
        <v>-187860.33476923071</v>
      </c>
      <c r="R35">
        <f t="shared" ref="R35" si="152">R36+Q35</f>
        <v>-40143774.047620513</v>
      </c>
      <c r="S35">
        <f t="shared" ref="S35" si="153">R35/100000</f>
        <v>-401.43774047620514</v>
      </c>
      <c r="T35">
        <f t="shared" ref="T35" si="154">S35/1000</f>
        <v>-0.40143774047620512</v>
      </c>
    </row>
    <row r="36" spans="1:20" x14ac:dyDescent="0.25">
      <c r="A36" s="5">
        <v>44557</v>
      </c>
      <c r="B36">
        <v>9.42</v>
      </c>
      <c r="C36">
        <v>10.98</v>
      </c>
      <c r="D36">
        <v>9.26</v>
      </c>
      <c r="E36">
        <v>9.33</v>
      </c>
      <c r="F36">
        <v>231495.11</v>
      </c>
      <c r="G36">
        <v>9.33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-0.91860465116279044</v>
      </c>
      <c r="Q36">
        <f t="shared" ref="Q36" si="156">F36*P36</f>
        <v>-212652.48476744178</v>
      </c>
      <c r="R36">
        <f t="shared" ref="R36" si="157">R37+Q36</f>
        <v>-39955913.712851278</v>
      </c>
      <c r="S36">
        <f t="shared" ref="S36" si="158">R36/100000</f>
        <v>-399.55913712851276</v>
      </c>
      <c r="T36">
        <f t="shared" ref="T36" si="159">S36/1000</f>
        <v>-0.39955913712851276</v>
      </c>
    </row>
    <row r="37" spans="1:20" x14ac:dyDescent="0.25">
      <c r="A37" s="5">
        <v>44556</v>
      </c>
      <c r="B37">
        <v>9.34</v>
      </c>
      <c r="C37">
        <v>9.5</v>
      </c>
      <c r="D37">
        <v>9.0500000000000007</v>
      </c>
      <c r="E37">
        <v>9.4</v>
      </c>
      <c r="F37">
        <v>54693.75</v>
      </c>
      <c r="G37">
        <v>9.4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0.55555555555555647</v>
      </c>
      <c r="Q37">
        <f t="shared" ref="Q37" si="161">F37*P37</f>
        <v>30385.416666666715</v>
      </c>
      <c r="R37">
        <f t="shared" ref="R37" si="162">R38+Q37</f>
        <v>-39743261.228083834</v>
      </c>
      <c r="S37">
        <f t="shared" ref="S37" si="163">R37/100000</f>
        <v>-397.43261228083833</v>
      </c>
      <c r="T37">
        <f t="shared" ref="T37" si="164">S37/1000</f>
        <v>-0.39743261228083832</v>
      </c>
    </row>
    <row r="38" spans="1:20" x14ac:dyDescent="0.25">
      <c r="A38" s="5">
        <v>44555</v>
      </c>
      <c r="B38">
        <v>9.07</v>
      </c>
      <c r="C38">
        <v>9.84</v>
      </c>
      <c r="D38">
        <v>8.9600000000000009</v>
      </c>
      <c r="E38">
        <v>9.34</v>
      </c>
      <c r="F38">
        <v>150512.24</v>
      </c>
      <c r="G38">
        <v>9.34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-0.13636363636363766</v>
      </c>
      <c r="Q38">
        <f t="shared" ref="Q38" si="166">F38*P38</f>
        <v>-20524.396363636559</v>
      </c>
      <c r="R38">
        <f t="shared" ref="R38" si="167">R39+Q38</f>
        <v>-39773646.644750498</v>
      </c>
      <c r="S38">
        <f t="shared" ref="S38" si="168">R38/100000</f>
        <v>-397.73646644750499</v>
      </c>
      <c r="T38">
        <f t="shared" ref="T38" si="169">S38/1000</f>
        <v>-0.39773646644750499</v>
      </c>
    </row>
    <row r="39" spans="1:20" x14ac:dyDescent="0.25">
      <c r="A39" s="5">
        <v>44554</v>
      </c>
      <c r="B39">
        <v>9.18</v>
      </c>
      <c r="C39">
        <v>9.39</v>
      </c>
      <c r="D39">
        <v>9</v>
      </c>
      <c r="E39">
        <v>9.07</v>
      </c>
      <c r="F39">
        <v>51957.45</v>
      </c>
      <c r="G39">
        <v>9.07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-0.64102564102564008</v>
      </c>
      <c r="Q39">
        <f t="shared" ref="Q39" si="171">F39*P39</f>
        <v>-33306.057692307644</v>
      </c>
      <c r="R39">
        <f t="shared" ref="R39" si="172">R40+Q39</f>
        <v>-39753122.24838686</v>
      </c>
      <c r="S39">
        <f t="shared" ref="S39" si="173">R39/100000</f>
        <v>-397.53122248386859</v>
      </c>
      <c r="T39">
        <f t="shared" ref="T39" si="174">S39/1000</f>
        <v>-0.39753122248386857</v>
      </c>
    </row>
    <row r="40" spans="1:20" x14ac:dyDescent="0.25">
      <c r="A40" s="5">
        <v>44553</v>
      </c>
      <c r="B40">
        <v>8.83</v>
      </c>
      <c r="C40">
        <v>9.3000000000000007</v>
      </c>
      <c r="D40">
        <v>8.7200000000000006</v>
      </c>
      <c r="E40">
        <v>9.17</v>
      </c>
      <c r="F40">
        <v>84095.88</v>
      </c>
      <c r="G40">
        <v>9.17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0.55172413793103181</v>
      </c>
      <c r="Q40">
        <f t="shared" ref="Q40" si="176">F40*P40</f>
        <v>46397.726896551503</v>
      </c>
      <c r="R40">
        <f t="shared" ref="R40" si="177">R41+Q40</f>
        <v>-39719816.190694556</v>
      </c>
      <c r="S40">
        <f t="shared" ref="S40" si="178">R40/100000</f>
        <v>-397.19816190694553</v>
      </c>
      <c r="T40">
        <f t="shared" ref="T40" si="179">S40/1000</f>
        <v>-0.39719816190694551</v>
      </c>
    </row>
    <row r="41" spans="1:20" x14ac:dyDescent="0.25">
      <c r="A41" s="5">
        <v>44552</v>
      </c>
      <c r="B41">
        <v>8.69</v>
      </c>
      <c r="C41">
        <v>9.02</v>
      </c>
      <c r="D41">
        <v>8.6300000000000008</v>
      </c>
      <c r="E41">
        <v>8.83</v>
      </c>
      <c r="F41">
        <v>87371.62</v>
      </c>
      <c r="G41">
        <v>8.83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2.5641025641025175E-2</v>
      </c>
      <c r="Q41">
        <f t="shared" ref="Q41" si="181">F41*P41</f>
        <v>2240.2979487179077</v>
      </c>
      <c r="R41">
        <f t="shared" ref="R41" si="182">R42+Q41</f>
        <v>-39766213.91759111</v>
      </c>
      <c r="S41">
        <f t="shared" ref="S41" si="183">R41/100000</f>
        <v>-397.66213917591108</v>
      </c>
      <c r="T41">
        <f t="shared" ref="T41" si="184">S41/1000</f>
        <v>-0.39766213917591109</v>
      </c>
    </row>
    <row r="42" spans="1:20" x14ac:dyDescent="0.25">
      <c r="A42" s="5">
        <v>44551</v>
      </c>
      <c r="B42">
        <v>8.68</v>
      </c>
      <c r="C42">
        <v>9.09</v>
      </c>
      <c r="D42">
        <v>8.5</v>
      </c>
      <c r="E42">
        <v>8.69</v>
      </c>
      <c r="F42">
        <v>191393.64</v>
      </c>
      <c r="G42">
        <v>8.69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-0.35593220338983206</v>
      </c>
      <c r="Q42">
        <f t="shared" ref="Q42" si="186">F42*P42</f>
        <v>-68123.160000000295</v>
      </c>
      <c r="R42">
        <f t="shared" ref="R42" si="187">R43+Q42</f>
        <v>-39768454.215539828</v>
      </c>
      <c r="S42">
        <f t="shared" ref="S42" si="188">R42/100000</f>
        <v>-397.68454215539828</v>
      </c>
      <c r="T42">
        <f t="shared" ref="T42" si="189">S42/1000</f>
        <v>-0.39768454215539828</v>
      </c>
    </row>
    <row r="43" spans="1:20" x14ac:dyDescent="0.25">
      <c r="A43" s="5">
        <v>44550</v>
      </c>
      <c r="B43">
        <v>8.34</v>
      </c>
      <c r="C43">
        <v>9.19</v>
      </c>
      <c r="D43">
        <v>7.91</v>
      </c>
      <c r="E43">
        <v>8.69</v>
      </c>
      <c r="F43">
        <v>256035.01</v>
      </c>
      <c r="G43">
        <v>8.69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0.21874999999999961</v>
      </c>
      <c r="Q43">
        <f t="shared" ref="Q43" si="191">F43*P43</f>
        <v>56007.6584374999</v>
      </c>
      <c r="R43">
        <f t="shared" ref="R43" si="192">R44+Q43</f>
        <v>-39700331.055539824</v>
      </c>
      <c r="S43">
        <f t="shared" ref="S43" si="193">R43/100000</f>
        <v>-397.00331055539823</v>
      </c>
      <c r="T43">
        <f t="shared" ref="T43" si="194">S43/1000</f>
        <v>-0.39700331055539823</v>
      </c>
    </row>
    <row r="44" spans="1:20" x14ac:dyDescent="0.25">
      <c r="A44" s="5">
        <v>44549</v>
      </c>
      <c r="B44">
        <v>8.36</v>
      </c>
      <c r="C44">
        <v>8.83</v>
      </c>
      <c r="D44">
        <v>8.23</v>
      </c>
      <c r="E44">
        <v>8.34</v>
      </c>
      <c r="F44">
        <v>92937.19</v>
      </c>
      <c r="G44">
        <v>8.34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-0.63333333333333497</v>
      </c>
      <c r="Q44">
        <f t="shared" ref="Q44" si="196">F44*P44</f>
        <v>-58860.220333333484</v>
      </c>
      <c r="R44">
        <f t="shared" ref="R44" si="197">R45+Q44</f>
        <v>-39756338.713977322</v>
      </c>
      <c r="S44">
        <f t="shared" ref="S44" si="198">R44/100000</f>
        <v>-397.56338713977323</v>
      </c>
      <c r="T44">
        <f t="shared" ref="T44" si="199">S44/1000</f>
        <v>-0.39756338713977324</v>
      </c>
    </row>
    <row r="45" spans="1:20" x14ac:dyDescent="0.25">
      <c r="A45" s="5">
        <v>44548</v>
      </c>
      <c r="B45">
        <v>8.14</v>
      </c>
      <c r="C45">
        <v>8.44</v>
      </c>
      <c r="D45">
        <v>8.09</v>
      </c>
      <c r="E45">
        <v>8.34</v>
      </c>
      <c r="F45">
        <v>49874.36</v>
      </c>
      <c r="G45">
        <v>8.34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0.42857142857143005</v>
      </c>
      <c r="Q45">
        <f t="shared" ref="Q45" si="201">F45*P45</f>
        <v>21374.725714285789</v>
      </c>
      <c r="R45">
        <f t="shared" ref="R45" si="202">R46+Q45</f>
        <v>-39697478.493643992</v>
      </c>
      <c r="S45">
        <f t="shared" ref="S45" si="203">R45/100000</f>
        <v>-396.9747849364399</v>
      </c>
      <c r="T45">
        <f t="shared" ref="T45" si="204">S45/1000</f>
        <v>-0.3969747849364399</v>
      </c>
    </row>
    <row r="46" spans="1:20" x14ac:dyDescent="0.25">
      <c r="A46" s="5">
        <v>44547</v>
      </c>
      <c r="B46">
        <v>8.3800000000000008</v>
      </c>
      <c r="C46">
        <v>8.7100000000000009</v>
      </c>
      <c r="D46">
        <v>7.92</v>
      </c>
      <c r="E46">
        <v>8.1300000000000008</v>
      </c>
      <c r="F46">
        <v>85973.96</v>
      </c>
      <c r="G46">
        <v>8.1300000000000008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-0.46835443037974528</v>
      </c>
      <c r="Q46">
        <f t="shared" ref="Q46" si="206">F46*P46</f>
        <v>-40266.285063291005</v>
      </c>
      <c r="R46">
        <f t="shared" ref="R46" si="207">R47+Q46</f>
        <v>-39718853.21935828</v>
      </c>
      <c r="S46">
        <f t="shared" ref="S46" si="208">R46/100000</f>
        <v>-397.18853219358283</v>
      </c>
      <c r="T46">
        <f t="shared" ref="T46" si="209">S46/1000</f>
        <v>-0.39718853219358286</v>
      </c>
    </row>
    <row r="47" spans="1:20" x14ac:dyDescent="0.25">
      <c r="A47" s="5">
        <v>44546</v>
      </c>
      <c r="B47">
        <v>8.5500000000000007</v>
      </c>
      <c r="C47">
        <v>8.92</v>
      </c>
      <c r="D47">
        <v>8.34</v>
      </c>
      <c r="E47">
        <v>8.3800000000000008</v>
      </c>
      <c r="F47">
        <v>135475.75</v>
      </c>
      <c r="G47">
        <v>8.3800000000000008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-0.86206896551723822</v>
      </c>
      <c r="Q47">
        <f t="shared" ref="Q47" si="211">F47*P47</f>
        <v>-116789.43965517198</v>
      </c>
      <c r="R47">
        <f t="shared" ref="R47" si="212">R48+Q47</f>
        <v>-39678586.934294991</v>
      </c>
      <c r="S47">
        <f t="shared" ref="S47" si="213">R47/100000</f>
        <v>-396.78586934294992</v>
      </c>
      <c r="T47">
        <f t="shared" ref="T47" si="214">S47/1000</f>
        <v>-0.3967858693429499</v>
      </c>
    </row>
    <row r="48" spans="1:20" x14ac:dyDescent="0.25">
      <c r="A48" s="5">
        <v>44545</v>
      </c>
      <c r="B48">
        <v>8.4</v>
      </c>
      <c r="C48">
        <v>9.3000000000000007</v>
      </c>
      <c r="D48">
        <v>7.9</v>
      </c>
      <c r="E48">
        <v>8.5299999999999994</v>
      </c>
      <c r="F48">
        <v>563101.62</v>
      </c>
      <c r="G48">
        <v>8.5299999999999994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-0.10000000000000164</v>
      </c>
      <c r="Q48">
        <f t="shared" ref="Q48" si="216">F48*P48</f>
        <v>-56310.162000000928</v>
      </c>
      <c r="R48">
        <f t="shared" ref="R48" si="217">R49+Q48</f>
        <v>-39561797.494639821</v>
      </c>
      <c r="S48">
        <f t="shared" ref="S48" si="218">R48/100000</f>
        <v>-395.61797494639819</v>
      </c>
      <c r="T48">
        <f t="shared" ref="T48" si="219">S48/1000</f>
        <v>-0.39561797494639817</v>
      </c>
    </row>
    <row r="49" spans="1:20" x14ac:dyDescent="0.25">
      <c r="A49" s="5">
        <v>44544</v>
      </c>
      <c r="B49">
        <v>8.24</v>
      </c>
      <c r="C49">
        <v>8.48</v>
      </c>
      <c r="D49">
        <v>8.11</v>
      </c>
      <c r="E49">
        <v>8.3800000000000008</v>
      </c>
      <c r="F49">
        <v>57773.96</v>
      </c>
      <c r="G49">
        <v>8.3800000000000008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0.45945945945946282</v>
      </c>
      <c r="Q49">
        <f t="shared" ref="Q49" si="221">F49*P49</f>
        <v>26544.792432432627</v>
      </c>
      <c r="R49">
        <f t="shared" ref="R49" si="222">R50+Q49</f>
        <v>-39505487.332639821</v>
      </c>
      <c r="S49">
        <f t="shared" ref="S49" si="223">R49/100000</f>
        <v>-395.05487332639819</v>
      </c>
      <c r="T49">
        <f t="shared" ref="T49" si="224">S49/1000</f>
        <v>-0.39505487332639821</v>
      </c>
    </row>
    <row r="50" spans="1:20" x14ac:dyDescent="0.25">
      <c r="A50" s="5">
        <v>44543</v>
      </c>
      <c r="B50">
        <v>9.0500000000000007</v>
      </c>
      <c r="C50">
        <v>9.1199999999999992</v>
      </c>
      <c r="D50">
        <v>8.0299999999999994</v>
      </c>
      <c r="E50">
        <v>8.23</v>
      </c>
      <c r="F50">
        <v>84982.78</v>
      </c>
      <c r="G50">
        <v>8.23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-0.6330275229357778</v>
      </c>
      <c r="Q50">
        <f t="shared" ref="Q50" si="226">F50*P50</f>
        <v>-53796.438715596159</v>
      </c>
      <c r="R50">
        <f t="shared" ref="R50" si="227">R51+Q50</f>
        <v>-39532032.125072256</v>
      </c>
      <c r="S50">
        <f t="shared" ref="S50" si="228">R50/100000</f>
        <v>-395.32032125072254</v>
      </c>
      <c r="T50">
        <f t="shared" ref="T50" si="229">S50/1000</f>
        <v>-0.39532032125072253</v>
      </c>
    </row>
    <row r="51" spans="1:20" x14ac:dyDescent="0.25">
      <c r="A51" s="5">
        <v>44542</v>
      </c>
      <c r="B51">
        <v>9.02</v>
      </c>
      <c r="C51">
        <v>9.2100000000000009</v>
      </c>
      <c r="D51">
        <v>8.91</v>
      </c>
      <c r="E51">
        <v>9.0500000000000007</v>
      </c>
      <c r="F51">
        <v>71167.02</v>
      </c>
      <c r="G51">
        <v>9.0500000000000007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-6.6666666666665084E-2</v>
      </c>
      <c r="Q51">
        <f t="shared" ref="Q51" si="231">F51*P51</f>
        <v>-4744.467999999888</v>
      </c>
      <c r="R51">
        <f t="shared" ref="R51" si="232">R52+Q51</f>
        <v>-39478235.686356656</v>
      </c>
      <c r="S51">
        <f t="shared" ref="S51" si="233">R51/100000</f>
        <v>-394.78235686356658</v>
      </c>
      <c r="T51">
        <f t="shared" ref="T51" si="234">S51/1000</f>
        <v>-0.39478235686356655</v>
      </c>
    </row>
    <row r="52" spans="1:20" x14ac:dyDescent="0.25">
      <c r="A52" s="5">
        <v>44541</v>
      </c>
      <c r="B52">
        <v>8.8699999999999992</v>
      </c>
      <c r="C52">
        <v>8.9700000000000006</v>
      </c>
      <c r="D52">
        <v>8.7899999999999991</v>
      </c>
      <c r="E52">
        <v>8.94</v>
      </c>
      <c r="F52">
        <v>1686.76</v>
      </c>
      <c r="G52">
        <v>8.94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0.66666666666665675</v>
      </c>
      <c r="Q52">
        <f t="shared" ref="Q52" si="236">F52*P52</f>
        <v>1124.5066666666498</v>
      </c>
      <c r="R52">
        <f t="shared" ref="R52" si="237">R53+Q52</f>
        <v>-39473491.218356654</v>
      </c>
      <c r="S52">
        <f t="shared" ref="S52" si="238">R52/100000</f>
        <v>-394.73491218356656</v>
      </c>
      <c r="T52">
        <f t="shared" ref="T52" si="239">S52/1000</f>
        <v>-0.39473491218356654</v>
      </c>
    </row>
    <row r="53" spans="1:20" x14ac:dyDescent="0.25">
      <c r="A53" s="5">
        <v>44540</v>
      </c>
      <c r="B53">
        <v>9.0399999999999991</v>
      </c>
      <c r="C53">
        <v>9.4</v>
      </c>
      <c r="D53">
        <v>8.86</v>
      </c>
      <c r="E53">
        <v>8.89</v>
      </c>
      <c r="F53">
        <v>153331.28</v>
      </c>
      <c r="G53">
        <v>8.89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-0.88888888888888484</v>
      </c>
      <c r="Q53">
        <f t="shared" ref="Q53" si="241">F53*P53</f>
        <v>-136294.4711111105</v>
      </c>
      <c r="R53">
        <f t="shared" ref="R53" si="242">R54+Q53</f>
        <v>-39474615.725023322</v>
      </c>
      <c r="S53">
        <f t="shared" ref="S53" si="243">R53/100000</f>
        <v>-394.74615725023324</v>
      </c>
      <c r="T53">
        <f t="shared" ref="T53" si="244">S53/1000</f>
        <v>-0.39474615725023326</v>
      </c>
    </row>
    <row r="54" spans="1:20" x14ac:dyDescent="0.25">
      <c r="A54" s="5">
        <v>44539</v>
      </c>
      <c r="B54">
        <v>9.6</v>
      </c>
      <c r="C54">
        <v>10.14</v>
      </c>
      <c r="D54">
        <v>8.9700000000000006</v>
      </c>
      <c r="E54">
        <v>9.0500000000000007</v>
      </c>
      <c r="F54">
        <v>410984.97</v>
      </c>
      <c r="G54">
        <v>9.0500000000000007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-0.86324786324786307</v>
      </c>
      <c r="Q54">
        <f t="shared" ref="Q54" si="246">F54*P54</f>
        <v>-354781.8971794871</v>
      </c>
      <c r="R54">
        <f t="shared" ref="R54" si="247">R55+Q54</f>
        <v>-39338321.25391221</v>
      </c>
      <c r="S54">
        <f t="shared" ref="S54" si="248">R54/100000</f>
        <v>-393.3832125391221</v>
      </c>
      <c r="T54">
        <f t="shared" ref="T54" si="249">S54/1000</f>
        <v>-0.39338321253912212</v>
      </c>
    </row>
    <row r="55" spans="1:20" x14ac:dyDescent="0.25">
      <c r="A55" s="5">
        <v>44538</v>
      </c>
      <c r="B55">
        <v>9.74</v>
      </c>
      <c r="C55">
        <v>9.94</v>
      </c>
      <c r="D55">
        <v>9.27</v>
      </c>
      <c r="E55">
        <v>9.59</v>
      </c>
      <c r="F55">
        <v>150570.76999999999</v>
      </c>
      <c r="G55">
        <v>9.59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-4.4776119402984128E-2</v>
      </c>
      <c r="Q55">
        <f t="shared" ref="Q55" si="251">F55*P55</f>
        <v>-6741.9747761192602</v>
      </c>
      <c r="R55">
        <f t="shared" ref="R55" si="252">R56+Q55</f>
        <v>-38983539.356732726</v>
      </c>
      <c r="S55">
        <f t="shared" ref="S55" si="253">R55/100000</f>
        <v>-389.83539356732729</v>
      </c>
      <c r="T55">
        <f t="shared" ref="T55" si="254">S55/1000</f>
        <v>-0.38983539356732727</v>
      </c>
    </row>
    <row r="56" spans="1:20" x14ac:dyDescent="0.25">
      <c r="A56" s="5">
        <v>44537</v>
      </c>
      <c r="B56">
        <v>9.7899999999999991</v>
      </c>
      <c r="C56">
        <v>11</v>
      </c>
      <c r="D56">
        <v>9.5399999999999991</v>
      </c>
      <c r="E56">
        <v>9.76</v>
      </c>
      <c r="F56">
        <v>638410.67000000004</v>
      </c>
      <c r="G56">
        <v>9.76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-0.69863013698630072</v>
      </c>
      <c r="Q56">
        <f t="shared" ref="Q56" si="256">F56*P56</f>
        <v>-446012.93383561604</v>
      </c>
      <c r="R56">
        <f t="shared" ref="R56" si="257">R57+Q56</f>
        <v>-38976797.381956607</v>
      </c>
      <c r="S56">
        <f t="shared" ref="S56" si="258">R56/100000</f>
        <v>-389.76797381956607</v>
      </c>
      <c r="T56">
        <f t="shared" ref="T56" si="259">S56/1000</f>
        <v>-0.38976797381956607</v>
      </c>
    </row>
    <row r="57" spans="1:20" x14ac:dyDescent="0.25">
      <c r="A57" s="5">
        <v>44536</v>
      </c>
      <c r="B57">
        <v>10.25</v>
      </c>
      <c r="C57">
        <v>12.04</v>
      </c>
      <c r="D57">
        <v>9.0299999999999994</v>
      </c>
      <c r="E57">
        <v>9.77</v>
      </c>
      <c r="F57">
        <v>1530609.72</v>
      </c>
      <c r="G57">
        <v>9.77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-0.50830564784053134</v>
      </c>
      <c r="Q57">
        <f t="shared" ref="Q57" si="261">F57*P57</f>
        <v>-778017.56531561422</v>
      </c>
      <c r="R57">
        <f t="shared" ref="R57" si="262">R58+Q57</f>
        <v>-38530784.448120989</v>
      </c>
      <c r="S57">
        <f t="shared" ref="S57" si="263">R57/100000</f>
        <v>-385.30784448120988</v>
      </c>
      <c r="T57">
        <f t="shared" ref="T57" si="264">S57/1000</f>
        <v>-0.38530784448120986</v>
      </c>
    </row>
    <row r="58" spans="1:20" x14ac:dyDescent="0.25">
      <c r="A58" s="5">
        <v>44535</v>
      </c>
      <c r="B58">
        <v>8.9499999999999993</v>
      </c>
      <c r="C58">
        <v>15.75</v>
      </c>
      <c r="D58">
        <v>8.73</v>
      </c>
      <c r="E58">
        <v>10.25</v>
      </c>
      <c r="F58">
        <v>4573960.91</v>
      </c>
      <c r="G58">
        <v>10.25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-0.56695156695156701</v>
      </c>
      <c r="Q58">
        <f t="shared" ref="Q58" si="266">F58*P58</f>
        <v>-2593214.3050997155</v>
      </c>
      <c r="R58">
        <f t="shared" ref="R58" si="267">R59+Q58</f>
        <v>-37752766.882805377</v>
      </c>
      <c r="S58">
        <f t="shared" ref="S58" si="268">R58/100000</f>
        <v>-377.52766882805378</v>
      </c>
      <c r="T58">
        <f t="shared" ref="T58" si="269">S58/1000</f>
        <v>-0.37752766882805378</v>
      </c>
    </row>
    <row r="59" spans="1:20" x14ac:dyDescent="0.25">
      <c r="A59" s="5">
        <v>44534</v>
      </c>
      <c r="B59">
        <v>9.94</v>
      </c>
      <c r="C59">
        <v>10.029999999999999</v>
      </c>
      <c r="D59">
        <v>8.23</v>
      </c>
      <c r="E59">
        <v>8.93</v>
      </c>
      <c r="F59">
        <v>92226.951000000001</v>
      </c>
      <c r="G59">
        <v>8.93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-0.22222222222222254</v>
      </c>
      <c r="Q59">
        <f t="shared" ref="Q59" si="271">F59*P59</f>
        <v>-20494.87800000003</v>
      </c>
      <c r="R59">
        <f t="shared" ref="R59" si="272">R60+Q59</f>
        <v>-35159552.577705659</v>
      </c>
      <c r="S59">
        <f t="shared" ref="S59" si="273">R59/100000</f>
        <v>-351.59552577705659</v>
      </c>
      <c r="T59">
        <f t="shared" ref="T59" si="274">S59/1000</f>
        <v>-0.35159552577705661</v>
      </c>
    </row>
    <row r="60" spans="1:20" x14ac:dyDescent="0.25">
      <c r="A60" s="5">
        <v>44533</v>
      </c>
      <c r="B60">
        <v>10.19</v>
      </c>
      <c r="C60">
        <v>11.4</v>
      </c>
      <c r="D60">
        <v>9.7100000000000009</v>
      </c>
      <c r="E60">
        <v>10</v>
      </c>
      <c r="F60">
        <v>214938.51</v>
      </c>
      <c r="G60">
        <v>10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-0.65680473372781156</v>
      </c>
      <c r="Q60">
        <f t="shared" ref="Q60" si="276">F60*P60</f>
        <v>-141172.63082840256</v>
      </c>
      <c r="R60">
        <f t="shared" ref="R60" si="277">R61+Q60</f>
        <v>-35139057.69970566</v>
      </c>
      <c r="S60">
        <f t="shared" ref="S60" si="278">R60/100000</f>
        <v>-351.3905769970566</v>
      </c>
      <c r="T60">
        <f t="shared" ref="T60" si="279">S60/1000</f>
        <v>-0.35139057699705661</v>
      </c>
    </row>
    <row r="61" spans="1:20" x14ac:dyDescent="0.25">
      <c r="A61" s="5">
        <v>44532</v>
      </c>
      <c r="B61">
        <v>10.09</v>
      </c>
      <c r="C61">
        <v>10.45</v>
      </c>
      <c r="D61">
        <v>9.67</v>
      </c>
      <c r="E61">
        <v>10.18</v>
      </c>
      <c r="F61">
        <v>99963.44</v>
      </c>
      <c r="G61">
        <v>10.18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0.30769230769230821</v>
      </c>
      <c r="Q61">
        <f t="shared" ref="Q61" si="281">F61*P61</f>
        <v>30757.98153846159</v>
      </c>
      <c r="R61">
        <f t="shared" ref="R61" si="282">R62+Q61</f>
        <v>-34997885.068877257</v>
      </c>
      <c r="S61">
        <f t="shared" ref="S61" si="283">R61/100000</f>
        <v>-349.97885068877258</v>
      </c>
      <c r="T61">
        <f t="shared" ref="T61" si="284">S61/1000</f>
        <v>-0.3499788506887726</v>
      </c>
    </row>
    <row r="62" spans="1:20" x14ac:dyDescent="0.25">
      <c r="A62" s="5">
        <v>44531</v>
      </c>
      <c r="B62">
        <v>10.02</v>
      </c>
      <c r="C62">
        <v>10.3</v>
      </c>
      <c r="D62">
        <v>9.92</v>
      </c>
      <c r="E62">
        <v>10.09</v>
      </c>
      <c r="F62">
        <v>84207.18</v>
      </c>
      <c r="G62">
        <v>10.09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-0.10526315789473906</v>
      </c>
      <c r="Q62">
        <f t="shared" ref="Q62" si="286">F62*P62</f>
        <v>-8863.9136842107127</v>
      </c>
      <c r="R62">
        <f t="shared" ref="R62" si="287">R63+Q62</f>
        <v>-35028643.050415717</v>
      </c>
      <c r="S62">
        <f t="shared" ref="S62" si="288">R62/100000</f>
        <v>-350.28643050415718</v>
      </c>
      <c r="T62">
        <f t="shared" ref="T62" si="289">S62/1000</f>
        <v>-0.3502864305041572</v>
      </c>
    </row>
    <row r="63" spans="1:20" x14ac:dyDescent="0.25">
      <c r="A63" s="5">
        <v>44530</v>
      </c>
      <c r="B63">
        <v>10.23</v>
      </c>
      <c r="C63">
        <v>10.7</v>
      </c>
      <c r="D63">
        <v>9.9</v>
      </c>
      <c r="E63">
        <v>10.02</v>
      </c>
      <c r="F63">
        <v>143233.42000000001</v>
      </c>
      <c r="G63">
        <v>10.02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-0.70000000000000151</v>
      </c>
      <c r="Q63">
        <f t="shared" ref="Q63" si="291">F63*P63</f>
        <v>-100263.39400000022</v>
      </c>
      <c r="R63">
        <f t="shared" ref="R63" si="292">R64+Q63</f>
        <v>-35019779.136731505</v>
      </c>
      <c r="S63">
        <f t="shared" ref="S63" si="293">R63/100000</f>
        <v>-350.19779136731506</v>
      </c>
      <c r="T63">
        <f t="shared" ref="T63" si="294">S63/1000</f>
        <v>-0.35019779136731505</v>
      </c>
    </row>
    <row r="64" spans="1:20" x14ac:dyDescent="0.25">
      <c r="A64" s="5">
        <v>44529</v>
      </c>
      <c r="B64">
        <v>10.06</v>
      </c>
      <c r="C64">
        <v>10.32</v>
      </c>
      <c r="D64">
        <v>9.93</v>
      </c>
      <c r="E64">
        <v>10.23</v>
      </c>
      <c r="F64">
        <v>33558.269999999997</v>
      </c>
      <c r="G64">
        <v>10.23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0.53846153846153988</v>
      </c>
      <c r="Q64">
        <f t="shared" ref="Q64" si="296">F64*P64</f>
        <v>18069.837692307738</v>
      </c>
      <c r="R64">
        <f t="shared" ref="R64" si="297">R65+Q64</f>
        <v>-34919515.742731504</v>
      </c>
      <c r="S64">
        <f t="shared" ref="S64" si="298">R64/100000</f>
        <v>-349.19515742731505</v>
      </c>
      <c r="T64">
        <f t="shared" ref="T64" si="299">S64/1000</f>
        <v>-0.34919515742731505</v>
      </c>
    </row>
    <row r="65" spans="1:20" x14ac:dyDescent="0.25">
      <c r="A65" s="5">
        <v>44528</v>
      </c>
      <c r="B65">
        <v>9.9</v>
      </c>
      <c r="C65">
        <v>10.14</v>
      </c>
      <c r="D65">
        <v>9.56</v>
      </c>
      <c r="E65">
        <v>10.06</v>
      </c>
      <c r="F65">
        <v>52856.99</v>
      </c>
      <c r="G65">
        <v>10.06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0.72413793103448254</v>
      </c>
      <c r="Q65">
        <f t="shared" ref="Q65" si="301">F65*P65</f>
        <v>38275.751379310335</v>
      </c>
      <c r="R65">
        <f t="shared" ref="R65" si="302">R66+Q65</f>
        <v>-34937585.58042381</v>
      </c>
      <c r="S65">
        <f t="shared" ref="S65" si="303">R65/100000</f>
        <v>-349.37585580423809</v>
      </c>
      <c r="T65">
        <f t="shared" ref="T65" si="304">S65/1000</f>
        <v>-0.34937585580423808</v>
      </c>
    </row>
    <row r="66" spans="1:20" x14ac:dyDescent="0.25">
      <c r="A66" s="5">
        <v>44527</v>
      </c>
      <c r="B66">
        <v>9.7100000000000009</v>
      </c>
      <c r="C66">
        <v>10.08</v>
      </c>
      <c r="D66">
        <v>9.66</v>
      </c>
      <c r="E66">
        <v>9.89</v>
      </c>
      <c r="F66">
        <v>40420.730000000003</v>
      </c>
      <c r="G66">
        <v>9.89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9.5238095238097453E-2</v>
      </c>
      <c r="Q66">
        <f t="shared" ref="Q66" si="306">F66*P66</f>
        <v>3849.5933333334233</v>
      </c>
      <c r="R66">
        <f t="shared" ref="R66" si="307">R67+Q66</f>
        <v>-34975861.331803121</v>
      </c>
      <c r="S66">
        <f t="shared" ref="S66" si="308">R66/100000</f>
        <v>-349.75861331803122</v>
      </c>
      <c r="T66">
        <f t="shared" ref="T66" si="309">S66/1000</f>
        <v>-0.34975861331803121</v>
      </c>
    </row>
    <row r="67" spans="1:20" x14ac:dyDescent="0.25">
      <c r="A67" s="5">
        <v>44526</v>
      </c>
      <c r="B67">
        <v>10.69</v>
      </c>
      <c r="C67">
        <v>10.71</v>
      </c>
      <c r="D67">
        <v>9.6199999999999992</v>
      </c>
      <c r="E67">
        <v>9.66</v>
      </c>
      <c r="F67">
        <v>80577.5</v>
      </c>
      <c r="G67">
        <v>9.66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-0.9266055045871544</v>
      </c>
      <c r="Q67">
        <f t="shared" ref="Q67" si="311">F67*P67</f>
        <v>-74663.555045871428</v>
      </c>
      <c r="R67">
        <f t="shared" ref="R67" si="312">R68+Q67</f>
        <v>-34979710.925136454</v>
      </c>
      <c r="S67">
        <f t="shared" ref="S67" si="313">R67/100000</f>
        <v>-349.79710925136453</v>
      </c>
      <c r="T67">
        <f t="shared" ref="T67" si="314">S67/1000</f>
        <v>-0.34979710925136454</v>
      </c>
    </row>
    <row r="68" spans="1:20" x14ac:dyDescent="0.25">
      <c r="A68" s="5">
        <v>44525</v>
      </c>
      <c r="B68">
        <v>10.43</v>
      </c>
      <c r="C68">
        <v>10.76</v>
      </c>
      <c r="D68">
        <v>10.4</v>
      </c>
      <c r="E68">
        <v>10.68</v>
      </c>
      <c r="F68">
        <v>57512.87</v>
      </c>
      <c r="G68">
        <v>10.68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0.55555555555555447</v>
      </c>
      <c r="Q68">
        <f t="shared" ref="Q68" si="316">F68*P68</f>
        <v>31951.594444444385</v>
      </c>
      <c r="R68">
        <f t="shared" ref="R68" si="317">R69+Q68</f>
        <v>-34905047.370090581</v>
      </c>
      <c r="S68">
        <f t="shared" ref="S68" si="318">R68/100000</f>
        <v>-349.0504737009058</v>
      </c>
      <c r="T68">
        <f t="shared" ref="T68" si="319">S68/1000</f>
        <v>-0.34905047370090581</v>
      </c>
    </row>
    <row r="69" spans="1:20" x14ac:dyDescent="0.25">
      <c r="A69" s="5">
        <v>44524</v>
      </c>
      <c r="B69">
        <v>10.7</v>
      </c>
      <c r="C69">
        <v>10.73</v>
      </c>
      <c r="D69">
        <v>10.48</v>
      </c>
      <c r="E69">
        <v>10.52</v>
      </c>
      <c r="F69">
        <v>21687.68</v>
      </c>
      <c r="G69">
        <v>10.52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-0.68000000000000682</v>
      </c>
      <c r="Q69">
        <f t="shared" ref="Q69" si="321">F69*P69</f>
        <v>-14747.622400000148</v>
      </c>
      <c r="R69">
        <f t="shared" ref="R69" si="322">R70+Q69</f>
        <v>-34936998.964535028</v>
      </c>
      <c r="S69">
        <f t="shared" ref="S69" si="323">R69/100000</f>
        <v>-349.3699896453503</v>
      </c>
      <c r="T69">
        <f t="shared" ref="T69" si="324">S69/1000</f>
        <v>-0.34936998964535032</v>
      </c>
    </row>
    <row r="70" spans="1:20" x14ac:dyDescent="0.25">
      <c r="A70" s="5">
        <v>44523</v>
      </c>
      <c r="B70">
        <v>11.03</v>
      </c>
      <c r="C70">
        <v>11.4</v>
      </c>
      <c r="D70">
        <v>10.56</v>
      </c>
      <c r="E70">
        <v>10.7</v>
      </c>
      <c r="F70">
        <v>443500.57</v>
      </c>
      <c r="G70">
        <v>10.7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-0.66666666666666952</v>
      </c>
      <c r="Q70">
        <f t="shared" ref="Q70" si="326">F70*P70</f>
        <v>-295667.04666666791</v>
      </c>
      <c r="R70">
        <f t="shared" ref="R70" si="327">R71+Q70</f>
        <v>-34922251.342135027</v>
      </c>
      <c r="S70">
        <f t="shared" ref="S70" si="328">R70/100000</f>
        <v>-349.22251342135024</v>
      </c>
      <c r="T70">
        <f t="shared" ref="T70" si="329">S70/1000</f>
        <v>-0.34922251342135024</v>
      </c>
    </row>
    <row r="71" spans="1:20" x14ac:dyDescent="0.25">
      <c r="A71" s="5">
        <v>44522</v>
      </c>
      <c r="B71">
        <v>11.16</v>
      </c>
      <c r="C71">
        <v>11.44</v>
      </c>
      <c r="D71">
        <v>10.88</v>
      </c>
      <c r="E71">
        <v>11.06</v>
      </c>
      <c r="F71">
        <v>74717.2</v>
      </c>
      <c r="G71">
        <v>11.06</v>
      </c>
      <c r="L71" t="s">
        <v>8</v>
      </c>
      <c r="M71" t="s">
        <v>7</v>
      </c>
      <c r="N71" t="s">
        <v>7</v>
      </c>
      <c r="P71">
        <f t="shared" ref="P71" si="330">IF(C71=D71,0,((E71-D71)-(C71-E71))/(C71-D71))</f>
        <v>-0.35714285714285671</v>
      </c>
      <c r="Q71">
        <f t="shared" ref="Q71" si="331">F71*P71</f>
        <v>-26684.714285714253</v>
      </c>
      <c r="R71">
        <f t="shared" ref="R71" si="332">R72+Q71</f>
        <v>-34626584.29546836</v>
      </c>
      <c r="S71">
        <f t="shared" ref="S71" si="333">R71/100000</f>
        <v>-346.26584295468359</v>
      </c>
      <c r="T71">
        <f t="shared" ref="T71" si="334">S71/1000</f>
        <v>-0.3462658429546836</v>
      </c>
    </row>
    <row r="72" spans="1:20" x14ac:dyDescent="0.25">
      <c r="A72" s="5">
        <v>44521</v>
      </c>
      <c r="B72">
        <v>11.29</v>
      </c>
      <c r="C72">
        <v>11.36</v>
      </c>
      <c r="D72">
        <v>11.04</v>
      </c>
      <c r="E72">
        <v>11.16</v>
      </c>
      <c r="F72">
        <v>58136.83</v>
      </c>
      <c r="G72">
        <v>11.16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-0.24999999999999445</v>
      </c>
      <c r="Q72">
        <f t="shared" ref="Q72" si="336">F72*P72</f>
        <v>-14534.207499999678</v>
      </c>
      <c r="R72">
        <f t="shared" ref="R72" si="337">R73+Q72</f>
        <v>-34599899.581182644</v>
      </c>
      <c r="S72">
        <f t="shared" ref="S72" si="338">R72/100000</f>
        <v>-345.99899581182643</v>
      </c>
      <c r="T72">
        <f t="shared" ref="T72" si="339">S72/1000</f>
        <v>-0.34599899581182642</v>
      </c>
    </row>
    <row r="73" spans="1:20" x14ac:dyDescent="0.25">
      <c r="A73" s="5">
        <v>44520</v>
      </c>
      <c r="B73">
        <v>11.3</v>
      </c>
      <c r="C73">
        <v>11.4</v>
      </c>
      <c r="D73">
        <v>10.96</v>
      </c>
      <c r="E73">
        <v>11.29</v>
      </c>
      <c r="F73">
        <v>61772.959999999999</v>
      </c>
      <c r="G73">
        <v>11.29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0.49999999999999395</v>
      </c>
      <c r="Q73">
        <f t="shared" ref="Q73" si="341">F73*P73</f>
        <v>30886.479999999625</v>
      </c>
      <c r="R73">
        <f t="shared" ref="R73" si="342">R74+Q73</f>
        <v>-34585365.37368264</v>
      </c>
      <c r="S73">
        <f t="shared" ref="S73" si="343">R73/100000</f>
        <v>-345.8536537368264</v>
      </c>
      <c r="T73">
        <f t="shared" ref="T73" si="344">S73/1000</f>
        <v>-0.34585365373682642</v>
      </c>
    </row>
    <row r="74" spans="1:20" x14ac:dyDescent="0.25">
      <c r="A74" s="5">
        <v>44519</v>
      </c>
      <c r="B74">
        <v>10.67</v>
      </c>
      <c r="C74">
        <v>11.47</v>
      </c>
      <c r="D74">
        <v>10.66</v>
      </c>
      <c r="E74">
        <v>11.28</v>
      </c>
      <c r="F74">
        <v>109071.96</v>
      </c>
      <c r="G74">
        <v>11.28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0.53086419753086134</v>
      </c>
      <c r="Q74">
        <f t="shared" ref="Q74" si="346">F74*P74</f>
        <v>57902.39851851821</v>
      </c>
      <c r="R74">
        <f t="shared" ref="R74" si="347">R75+Q74</f>
        <v>-34616251.853682637</v>
      </c>
      <c r="S74">
        <f t="shared" ref="S74" si="348">R74/100000</f>
        <v>-346.16251853682638</v>
      </c>
      <c r="T74">
        <f t="shared" ref="T74" si="349">S74/1000</f>
        <v>-0.34616251853682639</v>
      </c>
    </row>
    <row r="75" spans="1:20" x14ac:dyDescent="0.25">
      <c r="A75" s="5">
        <v>44518</v>
      </c>
      <c r="B75">
        <v>11.59</v>
      </c>
      <c r="C75">
        <v>11.8</v>
      </c>
      <c r="D75">
        <v>10.6</v>
      </c>
      <c r="E75">
        <v>10.66</v>
      </c>
      <c r="F75">
        <v>111745.24</v>
      </c>
      <c r="G75">
        <v>10.66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-0.89999999999999925</v>
      </c>
      <c r="Q75">
        <f t="shared" ref="Q75" si="351">F75*P75</f>
        <v>-100570.71599999993</v>
      </c>
      <c r="R75">
        <f t="shared" ref="R75" si="352">R76+Q75</f>
        <v>-34674154.252201155</v>
      </c>
      <c r="S75">
        <f t="shared" ref="S75" si="353">R75/100000</f>
        <v>-346.74154252201157</v>
      </c>
      <c r="T75">
        <f t="shared" ref="T75" si="354">S75/1000</f>
        <v>-0.34674154252201156</v>
      </c>
    </row>
    <row r="76" spans="1:20" x14ac:dyDescent="0.25">
      <c r="A76" s="5">
        <v>44517</v>
      </c>
      <c r="B76">
        <v>11.87</v>
      </c>
      <c r="C76">
        <v>12.28</v>
      </c>
      <c r="D76">
        <v>11.37</v>
      </c>
      <c r="E76">
        <v>11.59</v>
      </c>
      <c r="F76">
        <v>184133.48</v>
      </c>
      <c r="G76">
        <v>11.59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-0.5164835164835152</v>
      </c>
      <c r="Q76">
        <f t="shared" ref="Q76" si="356">F76*P76</f>
        <v>-95101.907252747027</v>
      </c>
      <c r="R76">
        <f t="shared" ref="R76" si="357">R77+Q76</f>
        <v>-34573583.536201157</v>
      </c>
      <c r="S76">
        <f t="shared" ref="S76" si="358">R76/100000</f>
        <v>-345.73583536201158</v>
      </c>
      <c r="T76">
        <f t="shared" ref="T76" si="359">S76/1000</f>
        <v>-0.34573583536201158</v>
      </c>
    </row>
    <row r="77" spans="1:20" x14ac:dyDescent="0.25">
      <c r="A77" s="5">
        <v>44516</v>
      </c>
      <c r="B77">
        <v>12.63</v>
      </c>
      <c r="C77">
        <v>12.89</v>
      </c>
      <c r="D77">
        <v>11.64</v>
      </c>
      <c r="E77">
        <v>11.86</v>
      </c>
      <c r="F77">
        <v>202915.41</v>
      </c>
      <c r="G77">
        <v>11.86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-0.6480000000000018</v>
      </c>
      <c r="Q77">
        <f t="shared" ref="Q77" si="361">F77*P77</f>
        <v>-131489.18568000037</v>
      </c>
      <c r="R77">
        <f t="shared" ref="R77" si="362">R78+Q77</f>
        <v>-34478481.628948413</v>
      </c>
      <c r="S77">
        <f t="shared" ref="S77" si="363">R77/100000</f>
        <v>-344.78481628948413</v>
      </c>
      <c r="T77">
        <f t="shared" ref="T77" si="364">S77/1000</f>
        <v>-0.34478481628948415</v>
      </c>
    </row>
    <row r="78" spans="1:20" x14ac:dyDescent="0.25">
      <c r="A78" s="5">
        <v>44515</v>
      </c>
      <c r="B78">
        <v>12.7</v>
      </c>
      <c r="C78">
        <v>13.1</v>
      </c>
      <c r="D78">
        <v>12.56</v>
      </c>
      <c r="E78">
        <v>12.64</v>
      </c>
      <c r="F78">
        <v>108258.91</v>
      </c>
      <c r="G78">
        <v>12.64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-0.70370370370370294</v>
      </c>
      <c r="Q78">
        <f t="shared" ref="Q78" si="366">F78*P78</f>
        <v>-76182.195925925844</v>
      </c>
      <c r="R78">
        <f t="shared" ref="R78" si="367">R79+Q78</f>
        <v>-34346992.443268411</v>
      </c>
      <c r="S78">
        <f t="shared" ref="S78" si="368">R78/100000</f>
        <v>-343.46992443268408</v>
      </c>
      <c r="T78">
        <f t="shared" ref="T78" si="369">S78/1000</f>
        <v>-0.34346992443268409</v>
      </c>
    </row>
    <row r="79" spans="1:20" x14ac:dyDescent="0.25">
      <c r="A79" s="5">
        <v>44514</v>
      </c>
      <c r="B79">
        <v>12.65</v>
      </c>
      <c r="C79">
        <v>12.76</v>
      </c>
      <c r="D79">
        <v>12.45</v>
      </c>
      <c r="E79">
        <v>12.68</v>
      </c>
      <c r="F79">
        <v>62361.08</v>
      </c>
      <c r="G79">
        <v>12.68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0.48387096774193583</v>
      </c>
      <c r="Q79">
        <f t="shared" ref="Q79" si="371">F79*P79</f>
        <v>30174.71612903228</v>
      </c>
      <c r="R79">
        <f t="shared" ref="R79" si="372">R80+Q79</f>
        <v>-34270810.247342482</v>
      </c>
      <c r="S79">
        <f t="shared" ref="S79" si="373">R79/100000</f>
        <v>-342.70810247342484</v>
      </c>
      <c r="T79">
        <f t="shared" ref="T79" si="374">S79/1000</f>
        <v>-0.34270810247342487</v>
      </c>
    </row>
    <row r="80" spans="1:20" x14ac:dyDescent="0.25">
      <c r="A80" s="5">
        <v>44513</v>
      </c>
      <c r="B80">
        <v>12.72</v>
      </c>
      <c r="C80">
        <v>12.87</v>
      </c>
      <c r="D80">
        <v>12.56</v>
      </c>
      <c r="E80">
        <v>12.64</v>
      </c>
      <c r="F80">
        <v>70311.73</v>
      </c>
      <c r="G80">
        <v>12.64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-0.48387096774193289</v>
      </c>
      <c r="Q80">
        <f t="shared" ref="Q80" si="376">F80*P80</f>
        <v>-34021.80483870949</v>
      </c>
      <c r="R80">
        <f t="shared" ref="R80" si="377">R81+Q80</f>
        <v>-34300984.963471517</v>
      </c>
      <c r="S80">
        <f t="shared" ref="S80" si="378">R80/100000</f>
        <v>-343.00984963471518</v>
      </c>
      <c r="T80">
        <f t="shared" ref="T80" si="379">S80/1000</f>
        <v>-0.3430098496347152</v>
      </c>
    </row>
    <row r="81" spans="1:20" x14ac:dyDescent="0.25">
      <c r="A81" s="5">
        <v>44512</v>
      </c>
      <c r="B81">
        <v>12.67</v>
      </c>
      <c r="C81">
        <v>13.54</v>
      </c>
      <c r="D81">
        <v>12.5</v>
      </c>
      <c r="E81">
        <v>12.72</v>
      </c>
      <c r="F81">
        <v>153045.44</v>
      </c>
      <c r="G81">
        <v>12.72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-0.57692307692307532</v>
      </c>
      <c r="Q81">
        <f t="shared" ref="Q81" si="381">F81*P81</f>
        <v>-88295.446153845915</v>
      </c>
      <c r="R81">
        <f t="shared" ref="R81" si="382">R82+Q81</f>
        <v>-34266963.158632807</v>
      </c>
      <c r="S81">
        <f t="shared" ref="S81" si="383">R81/100000</f>
        <v>-342.66963158632808</v>
      </c>
      <c r="T81">
        <f t="shared" ref="T81" si="384">S81/1000</f>
        <v>-0.34266963158632807</v>
      </c>
    </row>
    <row r="82" spans="1:20" x14ac:dyDescent="0.25">
      <c r="A82" s="5">
        <v>44511</v>
      </c>
      <c r="B82">
        <v>12.42</v>
      </c>
      <c r="C82">
        <v>13.39</v>
      </c>
      <c r="D82">
        <v>12.29</v>
      </c>
      <c r="E82">
        <v>12.67</v>
      </c>
      <c r="F82">
        <v>273434.15000000002</v>
      </c>
      <c r="G82">
        <v>12.67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-0.30909090909090858</v>
      </c>
      <c r="Q82">
        <f t="shared" ref="Q82" si="386">F82*P82</f>
        <v>-84516.009999999864</v>
      </c>
      <c r="R82">
        <f t="shared" ref="R82" si="387">R83+Q82</f>
        <v>-34178667.712478958</v>
      </c>
      <c r="S82">
        <f t="shared" ref="S82" si="388">R82/100000</f>
        <v>-341.78667712478961</v>
      </c>
      <c r="T82">
        <f t="shared" ref="T82" si="389">S82/1000</f>
        <v>-0.34178667712478961</v>
      </c>
    </row>
    <row r="83" spans="1:20" x14ac:dyDescent="0.25">
      <c r="A83" s="5">
        <v>44510</v>
      </c>
      <c r="B83">
        <v>12.74</v>
      </c>
      <c r="C83">
        <v>13.63</v>
      </c>
      <c r="D83">
        <v>12.33</v>
      </c>
      <c r="E83">
        <v>12.46</v>
      </c>
      <c r="F83">
        <v>169118.79</v>
      </c>
      <c r="G83">
        <v>12.46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-0.79999999999999893</v>
      </c>
      <c r="Q83">
        <f t="shared" ref="Q83" si="391">F83*P83</f>
        <v>-135295.03199999983</v>
      </c>
      <c r="R83">
        <f t="shared" ref="R83" si="392">R84+Q83</f>
        <v>-34094151.70247896</v>
      </c>
      <c r="S83">
        <f t="shared" ref="S83" si="393">R83/100000</f>
        <v>-340.94151702478962</v>
      </c>
      <c r="T83">
        <f t="shared" ref="T83" si="394">S83/1000</f>
        <v>-0.34094151702478964</v>
      </c>
    </row>
    <row r="84" spans="1:20" x14ac:dyDescent="0.25">
      <c r="A84" s="5">
        <v>44509</v>
      </c>
      <c r="B84">
        <v>12.86</v>
      </c>
      <c r="C84">
        <v>13.07</v>
      </c>
      <c r="D84">
        <v>12.59</v>
      </c>
      <c r="E84">
        <v>12.77</v>
      </c>
      <c r="F84">
        <v>96906.09</v>
      </c>
      <c r="G84">
        <v>12.77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-0.25000000000000183</v>
      </c>
      <c r="Q84">
        <f t="shared" ref="Q84" si="396">F84*P84</f>
        <v>-24226.522500000177</v>
      </c>
      <c r="R84">
        <f t="shared" ref="R84" si="397">R85+Q84</f>
        <v>-33958856.670478962</v>
      </c>
      <c r="S84">
        <f t="shared" ref="S84" si="398">R84/100000</f>
        <v>-339.58856670478963</v>
      </c>
      <c r="T84">
        <f t="shared" ref="T84" si="399">S84/1000</f>
        <v>-0.33958856670478965</v>
      </c>
    </row>
    <row r="85" spans="1:20" x14ac:dyDescent="0.25">
      <c r="A85" s="5">
        <v>44508</v>
      </c>
      <c r="B85">
        <v>13.16</v>
      </c>
      <c r="C85">
        <v>13.21</v>
      </c>
      <c r="D85">
        <v>12.66</v>
      </c>
      <c r="E85">
        <v>12.88</v>
      </c>
      <c r="F85">
        <v>100711.91</v>
      </c>
      <c r="G85">
        <v>12.88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-0.19999999999999871</v>
      </c>
      <c r="Q85">
        <f t="shared" ref="Q85" si="401">F85*P85</f>
        <v>-20142.38199999987</v>
      </c>
      <c r="R85">
        <f t="shared" ref="R85" si="402">R86+Q85</f>
        <v>-33934630.147978961</v>
      </c>
      <c r="S85">
        <f t="shared" ref="S85" si="403">R85/100000</f>
        <v>-339.34630147978959</v>
      </c>
      <c r="T85">
        <f t="shared" ref="T85" si="404">S85/1000</f>
        <v>-0.33934630147978961</v>
      </c>
    </row>
    <row r="86" spans="1:20" x14ac:dyDescent="0.25">
      <c r="A86" s="5">
        <v>44507</v>
      </c>
      <c r="B86">
        <v>12.64</v>
      </c>
      <c r="C86">
        <v>14.42</v>
      </c>
      <c r="D86">
        <v>12.57</v>
      </c>
      <c r="E86">
        <v>13.14</v>
      </c>
      <c r="F86">
        <v>432305.37</v>
      </c>
      <c r="G86">
        <v>13.14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-0.38378378378378336</v>
      </c>
      <c r="Q86">
        <f t="shared" ref="Q86" si="406">F86*P86</f>
        <v>-165911.79064864846</v>
      </c>
      <c r="R86">
        <f t="shared" ref="R86" si="407">R87+Q86</f>
        <v>-33914487.765978962</v>
      </c>
      <c r="S86">
        <f t="shared" ref="S86" si="408">R86/100000</f>
        <v>-339.14487765978964</v>
      </c>
      <c r="T86">
        <f t="shared" ref="T86" si="409">S86/1000</f>
        <v>-0.33914487765978962</v>
      </c>
    </row>
    <row r="87" spans="1:20" x14ac:dyDescent="0.25">
      <c r="A87" s="5">
        <v>44506</v>
      </c>
      <c r="B87">
        <v>12.57</v>
      </c>
      <c r="C87">
        <v>12.82</v>
      </c>
      <c r="D87">
        <v>12.43</v>
      </c>
      <c r="E87">
        <v>12.64</v>
      </c>
      <c r="F87">
        <v>63964.06</v>
      </c>
      <c r="G87">
        <v>12.64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7.6923076923079731E-2</v>
      </c>
      <c r="Q87">
        <f t="shared" ref="Q87" si="411">F87*P87</f>
        <v>4920.3123076924867</v>
      </c>
      <c r="R87">
        <f t="shared" ref="R87" si="412">R88+Q87</f>
        <v>-33748575.975330316</v>
      </c>
      <c r="S87">
        <f t="shared" ref="S87" si="413">R87/100000</f>
        <v>-337.48575975330317</v>
      </c>
      <c r="T87">
        <f t="shared" ref="T87" si="414">S87/1000</f>
        <v>-0.33748575975330319</v>
      </c>
    </row>
    <row r="88" spans="1:20" x14ac:dyDescent="0.25">
      <c r="A88" s="5">
        <v>44505</v>
      </c>
      <c r="B88">
        <v>12.53</v>
      </c>
      <c r="C88">
        <v>12.95</v>
      </c>
      <c r="D88">
        <v>12.31</v>
      </c>
      <c r="E88">
        <v>12.58</v>
      </c>
      <c r="F88">
        <v>144446.74</v>
      </c>
      <c r="G88">
        <v>12.58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-0.15624999999999975</v>
      </c>
      <c r="Q88">
        <f t="shared" ref="Q88" si="416">F88*P88</f>
        <v>-22569.803124999962</v>
      </c>
      <c r="R88">
        <f t="shared" ref="R88" si="417">R89+Q88</f>
        <v>-33753496.287638009</v>
      </c>
      <c r="S88">
        <f t="shared" ref="S88" si="418">R88/100000</f>
        <v>-337.53496287638006</v>
      </c>
      <c r="T88">
        <f t="shared" ref="T88" si="419">S88/1000</f>
        <v>-0.33753496287638007</v>
      </c>
    </row>
    <row r="89" spans="1:20" x14ac:dyDescent="0.25">
      <c r="A89" s="5">
        <v>44504</v>
      </c>
      <c r="B89">
        <v>12.59</v>
      </c>
      <c r="C89">
        <v>13.45</v>
      </c>
      <c r="D89">
        <v>12.29</v>
      </c>
      <c r="E89">
        <v>12.54</v>
      </c>
      <c r="F89">
        <v>181559.54</v>
      </c>
      <c r="G89">
        <v>12.54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-0.56896551724137934</v>
      </c>
      <c r="Q89">
        <f t="shared" ref="Q89" si="421">F89*P89</f>
        <v>-103301.11758620691</v>
      </c>
      <c r="R89">
        <f t="shared" ref="R89" si="422">R90+Q89</f>
        <v>-33730926.484513007</v>
      </c>
      <c r="S89">
        <f t="shared" ref="S89" si="423">R89/100000</f>
        <v>-337.30926484513009</v>
      </c>
      <c r="T89">
        <f t="shared" ref="T89" si="424">S89/1000</f>
        <v>-0.33730926484513007</v>
      </c>
    </row>
    <row r="90" spans="1:20" x14ac:dyDescent="0.25">
      <c r="A90" s="5">
        <v>44503</v>
      </c>
      <c r="B90">
        <v>12.65</v>
      </c>
      <c r="C90">
        <v>12.8</v>
      </c>
      <c r="D90">
        <v>12.23</v>
      </c>
      <c r="E90">
        <v>12.57</v>
      </c>
      <c r="F90">
        <v>112433.51</v>
      </c>
      <c r="G90">
        <v>12.57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0.19298245614034978</v>
      </c>
      <c r="Q90">
        <f t="shared" ref="Q90" si="426">F90*P90</f>
        <v>21697.694912280578</v>
      </c>
      <c r="R90">
        <f t="shared" ref="R90" si="427">R91+Q90</f>
        <v>-33627625.366926797</v>
      </c>
      <c r="S90">
        <f t="shared" ref="S90" si="428">R90/100000</f>
        <v>-336.27625366926799</v>
      </c>
      <c r="T90">
        <f t="shared" ref="T90" si="429">S90/1000</f>
        <v>-0.336276253669268</v>
      </c>
    </row>
    <row r="91" spans="1:20" x14ac:dyDescent="0.25">
      <c r="A91" s="5">
        <v>44502</v>
      </c>
      <c r="B91">
        <v>12.77</v>
      </c>
      <c r="C91">
        <v>13.06</v>
      </c>
      <c r="D91">
        <v>12.51</v>
      </c>
      <c r="E91">
        <v>12.64</v>
      </c>
      <c r="F91">
        <v>114280.37</v>
      </c>
      <c r="G91">
        <v>12.64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-0.52727272727272501</v>
      </c>
      <c r="Q91">
        <f t="shared" ref="Q91" si="431">F91*P91</f>
        <v>-60256.922363636106</v>
      </c>
      <c r="R91">
        <f t="shared" ref="R91" si="432">R92+Q91</f>
        <v>-33649323.061839074</v>
      </c>
      <c r="S91">
        <f t="shared" ref="S91" si="433">R91/100000</f>
        <v>-336.49323061839073</v>
      </c>
      <c r="T91">
        <f t="shared" ref="T91" si="434">S91/1000</f>
        <v>-0.3364932306183907</v>
      </c>
    </row>
    <row r="92" spans="1:20" x14ac:dyDescent="0.25">
      <c r="A92" s="5">
        <v>44501</v>
      </c>
      <c r="B92">
        <v>12.53</v>
      </c>
      <c r="C92">
        <v>13.11</v>
      </c>
      <c r="D92">
        <v>12.38</v>
      </c>
      <c r="E92">
        <v>12.76</v>
      </c>
      <c r="F92">
        <v>138038.70000000001</v>
      </c>
      <c r="G92">
        <v>12.76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4.1095890410958104E-2</v>
      </c>
      <c r="Q92">
        <f t="shared" ref="Q92" si="436">F92*P92</f>
        <v>5672.8232876711227</v>
      </c>
      <c r="R92">
        <f t="shared" ref="R92" si="437">R93+Q92</f>
        <v>-33589066.139475435</v>
      </c>
      <c r="S92">
        <f t="shared" ref="S92" si="438">R92/100000</f>
        <v>-335.89066139475437</v>
      </c>
      <c r="T92">
        <f t="shared" ref="T92" si="439">S92/1000</f>
        <v>-0.33589066139475438</v>
      </c>
    </row>
    <row r="93" spans="1:20" x14ac:dyDescent="0.25">
      <c r="A93" s="5">
        <v>44500</v>
      </c>
      <c r="B93">
        <v>12.94</v>
      </c>
      <c r="C93">
        <v>12.98</v>
      </c>
      <c r="D93">
        <v>12.17</v>
      </c>
      <c r="E93">
        <v>12.53</v>
      </c>
      <c r="F93">
        <v>138267.26999999999</v>
      </c>
      <c r="G93">
        <v>12.53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-0.11111111111111306</v>
      </c>
      <c r="Q93">
        <f t="shared" ref="Q93" si="441">F93*P93</f>
        <v>-15363.030000000268</v>
      </c>
      <c r="R93">
        <f t="shared" ref="R93" si="442">R94+Q93</f>
        <v>-33594738.962763108</v>
      </c>
      <c r="S93">
        <f t="shared" ref="S93" si="443">R93/100000</f>
        <v>-335.94738962763108</v>
      </c>
      <c r="T93">
        <f t="shared" ref="T93" si="444">S93/1000</f>
        <v>-0.3359473896276311</v>
      </c>
    </row>
    <row r="94" spans="1:20" x14ac:dyDescent="0.25">
      <c r="A94" s="5">
        <v>44499</v>
      </c>
      <c r="B94">
        <v>13.1</v>
      </c>
      <c r="C94">
        <v>13.12</v>
      </c>
      <c r="D94">
        <v>12.59</v>
      </c>
      <c r="E94">
        <v>12.93</v>
      </c>
      <c r="F94">
        <v>112109.8</v>
      </c>
      <c r="G94">
        <v>12.93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0.28301886792452929</v>
      </c>
      <c r="Q94">
        <f t="shared" ref="Q94" si="446">F94*P94</f>
        <v>31729.188679245395</v>
      </c>
      <c r="R94">
        <f t="shared" ref="R94" si="447">R95+Q94</f>
        <v>-33579375.932763107</v>
      </c>
      <c r="S94">
        <f t="shared" ref="S94" si="448">R94/100000</f>
        <v>-335.79375932763105</v>
      </c>
      <c r="T94">
        <f t="shared" ref="T94" si="449">S94/1000</f>
        <v>-0.33579375932763106</v>
      </c>
    </row>
    <row r="95" spans="1:20" x14ac:dyDescent="0.25">
      <c r="A95" s="5">
        <v>44498</v>
      </c>
      <c r="B95">
        <v>13.02</v>
      </c>
      <c r="C95">
        <v>13.26</v>
      </c>
      <c r="D95">
        <v>12.88</v>
      </c>
      <c r="E95">
        <v>13.1</v>
      </c>
      <c r="F95">
        <v>120444.26</v>
      </c>
      <c r="G95">
        <v>13.1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0.15789473684210231</v>
      </c>
      <c r="Q95">
        <f t="shared" ref="Q95" si="451">F95*P95</f>
        <v>19017.514736841749</v>
      </c>
      <c r="R95">
        <f t="shared" ref="R95" si="452">R96+Q95</f>
        <v>-33611105.121442355</v>
      </c>
      <c r="S95">
        <f t="shared" ref="S95" si="453">R95/100000</f>
        <v>-336.11105121442353</v>
      </c>
      <c r="T95">
        <f t="shared" ref="T95" si="454">S95/1000</f>
        <v>-0.33611105121442353</v>
      </c>
    </row>
    <row r="96" spans="1:20" x14ac:dyDescent="0.25">
      <c r="A96" s="5">
        <v>44497</v>
      </c>
      <c r="B96">
        <v>12.7</v>
      </c>
      <c r="C96">
        <v>13.18</v>
      </c>
      <c r="D96">
        <v>12.61</v>
      </c>
      <c r="E96">
        <v>13.02</v>
      </c>
      <c r="F96">
        <v>131703.79999999999</v>
      </c>
      <c r="G96">
        <v>13.02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0.43859649122806993</v>
      </c>
      <c r="Q96">
        <f t="shared" ref="Q96" si="456">F96*P96</f>
        <v>57764.824561403468</v>
      </c>
      <c r="R96">
        <f t="shared" ref="R96" si="457">R97+Q96</f>
        <v>-33630122.636179194</v>
      </c>
      <c r="S96">
        <f t="shared" ref="S96" si="458">R96/100000</f>
        <v>-336.30122636179192</v>
      </c>
      <c r="T96">
        <f t="shared" ref="T96" si="459">S96/1000</f>
        <v>-0.33630122636179194</v>
      </c>
    </row>
    <row r="97" spans="1:20" x14ac:dyDescent="0.25">
      <c r="A97" s="5">
        <v>44496</v>
      </c>
      <c r="B97">
        <v>14</v>
      </c>
      <c r="C97">
        <v>14.41</v>
      </c>
      <c r="D97">
        <v>12.21</v>
      </c>
      <c r="E97">
        <v>12.71</v>
      </c>
      <c r="F97">
        <v>255535.03</v>
      </c>
      <c r="G97">
        <v>12.71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-0.5454545454545453</v>
      </c>
      <c r="Q97">
        <f t="shared" ref="Q97" si="461">F97*P97</f>
        <v>-139382.74363636359</v>
      </c>
      <c r="R97">
        <f t="shared" ref="R97" si="462">R98+Q97</f>
        <v>-33687887.460740596</v>
      </c>
      <c r="S97">
        <f t="shared" ref="S97" si="463">R97/100000</f>
        <v>-336.87887460740598</v>
      </c>
      <c r="T97">
        <f t="shared" ref="T97" si="464">S97/1000</f>
        <v>-0.33687887460740595</v>
      </c>
    </row>
    <row r="98" spans="1:20" x14ac:dyDescent="0.25">
      <c r="A98" s="5">
        <v>44495</v>
      </c>
      <c r="B98">
        <v>14.17</v>
      </c>
      <c r="C98">
        <v>14.52</v>
      </c>
      <c r="D98">
        <v>14</v>
      </c>
      <c r="E98">
        <v>14</v>
      </c>
      <c r="F98">
        <v>133825.62</v>
      </c>
      <c r="G98">
        <v>14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-1</v>
      </c>
      <c r="Q98">
        <f t="shared" ref="Q98" si="466">F98*P98</f>
        <v>-133825.62</v>
      </c>
      <c r="R98">
        <f t="shared" ref="R98" si="467">R99+Q98</f>
        <v>-33548504.71710423</v>
      </c>
      <c r="S98">
        <f t="shared" ref="S98" si="468">R98/100000</f>
        <v>-335.48504717104231</v>
      </c>
      <c r="T98">
        <f t="shared" ref="T98" si="469">S98/1000</f>
        <v>-0.33548504717104233</v>
      </c>
    </row>
    <row r="99" spans="1:20" x14ac:dyDescent="0.25">
      <c r="A99" s="5">
        <v>44494</v>
      </c>
      <c r="B99">
        <v>13.79</v>
      </c>
      <c r="C99">
        <v>14.2</v>
      </c>
      <c r="D99">
        <v>13.74</v>
      </c>
      <c r="E99">
        <v>14.13</v>
      </c>
      <c r="F99">
        <v>116259.03</v>
      </c>
      <c r="G99">
        <v>14.13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0.69565217391304934</v>
      </c>
      <c r="Q99">
        <f t="shared" ref="Q99" si="471">F99*P99</f>
        <v>80875.846956522422</v>
      </c>
      <c r="R99">
        <f t="shared" ref="R99" si="472">R100+Q99</f>
        <v>-33414679.097104229</v>
      </c>
      <c r="S99">
        <f t="shared" ref="S99" si="473">R99/100000</f>
        <v>-334.14679097104226</v>
      </c>
      <c r="T99">
        <f t="shared" ref="T99" si="474">S99/1000</f>
        <v>-0.33414679097104227</v>
      </c>
    </row>
    <row r="100" spans="1:20" x14ac:dyDescent="0.25">
      <c r="A100" s="5">
        <v>44493</v>
      </c>
      <c r="B100">
        <v>14.11</v>
      </c>
      <c r="C100">
        <v>14.44</v>
      </c>
      <c r="D100">
        <v>13.64</v>
      </c>
      <c r="E100">
        <v>13.79</v>
      </c>
      <c r="F100">
        <v>127978.51</v>
      </c>
      <c r="G100">
        <v>13.79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-0.62500000000000311</v>
      </c>
      <c r="Q100">
        <f t="shared" ref="Q100" si="476">F100*P100</f>
        <v>-79986.568750000399</v>
      </c>
      <c r="R100">
        <f t="shared" ref="R100" si="477">R101+Q100</f>
        <v>-33495554.94406075</v>
      </c>
      <c r="S100">
        <f t="shared" ref="S100" si="478">R100/100000</f>
        <v>-334.95554944060751</v>
      </c>
      <c r="T100">
        <f t="shared" ref="T100" si="479">S100/1000</f>
        <v>-0.33495554944060751</v>
      </c>
    </row>
    <row r="101" spans="1:20" x14ac:dyDescent="0.25">
      <c r="A101" s="5">
        <v>44492</v>
      </c>
      <c r="B101">
        <v>14</v>
      </c>
      <c r="C101">
        <v>14.33</v>
      </c>
      <c r="D101">
        <v>13.91</v>
      </c>
      <c r="E101">
        <v>14.11</v>
      </c>
      <c r="F101">
        <v>98724.35</v>
      </c>
      <c r="G101">
        <v>14.11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-4.7619047619050843E-2</v>
      </c>
      <c r="Q101">
        <f t="shared" ref="Q101" si="481">F101*P101</f>
        <v>-4701.1595238098425</v>
      </c>
      <c r="R101">
        <f t="shared" ref="R101" si="482">R102+Q101</f>
        <v>-33415568.375310749</v>
      </c>
      <c r="S101">
        <f t="shared" ref="S101" si="483">R101/100000</f>
        <v>-334.1556837531075</v>
      </c>
      <c r="T101">
        <f t="shared" ref="T101" si="484">S101/1000</f>
        <v>-0.3341556837531075</v>
      </c>
    </row>
    <row r="102" spans="1:20" x14ac:dyDescent="0.25">
      <c r="A102" s="5">
        <v>44491</v>
      </c>
      <c r="B102">
        <v>14.33</v>
      </c>
      <c r="C102">
        <v>14.93</v>
      </c>
      <c r="D102">
        <v>13.87</v>
      </c>
      <c r="E102">
        <v>14</v>
      </c>
      <c r="F102">
        <v>198947.58</v>
      </c>
      <c r="G102">
        <v>14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-0.75471698113207408</v>
      </c>
      <c r="Q102">
        <f t="shared" ref="Q102" si="486">F102*P102</f>
        <v>-150149.11698113178</v>
      </c>
      <c r="R102">
        <f t="shared" ref="R102" si="487">R103+Q102</f>
        <v>-33410867.215786938</v>
      </c>
      <c r="S102">
        <f t="shared" ref="S102" si="488">R102/100000</f>
        <v>-334.10867215786936</v>
      </c>
      <c r="T102">
        <f t="shared" ref="T102" si="489">S102/1000</f>
        <v>-0.33410867215786938</v>
      </c>
    </row>
    <row r="103" spans="1:20" x14ac:dyDescent="0.25">
      <c r="A103" s="5">
        <v>44490</v>
      </c>
      <c r="B103">
        <v>14.34</v>
      </c>
      <c r="C103">
        <v>16</v>
      </c>
      <c r="D103">
        <v>14.01</v>
      </c>
      <c r="E103">
        <v>14.31</v>
      </c>
      <c r="F103">
        <v>538291.14</v>
      </c>
      <c r="G103">
        <v>14.31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-0.69849246231155715</v>
      </c>
      <c r="Q103">
        <f t="shared" ref="Q103" si="491">F103*P103</f>
        <v>-375992.30381909513</v>
      </c>
      <c r="R103">
        <f t="shared" ref="R103" si="492">R104+Q103</f>
        <v>-33260718.098805808</v>
      </c>
      <c r="S103">
        <f t="shared" ref="S103" si="493">R103/100000</f>
        <v>-332.60718098805808</v>
      </c>
      <c r="T103">
        <f t="shared" ref="T103" si="494">S103/1000</f>
        <v>-0.33260718098805808</v>
      </c>
    </row>
    <row r="104" spans="1:20" x14ac:dyDescent="0.25">
      <c r="A104" s="5">
        <v>44489</v>
      </c>
      <c r="B104">
        <v>13.92</v>
      </c>
      <c r="C104">
        <v>15.15</v>
      </c>
      <c r="D104">
        <v>13.83</v>
      </c>
      <c r="E104">
        <v>14.35</v>
      </c>
      <c r="F104">
        <v>408037.01</v>
      </c>
      <c r="G104">
        <v>14.35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-0.21212121212121293</v>
      </c>
      <c r="Q104">
        <f t="shared" ref="Q104" si="496">F104*P104</f>
        <v>-86553.30515151548</v>
      </c>
      <c r="R104">
        <f t="shared" ref="R104" si="497">R105+Q104</f>
        <v>-32884725.794986714</v>
      </c>
      <c r="S104">
        <f t="shared" ref="S104" si="498">R104/100000</f>
        <v>-328.84725794986713</v>
      </c>
      <c r="T104">
        <f t="shared" ref="T104" si="499">S104/1000</f>
        <v>-0.32884725794986713</v>
      </c>
    </row>
    <row r="105" spans="1:20" x14ac:dyDescent="0.25">
      <c r="A105" s="5">
        <v>44488</v>
      </c>
      <c r="B105">
        <v>13.72</v>
      </c>
      <c r="C105">
        <v>14.29</v>
      </c>
      <c r="D105">
        <v>13.71</v>
      </c>
      <c r="E105">
        <v>13.88</v>
      </c>
      <c r="F105">
        <v>123869.5</v>
      </c>
      <c r="G105">
        <v>13.88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-0.41379310344827436</v>
      </c>
      <c r="Q105">
        <f t="shared" ref="Q105" si="501">F105*P105</f>
        <v>-51256.344827586021</v>
      </c>
      <c r="R105">
        <f t="shared" ref="R105" si="502">R106+Q105</f>
        <v>-32798172.489835199</v>
      </c>
      <c r="S105">
        <f t="shared" ref="S105" si="503">R105/100000</f>
        <v>-327.98172489835201</v>
      </c>
      <c r="T105">
        <f t="shared" ref="T105" si="504">S105/1000</f>
        <v>-0.32798172489835203</v>
      </c>
    </row>
    <row r="106" spans="1:20" x14ac:dyDescent="0.25">
      <c r="A106" s="5">
        <v>44487</v>
      </c>
      <c r="B106">
        <v>13.8</v>
      </c>
      <c r="C106">
        <v>14.47</v>
      </c>
      <c r="D106">
        <v>13.56</v>
      </c>
      <c r="E106">
        <v>13.74</v>
      </c>
      <c r="F106">
        <v>168245.23</v>
      </c>
      <c r="G106">
        <v>13.74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-0.60439560439560513</v>
      </c>
      <c r="Q106">
        <f t="shared" ref="Q106" si="506">F106*P106</f>
        <v>-101686.6774725276</v>
      </c>
      <c r="R106">
        <f t="shared" ref="R106" si="507">R107+Q106</f>
        <v>-32746916.145007614</v>
      </c>
      <c r="S106">
        <f t="shared" ref="S106" si="508">R106/100000</f>
        <v>-327.46916145007611</v>
      </c>
      <c r="T106">
        <f t="shared" ref="T106" si="509">S106/1000</f>
        <v>-0.3274691614500761</v>
      </c>
    </row>
    <row r="107" spans="1:20" x14ac:dyDescent="0.25">
      <c r="A107" s="5">
        <v>44486</v>
      </c>
      <c r="B107">
        <v>13.92</v>
      </c>
      <c r="C107">
        <v>14.16</v>
      </c>
      <c r="D107">
        <v>13.58</v>
      </c>
      <c r="E107">
        <v>13.8</v>
      </c>
      <c r="F107">
        <v>127543.17</v>
      </c>
      <c r="G107">
        <v>13.8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-0.24137931034482549</v>
      </c>
      <c r="Q107">
        <f t="shared" ref="Q107" si="511">F107*P107</f>
        <v>-30786.282413792836</v>
      </c>
      <c r="R107">
        <f t="shared" ref="R107" si="512">R108+Q107</f>
        <v>-32645229.467535086</v>
      </c>
      <c r="S107">
        <f t="shared" ref="S107" si="513">R107/100000</f>
        <v>-326.45229467535086</v>
      </c>
      <c r="T107">
        <f t="shared" ref="T107" si="514">S107/1000</f>
        <v>-0.32645229467535086</v>
      </c>
    </row>
    <row r="108" spans="1:20" x14ac:dyDescent="0.25">
      <c r="A108" s="5">
        <v>44485</v>
      </c>
      <c r="B108">
        <v>13.88</v>
      </c>
      <c r="C108">
        <v>14.25</v>
      </c>
      <c r="D108">
        <v>13.82</v>
      </c>
      <c r="E108">
        <v>13.93</v>
      </c>
      <c r="F108">
        <v>144203.01</v>
      </c>
      <c r="G108">
        <v>13.93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-0.48837209302325812</v>
      </c>
      <c r="Q108">
        <f t="shared" ref="Q108" si="516">F108*P108</f>
        <v>-70424.725813953832</v>
      </c>
      <c r="R108">
        <f t="shared" ref="R108" si="517">R109+Q108</f>
        <v>-32614443.185121294</v>
      </c>
      <c r="S108">
        <f t="shared" ref="S108" si="518">R108/100000</f>
        <v>-326.14443185121291</v>
      </c>
      <c r="T108">
        <f t="shared" ref="T108" si="519">S108/1000</f>
        <v>-0.32614443185121289</v>
      </c>
    </row>
    <row r="109" spans="1:20" x14ac:dyDescent="0.25">
      <c r="A109" s="5">
        <v>44484</v>
      </c>
      <c r="B109">
        <v>14.55</v>
      </c>
      <c r="C109">
        <v>14.75</v>
      </c>
      <c r="D109">
        <v>13.51</v>
      </c>
      <c r="E109">
        <v>13.89</v>
      </c>
      <c r="F109">
        <v>284767.99</v>
      </c>
      <c r="G109">
        <v>13.89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-0.38709677419354721</v>
      </c>
      <c r="Q109">
        <f t="shared" ref="Q109" si="521">F109*P109</f>
        <v>-110232.77032258031</v>
      </c>
      <c r="R109">
        <f t="shared" ref="R109" si="522">R110+Q109</f>
        <v>-32544018.459307339</v>
      </c>
      <c r="S109">
        <f t="shared" ref="S109" si="523">R109/100000</f>
        <v>-325.44018459307341</v>
      </c>
      <c r="T109">
        <f t="shared" ref="T109" si="524">S109/1000</f>
        <v>-0.32544018459307339</v>
      </c>
    </row>
    <row r="110" spans="1:20" x14ac:dyDescent="0.25">
      <c r="A110" s="5">
        <v>44483</v>
      </c>
      <c r="B110">
        <v>14.25</v>
      </c>
      <c r="C110">
        <v>14.88</v>
      </c>
      <c r="D110">
        <v>14.16</v>
      </c>
      <c r="E110">
        <v>14.52</v>
      </c>
      <c r="F110">
        <v>175551.72</v>
      </c>
      <c r="G110">
        <v>14.52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-2.4671622769447903E-15</v>
      </c>
      <c r="Q110">
        <f t="shared" ref="Q110" si="526">F110*P110</f>
        <v>-4.3311458123677429E-10</v>
      </c>
      <c r="R110">
        <f t="shared" ref="R110" si="527">R111+Q110</f>
        <v>-32433785.688984759</v>
      </c>
      <c r="S110">
        <f t="shared" ref="S110" si="528">R110/100000</f>
        <v>-324.33785688984761</v>
      </c>
      <c r="T110">
        <f t="shared" ref="T110" si="529">S110/1000</f>
        <v>-0.32433785688984762</v>
      </c>
    </row>
    <row r="111" spans="1:20" x14ac:dyDescent="0.25">
      <c r="A111" s="5">
        <v>44482</v>
      </c>
      <c r="B111">
        <v>14.04</v>
      </c>
      <c r="C111">
        <v>14.72</v>
      </c>
      <c r="D111">
        <v>13.88</v>
      </c>
      <c r="E111">
        <v>14.25</v>
      </c>
      <c r="F111">
        <v>199829.23</v>
      </c>
      <c r="G111">
        <v>14.25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-0.11904761904762076</v>
      </c>
      <c r="Q111">
        <f t="shared" ref="Q111" si="531">F111*P111</f>
        <v>-23789.194047619392</v>
      </c>
      <c r="R111">
        <f t="shared" ref="R111" si="532">R112+Q111</f>
        <v>-32433785.688984759</v>
      </c>
      <c r="S111">
        <f t="shared" ref="S111" si="533">R111/100000</f>
        <v>-324.33785688984761</v>
      </c>
      <c r="T111">
        <f t="shared" ref="T111" si="534">S111/1000</f>
        <v>-0.32433785688984762</v>
      </c>
    </row>
    <row r="112" spans="1:20" x14ac:dyDescent="0.25">
      <c r="A112" s="5">
        <v>44481</v>
      </c>
      <c r="B112">
        <v>14.06</v>
      </c>
      <c r="C112">
        <v>14.73</v>
      </c>
      <c r="D112">
        <v>13.8</v>
      </c>
      <c r="E112">
        <v>14.05</v>
      </c>
      <c r="F112">
        <v>161749.24</v>
      </c>
      <c r="G112">
        <v>14.05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-0.46236559139784927</v>
      </c>
      <c r="Q112">
        <f t="shared" ref="Q112" si="536">F112*P112</f>
        <v>-74787.283010752653</v>
      </c>
      <c r="R112">
        <f t="shared" ref="R112" si="537">R113+Q112</f>
        <v>-32409996.49493714</v>
      </c>
      <c r="S112">
        <f t="shared" ref="S112" si="538">R112/100000</f>
        <v>-324.09996494937138</v>
      </c>
      <c r="T112">
        <f t="shared" ref="T112" si="539">S112/1000</f>
        <v>-0.32409996494937138</v>
      </c>
    </row>
    <row r="113" spans="1:20" x14ac:dyDescent="0.25">
      <c r="A113" s="5">
        <v>44480</v>
      </c>
      <c r="B113">
        <v>14.04</v>
      </c>
      <c r="C113">
        <v>14.73</v>
      </c>
      <c r="D113">
        <v>13.88</v>
      </c>
      <c r="E113">
        <v>14.08</v>
      </c>
      <c r="F113">
        <v>167629.6</v>
      </c>
      <c r="G113">
        <v>14.08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-0.5294117647058838</v>
      </c>
      <c r="Q113">
        <f t="shared" ref="Q113" si="541">F113*P113</f>
        <v>-88745.082352941419</v>
      </c>
      <c r="R113">
        <f t="shared" ref="R113" si="542">R114+Q113</f>
        <v>-32335209.211926389</v>
      </c>
      <c r="S113">
        <f t="shared" ref="S113" si="543">R113/100000</f>
        <v>-323.35209211926389</v>
      </c>
      <c r="T113">
        <f t="shared" ref="T113" si="544">S113/1000</f>
        <v>-0.32335209211926391</v>
      </c>
    </row>
    <row r="114" spans="1:20" x14ac:dyDescent="0.25">
      <c r="A114" s="5">
        <v>44479</v>
      </c>
      <c r="B114">
        <v>14.45</v>
      </c>
      <c r="C114">
        <v>15.09</v>
      </c>
      <c r="D114">
        <v>13.98</v>
      </c>
      <c r="E114">
        <v>14.11</v>
      </c>
      <c r="F114">
        <v>217147.53</v>
      </c>
      <c r="G114">
        <v>14.11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-0.76576576576576749</v>
      </c>
      <c r="Q114">
        <f t="shared" ref="Q114" si="546">F114*P114</f>
        <v>-166284.14459459498</v>
      </c>
      <c r="R114">
        <f t="shared" ref="R114" si="547">R115+Q114</f>
        <v>-32246464.129573449</v>
      </c>
      <c r="S114">
        <f t="shared" ref="S114" si="548">R114/100000</f>
        <v>-322.46464129573451</v>
      </c>
      <c r="T114">
        <f t="shared" ref="T114" si="549">S114/1000</f>
        <v>-0.32246464129573449</v>
      </c>
    </row>
    <row r="115" spans="1:20" x14ac:dyDescent="0.25">
      <c r="A115" s="5">
        <v>44478</v>
      </c>
      <c r="B115">
        <v>14.8</v>
      </c>
      <c r="C115">
        <v>15.1</v>
      </c>
      <c r="D115">
        <v>14.24</v>
      </c>
      <c r="E115">
        <v>14.5</v>
      </c>
      <c r="F115">
        <v>359304.12</v>
      </c>
      <c r="G115">
        <v>14.5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-0.39534883720930242</v>
      </c>
      <c r="Q115">
        <f t="shared" ref="Q115" si="551">F115*P115</f>
        <v>-142050.46604651166</v>
      </c>
      <c r="R115">
        <f t="shared" ref="R115" si="552">R116+Q115</f>
        <v>-32080179.984978855</v>
      </c>
      <c r="S115">
        <f t="shared" ref="S115" si="553">R115/100000</f>
        <v>-320.80179984978855</v>
      </c>
      <c r="T115">
        <f t="shared" ref="T115" si="554">S115/1000</f>
        <v>-0.32080179984978857</v>
      </c>
    </row>
    <row r="116" spans="1:20" x14ac:dyDescent="0.25">
      <c r="A116" s="5">
        <v>44477</v>
      </c>
      <c r="B116">
        <v>15.22</v>
      </c>
      <c r="C116">
        <v>17.989999999999998</v>
      </c>
      <c r="D116">
        <v>14.58</v>
      </c>
      <c r="E116">
        <v>14.8</v>
      </c>
      <c r="F116">
        <v>1098742.6000000001</v>
      </c>
      <c r="G116">
        <v>14.8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-0.87096774193548343</v>
      </c>
      <c r="Q116">
        <f t="shared" ref="Q116" si="556">F116*P116</f>
        <v>-956969.36129032215</v>
      </c>
      <c r="R116">
        <f t="shared" ref="R116" si="557">R117+Q116</f>
        <v>-31938129.518932343</v>
      </c>
      <c r="S116">
        <f t="shared" ref="S116" si="558">R116/100000</f>
        <v>-319.38129518932345</v>
      </c>
      <c r="T116">
        <f t="shared" ref="T116" si="559">S116/1000</f>
        <v>-0.31938129518932346</v>
      </c>
    </row>
    <row r="117" spans="1:20" x14ac:dyDescent="0.25">
      <c r="A117" s="5">
        <v>44476</v>
      </c>
      <c r="B117">
        <v>14.22</v>
      </c>
      <c r="C117">
        <v>20.51</v>
      </c>
      <c r="D117">
        <v>13.45</v>
      </c>
      <c r="E117">
        <v>15.23</v>
      </c>
      <c r="F117">
        <v>3914629.7510000002</v>
      </c>
      <c r="G117">
        <v>15.23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-0.49575070821529726</v>
      </c>
      <c r="Q117">
        <f t="shared" ref="Q117" si="561">F117*P117</f>
        <v>-1940680.4714589228</v>
      </c>
      <c r="R117">
        <f t="shared" ref="R117" si="562">R118+Q117</f>
        <v>-30981160.157642022</v>
      </c>
      <c r="S117">
        <f t="shared" ref="S117" si="563">R117/100000</f>
        <v>-309.81160157642023</v>
      </c>
      <c r="T117">
        <f t="shared" ref="T117" si="564">S117/1000</f>
        <v>-0.30981160157642024</v>
      </c>
    </row>
    <row r="118" spans="1:20" x14ac:dyDescent="0.25">
      <c r="A118" s="5">
        <v>44475</v>
      </c>
      <c r="B118">
        <v>12.88</v>
      </c>
      <c r="C118">
        <v>16.989999999999998</v>
      </c>
      <c r="D118">
        <v>12.48</v>
      </c>
      <c r="E118">
        <v>14.22</v>
      </c>
      <c r="F118">
        <v>1513116.99</v>
      </c>
      <c r="G118">
        <v>14.22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-0.2283813747228377</v>
      </c>
      <c r="Q118">
        <f t="shared" ref="Q118" si="566">F118*P118</f>
        <v>-345567.73829268228</v>
      </c>
      <c r="R118">
        <f t="shared" ref="R118" si="567">R119+Q118</f>
        <v>-29040479.686183099</v>
      </c>
      <c r="S118">
        <f t="shared" ref="S118" si="568">R118/100000</f>
        <v>-290.40479686183096</v>
      </c>
      <c r="T118">
        <f t="shared" ref="T118" si="569">S118/1000</f>
        <v>-0.29040479686183096</v>
      </c>
    </row>
    <row r="119" spans="1:20" x14ac:dyDescent="0.25">
      <c r="A119" s="5">
        <v>44474</v>
      </c>
      <c r="B119">
        <v>12.42</v>
      </c>
      <c r="C119">
        <v>14.49</v>
      </c>
      <c r="D119">
        <v>12.26</v>
      </c>
      <c r="E119">
        <v>12.86</v>
      </c>
      <c r="F119">
        <v>477991.5</v>
      </c>
      <c r="G119">
        <v>12.86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-0.46188340807174932</v>
      </c>
      <c r="Q119">
        <f t="shared" ref="Q119" si="571">F119*P119</f>
        <v>-220776.34304932758</v>
      </c>
      <c r="R119">
        <f t="shared" ref="R119" si="572">R120+Q119</f>
        <v>-28694911.947890416</v>
      </c>
      <c r="S119">
        <f t="shared" ref="S119" si="573">R119/100000</f>
        <v>-286.94911947890415</v>
      </c>
      <c r="T119">
        <f t="shared" ref="T119" si="574">S119/1000</f>
        <v>-0.28694911947890417</v>
      </c>
    </row>
    <row r="120" spans="1:20" x14ac:dyDescent="0.25">
      <c r="A120" s="5">
        <v>44473</v>
      </c>
      <c r="B120">
        <v>12.53</v>
      </c>
      <c r="C120">
        <v>12.75</v>
      </c>
      <c r="D120">
        <v>12.22</v>
      </c>
      <c r="E120">
        <v>12.4</v>
      </c>
      <c r="F120">
        <v>167772.81</v>
      </c>
      <c r="G120">
        <v>12.4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-0.32075471698113234</v>
      </c>
      <c r="Q120">
        <f t="shared" ref="Q120" si="576">F120*P120</f>
        <v>-53813.920188679287</v>
      </c>
      <c r="R120">
        <f t="shared" ref="R120" si="577">R121+Q120</f>
        <v>-28474135.604841087</v>
      </c>
      <c r="S120">
        <f t="shared" ref="S120" si="578">R120/100000</f>
        <v>-284.74135604841086</v>
      </c>
      <c r="T120">
        <f t="shared" ref="T120" si="579">S120/1000</f>
        <v>-0.28474135604841089</v>
      </c>
    </row>
    <row r="121" spans="1:20" x14ac:dyDescent="0.25">
      <c r="A121" s="5">
        <v>44472</v>
      </c>
      <c r="B121">
        <v>12.74</v>
      </c>
      <c r="C121">
        <v>13.28</v>
      </c>
      <c r="D121">
        <v>12.46</v>
      </c>
      <c r="E121">
        <v>12.49</v>
      </c>
      <c r="F121">
        <v>212681.96</v>
      </c>
      <c r="G121">
        <v>12.49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-0.92682926829268431</v>
      </c>
      <c r="Q121">
        <f t="shared" ref="Q121" si="581">F121*P121</f>
        <v>-197119.86536585394</v>
      </c>
      <c r="R121">
        <f t="shared" ref="R121" si="582">R122+Q121</f>
        <v>-28420321.684652407</v>
      </c>
      <c r="S121">
        <f t="shared" ref="S121" si="583">R121/100000</f>
        <v>-284.20321684652407</v>
      </c>
      <c r="T121">
        <f t="shared" ref="T121" si="584">S121/1000</f>
        <v>-0.28420321684652405</v>
      </c>
    </row>
    <row r="122" spans="1:20" x14ac:dyDescent="0.25">
      <c r="A122" s="5">
        <v>44471</v>
      </c>
      <c r="B122">
        <v>12.27</v>
      </c>
      <c r="C122">
        <v>14.5</v>
      </c>
      <c r="D122">
        <v>12.08</v>
      </c>
      <c r="E122">
        <v>12.72</v>
      </c>
      <c r="F122">
        <v>502338.61</v>
      </c>
      <c r="G122">
        <v>12.72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-0.4710743801652888</v>
      </c>
      <c r="Q122">
        <f t="shared" ref="Q122" si="586">F122*P122</f>
        <v>-236638.84933884273</v>
      </c>
      <c r="R122">
        <f t="shared" ref="R122" si="587">R123+Q122</f>
        <v>-28223201.819286551</v>
      </c>
      <c r="S122">
        <f t="shared" ref="S122" si="588">R122/100000</f>
        <v>-282.2320181928655</v>
      </c>
      <c r="T122">
        <f t="shared" ref="T122" si="589">S122/1000</f>
        <v>-0.28223201819286547</v>
      </c>
    </row>
    <row r="123" spans="1:20" x14ac:dyDescent="0.25">
      <c r="A123" s="5">
        <v>44470</v>
      </c>
      <c r="B123">
        <v>12</v>
      </c>
      <c r="C123">
        <v>12.56</v>
      </c>
      <c r="D123">
        <v>11.92</v>
      </c>
      <c r="E123">
        <v>12.28</v>
      </c>
      <c r="F123">
        <v>181503.05</v>
      </c>
      <c r="G123">
        <v>12.28</v>
      </c>
      <c r="L123" t="s">
        <v>7</v>
      </c>
      <c r="M123" t="s">
        <v>7</v>
      </c>
      <c r="N123" t="s">
        <v>7</v>
      </c>
      <c r="P123">
        <f t="shared" ref="P123" si="590">IF(C123=D123,0,((E123-D123)-(C123-E123))/(C123-D123))</f>
        <v>0.12499999999999722</v>
      </c>
      <c r="Q123">
        <f t="shared" ref="Q123" si="591">F123*P123</f>
        <v>22687.881249999497</v>
      </c>
      <c r="R123">
        <f t="shared" ref="R123" si="592">R124+Q123</f>
        <v>-27986562.969947707</v>
      </c>
      <c r="S123">
        <f t="shared" ref="S123" si="593">R123/100000</f>
        <v>-279.8656296994771</v>
      </c>
      <c r="T123">
        <f t="shared" ref="T123" si="594">S123/1000</f>
        <v>-0.27986562969947709</v>
      </c>
    </row>
    <row r="124" spans="1:20" x14ac:dyDescent="0.25">
      <c r="A124" s="5">
        <v>44469</v>
      </c>
      <c r="B124">
        <v>11.45</v>
      </c>
      <c r="C124">
        <v>12.92</v>
      </c>
      <c r="D124">
        <v>11.33</v>
      </c>
      <c r="E124">
        <v>12</v>
      </c>
      <c r="F124">
        <v>286010</v>
      </c>
      <c r="G124">
        <v>12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-0.15723270440251574</v>
      </c>
      <c r="Q124">
        <f t="shared" ref="Q124" si="596">F124*P124</f>
        <v>-44970.125786163531</v>
      </c>
      <c r="R124">
        <f t="shared" ref="R124" si="597">R125+Q124</f>
        <v>-28009250.851197705</v>
      </c>
      <c r="S124">
        <f t="shared" ref="S124" si="598">R124/100000</f>
        <v>-280.09250851197703</v>
      </c>
      <c r="T124">
        <f t="shared" ref="T124" si="599">S124/1000</f>
        <v>-0.28009250851197703</v>
      </c>
    </row>
    <row r="125" spans="1:20" x14ac:dyDescent="0.25">
      <c r="A125" s="5">
        <v>44468</v>
      </c>
      <c r="B125">
        <v>11.75</v>
      </c>
      <c r="C125">
        <v>12.43</v>
      </c>
      <c r="D125">
        <v>11.25</v>
      </c>
      <c r="E125">
        <v>11.46</v>
      </c>
      <c r="F125">
        <v>173100.14</v>
      </c>
      <c r="G125">
        <v>11.46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-0.644067796610168</v>
      </c>
      <c r="Q125">
        <f t="shared" ref="Q125" si="601">F125*P125</f>
        <v>-111488.22576271162</v>
      </c>
      <c r="R125">
        <f t="shared" ref="R125" si="602">R126+Q125</f>
        <v>-27964280.725411542</v>
      </c>
      <c r="S125">
        <f t="shared" ref="S125" si="603">R125/100000</f>
        <v>-279.64280725411544</v>
      </c>
      <c r="T125">
        <f t="shared" ref="T125" si="604">S125/1000</f>
        <v>-0.27964280725411544</v>
      </c>
    </row>
    <row r="126" spans="1:20" x14ac:dyDescent="0.25">
      <c r="A126" s="5">
        <v>44467</v>
      </c>
      <c r="B126">
        <v>11.63</v>
      </c>
      <c r="C126">
        <v>13.7</v>
      </c>
      <c r="D126">
        <v>11.41</v>
      </c>
      <c r="E126">
        <v>11.75</v>
      </c>
      <c r="F126">
        <v>646063.80000000005</v>
      </c>
      <c r="G126">
        <v>11.75</v>
      </c>
      <c r="L126" t="s">
        <v>8</v>
      </c>
      <c r="M126" t="s">
        <v>8</v>
      </c>
      <c r="N126" t="s">
        <v>7</v>
      </c>
      <c r="P126">
        <f t="shared" ref="P126" si="605">IF(C126=D126,0,((E126-D126)-(C126-E126))/(C126-D126))</f>
        <v>-0.70305676855895194</v>
      </c>
      <c r="Q126">
        <f t="shared" ref="Q126" si="606">F126*P126</f>
        <v>-454219.52751091705</v>
      </c>
      <c r="R126">
        <f t="shared" ref="R126" si="607">R127+Q126</f>
        <v>-27852792.499648832</v>
      </c>
      <c r="S126">
        <f t="shared" ref="S126" si="608">R126/100000</f>
        <v>-278.52792499648831</v>
      </c>
      <c r="T126">
        <f t="shared" ref="T126" si="609">S126/1000</f>
        <v>-0.27852792499648832</v>
      </c>
    </row>
    <row r="127" spans="1:20" x14ac:dyDescent="0.25">
      <c r="A127" s="5">
        <v>44466</v>
      </c>
      <c r="B127">
        <v>11.74</v>
      </c>
      <c r="C127">
        <v>12.1</v>
      </c>
      <c r="D127">
        <v>11.6</v>
      </c>
      <c r="E127">
        <v>11.66</v>
      </c>
      <c r="F127">
        <v>140751.93</v>
      </c>
      <c r="G127">
        <v>11.66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-0.75999999999999801</v>
      </c>
      <c r="Q127">
        <f t="shared" ref="Q127" si="611">F127*P127</f>
        <v>-106971.46679999972</v>
      </c>
      <c r="R127">
        <f t="shared" ref="R127" si="612">R128+Q127</f>
        <v>-27398572.972137913</v>
      </c>
      <c r="S127">
        <f t="shared" ref="S127" si="613">R127/100000</f>
        <v>-273.98572972137913</v>
      </c>
      <c r="T127">
        <f t="shared" ref="T127" si="614">S127/1000</f>
        <v>-0.27398572972137913</v>
      </c>
    </row>
    <row r="128" spans="1:20" x14ac:dyDescent="0.25">
      <c r="A128" s="5">
        <v>44465</v>
      </c>
      <c r="B128">
        <v>11.8</v>
      </c>
      <c r="C128">
        <v>12.37</v>
      </c>
      <c r="D128">
        <v>10.88</v>
      </c>
      <c r="E128">
        <v>11.78</v>
      </c>
      <c r="F128">
        <v>245439.25</v>
      </c>
      <c r="G128">
        <v>11.78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0.20805369127516715</v>
      </c>
      <c r="Q128">
        <f t="shared" ref="Q128" si="616">F128*P128</f>
        <v>51064.541946308571</v>
      </c>
      <c r="R128">
        <f t="shared" ref="R128" si="617">R129+Q128</f>
        <v>-27291601.505337913</v>
      </c>
      <c r="S128">
        <f t="shared" ref="S128" si="618">R128/100000</f>
        <v>-272.91601505337911</v>
      </c>
      <c r="T128">
        <f t="shared" ref="T128" si="619">S128/1000</f>
        <v>-0.27291601505337909</v>
      </c>
    </row>
    <row r="129" spans="1:20" x14ac:dyDescent="0.25">
      <c r="A129" s="5">
        <v>44464</v>
      </c>
      <c r="B129">
        <v>12.27</v>
      </c>
      <c r="C129">
        <v>12.6</v>
      </c>
      <c r="D129">
        <v>11.61</v>
      </c>
      <c r="E129">
        <v>11.8</v>
      </c>
      <c r="F129">
        <v>152821.01</v>
      </c>
      <c r="G129">
        <v>11.8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-0.61616161616161369</v>
      </c>
      <c r="Q129">
        <f t="shared" ref="Q129" si="621">F129*P129</f>
        <v>-94162.440505050137</v>
      </c>
      <c r="R129">
        <f t="shared" ref="R129" si="622">R130+Q129</f>
        <v>-27342666.047284219</v>
      </c>
      <c r="S129">
        <f t="shared" ref="S129" si="623">R129/100000</f>
        <v>-273.42666047284217</v>
      </c>
      <c r="T129">
        <f t="shared" ref="T129" si="624">S129/1000</f>
        <v>-0.2734266604728422</v>
      </c>
    </row>
    <row r="130" spans="1:20" x14ac:dyDescent="0.25">
      <c r="A130" s="5">
        <v>44463</v>
      </c>
      <c r="B130">
        <v>11.77</v>
      </c>
      <c r="C130">
        <v>14.05</v>
      </c>
      <c r="D130">
        <v>11.5</v>
      </c>
      <c r="E130">
        <v>12.29</v>
      </c>
      <c r="F130">
        <v>791551.78</v>
      </c>
      <c r="G130">
        <v>12.29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-0.38039215686274597</v>
      </c>
      <c r="Q130">
        <f t="shared" ref="Q130" si="626">F130*P130</f>
        <v>-301100.08886274579</v>
      </c>
      <c r="R130">
        <f t="shared" ref="R130" si="627">R131+Q130</f>
        <v>-27248503.606779169</v>
      </c>
      <c r="S130">
        <f t="shared" ref="S130" si="628">R130/100000</f>
        <v>-272.48503606779167</v>
      </c>
      <c r="T130">
        <f t="shared" ref="T130" si="629">S130/1000</f>
        <v>-0.27248503606779167</v>
      </c>
    </row>
    <row r="131" spans="1:20" x14ac:dyDescent="0.25">
      <c r="A131" s="5">
        <v>44462</v>
      </c>
      <c r="B131">
        <v>11.24</v>
      </c>
      <c r="C131">
        <v>12.8</v>
      </c>
      <c r="D131">
        <v>11.11</v>
      </c>
      <c r="E131">
        <v>11.77</v>
      </c>
      <c r="F131">
        <v>383410.66</v>
      </c>
      <c r="G131">
        <v>11.77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-0.21893491124260397</v>
      </c>
      <c r="Q131">
        <f t="shared" ref="Q131" si="631">F131*P131</f>
        <v>-83941.978816568211</v>
      </c>
      <c r="R131">
        <f t="shared" ref="R131" si="632">R132+Q131</f>
        <v>-26947403.517916422</v>
      </c>
      <c r="S131">
        <f t="shared" ref="S131" si="633">R131/100000</f>
        <v>-269.47403517916422</v>
      </c>
      <c r="T131">
        <f t="shared" ref="T131" si="634">S131/1000</f>
        <v>-0.26947403517916424</v>
      </c>
    </row>
    <row r="132" spans="1:20" x14ac:dyDescent="0.25">
      <c r="A132" s="5">
        <v>44461</v>
      </c>
      <c r="B132">
        <v>10.67</v>
      </c>
      <c r="C132">
        <v>11.41</v>
      </c>
      <c r="D132">
        <v>10.62</v>
      </c>
      <c r="E132">
        <v>11.24</v>
      </c>
      <c r="F132">
        <v>220226.61</v>
      </c>
      <c r="G132">
        <v>11.24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0.56962025316455767</v>
      </c>
      <c r="Q132">
        <f t="shared" ref="Q132" si="636">F132*P132</f>
        <v>125445.5373417723</v>
      </c>
      <c r="R132">
        <f t="shared" ref="R132" si="637">R133+Q132</f>
        <v>-26863461.539099853</v>
      </c>
      <c r="S132">
        <f t="shared" ref="S132" si="638">R132/100000</f>
        <v>-268.63461539099853</v>
      </c>
      <c r="T132">
        <f t="shared" ref="T132" si="639">S132/1000</f>
        <v>-0.26863461539099853</v>
      </c>
    </row>
    <row r="133" spans="1:20" x14ac:dyDescent="0.25">
      <c r="A133" s="5">
        <v>44460</v>
      </c>
      <c r="B133">
        <v>10.61</v>
      </c>
      <c r="C133">
        <v>12.5</v>
      </c>
      <c r="D133">
        <v>10.19</v>
      </c>
      <c r="E133">
        <v>10.66</v>
      </c>
      <c r="F133">
        <v>560799.93999999994</v>
      </c>
      <c r="G133">
        <v>10.66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-0.59307359307359264</v>
      </c>
      <c r="Q133">
        <f t="shared" ref="Q133" si="641">F133*P133</f>
        <v>-332595.63541125512</v>
      </c>
      <c r="R133">
        <f t="shared" ref="R133" si="642">R134+Q133</f>
        <v>-26988907.076441627</v>
      </c>
      <c r="S133">
        <f t="shared" ref="S133" si="643">R133/100000</f>
        <v>-269.88907076441626</v>
      </c>
      <c r="T133">
        <f t="shared" ref="T133" si="644">S133/1000</f>
        <v>-0.26988907076441626</v>
      </c>
    </row>
    <row r="134" spans="1:20" x14ac:dyDescent="0.25">
      <c r="A134" s="5">
        <v>44459</v>
      </c>
      <c r="B134">
        <v>11.83</v>
      </c>
      <c r="C134">
        <v>11.86</v>
      </c>
      <c r="D134">
        <v>11</v>
      </c>
      <c r="E134">
        <v>11.29</v>
      </c>
      <c r="F134">
        <v>88160.16</v>
      </c>
      <c r="G134">
        <v>11.29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-0.32558139534883873</v>
      </c>
      <c r="Q134">
        <f t="shared" ref="Q134" si="646">F134*P134</f>
        <v>-28703.307906976879</v>
      </c>
      <c r="R134">
        <f t="shared" ref="R134" si="647">R135+Q134</f>
        <v>-26656311.441030372</v>
      </c>
      <c r="S134">
        <f t="shared" ref="S134" si="648">R134/100000</f>
        <v>-266.56311441030374</v>
      </c>
      <c r="T134">
        <f t="shared" ref="T134" si="649">S134/1000</f>
        <v>-0.26656311441030373</v>
      </c>
    </row>
    <row r="135" spans="1:20" x14ac:dyDescent="0.25">
      <c r="A135" s="5">
        <v>44458</v>
      </c>
      <c r="B135">
        <v>12.8</v>
      </c>
      <c r="C135">
        <v>12.88</v>
      </c>
      <c r="D135">
        <v>11.71</v>
      </c>
      <c r="E135">
        <v>11.85</v>
      </c>
      <c r="F135">
        <v>181482.04</v>
      </c>
      <c r="G135">
        <v>11.85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-0.76068376068376276</v>
      </c>
      <c r="Q135">
        <f t="shared" ref="Q135" si="651">F135*P135</f>
        <v>-138050.44068376106</v>
      </c>
      <c r="R135">
        <f t="shared" ref="R135" si="652">R136+Q135</f>
        <v>-26627608.133123394</v>
      </c>
      <c r="S135">
        <f t="shared" ref="S135" si="653">R135/100000</f>
        <v>-266.27608133123397</v>
      </c>
      <c r="T135">
        <f t="shared" ref="T135" si="654">S135/1000</f>
        <v>-0.26627608133123398</v>
      </c>
    </row>
    <row r="136" spans="1:20" x14ac:dyDescent="0.25">
      <c r="A136" s="5">
        <v>44457</v>
      </c>
      <c r="B136">
        <v>13.3</v>
      </c>
      <c r="C136">
        <v>13.7</v>
      </c>
      <c r="D136">
        <v>12.62</v>
      </c>
      <c r="E136">
        <v>12.81</v>
      </c>
      <c r="F136">
        <v>276247.12</v>
      </c>
      <c r="G136">
        <v>12.81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-0.64814814814814581</v>
      </c>
      <c r="Q136">
        <f t="shared" ref="Q136" si="656">F136*P136</f>
        <v>-179049.05925925862</v>
      </c>
      <c r="R136">
        <f t="shared" ref="R136" si="657">R137+Q136</f>
        <v>-26489557.692439634</v>
      </c>
      <c r="S136">
        <f t="shared" ref="S136" si="658">R136/100000</f>
        <v>-264.89557692439632</v>
      </c>
      <c r="T136">
        <f t="shared" ref="T136" si="659">S136/1000</f>
        <v>-0.2648955769243963</v>
      </c>
    </row>
    <row r="137" spans="1:20" x14ac:dyDescent="0.25">
      <c r="A137" s="5">
        <v>44456</v>
      </c>
      <c r="B137">
        <v>12.59</v>
      </c>
      <c r="C137">
        <v>14.5</v>
      </c>
      <c r="D137">
        <v>12.2</v>
      </c>
      <c r="E137">
        <v>13.29</v>
      </c>
      <c r="F137">
        <v>800190.49</v>
      </c>
      <c r="G137">
        <v>13.29</v>
      </c>
      <c r="L137" t="s">
        <v>8</v>
      </c>
      <c r="M137" t="s">
        <v>7</v>
      </c>
      <c r="N137" t="s">
        <v>7</v>
      </c>
      <c r="P137">
        <f t="shared" ref="P137" si="660">IF(C137=D137,0,((E137-D137)-(C137-E137))/(C137-D137))</f>
        <v>-5.2173913043478674E-2</v>
      </c>
      <c r="Q137">
        <f t="shared" ref="Q137" si="661">F137*P137</f>
        <v>-41749.069043478594</v>
      </c>
      <c r="R137">
        <f t="shared" ref="R137" si="662">R138+Q137</f>
        <v>-26310508.633180376</v>
      </c>
      <c r="S137">
        <f t="shared" ref="S137" si="663">R137/100000</f>
        <v>-263.10508633180376</v>
      </c>
      <c r="T137">
        <f t="shared" ref="T137" si="664">S137/1000</f>
        <v>-0.26310508633180374</v>
      </c>
    </row>
    <row r="138" spans="1:20" x14ac:dyDescent="0.25">
      <c r="A138" s="5">
        <v>44455</v>
      </c>
      <c r="B138">
        <v>12.44</v>
      </c>
      <c r="C138">
        <v>13.33</v>
      </c>
      <c r="D138">
        <v>12.19</v>
      </c>
      <c r="E138">
        <v>12.58</v>
      </c>
      <c r="F138">
        <v>328632.3</v>
      </c>
      <c r="G138">
        <v>12.58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-0.31578947368420984</v>
      </c>
      <c r="Q138">
        <f t="shared" ref="Q138" si="666">F138*P138</f>
        <v>-103778.62105263135</v>
      </c>
      <c r="R138">
        <f t="shared" ref="R138" si="667">R139+Q138</f>
        <v>-26268759.564136896</v>
      </c>
      <c r="S138">
        <f t="shared" ref="S138" si="668">R138/100000</f>
        <v>-262.68759564136894</v>
      </c>
      <c r="T138">
        <f t="shared" ref="T138" si="669">S138/1000</f>
        <v>-0.26268759564136895</v>
      </c>
    </row>
    <row r="139" spans="1:20" x14ac:dyDescent="0.25">
      <c r="A139" s="5">
        <v>44454</v>
      </c>
      <c r="B139">
        <v>11.82</v>
      </c>
      <c r="C139">
        <v>14.9</v>
      </c>
      <c r="D139">
        <v>11.6</v>
      </c>
      <c r="E139">
        <v>12.42</v>
      </c>
      <c r="F139">
        <v>1418636.33</v>
      </c>
      <c r="G139">
        <v>12.42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-0.50303030303030294</v>
      </c>
      <c r="Q139">
        <f t="shared" ref="Q139" si="671">F139*P139</f>
        <v>-713617.06296969682</v>
      </c>
      <c r="R139">
        <f t="shared" ref="R139" si="672">R140+Q139</f>
        <v>-26164980.943084266</v>
      </c>
      <c r="S139">
        <f t="shared" ref="S139" si="673">R139/100000</f>
        <v>-261.64980943084265</v>
      </c>
      <c r="T139">
        <f t="shared" ref="T139" si="674">S139/1000</f>
        <v>-0.26164980943084265</v>
      </c>
    </row>
    <row r="140" spans="1:20" x14ac:dyDescent="0.25">
      <c r="A140" s="5">
        <v>44453</v>
      </c>
      <c r="B140">
        <v>11.6</v>
      </c>
      <c r="C140">
        <v>12.97</v>
      </c>
      <c r="D140">
        <v>11.43</v>
      </c>
      <c r="E140">
        <v>11.82</v>
      </c>
      <c r="F140">
        <v>473098.82</v>
      </c>
      <c r="G140">
        <v>11.82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-0.49350649350649306</v>
      </c>
      <c r="Q140">
        <f t="shared" ref="Q140" si="676">F140*P140</f>
        <v>-233477.33974025954</v>
      </c>
      <c r="R140">
        <f t="shared" ref="R140" si="677">R141+Q140</f>
        <v>-25451363.88011457</v>
      </c>
      <c r="S140">
        <f t="shared" ref="S140" si="678">R140/100000</f>
        <v>-254.5136388011457</v>
      </c>
      <c r="T140">
        <f t="shared" ref="T140" si="679">S140/1000</f>
        <v>-0.25451363880114569</v>
      </c>
    </row>
    <row r="141" spans="1:20" x14ac:dyDescent="0.25">
      <c r="A141" s="5">
        <v>44452</v>
      </c>
      <c r="B141">
        <v>12.4</v>
      </c>
      <c r="C141">
        <v>13.39</v>
      </c>
      <c r="D141">
        <v>11.15</v>
      </c>
      <c r="E141">
        <v>11.62</v>
      </c>
      <c r="F141">
        <v>349987.45</v>
      </c>
      <c r="G141">
        <v>11.62</v>
      </c>
      <c r="L141" t="s">
        <v>8</v>
      </c>
      <c r="M141" t="s">
        <v>7</v>
      </c>
      <c r="N141" t="s">
        <v>7</v>
      </c>
      <c r="P141">
        <f t="shared" ref="P141" si="680">IF(C141=D141,0,((E141-D141)-(C141-E141))/(C141-D141))</f>
        <v>-0.5803571428571439</v>
      </c>
      <c r="Q141">
        <f t="shared" ref="Q141" si="681">F141*P141</f>
        <v>-203117.71651785751</v>
      </c>
      <c r="R141">
        <f t="shared" ref="R141" si="682">R142+Q141</f>
        <v>-25217886.540374313</v>
      </c>
      <c r="S141">
        <f t="shared" ref="S141" si="683">R141/100000</f>
        <v>-252.17886540374312</v>
      </c>
      <c r="T141">
        <f t="shared" ref="T141" si="684">S141/1000</f>
        <v>-0.25217886540374312</v>
      </c>
    </row>
    <row r="142" spans="1:20" x14ac:dyDescent="0.25">
      <c r="A142" s="5">
        <v>44451</v>
      </c>
      <c r="B142">
        <v>12.61</v>
      </c>
      <c r="C142">
        <v>12.92</v>
      </c>
      <c r="D142">
        <v>12.03</v>
      </c>
      <c r="E142">
        <v>12.38</v>
      </c>
      <c r="F142">
        <v>270762.55</v>
      </c>
      <c r="G142">
        <v>12.38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-0.21348314606741303</v>
      </c>
      <c r="Q142">
        <f t="shared" ref="Q142" si="686">F142*P142</f>
        <v>-57803.241011235223</v>
      </c>
      <c r="R142">
        <f t="shared" ref="R142" si="687">R143+Q142</f>
        <v>-25014768.823856454</v>
      </c>
      <c r="S142">
        <f t="shared" ref="S142" si="688">R142/100000</f>
        <v>-250.14768823856454</v>
      </c>
      <c r="T142">
        <f t="shared" ref="T142" si="689">S142/1000</f>
        <v>-0.25014768823856454</v>
      </c>
    </row>
    <row r="143" spans="1:20" x14ac:dyDescent="0.25">
      <c r="A143" s="5">
        <v>44450</v>
      </c>
      <c r="B143">
        <v>12.96</v>
      </c>
      <c r="C143">
        <v>15.4</v>
      </c>
      <c r="D143">
        <v>12.06</v>
      </c>
      <c r="E143">
        <v>12.63</v>
      </c>
      <c r="F143">
        <v>1142147.29</v>
      </c>
      <c r="G143">
        <v>12.63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-0.65868263473053879</v>
      </c>
      <c r="Q143">
        <f t="shared" ref="Q143" si="691">F143*P143</f>
        <v>-752312.58622754482</v>
      </c>
      <c r="R143">
        <f t="shared" ref="R143" si="692">R144+Q143</f>
        <v>-24956965.582845218</v>
      </c>
      <c r="S143">
        <f t="shared" ref="S143" si="693">R143/100000</f>
        <v>-249.5696558284522</v>
      </c>
      <c r="T143">
        <f t="shared" ref="T143" si="694">S143/1000</f>
        <v>-0.2495696558284522</v>
      </c>
    </row>
    <row r="144" spans="1:20" x14ac:dyDescent="0.25">
      <c r="A144" s="5">
        <v>44449</v>
      </c>
      <c r="B144">
        <v>10.52</v>
      </c>
      <c r="C144">
        <v>18.100000000000001</v>
      </c>
      <c r="D144">
        <v>10.51</v>
      </c>
      <c r="E144">
        <v>12.96</v>
      </c>
      <c r="F144">
        <v>3256829.048</v>
      </c>
      <c r="G144">
        <v>12.96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-0.35441370223978907</v>
      </c>
      <c r="Q144">
        <f t="shared" ref="Q144" si="696">F144*P144</f>
        <v>-1154264.8404637678</v>
      </c>
      <c r="R144">
        <f t="shared" ref="R144" si="697">R145+Q144</f>
        <v>-24204652.996617675</v>
      </c>
      <c r="S144">
        <f t="shared" ref="S144" si="698">R144/100000</f>
        <v>-242.04652996617673</v>
      </c>
      <c r="T144">
        <f t="shared" ref="T144" si="699">S144/1000</f>
        <v>-0.24204652996617673</v>
      </c>
    </row>
    <row r="145" spans="1:20" x14ac:dyDescent="0.25">
      <c r="A145" s="5">
        <v>44448</v>
      </c>
      <c r="B145">
        <v>10.46</v>
      </c>
      <c r="C145">
        <v>10.8</v>
      </c>
      <c r="D145">
        <v>10.17</v>
      </c>
      <c r="E145">
        <v>10.5</v>
      </c>
      <c r="F145">
        <v>109967.29</v>
      </c>
      <c r="G145">
        <v>10.5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4.7619047619046548E-2</v>
      </c>
      <c r="Q145">
        <f t="shared" ref="Q145" si="701">F145*P145</f>
        <v>5236.5376190475008</v>
      </c>
      <c r="R145">
        <f t="shared" ref="R145" si="702">R146+Q145</f>
        <v>-23050388.156153906</v>
      </c>
      <c r="S145">
        <f t="shared" ref="S145" si="703">R145/100000</f>
        <v>-230.50388156153906</v>
      </c>
      <c r="T145">
        <f t="shared" ref="T145" si="704">S145/1000</f>
        <v>-0.23050388156153906</v>
      </c>
    </row>
    <row r="146" spans="1:20" x14ac:dyDescent="0.25">
      <c r="A146" s="5">
        <v>44447</v>
      </c>
      <c r="B146">
        <v>10.64</v>
      </c>
      <c r="C146">
        <v>10.81</v>
      </c>
      <c r="D146">
        <v>9.86</v>
      </c>
      <c r="E146">
        <v>10.47</v>
      </c>
      <c r="F146">
        <v>159224.03099999999</v>
      </c>
      <c r="G146">
        <v>10.47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0.28421052631579058</v>
      </c>
      <c r="Q146">
        <f t="shared" ref="Q146" si="706">F146*P146</f>
        <v>45253.145652631749</v>
      </c>
      <c r="R146">
        <f t="shared" ref="R146" si="707">R147+Q146</f>
        <v>-23055624.693772953</v>
      </c>
      <c r="S146">
        <f t="shared" ref="S146" si="708">R146/100000</f>
        <v>-230.55624693772953</v>
      </c>
      <c r="T146">
        <f t="shared" ref="T146" si="709">S146/1000</f>
        <v>-0.23055624693772953</v>
      </c>
    </row>
    <row r="147" spans="1:20" x14ac:dyDescent="0.25">
      <c r="A147" s="5">
        <v>44446</v>
      </c>
      <c r="B147">
        <v>12.49</v>
      </c>
      <c r="C147">
        <v>12.53</v>
      </c>
      <c r="D147">
        <v>10.199999999999999</v>
      </c>
      <c r="E147">
        <v>10.65</v>
      </c>
      <c r="F147">
        <v>222470.11199999999</v>
      </c>
      <c r="G147">
        <v>10.65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-0.61373390557939822</v>
      </c>
      <c r="Q147">
        <f t="shared" ref="Q147" si="711">F147*P147</f>
        <v>-136537.45071244615</v>
      </c>
      <c r="R147">
        <f t="shared" ref="R147" si="712">R148+Q147</f>
        <v>-23100877.839425586</v>
      </c>
      <c r="S147">
        <f t="shared" ref="S147" si="713">R147/100000</f>
        <v>-231.00877839425587</v>
      </c>
      <c r="T147">
        <f t="shared" ref="T147" si="714">S147/1000</f>
        <v>-0.23100877839425588</v>
      </c>
    </row>
    <row r="148" spans="1:20" x14ac:dyDescent="0.25">
      <c r="A148" s="5">
        <v>44445</v>
      </c>
      <c r="B148">
        <v>12.72</v>
      </c>
      <c r="C148">
        <v>12.83</v>
      </c>
      <c r="D148">
        <v>12.3</v>
      </c>
      <c r="E148">
        <v>12.5</v>
      </c>
      <c r="F148">
        <v>147836.29999999999</v>
      </c>
      <c r="G148">
        <v>12.5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-0.24528301886792631</v>
      </c>
      <c r="Q148">
        <f t="shared" ref="Q148" si="716">F148*P148</f>
        <v>-36261.733962264414</v>
      </c>
      <c r="R148">
        <f t="shared" ref="R148" si="717">R149+Q148</f>
        <v>-22964340.38871314</v>
      </c>
      <c r="S148">
        <f t="shared" ref="S148" si="718">R148/100000</f>
        <v>-229.6434038871314</v>
      </c>
      <c r="T148">
        <f t="shared" ref="T148" si="719">S148/1000</f>
        <v>-0.22964340388713139</v>
      </c>
    </row>
    <row r="149" spans="1:20" x14ac:dyDescent="0.25">
      <c r="A149" s="5">
        <v>44444</v>
      </c>
      <c r="B149">
        <v>12.37</v>
      </c>
      <c r="C149">
        <v>13.254</v>
      </c>
      <c r="D149">
        <v>12.1</v>
      </c>
      <c r="E149">
        <v>12.71</v>
      </c>
      <c r="F149">
        <v>280673.00400000002</v>
      </c>
      <c r="G149">
        <v>12.71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5.719237435008883E-2</v>
      </c>
      <c r="Q149">
        <f t="shared" ref="Q149" si="721">F149*P149</f>
        <v>16052.35551473198</v>
      </c>
      <c r="R149">
        <f t="shared" ref="R149" si="722">R150+Q149</f>
        <v>-22928078.654750876</v>
      </c>
      <c r="S149">
        <f t="shared" ref="S149" si="723">R149/100000</f>
        <v>-229.28078654750877</v>
      </c>
      <c r="T149">
        <f t="shared" ref="T149" si="724">S149/1000</f>
        <v>-0.22928078654750877</v>
      </c>
    </row>
    <row r="150" spans="1:20" x14ac:dyDescent="0.25">
      <c r="A150" s="5">
        <v>44443</v>
      </c>
      <c r="B150">
        <v>12.59</v>
      </c>
      <c r="C150">
        <v>12.9</v>
      </c>
      <c r="D150">
        <v>12.07</v>
      </c>
      <c r="E150">
        <v>12.36</v>
      </c>
      <c r="F150">
        <v>141466.32</v>
      </c>
      <c r="G150">
        <v>12.36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-0.30120481927711057</v>
      </c>
      <c r="Q150">
        <f t="shared" ref="Q150" si="726">F150*P150</f>
        <v>-42610.337349397894</v>
      </c>
      <c r="R150">
        <f t="shared" ref="R150" si="727">R151+Q150</f>
        <v>-22944131.010265607</v>
      </c>
      <c r="S150">
        <f t="shared" ref="S150" si="728">R150/100000</f>
        <v>-229.44131010265608</v>
      </c>
      <c r="T150">
        <f t="shared" ref="T150" si="729">S150/1000</f>
        <v>-0.22944131010265609</v>
      </c>
    </row>
    <row r="151" spans="1:20" x14ac:dyDescent="0.25">
      <c r="A151" s="5">
        <v>44442</v>
      </c>
      <c r="B151">
        <v>12.1</v>
      </c>
      <c r="C151">
        <v>12.962999999999999</v>
      </c>
      <c r="D151">
        <v>11.95</v>
      </c>
      <c r="E151">
        <v>12.59</v>
      </c>
      <c r="F151">
        <v>307164.51</v>
      </c>
      <c r="G151">
        <v>12.59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0.26357354392892524</v>
      </c>
      <c r="Q151">
        <f t="shared" ref="Q151" si="731">F151*P151</f>
        <v>80960.4384698918</v>
      </c>
      <c r="R151">
        <f t="shared" ref="R151" si="732">R152+Q151</f>
        <v>-22901520.672916211</v>
      </c>
      <c r="S151">
        <f t="shared" ref="S151" si="733">R151/100000</f>
        <v>-229.01520672916212</v>
      </c>
      <c r="T151">
        <f t="shared" ref="T151" si="734">S151/1000</f>
        <v>-0.22901520672916212</v>
      </c>
    </row>
    <row r="152" spans="1:20" x14ac:dyDescent="0.25">
      <c r="A152" s="5">
        <v>44441</v>
      </c>
      <c r="B152">
        <v>11.96</v>
      </c>
      <c r="C152">
        <v>12.59</v>
      </c>
      <c r="D152">
        <v>11.67</v>
      </c>
      <c r="E152">
        <v>12.13</v>
      </c>
      <c r="F152">
        <v>236938.62</v>
      </c>
      <c r="G152">
        <v>12.13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1.9308226515220117E-15</v>
      </c>
      <c r="Q152">
        <f t="shared" ref="Q152" si="736">F152*P152</f>
        <v>4.5748645451636633E-10</v>
      </c>
      <c r="R152">
        <f t="shared" ref="R152" si="737">R153+Q152</f>
        <v>-22982481.111386102</v>
      </c>
      <c r="S152">
        <f t="shared" ref="S152" si="738">R152/100000</f>
        <v>-229.82481111386102</v>
      </c>
      <c r="T152">
        <f t="shared" ref="T152" si="739">S152/1000</f>
        <v>-0.22982481111386102</v>
      </c>
    </row>
    <row r="153" spans="1:20" x14ac:dyDescent="0.25">
      <c r="A153" s="5">
        <v>44440</v>
      </c>
      <c r="B153">
        <v>11.25</v>
      </c>
      <c r="C153">
        <v>12.25</v>
      </c>
      <c r="D153">
        <v>10.93</v>
      </c>
      <c r="E153">
        <v>11.98</v>
      </c>
      <c r="F153">
        <v>166219.375</v>
      </c>
      <c r="G153">
        <v>11.98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0.59090909090909161</v>
      </c>
      <c r="Q153">
        <f t="shared" ref="Q153" si="741">F153*P153</f>
        <v>98220.539772727381</v>
      </c>
      <c r="R153">
        <f t="shared" ref="R153" si="742">R154+Q153</f>
        <v>-22982481.111386102</v>
      </c>
      <c r="S153">
        <f t="shared" ref="S153" si="743">R153/100000</f>
        <v>-229.82481111386102</v>
      </c>
      <c r="T153">
        <f t="shared" ref="T153" si="744">S153/1000</f>
        <v>-0.22982481111386102</v>
      </c>
    </row>
    <row r="154" spans="1:20" x14ac:dyDescent="0.25">
      <c r="A154" s="5">
        <v>44439</v>
      </c>
      <c r="B154">
        <v>11.39</v>
      </c>
      <c r="C154">
        <v>12.14</v>
      </c>
      <c r="D154">
        <v>11.2</v>
      </c>
      <c r="E154">
        <v>11.25</v>
      </c>
      <c r="F154">
        <v>143470.69899999999</v>
      </c>
      <c r="G154">
        <v>11.25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-0.89361702127659437</v>
      </c>
      <c r="Q154">
        <f t="shared" ref="Q154" si="746">F154*P154</f>
        <v>-128207.85868085086</v>
      </c>
      <c r="R154">
        <f t="shared" ref="R154" si="747">R155+Q154</f>
        <v>-23080701.651158828</v>
      </c>
      <c r="S154">
        <f t="shared" ref="S154" si="748">R154/100000</f>
        <v>-230.80701651158827</v>
      </c>
      <c r="T154">
        <f t="shared" ref="T154" si="749">S154/1000</f>
        <v>-0.23080701651158828</v>
      </c>
    </row>
    <row r="155" spans="1:20" x14ac:dyDescent="0.25">
      <c r="A155" s="5">
        <v>44438</v>
      </c>
      <c r="B155">
        <v>11.79</v>
      </c>
      <c r="C155">
        <v>11.84</v>
      </c>
      <c r="D155">
        <v>11.39</v>
      </c>
      <c r="E155">
        <v>11.41</v>
      </c>
      <c r="F155">
        <v>112534.383</v>
      </c>
      <c r="G155">
        <v>11.41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-0.91111111111111287</v>
      </c>
      <c r="Q155">
        <f t="shared" ref="Q155" si="751">F155*P155</f>
        <v>-102531.32673333354</v>
      </c>
      <c r="R155">
        <f t="shared" ref="R155" si="752">R156+Q155</f>
        <v>-22952493.792477977</v>
      </c>
      <c r="S155">
        <f t="shared" ref="S155" si="753">R155/100000</f>
        <v>-229.52493792477978</v>
      </c>
      <c r="T155">
        <f t="shared" ref="T155" si="754">S155/1000</f>
        <v>-0.22952493792477976</v>
      </c>
    </row>
    <row r="156" spans="1:20" x14ac:dyDescent="0.25">
      <c r="A156" s="5">
        <v>44437</v>
      </c>
      <c r="B156">
        <v>11.99</v>
      </c>
      <c r="C156">
        <v>12.2</v>
      </c>
      <c r="D156">
        <v>11.71</v>
      </c>
      <c r="E156">
        <v>11.79</v>
      </c>
      <c r="F156">
        <v>187312.296</v>
      </c>
      <c r="G156">
        <v>11.79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-0.67346938775510801</v>
      </c>
      <c r="Q156">
        <f t="shared" ref="Q156" si="756">F156*P156</f>
        <v>-126149.09730612357</v>
      </c>
      <c r="R156">
        <f t="shared" ref="R156" si="757">R157+Q156</f>
        <v>-22849962.465744644</v>
      </c>
      <c r="S156">
        <f t="shared" ref="S156" si="758">R156/100000</f>
        <v>-228.49962465744645</v>
      </c>
      <c r="T156">
        <f t="shared" ref="T156" si="759">S156/1000</f>
        <v>-0.22849962465744644</v>
      </c>
    </row>
    <row r="157" spans="1:20" x14ac:dyDescent="0.25">
      <c r="A157" s="5">
        <v>44436</v>
      </c>
      <c r="B157">
        <v>12.32</v>
      </c>
      <c r="C157">
        <v>12.43</v>
      </c>
      <c r="D157">
        <v>11.9</v>
      </c>
      <c r="E157">
        <v>11.98</v>
      </c>
      <c r="F157">
        <v>115076.54</v>
      </c>
      <c r="G157">
        <v>11.98</v>
      </c>
      <c r="L157" t="s">
        <v>7</v>
      </c>
      <c r="M157" t="s">
        <v>7</v>
      </c>
      <c r="N157" t="s">
        <v>7</v>
      </c>
      <c r="P157">
        <f t="shared" ref="P157" si="760">IF(C157=D157,0,((E157-D157)-(C157-E157))/(C157-D157))</f>
        <v>-0.69811320754716921</v>
      </c>
      <c r="Q157">
        <f t="shared" ref="Q157" si="761">F157*P157</f>
        <v>-80336.452452830112</v>
      </c>
      <c r="R157">
        <f t="shared" ref="R157" si="762">R158+Q157</f>
        <v>-22723813.36843852</v>
      </c>
      <c r="S157">
        <f t="shared" ref="S157" si="763">R157/100000</f>
        <v>-227.23813368438519</v>
      </c>
      <c r="T157">
        <f t="shared" ref="T157" si="764">S157/1000</f>
        <v>-0.2272381336843852</v>
      </c>
    </row>
    <row r="158" spans="1:20" x14ac:dyDescent="0.25">
      <c r="A158" s="5">
        <v>44435</v>
      </c>
      <c r="B158">
        <v>12.12</v>
      </c>
      <c r="C158">
        <v>12.47</v>
      </c>
      <c r="D158">
        <v>11.87</v>
      </c>
      <c r="E158">
        <v>12.32</v>
      </c>
      <c r="F158">
        <v>190574.579</v>
      </c>
      <c r="G158">
        <v>12.32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0.5</v>
      </c>
      <c r="Q158">
        <f t="shared" ref="Q158" si="766">F158*P158</f>
        <v>95287.289499999999</v>
      </c>
      <c r="R158">
        <f t="shared" ref="R158" si="767">R159+Q158</f>
        <v>-22643476.915985689</v>
      </c>
      <c r="S158">
        <f t="shared" ref="S158" si="768">R158/100000</f>
        <v>-226.4347691598569</v>
      </c>
      <c r="T158">
        <f t="shared" ref="T158" si="769">S158/1000</f>
        <v>-0.22643476915985689</v>
      </c>
    </row>
    <row r="159" spans="1:20" x14ac:dyDescent="0.25">
      <c r="A159" s="5">
        <v>44434</v>
      </c>
      <c r="B159">
        <v>13.004</v>
      </c>
      <c r="C159">
        <v>13.12</v>
      </c>
      <c r="D159">
        <v>12.12</v>
      </c>
      <c r="E159">
        <v>12.12</v>
      </c>
      <c r="F159">
        <v>185719.38699999999</v>
      </c>
      <c r="G159">
        <v>12.12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-1</v>
      </c>
      <c r="Q159">
        <f t="shared" ref="Q159" si="771">F159*P159</f>
        <v>-185719.38699999999</v>
      </c>
      <c r="R159">
        <f t="shared" ref="R159" si="772">R160+Q159</f>
        <v>-22738764.20548569</v>
      </c>
      <c r="S159">
        <f t="shared" ref="S159" si="773">R159/100000</f>
        <v>-227.38764205485691</v>
      </c>
      <c r="T159">
        <f t="shared" ref="T159" si="774">S159/1000</f>
        <v>-0.2273876420548569</v>
      </c>
    </row>
    <row r="160" spans="1:20" x14ac:dyDescent="0.25">
      <c r="A160" s="5">
        <v>44433</v>
      </c>
      <c r="B160">
        <v>13.159000000000001</v>
      </c>
      <c r="C160">
        <v>13.379</v>
      </c>
      <c r="D160">
        <v>12.811999999999999</v>
      </c>
      <c r="E160">
        <v>12.997999999999999</v>
      </c>
      <c r="F160">
        <v>110805.065</v>
      </c>
      <c r="G160">
        <v>12.997999999999999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-0.34391534391534434</v>
      </c>
      <c r="Q160">
        <f t="shared" ref="Q160" si="776">F160*P160</f>
        <v>-38107.562037037082</v>
      </c>
      <c r="R160">
        <f t="shared" ref="R160" si="777">R161+Q160</f>
        <v>-22553044.818485692</v>
      </c>
      <c r="S160">
        <f t="shared" ref="S160" si="778">R160/100000</f>
        <v>-225.53044818485691</v>
      </c>
      <c r="T160">
        <f t="shared" ref="T160" si="779">S160/1000</f>
        <v>-0.2255304481848569</v>
      </c>
    </row>
    <row r="161" spans="1:20" x14ac:dyDescent="0.25">
      <c r="A161" s="5">
        <v>44432</v>
      </c>
      <c r="B161">
        <v>13.331</v>
      </c>
      <c r="C161">
        <v>14.35</v>
      </c>
      <c r="D161">
        <v>13</v>
      </c>
      <c r="E161">
        <v>13.161</v>
      </c>
      <c r="F161">
        <v>289116.02399999998</v>
      </c>
      <c r="G161">
        <v>13.161</v>
      </c>
      <c r="L161" t="s">
        <v>8</v>
      </c>
      <c r="M161" t="s">
        <v>7</v>
      </c>
      <c r="N161" t="s">
        <v>8</v>
      </c>
      <c r="P161">
        <f t="shared" ref="P161" si="780">IF(C161=D161,0,((E161-D161)-(C161-E161))/(C161-D161))</f>
        <v>-0.76148148148148198</v>
      </c>
      <c r="Q161">
        <f t="shared" ref="Q161" si="781">F161*P161</f>
        <v>-220156.49827555567</v>
      </c>
      <c r="R161">
        <f t="shared" ref="R161" si="782">R162+Q161</f>
        <v>-22514937.256448656</v>
      </c>
      <c r="S161">
        <f t="shared" ref="S161" si="783">R161/100000</f>
        <v>-225.14937256448655</v>
      </c>
      <c r="T161">
        <f t="shared" ref="T161" si="784">S161/1000</f>
        <v>-0.22514937256448656</v>
      </c>
    </row>
    <row r="162" spans="1:20" x14ac:dyDescent="0.25">
      <c r="A162" s="5">
        <v>44431</v>
      </c>
      <c r="B162">
        <v>13.356</v>
      </c>
      <c r="C162">
        <v>13.84</v>
      </c>
      <c r="D162">
        <v>12.907</v>
      </c>
      <c r="E162">
        <v>13.329000000000001</v>
      </c>
      <c r="F162">
        <v>212668.02299999999</v>
      </c>
      <c r="G162">
        <v>13.329000000000001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-9.5391211146836713E-2</v>
      </c>
      <c r="Q162">
        <f t="shared" ref="Q162" si="786">F162*P162</f>
        <v>-20286.660286173326</v>
      </c>
      <c r="R162">
        <f t="shared" ref="R162" si="787">R163+Q162</f>
        <v>-22294780.758173101</v>
      </c>
      <c r="S162">
        <f t="shared" ref="S162" si="788">R162/100000</f>
        <v>-222.94780758173101</v>
      </c>
      <c r="T162">
        <f t="shared" ref="T162" si="789">S162/1000</f>
        <v>-0.22294780758173102</v>
      </c>
    </row>
    <row r="163" spans="1:20" x14ac:dyDescent="0.25">
      <c r="A163" s="5">
        <v>44430</v>
      </c>
      <c r="B163">
        <v>13.638999999999999</v>
      </c>
      <c r="C163">
        <v>14.026</v>
      </c>
      <c r="D163">
        <v>13.592000000000001</v>
      </c>
      <c r="E163">
        <v>13.763999999999999</v>
      </c>
      <c r="F163">
        <v>152033.50099999999</v>
      </c>
      <c r="G163">
        <v>13.763999999999999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-0.20737327188940502</v>
      </c>
      <c r="Q163">
        <f t="shared" ref="Q163" si="791">F163*P163</f>
        <v>-31527.684539171129</v>
      </c>
      <c r="R163">
        <f t="shared" ref="R163" si="792">R164+Q163</f>
        <v>-22274494.097886927</v>
      </c>
      <c r="S163">
        <f t="shared" ref="S163" si="793">R163/100000</f>
        <v>-222.74494097886927</v>
      </c>
      <c r="T163">
        <f t="shared" ref="T163" si="794">S163/1000</f>
        <v>-0.22274494097886927</v>
      </c>
    </row>
    <row r="164" spans="1:20" x14ac:dyDescent="0.25">
      <c r="A164" s="5">
        <v>44429</v>
      </c>
      <c r="B164">
        <v>13.781000000000001</v>
      </c>
      <c r="C164">
        <v>14.170999999999999</v>
      </c>
      <c r="D164">
        <v>13.513</v>
      </c>
      <c r="E164">
        <v>13.632999999999999</v>
      </c>
      <c r="F164">
        <v>350105.42099999997</v>
      </c>
      <c r="G164">
        <v>13.632999999999999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-0.63525835866261604</v>
      </c>
      <c r="Q164">
        <f t="shared" ref="Q164" si="796">F164*P164</f>
        <v>-222407.39510334417</v>
      </c>
      <c r="R164">
        <f t="shared" ref="R164" si="797">R165+Q164</f>
        <v>-22242966.413347755</v>
      </c>
      <c r="S164">
        <f t="shared" ref="S164" si="798">R164/100000</f>
        <v>-222.42966413347756</v>
      </c>
      <c r="T164">
        <f t="shared" ref="T164" si="799">S164/1000</f>
        <v>-0.22242966413347756</v>
      </c>
    </row>
    <row r="165" spans="1:20" x14ac:dyDescent="0.25">
      <c r="A165" s="5">
        <v>44428</v>
      </c>
      <c r="B165">
        <v>13.827999999999999</v>
      </c>
      <c r="C165">
        <v>14.23</v>
      </c>
      <c r="D165">
        <v>13.509</v>
      </c>
      <c r="E165">
        <v>13.743</v>
      </c>
      <c r="F165">
        <v>177164.26300000001</v>
      </c>
      <c r="G165">
        <v>13.743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-0.35090152565880733</v>
      </c>
      <c r="Q165">
        <f t="shared" ref="Q165" si="801">F165*P165</f>
        <v>-62167.210178918191</v>
      </c>
      <c r="R165">
        <f t="shared" ref="R165" si="802">R166+Q165</f>
        <v>-22020559.018244412</v>
      </c>
      <c r="S165">
        <f t="shared" ref="S165" si="803">R165/100000</f>
        <v>-220.20559018244413</v>
      </c>
      <c r="T165">
        <f t="shared" ref="T165" si="804">S165/1000</f>
        <v>-0.22020559018244412</v>
      </c>
    </row>
    <row r="166" spans="1:20" x14ac:dyDescent="0.25">
      <c r="A166" s="5">
        <v>44427</v>
      </c>
      <c r="B166">
        <v>13.199</v>
      </c>
      <c r="C166">
        <v>15.47</v>
      </c>
      <c r="D166">
        <v>13.036</v>
      </c>
      <c r="E166">
        <v>13.827999999999999</v>
      </c>
      <c r="F166">
        <v>323103.90399999998</v>
      </c>
      <c r="G166">
        <v>13.827999999999999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-0.34921939194741208</v>
      </c>
      <c r="Q166">
        <f t="shared" ref="Q166" si="806">F166*P166</f>
        <v>-112834.14889071501</v>
      </c>
      <c r="R166">
        <f t="shared" ref="R166" si="807">R167+Q166</f>
        <v>-21958391.808065493</v>
      </c>
      <c r="S166">
        <f t="shared" ref="S166" si="808">R166/100000</f>
        <v>-219.58391808065494</v>
      </c>
      <c r="T166">
        <f t="shared" ref="T166" si="809">S166/1000</f>
        <v>-0.21958391808065494</v>
      </c>
    </row>
    <row r="167" spans="1:20" x14ac:dyDescent="0.25">
      <c r="A167" s="5">
        <v>44426</v>
      </c>
      <c r="B167">
        <v>13.382</v>
      </c>
      <c r="C167">
        <v>13.819000000000001</v>
      </c>
      <c r="D167">
        <v>12.869</v>
      </c>
      <c r="E167">
        <v>13.199</v>
      </c>
      <c r="F167">
        <v>146218.71</v>
      </c>
      <c r="G167">
        <v>13.199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-0.30526315789473746</v>
      </c>
      <c r="Q167">
        <f t="shared" ref="Q167" si="811">F167*P167</f>
        <v>-44635.185157894826</v>
      </c>
      <c r="R167">
        <f t="shared" ref="R167" si="812">R168+Q167</f>
        <v>-21845557.659174778</v>
      </c>
      <c r="S167">
        <f t="shared" ref="S167" si="813">R167/100000</f>
        <v>-218.45557659174779</v>
      </c>
      <c r="T167">
        <f t="shared" ref="T167" si="814">S167/1000</f>
        <v>-0.21845557659174777</v>
      </c>
    </row>
    <row r="168" spans="1:20" x14ac:dyDescent="0.25">
      <c r="A168" s="5">
        <v>44425</v>
      </c>
      <c r="B168">
        <v>13.584</v>
      </c>
      <c r="C168">
        <v>14.465</v>
      </c>
      <c r="D168">
        <v>13.180999999999999</v>
      </c>
      <c r="E168">
        <v>13.382</v>
      </c>
      <c r="F168">
        <v>253502.21400000001</v>
      </c>
      <c r="G168">
        <v>13.382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-0.68691588785046664</v>
      </c>
      <c r="Q168">
        <f t="shared" ref="Q168" si="816">F168*P168</f>
        <v>-174134.69840186901</v>
      </c>
      <c r="R168">
        <f t="shared" ref="R168" si="817">R169+Q168</f>
        <v>-21800922.474016882</v>
      </c>
      <c r="S168">
        <f t="shared" ref="S168" si="818">R168/100000</f>
        <v>-218.00922474016883</v>
      </c>
      <c r="T168">
        <f t="shared" ref="T168" si="819">S168/1000</f>
        <v>-0.21800922474016884</v>
      </c>
    </row>
    <row r="169" spans="1:20" x14ac:dyDescent="0.25">
      <c r="A169" s="5">
        <v>44424</v>
      </c>
      <c r="B169">
        <v>14.13</v>
      </c>
      <c r="C169">
        <v>14.3</v>
      </c>
      <c r="D169">
        <v>13.478</v>
      </c>
      <c r="E169">
        <v>13.584</v>
      </c>
      <c r="F169">
        <v>202374.66399999999</v>
      </c>
      <c r="G169">
        <v>13.584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-0.74209245742092522</v>
      </c>
      <c r="Q169">
        <f t="shared" ref="Q169" si="821">F169*P169</f>
        <v>-150180.71172749405</v>
      </c>
      <c r="R169">
        <f t="shared" ref="R169" si="822">R170+Q169</f>
        <v>-21626787.775615014</v>
      </c>
      <c r="S169">
        <f t="shared" ref="S169" si="823">R169/100000</f>
        <v>-216.26787775615014</v>
      </c>
      <c r="T169">
        <f t="shared" ref="T169" si="824">S169/1000</f>
        <v>-0.21626787775615014</v>
      </c>
    </row>
    <row r="170" spans="1:20" x14ac:dyDescent="0.25">
      <c r="A170" s="5">
        <v>44423</v>
      </c>
      <c r="B170">
        <v>14.221</v>
      </c>
      <c r="C170">
        <v>14.9</v>
      </c>
      <c r="D170">
        <v>13.954000000000001</v>
      </c>
      <c r="E170">
        <v>14.13</v>
      </c>
      <c r="F170">
        <v>215207.565</v>
      </c>
      <c r="G170">
        <v>14.13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-0.62790697674418561</v>
      </c>
      <c r="Q170">
        <f t="shared" ref="Q170" si="826">F170*P170</f>
        <v>-135130.33151162782</v>
      </c>
      <c r="R170">
        <f t="shared" ref="R170" si="827">R171+Q170</f>
        <v>-21476607.063887522</v>
      </c>
      <c r="S170">
        <f t="shared" ref="S170" si="828">R170/100000</f>
        <v>-214.76607063887522</v>
      </c>
      <c r="T170">
        <f t="shared" ref="T170" si="829">S170/1000</f>
        <v>-0.21476607063887523</v>
      </c>
    </row>
    <row r="171" spans="1:20" x14ac:dyDescent="0.25">
      <c r="A171" s="5">
        <v>44422</v>
      </c>
      <c r="B171">
        <v>14.541</v>
      </c>
      <c r="C171">
        <v>14.65</v>
      </c>
      <c r="D171">
        <v>14.119</v>
      </c>
      <c r="E171">
        <v>14.204000000000001</v>
      </c>
      <c r="F171">
        <v>154807.25099999999</v>
      </c>
      <c r="G171">
        <v>14.204000000000001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-0.67984934086628712</v>
      </c>
      <c r="Q171">
        <f t="shared" ref="Q171" si="831">F171*P171</f>
        <v>-105245.60755367186</v>
      </c>
      <c r="R171">
        <f t="shared" ref="R171" si="832">R172+Q171</f>
        <v>-21341476.732375894</v>
      </c>
      <c r="S171">
        <f t="shared" ref="S171" si="833">R171/100000</f>
        <v>-213.41476732375895</v>
      </c>
      <c r="T171">
        <f t="shared" ref="T171" si="834">S171/1000</f>
        <v>-0.21341476732375894</v>
      </c>
    </row>
    <row r="172" spans="1:20" x14ac:dyDescent="0.25">
      <c r="A172" s="5">
        <v>44421</v>
      </c>
      <c r="B172">
        <v>14.468</v>
      </c>
      <c r="C172">
        <v>14.75</v>
      </c>
      <c r="D172">
        <v>14.25</v>
      </c>
      <c r="E172">
        <v>14.542999999999999</v>
      </c>
      <c r="F172">
        <v>165532.19500000001</v>
      </c>
      <c r="G172">
        <v>14.542999999999999</v>
      </c>
      <c r="L172" t="s">
        <v>7</v>
      </c>
      <c r="M172" t="s">
        <v>7</v>
      </c>
      <c r="N172" t="s">
        <v>8</v>
      </c>
      <c r="P172">
        <f t="shared" ref="P172" si="835">IF(C172=D172,0,((E172-D172)-(C172-E172))/(C172-D172))</f>
        <v>0.17199999999999704</v>
      </c>
      <c r="Q172">
        <f t="shared" ref="Q172" si="836">F172*P172</f>
        <v>28471.537539999514</v>
      </c>
      <c r="R172">
        <f t="shared" ref="R172" si="837">R173+Q172</f>
        <v>-21236231.124822222</v>
      </c>
      <c r="S172">
        <f t="shared" ref="S172" si="838">R172/100000</f>
        <v>-212.36231124822223</v>
      </c>
      <c r="T172">
        <f t="shared" ref="T172" si="839">S172/1000</f>
        <v>-0.21236231124822222</v>
      </c>
    </row>
    <row r="173" spans="1:20" x14ac:dyDescent="0.25">
      <c r="A173" s="5">
        <v>44420</v>
      </c>
      <c r="B173">
        <v>14.13</v>
      </c>
      <c r="C173">
        <v>14.909000000000001</v>
      </c>
      <c r="D173">
        <v>13.992000000000001</v>
      </c>
      <c r="E173">
        <v>14.445</v>
      </c>
      <c r="F173">
        <v>388041.10200000001</v>
      </c>
      <c r="G173">
        <v>14.445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-1.1995637949837526E-2</v>
      </c>
      <c r="Q173">
        <f t="shared" ref="Q173" si="841">F173*P173</f>
        <v>-4654.8005692479746</v>
      </c>
      <c r="R173">
        <f t="shared" ref="R173" si="842">R174+Q173</f>
        <v>-21264702.662362222</v>
      </c>
      <c r="S173">
        <f t="shared" ref="S173" si="843">R173/100000</f>
        <v>-212.64702662362222</v>
      </c>
      <c r="T173">
        <f t="shared" ref="T173" si="844">S173/1000</f>
        <v>-0.21264702662362223</v>
      </c>
    </row>
    <row r="174" spans="1:20" x14ac:dyDescent="0.25">
      <c r="A174" s="5">
        <v>44419</v>
      </c>
      <c r="B174">
        <v>14.939</v>
      </c>
      <c r="C174">
        <v>14.94</v>
      </c>
      <c r="D174">
        <v>14.118</v>
      </c>
      <c r="E174">
        <v>14.16</v>
      </c>
      <c r="F174">
        <v>368088.96100000001</v>
      </c>
      <c r="G174">
        <v>14.16</v>
      </c>
      <c r="L174" t="s">
        <v>7</v>
      </c>
      <c r="M174" t="s">
        <v>7</v>
      </c>
      <c r="N174" t="s">
        <v>8</v>
      </c>
      <c r="P174">
        <f t="shared" ref="P174" si="845">IF(C174=D174,0,((E174-D174)-(C174-E174))/(C174-D174))</f>
        <v>-0.89781021897810254</v>
      </c>
      <c r="Q174">
        <f t="shared" ref="Q174" si="846">F174*P174</f>
        <v>-330474.03067883226</v>
      </c>
      <c r="R174">
        <f t="shared" ref="R174" si="847">R175+Q174</f>
        <v>-21260047.861792974</v>
      </c>
      <c r="S174">
        <f t="shared" ref="S174" si="848">R174/100000</f>
        <v>-212.60047861792975</v>
      </c>
      <c r="T174">
        <f t="shared" ref="T174" si="849">S174/1000</f>
        <v>-0.21260047861792974</v>
      </c>
    </row>
    <row r="175" spans="1:20" x14ac:dyDescent="0.25">
      <c r="A175" s="5">
        <v>44418</v>
      </c>
      <c r="B175">
        <v>15.398999999999999</v>
      </c>
      <c r="C175">
        <v>15.9</v>
      </c>
      <c r="D175">
        <v>14.617000000000001</v>
      </c>
      <c r="E175">
        <v>14.92</v>
      </c>
      <c r="F175">
        <v>538646.30799999996</v>
      </c>
      <c r="G175">
        <v>14.92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-0.52766952455183291</v>
      </c>
      <c r="Q175">
        <f t="shared" ref="Q175" si="851">F175*P175</f>
        <v>-284227.24124396016</v>
      </c>
      <c r="R175">
        <f t="shared" ref="R175" si="852">R176+Q175</f>
        <v>-20929573.831114143</v>
      </c>
      <c r="S175">
        <f t="shared" ref="S175" si="853">R175/100000</f>
        <v>-209.29573831114143</v>
      </c>
      <c r="T175">
        <f t="shared" ref="T175" si="854">S175/1000</f>
        <v>-0.20929573831114143</v>
      </c>
    </row>
    <row r="176" spans="1:20" x14ac:dyDescent="0.25">
      <c r="A176" s="5">
        <v>44417</v>
      </c>
      <c r="B176">
        <v>13.118</v>
      </c>
      <c r="C176">
        <v>17.149999999999999</v>
      </c>
      <c r="D176">
        <v>12.824999999999999</v>
      </c>
      <c r="E176">
        <v>15.46</v>
      </c>
      <c r="F176">
        <v>2017005.048</v>
      </c>
      <c r="G176">
        <v>15.46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0.21849710982659051</v>
      </c>
      <c r="Q176">
        <f t="shared" ref="Q176" si="856">F176*P176</f>
        <v>440709.77349364344</v>
      </c>
      <c r="R176">
        <f t="shared" ref="R176" si="857">R177+Q176</f>
        <v>-20645346.589870185</v>
      </c>
      <c r="S176">
        <f t="shared" ref="S176" si="858">R176/100000</f>
        <v>-206.45346589870184</v>
      </c>
      <c r="T176">
        <f t="shared" ref="T176" si="859">S176/1000</f>
        <v>-0.20645346589870184</v>
      </c>
    </row>
    <row r="177" spans="1:20" x14ac:dyDescent="0.25">
      <c r="A177" s="5">
        <v>44416</v>
      </c>
      <c r="B177">
        <v>13.515000000000001</v>
      </c>
      <c r="C177">
        <v>14.417</v>
      </c>
      <c r="D177">
        <v>13.054</v>
      </c>
      <c r="E177">
        <v>13.118</v>
      </c>
      <c r="F177">
        <v>570467.245</v>
      </c>
      <c r="G177">
        <v>13.118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-0.90608950843727065</v>
      </c>
      <c r="Q177">
        <f t="shared" ref="Q177" si="861">F177*P177</f>
        <v>-516894.38560161402</v>
      </c>
      <c r="R177">
        <f t="shared" ref="R177" si="862">R178+Q177</f>
        <v>-21086056.363363829</v>
      </c>
      <c r="S177">
        <f t="shared" ref="S177" si="863">R177/100000</f>
        <v>-210.86056363363829</v>
      </c>
      <c r="T177">
        <f t="shared" ref="T177" si="864">S177/1000</f>
        <v>-0.21086056363363828</v>
      </c>
    </row>
    <row r="178" spans="1:20" x14ac:dyDescent="0.25">
      <c r="A178" s="5">
        <v>44415</v>
      </c>
      <c r="B178">
        <v>13.569000000000001</v>
      </c>
      <c r="C178">
        <v>14.3</v>
      </c>
      <c r="D178">
        <v>13</v>
      </c>
      <c r="E178">
        <v>13.496</v>
      </c>
      <c r="F178">
        <v>358799.35800000001</v>
      </c>
      <c r="G178">
        <v>13.496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-0.23692307692307665</v>
      </c>
      <c r="Q178">
        <f t="shared" ref="Q178" si="866">F178*P178</f>
        <v>-85007.847895384519</v>
      </c>
      <c r="R178">
        <f t="shared" ref="R178" si="867">R179+Q178</f>
        <v>-20569161.977762215</v>
      </c>
      <c r="S178">
        <f t="shared" ref="S178" si="868">R178/100000</f>
        <v>-205.69161977762215</v>
      </c>
      <c r="T178">
        <f t="shared" ref="T178" si="869">S178/1000</f>
        <v>-0.20569161977762215</v>
      </c>
    </row>
    <row r="179" spans="1:20" x14ac:dyDescent="0.25">
      <c r="A179" s="5">
        <v>44414</v>
      </c>
      <c r="B179">
        <v>12.760999999999999</v>
      </c>
      <c r="C179">
        <v>13.99</v>
      </c>
      <c r="D179">
        <v>12.459</v>
      </c>
      <c r="E179">
        <v>13.57</v>
      </c>
      <c r="F179">
        <v>528809.67700000003</v>
      </c>
      <c r="G179">
        <v>13.57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0.45133899412148953</v>
      </c>
      <c r="Q179">
        <f t="shared" ref="Q179" si="871">F179*P179</f>
        <v>238672.42769888978</v>
      </c>
      <c r="R179">
        <f t="shared" ref="R179" si="872">R180+Q179</f>
        <v>-20484154.129866831</v>
      </c>
      <c r="S179">
        <f t="shared" ref="S179" si="873">R179/100000</f>
        <v>-204.84154129866832</v>
      </c>
      <c r="T179">
        <f t="shared" ref="T179" si="874">S179/1000</f>
        <v>-0.20484154129866833</v>
      </c>
    </row>
    <row r="180" spans="1:20" x14ac:dyDescent="0.25">
      <c r="A180" s="5">
        <v>44413</v>
      </c>
      <c r="B180">
        <v>12.507999999999999</v>
      </c>
      <c r="C180">
        <v>12.88</v>
      </c>
      <c r="D180">
        <v>12.052</v>
      </c>
      <c r="E180">
        <v>12.75</v>
      </c>
      <c r="F180">
        <v>198039.41899999999</v>
      </c>
      <c r="G180">
        <v>12.75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0.68599033816424981</v>
      </c>
      <c r="Q180">
        <f t="shared" ref="Q180" si="876">F180*P180</f>
        <v>135853.12800966157</v>
      </c>
      <c r="R180">
        <f t="shared" ref="R180" si="877">R181+Q180</f>
        <v>-20722826.557565723</v>
      </c>
      <c r="S180">
        <f t="shared" ref="S180" si="878">R180/100000</f>
        <v>-207.22826557565722</v>
      </c>
      <c r="T180">
        <f t="shared" ref="T180" si="879">S180/1000</f>
        <v>-0.20722826557565721</v>
      </c>
    </row>
    <row r="181" spans="1:20" x14ac:dyDescent="0.25">
      <c r="A181" s="5">
        <v>44412</v>
      </c>
      <c r="B181">
        <v>12.436999999999999</v>
      </c>
      <c r="C181">
        <v>12.63</v>
      </c>
      <c r="D181">
        <v>12.265000000000001</v>
      </c>
      <c r="E181">
        <v>12.47</v>
      </c>
      <c r="F181">
        <v>90784.712</v>
      </c>
      <c r="G181">
        <v>12.47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0.12328767123287644</v>
      </c>
      <c r="Q181">
        <f t="shared" ref="Q181" si="881">F181*P181</f>
        <v>11192.635726027373</v>
      </c>
      <c r="R181">
        <f t="shared" ref="R181" si="882">R182+Q181</f>
        <v>-20858679.685575385</v>
      </c>
      <c r="S181">
        <f t="shared" ref="S181" si="883">R181/100000</f>
        <v>-208.58679685575385</v>
      </c>
      <c r="T181">
        <f t="shared" ref="T181" si="884">S181/1000</f>
        <v>-0.20858679685575385</v>
      </c>
    </row>
    <row r="182" spans="1:20" x14ac:dyDescent="0.25">
      <c r="A182" s="5">
        <v>44411</v>
      </c>
      <c r="B182">
        <v>12.706</v>
      </c>
      <c r="C182">
        <v>13.121</v>
      </c>
      <c r="D182">
        <v>12.201000000000001</v>
      </c>
      <c r="E182">
        <v>12.45</v>
      </c>
      <c r="F182">
        <v>131389.40299999999</v>
      </c>
      <c r="G182">
        <v>12.45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-0.45869565217391567</v>
      </c>
      <c r="Q182">
        <f t="shared" ref="Q182" si="886">F182*P182</f>
        <v>-60267.747897826426</v>
      </c>
      <c r="R182">
        <f t="shared" ref="R182" si="887">R183+Q182</f>
        <v>-20869872.321301412</v>
      </c>
      <c r="S182">
        <f t="shared" ref="S182" si="888">R182/100000</f>
        <v>-208.69872321301412</v>
      </c>
      <c r="T182">
        <f t="shared" ref="T182" si="889">S182/1000</f>
        <v>-0.20869872321301411</v>
      </c>
    </row>
    <row r="183" spans="1:20" x14ac:dyDescent="0.25">
      <c r="A183" s="5">
        <v>44410</v>
      </c>
      <c r="B183">
        <v>12.212</v>
      </c>
      <c r="C183">
        <v>13.321</v>
      </c>
      <c r="D183">
        <v>12.002000000000001</v>
      </c>
      <c r="E183">
        <v>12.706</v>
      </c>
      <c r="F183">
        <v>187788.82500000001</v>
      </c>
      <c r="G183">
        <v>12.706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6.7475360121303035E-2</v>
      </c>
      <c r="Q183">
        <f t="shared" ref="Q183" si="891">F183*P183</f>
        <v>12671.118593631356</v>
      </c>
      <c r="R183">
        <f t="shared" ref="R183" si="892">R184+Q183</f>
        <v>-20809604.573403586</v>
      </c>
      <c r="S183">
        <f t="shared" ref="S183" si="893">R183/100000</f>
        <v>-208.09604573403587</v>
      </c>
      <c r="T183">
        <f t="shared" ref="T183" si="894">S183/1000</f>
        <v>-0.20809604573403587</v>
      </c>
    </row>
    <row r="184" spans="1:20" x14ac:dyDescent="0.25">
      <c r="A184" s="5">
        <v>44409</v>
      </c>
      <c r="B184">
        <v>12.613</v>
      </c>
      <c r="C184">
        <v>12.835000000000001</v>
      </c>
      <c r="D184">
        <v>12.18</v>
      </c>
      <c r="E184">
        <v>12.207000000000001</v>
      </c>
      <c r="F184">
        <v>111350.159</v>
      </c>
      <c r="G184">
        <v>12.207000000000001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-0.91755725190839399</v>
      </c>
      <c r="Q184">
        <f t="shared" ref="Q184" si="896">F184*P184</f>
        <v>-102170.14589160272</v>
      </c>
      <c r="R184">
        <f t="shared" ref="R184" si="897">R185+Q184</f>
        <v>-20822275.691997219</v>
      </c>
      <c r="S184">
        <f t="shared" ref="S184" si="898">R184/100000</f>
        <v>-208.2227569199722</v>
      </c>
      <c r="T184">
        <f t="shared" ref="T184" si="899">S184/1000</f>
        <v>-0.20822275691997219</v>
      </c>
    </row>
    <row r="185" spans="1:20" x14ac:dyDescent="0.25">
      <c r="A185" s="5">
        <v>44408</v>
      </c>
      <c r="B185">
        <v>12.791</v>
      </c>
      <c r="C185">
        <v>13.099</v>
      </c>
      <c r="D185">
        <v>12.353999999999999</v>
      </c>
      <c r="E185">
        <v>12.6</v>
      </c>
      <c r="F185">
        <v>156955.489</v>
      </c>
      <c r="G185">
        <v>12.6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-0.33959731543624133</v>
      </c>
      <c r="Q185">
        <f t="shared" ref="Q185" si="901">F185*P185</f>
        <v>-53301.662707382508</v>
      </c>
      <c r="R185">
        <f t="shared" ref="R185" si="902">R186+Q185</f>
        <v>-20720105.546105616</v>
      </c>
      <c r="S185">
        <f t="shared" ref="S185" si="903">R185/100000</f>
        <v>-207.20105546105617</v>
      </c>
      <c r="T185">
        <f t="shared" ref="T185" si="904">S185/1000</f>
        <v>-0.20720105546105616</v>
      </c>
    </row>
    <row r="186" spans="1:20" x14ac:dyDescent="0.25">
      <c r="A186" s="5">
        <v>44407</v>
      </c>
      <c r="B186">
        <v>12.111000000000001</v>
      </c>
      <c r="C186">
        <v>13.7</v>
      </c>
      <c r="D186">
        <v>12</v>
      </c>
      <c r="E186">
        <v>12.791</v>
      </c>
      <c r="F186">
        <v>466570.38699999999</v>
      </c>
      <c r="G186">
        <v>12.791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-6.9411764705881535E-2</v>
      </c>
      <c r="Q186">
        <f t="shared" ref="Q186" si="906">F186*P186</f>
        <v>-32385.473921176086</v>
      </c>
      <c r="R186">
        <f t="shared" ref="R186" si="907">R187+Q186</f>
        <v>-20666803.883398235</v>
      </c>
      <c r="S186">
        <f t="shared" ref="S186" si="908">R186/100000</f>
        <v>-206.66803883398234</v>
      </c>
      <c r="T186">
        <f t="shared" ref="T186" si="909">S186/1000</f>
        <v>-0.20666803883398233</v>
      </c>
    </row>
    <row r="187" spans="1:20" x14ac:dyDescent="0.25">
      <c r="A187" s="5">
        <v>44406</v>
      </c>
      <c r="B187">
        <v>10.760999999999999</v>
      </c>
      <c r="C187">
        <v>12.826000000000001</v>
      </c>
      <c r="D187">
        <v>10.557</v>
      </c>
      <c r="E187">
        <v>12.138</v>
      </c>
      <c r="F187">
        <v>445948.4</v>
      </c>
      <c r="G187">
        <v>12.138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0.39356544733362664</v>
      </c>
      <c r="Q187">
        <f t="shared" ref="Q187" si="911">F187*P187</f>
        <v>175509.88153371509</v>
      </c>
      <c r="R187">
        <f t="shared" ref="R187" si="912">R188+Q187</f>
        <v>-20634418.409477059</v>
      </c>
      <c r="S187">
        <f t="shared" ref="S187" si="913">R187/100000</f>
        <v>-206.34418409477058</v>
      </c>
      <c r="T187">
        <f t="shared" ref="T187" si="914">S187/1000</f>
        <v>-0.20634418409477059</v>
      </c>
    </row>
    <row r="188" spans="1:20" x14ac:dyDescent="0.25">
      <c r="A188" s="5">
        <v>44405</v>
      </c>
      <c r="B188">
        <v>10.521000000000001</v>
      </c>
      <c r="C188">
        <v>10.93</v>
      </c>
      <c r="D188">
        <v>10.269</v>
      </c>
      <c r="E188">
        <v>10.787000000000001</v>
      </c>
      <c r="F188">
        <v>146169.85</v>
      </c>
      <c r="G188">
        <v>10.787000000000001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0.56732223903177303</v>
      </c>
      <c r="Q188">
        <f t="shared" ref="Q188" si="916">F188*P188</f>
        <v>82925.406580938419</v>
      </c>
      <c r="R188">
        <f t="shared" ref="R188" si="917">R189+Q188</f>
        <v>-20809928.291010775</v>
      </c>
      <c r="S188">
        <f t="shared" ref="S188" si="918">R188/100000</f>
        <v>-208.09928291010775</v>
      </c>
      <c r="T188">
        <f t="shared" ref="T188" si="919">S188/1000</f>
        <v>-0.20809928291010774</v>
      </c>
    </row>
    <row r="189" spans="1:20" x14ac:dyDescent="0.25">
      <c r="A189" s="5">
        <v>44404</v>
      </c>
      <c r="B189">
        <v>10.076000000000001</v>
      </c>
      <c r="C189">
        <v>11.198</v>
      </c>
      <c r="D189">
        <v>9.98</v>
      </c>
      <c r="E189">
        <v>10.5</v>
      </c>
      <c r="F189">
        <v>333299.85800000001</v>
      </c>
      <c r="G189">
        <v>10.5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-0.14614121510673303</v>
      </c>
      <c r="Q189">
        <f t="shared" ref="Q189" si="921">F189*P189</f>
        <v>-48708.846243021573</v>
      </c>
      <c r="R189">
        <f t="shared" ref="R189" si="922">R190+Q189</f>
        <v>-20892853.697591715</v>
      </c>
      <c r="S189">
        <f t="shared" ref="S189" si="923">R189/100000</f>
        <v>-208.92853697591715</v>
      </c>
      <c r="T189">
        <f t="shared" ref="T189" si="924">S189/1000</f>
        <v>-0.20892853697591715</v>
      </c>
    </row>
    <row r="190" spans="1:20" x14ac:dyDescent="0.25">
      <c r="A190" s="5">
        <v>44403</v>
      </c>
      <c r="B190">
        <v>10.504</v>
      </c>
      <c r="C190">
        <v>10.699</v>
      </c>
      <c r="D190">
        <v>9.843</v>
      </c>
      <c r="E190">
        <v>10.073</v>
      </c>
      <c r="F190">
        <v>183095.76800000001</v>
      </c>
      <c r="G190">
        <v>10.073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-0.46261682242990548</v>
      </c>
      <c r="Q190">
        <f t="shared" ref="Q190" si="926">F190*P190</f>
        <v>-84703.182392523173</v>
      </c>
      <c r="R190">
        <f t="shared" ref="R190" si="927">R191+Q190</f>
        <v>-20844144.851348694</v>
      </c>
      <c r="S190">
        <f t="shared" ref="S190" si="928">R190/100000</f>
        <v>-208.44144851348693</v>
      </c>
      <c r="T190">
        <f t="shared" ref="T190" si="929">S190/1000</f>
        <v>-0.20844144851348692</v>
      </c>
    </row>
    <row r="191" spans="1:20" x14ac:dyDescent="0.25">
      <c r="A191" s="5">
        <v>44402</v>
      </c>
      <c r="B191">
        <v>10.176</v>
      </c>
      <c r="C191">
        <v>10.818</v>
      </c>
      <c r="D191">
        <v>9.8819999999999997</v>
      </c>
      <c r="E191">
        <v>10.500999999999999</v>
      </c>
      <c r="F191">
        <v>234759.40100000001</v>
      </c>
      <c r="G191">
        <v>10.500999999999999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0.32264957264957222</v>
      </c>
      <c r="Q191">
        <f t="shared" ref="Q191" si="931">F191*P191</f>
        <v>75745.02040811957</v>
      </c>
      <c r="R191">
        <f t="shared" ref="R191" si="932">R192+Q191</f>
        <v>-20759441.668956172</v>
      </c>
      <c r="S191">
        <f t="shared" ref="S191" si="933">R191/100000</f>
        <v>-207.59441668956171</v>
      </c>
      <c r="T191">
        <f t="shared" ref="T191:T197" si="934">S191/1000</f>
        <v>-0.20759441668956172</v>
      </c>
    </row>
    <row r="192" spans="1:20" x14ac:dyDescent="0.25">
      <c r="A192" s="5">
        <v>44401</v>
      </c>
      <c r="B192">
        <v>10.766</v>
      </c>
      <c r="C192">
        <v>11</v>
      </c>
      <c r="D192">
        <v>10.000999999999999</v>
      </c>
      <c r="E192">
        <v>10.199999999999999</v>
      </c>
      <c r="F192">
        <v>158997.39199999999</v>
      </c>
      <c r="G192">
        <v>10.199999999999999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-0.60160160160160214</v>
      </c>
      <c r="Q192">
        <f t="shared" ref="Q192" si="936">F192*P192</f>
        <v>-95653.085677677765</v>
      </c>
      <c r="R192">
        <f t="shared" ref="R192" si="937">R193+Q192</f>
        <v>-20835186.689364292</v>
      </c>
      <c r="S192">
        <f t="shared" ref="S192" si="938">R192/100000</f>
        <v>-208.35186689364292</v>
      </c>
      <c r="T192">
        <f t="shared" si="934"/>
        <v>-0.20835186689364293</v>
      </c>
    </row>
    <row r="193" spans="1:20" x14ac:dyDescent="0.25">
      <c r="A193" s="5">
        <v>44400</v>
      </c>
      <c r="B193">
        <v>10.67</v>
      </c>
      <c r="C193">
        <v>11.25</v>
      </c>
      <c r="D193">
        <v>10.132</v>
      </c>
      <c r="E193">
        <v>10.766999999999999</v>
      </c>
      <c r="F193">
        <v>296575.06900000002</v>
      </c>
      <c r="G193">
        <v>10.766999999999999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0.13595706618962361</v>
      </c>
      <c r="Q193">
        <f t="shared" ref="Q193" si="940">F193*P193</f>
        <v>40321.476286225188</v>
      </c>
      <c r="R193">
        <f t="shared" ref="R193" si="941">R194+Q193</f>
        <v>-20739533.603686612</v>
      </c>
      <c r="S193">
        <f t="shared" ref="S193" si="942">R193/100000</f>
        <v>-207.39533603686613</v>
      </c>
      <c r="T193">
        <f t="shared" si="934"/>
        <v>-0.20739533603686613</v>
      </c>
    </row>
    <row r="194" spans="1:20" x14ac:dyDescent="0.25">
      <c r="A194" s="5">
        <v>44399</v>
      </c>
      <c r="B194">
        <v>9.2010000000000005</v>
      </c>
      <c r="C194">
        <v>11.19</v>
      </c>
      <c r="D194">
        <v>9.0839999999999996</v>
      </c>
      <c r="E194">
        <v>10.67</v>
      </c>
      <c r="F194">
        <v>608390.70600000001</v>
      </c>
      <c r="G194">
        <v>10.67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0.5061728395061732</v>
      </c>
      <c r="Q194">
        <f t="shared" ref="Q194" si="944">F194*P194</f>
        <v>307950.85118518543</v>
      </c>
      <c r="R194">
        <f t="shared" ref="R194" si="945">R195+Q194</f>
        <v>-20779855.079972837</v>
      </c>
      <c r="S194">
        <f t="shared" ref="S194" si="946">R194/100000</f>
        <v>-207.79855079972836</v>
      </c>
      <c r="T194">
        <f t="shared" si="934"/>
        <v>-0.20779855079972837</v>
      </c>
    </row>
    <row r="195" spans="1:20" x14ac:dyDescent="0.25">
      <c r="A195" s="5">
        <v>44398</v>
      </c>
      <c r="B195">
        <v>8.3940000000000001</v>
      </c>
      <c r="C195">
        <v>9.6</v>
      </c>
      <c r="D195">
        <v>8.26</v>
      </c>
      <c r="E195">
        <v>9.1959999999999997</v>
      </c>
      <c r="F195">
        <v>431537.60499999998</v>
      </c>
      <c r="G195">
        <v>9.1959999999999997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0.39701492537313438</v>
      </c>
      <c r="Q195">
        <f t="shared" ref="Q195" si="948">F195*P195</f>
        <v>171326.87004477612</v>
      </c>
      <c r="R195">
        <f t="shared" ref="R195" si="949">R196+Q195</f>
        <v>-21087805.931158021</v>
      </c>
      <c r="S195">
        <f t="shared" ref="S195" si="950">R195/100000</f>
        <v>-210.87805931158022</v>
      </c>
      <c r="T195">
        <f t="shared" si="934"/>
        <v>-0.21087805931158021</v>
      </c>
    </row>
    <row r="196" spans="1:20" x14ac:dyDescent="0.25">
      <c r="A196" s="5">
        <v>44397</v>
      </c>
      <c r="B196">
        <v>8.7189999999999994</v>
      </c>
      <c r="C196">
        <v>9.5</v>
      </c>
      <c r="D196">
        <v>7.8330000000000002</v>
      </c>
      <c r="E196">
        <v>8.3770000000000007</v>
      </c>
      <c r="F196">
        <v>619327.05700000003</v>
      </c>
      <c r="G196">
        <v>8.3770000000000007</v>
      </c>
      <c r="L196" t="s">
        <v>8</v>
      </c>
      <c r="M196" t="s">
        <v>8</v>
      </c>
      <c r="N196" t="s">
        <v>8</v>
      </c>
      <c r="P196">
        <f t="shared" ref="P196" si="951">IF(C196=D196,0,((E196-D196)-(C196-E196))/(C196-D196))</f>
        <v>-0.34733053389322072</v>
      </c>
      <c r="Q196">
        <f t="shared" ref="Q196" si="952">F196*P196</f>
        <v>-215111.19736232716</v>
      </c>
      <c r="R196">
        <f t="shared" ref="R196" si="953">R197+Q196</f>
        <v>-21259132.801202796</v>
      </c>
      <c r="S196">
        <f t="shared" ref="S196" si="954">R196/100000</f>
        <v>-212.59132801202796</v>
      </c>
      <c r="T196">
        <f t="shared" si="934"/>
        <v>-0.21259132801202796</v>
      </c>
    </row>
    <row r="197" spans="1:20" x14ac:dyDescent="0.25">
      <c r="A197" s="5">
        <v>44396</v>
      </c>
      <c r="B197">
        <v>8.0310000000000006</v>
      </c>
      <c r="C197">
        <v>8.798</v>
      </c>
      <c r="D197">
        <v>7.9409999999999998</v>
      </c>
      <c r="E197">
        <v>8.6929999999999996</v>
      </c>
      <c r="F197">
        <v>396098.20799999998</v>
      </c>
      <c r="G197">
        <v>0</v>
      </c>
      <c r="L197" t="s">
        <v>8</v>
      </c>
      <c r="M197" t="s">
        <v>8</v>
      </c>
      <c r="N197" t="s">
        <v>7</v>
      </c>
      <c r="P197">
        <f t="shared" ref="P197" si="955">IF(C197=D197,0,((E197-D197)-(C197-E197))/(C197-D197))</f>
        <v>0.75495915985997575</v>
      </c>
      <c r="Q197">
        <f t="shared" ref="Q197" si="956">F197*P197</f>
        <v>299037.9703337219</v>
      </c>
      <c r="R197">
        <f t="shared" ref="R197" si="957">R198+Q197</f>
        <v>-21044021.60384047</v>
      </c>
      <c r="S197">
        <f t="shared" ref="S197" si="958">R197/100000</f>
        <v>-210.44021603840471</v>
      </c>
      <c r="T197">
        <f t="shared" si="934"/>
        <v>-0.21044021603840471</v>
      </c>
    </row>
    <row r="198" spans="1:20" x14ac:dyDescent="0.25">
      <c r="A198" s="5">
        <v>44395</v>
      </c>
      <c r="B198">
        <v>7.8620000000000001</v>
      </c>
      <c r="C198">
        <v>8.6370000000000005</v>
      </c>
      <c r="D198">
        <v>7.8310000000000004</v>
      </c>
      <c r="E198">
        <v>8.0530000000000008</v>
      </c>
      <c r="F198">
        <v>106709.91899999999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-0.4491315136476417</v>
      </c>
      <c r="Q198">
        <f t="shared" ref="Q198:Q261" si="960">F198*P198</f>
        <v>-47926.787441687236</v>
      </c>
      <c r="R198">
        <f t="shared" ref="R198:R261" si="961">R199+Q198</f>
        <v>-21343059.574174192</v>
      </c>
      <c r="S198">
        <f t="shared" ref="S198:S261" si="962">R198/100000</f>
        <v>-213.43059574174191</v>
      </c>
      <c r="T198">
        <f t="shared" ref="T198:T261" si="963">S198/1000</f>
        <v>-0.21343059574174192</v>
      </c>
    </row>
    <row r="199" spans="1:20" x14ac:dyDescent="0.25">
      <c r="A199" s="5">
        <v>44394</v>
      </c>
      <c r="B199">
        <v>7.9</v>
      </c>
      <c r="C199">
        <v>8.0749999999999993</v>
      </c>
      <c r="D199">
        <v>7.6349999999999998</v>
      </c>
      <c r="E199">
        <v>7.8659999999999997</v>
      </c>
      <c r="F199">
        <v>84567.995999999999</v>
      </c>
      <c r="G199">
        <v>0</v>
      </c>
      <c r="L199" t="s">
        <v>7</v>
      </c>
      <c r="M199" t="s">
        <v>8</v>
      </c>
      <c r="N199" t="s">
        <v>7</v>
      </c>
      <c r="P199">
        <f t="shared" si="959"/>
        <v>5.0000000000000606E-2</v>
      </c>
      <c r="Q199">
        <f t="shared" si="960"/>
        <v>4228.3998000000511</v>
      </c>
      <c r="R199">
        <f t="shared" si="961"/>
        <v>-21295132.786732506</v>
      </c>
      <c r="S199">
        <f t="shared" si="962"/>
        <v>-212.95132786732506</v>
      </c>
      <c r="T199">
        <f t="shared" si="963"/>
        <v>-0.21295132786732507</v>
      </c>
    </row>
    <row r="200" spans="1:20" x14ac:dyDescent="0.25">
      <c r="A200" s="5">
        <v>44393</v>
      </c>
      <c r="B200">
        <v>8.2579999999999991</v>
      </c>
      <c r="C200">
        <v>8.3699999999999992</v>
      </c>
      <c r="D200">
        <v>7.7249999999999996</v>
      </c>
      <c r="E200">
        <v>7.9</v>
      </c>
      <c r="F200">
        <v>213305.83600000001</v>
      </c>
      <c r="G200">
        <v>0</v>
      </c>
      <c r="L200" t="s">
        <v>7</v>
      </c>
      <c r="M200" t="s">
        <v>8</v>
      </c>
      <c r="N200" t="s">
        <v>7</v>
      </c>
      <c r="P200">
        <f t="shared" si="959"/>
        <v>-0.45736434108526874</v>
      </c>
      <c r="Q200">
        <f t="shared" si="960"/>
        <v>-97558.483131782399</v>
      </c>
      <c r="R200">
        <f t="shared" si="961"/>
        <v>-21299361.186532505</v>
      </c>
      <c r="S200">
        <f t="shared" si="962"/>
        <v>-212.99361186532505</v>
      </c>
      <c r="T200">
        <f t="shared" si="963"/>
        <v>-0.21299361186532506</v>
      </c>
    </row>
    <row r="201" spans="1:20" x14ac:dyDescent="0.25">
      <c r="A201" s="5">
        <v>44392</v>
      </c>
      <c r="B201">
        <v>8.609</v>
      </c>
      <c r="C201">
        <v>8.6869999999999994</v>
      </c>
      <c r="D201">
        <v>8.1059999999999999</v>
      </c>
      <c r="E201">
        <v>8.23</v>
      </c>
      <c r="F201">
        <v>138495.69899999999</v>
      </c>
      <c r="G201">
        <v>0</v>
      </c>
      <c r="L201" t="s">
        <v>7</v>
      </c>
      <c r="M201" t="s">
        <v>8</v>
      </c>
      <c r="N201" t="s">
        <v>7</v>
      </c>
      <c r="P201">
        <f t="shared" si="959"/>
        <v>-0.57314974182443834</v>
      </c>
      <c r="Q201">
        <f t="shared" si="960"/>
        <v>-79378.774125645126</v>
      </c>
      <c r="R201">
        <f t="shared" si="961"/>
        <v>-21201802.703400724</v>
      </c>
      <c r="S201">
        <f t="shared" si="962"/>
        <v>-212.01802703400725</v>
      </c>
      <c r="T201">
        <f t="shared" si="963"/>
        <v>-0.21201802703400724</v>
      </c>
    </row>
    <row r="202" spans="1:20" x14ac:dyDescent="0.25">
      <c r="A202" s="5">
        <v>44391</v>
      </c>
      <c r="B202">
        <v>8.5050000000000008</v>
      </c>
      <c r="C202">
        <v>8.7680000000000007</v>
      </c>
      <c r="D202">
        <v>8.26</v>
      </c>
      <c r="E202">
        <v>8.6059999999999999</v>
      </c>
      <c r="F202">
        <v>207725.66099999999</v>
      </c>
      <c r="G202">
        <v>0</v>
      </c>
      <c r="L202" t="s">
        <v>7</v>
      </c>
      <c r="M202" t="s">
        <v>8</v>
      </c>
      <c r="N202" t="s">
        <v>7</v>
      </c>
      <c r="P202">
        <f t="shared" si="959"/>
        <v>0.36220472440944673</v>
      </c>
      <c r="Q202">
        <f t="shared" si="960"/>
        <v>75239.215795275159</v>
      </c>
      <c r="R202">
        <f t="shared" si="961"/>
        <v>-21122423.929275077</v>
      </c>
      <c r="S202">
        <f t="shared" si="962"/>
        <v>-211.22423929275078</v>
      </c>
      <c r="T202">
        <f t="shared" si="963"/>
        <v>-0.21122423929275078</v>
      </c>
    </row>
    <row r="203" spans="1:20" x14ac:dyDescent="0.25">
      <c r="A203" s="5">
        <v>44390</v>
      </c>
      <c r="B203">
        <v>8.5760000000000005</v>
      </c>
      <c r="C203">
        <v>8.9220000000000006</v>
      </c>
      <c r="D203">
        <v>8.16</v>
      </c>
      <c r="E203">
        <v>8.5050000000000008</v>
      </c>
      <c r="F203">
        <v>249630.27600000001</v>
      </c>
      <c r="G203">
        <v>0</v>
      </c>
      <c r="L203" t="s">
        <v>8</v>
      </c>
      <c r="M203" t="s">
        <v>8</v>
      </c>
      <c r="N203" t="s">
        <v>7</v>
      </c>
      <c r="P203">
        <f t="shared" si="959"/>
        <v>-9.4488188976376813E-2</v>
      </c>
      <c r="Q203">
        <f t="shared" si="960"/>
        <v>-23587.112692913102</v>
      </c>
      <c r="R203">
        <f t="shared" si="961"/>
        <v>-21197663.145070352</v>
      </c>
      <c r="S203">
        <f t="shared" si="962"/>
        <v>-211.97663145070351</v>
      </c>
      <c r="T203">
        <f t="shared" si="963"/>
        <v>-0.2119766314507035</v>
      </c>
    </row>
    <row r="204" spans="1:20" x14ac:dyDescent="0.25">
      <c r="A204" s="5">
        <v>44389</v>
      </c>
      <c r="B204">
        <v>8.0120000000000005</v>
      </c>
      <c r="C204">
        <v>8.7690000000000001</v>
      </c>
      <c r="D204">
        <v>7.84</v>
      </c>
      <c r="E204">
        <v>8.5410000000000004</v>
      </c>
      <c r="F204">
        <v>350069.16399999999</v>
      </c>
      <c r="G204">
        <v>0</v>
      </c>
      <c r="L204" t="s">
        <v>7</v>
      </c>
      <c r="M204" t="s">
        <v>8</v>
      </c>
      <c r="N204" t="s">
        <v>7</v>
      </c>
      <c r="P204">
        <f t="shared" si="959"/>
        <v>0.50914962325080804</v>
      </c>
      <c r="Q204">
        <f t="shared" si="960"/>
        <v>178237.58296232534</v>
      </c>
      <c r="R204">
        <f t="shared" si="961"/>
        <v>-21174076.032377437</v>
      </c>
      <c r="S204">
        <f t="shared" si="962"/>
        <v>-211.74076032377437</v>
      </c>
      <c r="T204">
        <f t="shared" si="963"/>
        <v>-0.21174076032377437</v>
      </c>
    </row>
    <row r="205" spans="1:20" x14ac:dyDescent="0.25">
      <c r="A205" s="5">
        <v>44388</v>
      </c>
      <c r="B205">
        <v>7.8570000000000002</v>
      </c>
      <c r="C205">
        <v>8.8000000000000007</v>
      </c>
      <c r="D205">
        <v>7.8120000000000003</v>
      </c>
      <c r="E205">
        <v>8.0009999999999994</v>
      </c>
      <c r="F205">
        <v>527874.50399999996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-0.61740890688259298</v>
      </c>
      <c r="Q205">
        <f t="shared" si="960"/>
        <v>-325914.42048583092</v>
      </c>
      <c r="R205">
        <f t="shared" si="961"/>
        <v>-21352313.615339763</v>
      </c>
      <c r="S205">
        <f t="shared" si="962"/>
        <v>-213.52313615339764</v>
      </c>
      <c r="T205">
        <f t="shared" si="963"/>
        <v>-0.21352313615339763</v>
      </c>
    </row>
    <row r="206" spans="1:20" x14ac:dyDescent="0.25">
      <c r="A206" s="5">
        <v>44387</v>
      </c>
      <c r="B206">
        <v>7.5640000000000001</v>
      </c>
      <c r="C206">
        <v>8.35</v>
      </c>
      <c r="D206">
        <v>7.4850000000000003</v>
      </c>
      <c r="E206">
        <v>7.8559999999999999</v>
      </c>
      <c r="F206">
        <v>167159.74100000001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-0.14219653179190789</v>
      </c>
      <c r="Q206">
        <f t="shared" si="960"/>
        <v>-23769.535425433591</v>
      </c>
      <c r="R206">
        <f t="shared" si="961"/>
        <v>-21026399.194853932</v>
      </c>
      <c r="S206">
        <f t="shared" si="962"/>
        <v>-210.26399194853931</v>
      </c>
      <c r="T206">
        <f t="shared" si="963"/>
        <v>-0.21026399194853931</v>
      </c>
    </row>
    <row r="207" spans="1:20" x14ac:dyDescent="0.25">
      <c r="A207" s="5">
        <v>44386</v>
      </c>
      <c r="B207">
        <v>7.4790000000000001</v>
      </c>
      <c r="C207">
        <v>7.64</v>
      </c>
      <c r="D207">
        <v>7.2839999999999998</v>
      </c>
      <c r="E207">
        <v>7.5750000000000002</v>
      </c>
      <c r="F207">
        <v>76665.217999999993</v>
      </c>
      <c r="G207">
        <v>0</v>
      </c>
      <c r="L207" t="s">
        <v>7</v>
      </c>
      <c r="M207" t="s">
        <v>8</v>
      </c>
      <c r="N207" t="s">
        <v>7</v>
      </c>
      <c r="P207">
        <f t="shared" si="959"/>
        <v>0.63483146067415996</v>
      </c>
      <c r="Q207">
        <f t="shared" si="960"/>
        <v>48669.492325842897</v>
      </c>
      <c r="R207">
        <f t="shared" si="961"/>
        <v>-21002629.6594285</v>
      </c>
      <c r="S207">
        <f t="shared" si="962"/>
        <v>-210.02629659428499</v>
      </c>
      <c r="T207">
        <f t="shared" si="963"/>
        <v>-0.21002629659428498</v>
      </c>
    </row>
    <row r="208" spans="1:20" x14ac:dyDescent="0.25">
      <c r="A208" s="5">
        <v>44385</v>
      </c>
      <c r="B208">
        <v>7.7350000000000003</v>
      </c>
      <c r="C208">
        <v>8.02</v>
      </c>
      <c r="D208">
        <v>7.2080000000000002</v>
      </c>
      <c r="E208">
        <v>7.48</v>
      </c>
      <c r="F208">
        <v>546837.56299999997</v>
      </c>
      <c r="G208">
        <v>0</v>
      </c>
      <c r="L208" t="s">
        <v>7</v>
      </c>
      <c r="M208" t="s">
        <v>8</v>
      </c>
      <c r="N208" t="s">
        <v>7</v>
      </c>
      <c r="P208">
        <f t="shared" si="959"/>
        <v>-0.33004926108374272</v>
      </c>
      <c r="Q208">
        <f t="shared" si="960"/>
        <v>-180483.3336009846</v>
      </c>
      <c r="R208">
        <f t="shared" si="961"/>
        <v>-21051299.151754342</v>
      </c>
      <c r="S208">
        <f t="shared" si="962"/>
        <v>-210.51299151754341</v>
      </c>
      <c r="T208">
        <f t="shared" si="963"/>
        <v>-0.21051299151754341</v>
      </c>
    </row>
    <row r="209" spans="1:20" x14ac:dyDescent="0.25">
      <c r="A209" s="5">
        <v>44384</v>
      </c>
      <c r="B209">
        <v>7.3360000000000003</v>
      </c>
      <c r="C209">
        <v>8.3800000000000008</v>
      </c>
      <c r="D209">
        <v>7.2560000000000002</v>
      </c>
      <c r="E209">
        <v>7.7329999999999997</v>
      </c>
      <c r="F209">
        <v>195403.565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-0.15124555160142494</v>
      </c>
      <c r="Q209">
        <f t="shared" si="960"/>
        <v>-29553.919973309894</v>
      </c>
      <c r="R209">
        <f t="shared" si="961"/>
        <v>-20870815.818153359</v>
      </c>
      <c r="S209">
        <f t="shared" si="962"/>
        <v>-208.70815818153358</v>
      </c>
      <c r="T209">
        <f t="shared" si="963"/>
        <v>-0.20870815818153357</v>
      </c>
    </row>
    <row r="210" spans="1:20" x14ac:dyDescent="0.25">
      <c r="A210" s="5">
        <v>44383</v>
      </c>
      <c r="B210">
        <v>7.335</v>
      </c>
      <c r="C210">
        <v>7.54</v>
      </c>
      <c r="D210">
        <v>7.2549999999999999</v>
      </c>
      <c r="E210">
        <v>7.3150000000000004</v>
      </c>
      <c r="F210">
        <v>105087.61599999999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-0.57894736842104932</v>
      </c>
      <c r="Q210">
        <f t="shared" si="960"/>
        <v>-60840.198736841754</v>
      </c>
      <c r="R210">
        <f t="shared" si="961"/>
        <v>-20841261.898180049</v>
      </c>
      <c r="S210">
        <f t="shared" si="962"/>
        <v>-208.41261898180048</v>
      </c>
      <c r="T210">
        <f t="shared" si="963"/>
        <v>-0.20841261898180047</v>
      </c>
    </row>
    <row r="211" spans="1:20" x14ac:dyDescent="0.25">
      <c r="A211" s="5">
        <v>44382</v>
      </c>
      <c r="B211">
        <v>7.3289999999999997</v>
      </c>
      <c r="C211">
        <v>7.4989999999999997</v>
      </c>
      <c r="D211">
        <v>7.2089999999999996</v>
      </c>
      <c r="E211">
        <v>7.335</v>
      </c>
      <c r="F211">
        <v>108018.952</v>
      </c>
      <c r="G211">
        <v>0</v>
      </c>
      <c r="L211" t="s">
        <v>8</v>
      </c>
      <c r="M211" t="s">
        <v>7</v>
      </c>
      <c r="N211" t="s">
        <v>7</v>
      </c>
      <c r="P211">
        <f t="shared" si="959"/>
        <v>-0.13103448275861848</v>
      </c>
      <c r="Q211">
        <f t="shared" si="960"/>
        <v>-14154.207503448039</v>
      </c>
      <c r="R211">
        <f t="shared" si="961"/>
        <v>-20780421.699443206</v>
      </c>
      <c r="S211">
        <f t="shared" si="962"/>
        <v>-207.80421699443207</v>
      </c>
      <c r="T211">
        <f t="shared" si="963"/>
        <v>-0.20780421699443208</v>
      </c>
    </row>
    <row r="212" spans="1:20" x14ac:dyDescent="0.25">
      <c r="A212" s="5">
        <v>44381</v>
      </c>
      <c r="B212">
        <v>7.2380000000000004</v>
      </c>
      <c r="C212">
        <v>7.5709999999999997</v>
      </c>
      <c r="D212">
        <v>7.19</v>
      </c>
      <c r="E212">
        <v>7.3440000000000003</v>
      </c>
      <c r="F212">
        <v>153280.182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-0.19160104986876544</v>
      </c>
      <c r="Q212">
        <f t="shared" si="960"/>
        <v>-29368.643795275442</v>
      </c>
      <c r="R212">
        <f t="shared" si="961"/>
        <v>-20766267.491939757</v>
      </c>
      <c r="S212">
        <f t="shared" si="962"/>
        <v>-207.66267491939757</v>
      </c>
      <c r="T212">
        <f t="shared" si="963"/>
        <v>-0.20766267491939758</v>
      </c>
    </row>
    <row r="213" spans="1:20" x14ac:dyDescent="0.25">
      <c r="A213" s="5">
        <v>44380</v>
      </c>
      <c r="B213">
        <v>7.266</v>
      </c>
      <c r="C213">
        <v>7.6</v>
      </c>
      <c r="D213">
        <v>7.12</v>
      </c>
      <c r="E213">
        <v>7.2380000000000004</v>
      </c>
      <c r="F213">
        <v>227337.682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-0.50833333333333153</v>
      </c>
      <c r="Q213">
        <f t="shared" si="960"/>
        <v>-115563.32168333292</v>
      </c>
      <c r="R213">
        <f t="shared" si="961"/>
        <v>-20736898.848144483</v>
      </c>
      <c r="S213">
        <f t="shared" si="962"/>
        <v>-207.36898848144483</v>
      </c>
      <c r="T213">
        <f t="shared" si="963"/>
        <v>-0.20736898848144483</v>
      </c>
    </row>
    <row r="214" spans="1:20" x14ac:dyDescent="0.25">
      <c r="A214" s="5">
        <v>44379</v>
      </c>
      <c r="B214">
        <v>7.5250000000000004</v>
      </c>
      <c r="C214">
        <v>8.1869999999999994</v>
      </c>
      <c r="D214">
        <v>7.0010000000000003</v>
      </c>
      <c r="E214">
        <v>7.2670000000000003</v>
      </c>
      <c r="F214">
        <v>566263.28799999994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-0.55143338954468768</v>
      </c>
      <c r="Q214">
        <f t="shared" si="960"/>
        <v>-312256.48427655961</v>
      </c>
      <c r="R214">
        <f t="shared" si="961"/>
        <v>-20621335.52646115</v>
      </c>
      <c r="S214">
        <f t="shared" si="962"/>
        <v>-206.21335526461149</v>
      </c>
      <c r="T214">
        <f t="shared" si="963"/>
        <v>-0.20621335526461149</v>
      </c>
    </row>
    <row r="215" spans="1:20" x14ac:dyDescent="0.25">
      <c r="A215" s="5">
        <v>44378</v>
      </c>
      <c r="B215">
        <v>7.2560000000000002</v>
      </c>
      <c r="C215">
        <v>8.4459999999999997</v>
      </c>
      <c r="D215">
        <v>6.9</v>
      </c>
      <c r="E215">
        <v>7.5359999999999996</v>
      </c>
      <c r="F215">
        <v>728298.23800000001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-0.17723156532988424</v>
      </c>
      <c r="Q215">
        <f t="shared" si="960"/>
        <v>-129077.43674773659</v>
      </c>
      <c r="R215">
        <f t="shared" si="961"/>
        <v>-20309079.042184591</v>
      </c>
      <c r="S215">
        <f t="shared" si="962"/>
        <v>-203.09079042184592</v>
      </c>
      <c r="T215">
        <f t="shared" si="963"/>
        <v>-0.20309079042184591</v>
      </c>
    </row>
    <row r="216" spans="1:20" x14ac:dyDescent="0.25">
      <c r="A216" s="5">
        <v>44377</v>
      </c>
      <c r="B216">
        <v>7.3280000000000003</v>
      </c>
      <c r="C216">
        <v>7.4089999999999998</v>
      </c>
      <c r="D216">
        <v>6.9569999999999999</v>
      </c>
      <c r="E216">
        <v>7.26</v>
      </c>
      <c r="F216">
        <v>156185.28700000001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0.34070796460176977</v>
      </c>
      <c r="Q216">
        <f t="shared" si="960"/>
        <v>53213.571234513256</v>
      </c>
      <c r="R216">
        <f t="shared" si="961"/>
        <v>-20180001.605436854</v>
      </c>
      <c r="S216">
        <f t="shared" si="962"/>
        <v>-201.80001605436854</v>
      </c>
      <c r="T216">
        <f t="shared" si="963"/>
        <v>-0.20180001605436854</v>
      </c>
    </row>
    <row r="217" spans="1:20" x14ac:dyDescent="0.25">
      <c r="A217" s="5">
        <v>44376</v>
      </c>
      <c r="B217">
        <v>7.1950000000000003</v>
      </c>
      <c r="C217">
        <v>7.4749999999999996</v>
      </c>
      <c r="D217">
        <v>7.15</v>
      </c>
      <c r="E217">
        <v>7.2839999999999998</v>
      </c>
      <c r="F217">
        <v>122084.166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-0.17538461538461694</v>
      </c>
      <c r="Q217">
        <f t="shared" si="960"/>
        <v>-21411.684498461727</v>
      </c>
      <c r="R217">
        <f t="shared" si="961"/>
        <v>-20233215.176671367</v>
      </c>
      <c r="S217">
        <f t="shared" si="962"/>
        <v>-202.33215176671368</v>
      </c>
      <c r="T217">
        <f t="shared" si="963"/>
        <v>-0.20233215176671368</v>
      </c>
    </row>
    <row r="218" spans="1:20" x14ac:dyDescent="0.25">
      <c r="A218" s="5">
        <v>44375</v>
      </c>
      <c r="B218">
        <v>7.141</v>
      </c>
      <c r="C218">
        <v>7.4119999999999999</v>
      </c>
      <c r="D218">
        <v>6.9960000000000004</v>
      </c>
      <c r="E218">
        <v>7.1870000000000003</v>
      </c>
      <c r="F218">
        <v>117629.898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-8.1730769230768871E-2</v>
      </c>
      <c r="Q218">
        <f t="shared" si="960"/>
        <v>-9613.9820480768813</v>
      </c>
      <c r="R218">
        <f t="shared" si="961"/>
        <v>-20211803.492172904</v>
      </c>
      <c r="S218">
        <f t="shared" si="962"/>
        <v>-202.11803492172905</v>
      </c>
      <c r="T218">
        <f t="shared" si="963"/>
        <v>-0.20211803492172906</v>
      </c>
    </row>
    <row r="219" spans="1:20" x14ac:dyDescent="0.25">
      <c r="A219" s="5">
        <v>44374</v>
      </c>
      <c r="B219">
        <v>7.0049999999999999</v>
      </c>
      <c r="C219">
        <v>7.1710000000000003</v>
      </c>
      <c r="D219">
        <v>6.8220000000000001</v>
      </c>
      <c r="E219">
        <v>7.1529999999999996</v>
      </c>
      <c r="F219">
        <v>98691.034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0.89684813753581272</v>
      </c>
      <c r="Q219">
        <f t="shared" si="960"/>
        <v>88510.870034383566</v>
      </c>
      <c r="R219">
        <f t="shared" si="961"/>
        <v>-20202189.510124829</v>
      </c>
      <c r="S219">
        <f t="shared" si="962"/>
        <v>-202.02189510124828</v>
      </c>
      <c r="T219">
        <f t="shared" si="963"/>
        <v>-0.20202189510124827</v>
      </c>
    </row>
    <row r="220" spans="1:20" x14ac:dyDescent="0.25">
      <c r="A220" s="5">
        <v>44373</v>
      </c>
      <c r="B220">
        <v>7.0259999999999998</v>
      </c>
      <c r="C220">
        <v>7.74</v>
      </c>
      <c r="D220">
        <v>6.5309999999999997</v>
      </c>
      <c r="E220">
        <v>7.0049999999999999</v>
      </c>
      <c r="F220">
        <v>324180.11700000003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-0.21588089330024815</v>
      </c>
      <c r="Q220">
        <f t="shared" si="960"/>
        <v>-69984.293248138973</v>
      </c>
      <c r="R220">
        <f t="shared" si="961"/>
        <v>-20290700.38015921</v>
      </c>
      <c r="S220">
        <f t="shared" si="962"/>
        <v>-202.90700380159211</v>
      </c>
      <c r="T220">
        <f t="shared" si="963"/>
        <v>-0.2029070038015921</v>
      </c>
    </row>
    <row r="221" spans="1:20" x14ac:dyDescent="0.25">
      <c r="A221" s="5">
        <v>44372</v>
      </c>
      <c r="B221">
        <v>7.3650000000000002</v>
      </c>
      <c r="C221">
        <v>7.5439999999999996</v>
      </c>
      <c r="D221">
        <v>6.8630000000000004</v>
      </c>
      <c r="E221">
        <v>7.0229999999999997</v>
      </c>
      <c r="F221">
        <v>135527.22500000001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-0.53010279001468585</v>
      </c>
      <c r="Q221">
        <f t="shared" si="960"/>
        <v>-71843.360095448079</v>
      </c>
      <c r="R221">
        <f t="shared" si="961"/>
        <v>-20220716.086911071</v>
      </c>
      <c r="S221">
        <f t="shared" si="962"/>
        <v>-202.20716086911071</v>
      </c>
      <c r="T221">
        <f t="shared" si="963"/>
        <v>-0.2022071608691107</v>
      </c>
    </row>
    <row r="222" spans="1:20" x14ac:dyDescent="0.25">
      <c r="A222" s="5">
        <v>44371</v>
      </c>
      <c r="B222">
        <v>7.3659999999999997</v>
      </c>
      <c r="C222">
        <v>7.548</v>
      </c>
      <c r="D222">
        <v>7.0529999999999999</v>
      </c>
      <c r="E222">
        <v>7.3339999999999996</v>
      </c>
      <c r="F222">
        <v>110550.829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0.13535353535353387</v>
      </c>
      <c r="Q222">
        <f t="shared" si="960"/>
        <v>14963.445541413977</v>
      </c>
      <c r="R222">
        <f t="shared" si="961"/>
        <v>-20148872.726815622</v>
      </c>
      <c r="S222">
        <f t="shared" si="962"/>
        <v>-201.48872726815623</v>
      </c>
      <c r="T222">
        <f t="shared" si="963"/>
        <v>-0.20148872726815623</v>
      </c>
    </row>
    <row r="223" spans="1:20" x14ac:dyDescent="0.25">
      <c r="A223" s="5">
        <v>44370</v>
      </c>
      <c r="B223">
        <v>7.0359999999999996</v>
      </c>
      <c r="C223">
        <v>7.7</v>
      </c>
      <c r="D223">
        <v>6.8639999999999999</v>
      </c>
      <c r="E223">
        <v>7.35</v>
      </c>
      <c r="F223">
        <v>147387.44899999999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0.16267942583731959</v>
      </c>
      <c r="Q223">
        <f t="shared" si="960"/>
        <v>23976.905578947222</v>
      </c>
      <c r="R223">
        <f t="shared" si="961"/>
        <v>-20163836.172357038</v>
      </c>
      <c r="S223">
        <f t="shared" si="962"/>
        <v>-201.63836172357037</v>
      </c>
      <c r="T223">
        <f t="shared" si="963"/>
        <v>-0.20163836172357036</v>
      </c>
    </row>
    <row r="224" spans="1:20" x14ac:dyDescent="0.25">
      <c r="A224" s="5">
        <v>44369</v>
      </c>
      <c r="B224">
        <v>7.117</v>
      </c>
      <c r="C224">
        <v>7.431</v>
      </c>
      <c r="D224">
        <v>6.3559999999999999</v>
      </c>
      <c r="E224">
        <v>7.0419999999999998</v>
      </c>
      <c r="F224">
        <v>267150.56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0.27627906976744154</v>
      </c>
      <c r="Q224">
        <f t="shared" si="960"/>
        <v>73808.108204651071</v>
      </c>
      <c r="R224">
        <f t="shared" si="961"/>
        <v>-20187813.077935986</v>
      </c>
      <c r="S224">
        <f t="shared" si="962"/>
        <v>-201.87813077935985</v>
      </c>
      <c r="T224">
        <f t="shared" si="963"/>
        <v>-0.20187813077935984</v>
      </c>
    </row>
    <row r="225" spans="1:20" x14ac:dyDescent="0.25">
      <c r="A225" s="5">
        <v>44368</v>
      </c>
      <c r="B225">
        <v>8.84</v>
      </c>
      <c r="C225">
        <v>8.8829999999999991</v>
      </c>
      <c r="D225">
        <v>7.06</v>
      </c>
      <c r="E225">
        <v>7.0890000000000004</v>
      </c>
      <c r="F225">
        <v>225597.02799999999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-0.96818431157432716</v>
      </c>
      <c r="Q225">
        <f t="shared" si="960"/>
        <v>-218419.5032473942</v>
      </c>
      <c r="R225">
        <f t="shared" si="961"/>
        <v>-20261621.186140638</v>
      </c>
      <c r="S225">
        <f t="shared" si="962"/>
        <v>-202.61621186140638</v>
      </c>
      <c r="T225">
        <f t="shared" si="963"/>
        <v>-0.20261621186140638</v>
      </c>
    </row>
    <row r="226" spans="1:20" x14ac:dyDescent="0.25">
      <c r="A226" s="5">
        <v>44367</v>
      </c>
      <c r="B226">
        <v>9.11</v>
      </c>
      <c r="C226">
        <v>9.2929999999999993</v>
      </c>
      <c r="D226">
        <v>8.5</v>
      </c>
      <c r="E226">
        <v>8.8379999999999992</v>
      </c>
      <c r="F226">
        <v>161363.00099999999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-0.14754098360655862</v>
      </c>
      <c r="Q226">
        <f t="shared" si="960"/>
        <v>-23807.655885246102</v>
      </c>
      <c r="R226">
        <f t="shared" si="961"/>
        <v>-20043201.682893243</v>
      </c>
      <c r="S226">
        <f t="shared" si="962"/>
        <v>-200.43201682893243</v>
      </c>
      <c r="T226">
        <f t="shared" si="963"/>
        <v>-0.20043201682893244</v>
      </c>
    </row>
    <row r="227" spans="1:20" x14ac:dyDescent="0.25">
      <c r="A227" s="5">
        <v>44366</v>
      </c>
      <c r="B227">
        <v>8.9730000000000008</v>
      </c>
      <c r="C227">
        <v>9.4890000000000008</v>
      </c>
      <c r="D227">
        <v>8.7509999999999994</v>
      </c>
      <c r="E227">
        <v>9.1050000000000004</v>
      </c>
      <c r="F227">
        <v>183468.41399999999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-4.0650406504064103E-2</v>
      </c>
      <c r="Q227">
        <f t="shared" si="960"/>
        <v>-7458.0656097559249</v>
      </c>
      <c r="R227">
        <f t="shared" si="961"/>
        <v>-20019394.027007997</v>
      </c>
      <c r="S227">
        <f t="shared" si="962"/>
        <v>-200.19394027007996</v>
      </c>
      <c r="T227">
        <f t="shared" si="963"/>
        <v>-0.20019394027007997</v>
      </c>
    </row>
    <row r="228" spans="1:20" x14ac:dyDescent="0.25">
      <c r="A228" s="5">
        <v>44365</v>
      </c>
      <c r="B228">
        <v>9.4580000000000002</v>
      </c>
      <c r="C228">
        <v>9.6999999999999993</v>
      </c>
      <c r="D228">
        <v>8.6129999999999995</v>
      </c>
      <c r="E228">
        <v>8.9830000000000005</v>
      </c>
      <c r="F228">
        <v>172220.11300000001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-0.31922723091076161</v>
      </c>
      <c r="Q228">
        <f t="shared" si="960"/>
        <v>-54977.349780128461</v>
      </c>
      <c r="R228">
        <f t="shared" si="961"/>
        <v>-20011935.96139824</v>
      </c>
      <c r="S228">
        <f t="shared" si="962"/>
        <v>-200.1193596139824</v>
      </c>
      <c r="T228">
        <f t="shared" si="963"/>
        <v>-0.20011935961398239</v>
      </c>
    </row>
    <row r="229" spans="1:20" x14ac:dyDescent="0.25">
      <c r="A229" s="5">
        <v>44364</v>
      </c>
      <c r="B229">
        <v>9.0809999999999995</v>
      </c>
      <c r="C229">
        <v>10.273</v>
      </c>
      <c r="D229">
        <v>9.0609999999999999</v>
      </c>
      <c r="E229">
        <v>9.4559999999999995</v>
      </c>
      <c r="F229">
        <v>315189.67700000003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-0.34818481848184873</v>
      </c>
      <c r="Q229">
        <f t="shared" si="960"/>
        <v>-109744.26047359755</v>
      </c>
      <c r="R229">
        <f t="shared" si="961"/>
        <v>-19956958.611618113</v>
      </c>
      <c r="S229">
        <f t="shared" si="962"/>
        <v>-199.56958611618111</v>
      </c>
      <c r="T229">
        <f t="shared" si="963"/>
        <v>-0.19956958611618111</v>
      </c>
    </row>
    <row r="230" spans="1:20" x14ac:dyDescent="0.25">
      <c r="A230" s="5">
        <v>44363</v>
      </c>
      <c r="B230">
        <v>9.5350000000000001</v>
      </c>
      <c r="C230">
        <v>9.74</v>
      </c>
      <c r="D230">
        <v>9.0150000000000006</v>
      </c>
      <c r="E230">
        <v>9.0809999999999995</v>
      </c>
      <c r="F230">
        <v>173535.486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-0.81793103448276139</v>
      </c>
      <c r="Q230">
        <f t="shared" si="960"/>
        <v>-141940.05958344875</v>
      </c>
      <c r="R230">
        <f t="shared" si="961"/>
        <v>-19847214.351144515</v>
      </c>
      <c r="S230">
        <f t="shared" si="962"/>
        <v>-198.47214351144515</v>
      </c>
      <c r="T230">
        <f t="shared" si="963"/>
        <v>-0.19847214351144515</v>
      </c>
    </row>
    <row r="231" spans="1:20" x14ac:dyDescent="0.25">
      <c r="A231" s="5">
        <v>44362</v>
      </c>
      <c r="B231">
        <v>9.3659999999999997</v>
      </c>
      <c r="C231">
        <v>9.83</v>
      </c>
      <c r="D231">
        <v>9.02</v>
      </c>
      <c r="E231">
        <v>9.5350000000000001</v>
      </c>
      <c r="F231">
        <v>274093.603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0.27160493827160553</v>
      </c>
      <c r="Q231">
        <f t="shared" si="960"/>
        <v>74445.176123456957</v>
      </c>
      <c r="R231">
        <f t="shared" si="961"/>
        <v>-19705274.291561067</v>
      </c>
      <c r="S231">
        <f t="shared" si="962"/>
        <v>-197.05274291561068</v>
      </c>
      <c r="T231">
        <f t="shared" si="963"/>
        <v>-0.19705274291561067</v>
      </c>
    </row>
    <row r="232" spans="1:20" x14ac:dyDescent="0.25">
      <c r="A232" s="5">
        <v>44361</v>
      </c>
      <c r="B232">
        <v>9.2629999999999999</v>
      </c>
      <c r="C232">
        <v>9.8480000000000008</v>
      </c>
      <c r="D232">
        <v>9.08</v>
      </c>
      <c r="E232">
        <v>9.3759999999999994</v>
      </c>
      <c r="F232">
        <v>233768.88699999999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-0.22916666666666899</v>
      </c>
      <c r="Q232">
        <f t="shared" si="960"/>
        <v>-53572.03660416721</v>
      </c>
      <c r="R232">
        <f t="shared" si="961"/>
        <v>-19779719.467684522</v>
      </c>
      <c r="S232">
        <f t="shared" si="962"/>
        <v>-197.79719467684521</v>
      </c>
      <c r="T232">
        <f t="shared" si="963"/>
        <v>-0.1977971946768452</v>
      </c>
    </row>
    <row r="233" spans="1:20" x14ac:dyDescent="0.25">
      <c r="A233" s="5">
        <v>44360</v>
      </c>
      <c r="B233">
        <v>8.9450000000000003</v>
      </c>
      <c r="C233">
        <v>9.6999999999999993</v>
      </c>
      <c r="D233">
        <v>8.6940000000000008</v>
      </c>
      <c r="E233">
        <v>9.2629999999999999</v>
      </c>
      <c r="F233">
        <v>271938.17300000001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0.13121272365805156</v>
      </c>
      <c r="Q233">
        <f t="shared" si="960"/>
        <v>35681.748345924418</v>
      </c>
      <c r="R233">
        <f t="shared" si="961"/>
        <v>-19726147.431080356</v>
      </c>
      <c r="S233">
        <f t="shared" si="962"/>
        <v>-197.26147431080355</v>
      </c>
      <c r="T233">
        <f t="shared" si="963"/>
        <v>-0.19726147431080354</v>
      </c>
    </row>
    <row r="234" spans="1:20" x14ac:dyDescent="0.25">
      <c r="A234" s="5">
        <v>44359</v>
      </c>
      <c r="B234">
        <v>9.5120000000000005</v>
      </c>
      <c r="C234">
        <v>9.5429999999999993</v>
      </c>
      <c r="D234">
        <v>8.39</v>
      </c>
      <c r="E234">
        <v>8.9359999999999999</v>
      </c>
      <c r="F234">
        <v>368557.91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-5.2905464006938435E-2</v>
      </c>
      <c r="Q234">
        <f t="shared" si="960"/>
        <v>-19498.727241977453</v>
      </c>
      <c r="R234">
        <f t="shared" si="961"/>
        <v>-19761829.179426279</v>
      </c>
      <c r="S234">
        <f t="shared" si="962"/>
        <v>-197.6182917942628</v>
      </c>
      <c r="T234">
        <f t="shared" si="963"/>
        <v>-0.1976182917942628</v>
      </c>
    </row>
    <row r="235" spans="1:20" x14ac:dyDescent="0.25">
      <c r="A235" s="5">
        <v>44358</v>
      </c>
      <c r="B235">
        <v>10.146000000000001</v>
      </c>
      <c r="C235">
        <v>12</v>
      </c>
      <c r="D235">
        <v>9.3249999999999993</v>
      </c>
      <c r="E235">
        <v>9.5239999999999991</v>
      </c>
      <c r="F235">
        <v>1648492.68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-0.85121495327102814</v>
      </c>
      <c r="Q235">
        <f t="shared" si="960"/>
        <v>-1403221.6195738318</v>
      </c>
      <c r="R235">
        <f t="shared" si="961"/>
        <v>-19742330.452184301</v>
      </c>
      <c r="S235">
        <f t="shared" si="962"/>
        <v>-197.42330452184302</v>
      </c>
      <c r="T235">
        <f t="shared" si="963"/>
        <v>-0.19742330452184303</v>
      </c>
    </row>
    <row r="236" spans="1:20" x14ac:dyDescent="0.25">
      <c r="A236" s="5">
        <v>44357</v>
      </c>
      <c r="B236">
        <v>9.1449999999999996</v>
      </c>
      <c r="C236">
        <v>10.394</v>
      </c>
      <c r="D236">
        <v>8.6270000000000007</v>
      </c>
      <c r="E236">
        <v>10.169</v>
      </c>
      <c r="F236">
        <v>535207.65399999998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0.74533106960950801</v>
      </c>
      <c r="Q236">
        <f t="shared" si="960"/>
        <v>398906.89321901544</v>
      </c>
      <c r="R236">
        <f t="shared" si="961"/>
        <v>-18339108.832610469</v>
      </c>
      <c r="S236">
        <f t="shared" si="962"/>
        <v>-183.39108832610469</v>
      </c>
      <c r="T236">
        <f t="shared" si="963"/>
        <v>-0.18339108832610471</v>
      </c>
    </row>
    <row r="237" spans="1:20" x14ac:dyDescent="0.25">
      <c r="A237" s="5">
        <v>44356</v>
      </c>
      <c r="B237">
        <v>8.9139999999999997</v>
      </c>
      <c r="C237">
        <v>9.2420000000000009</v>
      </c>
      <c r="D237">
        <v>8.5280000000000005</v>
      </c>
      <c r="E237">
        <v>9.1300000000000008</v>
      </c>
      <c r="F237">
        <v>159018.33100000001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0.68627450980392146</v>
      </c>
      <c r="Q237">
        <f t="shared" si="960"/>
        <v>109130.22715686273</v>
      </c>
      <c r="R237">
        <f t="shared" si="961"/>
        <v>-18738015.725829486</v>
      </c>
      <c r="S237">
        <f t="shared" si="962"/>
        <v>-187.38015725829487</v>
      </c>
      <c r="T237">
        <f t="shared" si="963"/>
        <v>-0.18738015725829488</v>
      </c>
    </row>
    <row r="238" spans="1:20" x14ac:dyDescent="0.25">
      <c r="A238" s="5">
        <v>44355</v>
      </c>
      <c r="B238">
        <v>9.2309999999999999</v>
      </c>
      <c r="C238">
        <v>9.4450000000000003</v>
      </c>
      <c r="D238">
        <v>8.0120000000000005</v>
      </c>
      <c r="E238">
        <v>8.9359999999999999</v>
      </c>
      <c r="F238">
        <v>194195.37599999999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0.2896022330774593</v>
      </c>
      <c r="Q238">
        <f t="shared" si="960"/>
        <v>56239.414542916842</v>
      </c>
      <c r="R238">
        <f t="shared" si="961"/>
        <v>-18847145.952986348</v>
      </c>
      <c r="S238">
        <f t="shared" si="962"/>
        <v>-188.47145952986349</v>
      </c>
      <c r="T238">
        <f t="shared" si="963"/>
        <v>-0.18847145952986349</v>
      </c>
    </row>
    <row r="239" spans="1:20" x14ac:dyDescent="0.25">
      <c r="A239" s="5">
        <v>44354</v>
      </c>
      <c r="B239">
        <v>10.16</v>
      </c>
      <c r="C239">
        <v>10.6</v>
      </c>
      <c r="D239">
        <v>9.11</v>
      </c>
      <c r="E239">
        <v>9.2330000000000005</v>
      </c>
      <c r="F239">
        <v>319591.625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-0.83489932885905893</v>
      </c>
      <c r="Q239">
        <f t="shared" si="960"/>
        <v>-266826.83322147606</v>
      </c>
      <c r="R239">
        <f t="shared" si="961"/>
        <v>-18903385.367529266</v>
      </c>
      <c r="S239">
        <f t="shared" si="962"/>
        <v>-189.03385367529265</v>
      </c>
      <c r="T239">
        <f t="shared" si="963"/>
        <v>-0.18903385367529266</v>
      </c>
    </row>
    <row r="240" spans="1:20" x14ac:dyDescent="0.25">
      <c r="A240" s="5">
        <v>44353</v>
      </c>
      <c r="B240">
        <v>10.125</v>
      </c>
      <c r="C240">
        <v>10.326000000000001</v>
      </c>
      <c r="D240">
        <v>9.9</v>
      </c>
      <c r="E240">
        <v>10.138</v>
      </c>
      <c r="F240">
        <v>154249.21900000001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0.1173708920187768</v>
      </c>
      <c r="Q240">
        <f t="shared" si="960"/>
        <v>18104.368427229656</v>
      </c>
      <c r="R240">
        <f t="shared" si="961"/>
        <v>-18636558.534307789</v>
      </c>
      <c r="S240">
        <f t="shared" si="962"/>
        <v>-186.3655853430779</v>
      </c>
      <c r="T240">
        <f t="shared" si="963"/>
        <v>-0.1863655853430779</v>
      </c>
    </row>
    <row r="241" spans="1:20" x14ac:dyDescent="0.25">
      <c r="A241" s="5">
        <v>44352</v>
      </c>
      <c r="B241">
        <v>10.131</v>
      </c>
      <c r="C241">
        <v>10.632999999999999</v>
      </c>
      <c r="D241">
        <v>9.75</v>
      </c>
      <c r="E241">
        <v>10.135999999999999</v>
      </c>
      <c r="F241">
        <v>201038.06299999999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-0.12570781426953653</v>
      </c>
      <c r="Q241">
        <f t="shared" si="960"/>
        <v>-25272.055484711385</v>
      </c>
      <c r="R241">
        <f t="shared" si="961"/>
        <v>-18654662.902735017</v>
      </c>
      <c r="S241">
        <f t="shared" si="962"/>
        <v>-186.54662902735018</v>
      </c>
      <c r="T241">
        <f t="shared" si="963"/>
        <v>-0.18654662902735017</v>
      </c>
    </row>
    <row r="242" spans="1:20" x14ac:dyDescent="0.25">
      <c r="A242" s="5">
        <v>44351</v>
      </c>
      <c r="B242">
        <v>10.75</v>
      </c>
      <c r="C242">
        <v>10.994999999999999</v>
      </c>
      <c r="D242">
        <v>9.92</v>
      </c>
      <c r="E242">
        <v>10.134</v>
      </c>
      <c r="F242">
        <v>299294.886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-0.601860465116278</v>
      </c>
      <c r="Q242">
        <f t="shared" si="960"/>
        <v>-180133.75929488341</v>
      </c>
      <c r="R242">
        <f t="shared" si="961"/>
        <v>-18629390.847250305</v>
      </c>
      <c r="S242">
        <f t="shared" si="962"/>
        <v>-186.29390847250306</v>
      </c>
      <c r="T242">
        <f t="shared" si="963"/>
        <v>-0.18629390847250307</v>
      </c>
    </row>
    <row r="243" spans="1:20" x14ac:dyDescent="0.25">
      <c r="A243" s="5">
        <v>44350</v>
      </c>
      <c r="B243">
        <v>10.515000000000001</v>
      </c>
      <c r="C243">
        <v>11.420999999999999</v>
      </c>
      <c r="D243">
        <v>10.337</v>
      </c>
      <c r="E243">
        <v>10.750999999999999</v>
      </c>
      <c r="F243">
        <v>246492.40100000001</v>
      </c>
      <c r="G243">
        <v>0</v>
      </c>
      <c r="L243" t="s">
        <v>8</v>
      </c>
      <c r="M243" t="s">
        <v>7</v>
      </c>
      <c r="N243" t="s">
        <v>7</v>
      </c>
      <c r="P243">
        <f t="shared" si="959"/>
        <v>-0.23616236162361653</v>
      </c>
      <c r="Q243">
        <f t="shared" si="960"/>
        <v>-58212.227542435503</v>
      </c>
      <c r="R243">
        <f t="shared" si="961"/>
        <v>-18449257.087955423</v>
      </c>
      <c r="S243">
        <f t="shared" si="962"/>
        <v>-184.49257087955422</v>
      </c>
      <c r="T243">
        <f t="shared" si="963"/>
        <v>-0.18449257087955423</v>
      </c>
    </row>
    <row r="244" spans="1:20" x14ac:dyDescent="0.25">
      <c r="A244" s="5">
        <v>44349</v>
      </c>
      <c r="B244">
        <v>10.134</v>
      </c>
      <c r="C244">
        <v>10.688000000000001</v>
      </c>
      <c r="D244">
        <v>10.063000000000001</v>
      </c>
      <c r="E244">
        <v>10.526</v>
      </c>
      <c r="F244">
        <v>190478.99400000001</v>
      </c>
      <c r="G244">
        <v>0</v>
      </c>
      <c r="L244" t="s">
        <v>8</v>
      </c>
      <c r="M244" t="s">
        <v>7</v>
      </c>
      <c r="N244" t="s">
        <v>7</v>
      </c>
      <c r="P244">
        <f t="shared" si="959"/>
        <v>0.48159999999999742</v>
      </c>
      <c r="Q244">
        <f t="shared" si="960"/>
        <v>91734.683510399511</v>
      </c>
      <c r="R244">
        <f t="shared" si="961"/>
        <v>-18391044.860412989</v>
      </c>
      <c r="S244">
        <f t="shared" si="962"/>
        <v>-183.9104486041299</v>
      </c>
      <c r="T244">
        <f t="shared" si="963"/>
        <v>-0.18391044860412989</v>
      </c>
    </row>
    <row r="245" spans="1:20" x14ac:dyDescent="0.25">
      <c r="A245" s="5">
        <v>44348</v>
      </c>
      <c r="B245">
        <v>10.548</v>
      </c>
      <c r="C245">
        <v>10.643000000000001</v>
      </c>
      <c r="D245">
        <v>10</v>
      </c>
      <c r="E245">
        <v>10.077</v>
      </c>
      <c r="F245">
        <v>213299.10699999999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-0.76049766718507039</v>
      </c>
      <c r="Q245">
        <f t="shared" si="960"/>
        <v>-162213.4732861587</v>
      </c>
      <c r="R245">
        <f t="shared" si="961"/>
        <v>-18482779.543923389</v>
      </c>
      <c r="S245">
        <f t="shared" si="962"/>
        <v>-184.82779543923388</v>
      </c>
      <c r="T245">
        <f t="shared" si="963"/>
        <v>-0.18482779543923389</v>
      </c>
    </row>
    <row r="246" spans="1:20" x14ac:dyDescent="0.25">
      <c r="A246" s="5">
        <v>44347</v>
      </c>
      <c r="B246">
        <v>10.337</v>
      </c>
      <c r="C246">
        <v>10.747999999999999</v>
      </c>
      <c r="D246">
        <v>9.6489999999999991</v>
      </c>
      <c r="E246">
        <v>10.481999999999999</v>
      </c>
      <c r="F246">
        <v>248848.21100000001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0.515923566878981</v>
      </c>
      <c r="Q246">
        <f t="shared" si="960"/>
        <v>128386.65663057328</v>
      </c>
      <c r="R246">
        <f t="shared" si="961"/>
        <v>-18320566.07063723</v>
      </c>
      <c r="S246">
        <f t="shared" si="962"/>
        <v>-183.2056607063723</v>
      </c>
      <c r="T246">
        <f t="shared" si="963"/>
        <v>-0.18320566070637229</v>
      </c>
    </row>
    <row r="247" spans="1:20" x14ac:dyDescent="0.25">
      <c r="A247" s="5">
        <v>44346</v>
      </c>
      <c r="B247">
        <v>10.269</v>
      </c>
      <c r="C247">
        <v>10.88</v>
      </c>
      <c r="D247">
        <v>9.6359999999999992</v>
      </c>
      <c r="E247">
        <v>10.303000000000001</v>
      </c>
      <c r="F247">
        <v>150055.91800000001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7.2347266881030159E-2</v>
      </c>
      <c r="Q247">
        <f t="shared" si="960"/>
        <v>10856.135546623978</v>
      </c>
      <c r="R247">
        <f t="shared" si="961"/>
        <v>-18448952.727267802</v>
      </c>
      <c r="S247">
        <f t="shared" si="962"/>
        <v>-184.489527272678</v>
      </c>
      <c r="T247">
        <f t="shared" si="963"/>
        <v>-0.18448952727267801</v>
      </c>
    </row>
    <row r="248" spans="1:20" x14ac:dyDescent="0.25">
      <c r="A248" s="5">
        <v>44345</v>
      </c>
      <c r="B248">
        <v>11</v>
      </c>
      <c r="C248">
        <v>11.624000000000001</v>
      </c>
      <c r="D248">
        <v>9.5470000000000006</v>
      </c>
      <c r="E248">
        <v>10.266999999999999</v>
      </c>
      <c r="F248">
        <v>254115.07800000001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-0.30669234472797413</v>
      </c>
      <c r="Q248">
        <f t="shared" si="960"/>
        <v>-77935.149102552037</v>
      </c>
      <c r="R248">
        <f t="shared" si="961"/>
        <v>-18459808.862814426</v>
      </c>
      <c r="S248">
        <f t="shared" si="962"/>
        <v>-184.59808862814427</v>
      </c>
      <c r="T248">
        <f t="shared" si="963"/>
        <v>-0.18459808862814428</v>
      </c>
    </row>
    <row r="249" spans="1:20" x14ac:dyDescent="0.25">
      <c r="A249" s="5">
        <v>44344</v>
      </c>
      <c r="B249">
        <v>12.565</v>
      </c>
      <c r="C249">
        <v>13.1</v>
      </c>
      <c r="D249">
        <v>10.499000000000001</v>
      </c>
      <c r="E249">
        <v>11.045</v>
      </c>
      <c r="F249">
        <v>753740.91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-0.58016147635524828</v>
      </c>
      <c r="Q249">
        <f t="shared" si="960"/>
        <v>-437291.43913494836</v>
      </c>
      <c r="R249">
        <f t="shared" si="961"/>
        <v>-18381873.713711873</v>
      </c>
      <c r="S249">
        <f t="shared" si="962"/>
        <v>-183.81873713711872</v>
      </c>
      <c r="T249">
        <f t="shared" si="963"/>
        <v>-0.18381873713711872</v>
      </c>
    </row>
    <row r="250" spans="1:20" x14ac:dyDescent="0.25">
      <c r="A250" s="5">
        <v>44343</v>
      </c>
      <c r="B250">
        <v>10.821</v>
      </c>
      <c r="C250">
        <v>13.552</v>
      </c>
      <c r="D250">
        <v>9.6280000000000001</v>
      </c>
      <c r="E250">
        <v>12.5</v>
      </c>
      <c r="F250">
        <v>1248559.807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0.46381243628950064</v>
      </c>
      <c r="Q250">
        <f t="shared" si="960"/>
        <v>579097.56593781873</v>
      </c>
      <c r="R250">
        <f t="shared" si="961"/>
        <v>-17944582.274576925</v>
      </c>
      <c r="S250">
        <f t="shared" si="962"/>
        <v>-179.44582274576925</v>
      </c>
      <c r="T250">
        <f t="shared" si="963"/>
        <v>-0.17944582274576926</v>
      </c>
    </row>
    <row r="251" spans="1:20" x14ac:dyDescent="0.25">
      <c r="A251" s="5">
        <v>44342</v>
      </c>
      <c r="B251">
        <v>10.180999999999999</v>
      </c>
      <c r="C251">
        <v>11</v>
      </c>
      <c r="D251">
        <v>9.7539999999999996</v>
      </c>
      <c r="E251">
        <v>10.85</v>
      </c>
      <c r="F251">
        <v>382410.40399999998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0.75922953451043285</v>
      </c>
      <c r="Q251">
        <f t="shared" si="960"/>
        <v>290337.27302086656</v>
      </c>
      <c r="R251">
        <f t="shared" si="961"/>
        <v>-18523679.840514742</v>
      </c>
      <c r="S251">
        <f t="shared" si="962"/>
        <v>-185.23679840514743</v>
      </c>
      <c r="T251">
        <f t="shared" si="963"/>
        <v>-0.18523679840514742</v>
      </c>
    </row>
    <row r="252" spans="1:20" x14ac:dyDescent="0.25">
      <c r="A252" s="5">
        <v>44341</v>
      </c>
      <c r="B252">
        <v>10.404999999999999</v>
      </c>
      <c r="C252">
        <v>11.375</v>
      </c>
      <c r="D252">
        <v>9.11</v>
      </c>
      <c r="E252">
        <v>10.215</v>
      </c>
      <c r="F252">
        <v>563816.94099999999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-2.4282560706401633E-2</v>
      </c>
      <c r="Q252">
        <f t="shared" si="960"/>
        <v>-13690.919097130169</v>
      </c>
      <c r="R252">
        <f t="shared" si="961"/>
        <v>-18814017.113535609</v>
      </c>
      <c r="S252">
        <f t="shared" si="962"/>
        <v>-188.1401711353561</v>
      </c>
      <c r="T252">
        <f t="shared" si="963"/>
        <v>-0.18814017113535611</v>
      </c>
    </row>
    <row r="253" spans="1:20" x14ac:dyDescent="0.25">
      <c r="A253" s="5">
        <v>44340</v>
      </c>
      <c r="B253">
        <v>9.9239999999999995</v>
      </c>
      <c r="C253">
        <v>11.5</v>
      </c>
      <c r="D253">
        <v>8.7840000000000007</v>
      </c>
      <c r="E253">
        <v>10.37</v>
      </c>
      <c r="F253">
        <v>818383.58700000006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0.16789396170839391</v>
      </c>
      <c r="Q253">
        <f t="shared" si="960"/>
        <v>137401.66261855606</v>
      </c>
      <c r="R253">
        <f t="shared" si="961"/>
        <v>-18800326.19443848</v>
      </c>
      <c r="S253">
        <f t="shared" si="962"/>
        <v>-188.0032619443848</v>
      </c>
      <c r="T253">
        <f t="shared" si="963"/>
        <v>-0.1880032619443848</v>
      </c>
    </row>
    <row r="254" spans="1:20" x14ac:dyDescent="0.25">
      <c r="A254" s="5">
        <v>44339</v>
      </c>
      <c r="B254">
        <v>14.846</v>
      </c>
      <c r="C254">
        <v>15.21</v>
      </c>
      <c r="D254">
        <v>7.9889999999999999</v>
      </c>
      <c r="E254">
        <v>9.9459999999999997</v>
      </c>
      <c r="F254">
        <v>1063255.996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-0.4579698102755852</v>
      </c>
      <c r="Q254">
        <f t="shared" si="960"/>
        <v>-486939.14676249842</v>
      </c>
      <c r="R254">
        <f t="shared" si="961"/>
        <v>-18937727.857057035</v>
      </c>
      <c r="S254">
        <f t="shared" si="962"/>
        <v>-189.37727857057035</v>
      </c>
      <c r="T254">
        <f t="shared" si="963"/>
        <v>-0.18937727857057035</v>
      </c>
    </row>
    <row r="255" spans="1:20" x14ac:dyDescent="0.25">
      <c r="A255" s="5">
        <v>44338</v>
      </c>
      <c r="B255">
        <v>17.850000000000001</v>
      </c>
      <c r="C255">
        <v>18</v>
      </c>
      <c r="D255">
        <v>14.653</v>
      </c>
      <c r="E255">
        <v>14.837999999999999</v>
      </c>
      <c r="F255">
        <v>866534.64899999998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-0.88945324170899387</v>
      </c>
      <c r="Q255">
        <f t="shared" si="960"/>
        <v>-770742.05260621512</v>
      </c>
      <c r="R255">
        <f t="shared" si="961"/>
        <v>-18450788.710294537</v>
      </c>
      <c r="S255">
        <f t="shared" si="962"/>
        <v>-184.50788710294538</v>
      </c>
      <c r="T255">
        <f t="shared" si="963"/>
        <v>-0.18450788710294538</v>
      </c>
    </row>
    <row r="256" spans="1:20" x14ac:dyDescent="0.25">
      <c r="A256" s="5">
        <v>44337</v>
      </c>
      <c r="B256">
        <v>16.044</v>
      </c>
      <c r="C256">
        <v>21.198</v>
      </c>
      <c r="D256">
        <v>13.542999999999999</v>
      </c>
      <c r="E256">
        <v>17.878</v>
      </c>
      <c r="F256">
        <v>1979293.013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0.13259307642064017</v>
      </c>
      <c r="Q256">
        <f t="shared" si="960"/>
        <v>262440.54973154812</v>
      </c>
      <c r="R256">
        <f t="shared" si="961"/>
        <v>-17680046.657688323</v>
      </c>
      <c r="S256">
        <f t="shared" si="962"/>
        <v>-176.80046657688322</v>
      </c>
      <c r="T256">
        <f t="shared" si="963"/>
        <v>-0.17680046657688323</v>
      </c>
    </row>
    <row r="257" spans="1:20" x14ac:dyDescent="0.25">
      <c r="A257" s="5">
        <v>44336</v>
      </c>
      <c r="B257">
        <v>14.557</v>
      </c>
      <c r="C257">
        <v>17.518999999999998</v>
      </c>
      <c r="D257">
        <v>13.08</v>
      </c>
      <c r="E257">
        <v>16.114999999999998</v>
      </c>
      <c r="F257">
        <v>1161145.3589999999</v>
      </c>
      <c r="G257">
        <v>0</v>
      </c>
      <c r="L257" t="s">
        <v>7</v>
      </c>
      <c r="M257" t="s">
        <v>8</v>
      </c>
      <c r="N257" t="s">
        <v>7</v>
      </c>
      <c r="P257">
        <f t="shared" si="959"/>
        <v>0.3674250957422841</v>
      </c>
      <c r="Q257">
        <f t="shared" si="960"/>
        <v>426633.94470128382</v>
      </c>
      <c r="R257">
        <f t="shared" si="961"/>
        <v>-17942487.207419872</v>
      </c>
      <c r="S257">
        <f t="shared" si="962"/>
        <v>-179.42487207419873</v>
      </c>
      <c r="T257">
        <f t="shared" si="963"/>
        <v>-0.17942487207419874</v>
      </c>
    </row>
    <row r="258" spans="1:20" x14ac:dyDescent="0.25">
      <c r="A258" s="5">
        <v>44335</v>
      </c>
      <c r="B258">
        <v>26.224</v>
      </c>
      <c r="C258">
        <v>27</v>
      </c>
      <c r="D258">
        <v>13.15</v>
      </c>
      <c r="E258">
        <v>14.526</v>
      </c>
      <c r="F258">
        <v>2499586.736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-0.80129963898916978</v>
      </c>
      <c r="Q258">
        <f t="shared" si="960"/>
        <v>-2002917.9491789173</v>
      </c>
      <c r="R258">
        <f t="shared" si="961"/>
        <v>-18369121.152121156</v>
      </c>
      <c r="S258">
        <f t="shared" si="962"/>
        <v>-183.69121152121156</v>
      </c>
      <c r="T258">
        <f t="shared" si="963"/>
        <v>-0.18369121152121157</v>
      </c>
    </row>
    <row r="259" spans="1:20" x14ac:dyDescent="0.25">
      <c r="A259" s="5">
        <v>44334</v>
      </c>
      <c r="B259">
        <v>19.22</v>
      </c>
      <c r="C259">
        <v>28.91</v>
      </c>
      <c r="D259">
        <v>19.100000000000001</v>
      </c>
      <c r="E259">
        <v>26.306000000000001</v>
      </c>
      <c r="F259">
        <v>3653500.6179999998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0.4691131498470949</v>
      </c>
      <c r="Q259">
        <f t="shared" si="960"/>
        <v>1713905.1828782877</v>
      </c>
      <c r="R259">
        <f t="shared" si="961"/>
        <v>-16366203.202942239</v>
      </c>
      <c r="S259">
        <f t="shared" si="962"/>
        <v>-163.66203202942239</v>
      </c>
      <c r="T259">
        <f t="shared" si="963"/>
        <v>-0.16366203202942239</v>
      </c>
    </row>
    <row r="260" spans="1:20" x14ac:dyDescent="0.25">
      <c r="A260" s="5">
        <v>44333</v>
      </c>
      <c r="B260">
        <v>18.204999999999998</v>
      </c>
      <c r="C260">
        <v>20.704000000000001</v>
      </c>
      <c r="D260">
        <v>16.527000000000001</v>
      </c>
      <c r="E260">
        <v>19.18</v>
      </c>
      <c r="F260">
        <v>1100679.9240000001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0.27028968158965716</v>
      </c>
      <c r="Q260">
        <f t="shared" si="960"/>
        <v>297502.4261900881</v>
      </c>
      <c r="R260">
        <f t="shared" si="961"/>
        <v>-18080108.385820527</v>
      </c>
      <c r="S260">
        <f t="shared" si="962"/>
        <v>-180.80108385820526</v>
      </c>
      <c r="T260">
        <f t="shared" si="963"/>
        <v>-0.18080108385820526</v>
      </c>
    </row>
    <row r="261" spans="1:20" x14ac:dyDescent="0.25">
      <c r="A261" s="5">
        <v>44332</v>
      </c>
      <c r="B261">
        <v>20.113</v>
      </c>
      <c r="C261">
        <v>24.125</v>
      </c>
      <c r="D261">
        <v>17.725999999999999</v>
      </c>
      <c r="E261">
        <v>18.283999999999999</v>
      </c>
      <c r="F261">
        <v>2331011.4210000001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-0.82559774964838262</v>
      </c>
      <c r="Q261">
        <f t="shared" si="960"/>
        <v>-1924477.7835822788</v>
      </c>
      <c r="R261">
        <f t="shared" si="961"/>
        <v>-18377610.812010616</v>
      </c>
      <c r="S261">
        <f t="shared" si="962"/>
        <v>-183.77610812010616</v>
      </c>
      <c r="T261">
        <f t="shared" si="963"/>
        <v>-0.18377610812010617</v>
      </c>
    </row>
    <row r="262" spans="1:20" x14ac:dyDescent="0.25">
      <c r="A262" s="5">
        <v>44331</v>
      </c>
      <c r="B262">
        <v>17.431999999999999</v>
      </c>
      <c r="C262">
        <v>29.5</v>
      </c>
      <c r="D262">
        <v>16.744</v>
      </c>
      <c r="E262">
        <v>20.106000000000002</v>
      </c>
      <c r="F262">
        <v>5196117.7350000003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-0.47287550956412638</v>
      </c>
      <c r="Q262">
        <f t="shared" ref="Q262:Q325" si="965">F262*P262</f>
        <v>-2457116.8216933194</v>
      </c>
      <c r="R262">
        <f t="shared" ref="R262:R325" si="966">R263+Q262</f>
        <v>-16453133.028428338</v>
      </c>
      <c r="S262">
        <f t="shared" ref="S262:S325" si="967">R262/100000</f>
        <v>-164.53133028428337</v>
      </c>
      <c r="T262">
        <f t="shared" ref="T262:T325" si="968">S262/1000</f>
        <v>-0.16453133028428338</v>
      </c>
    </row>
    <row r="263" spans="1:20" x14ac:dyDescent="0.25">
      <c r="A263" s="5">
        <v>44330</v>
      </c>
      <c r="B263">
        <v>15.840999999999999</v>
      </c>
      <c r="C263">
        <v>17.876000000000001</v>
      </c>
      <c r="D263">
        <v>15.173</v>
      </c>
      <c r="E263">
        <v>17.431999999999999</v>
      </c>
      <c r="F263">
        <v>729385.61800000002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0.67147613762485947</v>
      </c>
      <c r="Q263">
        <f t="shared" si="965"/>
        <v>489765.0376137612</v>
      </c>
      <c r="R263">
        <f t="shared" si="966"/>
        <v>-13996016.206735019</v>
      </c>
      <c r="S263">
        <f t="shared" si="967"/>
        <v>-139.96016206735018</v>
      </c>
      <c r="T263">
        <f t="shared" si="968"/>
        <v>-0.13996016206735018</v>
      </c>
    </row>
    <row r="264" spans="1:20" x14ac:dyDescent="0.25">
      <c r="A264" s="5">
        <v>44329</v>
      </c>
      <c r="B264">
        <v>14.627000000000001</v>
      </c>
      <c r="C264">
        <v>19.599</v>
      </c>
      <c r="D264">
        <v>14.6</v>
      </c>
      <c r="E264">
        <v>15.855</v>
      </c>
      <c r="F264">
        <v>1200889.2649999999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-0.49789957991598294</v>
      </c>
      <c r="Q264">
        <f t="shared" si="965"/>
        <v>-597922.26056911342</v>
      </c>
      <c r="R264">
        <f t="shared" si="966"/>
        <v>-14485781.244348779</v>
      </c>
      <c r="S264">
        <f t="shared" si="967"/>
        <v>-144.8578124434878</v>
      </c>
      <c r="T264">
        <f t="shared" si="968"/>
        <v>-0.1448578124434878</v>
      </c>
    </row>
    <row r="265" spans="1:20" x14ac:dyDescent="0.25">
      <c r="A265" s="5">
        <v>44328</v>
      </c>
      <c r="B265">
        <v>15.25</v>
      </c>
      <c r="C265">
        <v>23.202000000000002</v>
      </c>
      <c r="D265">
        <v>14.579000000000001</v>
      </c>
      <c r="E265">
        <v>14.685</v>
      </c>
      <c r="F265">
        <v>1467591.287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-0.97541458889017751</v>
      </c>
      <c r="Q265">
        <f t="shared" si="965"/>
        <v>-1431509.9518679115</v>
      </c>
      <c r="R265">
        <f t="shared" si="966"/>
        <v>-13887858.983779665</v>
      </c>
      <c r="S265">
        <f t="shared" si="967"/>
        <v>-138.87858983779665</v>
      </c>
      <c r="T265">
        <f t="shared" si="968"/>
        <v>-0.13887858983779666</v>
      </c>
    </row>
    <row r="266" spans="1:20" x14ac:dyDescent="0.25">
      <c r="A266" s="5">
        <v>44327</v>
      </c>
      <c r="B266">
        <v>15.135</v>
      </c>
      <c r="C266">
        <v>16.524999999999999</v>
      </c>
      <c r="D266">
        <v>14.43</v>
      </c>
      <c r="E266">
        <v>15.287000000000001</v>
      </c>
      <c r="F266">
        <v>218371.27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-0.18186157517899612</v>
      </c>
      <c r="Q266">
        <f t="shared" si="965"/>
        <v>-39713.34313603786</v>
      </c>
      <c r="R266">
        <f t="shared" si="966"/>
        <v>-12456349.031911753</v>
      </c>
      <c r="S266">
        <f t="shared" si="967"/>
        <v>-124.56349031911753</v>
      </c>
      <c r="T266">
        <f t="shared" si="968"/>
        <v>-0.12456349031911754</v>
      </c>
    </row>
    <row r="267" spans="1:20" x14ac:dyDescent="0.25">
      <c r="A267" s="5">
        <v>44326</v>
      </c>
      <c r="B267">
        <v>15.988</v>
      </c>
      <c r="C267">
        <v>16.437999999999999</v>
      </c>
      <c r="D267">
        <v>14.6</v>
      </c>
      <c r="E267">
        <v>15.132999999999999</v>
      </c>
      <c r="F267">
        <v>194834.40900000001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-0.42002176278563685</v>
      </c>
      <c r="Q267">
        <f t="shared" si="965"/>
        <v>-81834.691919477758</v>
      </c>
      <c r="R267">
        <f t="shared" si="966"/>
        <v>-12416635.688775714</v>
      </c>
      <c r="S267">
        <f t="shared" si="967"/>
        <v>-124.16635688775715</v>
      </c>
      <c r="T267">
        <f t="shared" si="968"/>
        <v>-0.12416635688775715</v>
      </c>
    </row>
    <row r="268" spans="1:20" x14ac:dyDescent="0.25">
      <c r="A268" s="5">
        <v>44325</v>
      </c>
      <c r="B268">
        <v>17.074999999999999</v>
      </c>
      <c r="C268">
        <v>17.254999999999999</v>
      </c>
      <c r="D268">
        <v>15.856</v>
      </c>
      <c r="E268">
        <v>15.988</v>
      </c>
      <c r="F268">
        <v>165611.976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-0.81129378127233776</v>
      </c>
      <c r="Q268">
        <f t="shared" si="965"/>
        <v>-134359.96623302365</v>
      </c>
      <c r="R268">
        <f t="shared" si="966"/>
        <v>-12334800.996856237</v>
      </c>
      <c r="S268">
        <f t="shared" si="967"/>
        <v>-123.34800996856237</v>
      </c>
      <c r="T268">
        <f t="shared" si="968"/>
        <v>-0.12334800996856236</v>
      </c>
    </row>
    <row r="269" spans="1:20" x14ac:dyDescent="0.25">
      <c r="A269" s="5">
        <v>44324</v>
      </c>
      <c r="B269">
        <v>17.247</v>
      </c>
      <c r="C269">
        <v>17.899999999999999</v>
      </c>
      <c r="D269">
        <v>16.838000000000001</v>
      </c>
      <c r="E269">
        <v>17.074999999999999</v>
      </c>
      <c r="F269">
        <v>134504.49600000001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-0.55367231638418291</v>
      </c>
      <c r="Q269">
        <f t="shared" si="965"/>
        <v>-74471.41586440707</v>
      </c>
      <c r="R269">
        <f t="shared" si="966"/>
        <v>-12200441.030623212</v>
      </c>
      <c r="S269">
        <f t="shared" si="967"/>
        <v>-122.00441030623213</v>
      </c>
      <c r="T269">
        <f t="shared" si="968"/>
        <v>-0.12200441030623213</v>
      </c>
    </row>
    <row r="270" spans="1:20" x14ac:dyDescent="0.25">
      <c r="A270" s="5">
        <v>44323</v>
      </c>
      <c r="B270">
        <v>17.661999999999999</v>
      </c>
      <c r="C270">
        <v>17.899999999999999</v>
      </c>
      <c r="D270">
        <v>16.605</v>
      </c>
      <c r="E270">
        <v>17.204000000000001</v>
      </c>
      <c r="F270">
        <v>210167.59099999999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-7.490347490347328E-2</v>
      </c>
      <c r="Q270">
        <f t="shared" si="965"/>
        <v>-15742.282877991936</v>
      </c>
      <c r="R270">
        <f t="shared" si="966"/>
        <v>-12125969.614758806</v>
      </c>
      <c r="S270">
        <f t="shared" si="967"/>
        <v>-121.25969614758806</v>
      </c>
      <c r="T270">
        <f t="shared" si="968"/>
        <v>-0.12125969614758805</v>
      </c>
    </row>
    <row r="271" spans="1:20" x14ac:dyDescent="0.25">
      <c r="A271" s="5">
        <v>44322</v>
      </c>
      <c r="B271">
        <v>18.457999999999998</v>
      </c>
      <c r="C271">
        <v>19.478000000000002</v>
      </c>
      <c r="D271">
        <v>17.172000000000001</v>
      </c>
      <c r="E271">
        <v>17.687000000000001</v>
      </c>
      <c r="F271">
        <v>230443.769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-0.55333911535125724</v>
      </c>
      <c r="Q271">
        <f t="shared" si="965"/>
        <v>-127513.55127666947</v>
      </c>
      <c r="R271">
        <f t="shared" si="966"/>
        <v>-12110227.331880813</v>
      </c>
      <c r="S271">
        <f t="shared" si="967"/>
        <v>-121.10227331880813</v>
      </c>
      <c r="T271">
        <f t="shared" si="968"/>
        <v>-0.12110227331880813</v>
      </c>
    </row>
    <row r="272" spans="1:20" x14ac:dyDescent="0.25">
      <c r="A272" s="5">
        <v>44321</v>
      </c>
      <c r="B272">
        <v>17.686</v>
      </c>
      <c r="C272">
        <v>19.690000000000001</v>
      </c>
      <c r="D272">
        <v>17.550999999999998</v>
      </c>
      <c r="E272">
        <v>18.475999999999999</v>
      </c>
      <c r="F272">
        <v>257834.848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-0.1351098644226279</v>
      </c>
      <c r="Q272">
        <f t="shared" si="965"/>
        <v>-34836.031356708874</v>
      </c>
      <c r="R272">
        <f t="shared" si="966"/>
        <v>-11982713.780604145</v>
      </c>
      <c r="S272">
        <f t="shared" si="967"/>
        <v>-119.82713780604145</v>
      </c>
      <c r="T272">
        <f t="shared" si="968"/>
        <v>-0.11982713780604146</v>
      </c>
    </row>
    <row r="273" spans="1:20" x14ac:dyDescent="0.25">
      <c r="A273" s="5">
        <v>44320</v>
      </c>
      <c r="B273">
        <v>20.297000000000001</v>
      </c>
      <c r="C273">
        <v>20.327999999999999</v>
      </c>
      <c r="D273">
        <v>17.5</v>
      </c>
      <c r="E273">
        <v>17.686</v>
      </c>
      <c r="F273">
        <v>248435.682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-0.86845827439886847</v>
      </c>
      <c r="Q273">
        <f t="shared" si="965"/>
        <v>-215756.02368882604</v>
      </c>
      <c r="R273">
        <f t="shared" si="966"/>
        <v>-11947877.749247435</v>
      </c>
      <c r="S273">
        <f t="shared" si="967"/>
        <v>-119.47877749247435</v>
      </c>
      <c r="T273">
        <f t="shared" si="968"/>
        <v>-0.11947877749247435</v>
      </c>
    </row>
    <row r="274" spans="1:20" x14ac:dyDescent="0.25">
      <c r="A274" s="5">
        <v>44319</v>
      </c>
      <c r="B274">
        <v>22.393000000000001</v>
      </c>
      <c r="C274">
        <v>24.15</v>
      </c>
      <c r="D274">
        <v>20.02</v>
      </c>
      <c r="E274">
        <v>20.268999999999998</v>
      </c>
      <c r="F274">
        <v>575397.26100000006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-0.8794188861985478</v>
      </c>
      <c r="Q274">
        <f t="shared" si="965"/>
        <v>-506015.21839031513</v>
      </c>
      <c r="R274">
        <f t="shared" si="966"/>
        <v>-11732121.725558609</v>
      </c>
      <c r="S274">
        <f t="shared" si="967"/>
        <v>-117.32121725558609</v>
      </c>
      <c r="T274">
        <f t="shared" si="968"/>
        <v>-0.11732121725558609</v>
      </c>
    </row>
    <row r="275" spans="1:20" x14ac:dyDescent="0.25">
      <c r="A275" s="5">
        <v>44318</v>
      </c>
      <c r="B275">
        <v>18.867999999999999</v>
      </c>
      <c r="C275">
        <v>23.85</v>
      </c>
      <c r="D275">
        <v>17.573</v>
      </c>
      <c r="E275">
        <v>22.241</v>
      </c>
      <c r="F275">
        <v>569743.90099999995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0.48733471403536671</v>
      </c>
      <c r="Q275">
        <f t="shared" si="965"/>
        <v>277655.98106722924</v>
      </c>
      <c r="R275">
        <f t="shared" si="966"/>
        <v>-11226106.507168293</v>
      </c>
      <c r="S275">
        <f t="shared" si="967"/>
        <v>-112.26106507168294</v>
      </c>
      <c r="T275">
        <f t="shared" si="968"/>
        <v>-0.11226106507168293</v>
      </c>
    </row>
    <row r="276" spans="1:20" x14ac:dyDescent="0.25">
      <c r="A276" s="5">
        <v>44317</v>
      </c>
      <c r="B276">
        <v>17.744</v>
      </c>
      <c r="C276">
        <v>20.206</v>
      </c>
      <c r="D276">
        <v>17.593</v>
      </c>
      <c r="E276">
        <v>18.800999999999998</v>
      </c>
      <c r="F276">
        <v>370941.80800000002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-7.5392269422121225E-2</v>
      </c>
      <c r="Q276">
        <f t="shared" si="965"/>
        <v>-27966.144728664764</v>
      </c>
      <c r="R276">
        <f t="shared" si="966"/>
        <v>-11503762.488235522</v>
      </c>
      <c r="S276">
        <f t="shared" si="967"/>
        <v>-115.03762488235522</v>
      </c>
      <c r="T276">
        <f t="shared" si="968"/>
        <v>-0.11503762488235522</v>
      </c>
    </row>
    <row r="277" spans="1:20" x14ac:dyDescent="0.25">
      <c r="A277" s="5">
        <v>44316</v>
      </c>
      <c r="B277">
        <v>16.739000000000001</v>
      </c>
      <c r="C277">
        <v>19.396000000000001</v>
      </c>
      <c r="D277">
        <v>16.686</v>
      </c>
      <c r="E277">
        <v>17.702000000000002</v>
      </c>
      <c r="F277">
        <v>573628.54200000002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-0.25018450184501734</v>
      </c>
      <c r="Q277">
        <f t="shared" si="965"/>
        <v>-143512.97102435361</v>
      </c>
      <c r="R277">
        <f t="shared" si="966"/>
        <v>-11475796.343506858</v>
      </c>
      <c r="S277">
        <f t="shared" si="967"/>
        <v>-114.75796343506858</v>
      </c>
      <c r="T277">
        <f t="shared" si="968"/>
        <v>-0.11475796343506857</v>
      </c>
    </row>
    <row r="278" spans="1:20" x14ac:dyDescent="0.25">
      <c r="A278" s="5">
        <v>44315</v>
      </c>
      <c r="B278">
        <v>16.027999999999999</v>
      </c>
      <c r="C278">
        <v>17.335999999999999</v>
      </c>
      <c r="D278">
        <v>15.755000000000001</v>
      </c>
      <c r="E278">
        <v>16.738</v>
      </c>
      <c r="F278">
        <v>261140.12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0.24351676154332721</v>
      </c>
      <c r="Q278">
        <f t="shared" si="965"/>
        <v>63591.996331435854</v>
      </c>
      <c r="R278">
        <f t="shared" si="966"/>
        <v>-11332283.372482505</v>
      </c>
      <c r="S278">
        <f t="shared" si="967"/>
        <v>-113.32283372482505</v>
      </c>
      <c r="T278">
        <f t="shared" si="968"/>
        <v>-0.11332283372482505</v>
      </c>
    </row>
    <row r="279" spans="1:20" x14ac:dyDescent="0.25">
      <c r="A279" s="5">
        <v>44314</v>
      </c>
      <c r="B279">
        <v>16.895</v>
      </c>
      <c r="C279">
        <v>17.251999999999999</v>
      </c>
      <c r="D279">
        <v>15.63</v>
      </c>
      <c r="E279">
        <v>16.013000000000002</v>
      </c>
      <c r="F279">
        <v>234884.522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-0.52774352651047929</v>
      </c>
      <c r="Q279">
        <f t="shared" si="965"/>
        <v>-123958.78596300825</v>
      </c>
      <c r="R279">
        <f t="shared" si="966"/>
        <v>-11395875.368813941</v>
      </c>
      <c r="S279">
        <f t="shared" si="967"/>
        <v>-113.95875368813941</v>
      </c>
      <c r="T279">
        <f t="shared" si="968"/>
        <v>-0.11395875368813942</v>
      </c>
    </row>
    <row r="280" spans="1:20" x14ac:dyDescent="0.25">
      <c r="A280" s="5">
        <v>44313</v>
      </c>
      <c r="B280">
        <v>16.751000000000001</v>
      </c>
      <c r="C280">
        <v>18.03</v>
      </c>
      <c r="D280">
        <v>16.5</v>
      </c>
      <c r="E280">
        <v>16.881</v>
      </c>
      <c r="F280">
        <v>451858.27100000001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-0.50196078431372559</v>
      </c>
      <c r="Q280">
        <f t="shared" si="965"/>
        <v>-226815.13210980396</v>
      </c>
      <c r="R280">
        <f t="shared" si="966"/>
        <v>-11271916.582850933</v>
      </c>
      <c r="S280">
        <f t="shared" si="967"/>
        <v>-112.71916582850933</v>
      </c>
      <c r="T280">
        <f t="shared" si="968"/>
        <v>-0.11271916582850933</v>
      </c>
    </row>
    <row r="281" spans="1:20" x14ac:dyDescent="0.25">
      <c r="A281" s="5">
        <v>44312</v>
      </c>
      <c r="B281">
        <v>16.5</v>
      </c>
      <c r="C281">
        <v>17.370999999999999</v>
      </c>
      <c r="D281">
        <v>16.026</v>
      </c>
      <c r="E281">
        <v>16.751999999999999</v>
      </c>
      <c r="F281">
        <v>622270.902</v>
      </c>
      <c r="G281">
        <v>0</v>
      </c>
      <c r="L281" t="s">
        <v>7</v>
      </c>
      <c r="M281" t="s">
        <v>8</v>
      </c>
      <c r="N281" t="s">
        <v>7</v>
      </c>
      <c r="P281">
        <f t="shared" si="964"/>
        <v>7.9553903345724472E-2</v>
      </c>
      <c r="Q281">
        <f t="shared" si="965"/>
        <v>49504.079192564786</v>
      </c>
      <c r="R281">
        <f t="shared" si="966"/>
        <v>-11045101.450741129</v>
      </c>
      <c r="S281">
        <f t="shared" si="967"/>
        <v>-110.45101450741129</v>
      </c>
      <c r="T281">
        <f t="shared" si="968"/>
        <v>-0.11045101450741129</v>
      </c>
    </row>
    <row r="282" spans="1:20" x14ac:dyDescent="0.25">
      <c r="A282" s="5">
        <v>44311</v>
      </c>
      <c r="B282">
        <v>15.503</v>
      </c>
      <c r="C282">
        <v>17.86</v>
      </c>
      <c r="D282">
        <v>14.919</v>
      </c>
      <c r="E282">
        <v>16.5</v>
      </c>
      <c r="F282">
        <v>1140574.662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7.5144508670520291E-2</v>
      </c>
      <c r="Q282">
        <f t="shared" si="965"/>
        <v>85707.922578034748</v>
      </c>
      <c r="R282">
        <f t="shared" si="966"/>
        <v>-11094605.529933693</v>
      </c>
      <c r="S282">
        <f t="shared" si="967"/>
        <v>-110.94605529933693</v>
      </c>
      <c r="T282">
        <f t="shared" si="968"/>
        <v>-0.11094605529933693</v>
      </c>
    </row>
    <row r="283" spans="1:20" x14ac:dyDescent="0.25">
      <c r="A283" s="5">
        <v>44310</v>
      </c>
      <c r="B283">
        <v>15.72</v>
      </c>
      <c r="C283">
        <v>16.902999999999999</v>
      </c>
      <c r="D283">
        <v>14.9</v>
      </c>
      <c r="E283">
        <v>15.503</v>
      </c>
      <c r="F283">
        <v>718375.49800000002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-0.39790314528207665</v>
      </c>
      <c r="Q283">
        <f t="shared" si="965"/>
        <v>-285843.87014777819</v>
      </c>
      <c r="R283">
        <f t="shared" si="966"/>
        <v>-11180313.452511728</v>
      </c>
      <c r="S283">
        <f t="shared" si="967"/>
        <v>-111.80313452511727</v>
      </c>
      <c r="T283">
        <f t="shared" si="968"/>
        <v>-0.11180313452511727</v>
      </c>
    </row>
    <row r="284" spans="1:20" x14ac:dyDescent="0.25">
      <c r="A284" s="5">
        <v>44309</v>
      </c>
      <c r="B284">
        <v>17.998999999999999</v>
      </c>
      <c r="C284">
        <v>20.5</v>
      </c>
      <c r="D284">
        <v>13.28</v>
      </c>
      <c r="E284">
        <v>15.708</v>
      </c>
      <c r="F284">
        <v>2959819.6179999998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-0.32742382271468129</v>
      </c>
      <c r="Q284">
        <f t="shared" si="965"/>
        <v>-969115.45387146762</v>
      </c>
      <c r="R284">
        <f t="shared" si="966"/>
        <v>-10894469.58236395</v>
      </c>
      <c r="S284">
        <f t="shared" si="967"/>
        <v>-108.94469582363951</v>
      </c>
      <c r="T284">
        <f t="shared" si="968"/>
        <v>-0.10894469582363951</v>
      </c>
    </row>
    <row r="285" spans="1:20" x14ac:dyDescent="0.25">
      <c r="A285" s="5">
        <v>44308</v>
      </c>
      <c r="B285">
        <v>14.035</v>
      </c>
      <c r="C285">
        <v>21.981999999999999</v>
      </c>
      <c r="D285">
        <v>13.8</v>
      </c>
      <c r="E285">
        <v>17.997</v>
      </c>
      <c r="F285">
        <v>1957732.135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2.5910535321437275E-2</v>
      </c>
      <c r="Q285">
        <f t="shared" si="965"/>
        <v>50725.887633830309</v>
      </c>
      <c r="R285">
        <f t="shared" si="966"/>
        <v>-9925354.128492482</v>
      </c>
      <c r="S285">
        <f t="shared" si="967"/>
        <v>-99.253541284924822</v>
      </c>
      <c r="T285">
        <f t="shared" si="968"/>
        <v>-9.9253541284924821E-2</v>
      </c>
    </row>
    <row r="286" spans="1:20" x14ac:dyDescent="0.25">
      <c r="A286" s="5">
        <v>44307</v>
      </c>
      <c r="B286">
        <v>13.867000000000001</v>
      </c>
      <c r="C286">
        <v>17.443000000000001</v>
      </c>
      <c r="D286">
        <v>13.691000000000001</v>
      </c>
      <c r="E286">
        <v>14.048999999999999</v>
      </c>
      <c r="F286">
        <v>693995.04799999995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-0.80916844349680239</v>
      </c>
      <c r="Q286">
        <f t="shared" si="965"/>
        <v>-561558.89278464857</v>
      </c>
      <c r="R286">
        <f t="shared" si="966"/>
        <v>-9976080.0161263123</v>
      </c>
      <c r="S286">
        <f t="shared" si="967"/>
        <v>-99.76080016126312</v>
      </c>
      <c r="T286">
        <f t="shared" si="968"/>
        <v>-9.9760800161263125E-2</v>
      </c>
    </row>
    <row r="287" spans="1:20" x14ac:dyDescent="0.25">
      <c r="A287" s="5">
        <v>44306</v>
      </c>
      <c r="B287">
        <v>13.343</v>
      </c>
      <c r="C287">
        <v>15.516999999999999</v>
      </c>
      <c r="D287">
        <v>11.695</v>
      </c>
      <c r="E287">
        <v>13.842000000000001</v>
      </c>
      <c r="F287">
        <v>337716.06599999999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0.12349555206698101</v>
      </c>
      <c r="Q287">
        <f t="shared" si="965"/>
        <v>41706.432012558995</v>
      </c>
      <c r="R287">
        <f t="shared" si="966"/>
        <v>-9414521.1233416647</v>
      </c>
      <c r="S287">
        <f t="shared" si="967"/>
        <v>-94.145211233416646</v>
      </c>
      <c r="T287">
        <f t="shared" si="968"/>
        <v>-9.414521123341664E-2</v>
      </c>
    </row>
    <row r="288" spans="1:20" x14ac:dyDescent="0.25">
      <c r="A288" s="5">
        <v>44305</v>
      </c>
      <c r="B288">
        <v>14.125</v>
      </c>
      <c r="C288">
        <v>15.45</v>
      </c>
      <c r="D288">
        <v>12.8</v>
      </c>
      <c r="E288">
        <v>13.282999999999999</v>
      </c>
      <c r="F288">
        <v>201895.647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-0.63547169811320825</v>
      </c>
      <c r="Q288">
        <f t="shared" si="965"/>
        <v>-128298.96964075486</v>
      </c>
      <c r="R288">
        <f t="shared" si="966"/>
        <v>-9456227.5553542245</v>
      </c>
      <c r="S288">
        <f t="shared" si="967"/>
        <v>-94.56227555354225</v>
      </c>
      <c r="T288">
        <f t="shared" si="968"/>
        <v>-9.4562275553542255E-2</v>
      </c>
    </row>
    <row r="289" spans="1:20" x14ac:dyDescent="0.25">
      <c r="A289" s="5">
        <v>44304</v>
      </c>
      <c r="B289">
        <v>16.204999999999998</v>
      </c>
      <c r="C289">
        <v>17.143999999999998</v>
      </c>
      <c r="D289">
        <v>13.297000000000001</v>
      </c>
      <c r="E289">
        <v>14.125999999999999</v>
      </c>
      <c r="F289">
        <v>409251.17800000001</v>
      </c>
      <c r="G289">
        <v>0</v>
      </c>
      <c r="L289" t="s">
        <v>8</v>
      </c>
      <c r="M289" t="s">
        <v>7</v>
      </c>
      <c r="N289" t="s">
        <v>7</v>
      </c>
      <c r="P289">
        <f t="shared" si="964"/>
        <v>-0.56901481674031751</v>
      </c>
      <c r="Q289">
        <f t="shared" si="965"/>
        <v>-232869.98405042908</v>
      </c>
      <c r="R289">
        <f t="shared" si="966"/>
        <v>-9327928.5857134704</v>
      </c>
      <c r="S289">
        <f t="shared" si="967"/>
        <v>-93.27928585713471</v>
      </c>
      <c r="T289">
        <f t="shared" si="968"/>
        <v>-9.3279285857134714E-2</v>
      </c>
    </row>
    <row r="290" spans="1:20" x14ac:dyDescent="0.25">
      <c r="A290" s="5">
        <v>44303</v>
      </c>
      <c r="B290">
        <v>16.215</v>
      </c>
      <c r="C290">
        <v>16.925000000000001</v>
      </c>
      <c r="D290">
        <v>16.006</v>
      </c>
      <c r="E290">
        <v>16.190000000000001</v>
      </c>
      <c r="F290">
        <v>149213.43299999999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-0.59956474428726669</v>
      </c>
      <c r="Q290">
        <f t="shared" si="965"/>
        <v>-89463.113800870196</v>
      </c>
      <c r="R290">
        <f t="shared" si="966"/>
        <v>-9095058.6016630419</v>
      </c>
      <c r="S290">
        <f t="shared" si="967"/>
        <v>-90.950586016630425</v>
      </c>
      <c r="T290">
        <f t="shared" si="968"/>
        <v>-9.0950586016630419E-2</v>
      </c>
    </row>
    <row r="291" spans="1:20" x14ac:dyDescent="0.25">
      <c r="A291" s="5">
        <v>44302</v>
      </c>
      <c r="B291">
        <v>17.135999999999999</v>
      </c>
      <c r="C291">
        <v>17.22</v>
      </c>
      <c r="D291">
        <v>15.6</v>
      </c>
      <c r="E291">
        <v>16.213000000000001</v>
      </c>
      <c r="F291">
        <v>179709.46400000001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-0.24320987654320789</v>
      </c>
      <c r="Q291">
        <f t="shared" si="965"/>
        <v>-43707.116553086067</v>
      </c>
      <c r="R291">
        <f t="shared" si="966"/>
        <v>-9005595.4878621716</v>
      </c>
      <c r="S291">
        <f t="shared" si="967"/>
        <v>-90.055954878621719</v>
      </c>
      <c r="T291">
        <f t="shared" si="968"/>
        <v>-9.0055954878621725E-2</v>
      </c>
    </row>
    <row r="292" spans="1:20" x14ac:dyDescent="0.25">
      <c r="A292" s="5">
        <v>44301</v>
      </c>
      <c r="B292">
        <v>16.61</v>
      </c>
      <c r="C292">
        <v>17.7</v>
      </c>
      <c r="D292">
        <v>16.475999999999999</v>
      </c>
      <c r="E292">
        <v>17.158999999999999</v>
      </c>
      <c r="F292">
        <v>206587.05100000001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0.11601307189542438</v>
      </c>
      <c r="Q292">
        <f t="shared" si="965"/>
        <v>23966.798400326705</v>
      </c>
      <c r="R292">
        <f t="shared" si="966"/>
        <v>-8961888.3713090848</v>
      </c>
      <c r="S292">
        <f t="shared" si="967"/>
        <v>-89.618883713090852</v>
      </c>
      <c r="T292">
        <f t="shared" si="968"/>
        <v>-8.9618883713090847E-2</v>
      </c>
    </row>
    <row r="293" spans="1:20" x14ac:dyDescent="0.25">
      <c r="A293" s="5">
        <v>44300</v>
      </c>
      <c r="B293">
        <v>17.198</v>
      </c>
      <c r="C293">
        <v>17.204999999999998</v>
      </c>
      <c r="D293">
        <v>16.11</v>
      </c>
      <c r="E293">
        <v>16.611000000000001</v>
      </c>
      <c r="F293">
        <v>218729.08199999999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-8.4931506849311889E-2</v>
      </c>
      <c r="Q293">
        <f t="shared" si="965"/>
        <v>-18576.990526026701</v>
      </c>
      <c r="R293">
        <f t="shared" si="966"/>
        <v>-8985855.1697094124</v>
      </c>
      <c r="S293">
        <f t="shared" si="967"/>
        <v>-89.858551697094128</v>
      </c>
      <c r="T293">
        <f t="shared" si="968"/>
        <v>-8.9858551697094127E-2</v>
      </c>
    </row>
    <row r="294" spans="1:20" x14ac:dyDescent="0.25">
      <c r="A294" s="5">
        <v>44299</v>
      </c>
      <c r="B294">
        <v>16.809000000000001</v>
      </c>
      <c r="C294">
        <v>20.245000000000001</v>
      </c>
      <c r="D294">
        <v>16.46</v>
      </c>
      <c r="E294">
        <v>17.196000000000002</v>
      </c>
      <c r="F294">
        <v>960798.61199999996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-0.61109643328929952</v>
      </c>
      <c r="Q294">
        <f t="shared" si="965"/>
        <v>-587140.6049025096</v>
      </c>
      <c r="R294">
        <f t="shared" si="966"/>
        <v>-8967278.1791833863</v>
      </c>
      <c r="S294">
        <f t="shared" si="967"/>
        <v>-89.672781791833856</v>
      </c>
      <c r="T294">
        <f t="shared" si="968"/>
        <v>-8.9672781791833855E-2</v>
      </c>
    </row>
    <row r="295" spans="1:20" x14ac:dyDescent="0.25">
      <c r="A295" s="5">
        <v>44298</v>
      </c>
      <c r="B295">
        <v>15.781000000000001</v>
      </c>
      <c r="C295">
        <v>20.271000000000001</v>
      </c>
      <c r="D295">
        <v>15.263999999999999</v>
      </c>
      <c r="E295">
        <v>16.809000000000001</v>
      </c>
      <c r="F295">
        <v>1426821.507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-0.38286399041342073</v>
      </c>
      <c r="Q295">
        <f t="shared" si="965"/>
        <v>-546278.57577771053</v>
      </c>
      <c r="R295">
        <f t="shared" si="966"/>
        <v>-8380137.5742808776</v>
      </c>
      <c r="S295">
        <f t="shared" si="967"/>
        <v>-83.801375742808773</v>
      </c>
      <c r="T295">
        <f t="shared" si="968"/>
        <v>-8.380137574280877E-2</v>
      </c>
    </row>
    <row r="296" spans="1:20" x14ac:dyDescent="0.25">
      <c r="A296" s="5">
        <v>44297</v>
      </c>
      <c r="B296">
        <v>14.946999999999999</v>
      </c>
      <c r="C296">
        <v>15.94</v>
      </c>
      <c r="D296">
        <v>14.695</v>
      </c>
      <c r="E296">
        <v>15.8</v>
      </c>
      <c r="F296">
        <v>218025.14199999999</v>
      </c>
      <c r="G296">
        <v>0</v>
      </c>
      <c r="L296" t="s">
        <v>8</v>
      </c>
      <c r="M296" t="s">
        <v>7</v>
      </c>
      <c r="N296" t="s">
        <v>7</v>
      </c>
      <c r="P296">
        <f t="shared" si="964"/>
        <v>0.77510040160642746</v>
      </c>
      <c r="Q296">
        <f t="shared" si="965"/>
        <v>168991.37512449836</v>
      </c>
      <c r="R296">
        <f t="shared" si="966"/>
        <v>-7833858.9985031672</v>
      </c>
      <c r="S296">
        <f t="shared" si="967"/>
        <v>-78.338589985031675</v>
      </c>
      <c r="T296">
        <f t="shared" si="968"/>
        <v>-7.8338589985031681E-2</v>
      </c>
    </row>
    <row r="297" spans="1:20" x14ac:dyDescent="0.25">
      <c r="A297" s="5">
        <v>44296</v>
      </c>
      <c r="B297">
        <v>15.523999999999999</v>
      </c>
      <c r="C297">
        <v>16.298999999999999</v>
      </c>
      <c r="D297">
        <v>14.666</v>
      </c>
      <c r="E297">
        <v>14.948</v>
      </c>
      <c r="F297">
        <v>203252.986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-0.6546233925290873</v>
      </c>
      <c r="Q297">
        <f t="shared" si="965"/>
        <v>-133054.15923698709</v>
      </c>
      <c r="R297">
        <f t="shared" si="966"/>
        <v>-8002850.3736276655</v>
      </c>
      <c r="S297">
        <f t="shared" si="967"/>
        <v>-80.028503736276662</v>
      </c>
      <c r="T297">
        <f t="shared" si="968"/>
        <v>-8.0028503736276665E-2</v>
      </c>
    </row>
    <row r="298" spans="1:20" x14ac:dyDescent="0.25">
      <c r="A298" s="5">
        <v>44295</v>
      </c>
      <c r="B298">
        <v>15.631</v>
      </c>
      <c r="C298">
        <v>16.498999999999999</v>
      </c>
      <c r="D298">
        <v>15.2</v>
      </c>
      <c r="E298">
        <v>15.525</v>
      </c>
      <c r="F298">
        <v>246235.16699999999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-0.49961508852963632</v>
      </c>
      <c r="Q298">
        <f t="shared" si="965"/>
        <v>-123022.80475981478</v>
      </c>
      <c r="R298">
        <f t="shared" si="966"/>
        <v>-7869796.2143906783</v>
      </c>
      <c r="S298">
        <f t="shared" si="967"/>
        <v>-78.697962143906778</v>
      </c>
      <c r="T298">
        <f t="shared" si="968"/>
        <v>-7.8697962143906772E-2</v>
      </c>
    </row>
    <row r="299" spans="1:20" x14ac:dyDescent="0.25">
      <c r="A299" s="5">
        <v>44294</v>
      </c>
      <c r="B299">
        <v>16.788</v>
      </c>
      <c r="C299">
        <v>17.7</v>
      </c>
      <c r="D299">
        <v>15.163</v>
      </c>
      <c r="E299">
        <v>15.643000000000001</v>
      </c>
      <c r="F299">
        <v>690452.42799999996</v>
      </c>
      <c r="G299">
        <v>0</v>
      </c>
      <c r="L299" t="s">
        <v>7</v>
      </c>
      <c r="M299" t="s">
        <v>7</v>
      </c>
      <c r="N299" t="s">
        <v>7</v>
      </c>
      <c r="P299">
        <f t="shared" si="964"/>
        <v>-0.62160031533307003</v>
      </c>
      <c r="Q299">
        <f t="shared" si="965"/>
        <v>-429185.44696728379</v>
      </c>
      <c r="R299">
        <f t="shared" si="966"/>
        <v>-7746773.4096308639</v>
      </c>
      <c r="S299">
        <f t="shared" si="967"/>
        <v>-77.467734096308632</v>
      </c>
      <c r="T299">
        <f t="shared" si="968"/>
        <v>-7.7467734096308638E-2</v>
      </c>
    </row>
    <row r="300" spans="1:20" x14ac:dyDescent="0.25">
      <c r="A300" s="5">
        <v>44293</v>
      </c>
      <c r="B300">
        <v>15.827999999999999</v>
      </c>
      <c r="C300">
        <v>25.416</v>
      </c>
      <c r="D300">
        <v>14.425000000000001</v>
      </c>
      <c r="E300">
        <v>16.940000000000001</v>
      </c>
      <c r="F300">
        <v>2410816.3620000002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-0.54235283413702107</v>
      </c>
      <c r="Q300">
        <f t="shared" si="965"/>
        <v>-1307513.0865146026</v>
      </c>
      <c r="R300">
        <f t="shared" si="966"/>
        <v>-7317587.9626635797</v>
      </c>
      <c r="S300">
        <f t="shared" si="967"/>
        <v>-73.17587962663579</v>
      </c>
      <c r="T300">
        <f t="shared" si="968"/>
        <v>-7.3175879626635784E-2</v>
      </c>
    </row>
    <row r="301" spans="1:20" x14ac:dyDescent="0.25">
      <c r="A301" s="5">
        <v>44292</v>
      </c>
      <c r="B301">
        <v>14.195</v>
      </c>
      <c r="C301">
        <v>18.48</v>
      </c>
      <c r="D301">
        <v>14.1</v>
      </c>
      <c r="E301">
        <v>15.8</v>
      </c>
      <c r="F301">
        <v>600823.897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-0.22374429223744258</v>
      </c>
      <c r="Q301">
        <f t="shared" si="965"/>
        <v>-134430.9175936071</v>
      </c>
      <c r="R301">
        <f t="shared" si="966"/>
        <v>-6010074.8761489773</v>
      </c>
      <c r="S301">
        <f t="shared" si="967"/>
        <v>-60.100748761489776</v>
      </c>
      <c r="T301">
        <f t="shared" si="968"/>
        <v>-6.0100748761489776E-2</v>
      </c>
    </row>
    <row r="302" spans="1:20" x14ac:dyDescent="0.25">
      <c r="A302" s="5">
        <v>44291</v>
      </c>
      <c r="B302">
        <v>13.916</v>
      </c>
      <c r="C302">
        <v>14.555999999999999</v>
      </c>
      <c r="D302">
        <v>13.6</v>
      </c>
      <c r="E302">
        <v>14.195</v>
      </c>
      <c r="F302">
        <v>102533.992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0.24476987447698942</v>
      </c>
      <c r="Q302">
        <f t="shared" si="965"/>
        <v>25097.232351464638</v>
      </c>
      <c r="R302">
        <f t="shared" si="966"/>
        <v>-5875643.9585553706</v>
      </c>
      <c r="S302">
        <f t="shared" si="967"/>
        <v>-58.756439585553707</v>
      </c>
      <c r="T302">
        <f t="shared" si="968"/>
        <v>-5.875643958555371E-2</v>
      </c>
    </row>
    <row r="303" spans="1:20" x14ac:dyDescent="0.25">
      <c r="A303" s="5">
        <v>44290</v>
      </c>
      <c r="B303">
        <v>13.451000000000001</v>
      </c>
      <c r="C303">
        <v>14.366</v>
      </c>
      <c r="D303">
        <v>13.228</v>
      </c>
      <c r="E303">
        <v>13.916</v>
      </c>
      <c r="F303">
        <v>72699.718999999997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0.20913884007029995</v>
      </c>
      <c r="Q303">
        <f t="shared" si="965"/>
        <v>15204.334905096746</v>
      </c>
      <c r="R303">
        <f t="shared" si="966"/>
        <v>-5900741.1909068348</v>
      </c>
      <c r="S303">
        <f t="shared" si="967"/>
        <v>-59.007411909068345</v>
      </c>
      <c r="T303">
        <f t="shared" si="968"/>
        <v>-5.9007411909068344E-2</v>
      </c>
    </row>
    <row r="304" spans="1:20" x14ac:dyDescent="0.25">
      <c r="A304" s="5">
        <v>44289</v>
      </c>
      <c r="B304">
        <v>14.478999999999999</v>
      </c>
      <c r="C304">
        <v>14.635999999999999</v>
      </c>
      <c r="D304">
        <v>13.419</v>
      </c>
      <c r="E304">
        <v>13.448</v>
      </c>
      <c r="F304">
        <v>89843.044999999998</v>
      </c>
      <c r="G304">
        <v>0</v>
      </c>
      <c r="L304" t="s">
        <v>7</v>
      </c>
      <c r="M304" t="s">
        <v>8</v>
      </c>
      <c r="N304" t="s">
        <v>7</v>
      </c>
      <c r="P304">
        <f t="shared" si="964"/>
        <v>-0.95234182415776514</v>
      </c>
      <c r="Q304">
        <f t="shared" si="965"/>
        <v>-85561.289363188174</v>
      </c>
      <c r="R304">
        <f t="shared" si="966"/>
        <v>-5915945.5258119311</v>
      </c>
      <c r="S304">
        <f t="shared" si="967"/>
        <v>-59.159455258119308</v>
      </c>
      <c r="T304">
        <f t="shared" si="968"/>
        <v>-5.915945525811931E-2</v>
      </c>
    </row>
    <row r="305" spans="1:20" x14ac:dyDescent="0.25">
      <c r="A305" s="5">
        <v>44288</v>
      </c>
      <c r="B305">
        <v>14.066000000000001</v>
      </c>
      <c r="C305">
        <v>14.683</v>
      </c>
      <c r="D305">
        <v>13.903</v>
      </c>
      <c r="E305">
        <v>14.478999999999999</v>
      </c>
      <c r="F305">
        <v>88298.678</v>
      </c>
      <c r="G305">
        <v>0</v>
      </c>
      <c r="L305" t="s">
        <v>7</v>
      </c>
      <c r="M305" t="s">
        <v>8</v>
      </c>
      <c r="N305" t="s">
        <v>7</v>
      </c>
      <c r="P305">
        <f t="shared" si="964"/>
        <v>0.4769230769230749</v>
      </c>
      <c r="Q305">
        <f t="shared" si="965"/>
        <v>42111.677199999824</v>
      </c>
      <c r="R305">
        <f t="shared" si="966"/>
        <v>-5830384.2364487434</v>
      </c>
      <c r="S305">
        <f t="shared" si="967"/>
        <v>-58.303842364487437</v>
      </c>
      <c r="T305">
        <f t="shared" si="968"/>
        <v>-5.8303842364487435E-2</v>
      </c>
    </row>
    <row r="306" spans="1:20" x14ac:dyDescent="0.25">
      <c r="A306" s="5">
        <v>44287</v>
      </c>
      <c r="B306">
        <v>14.173999999999999</v>
      </c>
      <c r="C306">
        <v>14.382</v>
      </c>
      <c r="D306">
        <v>13.933999999999999</v>
      </c>
      <c r="E306">
        <v>14.066000000000001</v>
      </c>
      <c r="F306">
        <v>69219.607999999993</v>
      </c>
      <c r="G306">
        <v>0</v>
      </c>
      <c r="L306" t="s">
        <v>7</v>
      </c>
      <c r="M306" t="s">
        <v>8</v>
      </c>
      <c r="N306" t="s">
        <v>7</v>
      </c>
      <c r="P306">
        <f t="shared" si="964"/>
        <v>-0.41071428571427976</v>
      </c>
      <c r="Q306">
        <f t="shared" si="965"/>
        <v>-28429.48185714244</v>
      </c>
      <c r="R306">
        <f t="shared" si="966"/>
        <v>-5872495.9136487432</v>
      </c>
      <c r="S306">
        <f t="shared" si="967"/>
        <v>-58.724959136487435</v>
      </c>
      <c r="T306">
        <f t="shared" si="968"/>
        <v>-5.8724959136487433E-2</v>
      </c>
    </row>
    <row r="307" spans="1:20" x14ac:dyDescent="0.25">
      <c r="A307" s="5">
        <v>44286</v>
      </c>
      <c r="B307">
        <v>14.438000000000001</v>
      </c>
      <c r="C307">
        <v>15.481999999999999</v>
      </c>
      <c r="D307">
        <v>13.72</v>
      </c>
      <c r="E307">
        <v>14.153</v>
      </c>
      <c r="F307">
        <v>189119.701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-0.50851305334846753</v>
      </c>
      <c r="Q307">
        <f t="shared" si="965"/>
        <v>-96169.836603859221</v>
      </c>
      <c r="R307">
        <f t="shared" si="966"/>
        <v>-5844066.4317916008</v>
      </c>
      <c r="S307">
        <f t="shared" si="967"/>
        <v>-58.44066431791601</v>
      </c>
      <c r="T307">
        <f t="shared" si="968"/>
        <v>-5.8440664317916009E-2</v>
      </c>
    </row>
    <row r="308" spans="1:20" x14ac:dyDescent="0.25">
      <c r="A308" s="5">
        <v>44285</v>
      </c>
      <c r="B308">
        <v>14.935</v>
      </c>
      <c r="C308">
        <v>15.05</v>
      </c>
      <c r="D308">
        <v>14.27</v>
      </c>
      <c r="E308">
        <v>14.436999999999999</v>
      </c>
      <c r="F308">
        <v>99039.134999999995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-0.57179487179487287</v>
      </c>
      <c r="Q308">
        <f t="shared" si="965"/>
        <v>-56630.069500000107</v>
      </c>
      <c r="R308">
        <f t="shared" si="966"/>
        <v>-5747896.5951877413</v>
      </c>
      <c r="S308">
        <f t="shared" si="967"/>
        <v>-57.478965951877413</v>
      </c>
      <c r="T308">
        <f t="shared" si="968"/>
        <v>-5.747896595187741E-2</v>
      </c>
    </row>
    <row r="309" spans="1:20" x14ac:dyDescent="0.25">
      <c r="A309" s="5">
        <v>44284</v>
      </c>
      <c r="B309">
        <v>13.847</v>
      </c>
      <c r="C309">
        <v>15.6</v>
      </c>
      <c r="D309">
        <v>13.65</v>
      </c>
      <c r="E309">
        <v>14.933999999999999</v>
      </c>
      <c r="F309">
        <v>189109.79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0.31692307692307631</v>
      </c>
      <c r="Q309">
        <f t="shared" si="965"/>
        <v>59933.256523076809</v>
      </c>
      <c r="R309">
        <f t="shared" si="966"/>
        <v>-5691266.5256877411</v>
      </c>
      <c r="S309">
        <f t="shared" si="967"/>
        <v>-56.912665256877411</v>
      </c>
      <c r="T309">
        <f t="shared" si="968"/>
        <v>-5.6912665256877409E-2</v>
      </c>
    </row>
    <row r="310" spans="1:20" x14ac:dyDescent="0.25">
      <c r="A310" s="5">
        <v>44283</v>
      </c>
      <c r="B310">
        <v>13.981999999999999</v>
      </c>
      <c r="C310">
        <v>14.45</v>
      </c>
      <c r="D310">
        <v>13.657999999999999</v>
      </c>
      <c r="E310">
        <v>13.84</v>
      </c>
      <c r="F310">
        <v>98104.966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-0.54040404040403933</v>
      </c>
      <c r="Q310">
        <f t="shared" si="965"/>
        <v>-53016.320010100906</v>
      </c>
      <c r="R310">
        <f t="shared" si="966"/>
        <v>-5751199.7822108176</v>
      </c>
      <c r="S310">
        <f t="shared" si="967"/>
        <v>-57.511997822108178</v>
      </c>
      <c r="T310">
        <f t="shared" si="968"/>
        <v>-5.7511997822108175E-2</v>
      </c>
    </row>
    <row r="311" spans="1:20" x14ac:dyDescent="0.25">
      <c r="A311" s="5">
        <v>44282</v>
      </c>
      <c r="B311">
        <v>13.971</v>
      </c>
      <c r="C311">
        <v>14.273999999999999</v>
      </c>
      <c r="D311">
        <v>13.58</v>
      </c>
      <c r="E311">
        <v>13.988</v>
      </c>
      <c r="F311">
        <v>97307.782000000007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0.17579250720461104</v>
      </c>
      <c r="Q311">
        <f t="shared" si="965"/>
        <v>17105.978968299722</v>
      </c>
      <c r="R311">
        <f t="shared" si="966"/>
        <v>-5698183.4622007171</v>
      </c>
      <c r="S311">
        <f t="shared" si="967"/>
        <v>-56.98183462200717</v>
      </c>
      <c r="T311">
        <f t="shared" si="968"/>
        <v>-5.698183462200717E-2</v>
      </c>
    </row>
    <row r="312" spans="1:20" x14ac:dyDescent="0.25">
      <c r="A312" s="5">
        <v>44281</v>
      </c>
      <c r="B312">
        <v>13.34</v>
      </c>
      <c r="C312">
        <v>14.757999999999999</v>
      </c>
      <c r="D312">
        <v>13.122999999999999</v>
      </c>
      <c r="E312">
        <v>13.958</v>
      </c>
      <c r="F312">
        <v>172534.77900000001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2.1406727828747352E-2</v>
      </c>
      <c r="Q312">
        <f t="shared" si="965"/>
        <v>3693.4050550460747</v>
      </c>
      <c r="R312">
        <f t="shared" si="966"/>
        <v>-5715289.441169017</v>
      </c>
      <c r="S312">
        <f t="shared" si="967"/>
        <v>-57.15289441169017</v>
      </c>
      <c r="T312">
        <f t="shared" si="968"/>
        <v>-5.7152894411690171E-2</v>
      </c>
    </row>
    <row r="313" spans="1:20" x14ac:dyDescent="0.25">
      <c r="A313" s="5">
        <v>44280</v>
      </c>
      <c r="B313">
        <v>12.798</v>
      </c>
      <c r="C313">
        <v>15.082000000000001</v>
      </c>
      <c r="D313">
        <v>12.082000000000001</v>
      </c>
      <c r="E313">
        <v>13.295</v>
      </c>
      <c r="F313">
        <v>418559.68800000002</v>
      </c>
      <c r="G313">
        <v>0</v>
      </c>
      <c r="L313" t="s">
        <v>7</v>
      </c>
      <c r="M313" t="s">
        <v>8</v>
      </c>
      <c r="N313" t="s">
        <v>7</v>
      </c>
      <c r="P313">
        <f t="shared" si="964"/>
        <v>-0.19133333333333388</v>
      </c>
      <c r="Q313">
        <f t="shared" si="965"/>
        <v>-80084.420304000232</v>
      </c>
      <c r="R313">
        <f t="shared" si="966"/>
        <v>-5718982.8462240631</v>
      </c>
      <c r="S313">
        <f t="shared" si="967"/>
        <v>-57.189828462240634</v>
      </c>
      <c r="T313">
        <f t="shared" si="968"/>
        <v>-5.7189828462240633E-2</v>
      </c>
    </row>
    <row r="314" spans="1:20" x14ac:dyDescent="0.25">
      <c r="A314" s="5">
        <v>44279</v>
      </c>
      <c r="B314">
        <v>13.866</v>
      </c>
      <c r="C314">
        <v>14.72</v>
      </c>
      <c r="D314">
        <v>12.506</v>
      </c>
      <c r="E314">
        <v>12.851000000000001</v>
      </c>
      <c r="F314">
        <v>106129.701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-0.68834688346883421</v>
      </c>
      <c r="Q314">
        <f t="shared" si="965"/>
        <v>-73054.048926829215</v>
      </c>
      <c r="R314">
        <f t="shared" si="966"/>
        <v>-5638898.4259200627</v>
      </c>
      <c r="S314">
        <f t="shared" si="967"/>
        <v>-56.388984259200626</v>
      </c>
      <c r="T314">
        <f t="shared" si="968"/>
        <v>-5.6388984259200629E-2</v>
      </c>
    </row>
    <row r="315" spans="1:20" x14ac:dyDescent="0.25">
      <c r="A315" s="5">
        <v>44278</v>
      </c>
      <c r="B315">
        <v>14.398999999999999</v>
      </c>
      <c r="C315">
        <v>14.86</v>
      </c>
      <c r="D315">
        <v>13.271000000000001</v>
      </c>
      <c r="E315">
        <v>13.888999999999999</v>
      </c>
      <c r="F315">
        <v>155795.07399999999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-0.22215229704216605</v>
      </c>
      <c r="Q315">
        <f t="shared" si="965"/>
        <v>-34610.233556954241</v>
      </c>
      <c r="R315">
        <f t="shared" si="966"/>
        <v>-5565844.3769932333</v>
      </c>
      <c r="S315">
        <f t="shared" si="967"/>
        <v>-55.658443769932333</v>
      </c>
      <c r="T315">
        <f t="shared" si="968"/>
        <v>-5.5658443769932335E-2</v>
      </c>
    </row>
    <row r="316" spans="1:20" x14ac:dyDescent="0.25">
      <c r="A316" s="5">
        <v>44277</v>
      </c>
      <c r="B316">
        <v>15.103</v>
      </c>
      <c r="C316">
        <v>15.5</v>
      </c>
      <c r="D316">
        <v>13.823</v>
      </c>
      <c r="E316">
        <v>14.41</v>
      </c>
      <c r="F316">
        <v>171430.88399999999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-0.29994036970781168</v>
      </c>
      <c r="Q316">
        <f t="shared" si="965"/>
        <v>-51419.042726296975</v>
      </c>
      <c r="R316">
        <f t="shared" si="966"/>
        <v>-5531234.1434362791</v>
      </c>
      <c r="S316">
        <f t="shared" si="967"/>
        <v>-55.312341434362793</v>
      </c>
      <c r="T316">
        <f t="shared" si="968"/>
        <v>-5.531234143436279E-2</v>
      </c>
    </row>
    <row r="317" spans="1:20" x14ac:dyDescent="0.25">
      <c r="A317" s="5">
        <v>44276</v>
      </c>
      <c r="B317">
        <v>14.685</v>
      </c>
      <c r="C317">
        <v>17.968</v>
      </c>
      <c r="D317">
        <v>14.5</v>
      </c>
      <c r="E317">
        <v>15.013999999999999</v>
      </c>
      <c r="F317">
        <v>664870.94999999995</v>
      </c>
      <c r="G317">
        <v>0</v>
      </c>
      <c r="L317" t="s">
        <v>8</v>
      </c>
      <c r="M317" t="s">
        <v>8</v>
      </c>
      <c r="N317" t="s">
        <v>7</v>
      </c>
      <c r="P317">
        <f t="shared" si="964"/>
        <v>-0.70357554786620569</v>
      </c>
      <c r="Q317">
        <f t="shared" si="965"/>
        <v>-467786.94290657464</v>
      </c>
      <c r="R317">
        <f t="shared" si="966"/>
        <v>-5479815.1007099822</v>
      </c>
      <c r="S317">
        <f t="shared" si="967"/>
        <v>-54.798151007099825</v>
      </c>
      <c r="T317">
        <f t="shared" si="968"/>
        <v>-5.4798151007099824E-2</v>
      </c>
    </row>
    <row r="318" spans="1:20" x14ac:dyDescent="0.25">
      <c r="A318" s="5">
        <v>44275</v>
      </c>
      <c r="B318">
        <v>14.917999999999999</v>
      </c>
      <c r="C318">
        <v>17.3</v>
      </c>
      <c r="D318">
        <v>13.58</v>
      </c>
      <c r="E318">
        <v>14.71</v>
      </c>
      <c r="F318">
        <v>314795.12900000002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-0.3924731182795696</v>
      </c>
      <c r="Q318">
        <f t="shared" si="965"/>
        <v>-123548.62589784937</v>
      </c>
      <c r="R318">
        <f t="shared" si="966"/>
        <v>-5012028.1578034079</v>
      </c>
      <c r="S318">
        <f t="shared" si="967"/>
        <v>-50.120281578034081</v>
      </c>
      <c r="T318">
        <f t="shared" si="968"/>
        <v>-5.0120281578034082E-2</v>
      </c>
    </row>
    <row r="319" spans="1:20" x14ac:dyDescent="0.25">
      <c r="A319" s="5">
        <v>44274</v>
      </c>
      <c r="B319">
        <v>15.007999999999999</v>
      </c>
      <c r="C319">
        <v>15.8</v>
      </c>
      <c r="D319">
        <v>14.542</v>
      </c>
      <c r="E319">
        <v>14.893000000000001</v>
      </c>
      <c r="F319">
        <v>113175.38099999999</v>
      </c>
      <c r="G319">
        <v>0</v>
      </c>
      <c r="L319" t="s">
        <v>8</v>
      </c>
      <c r="M319" t="s">
        <v>7</v>
      </c>
      <c r="N319" t="s">
        <v>7</v>
      </c>
      <c r="P319">
        <f t="shared" si="964"/>
        <v>-0.44197138314785278</v>
      </c>
      <c r="Q319">
        <f t="shared" si="965"/>
        <v>-50020.279678855215</v>
      </c>
      <c r="R319">
        <f t="shared" si="966"/>
        <v>-4888479.5319055589</v>
      </c>
      <c r="S319">
        <f t="shared" si="967"/>
        <v>-48.884795319055591</v>
      </c>
      <c r="T319">
        <f t="shared" si="968"/>
        <v>-4.8884795319055589E-2</v>
      </c>
    </row>
    <row r="320" spans="1:20" x14ac:dyDescent="0.25">
      <c r="A320" s="5">
        <v>44273</v>
      </c>
      <c r="B320">
        <v>14.750999999999999</v>
      </c>
      <c r="C320">
        <v>15.276999999999999</v>
      </c>
      <c r="D320">
        <v>14.45</v>
      </c>
      <c r="E320">
        <v>14.997999999999999</v>
      </c>
      <c r="F320">
        <v>106661.905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0.32527206771463135</v>
      </c>
      <c r="Q320">
        <f t="shared" si="965"/>
        <v>34694.138385731574</v>
      </c>
      <c r="R320">
        <f t="shared" si="966"/>
        <v>-4838459.2522267038</v>
      </c>
      <c r="S320">
        <f t="shared" si="967"/>
        <v>-48.384592522267035</v>
      </c>
      <c r="T320">
        <f t="shared" si="968"/>
        <v>-4.8384592522267032E-2</v>
      </c>
    </row>
    <row r="321" spans="1:20" x14ac:dyDescent="0.25">
      <c r="A321" s="5">
        <v>44272</v>
      </c>
      <c r="B321">
        <v>14.923</v>
      </c>
      <c r="C321">
        <v>15.7</v>
      </c>
      <c r="D321">
        <v>14.156000000000001</v>
      </c>
      <c r="E321">
        <v>14.747999999999999</v>
      </c>
      <c r="F321">
        <v>159724.916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-0.233160621761659</v>
      </c>
      <c r="Q321">
        <f t="shared" si="965"/>
        <v>-37241.560725388757</v>
      </c>
      <c r="R321">
        <f t="shared" si="966"/>
        <v>-4873153.3906124355</v>
      </c>
      <c r="S321">
        <f t="shared" si="967"/>
        <v>-48.731533906124355</v>
      </c>
      <c r="T321">
        <f t="shared" si="968"/>
        <v>-4.8731533906124357E-2</v>
      </c>
    </row>
    <row r="322" spans="1:20" x14ac:dyDescent="0.25">
      <c r="A322" s="5">
        <v>44271</v>
      </c>
      <c r="B322">
        <v>14.352</v>
      </c>
      <c r="C322">
        <v>15.856999999999999</v>
      </c>
      <c r="D322">
        <v>13.72</v>
      </c>
      <c r="E322">
        <v>14.927</v>
      </c>
      <c r="F322">
        <v>202226.19500000001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0.12962096396817943</v>
      </c>
      <c r="Q322">
        <f t="shared" si="965"/>
        <v>26212.754335517027</v>
      </c>
      <c r="R322">
        <f t="shared" si="966"/>
        <v>-4835911.8298870465</v>
      </c>
      <c r="S322">
        <f t="shared" si="967"/>
        <v>-48.359118298870463</v>
      </c>
      <c r="T322">
        <f t="shared" si="968"/>
        <v>-4.8359118298870463E-2</v>
      </c>
    </row>
    <row r="323" spans="1:20" x14ac:dyDescent="0.25">
      <c r="A323" s="5">
        <v>44270</v>
      </c>
      <c r="B323">
        <v>15.442</v>
      </c>
      <c r="C323">
        <v>15.497999999999999</v>
      </c>
      <c r="D323">
        <v>14.196</v>
      </c>
      <c r="E323">
        <v>14.368</v>
      </c>
      <c r="F323">
        <v>239753.845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-0.7357910906297993</v>
      </c>
      <c r="Q323">
        <f t="shared" si="965"/>
        <v>-176408.74309523785</v>
      </c>
      <c r="R323">
        <f t="shared" si="966"/>
        <v>-4862124.5842225635</v>
      </c>
      <c r="S323">
        <f t="shared" si="967"/>
        <v>-48.621245842225633</v>
      </c>
      <c r="T323">
        <f t="shared" si="968"/>
        <v>-4.862124584222563E-2</v>
      </c>
    </row>
    <row r="324" spans="1:20" x14ac:dyDescent="0.25">
      <c r="A324" s="5">
        <v>44269</v>
      </c>
      <c r="B324">
        <v>17.617999999999999</v>
      </c>
      <c r="C324">
        <v>17.736999999999998</v>
      </c>
      <c r="D324">
        <v>15.442</v>
      </c>
      <c r="E324">
        <v>15.493</v>
      </c>
      <c r="F324">
        <v>309079.84100000001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-0.95555555555555538</v>
      </c>
      <c r="Q324">
        <f t="shared" si="965"/>
        <v>-295342.95917777775</v>
      </c>
      <c r="R324">
        <f t="shared" si="966"/>
        <v>-4685715.8411273258</v>
      </c>
      <c r="S324">
        <f t="shared" si="967"/>
        <v>-46.857158411273261</v>
      </c>
      <c r="T324">
        <f t="shared" si="968"/>
        <v>-4.6857158411273261E-2</v>
      </c>
    </row>
    <row r="325" spans="1:20" x14ac:dyDescent="0.25">
      <c r="A325" s="5">
        <v>44268</v>
      </c>
      <c r="B325">
        <v>14.249000000000001</v>
      </c>
      <c r="C325">
        <v>20</v>
      </c>
      <c r="D325">
        <v>14</v>
      </c>
      <c r="E325">
        <v>17.619</v>
      </c>
      <c r="F325">
        <v>1079592.9310000001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0.20633333333333326</v>
      </c>
      <c r="Q325">
        <f t="shared" si="965"/>
        <v>222756.00809633327</v>
      </c>
      <c r="R325">
        <f t="shared" si="966"/>
        <v>-4390372.8819495477</v>
      </c>
      <c r="S325">
        <f t="shared" si="967"/>
        <v>-43.903728819495477</v>
      </c>
      <c r="T325">
        <f t="shared" si="968"/>
        <v>-4.3903728819495474E-2</v>
      </c>
    </row>
    <row r="326" spans="1:20" x14ac:dyDescent="0.25">
      <c r="A326" s="5">
        <v>44267</v>
      </c>
      <c r="B326">
        <v>14.420999999999999</v>
      </c>
      <c r="C326">
        <v>15.8</v>
      </c>
      <c r="D326">
        <v>13</v>
      </c>
      <c r="E326">
        <v>14.2</v>
      </c>
      <c r="F326">
        <v>544976.67799999996</v>
      </c>
      <c r="G326">
        <v>0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-0.14285714285714357</v>
      </c>
      <c r="Q326">
        <f t="shared" ref="Q326:Q389" si="970">F326*P326</f>
        <v>-77853.811142857521</v>
      </c>
      <c r="R326">
        <f t="shared" ref="R326:R389" si="971">R327+Q326</f>
        <v>-4613128.8900458813</v>
      </c>
      <c r="S326">
        <f t="shared" ref="S326:S389" si="972">R326/100000</f>
        <v>-46.131288900458813</v>
      </c>
      <c r="T326">
        <f t="shared" ref="T326:T389" si="973">S326/1000</f>
        <v>-4.6131288900458811E-2</v>
      </c>
    </row>
    <row r="327" spans="1:20" x14ac:dyDescent="0.25">
      <c r="A327" s="5">
        <v>44266</v>
      </c>
      <c r="B327">
        <v>14.053000000000001</v>
      </c>
      <c r="C327">
        <v>16.2</v>
      </c>
      <c r="D327">
        <v>12.5</v>
      </c>
      <c r="E327">
        <v>14.406000000000001</v>
      </c>
      <c r="F327">
        <v>1138241.162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3.0270270270270783E-2</v>
      </c>
      <c r="Q327">
        <f t="shared" si="970"/>
        <v>34454.867606487074</v>
      </c>
      <c r="R327">
        <f t="shared" si="971"/>
        <v>-4535275.0789030241</v>
      </c>
      <c r="S327">
        <f t="shared" si="972"/>
        <v>-45.352750789030239</v>
      </c>
      <c r="T327">
        <f t="shared" si="973"/>
        <v>-4.5352750789030241E-2</v>
      </c>
    </row>
    <row r="328" spans="1:20" x14ac:dyDescent="0.25">
      <c r="A328" s="5">
        <v>44265</v>
      </c>
      <c r="B328">
        <v>11.275</v>
      </c>
      <c r="C328">
        <v>20.79</v>
      </c>
      <c r="D328">
        <v>10.795</v>
      </c>
      <c r="E328">
        <v>13.986000000000001</v>
      </c>
      <c r="F328">
        <v>1956751.0020000001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-0.36148074037018491</v>
      </c>
      <c r="Q328">
        <f t="shared" si="970"/>
        <v>-707327.80092306121</v>
      </c>
      <c r="R328">
        <f t="shared" si="971"/>
        <v>-4569729.9465095112</v>
      </c>
      <c r="S328">
        <f t="shared" si="972"/>
        <v>-45.697299465095114</v>
      </c>
      <c r="T328">
        <f t="shared" si="973"/>
        <v>-4.5697299465095112E-2</v>
      </c>
    </row>
    <row r="329" spans="1:20" x14ac:dyDescent="0.25">
      <c r="A329" s="5">
        <v>44264</v>
      </c>
      <c r="B329">
        <v>10.108000000000001</v>
      </c>
      <c r="C329">
        <v>11.976000000000001</v>
      </c>
      <c r="D329">
        <v>9.952</v>
      </c>
      <c r="E329">
        <v>11.275</v>
      </c>
      <c r="F329">
        <v>268375.25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0.30731225296442666</v>
      </c>
      <c r="Q329">
        <f t="shared" si="970"/>
        <v>82475.002717391239</v>
      </c>
      <c r="R329">
        <f t="shared" si="971"/>
        <v>-3862402.1455864501</v>
      </c>
      <c r="S329">
        <f t="shared" si="972"/>
        <v>-38.624021455864501</v>
      </c>
      <c r="T329">
        <f t="shared" si="973"/>
        <v>-3.86240214558645E-2</v>
      </c>
    </row>
    <row r="330" spans="1:20" x14ac:dyDescent="0.25">
      <c r="A330" s="5">
        <v>44263</v>
      </c>
      <c r="B330">
        <v>10.101000000000001</v>
      </c>
      <c r="C330">
        <v>10.5</v>
      </c>
      <c r="D330">
        <v>9.56</v>
      </c>
      <c r="E330">
        <v>10.11</v>
      </c>
      <c r="F330">
        <v>97386.691999999995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0.17021276595744517</v>
      </c>
      <c r="Q330">
        <f t="shared" si="970"/>
        <v>16576.458212765796</v>
      </c>
      <c r="R330">
        <f t="shared" si="971"/>
        <v>-3944877.1483038412</v>
      </c>
      <c r="S330">
        <f t="shared" si="972"/>
        <v>-39.448771483038414</v>
      </c>
      <c r="T330">
        <f t="shared" si="973"/>
        <v>-3.9448771483038415E-2</v>
      </c>
    </row>
    <row r="331" spans="1:20" x14ac:dyDescent="0.25">
      <c r="A331" s="5">
        <v>44262</v>
      </c>
      <c r="B331">
        <v>9.6999999999999993</v>
      </c>
      <c r="C331">
        <v>10.935</v>
      </c>
      <c r="D331">
        <v>9.6739999999999995</v>
      </c>
      <c r="E331">
        <v>10.102</v>
      </c>
      <c r="F331">
        <v>146753.21799999999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-0.32117367168913485</v>
      </c>
      <c r="Q331">
        <f t="shared" si="970"/>
        <v>-47133.269857256033</v>
      </c>
      <c r="R331">
        <f t="shared" si="971"/>
        <v>-3961453.6065166071</v>
      </c>
      <c r="S331">
        <f t="shared" si="972"/>
        <v>-39.614536065166071</v>
      </c>
      <c r="T331">
        <f t="shared" si="973"/>
        <v>-3.9614536065166073E-2</v>
      </c>
    </row>
    <row r="332" spans="1:20" x14ac:dyDescent="0.25">
      <c r="A332" s="5">
        <v>44261</v>
      </c>
      <c r="B332">
        <v>9.1219999999999999</v>
      </c>
      <c r="C332">
        <v>11.68</v>
      </c>
      <c r="D332">
        <v>8.9</v>
      </c>
      <c r="E332">
        <v>9.73</v>
      </c>
      <c r="F332">
        <v>303885.06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-0.40287769784172645</v>
      </c>
      <c r="Q332">
        <f t="shared" si="970"/>
        <v>-122428.51338129491</v>
      </c>
      <c r="R332">
        <f t="shared" si="971"/>
        <v>-3914320.3366593509</v>
      </c>
      <c r="S332">
        <f t="shared" si="972"/>
        <v>-39.143203366593511</v>
      </c>
      <c r="T332">
        <f t="shared" si="973"/>
        <v>-3.9143203366593514E-2</v>
      </c>
    </row>
    <row r="333" spans="1:20" x14ac:dyDescent="0.25">
      <c r="A333" s="5">
        <v>44260</v>
      </c>
      <c r="B333">
        <v>9.2899999999999991</v>
      </c>
      <c r="C333">
        <v>9.4280000000000008</v>
      </c>
      <c r="D333">
        <v>8.7149999999999999</v>
      </c>
      <c r="E333">
        <v>9.1159999999999997</v>
      </c>
      <c r="F333">
        <v>65584.668999999994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0.12482468443197547</v>
      </c>
      <c r="Q333">
        <f t="shared" si="970"/>
        <v>8186.5856115005636</v>
      </c>
      <c r="R333">
        <f t="shared" si="971"/>
        <v>-3791891.823278056</v>
      </c>
      <c r="S333">
        <f t="shared" si="972"/>
        <v>-37.918918232780563</v>
      </c>
      <c r="T333">
        <f t="shared" si="973"/>
        <v>-3.7918918232780562E-2</v>
      </c>
    </row>
    <row r="334" spans="1:20" x14ac:dyDescent="0.25">
      <c r="A334" s="5">
        <v>44259</v>
      </c>
      <c r="B334">
        <v>9.9789999999999992</v>
      </c>
      <c r="C334">
        <v>10.087999999999999</v>
      </c>
      <c r="D334">
        <v>9.0280000000000005</v>
      </c>
      <c r="E334">
        <v>9.3759999999999994</v>
      </c>
      <c r="F334">
        <v>114670.424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-0.34339622641509548</v>
      </c>
      <c r="Q334">
        <f t="shared" si="970"/>
        <v>-39377.390883018998</v>
      </c>
      <c r="R334">
        <f t="shared" si="971"/>
        <v>-3800078.4088895568</v>
      </c>
      <c r="S334">
        <f t="shared" si="972"/>
        <v>-38.000784088895571</v>
      </c>
      <c r="T334">
        <f t="shared" si="973"/>
        <v>-3.8000784088895574E-2</v>
      </c>
    </row>
    <row r="335" spans="1:20" x14ac:dyDescent="0.25">
      <c r="A335" s="5">
        <v>44258</v>
      </c>
      <c r="B335">
        <v>9.5</v>
      </c>
      <c r="C335">
        <v>10.398999999999999</v>
      </c>
      <c r="D335">
        <v>9.3130000000000006</v>
      </c>
      <c r="E335">
        <v>9.9469999999999992</v>
      </c>
      <c r="F335">
        <v>93749.406000000003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0.16758747697974111</v>
      </c>
      <c r="Q335">
        <f t="shared" si="970"/>
        <v>15711.226419889403</v>
      </c>
      <c r="R335">
        <f t="shared" si="971"/>
        <v>-3760701.0180065376</v>
      </c>
      <c r="S335">
        <f t="shared" si="972"/>
        <v>-37.607010180065373</v>
      </c>
      <c r="T335">
        <f t="shared" si="973"/>
        <v>-3.7607010180065376E-2</v>
      </c>
    </row>
    <row r="336" spans="1:20" x14ac:dyDescent="0.25">
      <c r="A336" s="5">
        <v>44257</v>
      </c>
      <c r="B336">
        <v>9.7200000000000006</v>
      </c>
      <c r="C336">
        <v>10.199999999999999</v>
      </c>
      <c r="D336">
        <v>9.2520000000000007</v>
      </c>
      <c r="E336">
        <v>9.5</v>
      </c>
      <c r="F336">
        <v>54456.264000000003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-0.47679324894514835</v>
      </c>
      <c r="Q336">
        <f t="shared" si="970"/>
        <v>-25964.379037974722</v>
      </c>
      <c r="R336">
        <f t="shared" si="971"/>
        <v>-3776412.2444264269</v>
      </c>
      <c r="S336">
        <f t="shared" si="972"/>
        <v>-37.764122444264267</v>
      </c>
      <c r="T336">
        <f t="shared" si="973"/>
        <v>-3.7764122444264268E-2</v>
      </c>
    </row>
    <row r="337" spans="1:20" x14ac:dyDescent="0.25">
      <c r="A337" s="5">
        <v>44256</v>
      </c>
      <c r="B337">
        <v>9.1910000000000007</v>
      </c>
      <c r="C337">
        <v>9.9380000000000006</v>
      </c>
      <c r="D337">
        <v>8.9990000000000006</v>
      </c>
      <c r="E337">
        <v>9.7430000000000003</v>
      </c>
      <c r="F337">
        <v>80570.983999999997</v>
      </c>
      <c r="G337">
        <v>0</v>
      </c>
      <c r="L337" t="s">
        <v>7</v>
      </c>
      <c r="M337" t="s">
        <v>8</v>
      </c>
      <c r="N337" t="s">
        <v>7</v>
      </c>
      <c r="P337">
        <f t="shared" si="969"/>
        <v>0.58466453674121344</v>
      </c>
      <c r="Q337">
        <f t="shared" si="970"/>
        <v>47106.997035143715</v>
      </c>
      <c r="R337">
        <f t="shared" si="971"/>
        <v>-3750447.8653884521</v>
      </c>
      <c r="S337">
        <f t="shared" si="972"/>
        <v>-37.504478653884519</v>
      </c>
      <c r="T337">
        <f t="shared" si="973"/>
        <v>-3.7504478653884517E-2</v>
      </c>
    </row>
    <row r="338" spans="1:20" x14ac:dyDescent="0.25">
      <c r="A338" s="5">
        <v>44255</v>
      </c>
      <c r="B338">
        <v>9.2810000000000006</v>
      </c>
      <c r="C338">
        <v>10.41</v>
      </c>
      <c r="D338">
        <v>8.3569999999999993</v>
      </c>
      <c r="E338">
        <v>9.1829999999999998</v>
      </c>
      <c r="F338">
        <v>176781.90400000001</v>
      </c>
      <c r="G338">
        <v>0</v>
      </c>
      <c r="L338" t="s">
        <v>8</v>
      </c>
      <c r="M338" t="s">
        <v>8</v>
      </c>
      <c r="N338" t="s">
        <v>7</v>
      </c>
      <c r="P338">
        <f t="shared" si="969"/>
        <v>-0.19532391622016543</v>
      </c>
      <c r="Q338">
        <f t="shared" si="970"/>
        <v>-34529.73380613733</v>
      </c>
      <c r="R338">
        <f t="shared" si="971"/>
        <v>-3797554.862423596</v>
      </c>
      <c r="S338">
        <f t="shared" si="972"/>
        <v>-37.975548624235962</v>
      </c>
      <c r="T338">
        <f t="shared" si="973"/>
        <v>-3.7975548624235959E-2</v>
      </c>
    </row>
    <row r="339" spans="1:20" x14ac:dyDescent="0.25">
      <c r="A339" s="5">
        <v>44254</v>
      </c>
      <c r="B339">
        <v>9.0860000000000003</v>
      </c>
      <c r="C339">
        <v>9.6999999999999993</v>
      </c>
      <c r="D339">
        <v>9.0860000000000003</v>
      </c>
      <c r="E339">
        <v>9.2759999999999998</v>
      </c>
      <c r="F339">
        <v>32572.987000000001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-0.38110749185667814</v>
      </c>
      <c r="Q339">
        <f t="shared" si="970"/>
        <v>-12413.809377850182</v>
      </c>
      <c r="R339">
        <f t="shared" si="971"/>
        <v>-3763025.1286174585</v>
      </c>
      <c r="S339">
        <f t="shared" si="972"/>
        <v>-37.630251286174584</v>
      </c>
      <c r="T339">
        <f t="shared" si="973"/>
        <v>-3.7630251286174581E-2</v>
      </c>
    </row>
    <row r="340" spans="1:20" x14ac:dyDescent="0.25">
      <c r="A340" s="5">
        <v>44253</v>
      </c>
      <c r="B340">
        <v>9.5150000000000006</v>
      </c>
      <c r="C340">
        <v>9.6069999999999993</v>
      </c>
      <c r="D340">
        <v>8.5129999999999999</v>
      </c>
      <c r="E340">
        <v>9.0510000000000002</v>
      </c>
      <c r="F340">
        <v>36165.913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-1.6453382084094071E-2</v>
      </c>
      <c r="Q340">
        <f t="shared" si="970"/>
        <v>-595.05158500910488</v>
      </c>
      <c r="R340">
        <f t="shared" si="971"/>
        <v>-3750611.3192396085</v>
      </c>
      <c r="S340">
        <f t="shared" si="972"/>
        <v>-37.506113192396086</v>
      </c>
      <c r="T340">
        <f t="shared" si="973"/>
        <v>-3.7506113192396086E-2</v>
      </c>
    </row>
    <row r="341" spans="1:20" x14ac:dyDescent="0.25">
      <c r="A341" s="5">
        <v>44252</v>
      </c>
      <c r="B341">
        <v>9.7560000000000002</v>
      </c>
      <c r="C341">
        <v>10.4</v>
      </c>
      <c r="D341">
        <v>9.4220000000000006</v>
      </c>
      <c r="E341">
        <v>9.5190000000000001</v>
      </c>
      <c r="F341">
        <v>56706.773999999998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-0.80163599182004186</v>
      </c>
      <c r="Q341">
        <f t="shared" si="970"/>
        <v>-45458.191018404963</v>
      </c>
      <c r="R341">
        <f t="shared" si="971"/>
        <v>-3750016.2676545992</v>
      </c>
      <c r="S341">
        <f t="shared" si="972"/>
        <v>-37.50016267654599</v>
      </c>
      <c r="T341">
        <f t="shared" si="973"/>
        <v>-3.7500162676545989E-2</v>
      </c>
    </row>
    <row r="342" spans="1:20" x14ac:dyDescent="0.25">
      <c r="A342" s="5">
        <v>44251</v>
      </c>
      <c r="B342">
        <v>9.2390000000000008</v>
      </c>
      <c r="C342">
        <v>10.82</v>
      </c>
      <c r="D342">
        <v>8.6829999999999998</v>
      </c>
      <c r="E342">
        <v>9.6880000000000006</v>
      </c>
      <c r="F342">
        <v>134176.61199999999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-5.9429106223677523E-2</v>
      </c>
      <c r="Q342">
        <f t="shared" si="970"/>
        <v>-7973.9961272811643</v>
      </c>
      <c r="R342">
        <f t="shared" si="971"/>
        <v>-3704558.0766361943</v>
      </c>
      <c r="S342">
        <f t="shared" si="972"/>
        <v>-37.045580766361944</v>
      </c>
      <c r="T342">
        <f t="shared" si="973"/>
        <v>-3.7045580766361941E-2</v>
      </c>
    </row>
    <row r="343" spans="1:20" x14ac:dyDescent="0.25">
      <c r="A343" s="5">
        <v>44250</v>
      </c>
      <c r="B343">
        <v>10.448</v>
      </c>
      <c r="C343">
        <v>10.481999999999999</v>
      </c>
      <c r="D343">
        <v>8.02</v>
      </c>
      <c r="E343">
        <v>9.2390000000000008</v>
      </c>
      <c r="F343">
        <v>85247.497000000003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-9.7481722177081061E-3</v>
      </c>
      <c r="Q343">
        <f t="shared" si="970"/>
        <v>-831.00728188455514</v>
      </c>
      <c r="R343">
        <f t="shared" si="971"/>
        <v>-3696584.0805089129</v>
      </c>
      <c r="S343">
        <f t="shared" si="972"/>
        <v>-36.96584080508913</v>
      </c>
      <c r="T343">
        <f t="shared" si="973"/>
        <v>-3.6965840805089127E-2</v>
      </c>
    </row>
    <row r="344" spans="1:20" x14ac:dyDescent="0.25">
      <c r="A344" s="5">
        <v>44249</v>
      </c>
      <c r="B344">
        <v>11.566000000000001</v>
      </c>
      <c r="C344">
        <v>11.579000000000001</v>
      </c>
      <c r="D344">
        <v>8.8870000000000005</v>
      </c>
      <c r="E344">
        <v>10.412000000000001</v>
      </c>
      <c r="F344">
        <v>113306.08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0.13298662704309083</v>
      </c>
      <c r="Q344">
        <f t="shared" si="970"/>
        <v>15068.193402674613</v>
      </c>
      <c r="R344">
        <f t="shared" si="971"/>
        <v>-3695753.0732270284</v>
      </c>
      <c r="S344">
        <f t="shared" si="972"/>
        <v>-36.957530732270286</v>
      </c>
      <c r="T344">
        <f t="shared" si="973"/>
        <v>-3.6957530732270288E-2</v>
      </c>
    </row>
    <row r="345" spans="1:20" x14ac:dyDescent="0.25">
      <c r="A345" s="5">
        <v>44248</v>
      </c>
      <c r="B345">
        <v>11.021000000000001</v>
      </c>
      <c r="C345">
        <v>11.9</v>
      </c>
      <c r="D345">
        <v>10.69</v>
      </c>
      <c r="E345">
        <v>11.57</v>
      </c>
      <c r="F345">
        <v>98818.267000000007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0.45454545454545481</v>
      </c>
      <c r="Q345">
        <f t="shared" si="970"/>
        <v>44917.394090909118</v>
      </c>
      <c r="R345">
        <f t="shared" si="971"/>
        <v>-3710821.2666297029</v>
      </c>
      <c r="S345">
        <f t="shared" si="972"/>
        <v>-37.108212666297028</v>
      </c>
      <c r="T345">
        <f t="shared" si="973"/>
        <v>-3.7108212666297026E-2</v>
      </c>
    </row>
    <row r="346" spans="1:20" x14ac:dyDescent="0.25">
      <c r="A346" s="5">
        <v>44247</v>
      </c>
      <c r="B346">
        <v>12.569000000000001</v>
      </c>
      <c r="C346">
        <v>12.577</v>
      </c>
      <c r="D346">
        <v>10.45</v>
      </c>
      <c r="E346">
        <v>11.021000000000001</v>
      </c>
      <c r="F346">
        <v>153052.856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-0.46309355900328975</v>
      </c>
      <c r="Q346">
        <f t="shared" si="970"/>
        <v>-70877.791800658015</v>
      </c>
      <c r="R346">
        <f t="shared" si="971"/>
        <v>-3755738.6607206119</v>
      </c>
      <c r="S346">
        <f t="shared" si="972"/>
        <v>-37.557386607206119</v>
      </c>
      <c r="T346">
        <f t="shared" si="973"/>
        <v>-3.7557386607206117E-2</v>
      </c>
    </row>
    <row r="347" spans="1:20" x14ac:dyDescent="0.25">
      <c r="A347" s="5">
        <v>44246</v>
      </c>
      <c r="B347">
        <v>11.81</v>
      </c>
      <c r="C347">
        <v>13.1</v>
      </c>
      <c r="D347">
        <v>11.8</v>
      </c>
      <c r="E347">
        <v>12.577</v>
      </c>
      <c r="F347">
        <v>184732.739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0.19538461538461521</v>
      </c>
      <c r="Q347">
        <f t="shared" si="970"/>
        <v>36093.935158461507</v>
      </c>
      <c r="R347">
        <f t="shared" si="971"/>
        <v>-3684860.8689199537</v>
      </c>
      <c r="S347">
        <f t="shared" si="972"/>
        <v>-36.848608689199537</v>
      </c>
      <c r="T347">
        <f t="shared" si="973"/>
        <v>-3.6848608689199536E-2</v>
      </c>
    </row>
    <row r="348" spans="1:20" x14ac:dyDescent="0.25">
      <c r="A348" s="5">
        <v>44245</v>
      </c>
      <c r="B348">
        <v>10.898999999999999</v>
      </c>
      <c r="C348">
        <v>12.406000000000001</v>
      </c>
      <c r="D348">
        <v>10.868</v>
      </c>
      <c r="E348">
        <v>11.808999999999999</v>
      </c>
      <c r="F348">
        <v>196652.277</v>
      </c>
      <c r="G348">
        <v>0</v>
      </c>
      <c r="L348" t="s">
        <v>7</v>
      </c>
      <c r="M348" t="s">
        <v>8</v>
      </c>
      <c r="N348" t="s">
        <v>7</v>
      </c>
      <c r="P348">
        <f t="shared" si="969"/>
        <v>0.22366710013003743</v>
      </c>
      <c r="Q348">
        <f t="shared" si="970"/>
        <v>43984.644530558857</v>
      </c>
      <c r="R348">
        <f t="shared" si="971"/>
        <v>-3720954.804078415</v>
      </c>
      <c r="S348">
        <f t="shared" si="972"/>
        <v>-37.209548040784149</v>
      </c>
      <c r="T348">
        <f t="shared" si="973"/>
        <v>-3.7209548040784149E-2</v>
      </c>
    </row>
    <row r="349" spans="1:20" x14ac:dyDescent="0.25">
      <c r="A349" s="5">
        <v>44244</v>
      </c>
      <c r="B349">
        <v>10.932</v>
      </c>
      <c r="C349">
        <v>12.4</v>
      </c>
      <c r="D349">
        <v>10.467000000000001</v>
      </c>
      <c r="E349">
        <v>10.866</v>
      </c>
      <c r="F349">
        <v>189930.51800000001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-0.58717020175892476</v>
      </c>
      <c r="Q349">
        <f t="shared" si="970"/>
        <v>-111521.54057423709</v>
      </c>
      <c r="R349">
        <f t="shared" si="971"/>
        <v>-3764939.448608974</v>
      </c>
      <c r="S349">
        <f t="shared" si="972"/>
        <v>-37.64939448608974</v>
      </c>
      <c r="T349">
        <f t="shared" si="973"/>
        <v>-3.7649394486089741E-2</v>
      </c>
    </row>
    <row r="350" spans="1:20" x14ac:dyDescent="0.25">
      <c r="A350" s="5">
        <v>44243</v>
      </c>
      <c r="B350">
        <v>10.467000000000001</v>
      </c>
      <c r="C350">
        <v>11.693</v>
      </c>
      <c r="D350">
        <v>10.038</v>
      </c>
      <c r="E350">
        <v>10.965</v>
      </c>
      <c r="F350">
        <v>164409.84599999999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0.12024169184290025</v>
      </c>
      <c r="Q350">
        <f t="shared" si="970"/>
        <v>19768.918038670683</v>
      </c>
      <c r="R350">
        <f t="shared" si="971"/>
        <v>-3653417.9080347368</v>
      </c>
      <c r="S350">
        <f t="shared" si="972"/>
        <v>-36.534179080347364</v>
      </c>
      <c r="T350">
        <f t="shared" si="973"/>
        <v>-3.6534179080347368E-2</v>
      </c>
    </row>
    <row r="351" spans="1:20" x14ac:dyDescent="0.25">
      <c r="A351" s="5">
        <v>44242</v>
      </c>
      <c r="B351">
        <v>11.167</v>
      </c>
      <c r="C351">
        <v>11.167</v>
      </c>
      <c r="D351">
        <v>9.8070000000000004</v>
      </c>
      <c r="E351">
        <v>10.471</v>
      </c>
      <c r="F351">
        <v>119941.194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-2.3529411764705913E-2</v>
      </c>
      <c r="Q351">
        <f t="shared" si="970"/>
        <v>-2822.1457411764745</v>
      </c>
      <c r="R351">
        <f t="shared" si="971"/>
        <v>-3673186.8260734077</v>
      </c>
      <c r="S351">
        <f t="shared" si="972"/>
        <v>-36.731868260734075</v>
      </c>
      <c r="T351">
        <f t="shared" si="973"/>
        <v>-3.6731868260734074E-2</v>
      </c>
    </row>
    <row r="352" spans="1:20" x14ac:dyDescent="0.25">
      <c r="A352" s="5">
        <v>44241</v>
      </c>
      <c r="B352">
        <v>11.967000000000001</v>
      </c>
      <c r="C352">
        <v>12.5</v>
      </c>
      <c r="D352">
        <v>10.425000000000001</v>
      </c>
      <c r="E352">
        <v>11.167</v>
      </c>
      <c r="F352">
        <v>209070.21299999999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-0.28481927710843435</v>
      </c>
      <c r="Q352">
        <f t="shared" si="970"/>
        <v>-59547.226931566394</v>
      </c>
      <c r="R352">
        <f t="shared" si="971"/>
        <v>-3670364.6803322313</v>
      </c>
      <c r="S352">
        <f t="shared" si="972"/>
        <v>-36.703646803322314</v>
      </c>
      <c r="T352">
        <f t="shared" si="973"/>
        <v>-3.6703646803322318E-2</v>
      </c>
    </row>
    <row r="353" spans="1:20" x14ac:dyDescent="0.25">
      <c r="A353" s="5">
        <v>44240</v>
      </c>
      <c r="B353">
        <v>10.754</v>
      </c>
      <c r="C353">
        <v>13.7</v>
      </c>
      <c r="D353">
        <v>10.754</v>
      </c>
      <c r="E353">
        <v>12</v>
      </c>
      <c r="F353">
        <v>560638.49300000002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-0.15410726408689712</v>
      </c>
      <c r="Q353">
        <f t="shared" si="970"/>
        <v>-86398.464298031031</v>
      </c>
      <c r="R353">
        <f t="shared" si="971"/>
        <v>-3610817.453400665</v>
      </c>
      <c r="S353">
        <f t="shared" si="972"/>
        <v>-36.10817453400665</v>
      </c>
      <c r="T353">
        <f t="shared" si="973"/>
        <v>-3.6108174534006651E-2</v>
      </c>
    </row>
    <row r="354" spans="1:20" x14ac:dyDescent="0.25">
      <c r="A354" s="5">
        <v>44239</v>
      </c>
      <c r="B354">
        <v>9.4499999999999993</v>
      </c>
      <c r="C354">
        <v>10.89</v>
      </c>
      <c r="D354">
        <v>9.36</v>
      </c>
      <c r="E354">
        <v>10.75</v>
      </c>
      <c r="F354">
        <v>340362.70699999999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0.81699346405228701</v>
      </c>
      <c r="Q354">
        <f t="shared" si="970"/>
        <v>278074.10702614358</v>
      </c>
      <c r="R354">
        <f t="shared" si="971"/>
        <v>-3524418.9891026341</v>
      </c>
      <c r="S354">
        <f t="shared" si="972"/>
        <v>-35.244189891026345</v>
      </c>
      <c r="T354">
        <f t="shared" si="973"/>
        <v>-3.5244189891026345E-2</v>
      </c>
    </row>
    <row r="355" spans="1:20" x14ac:dyDescent="0.25">
      <c r="A355" s="5">
        <v>44238</v>
      </c>
      <c r="B355">
        <v>9.0269999999999992</v>
      </c>
      <c r="C355">
        <v>13</v>
      </c>
      <c r="D355">
        <v>8.8000000000000007</v>
      </c>
      <c r="E355">
        <v>9.4499999999999993</v>
      </c>
      <c r="F355">
        <v>526945.299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-0.69047619047619113</v>
      </c>
      <c r="Q355">
        <f t="shared" si="970"/>
        <v>-363843.18264285749</v>
      </c>
      <c r="R355">
        <f t="shared" si="971"/>
        <v>-3802493.0961287776</v>
      </c>
      <c r="S355">
        <f t="shared" si="972"/>
        <v>-38.024930961287779</v>
      </c>
      <c r="T355">
        <f t="shared" si="973"/>
        <v>-3.8024930961287777E-2</v>
      </c>
    </row>
    <row r="356" spans="1:20" x14ac:dyDescent="0.25">
      <c r="A356" s="5">
        <v>44237</v>
      </c>
      <c r="B356">
        <v>8.9329999999999998</v>
      </c>
      <c r="C356">
        <v>10.36</v>
      </c>
      <c r="D356">
        <v>8.3740000000000006</v>
      </c>
      <c r="E356">
        <v>9.0289999999999999</v>
      </c>
      <c r="F356">
        <v>211477.31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-0.3403826787512591</v>
      </c>
      <c r="Q356">
        <f t="shared" si="970"/>
        <v>-71983.213272910434</v>
      </c>
      <c r="R356">
        <f t="shared" si="971"/>
        <v>-3438649.9134859201</v>
      </c>
      <c r="S356">
        <f t="shared" si="972"/>
        <v>-34.3864991348592</v>
      </c>
      <c r="T356">
        <f t="shared" si="973"/>
        <v>-3.4386499134859201E-2</v>
      </c>
    </row>
    <row r="357" spans="1:20" x14ac:dyDescent="0.25">
      <c r="A357" s="5">
        <v>44236</v>
      </c>
      <c r="B357">
        <v>8.4570000000000007</v>
      </c>
      <c r="C357">
        <v>9.5540000000000003</v>
      </c>
      <c r="D357">
        <v>8.1999999999999993</v>
      </c>
      <c r="E357">
        <v>8.9390000000000001</v>
      </c>
      <c r="F357">
        <v>209254.16200000001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9.1580502215657653E-2</v>
      </c>
      <c r="Q357">
        <f t="shared" si="970"/>
        <v>19163.601246676586</v>
      </c>
      <c r="R357">
        <f t="shared" si="971"/>
        <v>-3366666.7002130095</v>
      </c>
      <c r="S357">
        <f t="shared" si="972"/>
        <v>-33.666667002130097</v>
      </c>
      <c r="T357">
        <f t="shared" si="973"/>
        <v>-3.3666667002130099E-2</v>
      </c>
    </row>
    <row r="358" spans="1:20" x14ac:dyDescent="0.25">
      <c r="A358" s="5">
        <v>44235</v>
      </c>
      <c r="B358">
        <v>8.3209999999999997</v>
      </c>
      <c r="C358">
        <v>8.9550000000000001</v>
      </c>
      <c r="D358">
        <v>8.0850000000000009</v>
      </c>
      <c r="E358">
        <v>8.4339999999999993</v>
      </c>
      <c r="F358">
        <v>121285.851</v>
      </c>
      <c r="G358">
        <v>0</v>
      </c>
      <c r="L358" t="s">
        <v>7</v>
      </c>
      <c r="M358" t="s">
        <v>7</v>
      </c>
      <c r="N358" t="s">
        <v>7</v>
      </c>
      <c r="P358">
        <f t="shared" si="969"/>
        <v>-0.19770114942529027</v>
      </c>
      <c r="Q358">
        <f t="shared" si="970"/>
        <v>-23978.352151724492</v>
      </c>
      <c r="R358">
        <f t="shared" si="971"/>
        <v>-3385830.3014596859</v>
      </c>
      <c r="S358">
        <f t="shared" si="972"/>
        <v>-33.858303014596856</v>
      </c>
      <c r="T358">
        <f t="shared" si="973"/>
        <v>-3.3858303014596858E-2</v>
      </c>
    </row>
    <row r="359" spans="1:20" x14ac:dyDescent="0.25">
      <c r="A359" s="5">
        <v>44234</v>
      </c>
      <c r="B359">
        <v>8.8529999999999998</v>
      </c>
      <c r="C359">
        <v>8.9420000000000002</v>
      </c>
      <c r="D359">
        <v>8.16</v>
      </c>
      <c r="E359">
        <v>8.3209999999999997</v>
      </c>
      <c r="F359">
        <v>98238.835999999996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-0.58823529411764808</v>
      </c>
      <c r="Q359">
        <f t="shared" si="970"/>
        <v>-57787.55058823539</v>
      </c>
      <c r="R359">
        <f t="shared" si="971"/>
        <v>-3361851.9493079614</v>
      </c>
      <c r="S359">
        <f t="shared" si="972"/>
        <v>-33.618519493079617</v>
      </c>
      <c r="T359">
        <f t="shared" si="973"/>
        <v>-3.3618519493079618E-2</v>
      </c>
    </row>
    <row r="360" spans="1:20" x14ac:dyDescent="0.25">
      <c r="A360" s="5">
        <v>44233</v>
      </c>
      <c r="B360">
        <v>8.2490000000000006</v>
      </c>
      <c r="C360">
        <v>11.699</v>
      </c>
      <c r="D360">
        <v>7.96</v>
      </c>
      <c r="E360">
        <v>8.8420000000000005</v>
      </c>
      <c r="F360">
        <v>327615.95400000003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-0.52821610056164714</v>
      </c>
      <c r="Q360">
        <f t="shared" si="970"/>
        <v>-173052.02170366398</v>
      </c>
      <c r="R360">
        <f t="shared" si="971"/>
        <v>-3304064.3987197261</v>
      </c>
      <c r="S360">
        <f t="shared" si="972"/>
        <v>-33.040643987197264</v>
      </c>
      <c r="T360">
        <f t="shared" si="973"/>
        <v>-3.3040643987197263E-2</v>
      </c>
    </row>
    <row r="361" spans="1:20" x14ac:dyDescent="0.25">
      <c r="A361" s="5">
        <v>44232</v>
      </c>
      <c r="B361">
        <v>7.8209999999999997</v>
      </c>
      <c r="C361">
        <v>8.782</v>
      </c>
      <c r="D361">
        <v>7.7619999999999996</v>
      </c>
      <c r="E361">
        <v>8.2490000000000006</v>
      </c>
      <c r="F361">
        <v>88576.752999999997</v>
      </c>
      <c r="G361">
        <v>0</v>
      </c>
      <c r="L361" t="s">
        <v>8</v>
      </c>
      <c r="M361" t="s">
        <v>7</v>
      </c>
      <c r="N361" t="s">
        <v>8</v>
      </c>
      <c r="P361">
        <f t="shared" si="969"/>
        <v>-4.5098039215684768E-2</v>
      </c>
      <c r="Q361">
        <f t="shared" si="970"/>
        <v>-3994.6378803920234</v>
      </c>
      <c r="R361">
        <f t="shared" si="971"/>
        <v>-3131012.3770160624</v>
      </c>
      <c r="S361">
        <f t="shared" si="972"/>
        <v>-31.310123770160622</v>
      </c>
      <c r="T361">
        <f t="shared" si="973"/>
        <v>-3.1310123770160625E-2</v>
      </c>
    </row>
    <row r="362" spans="1:20" x14ac:dyDescent="0.25">
      <c r="A362" s="5">
        <v>44231</v>
      </c>
      <c r="B362">
        <v>7.9390000000000001</v>
      </c>
      <c r="C362">
        <v>7.9930000000000003</v>
      </c>
      <c r="D362">
        <v>7.5609999999999999</v>
      </c>
      <c r="E362">
        <v>7.82</v>
      </c>
      <c r="F362">
        <v>52820.1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0.1990740740740746</v>
      </c>
      <c r="Q362">
        <f t="shared" si="970"/>
        <v>10515.112500000027</v>
      </c>
      <c r="R362">
        <f t="shared" si="971"/>
        <v>-3127017.7391356705</v>
      </c>
      <c r="S362">
        <f t="shared" si="972"/>
        <v>-31.270177391356704</v>
      </c>
      <c r="T362">
        <f t="shared" si="973"/>
        <v>-3.1270177391356707E-2</v>
      </c>
    </row>
    <row r="363" spans="1:20" x14ac:dyDescent="0.25">
      <c r="A363" s="5">
        <v>44230</v>
      </c>
      <c r="B363">
        <v>7.9690000000000003</v>
      </c>
      <c r="C363">
        <v>8.3000000000000007</v>
      </c>
      <c r="D363">
        <v>7.81</v>
      </c>
      <c r="E363">
        <v>7.9379999999999997</v>
      </c>
      <c r="F363">
        <v>45659.021999999997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-0.477551020408164</v>
      </c>
      <c r="Q363">
        <f t="shared" si="970"/>
        <v>-21804.512546938808</v>
      </c>
      <c r="R363">
        <f t="shared" si="971"/>
        <v>-3137532.8516356703</v>
      </c>
      <c r="S363">
        <f t="shared" si="972"/>
        <v>-31.375328516356703</v>
      </c>
      <c r="T363">
        <f t="shared" si="973"/>
        <v>-3.1375328516356701E-2</v>
      </c>
    </row>
    <row r="364" spans="1:20" x14ac:dyDescent="0.25">
      <c r="A364" s="5">
        <v>44229</v>
      </c>
      <c r="B364">
        <v>8.1310000000000002</v>
      </c>
      <c r="C364">
        <v>8.4019999999999992</v>
      </c>
      <c r="D364">
        <v>7.702</v>
      </c>
      <c r="E364">
        <v>8.0069999999999997</v>
      </c>
      <c r="F364">
        <v>43903.654000000002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-0.1285714285714285</v>
      </c>
      <c r="Q364">
        <f t="shared" si="970"/>
        <v>-5644.7555142857118</v>
      </c>
      <c r="R364">
        <f t="shared" si="971"/>
        <v>-3115728.3390887314</v>
      </c>
      <c r="S364">
        <f t="shared" si="972"/>
        <v>-31.157283390887315</v>
      </c>
      <c r="T364">
        <f t="shared" si="973"/>
        <v>-3.1157283390887316E-2</v>
      </c>
    </row>
    <row r="365" spans="1:20" x14ac:dyDescent="0.25">
      <c r="A365" s="5">
        <v>44228</v>
      </c>
      <c r="B365">
        <v>7.8310000000000004</v>
      </c>
      <c r="C365">
        <v>8.4789999999999992</v>
      </c>
      <c r="D365">
        <v>7.7409999999999997</v>
      </c>
      <c r="E365">
        <v>8.1489999999999991</v>
      </c>
      <c r="F365">
        <v>57363.213000000003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0.10569105691056836</v>
      </c>
      <c r="Q365">
        <f t="shared" si="970"/>
        <v>6062.7786097560556</v>
      </c>
      <c r="R365">
        <f t="shared" si="971"/>
        <v>-3110083.5835744459</v>
      </c>
      <c r="S365">
        <f t="shared" si="972"/>
        <v>-31.100835835744459</v>
      </c>
      <c r="T365">
        <f t="shared" si="973"/>
        <v>-3.110083583574446E-2</v>
      </c>
    </row>
    <row r="366" spans="1:20" x14ac:dyDescent="0.25">
      <c r="A366" s="5">
        <v>44227</v>
      </c>
      <c r="B366">
        <v>7.8719999999999999</v>
      </c>
      <c r="C366">
        <v>10.8</v>
      </c>
      <c r="D366">
        <v>7.5549999999999997</v>
      </c>
      <c r="E366">
        <v>7.7830000000000004</v>
      </c>
      <c r="F366">
        <v>159077.334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-0.85947611710323535</v>
      </c>
      <c r="Q366">
        <f t="shared" si="970"/>
        <v>-136723.16934545449</v>
      </c>
      <c r="R366">
        <f t="shared" si="971"/>
        <v>-3116146.3621842018</v>
      </c>
      <c r="S366">
        <f t="shared" si="972"/>
        <v>-31.161463621842017</v>
      </c>
      <c r="T366">
        <f t="shared" si="973"/>
        <v>-3.1161463621842016E-2</v>
      </c>
    </row>
    <row r="367" spans="1:20" x14ac:dyDescent="0.25">
      <c r="A367" s="5">
        <v>44226</v>
      </c>
      <c r="B367">
        <v>7.9530000000000003</v>
      </c>
      <c r="C367">
        <v>8.4</v>
      </c>
      <c r="D367">
        <v>7.5090000000000003</v>
      </c>
      <c r="E367">
        <v>7.8719999999999999</v>
      </c>
      <c r="F367">
        <v>36598.571000000004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-0.18518518518518623</v>
      </c>
      <c r="Q367">
        <f t="shared" si="970"/>
        <v>-6777.5131481481867</v>
      </c>
      <c r="R367">
        <f t="shared" si="971"/>
        <v>-2979423.1928387475</v>
      </c>
      <c r="S367">
        <f t="shared" si="972"/>
        <v>-29.794231928387475</v>
      </c>
      <c r="T367">
        <f t="shared" si="973"/>
        <v>-2.9794231928387475E-2</v>
      </c>
    </row>
    <row r="368" spans="1:20" x14ac:dyDescent="0.25">
      <c r="A368" s="5">
        <v>44225</v>
      </c>
      <c r="B368">
        <v>8.39</v>
      </c>
      <c r="C368">
        <v>8.4320000000000004</v>
      </c>
      <c r="D368">
        <v>7.6989999999999998</v>
      </c>
      <c r="E368">
        <v>7.9539999999999997</v>
      </c>
      <c r="F368">
        <v>35599.949000000001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-0.30422919508867746</v>
      </c>
      <c r="Q368">
        <f t="shared" si="970"/>
        <v>-10830.543829467968</v>
      </c>
      <c r="R368">
        <f t="shared" si="971"/>
        <v>-2972645.6796905994</v>
      </c>
      <c r="S368">
        <f t="shared" si="972"/>
        <v>-29.726456796905996</v>
      </c>
      <c r="T368">
        <f t="shared" si="973"/>
        <v>-2.9726456796905994E-2</v>
      </c>
    </row>
    <row r="369" spans="1:20" x14ac:dyDescent="0.25">
      <c r="A369" s="5">
        <v>44224</v>
      </c>
      <c r="B369">
        <v>7.85</v>
      </c>
      <c r="C369">
        <v>9.0540000000000003</v>
      </c>
      <c r="D369">
        <v>7.8280000000000003</v>
      </c>
      <c r="E369">
        <v>8.39</v>
      </c>
      <c r="F369">
        <v>40835.373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-8.3197389885807035E-2</v>
      </c>
      <c r="Q369">
        <f t="shared" si="970"/>
        <v>-3397.3964486133577</v>
      </c>
      <c r="R369">
        <f t="shared" si="971"/>
        <v>-2961815.1358611314</v>
      </c>
      <c r="S369">
        <f t="shared" si="972"/>
        <v>-29.618151358611314</v>
      </c>
      <c r="T369">
        <f t="shared" si="973"/>
        <v>-2.9618151358611313E-2</v>
      </c>
    </row>
    <row r="370" spans="1:20" x14ac:dyDescent="0.25">
      <c r="A370" s="5">
        <v>44223</v>
      </c>
      <c r="B370">
        <v>8.6880000000000006</v>
      </c>
      <c r="C370">
        <v>8.7859999999999996</v>
      </c>
      <c r="D370">
        <v>7.8259999999999996</v>
      </c>
      <c r="E370">
        <v>7.85</v>
      </c>
      <c r="F370">
        <v>20031.763999999999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-0.95</v>
      </c>
      <c r="Q370">
        <f t="shared" si="970"/>
        <v>-19030.175799999997</v>
      </c>
      <c r="R370">
        <f t="shared" si="971"/>
        <v>-2958417.7394125182</v>
      </c>
      <c r="S370">
        <f t="shared" si="972"/>
        <v>-29.584177394125181</v>
      </c>
      <c r="T370">
        <f t="shared" si="973"/>
        <v>-2.958417739412518E-2</v>
      </c>
    </row>
    <row r="371" spans="1:20" x14ac:dyDescent="0.25">
      <c r="A371" s="5">
        <v>44222</v>
      </c>
      <c r="B371">
        <v>8.702</v>
      </c>
      <c r="C371">
        <v>8.9049999999999994</v>
      </c>
      <c r="D371">
        <v>8.39</v>
      </c>
      <c r="E371">
        <v>8.6579999999999995</v>
      </c>
      <c r="F371">
        <v>12087.092000000001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4.0776699029124404E-2</v>
      </c>
      <c r="Q371">
        <f t="shared" si="970"/>
        <v>492.87171262133739</v>
      </c>
      <c r="R371">
        <f t="shared" si="971"/>
        <v>-2939387.5636125184</v>
      </c>
      <c r="S371">
        <f t="shared" si="972"/>
        <v>-29.393875636125184</v>
      </c>
      <c r="T371">
        <f t="shared" si="973"/>
        <v>-2.9393875636125184E-2</v>
      </c>
    </row>
    <row r="372" spans="1:20" x14ac:dyDescent="0.25">
      <c r="A372" s="5">
        <v>44221</v>
      </c>
      <c r="B372">
        <v>9.0540000000000003</v>
      </c>
      <c r="C372">
        <v>9.3989999999999991</v>
      </c>
      <c r="D372">
        <v>8.5530000000000008</v>
      </c>
      <c r="E372">
        <v>8.7970000000000006</v>
      </c>
      <c r="F372">
        <v>17926.944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-0.42316784869976298</v>
      </c>
      <c r="Q372">
        <f t="shared" si="970"/>
        <v>-7586.1063262411235</v>
      </c>
      <c r="R372">
        <f t="shared" si="971"/>
        <v>-2939880.4353251397</v>
      </c>
      <c r="S372">
        <f t="shared" si="972"/>
        <v>-29.398804353251396</v>
      </c>
      <c r="T372">
        <f t="shared" si="973"/>
        <v>-2.9398804353251397E-2</v>
      </c>
    </row>
    <row r="373" spans="1:20" x14ac:dyDescent="0.25">
      <c r="A373" s="5">
        <v>44220</v>
      </c>
      <c r="B373">
        <v>9.1329999999999991</v>
      </c>
      <c r="C373">
        <v>9.2230000000000008</v>
      </c>
      <c r="D373">
        <v>8.6980000000000004</v>
      </c>
      <c r="E373">
        <v>9.048</v>
      </c>
      <c r="F373">
        <v>14497.1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0.33333333333333109</v>
      </c>
      <c r="Q373">
        <f t="shared" si="970"/>
        <v>4832.366666666634</v>
      </c>
      <c r="R373">
        <f t="shared" si="971"/>
        <v>-2932294.3289988986</v>
      </c>
      <c r="S373">
        <f t="shared" si="972"/>
        <v>-29.322943289988988</v>
      </c>
      <c r="T373">
        <f t="shared" si="973"/>
        <v>-2.9322943289988988E-2</v>
      </c>
    </row>
    <row r="374" spans="1:20" x14ac:dyDescent="0.25">
      <c r="A374" s="5">
        <v>44219</v>
      </c>
      <c r="B374">
        <v>9.1850000000000005</v>
      </c>
      <c r="C374">
        <v>9.2940000000000005</v>
      </c>
      <c r="D374">
        <v>8.8260000000000005</v>
      </c>
      <c r="E374">
        <v>9.1999999999999993</v>
      </c>
      <c r="F374">
        <v>17775.793000000001</v>
      </c>
      <c r="G374">
        <v>0</v>
      </c>
      <c r="L374" t="s">
        <v>7</v>
      </c>
      <c r="M374" t="s">
        <v>8</v>
      </c>
      <c r="N374" t="s">
        <v>8</v>
      </c>
      <c r="P374">
        <f t="shared" si="969"/>
        <v>0.59829059829059317</v>
      </c>
      <c r="Q374">
        <f t="shared" si="970"/>
        <v>10635.08982905974</v>
      </c>
      <c r="R374">
        <f t="shared" si="971"/>
        <v>-2937126.6956655653</v>
      </c>
      <c r="S374">
        <f t="shared" si="972"/>
        <v>-29.371266956655653</v>
      </c>
      <c r="T374">
        <f t="shared" si="973"/>
        <v>-2.9371266956655654E-2</v>
      </c>
    </row>
    <row r="375" spans="1:20" x14ac:dyDescent="0.25">
      <c r="A375" s="5">
        <v>44218</v>
      </c>
      <c r="B375">
        <v>8.532</v>
      </c>
      <c r="C375">
        <v>9.4960000000000004</v>
      </c>
      <c r="D375">
        <v>7.9480000000000004</v>
      </c>
      <c r="E375">
        <v>9.1859999999999999</v>
      </c>
      <c r="F375">
        <v>17823.258000000002</v>
      </c>
      <c r="G375">
        <v>0</v>
      </c>
      <c r="L375" t="s">
        <v>8</v>
      </c>
      <c r="M375" t="s">
        <v>8</v>
      </c>
      <c r="N375" t="s">
        <v>8</v>
      </c>
      <c r="P375">
        <f t="shared" si="969"/>
        <v>0.59948320413436629</v>
      </c>
      <c r="Q375">
        <f t="shared" si="970"/>
        <v>10684.743813953479</v>
      </c>
      <c r="R375">
        <f t="shared" si="971"/>
        <v>-2947761.7854946251</v>
      </c>
      <c r="S375">
        <f t="shared" si="972"/>
        <v>-29.477617854946249</v>
      </c>
      <c r="T375">
        <f t="shared" si="973"/>
        <v>-2.947761785494625E-2</v>
      </c>
    </row>
    <row r="376" spans="1:20" x14ac:dyDescent="0.25">
      <c r="A376" s="5">
        <v>44217</v>
      </c>
      <c r="B376">
        <v>9.6679999999999993</v>
      </c>
      <c r="C376">
        <v>9.7530000000000001</v>
      </c>
      <c r="D376">
        <v>4.7009999999999996</v>
      </c>
      <c r="E376">
        <v>8.532</v>
      </c>
      <c r="F376">
        <v>58053.059000000001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0.51662707838479816</v>
      </c>
      <c r="Q376">
        <f t="shared" si="970"/>
        <v>29991.782262470311</v>
      </c>
      <c r="R376">
        <f t="shared" si="971"/>
        <v>-2958446.5293085785</v>
      </c>
      <c r="S376">
        <f t="shared" si="972"/>
        <v>-29.584465293085785</v>
      </c>
      <c r="T376">
        <f t="shared" si="973"/>
        <v>-2.9584465293085786E-2</v>
      </c>
    </row>
    <row r="377" spans="1:20" x14ac:dyDescent="0.25">
      <c r="A377" s="5">
        <v>44216</v>
      </c>
      <c r="B377">
        <v>9.7010000000000005</v>
      </c>
      <c r="C377">
        <v>9.7460000000000004</v>
      </c>
      <c r="D377">
        <v>9.3670000000000009</v>
      </c>
      <c r="E377">
        <v>9.6679999999999993</v>
      </c>
      <c r="F377">
        <v>114163.836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0.58839050131925452</v>
      </c>
      <c r="Q377">
        <f t="shared" si="970"/>
        <v>67172.916696569155</v>
      </c>
      <c r="R377">
        <f t="shared" si="971"/>
        <v>-2988438.3115710486</v>
      </c>
      <c r="S377">
        <f t="shared" si="972"/>
        <v>-29.884383115710484</v>
      </c>
      <c r="T377">
        <f t="shared" si="973"/>
        <v>-2.9884383115710483E-2</v>
      </c>
    </row>
    <row r="378" spans="1:20" x14ac:dyDescent="0.25">
      <c r="A378" s="5">
        <v>44215</v>
      </c>
      <c r="B378">
        <v>9.8290000000000006</v>
      </c>
      <c r="C378">
        <v>9.9499999999999993</v>
      </c>
      <c r="D378">
        <v>9.6999999999999993</v>
      </c>
      <c r="E378">
        <v>9.7010000000000005</v>
      </c>
      <c r="F378">
        <v>351538.91800000001</v>
      </c>
      <c r="G378">
        <v>0</v>
      </c>
      <c r="L378" t="s">
        <v>7</v>
      </c>
      <c r="M378" t="s">
        <v>7</v>
      </c>
      <c r="N378" t="s">
        <v>7</v>
      </c>
      <c r="P378">
        <f t="shared" si="969"/>
        <v>-0.99199999999999022</v>
      </c>
      <c r="Q378">
        <f t="shared" si="970"/>
        <v>-348726.60665599658</v>
      </c>
      <c r="R378">
        <f t="shared" si="971"/>
        <v>-3055611.2282676175</v>
      </c>
      <c r="S378">
        <f t="shared" si="972"/>
        <v>-30.556112282676175</v>
      </c>
      <c r="T378">
        <f t="shared" si="973"/>
        <v>-3.0556112282676174E-2</v>
      </c>
    </row>
    <row r="379" spans="1:20" x14ac:dyDescent="0.25">
      <c r="A379" s="5">
        <v>44214</v>
      </c>
      <c r="B379">
        <v>9.8539999999999992</v>
      </c>
      <c r="C379">
        <v>10.050000000000001</v>
      </c>
      <c r="D379">
        <v>9.6999999999999993</v>
      </c>
      <c r="E379">
        <v>9.8290000000000006</v>
      </c>
      <c r="F379">
        <v>240902.576</v>
      </c>
      <c r="G379">
        <v>0</v>
      </c>
      <c r="L379" t="s">
        <v>7</v>
      </c>
      <c r="M379" t="s">
        <v>7</v>
      </c>
      <c r="N379" t="s">
        <v>7</v>
      </c>
      <c r="P379">
        <f t="shared" si="969"/>
        <v>-0.26285714285713824</v>
      </c>
      <c r="Q379">
        <f t="shared" si="970"/>
        <v>-63322.962834284604</v>
      </c>
      <c r="R379">
        <f t="shared" si="971"/>
        <v>-2706884.6216116208</v>
      </c>
      <c r="S379">
        <f t="shared" si="972"/>
        <v>-27.068846216116206</v>
      </c>
      <c r="T379">
        <f t="shared" si="973"/>
        <v>-2.7068846216116205E-2</v>
      </c>
    </row>
    <row r="380" spans="1:20" x14ac:dyDescent="0.25">
      <c r="A380" s="5">
        <v>44213</v>
      </c>
      <c r="B380">
        <v>10.058999999999999</v>
      </c>
      <c r="C380">
        <v>10.109</v>
      </c>
      <c r="D380">
        <v>9.81</v>
      </c>
      <c r="E380">
        <v>9.8520000000000003</v>
      </c>
      <c r="F380">
        <v>260546.04</v>
      </c>
      <c r="G380">
        <v>0</v>
      </c>
      <c r="L380" t="s">
        <v>8</v>
      </c>
      <c r="M380" t="s">
        <v>7</v>
      </c>
      <c r="N380" t="s">
        <v>7</v>
      </c>
      <c r="P380">
        <f t="shared" si="969"/>
        <v>-0.71906354515050241</v>
      </c>
      <c r="Q380">
        <f t="shared" si="970"/>
        <v>-187349.15919732462</v>
      </c>
      <c r="R380">
        <f t="shared" si="971"/>
        <v>-2643561.6587773361</v>
      </c>
      <c r="S380">
        <f t="shared" si="972"/>
        <v>-26.43561658777336</v>
      </c>
      <c r="T380">
        <f t="shared" si="973"/>
        <v>-2.643561658777336E-2</v>
      </c>
    </row>
    <row r="381" spans="1:20" x14ac:dyDescent="0.25">
      <c r="A381" s="5">
        <v>44212</v>
      </c>
      <c r="B381">
        <v>9.99</v>
      </c>
      <c r="C381">
        <v>10.5</v>
      </c>
      <c r="D381">
        <v>9.7490000000000006</v>
      </c>
      <c r="E381">
        <v>10.050000000000001</v>
      </c>
      <c r="F381">
        <v>309733.34899999999</v>
      </c>
      <c r="G381">
        <v>0</v>
      </c>
      <c r="L381" t="s">
        <v>8</v>
      </c>
      <c r="M381" t="s">
        <v>7</v>
      </c>
      <c r="N381" t="s">
        <v>7</v>
      </c>
      <c r="P381">
        <f t="shared" si="969"/>
        <v>-0.19840213049267541</v>
      </c>
      <c r="Q381">
        <f t="shared" si="970"/>
        <v>-61451.756326231371</v>
      </c>
      <c r="R381">
        <f t="shared" si="971"/>
        <v>-2456212.4995800117</v>
      </c>
      <c r="S381">
        <f t="shared" si="972"/>
        <v>-24.562124995800119</v>
      </c>
      <c r="T381">
        <f t="shared" si="973"/>
        <v>-2.4562124995800117E-2</v>
      </c>
    </row>
    <row r="382" spans="1:20" x14ac:dyDescent="0.25">
      <c r="A382" s="5">
        <v>44211</v>
      </c>
      <c r="B382">
        <v>10.317</v>
      </c>
      <c r="C382">
        <v>10.377000000000001</v>
      </c>
      <c r="D382">
        <v>9.5239999999999991</v>
      </c>
      <c r="E382">
        <v>9.9909999999999997</v>
      </c>
      <c r="F382">
        <v>339728.51400000002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9.4958968347009814E-2</v>
      </c>
      <c r="Q382">
        <f t="shared" si="970"/>
        <v>32260.269207502683</v>
      </c>
      <c r="R382">
        <f t="shared" si="971"/>
        <v>-2394760.7432537805</v>
      </c>
      <c r="S382">
        <f t="shared" si="972"/>
        <v>-23.947607432537804</v>
      </c>
      <c r="T382">
        <f t="shared" si="973"/>
        <v>-2.3947607432537803E-2</v>
      </c>
    </row>
    <row r="383" spans="1:20" x14ac:dyDescent="0.25">
      <c r="A383" s="5">
        <v>44210</v>
      </c>
      <c r="B383">
        <v>10.347</v>
      </c>
      <c r="C383">
        <v>11</v>
      </c>
      <c r="D383">
        <v>9.9</v>
      </c>
      <c r="E383">
        <v>10.317</v>
      </c>
      <c r="F383">
        <v>102291.814</v>
      </c>
      <c r="G383">
        <v>0</v>
      </c>
      <c r="L383" t="s">
        <v>7</v>
      </c>
      <c r="M383" t="s">
        <v>7</v>
      </c>
      <c r="N383" t="s">
        <v>8</v>
      </c>
      <c r="P383">
        <f t="shared" si="969"/>
        <v>-0.2418181818181819</v>
      </c>
      <c r="Q383">
        <f t="shared" si="970"/>
        <v>-24736.020476363647</v>
      </c>
      <c r="R383">
        <f t="shared" si="971"/>
        <v>-2427021.0124612832</v>
      </c>
      <c r="S383">
        <f t="shared" si="972"/>
        <v>-24.270210124612831</v>
      </c>
      <c r="T383">
        <f t="shared" si="973"/>
        <v>-2.4270210124612831E-2</v>
      </c>
    </row>
    <row r="384" spans="1:20" x14ac:dyDescent="0.25">
      <c r="A384" s="5">
        <v>44209</v>
      </c>
      <c r="B384">
        <v>9.2840000000000007</v>
      </c>
      <c r="C384">
        <v>13.911</v>
      </c>
      <c r="D384">
        <v>9.08</v>
      </c>
      <c r="E384">
        <v>10.31</v>
      </c>
      <c r="F384">
        <v>221687.46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-0.49078865659283771</v>
      </c>
      <c r="Q384">
        <f t="shared" si="970"/>
        <v>-108801.69067687844</v>
      </c>
      <c r="R384">
        <f t="shared" si="971"/>
        <v>-2402284.9919849196</v>
      </c>
      <c r="S384">
        <f t="shared" si="972"/>
        <v>-24.022849919849197</v>
      </c>
      <c r="T384">
        <f t="shared" si="973"/>
        <v>-2.4022849919849196E-2</v>
      </c>
    </row>
    <row r="385" spans="1:20" x14ac:dyDescent="0.25">
      <c r="A385" s="5">
        <v>44208</v>
      </c>
      <c r="B385">
        <v>9.4380000000000006</v>
      </c>
      <c r="C385">
        <v>10.499000000000001</v>
      </c>
      <c r="D385">
        <v>8.8889999999999993</v>
      </c>
      <c r="E385">
        <v>9.3420000000000005</v>
      </c>
      <c r="F385">
        <v>35658.847000000002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-0.4372670807453406</v>
      </c>
      <c r="Q385">
        <f t="shared" si="970"/>
        <v>-15592.439930434746</v>
      </c>
      <c r="R385">
        <f t="shared" si="971"/>
        <v>-2293483.301308041</v>
      </c>
      <c r="S385">
        <f t="shared" si="972"/>
        <v>-22.934833013080411</v>
      </c>
      <c r="T385">
        <f t="shared" si="973"/>
        <v>-2.293483301308041E-2</v>
      </c>
    </row>
    <row r="386" spans="1:20" x14ac:dyDescent="0.25">
      <c r="A386" s="5">
        <v>44207</v>
      </c>
      <c r="B386">
        <v>9.6839999999999993</v>
      </c>
      <c r="C386">
        <v>9.891</v>
      </c>
      <c r="D386">
        <v>8.31</v>
      </c>
      <c r="E386">
        <v>9.5540000000000003</v>
      </c>
      <c r="F386">
        <v>33000.944000000003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0.57368753953194196</v>
      </c>
      <c r="Q386">
        <f t="shared" si="970"/>
        <v>18932.230365591404</v>
      </c>
      <c r="R386">
        <f t="shared" si="971"/>
        <v>-2277890.8613776062</v>
      </c>
      <c r="S386">
        <f t="shared" si="972"/>
        <v>-22.778908613776061</v>
      </c>
      <c r="T386">
        <f t="shared" si="973"/>
        <v>-2.2778908613776062E-2</v>
      </c>
    </row>
    <row r="387" spans="1:20" x14ac:dyDescent="0.25">
      <c r="A387" s="5">
        <v>44206</v>
      </c>
      <c r="B387">
        <v>10.531000000000001</v>
      </c>
      <c r="C387">
        <v>11</v>
      </c>
      <c r="D387">
        <v>9.4510000000000005</v>
      </c>
      <c r="E387">
        <v>9.7089999999999996</v>
      </c>
      <c r="F387">
        <v>15095.4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-0.66688185926404231</v>
      </c>
      <c r="Q387">
        <f t="shared" si="970"/>
        <v>-10066.848418334424</v>
      </c>
      <c r="R387">
        <f t="shared" si="971"/>
        <v>-2296823.0917431978</v>
      </c>
      <c r="S387">
        <f t="shared" si="972"/>
        <v>-22.968230917431978</v>
      </c>
      <c r="T387">
        <f t="shared" si="973"/>
        <v>-2.2968230917431977E-2</v>
      </c>
    </row>
    <row r="388" spans="1:20" x14ac:dyDescent="0.25">
      <c r="A388" s="5">
        <v>44205</v>
      </c>
      <c r="B388">
        <v>10.176</v>
      </c>
      <c r="C388">
        <v>11.119</v>
      </c>
      <c r="D388">
        <v>9.9030000000000005</v>
      </c>
      <c r="E388">
        <v>10.425000000000001</v>
      </c>
      <c r="F388">
        <v>28377.924999999999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-0.14144736842105174</v>
      </c>
      <c r="Q388">
        <f t="shared" si="970"/>
        <v>-4013.9828124999744</v>
      </c>
      <c r="R388">
        <f t="shared" si="971"/>
        <v>-2286756.2433248633</v>
      </c>
      <c r="S388">
        <f t="shared" si="972"/>
        <v>-22.867562433248633</v>
      </c>
      <c r="T388">
        <f t="shared" si="973"/>
        <v>-2.2867562433248632E-2</v>
      </c>
    </row>
    <row r="389" spans="1:20" x14ac:dyDescent="0.25">
      <c r="A389" s="5">
        <v>44204</v>
      </c>
      <c r="B389">
        <v>9.6780000000000008</v>
      </c>
      <c r="C389">
        <v>13.398999999999999</v>
      </c>
      <c r="D389">
        <v>8.9429999999999996</v>
      </c>
      <c r="E389">
        <v>10.223000000000001</v>
      </c>
      <c r="F389">
        <v>78127.914999999994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-0.42549371633752187</v>
      </c>
      <c r="Q389">
        <f t="shared" si="970"/>
        <v>-33242.936903052017</v>
      </c>
      <c r="R389">
        <f t="shared" si="971"/>
        <v>-2282742.2605123632</v>
      </c>
      <c r="S389">
        <f t="shared" si="972"/>
        <v>-22.827422605123633</v>
      </c>
      <c r="T389">
        <f t="shared" si="973"/>
        <v>-2.2827422605123632E-2</v>
      </c>
    </row>
    <row r="390" spans="1:20" x14ac:dyDescent="0.25">
      <c r="A390" s="5">
        <v>44203</v>
      </c>
      <c r="B390">
        <v>9.8989999999999991</v>
      </c>
      <c r="C390">
        <v>10.475</v>
      </c>
      <c r="D390">
        <v>8.5</v>
      </c>
      <c r="E390">
        <v>9.5510000000000002</v>
      </c>
      <c r="F390">
        <v>46156.813999999998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6.4303797468354781E-2</v>
      </c>
      <c r="Q390">
        <f t="shared" ref="Q390:Q453" si="975">F390*P390</f>
        <v>2968.0584192405227</v>
      </c>
      <c r="R390">
        <f t="shared" ref="R390:R453" si="976">R391+Q390</f>
        <v>-2249499.3236093111</v>
      </c>
      <c r="S390">
        <f t="shared" ref="S390:S453" si="977">R390/100000</f>
        <v>-22.494993236093112</v>
      </c>
      <c r="T390">
        <f t="shared" ref="T390:T453" si="978">S390/1000</f>
        <v>-2.2494993236093112E-2</v>
      </c>
    </row>
    <row r="391" spans="1:20" x14ac:dyDescent="0.25">
      <c r="A391" s="5">
        <v>44202</v>
      </c>
      <c r="B391">
        <v>10.439</v>
      </c>
      <c r="C391">
        <v>10.622999999999999</v>
      </c>
      <c r="D391">
        <v>9.65</v>
      </c>
      <c r="E391">
        <v>9.82</v>
      </c>
      <c r="F391">
        <v>20933.829000000002</v>
      </c>
      <c r="G391">
        <v>0</v>
      </c>
      <c r="L391" t="s">
        <v>8</v>
      </c>
      <c r="M391" t="s">
        <v>7</v>
      </c>
      <c r="N391" t="s">
        <v>7</v>
      </c>
      <c r="P391">
        <f t="shared" si="974"/>
        <v>-0.65056526207605325</v>
      </c>
      <c r="Q391">
        <f t="shared" si="975"/>
        <v>-13618.821949640285</v>
      </c>
      <c r="R391">
        <f t="shared" si="976"/>
        <v>-2252467.3820285518</v>
      </c>
      <c r="S391">
        <f t="shared" si="977"/>
        <v>-22.524673820285518</v>
      </c>
      <c r="T391">
        <f t="shared" si="978"/>
        <v>-2.2524673820285519E-2</v>
      </c>
    </row>
    <row r="392" spans="1:20" x14ac:dyDescent="0.25">
      <c r="A392" s="5">
        <v>44201</v>
      </c>
      <c r="B392">
        <v>10.51</v>
      </c>
      <c r="C392">
        <v>11.198</v>
      </c>
      <c r="D392">
        <v>9.5459999999999994</v>
      </c>
      <c r="E392">
        <v>10.398999999999999</v>
      </c>
      <c r="F392">
        <v>44327.817000000003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3.26876513317182E-2</v>
      </c>
      <c r="Q392">
        <f t="shared" si="975"/>
        <v>1448.9722263922108</v>
      </c>
      <c r="R392">
        <f t="shared" si="976"/>
        <v>-2238848.5600789115</v>
      </c>
      <c r="S392">
        <f t="shared" si="977"/>
        <v>-22.388485600789114</v>
      </c>
      <c r="T392">
        <f t="shared" si="978"/>
        <v>-2.2388485600789113E-2</v>
      </c>
    </row>
    <row r="393" spans="1:20" x14ac:dyDescent="0.25">
      <c r="A393" s="5">
        <v>44200</v>
      </c>
      <c r="B393">
        <v>11.363</v>
      </c>
      <c r="C393">
        <v>12</v>
      </c>
      <c r="D393">
        <v>10.1</v>
      </c>
      <c r="E393">
        <v>10.51</v>
      </c>
      <c r="F393">
        <v>29550.483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-0.56842105263157883</v>
      </c>
      <c r="Q393">
        <f t="shared" si="975"/>
        <v>-16797.116652631576</v>
      </c>
      <c r="R393">
        <f t="shared" si="976"/>
        <v>-2240297.5323053035</v>
      </c>
      <c r="S393">
        <f t="shared" si="977"/>
        <v>-22.402975323053035</v>
      </c>
      <c r="T393">
        <f t="shared" si="978"/>
        <v>-2.2402975323053034E-2</v>
      </c>
    </row>
    <row r="394" spans="1:20" x14ac:dyDescent="0.25">
      <c r="A394" s="5">
        <v>44199</v>
      </c>
      <c r="B394">
        <v>11.875</v>
      </c>
      <c r="C394">
        <v>12.5</v>
      </c>
      <c r="D394">
        <v>11.071999999999999</v>
      </c>
      <c r="E394">
        <v>11.33</v>
      </c>
      <c r="F394">
        <v>35323.277000000002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-0.6386554621848729</v>
      </c>
      <c r="Q394">
        <f t="shared" si="975"/>
        <v>-22559.40379831929</v>
      </c>
      <c r="R394">
        <f t="shared" si="976"/>
        <v>-2223500.4156526718</v>
      </c>
      <c r="S394">
        <f t="shared" si="977"/>
        <v>-22.235004156526717</v>
      </c>
      <c r="T394">
        <f t="shared" si="978"/>
        <v>-2.2235004156526718E-2</v>
      </c>
    </row>
    <row r="395" spans="1:20" x14ac:dyDescent="0.25">
      <c r="A395" s="5">
        <v>44198</v>
      </c>
      <c r="B395">
        <v>12.553000000000001</v>
      </c>
      <c r="C395">
        <v>13.646000000000001</v>
      </c>
      <c r="D395">
        <v>11.7</v>
      </c>
      <c r="E395">
        <v>11.868</v>
      </c>
      <c r="F395">
        <v>22951.864000000001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-0.82733812949640195</v>
      </c>
      <c r="Q395">
        <f t="shared" si="975"/>
        <v>-18988.952230215808</v>
      </c>
      <c r="R395">
        <f t="shared" si="976"/>
        <v>-2200941.0118543524</v>
      </c>
      <c r="S395">
        <f t="shared" si="977"/>
        <v>-22.009410118543524</v>
      </c>
      <c r="T395">
        <f t="shared" si="978"/>
        <v>-2.2009410118543526E-2</v>
      </c>
    </row>
    <row r="396" spans="1:20" x14ac:dyDescent="0.25">
      <c r="A396" s="5">
        <v>44197</v>
      </c>
      <c r="B396">
        <v>12.084</v>
      </c>
      <c r="C396">
        <v>13.96</v>
      </c>
      <c r="D396">
        <v>11.75</v>
      </c>
      <c r="E396">
        <v>12.555</v>
      </c>
      <c r="F396">
        <v>71965.941999999995</v>
      </c>
      <c r="G396">
        <v>0</v>
      </c>
      <c r="L396" t="s">
        <v>7</v>
      </c>
      <c r="M396" t="s">
        <v>8</v>
      </c>
      <c r="N396" t="s">
        <v>7</v>
      </c>
      <c r="P396">
        <f t="shared" si="974"/>
        <v>-0.27149321266968379</v>
      </c>
      <c r="Q396">
        <f t="shared" si="975"/>
        <v>-19538.264796380128</v>
      </c>
      <c r="R396">
        <f t="shared" si="976"/>
        <v>-2181952.0596241364</v>
      </c>
      <c r="S396">
        <f t="shared" si="977"/>
        <v>-21.819520596241365</v>
      </c>
      <c r="T396">
        <f t="shared" si="978"/>
        <v>-2.1819520596241364E-2</v>
      </c>
    </row>
    <row r="397" spans="1:20" x14ac:dyDescent="0.25">
      <c r="A397" s="5">
        <v>44196</v>
      </c>
      <c r="B397">
        <v>13.558999999999999</v>
      </c>
      <c r="C397">
        <v>13.762</v>
      </c>
      <c r="D397">
        <v>11.996</v>
      </c>
      <c r="E397">
        <v>12.089</v>
      </c>
      <c r="F397">
        <v>78603.171000000002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-0.89467723669309174</v>
      </c>
      <c r="Q397">
        <f t="shared" si="975"/>
        <v>-70324.467825594562</v>
      </c>
      <c r="R397">
        <f t="shared" si="976"/>
        <v>-2162413.7948277565</v>
      </c>
      <c r="S397">
        <f t="shared" si="977"/>
        <v>-21.624137948277564</v>
      </c>
      <c r="T397">
        <f t="shared" si="978"/>
        <v>-2.1624137948277566E-2</v>
      </c>
    </row>
    <row r="398" spans="1:20" x14ac:dyDescent="0.25">
      <c r="A398" s="5">
        <v>44195</v>
      </c>
      <c r="B398">
        <v>14.65</v>
      </c>
      <c r="C398">
        <v>14.993</v>
      </c>
      <c r="D398">
        <v>13.304</v>
      </c>
      <c r="E398">
        <v>13.55</v>
      </c>
      <c r="F398">
        <v>129237.3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-0.70870337477797463</v>
      </c>
      <c r="Q398">
        <f t="shared" si="975"/>
        <v>-91590.910657193541</v>
      </c>
      <c r="R398">
        <f t="shared" si="976"/>
        <v>-2092089.3270021619</v>
      </c>
      <c r="S398">
        <f t="shared" si="977"/>
        <v>-20.920893270021619</v>
      </c>
      <c r="T398">
        <f t="shared" si="978"/>
        <v>-2.0920893270021619E-2</v>
      </c>
    </row>
    <row r="399" spans="1:20" x14ac:dyDescent="0.25">
      <c r="A399" s="5">
        <v>44194</v>
      </c>
      <c r="B399">
        <v>15.997</v>
      </c>
      <c r="C399">
        <v>16.024000000000001</v>
      </c>
      <c r="D399">
        <v>14.34</v>
      </c>
      <c r="E399">
        <v>14.65</v>
      </c>
      <c r="F399">
        <v>98663.673999999999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-0.63182897862232745</v>
      </c>
      <c r="Q399">
        <f t="shared" si="975"/>
        <v>-62338.568370546287</v>
      </c>
      <c r="R399">
        <f t="shared" si="976"/>
        <v>-2000498.4163449684</v>
      </c>
      <c r="S399">
        <f t="shared" si="977"/>
        <v>-20.004984163449684</v>
      </c>
      <c r="T399">
        <f t="shared" si="978"/>
        <v>-2.0004984163449684E-2</v>
      </c>
    </row>
    <row r="400" spans="1:20" x14ac:dyDescent="0.25">
      <c r="A400" s="5">
        <v>44193</v>
      </c>
      <c r="B400">
        <v>14.954000000000001</v>
      </c>
      <c r="C400">
        <v>17.588000000000001</v>
      </c>
      <c r="D400">
        <v>14.618</v>
      </c>
      <c r="E400">
        <v>15.988</v>
      </c>
      <c r="F400">
        <v>214201.88399999999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-7.7441077441078171E-2</v>
      </c>
      <c r="Q400">
        <f t="shared" si="975"/>
        <v>-16588.024686868841</v>
      </c>
      <c r="R400">
        <f t="shared" si="976"/>
        <v>-1938159.8479744222</v>
      </c>
      <c r="S400">
        <f t="shared" si="977"/>
        <v>-19.38159847974422</v>
      </c>
      <c r="T400">
        <f t="shared" si="978"/>
        <v>-1.938159847974422E-2</v>
      </c>
    </row>
    <row r="401" spans="1:20" x14ac:dyDescent="0.25">
      <c r="A401" s="5">
        <v>44192</v>
      </c>
      <c r="B401">
        <v>13.382999999999999</v>
      </c>
      <c r="C401">
        <v>16</v>
      </c>
      <c r="D401">
        <v>13.371</v>
      </c>
      <c r="E401">
        <v>15.058</v>
      </c>
      <c r="F401">
        <v>134351.18700000001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0.28337771015595259</v>
      </c>
      <c r="Q401">
        <f t="shared" si="975"/>
        <v>38072.131728794186</v>
      </c>
      <c r="R401">
        <f t="shared" si="976"/>
        <v>-1921571.8232875534</v>
      </c>
      <c r="S401">
        <f t="shared" si="977"/>
        <v>-19.215718232875535</v>
      </c>
      <c r="T401">
        <f t="shared" si="978"/>
        <v>-1.9215718232875535E-2</v>
      </c>
    </row>
    <row r="402" spans="1:20" x14ac:dyDescent="0.25">
      <c r="A402" s="5">
        <v>44191</v>
      </c>
      <c r="B402">
        <v>14.456</v>
      </c>
      <c r="C402">
        <v>16.2</v>
      </c>
      <c r="D402">
        <v>13.263</v>
      </c>
      <c r="E402">
        <v>13.358000000000001</v>
      </c>
      <c r="F402">
        <v>134181.03400000001</v>
      </c>
      <c r="G402">
        <v>0</v>
      </c>
      <c r="L402" t="s">
        <v>7</v>
      </c>
      <c r="M402" t="s">
        <v>7</v>
      </c>
      <c r="N402" t="s">
        <v>8</v>
      </c>
      <c r="P402">
        <f t="shared" si="974"/>
        <v>-0.93530813755532816</v>
      </c>
      <c r="Q402">
        <f t="shared" si="975"/>
        <v>-125500.61300578818</v>
      </c>
      <c r="R402">
        <f t="shared" si="976"/>
        <v>-1959643.9550163476</v>
      </c>
      <c r="S402">
        <f t="shared" si="977"/>
        <v>-19.596439550163474</v>
      </c>
      <c r="T402">
        <f t="shared" si="978"/>
        <v>-1.9596439550163474E-2</v>
      </c>
    </row>
    <row r="403" spans="1:20" x14ac:dyDescent="0.25">
      <c r="A403" s="5">
        <v>44190</v>
      </c>
      <c r="B403">
        <v>15.305</v>
      </c>
      <c r="C403">
        <v>15.683999999999999</v>
      </c>
      <c r="D403">
        <v>13.5</v>
      </c>
      <c r="E403">
        <v>14.457000000000001</v>
      </c>
      <c r="F403">
        <v>198716.79699999999</v>
      </c>
      <c r="G403">
        <v>0</v>
      </c>
      <c r="L403" t="s">
        <v>7</v>
      </c>
      <c r="M403" t="s">
        <v>7</v>
      </c>
      <c r="N403" t="s">
        <v>8</v>
      </c>
      <c r="P403">
        <f t="shared" si="974"/>
        <v>-0.12362637362637266</v>
      </c>
      <c r="Q403">
        <f t="shared" si="975"/>
        <v>-24566.636991758049</v>
      </c>
      <c r="R403">
        <f t="shared" si="976"/>
        <v>-1834143.3420105595</v>
      </c>
      <c r="S403">
        <f t="shared" si="977"/>
        <v>-18.341433420105595</v>
      </c>
      <c r="T403">
        <f t="shared" si="978"/>
        <v>-1.8341433420105593E-2</v>
      </c>
    </row>
    <row r="404" spans="1:20" x14ac:dyDescent="0.25">
      <c r="A404" s="5">
        <v>44189</v>
      </c>
      <c r="B404">
        <v>13.866</v>
      </c>
      <c r="C404">
        <v>17.602</v>
      </c>
      <c r="D404">
        <v>12.05</v>
      </c>
      <c r="E404">
        <v>15.102</v>
      </c>
      <c r="F404">
        <v>449740.90700000001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9.9423631123919248E-2</v>
      </c>
      <c r="Q404">
        <f t="shared" si="975"/>
        <v>44714.874038904876</v>
      </c>
      <c r="R404">
        <f t="shared" si="976"/>
        <v>-1809576.7050188014</v>
      </c>
      <c r="S404">
        <f t="shared" si="977"/>
        <v>-18.095767050188012</v>
      </c>
      <c r="T404">
        <f t="shared" si="978"/>
        <v>-1.8095767050188012E-2</v>
      </c>
    </row>
    <row r="405" spans="1:20" x14ac:dyDescent="0.25">
      <c r="A405" s="5">
        <v>44188</v>
      </c>
      <c r="B405">
        <v>18.948</v>
      </c>
      <c r="C405">
        <v>20.641999999999999</v>
      </c>
      <c r="D405">
        <v>11.999000000000001</v>
      </c>
      <c r="E405">
        <v>13.803000000000001</v>
      </c>
      <c r="F405">
        <v>631433.98499999999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-0.58255235450653697</v>
      </c>
      <c r="Q405">
        <f t="shared" si="975"/>
        <v>-367843.35467719537</v>
      </c>
      <c r="R405">
        <f t="shared" si="976"/>
        <v>-1854291.5790577063</v>
      </c>
      <c r="S405">
        <f t="shared" si="977"/>
        <v>-18.542915790577062</v>
      </c>
      <c r="T405">
        <f t="shared" si="978"/>
        <v>-1.8542915790577062E-2</v>
      </c>
    </row>
    <row r="406" spans="1:20" x14ac:dyDescent="0.25">
      <c r="A406" s="5">
        <v>44187</v>
      </c>
      <c r="B406">
        <v>25.375</v>
      </c>
      <c r="C406">
        <v>27.6</v>
      </c>
      <c r="D406">
        <v>17.971</v>
      </c>
      <c r="E406">
        <v>18.948</v>
      </c>
      <c r="F406">
        <v>1206688.379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-0.79707134697268667</v>
      </c>
      <c r="Q406">
        <f t="shared" si="975"/>
        <v>-961816.73162581783</v>
      </c>
      <c r="R406">
        <f t="shared" si="976"/>
        <v>-1486448.2243805109</v>
      </c>
      <c r="S406">
        <f t="shared" si="977"/>
        <v>-14.864482243805108</v>
      </c>
      <c r="T406">
        <f t="shared" si="978"/>
        <v>-1.4864482243805108E-2</v>
      </c>
    </row>
    <row r="407" spans="1:20" x14ac:dyDescent="0.25">
      <c r="A407" s="5">
        <v>44186</v>
      </c>
      <c r="B407">
        <v>14.66</v>
      </c>
      <c r="C407">
        <v>43.43</v>
      </c>
      <c r="D407">
        <v>12</v>
      </c>
      <c r="E407">
        <v>25.2</v>
      </c>
      <c r="F407">
        <v>3278164.5759999999</v>
      </c>
      <c r="G407">
        <v>0</v>
      </c>
      <c r="P407">
        <f t="shared" si="974"/>
        <v>-0.16003818008272355</v>
      </c>
      <c r="Q407">
        <f t="shared" si="975"/>
        <v>-524631.49275469303</v>
      </c>
      <c r="R407">
        <f t="shared" si="976"/>
        <v>-524631.49275469303</v>
      </c>
      <c r="S407">
        <f t="shared" si="977"/>
        <v>-5.2463149275469299</v>
      </c>
      <c r="T407">
        <f t="shared" si="978"/>
        <v>-5.2463149275469301E-3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T500" sqref="GT50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$A$499</v>
      </c>
      <c r="D111" s="1" t="str">
        <f>ADDRESS(C121-1,D121,1,1)</f>
        <v>$GT$499</v>
      </c>
      <c r="E111"/>
    </row>
    <row r="112" spans="1:5" x14ac:dyDescent="0.25">
      <c r="A112" s="7">
        <v>12164.144957890772</v>
      </c>
      <c r="C112" s="1" t="str">
        <f>ADDRESS(C121,1,1,1)</f>
        <v>$A$500</v>
      </c>
      <c r="D112" s="1" t="str">
        <f>ADDRESS(C121,D121-1,1,1)</f>
        <v>$GS$500</v>
      </c>
      <c r="E112"/>
    </row>
    <row r="113" spans="1:5" x14ac:dyDescent="0.25">
      <c r="A113" s="7">
        <v>11925.63231165762</v>
      </c>
      <c r="C113" s="1" t="str">
        <f>ADDRESS(C121+1,1,1,1)</f>
        <v>$A$501</v>
      </c>
      <c r="D113" s="1" t="str">
        <f>ADDRESS(C121-1,D121+1,1,1)</f>
        <v>$GU$499</v>
      </c>
    </row>
    <row r="114" spans="1:5" x14ac:dyDescent="0.25">
      <c r="A114" s="7">
        <v>11691.796383978059</v>
      </c>
      <c r="C114" s="1" t="str">
        <f>ADDRESS(C121,D121,1,1)</f>
        <v>$GT$500</v>
      </c>
      <c r="D114" s="1" t="str">
        <f>ADDRESS(C121+1,D121+1,1,1)</f>
        <v>$GU$501</v>
      </c>
    </row>
    <row r="115" spans="1:5" x14ac:dyDescent="0.25">
      <c r="A115" s="7">
        <v>11462.545474488292</v>
      </c>
      <c r="C115" s="1" t="str">
        <f>ADDRESS(C121+1,D121,1,1)</f>
        <v>$GT$501</v>
      </c>
    </row>
    <row r="116" spans="1:5" x14ac:dyDescent="0.25">
      <c r="A116" s="7">
        <v>11237.789680870874</v>
      </c>
      <c r="C116" s="1">
        <f>C117-1</f>
        <v>499</v>
      </c>
    </row>
    <row r="117" spans="1:5" x14ac:dyDescent="0.25">
      <c r="A117" s="7">
        <v>11017.440863598895</v>
      </c>
      <c r="C117" s="1">
        <f>C121</f>
        <v>500</v>
      </c>
      <c r="D117" s="1">
        <f>D121</f>
        <v>202</v>
      </c>
    </row>
    <row r="118" spans="1:5" x14ac:dyDescent="0.25">
      <c r="A118" s="7">
        <v>10801.412611371465</v>
      </c>
      <c r="C118" s="1">
        <f>C117+1</f>
        <v>501</v>
      </c>
      <c r="D118" s="1">
        <f>D117+1</f>
        <v>203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500</v>
      </c>
      <c r="D121" s="19">
        <v>202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R500</v>
      </c>
      <c r="D123" s="1" t="str">
        <f>"C"&amp;D121</f>
        <v>C202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5.6003470821040304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88" x14ac:dyDescent="0.25">
      <c r="A417" s="7">
        <v>28.975383953883185</v>
      </c>
      <c r="B417"/>
      <c r="C417"/>
      <c r="D417"/>
      <c r="E417"/>
      <c r="CG417" s="27" t="s">
        <v>8</v>
      </c>
    </row>
    <row r="418" spans="1:88" x14ac:dyDescent="0.25">
      <c r="A418" s="7">
        <v>28.407239170473709</v>
      </c>
      <c r="B418"/>
      <c r="C418"/>
      <c r="D418"/>
      <c r="E418"/>
      <c r="CG418" s="27" t="s">
        <v>8</v>
      </c>
      <c r="CH418" s="27" t="s">
        <v>7</v>
      </c>
      <c r="CI418" s="27" t="s">
        <v>8</v>
      </c>
    </row>
    <row r="419" spans="1:88" x14ac:dyDescent="0.25">
      <c r="A419" s="7">
        <v>27.850234480856578</v>
      </c>
      <c r="B419"/>
      <c r="C419"/>
      <c r="D419"/>
      <c r="E419"/>
      <c r="CG419" s="27" t="s">
        <v>8</v>
      </c>
      <c r="CH419" s="27" t="s">
        <v>7</v>
      </c>
      <c r="CI419" s="27" t="s">
        <v>8</v>
      </c>
      <c r="CJ419" s="27" t="s">
        <v>7</v>
      </c>
    </row>
    <row r="420" spans="1:88" x14ac:dyDescent="0.25">
      <c r="A420" s="7">
        <v>27.304151451820175</v>
      </c>
      <c r="B420"/>
      <c r="C420"/>
      <c r="D420"/>
      <c r="E420" t="s">
        <v>8</v>
      </c>
      <c r="CG420" s="27" t="s">
        <v>8</v>
      </c>
      <c r="CH420" s="27" t="s">
        <v>7</v>
      </c>
      <c r="CI420" s="27" t="s">
        <v>8</v>
      </c>
      <c r="CJ420" s="27" t="s">
        <v>7</v>
      </c>
    </row>
    <row r="421" spans="1:88" x14ac:dyDescent="0.25">
      <c r="A421" s="7">
        <v>26.768775933157034</v>
      </c>
      <c r="B421"/>
      <c r="C421"/>
      <c r="D421"/>
      <c r="E421" t="s">
        <v>8</v>
      </c>
      <c r="F421" s="27" t="s">
        <v>7</v>
      </c>
      <c r="CG421" s="27" t="s">
        <v>8</v>
      </c>
      <c r="CH421" s="27" t="s">
        <v>7</v>
      </c>
      <c r="CI421" s="27" t="s">
        <v>8</v>
      </c>
      <c r="CJ421" s="27" t="s">
        <v>7</v>
      </c>
    </row>
    <row r="422" spans="1:88" x14ac:dyDescent="0.25">
      <c r="A422" s="7">
        <v>26.243897973683367</v>
      </c>
      <c r="B422"/>
      <c r="C422"/>
      <c r="D422"/>
      <c r="E422" t="s">
        <v>8</v>
      </c>
      <c r="F422" s="27" t="s">
        <v>7</v>
      </c>
      <c r="CG422" s="27" t="s">
        <v>8</v>
      </c>
      <c r="CH422" s="27" t="s">
        <v>7</v>
      </c>
      <c r="CI422" s="27" t="s">
        <v>8</v>
      </c>
      <c r="CJ422" s="27" t="s">
        <v>7</v>
      </c>
    </row>
    <row r="423" spans="1:88" x14ac:dyDescent="0.25">
      <c r="A423" s="7">
        <v>25.729311738905263</v>
      </c>
      <c r="B423"/>
      <c r="C423"/>
      <c r="D423"/>
      <c r="E423" t="s">
        <v>8</v>
      </c>
      <c r="F423" s="27" t="s">
        <v>7</v>
      </c>
      <c r="CG423" s="27" t="s">
        <v>8</v>
      </c>
      <c r="CH423" s="27" t="s">
        <v>7</v>
      </c>
      <c r="CI423" s="27" t="s">
        <v>8</v>
      </c>
      <c r="CJ423" s="27" t="s">
        <v>7</v>
      </c>
    </row>
    <row r="424" spans="1:88" x14ac:dyDescent="0.25">
      <c r="A424" s="7">
        <v>25.224815430299277</v>
      </c>
      <c r="B424"/>
      <c r="C424"/>
      <c r="D424"/>
      <c r="E424" t="s">
        <v>8</v>
      </c>
      <c r="F424" s="27" t="s">
        <v>7</v>
      </c>
      <c r="BI424" s="27" t="s">
        <v>8</v>
      </c>
      <c r="CG424" s="27" t="s">
        <v>8</v>
      </c>
      <c r="CH424" s="27" t="s">
        <v>7</v>
      </c>
      <c r="CI424" s="27" t="s">
        <v>8</v>
      </c>
      <c r="CJ424" s="27" t="s">
        <v>7</v>
      </c>
    </row>
    <row r="425" spans="1:88" x14ac:dyDescent="0.25">
      <c r="A425" s="7">
        <v>24.73021120617576</v>
      </c>
      <c r="B425"/>
      <c r="C425"/>
      <c r="D425"/>
      <c r="E425" t="s">
        <v>8</v>
      </c>
      <c r="F425" s="27" t="s">
        <v>7</v>
      </c>
      <c r="BI425" s="27" t="s">
        <v>8</v>
      </c>
      <c r="BJ425" s="27" t="s">
        <v>7</v>
      </c>
      <c r="CG425" s="27" t="s">
        <v>8</v>
      </c>
      <c r="CH425" s="27" t="s">
        <v>7</v>
      </c>
      <c r="CI425" s="27" t="s">
        <v>8</v>
      </c>
      <c r="CJ425" s="27" t="s">
        <v>7</v>
      </c>
    </row>
    <row r="426" spans="1:88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BI426" s="27" t="s">
        <v>8</v>
      </c>
      <c r="BJ426" s="27" t="s">
        <v>7</v>
      </c>
      <c r="CG426" s="27" t="s">
        <v>8</v>
      </c>
      <c r="CH426" s="27" t="s">
        <v>7</v>
      </c>
      <c r="CI426" s="27" t="s">
        <v>8</v>
      </c>
      <c r="CJ426" s="27" t="s">
        <v>7</v>
      </c>
    </row>
    <row r="427" spans="1:88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BI427" s="27" t="s">
        <v>8</v>
      </c>
      <c r="BJ427" s="27" t="s">
        <v>7</v>
      </c>
      <c r="BY427" s="27" t="s">
        <v>8</v>
      </c>
      <c r="CG427" s="27" t="s">
        <v>8</v>
      </c>
      <c r="CH427" s="27" t="s">
        <v>7</v>
      </c>
      <c r="CI427" s="27" t="s">
        <v>8</v>
      </c>
      <c r="CJ427" s="27" t="s">
        <v>7</v>
      </c>
    </row>
    <row r="428" spans="1:88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BI428" s="27" t="s">
        <v>8</v>
      </c>
      <c r="BJ428" s="27" t="s">
        <v>7</v>
      </c>
      <c r="BY428" s="27" t="s">
        <v>8</v>
      </c>
      <c r="BZ428" s="27" t="s">
        <v>7</v>
      </c>
      <c r="CG428" s="27" t="s">
        <v>8</v>
      </c>
      <c r="CH428" s="27" t="s">
        <v>7</v>
      </c>
      <c r="CI428" s="27" t="s">
        <v>8</v>
      </c>
      <c r="CJ428" s="27" t="s">
        <v>7</v>
      </c>
    </row>
    <row r="429" spans="1:88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BI429" s="27" t="s">
        <v>8</v>
      </c>
      <c r="BJ429" s="27" t="s">
        <v>7</v>
      </c>
      <c r="BY429" s="27" t="s">
        <v>8</v>
      </c>
      <c r="BZ429" s="27" t="s">
        <v>7</v>
      </c>
      <c r="CE429" s="27" t="s">
        <v>8</v>
      </c>
      <c r="CG429" s="27" t="s">
        <v>8</v>
      </c>
      <c r="CH429" s="27" t="s">
        <v>7</v>
      </c>
      <c r="CI429" s="27" t="s">
        <v>8</v>
      </c>
      <c r="CJ429" s="27" t="s">
        <v>7</v>
      </c>
    </row>
    <row r="430" spans="1:88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BI430" s="27" t="s">
        <v>8</v>
      </c>
      <c r="BJ430" s="27" t="s">
        <v>7</v>
      </c>
      <c r="BY430" s="27" t="s">
        <v>8</v>
      </c>
      <c r="BZ430" s="27" t="s">
        <v>7</v>
      </c>
      <c r="CE430" s="27" t="s">
        <v>8</v>
      </c>
      <c r="CF430" s="27" t="s">
        <v>7</v>
      </c>
      <c r="CG430" s="27" t="s">
        <v>8</v>
      </c>
      <c r="CH430" s="27" t="s">
        <v>7</v>
      </c>
      <c r="CI430" s="27" t="s">
        <v>8</v>
      </c>
      <c r="CJ430" s="27" t="s">
        <v>7</v>
      </c>
    </row>
    <row r="431" spans="1:88" x14ac:dyDescent="0.25">
      <c r="A431" s="7">
        <v>21.959719826504344</v>
      </c>
      <c r="B431"/>
      <c r="C431"/>
      <c r="D431"/>
      <c r="E431" t="s">
        <v>8</v>
      </c>
      <c r="F431" s="27" t="s">
        <v>7</v>
      </c>
      <c r="BI431" s="27" t="s">
        <v>8</v>
      </c>
      <c r="BJ431" s="27" t="s">
        <v>7</v>
      </c>
      <c r="BS431" s="27" t="s">
        <v>8</v>
      </c>
      <c r="BY431" s="27" t="s">
        <v>8</v>
      </c>
      <c r="BZ431" s="27" t="s">
        <v>7</v>
      </c>
      <c r="CE431" s="27" t="s">
        <v>8</v>
      </c>
      <c r="CF431" s="27" t="s">
        <v>7</v>
      </c>
      <c r="CG431" s="27" t="s">
        <v>8</v>
      </c>
      <c r="CH431" s="27" t="s">
        <v>7</v>
      </c>
      <c r="CI431" s="27" t="s">
        <v>8</v>
      </c>
      <c r="CJ431" s="27" t="s">
        <v>7</v>
      </c>
    </row>
    <row r="432" spans="1:88" x14ac:dyDescent="0.25">
      <c r="A432" s="7">
        <v>21.52913708480818</v>
      </c>
      <c r="B432"/>
      <c r="C432"/>
      <c r="D432"/>
      <c r="E432" t="s">
        <v>8</v>
      </c>
      <c r="F432" s="27" t="s">
        <v>7</v>
      </c>
      <c r="BI432" s="27" t="s">
        <v>8</v>
      </c>
      <c r="BJ432" s="27" t="s">
        <v>7</v>
      </c>
      <c r="BS432" s="27" t="s">
        <v>8</v>
      </c>
      <c r="BT432" s="27" t="s">
        <v>7</v>
      </c>
      <c r="BY432" s="27" t="s">
        <v>8</v>
      </c>
      <c r="BZ432" s="27" t="s">
        <v>7</v>
      </c>
      <c r="CE432" s="27" t="s">
        <v>8</v>
      </c>
      <c r="CF432" s="27" t="s">
        <v>7</v>
      </c>
      <c r="CG432" s="27" t="s">
        <v>8</v>
      </c>
      <c r="CH432" s="27" t="s">
        <v>7</v>
      </c>
      <c r="CI432" s="27" t="s">
        <v>8</v>
      </c>
      <c r="CJ432" s="27" t="s">
        <v>7</v>
      </c>
    </row>
    <row r="433" spans="1:177" x14ac:dyDescent="0.25">
      <c r="A433" s="7">
        <v>21.106997141968804</v>
      </c>
      <c r="B433"/>
      <c r="C433"/>
      <c r="D433"/>
      <c r="E433" t="s">
        <v>8</v>
      </c>
      <c r="F433" s="27" t="s">
        <v>7</v>
      </c>
      <c r="BI433" s="27" t="s">
        <v>8</v>
      </c>
      <c r="BJ433" s="27" t="s">
        <v>7</v>
      </c>
      <c r="BS433" s="27" t="s">
        <v>8</v>
      </c>
      <c r="BT433" s="27" t="s">
        <v>7</v>
      </c>
      <c r="BY433" s="27" t="s">
        <v>8</v>
      </c>
      <c r="BZ433" s="27" t="s">
        <v>7</v>
      </c>
      <c r="CE433" s="27" t="s">
        <v>8</v>
      </c>
      <c r="CF433" s="27" t="s">
        <v>7</v>
      </c>
      <c r="CG433" s="27" t="s">
        <v>8</v>
      </c>
      <c r="CH433" s="27" t="s">
        <v>7</v>
      </c>
      <c r="CI433" s="27" t="s">
        <v>8</v>
      </c>
      <c r="CJ433" s="27" t="s">
        <v>7</v>
      </c>
      <c r="CK433" s="27" t="s">
        <v>8</v>
      </c>
    </row>
    <row r="434" spans="1:177" x14ac:dyDescent="0.25">
      <c r="A434" s="7">
        <v>20.693134452910591</v>
      </c>
      <c r="B434"/>
      <c r="C434"/>
      <c r="D434"/>
      <c r="E434" t="s">
        <v>8</v>
      </c>
      <c r="F434" s="27" t="s">
        <v>7</v>
      </c>
      <c r="AW434" s="27" t="s">
        <v>8</v>
      </c>
      <c r="BI434" s="27" t="s">
        <v>8</v>
      </c>
      <c r="BJ434" s="27" t="s">
        <v>7</v>
      </c>
      <c r="BS434" s="27" t="s">
        <v>8</v>
      </c>
      <c r="BT434" s="27" t="s">
        <v>7</v>
      </c>
      <c r="BY434" s="27" t="s">
        <v>8</v>
      </c>
      <c r="BZ434" s="27" t="s">
        <v>7</v>
      </c>
      <c r="CE434" s="27" t="s">
        <v>8</v>
      </c>
      <c r="CF434" s="27" t="s">
        <v>7</v>
      </c>
      <c r="CG434" s="27" t="s">
        <v>8</v>
      </c>
      <c r="CH434" s="27" t="s">
        <v>7</v>
      </c>
      <c r="CI434" s="27" t="s">
        <v>8</v>
      </c>
      <c r="CJ434" s="27" t="s">
        <v>7</v>
      </c>
      <c r="CK434" s="27" t="s">
        <v>8</v>
      </c>
      <c r="CL434" s="27" t="s">
        <v>7</v>
      </c>
    </row>
    <row r="435" spans="1:177" x14ac:dyDescent="0.25">
      <c r="A435" s="7">
        <v>20.287386718539796</v>
      </c>
      <c r="B435"/>
      <c r="C435"/>
      <c r="D435"/>
      <c r="E435" t="s">
        <v>8</v>
      </c>
      <c r="F435" s="27" t="s">
        <v>7</v>
      </c>
      <c r="AW435" s="27" t="s">
        <v>8</v>
      </c>
      <c r="AX435" s="27" t="s">
        <v>7</v>
      </c>
      <c r="BI435" s="27" t="s">
        <v>8</v>
      </c>
      <c r="BJ435" s="27" t="s">
        <v>7</v>
      </c>
      <c r="BS435" s="27" t="s">
        <v>8</v>
      </c>
      <c r="BT435" s="27" t="s">
        <v>7</v>
      </c>
      <c r="BY435" s="27" t="s">
        <v>8</v>
      </c>
      <c r="BZ435" s="27" t="s">
        <v>7</v>
      </c>
      <c r="CE435" s="27" t="s">
        <v>8</v>
      </c>
      <c r="CF435" s="27" t="s">
        <v>7</v>
      </c>
      <c r="CG435" s="27" t="s">
        <v>8</v>
      </c>
      <c r="CH435" s="27" t="s">
        <v>7</v>
      </c>
      <c r="CI435" s="27" t="s">
        <v>8</v>
      </c>
      <c r="CJ435" s="27" t="s">
        <v>7</v>
      </c>
      <c r="CK435" s="27" t="s">
        <v>8</v>
      </c>
      <c r="CL435" s="27" t="s">
        <v>7</v>
      </c>
      <c r="EY435" s="27" t="s">
        <v>8</v>
      </c>
    </row>
    <row r="436" spans="1:177" x14ac:dyDescent="0.25">
      <c r="A436" s="7">
        <v>19.889594822097838</v>
      </c>
      <c r="B436"/>
      <c r="C436"/>
      <c r="D436"/>
      <c r="E436" t="s">
        <v>8</v>
      </c>
      <c r="F436" s="27" t="s">
        <v>7</v>
      </c>
      <c r="AW436" s="27" t="s">
        <v>8</v>
      </c>
      <c r="AX436" s="27" t="s">
        <v>7</v>
      </c>
      <c r="AY436" s="27" t="s">
        <v>8</v>
      </c>
      <c r="BI436" s="27" t="s">
        <v>8</v>
      </c>
      <c r="BJ436" s="27" t="s">
        <v>7</v>
      </c>
      <c r="BM436" s="27" t="s">
        <v>8</v>
      </c>
      <c r="BS436" s="27" t="s">
        <v>8</v>
      </c>
      <c r="BT436" s="27" t="s">
        <v>7</v>
      </c>
      <c r="BY436" s="27" t="s">
        <v>8</v>
      </c>
      <c r="BZ436" s="27" t="s">
        <v>7</v>
      </c>
      <c r="CE436" s="27" t="s">
        <v>8</v>
      </c>
      <c r="CF436" s="27" t="s">
        <v>7</v>
      </c>
      <c r="CG436" s="27" t="s">
        <v>8</v>
      </c>
      <c r="CH436" s="27" t="s">
        <v>7</v>
      </c>
      <c r="CI436" s="27" t="s">
        <v>8</v>
      </c>
      <c r="CJ436" s="27" t="s">
        <v>7</v>
      </c>
      <c r="CK436" s="27" t="s">
        <v>8</v>
      </c>
      <c r="CL436" s="27" t="s">
        <v>7</v>
      </c>
      <c r="EY436" s="27" t="s">
        <v>8</v>
      </c>
      <c r="EZ436" s="27" t="s">
        <v>7</v>
      </c>
    </row>
    <row r="437" spans="1:177" x14ac:dyDescent="0.25">
      <c r="A437" s="7">
        <v>19.499602766762585</v>
      </c>
      <c r="B437"/>
      <c r="C437"/>
      <c r="D437"/>
      <c r="E437" t="s">
        <v>8</v>
      </c>
      <c r="F437" s="27" t="s">
        <v>7</v>
      </c>
      <c r="AW437" s="27" t="s">
        <v>8</v>
      </c>
      <c r="AX437" s="27" t="s">
        <v>7</v>
      </c>
      <c r="AY437" s="27" t="s">
        <v>8</v>
      </c>
      <c r="AZ437" s="27" t="s">
        <v>7</v>
      </c>
      <c r="BI437" s="27" t="s">
        <v>8</v>
      </c>
      <c r="BJ437" s="27" t="s">
        <v>7</v>
      </c>
      <c r="BM437" s="27" t="s">
        <v>8</v>
      </c>
      <c r="BN437" s="27" t="s">
        <v>7</v>
      </c>
      <c r="BS437" s="27" t="s">
        <v>8</v>
      </c>
      <c r="BT437" s="27" t="s">
        <v>7</v>
      </c>
      <c r="BY437" s="27" t="s">
        <v>8</v>
      </c>
      <c r="BZ437" s="27" t="s">
        <v>7</v>
      </c>
      <c r="CA437" s="27" t="s">
        <v>8</v>
      </c>
      <c r="CE437" s="27" t="s">
        <v>8</v>
      </c>
      <c r="CF437" s="27" t="s">
        <v>7</v>
      </c>
      <c r="CG437" s="27" t="s">
        <v>8</v>
      </c>
      <c r="CH437" s="27" t="s">
        <v>7</v>
      </c>
      <c r="CI437" s="27" t="s">
        <v>8</v>
      </c>
      <c r="CJ437" s="27" t="s">
        <v>7</v>
      </c>
      <c r="CK437" s="27" t="s">
        <v>8</v>
      </c>
      <c r="CL437" s="27" t="s">
        <v>7</v>
      </c>
      <c r="EY437" s="27" t="s">
        <v>8</v>
      </c>
      <c r="EZ437" s="27" t="s">
        <v>7</v>
      </c>
    </row>
    <row r="438" spans="1:177" x14ac:dyDescent="0.25">
      <c r="A438" s="7">
        <v>19.117257614473122</v>
      </c>
      <c r="B438"/>
      <c r="C438"/>
      <c r="D438"/>
      <c r="E438" t="s">
        <v>8</v>
      </c>
      <c r="F438" s="27" t="s">
        <v>7</v>
      </c>
      <c r="AW438" s="27" t="s">
        <v>8</v>
      </c>
      <c r="AX438" s="27" t="s">
        <v>7</v>
      </c>
      <c r="AY438" s="27" t="s">
        <v>8</v>
      </c>
      <c r="AZ438" s="27" t="s">
        <v>7</v>
      </c>
      <c r="BI438" s="27" t="s">
        <v>8</v>
      </c>
      <c r="BJ438" s="27" t="s">
        <v>7</v>
      </c>
      <c r="BM438" s="27" t="s">
        <v>8</v>
      </c>
      <c r="BN438" s="27" t="s">
        <v>7</v>
      </c>
      <c r="BS438" s="27" t="s">
        <v>8</v>
      </c>
      <c r="BT438" s="27" t="s">
        <v>7</v>
      </c>
      <c r="BY438" s="27" t="s">
        <v>8</v>
      </c>
      <c r="BZ438" s="27" t="s">
        <v>7</v>
      </c>
      <c r="CA438" s="27" t="s">
        <v>8</v>
      </c>
      <c r="CB438" s="27" t="s">
        <v>7</v>
      </c>
      <c r="CE438" s="27" t="s">
        <v>8</v>
      </c>
      <c r="CF438" s="27" t="s">
        <v>7</v>
      </c>
      <c r="CG438" s="27" t="s">
        <v>8</v>
      </c>
      <c r="CH438" s="27" t="s">
        <v>7</v>
      </c>
      <c r="CI438" s="27" t="s">
        <v>8</v>
      </c>
      <c r="CJ438" s="27" t="s">
        <v>7</v>
      </c>
      <c r="CK438" s="27" t="s">
        <v>8</v>
      </c>
      <c r="CL438" s="27" t="s">
        <v>7</v>
      </c>
      <c r="EY438" s="27" t="s">
        <v>8</v>
      </c>
      <c r="EZ438" s="27" t="s">
        <v>7</v>
      </c>
    </row>
    <row r="439" spans="1:177" x14ac:dyDescent="0.25">
      <c r="A439" s="7">
        <v>18.74240942595404</v>
      </c>
      <c r="B439"/>
      <c r="C439"/>
      <c r="D439"/>
      <c r="E439" t="s">
        <v>8</v>
      </c>
      <c r="F439" s="27" t="s">
        <v>7</v>
      </c>
      <c r="AW439" s="27" t="s">
        <v>8</v>
      </c>
      <c r="AX439" s="27" t="s">
        <v>7</v>
      </c>
      <c r="AY439" s="27" t="s">
        <v>8</v>
      </c>
      <c r="AZ439" s="27" t="s">
        <v>7</v>
      </c>
      <c r="BI439" s="27" t="s">
        <v>8</v>
      </c>
      <c r="BJ439" s="27" t="s">
        <v>7</v>
      </c>
      <c r="BM439" s="27" t="s">
        <v>8</v>
      </c>
      <c r="BN439" s="27" t="s">
        <v>7</v>
      </c>
      <c r="BS439" s="27" t="s">
        <v>8</v>
      </c>
      <c r="BT439" s="27" t="s">
        <v>7</v>
      </c>
      <c r="BY439" s="27" t="s">
        <v>8</v>
      </c>
      <c r="BZ439" s="27" t="s">
        <v>7</v>
      </c>
      <c r="CA439" s="27" t="s">
        <v>8</v>
      </c>
      <c r="CB439" s="27" t="s">
        <v>7</v>
      </c>
      <c r="CE439" s="27" t="s">
        <v>8</v>
      </c>
      <c r="CF439" s="27" t="s">
        <v>7</v>
      </c>
      <c r="CG439" s="27" t="s">
        <v>8</v>
      </c>
      <c r="CH439" s="27" t="s">
        <v>7</v>
      </c>
      <c r="CI439" s="27" t="s">
        <v>8</v>
      </c>
      <c r="CJ439" s="27" t="s">
        <v>7</v>
      </c>
      <c r="CK439" s="27" t="s">
        <v>8</v>
      </c>
      <c r="CL439" s="27" t="s">
        <v>7</v>
      </c>
      <c r="EY439" s="27" t="s">
        <v>8</v>
      </c>
      <c r="EZ439" s="27" t="s">
        <v>7</v>
      </c>
    </row>
    <row r="440" spans="1:177" x14ac:dyDescent="0.25">
      <c r="A440" s="7">
        <v>18.374911201915726</v>
      </c>
      <c r="B440"/>
      <c r="C440"/>
      <c r="D440"/>
      <c r="E440" t="s">
        <v>8</v>
      </c>
      <c r="F440" s="27" t="s">
        <v>7</v>
      </c>
      <c r="AW440" s="27" t="s">
        <v>8</v>
      </c>
      <c r="AX440" s="27" t="s">
        <v>7</v>
      </c>
      <c r="AY440" s="27" t="s">
        <v>8</v>
      </c>
      <c r="AZ440" s="27" t="s">
        <v>7</v>
      </c>
      <c r="BI440" s="27" t="s">
        <v>8</v>
      </c>
      <c r="BJ440" s="27" t="s">
        <v>7</v>
      </c>
      <c r="BM440" s="27" t="s">
        <v>8</v>
      </c>
      <c r="BN440" s="27" t="s">
        <v>7</v>
      </c>
      <c r="BS440" s="27" t="s">
        <v>8</v>
      </c>
      <c r="BT440" s="27" t="s">
        <v>7</v>
      </c>
      <c r="BY440" s="27" t="s">
        <v>8</v>
      </c>
      <c r="BZ440" s="27" t="s">
        <v>7</v>
      </c>
      <c r="CA440" s="27" t="s">
        <v>8</v>
      </c>
      <c r="CB440" s="27" t="s">
        <v>7</v>
      </c>
      <c r="CE440" s="27" t="s">
        <v>8</v>
      </c>
      <c r="CF440" s="27" t="s">
        <v>7</v>
      </c>
      <c r="CG440" s="27" t="s">
        <v>8</v>
      </c>
      <c r="CH440" s="27" t="s">
        <v>7</v>
      </c>
      <c r="CI440" s="27" t="s">
        <v>8</v>
      </c>
      <c r="CJ440" s="27" t="s">
        <v>7</v>
      </c>
      <c r="CK440" s="27" t="s">
        <v>8</v>
      </c>
      <c r="CL440" s="27" t="s">
        <v>7</v>
      </c>
      <c r="EY440" s="27" t="s">
        <v>8</v>
      </c>
      <c r="EZ440" s="27" t="s">
        <v>7</v>
      </c>
    </row>
    <row r="441" spans="1:177" x14ac:dyDescent="0.25">
      <c r="A441" s="7">
        <v>18.014618825407574</v>
      </c>
      <c r="B441"/>
      <c r="C441"/>
      <c r="D441"/>
      <c r="E441" t="s">
        <v>8</v>
      </c>
      <c r="F441" s="27" t="s">
        <v>7</v>
      </c>
      <c r="AW441" s="27" t="s">
        <v>8</v>
      </c>
      <c r="AX441" s="27" t="s">
        <v>7</v>
      </c>
      <c r="AY441" s="27" t="s">
        <v>8</v>
      </c>
      <c r="AZ441" s="27" t="s">
        <v>7</v>
      </c>
      <c r="BI441" s="27" t="s">
        <v>8</v>
      </c>
      <c r="BJ441" s="27" t="s">
        <v>7</v>
      </c>
      <c r="BM441" s="27" t="s">
        <v>8</v>
      </c>
      <c r="BN441" s="27" t="s">
        <v>7</v>
      </c>
      <c r="BS441" s="27" t="s">
        <v>8</v>
      </c>
      <c r="BT441" s="27" t="s">
        <v>7</v>
      </c>
      <c r="BW441" s="27" t="s">
        <v>8</v>
      </c>
      <c r="BY441" s="27" t="s">
        <v>8</v>
      </c>
      <c r="BZ441" s="27" t="s">
        <v>7</v>
      </c>
      <c r="CA441" s="27" t="s">
        <v>8</v>
      </c>
      <c r="CB441" s="27" t="s">
        <v>7</v>
      </c>
      <c r="CE441" s="27" t="s">
        <v>8</v>
      </c>
      <c r="CF441" s="27" t="s">
        <v>7</v>
      </c>
      <c r="CG441" s="27" t="s">
        <v>8</v>
      </c>
      <c r="CH441" s="27" t="s">
        <v>7</v>
      </c>
      <c r="CI441" s="27" t="s">
        <v>8</v>
      </c>
      <c r="CJ441" s="27" t="s">
        <v>7</v>
      </c>
      <c r="CK441" s="27" t="s">
        <v>8</v>
      </c>
      <c r="CL441" s="27" t="s">
        <v>7</v>
      </c>
      <c r="EI441" s="27" t="s">
        <v>8</v>
      </c>
      <c r="EY441" s="27" t="s">
        <v>8</v>
      </c>
      <c r="EZ441" s="27" t="s">
        <v>7</v>
      </c>
    </row>
    <row r="442" spans="1:177" x14ac:dyDescent="0.25">
      <c r="A442" s="7">
        <v>17.661391005301542</v>
      </c>
      <c r="B442"/>
      <c r="C442"/>
      <c r="D442"/>
      <c r="E442" t="s">
        <v>8</v>
      </c>
      <c r="F442" s="27" t="s">
        <v>7</v>
      </c>
      <c r="AW442" s="27" t="s">
        <v>8</v>
      </c>
      <c r="AX442" s="27" t="s">
        <v>7</v>
      </c>
      <c r="AY442" s="27" t="s">
        <v>8</v>
      </c>
      <c r="AZ442" s="27" t="s">
        <v>7</v>
      </c>
      <c r="BC442" s="27" t="s">
        <v>8</v>
      </c>
      <c r="BI442" s="27" t="s">
        <v>8</v>
      </c>
      <c r="BJ442" s="27" t="s">
        <v>7</v>
      </c>
      <c r="BM442" s="27" t="s">
        <v>8</v>
      </c>
      <c r="BN442" s="27" t="s">
        <v>7</v>
      </c>
      <c r="BO442" s="27" t="s">
        <v>8</v>
      </c>
      <c r="BS442" s="27" t="s">
        <v>8</v>
      </c>
      <c r="BT442" s="27" t="s">
        <v>7</v>
      </c>
      <c r="BU442" s="27" t="s">
        <v>8</v>
      </c>
      <c r="BW442" s="27" t="s">
        <v>8</v>
      </c>
      <c r="BX442" s="27" t="s">
        <v>7</v>
      </c>
      <c r="BY442" s="27" t="s">
        <v>8</v>
      </c>
      <c r="BZ442" s="27" t="s">
        <v>7</v>
      </c>
      <c r="CB442" s="27" t="s">
        <v>7</v>
      </c>
      <c r="CC442" s="27" t="s">
        <v>8</v>
      </c>
      <c r="CE442" s="27" t="s">
        <v>8</v>
      </c>
      <c r="CF442" s="27" t="s">
        <v>7</v>
      </c>
      <c r="CG442" s="27" t="s">
        <v>8</v>
      </c>
      <c r="CH442" s="27" t="s">
        <v>7</v>
      </c>
      <c r="CI442" s="27" t="s">
        <v>8</v>
      </c>
      <c r="CJ442" s="27" t="s">
        <v>7</v>
      </c>
      <c r="CK442" s="27" t="s">
        <v>8</v>
      </c>
      <c r="CL442" s="27" t="s">
        <v>7</v>
      </c>
      <c r="EI442" s="27" t="s">
        <v>8</v>
      </c>
      <c r="EJ442" s="27" t="s">
        <v>7</v>
      </c>
      <c r="EY442" s="27" t="s">
        <v>8</v>
      </c>
      <c r="EZ442" s="27" t="s">
        <v>7</v>
      </c>
    </row>
    <row r="443" spans="1:177" x14ac:dyDescent="0.25">
      <c r="A443" s="7">
        <v>17.315089220883866</v>
      </c>
      <c r="B443"/>
      <c r="C443"/>
      <c r="D443"/>
      <c r="E443" t="s">
        <v>8</v>
      </c>
      <c r="F443" s="27" t="s">
        <v>7</v>
      </c>
      <c r="G443" s="27" t="s">
        <v>8</v>
      </c>
      <c r="I443" s="27" t="s">
        <v>8</v>
      </c>
      <c r="AW443" s="27" t="s">
        <v>8</v>
      </c>
      <c r="AX443" s="27" t="s">
        <v>7</v>
      </c>
      <c r="AY443" s="27" t="s">
        <v>8</v>
      </c>
      <c r="AZ443" s="27" t="s">
        <v>7</v>
      </c>
      <c r="BC443" s="27" t="s">
        <v>8</v>
      </c>
      <c r="BD443" s="27" t="s">
        <v>7</v>
      </c>
      <c r="BI443" s="27" t="s">
        <v>8</v>
      </c>
      <c r="BJ443" s="27" t="s">
        <v>7</v>
      </c>
      <c r="BM443" s="27" t="s">
        <v>8</v>
      </c>
      <c r="BN443" s="27" t="s">
        <v>7</v>
      </c>
      <c r="BO443" s="27" t="s">
        <v>8</v>
      </c>
      <c r="BP443" s="27" t="s">
        <v>7</v>
      </c>
      <c r="BS443" s="27" t="s">
        <v>8</v>
      </c>
      <c r="BT443" s="27" t="s">
        <v>7</v>
      </c>
      <c r="BU443" s="27" t="s">
        <v>8</v>
      </c>
      <c r="BV443" s="27" t="s">
        <v>7</v>
      </c>
      <c r="BW443" s="27" t="s">
        <v>8</v>
      </c>
      <c r="BX443" s="27" t="s">
        <v>7</v>
      </c>
      <c r="BY443" s="27" t="s">
        <v>8</v>
      </c>
      <c r="CB443" s="27" t="s">
        <v>7</v>
      </c>
      <c r="CC443" s="27" t="s">
        <v>8</v>
      </c>
      <c r="CD443" s="27" t="s">
        <v>7</v>
      </c>
      <c r="CE443" s="27" t="s">
        <v>8</v>
      </c>
      <c r="CF443" s="27" t="s">
        <v>7</v>
      </c>
      <c r="CG443" s="27" t="s">
        <v>8</v>
      </c>
      <c r="CH443" s="27" t="s">
        <v>7</v>
      </c>
      <c r="CI443" s="27" t="s">
        <v>8</v>
      </c>
      <c r="CJ443" s="27" t="s">
        <v>7</v>
      </c>
      <c r="CK443" s="27" t="s">
        <v>8</v>
      </c>
      <c r="CL443" s="27" t="s">
        <v>7</v>
      </c>
      <c r="EI443" s="27" t="s">
        <v>8</v>
      </c>
      <c r="EJ443" s="27" t="s">
        <v>7</v>
      </c>
      <c r="EY443" s="27" t="s">
        <v>8</v>
      </c>
      <c r="EZ443" s="27" t="s">
        <v>7</v>
      </c>
    </row>
    <row r="444" spans="1:177" x14ac:dyDescent="0.25">
      <c r="A444" s="7">
        <v>16.975577667533202</v>
      </c>
      <c r="B444"/>
      <c r="C444"/>
      <c r="D444"/>
      <c r="E444" t="s">
        <v>8</v>
      </c>
      <c r="F444" s="27" t="s">
        <v>7</v>
      </c>
      <c r="G444" s="27" t="s">
        <v>8</v>
      </c>
      <c r="H444" s="27" t="s">
        <v>7</v>
      </c>
      <c r="I444" s="27" t="s">
        <v>8</v>
      </c>
      <c r="J444" s="27" t="s">
        <v>7</v>
      </c>
      <c r="AW444" s="27" t="s">
        <v>8</v>
      </c>
      <c r="AX444" s="27" t="s">
        <v>7</v>
      </c>
      <c r="AY444" s="27" t="s">
        <v>8</v>
      </c>
      <c r="AZ444" s="27" t="s">
        <v>7</v>
      </c>
      <c r="BC444" s="27" t="s">
        <v>8</v>
      </c>
      <c r="BD444" s="27" t="s">
        <v>7</v>
      </c>
      <c r="BI444" s="27" t="s">
        <v>8</v>
      </c>
      <c r="BJ444" s="27" t="s">
        <v>7</v>
      </c>
      <c r="BM444" s="27" t="s">
        <v>8</v>
      </c>
      <c r="BN444" s="27" t="s">
        <v>7</v>
      </c>
      <c r="BO444" s="27" t="s">
        <v>8</v>
      </c>
      <c r="BP444" s="27" t="s">
        <v>7</v>
      </c>
      <c r="BQ444" s="27" t="s">
        <v>8</v>
      </c>
      <c r="BS444" s="27" t="s">
        <v>8</v>
      </c>
      <c r="BT444" s="27" t="s">
        <v>7</v>
      </c>
      <c r="BU444" s="27" t="s">
        <v>8</v>
      </c>
      <c r="BV444" s="27" t="s">
        <v>7</v>
      </c>
      <c r="BW444" s="27" t="s">
        <v>8</v>
      </c>
      <c r="BX444" s="27" t="s">
        <v>7</v>
      </c>
      <c r="BY444" s="27" t="s">
        <v>8</v>
      </c>
      <c r="CB444" s="27" t="s">
        <v>7</v>
      </c>
      <c r="CC444" s="27" t="s">
        <v>8</v>
      </c>
      <c r="CD444" s="27" t="s">
        <v>7</v>
      </c>
      <c r="CE444" s="27" t="s">
        <v>8</v>
      </c>
      <c r="CF444" s="27" t="s">
        <v>7</v>
      </c>
      <c r="CG444" s="27" t="s">
        <v>8</v>
      </c>
      <c r="CH444" s="27" t="s">
        <v>7</v>
      </c>
      <c r="CI444" s="27" t="s">
        <v>8</v>
      </c>
      <c r="CJ444" s="27" t="s">
        <v>7</v>
      </c>
      <c r="CK444" s="27" t="s">
        <v>8</v>
      </c>
      <c r="CL444" s="27" t="s">
        <v>7</v>
      </c>
      <c r="EI444" s="27" t="s">
        <v>8</v>
      </c>
      <c r="EJ444" s="27" t="s">
        <v>7</v>
      </c>
      <c r="EY444" s="27" t="s">
        <v>8</v>
      </c>
      <c r="EZ444" s="27" t="s">
        <v>7</v>
      </c>
    </row>
    <row r="445" spans="1:177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G445" s="27" t="s">
        <v>8</v>
      </c>
      <c r="H445" s="27" t="s">
        <v>7</v>
      </c>
      <c r="I445" s="27" t="s">
        <v>8</v>
      </c>
      <c r="J445" s="27" t="s">
        <v>7</v>
      </c>
      <c r="AW445" s="27" t="s">
        <v>8</v>
      </c>
      <c r="AX445" s="27" t="s">
        <v>7</v>
      </c>
      <c r="AY445" s="27" t="s">
        <v>8</v>
      </c>
      <c r="AZ445" s="27" t="s">
        <v>7</v>
      </c>
      <c r="BC445" s="27" t="s">
        <v>8</v>
      </c>
      <c r="BD445" s="27" t="s">
        <v>7</v>
      </c>
      <c r="BI445" s="27" t="s">
        <v>8</v>
      </c>
      <c r="BJ445" s="27" t="s">
        <v>7</v>
      </c>
      <c r="BM445" s="27" t="s">
        <v>8</v>
      </c>
      <c r="BN445" s="27" t="s">
        <v>7</v>
      </c>
      <c r="BO445" s="27" t="s">
        <v>8</v>
      </c>
      <c r="BP445" s="27" t="s">
        <v>7</v>
      </c>
      <c r="BQ445" s="27" t="s">
        <v>8</v>
      </c>
      <c r="BR445" s="27" t="s">
        <v>7</v>
      </c>
      <c r="BS445" s="27" t="s">
        <v>8</v>
      </c>
      <c r="BT445" s="27" t="s">
        <v>7</v>
      </c>
      <c r="BU445" s="27" t="s">
        <v>8</v>
      </c>
      <c r="BV445" s="27" t="s">
        <v>7</v>
      </c>
      <c r="BW445" s="27" t="s">
        <v>8</v>
      </c>
      <c r="BX445" s="27" t="s">
        <v>7</v>
      </c>
      <c r="BY445" s="27" t="s">
        <v>8</v>
      </c>
      <c r="CB445" s="27" t="s">
        <v>7</v>
      </c>
      <c r="CD445" s="27" t="s">
        <v>7</v>
      </c>
      <c r="CE445" s="27" t="s">
        <v>8</v>
      </c>
      <c r="CF445" s="27" t="s">
        <v>7</v>
      </c>
      <c r="CG445" s="27" t="s">
        <v>8</v>
      </c>
      <c r="CH445" s="27" t="s">
        <v>7</v>
      </c>
      <c r="CJ445" s="27" t="s">
        <v>7</v>
      </c>
      <c r="CK445" s="27" t="s">
        <v>8</v>
      </c>
      <c r="CL445" s="27" t="s">
        <v>7</v>
      </c>
      <c r="EI445" s="27" t="s">
        <v>8</v>
      </c>
      <c r="EJ445" s="27" t="s">
        <v>7</v>
      </c>
      <c r="EY445" s="27" t="s">
        <v>8</v>
      </c>
      <c r="EZ445" s="27" t="s">
        <v>7</v>
      </c>
    </row>
    <row r="446" spans="1:177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G446" s="27" t="s">
        <v>8</v>
      </c>
      <c r="H446" s="27" t="s">
        <v>7</v>
      </c>
      <c r="I446" s="27" t="s">
        <v>8</v>
      </c>
      <c r="J446" s="27" t="s">
        <v>7</v>
      </c>
      <c r="AW446" s="27" t="s">
        <v>8</v>
      </c>
      <c r="AX446" s="27" t="s">
        <v>7</v>
      </c>
      <c r="AY446" s="27" t="s">
        <v>8</v>
      </c>
      <c r="AZ446" s="27" t="s">
        <v>7</v>
      </c>
      <c r="BC446" s="27" t="s">
        <v>8</v>
      </c>
      <c r="BD446" s="27" t="s">
        <v>7</v>
      </c>
      <c r="BI446" s="27" t="s">
        <v>8</v>
      </c>
      <c r="BJ446" s="27" t="s">
        <v>7</v>
      </c>
      <c r="BK446" s="27" t="s">
        <v>8</v>
      </c>
      <c r="BM446" s="27" t="s">
        <v>8</v>
      </c>
      <c r="BN446" s="27" t="s">
        <v>7</v>
      </c>
      <c r="BP446" s="27" t="s">
        <v>7</v>
      </c>
      <c r="BQ446" s="27" t="s">
        <v>8</v>
      </c>
      <c r="BR446" s="27" t="s">
        <v>7</v>
      </c>
      <c r="BS446" s="27" t="s">
        <v>8</v>
      </c>
      <c r="BT446" s="27" t="s">
        <v>7</v>
      </c>
      <c r="BU446" s="27" t="s">
        <v>8</v>
      </c>
      <c r="BV446" s="27" t="s">
        <v>7</v>
      </c>
      <c r="BX446" s="27" t="s">
        <v>7</v>
      </c>
      <c r="BY446" s="27" t="s">
        <v>8</v>
      </c>
      <c r="CD446" s="27" t="s">
        <v>7</v>
      </c>
      <c r="CE446" s="27" t="s">
        <v>8</v>
      </c>
      <c r="CF446" s="27" t="s">
        <v>7</v>
      </c>
      <c r="CG446" s="27" t="s">
        <v>8</v>
      </c>
      <c r="CJ446" s="27" t="s">
        <v>7</v>
      </c>
      <c r="CK446" s="27" t="s">
        <v>8</v>
      </c>
      <c r="CL446" s="27" t="s">
        <v>7</v>
      </c>
      <c r="EI446" s="27" t="s">
        <v>8</v>
      </c>
      <c r="EJ446" s="27" t="s">
        <v>7</v>
      </c>
      <c r="EY446" s="27" t="s">
        <v>8</v>
      </c>
      <c r="EZ446" s="27" t="s">
        <v>7</v>
      </c>
    </row>
    <row r="447" spans="1:177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G447" s="27" t="s">
        <v>8</v>
      </c>
      <c r="H447" s="27" t="s">
        <v>7</v>
      </c>
      <c r="I447" s="27" t="s">
        <v>8</v>
      </c>
      <c r="J447" s="27" t="s">
        <v>7</v>
      </c>
      <c r="AW447" s="27" t="s">
        <v>8</v>
      </c>
      <c r="AX447" s="27" t="s">
        <v>7</v>
      </c>
      <c r="AY447" s="27" t="s">
        <v>8</v>
      </c>
      <c r="AZ447" s="27" t="s">
        <v>7</v>
      </c>
      <c r="BC447" s="27" t="s">
        <v>8</v>
      </c>
      <c r="BD447" s="27" t="s">
        <v>7</v>
      </c>
      <c r="BI447" s="27" t="s">
        <v>8</v>
      </c>
      <c r="BJ447" s="27" t="s">
        <v>7</v>
      </c>
      <c r="BK447" s="27" t="s">
        <v>8</v>
      </c>
      <c r="BL447" s="27" t="s">
        <v>7</v>
      </c>
      <c r="BM447" s="27" t="s">
        <v>8</v>
      </c>
      <c r="BP447" s="27" t="s">
        <v>7</v>
      </c>
      <c r="BQ447" s="27" t="s">
        <v>8</v>
      </c>
      <c r="BR447" s="27" t="s">
        <v>7</v>
      </c>
      <c r="BS447" s="27" t="s">
        <v>8</v>
      </c>
      <c r="BT447" s="27" t="s">
        <v>7</v>
      </c>
      <c r="BU447" s="27" t="s">
        <v>8</v>
      </c>
      <c r="BX447" s="27" t="s">
        <v>7</v>
      </c>
      <c r="BY447" s="27" t="s">
        <v>8</v>
      </c>
      <c r="CD447" s="27" t="s">
        <v>7</v>
      </c>
      <c r="CE447" s="27" t="s">
        <v>8</v>
      </c>
      <c r="CF447" s="27" t="s">
        <v>7</v>
      </c>
      <c r="CG447" s="27" t="s">
        <v>8</v>
      </c>
      <c r="CJ447" s="27" t="s">
        <v>7</v>
      </c>
      <c r="CK447" s="27" t="s">
        <v>8</v>
      </c>
      <c r="CL447" s="27" t="s">
        <v>7</v>
      </c>
      <c r="EI447" s="27" t="s">
        <v>8</v>
      </c>
      <c r="EJ447" s="27" t="s">
        <v>7</v>
      </c>
      <c r="EY447" s="27" t="s">
        <v>8</v>
      </c>
      <c r="EZ447" s="27" t="s">
        <v>7</v>
      </c>
      <c r="FC447" s="27" t="s">
        <v>8</v>
      </c>
    </row>
    <row r="448" spans="1:177" x14ac:dyDescent="0.25">
      <c r="A448" s="7">
        <v>15.682809782308393</v>
      </c>
      <c r="B448"/>
      <c r="C448"/>
      <c r="D448"/>
      <c r="E448" t="s">
        <v>8</v>
      </c>
      <c r="F448" s="27" t="s">
        <v>7</v>
      </c>
      <c r="G448" s="27" t="s">
        <v>8</v>
      </c>
      <c r="H448" s="27" t="s">
        <v>7</v>
      </c>
      <c r="I448" s="27" t="s">
        <v>8</v>
      </c>
      <c r="J448" s="27" t="s">
        <v>7</v>
      </c>
      <c r="AW448" s="27" t="s">
        <v>8</v>
      </c>
      <c r="AX448" s="27" t="s">
        <v>7</v>
      </c>
      <c r="AY448" s="27" t="s">
        <v>8</v>
      </c>
      <c r="AZ448" s="27" t="s">
        <v>7</v>
      </c>
      <c r="BA448" s="27" t="s">
        <v>8</v>
      </c>
      <c r="BC448" s="27" t="s">
        <v>8</v>
      </c>
      <c r="BD448" s="27" t="s">
        <v>7</v>
      </c>
      <c r="BI448" s="27" t="s">
        <v>8</v>
      </c>
      <c r="BJ448" s="27" t="s">
        <v>7</v>
      </c>
      <c r="BK448" s="27" t="s">
        <v>8</v>
      </c>
      <c r="BL448" s="27" t="s">
        <v>7</v>
      </c>
      <c r="BM448" s="27" t="s">
        <v>8</v>
      </c>
      <c r="BP448" s="27" t="s">
        <v>7</v>
      </c>
      <c r="BR448" s="27" t="s">
        <v>7</v>
      </c>
      <c r="BS448" s="27" t="s">
        <v>8</v>
      </c>
      <c r="BT448" s="27" t="s">
        <v>7</v>
      </c>
      <c r="BU448" s="27" t="s">
        <v>8</v>
      </c>
      <c r="BX448" s="27" t="s">
        <v>7</v>
      </c>
      <c r="CD448" s="27" t="s">
        <v>7</v>
      </c>
      <c r="CE448" s="27" t="s">
        <v>8</v>
      </c>
      <c r="CF448" s="27" t="s">
        <v>7</v>
      </c>
      <c r="CG448" s="27" t="s">
        <v>8</v>
      </c>
      <c r="CJ448" s="27" t="s">
        <v>7</v>
      </c>
      <c r="CK448" s="27" t="s">
        <v>8</v>
      </c>
      <c r="CL448" s="27" t="s">
        <v>7</v>
      </c>
      <c r="DY448" s="27" t="s">
        <v>8</v>
      </c>
      <c r="EI448" s="27" t="s">
        <v>8</v>
      </c>
      <c r="EJ448" s="27" t="s">
        <v>7</v>
      </c>
      <c r="EY448" s="27" t="s">
        <v>8</v>
      </c>
      <c r="EZ448" s="27" t="s">
        <v>7</v>
      </c>
      <c r="FC448" s="27" t="s">
        <v>8</v>
      </c>
      <c r="FD448" s="27" t="s">
        <v>7</v>
      </c>
      <c r="FU448" s="27" t="s">
        <v>8</v>
      </c>
    </row>
    <row r="449" spans="1:178" x14ac:dyDescent="0.25">
      <c r="A449" s="7">
        <v>15.375303708145482</v>
      </c>
      <c r="B449"/>
      <c r="C449"/>
      <c r="D449"/>
      <c r="E449" t="s">
        <v>8</v>
      </c>
      <c r="F449" s="27" t="s">
        <v>7</v>
      </c>
      <c r="G449" s="27" t="s">
        <v>8</v>
      </c>
      <c r="H449" s="27" t="s">
        <v>7</v>
      </c>
      <c r="I449" s="27" t="s">
        <v>8</v>
      </c>
      <c r="J449" s="27" t="s">
        <v>7</v>
      </c>
      <c r="AW449" s="27" t="s">
        <v>8</v>
      </c>
      <c r="AX449" s="27" t="s">
        <v>7</v>
      </c>
      <c r="AY449" s="27" t="s">
        <v>8</v>
      </c>
      <c r="AZ449" s="27" t="s">
        <v>7</v>
      </c>
      <c r="BA449" s="27" t="s">
        <v>8</v>
      </c>
      <c r="BB449" s="27" t="s">
        <v>7</v>
      </c>
      <c r="BC449" s="27" t="s">
        <v>8</v>
      </c>
      <c r="BD449" s="27" t="s">
        <v>7</v>
      </c>
      <c r="BG449" s="27" t="s">
        <v>8</v>
      </c>
      <c r="BI449" s="27" t="s">
        <v>8</v>
      </c>
      <c r="BJ449" s="27" t="s">
        <v>7</v>
      </c>
      <c r="BL449" s="27" t="s">
        <v>7</v>
      </c>
      <c r="BM449" s="27" t="s">
        <v>8</v>
      </c>
      <c r="BR449" s="27" t="s">
        <v>7</v>
      </c>
      <c r="BS449" s="27" t="s">
        <v>8</v>
      </c>
      <c r="BT449" s="27" t="s">
        <v>7</v>
      </c>
      <c r="BU449" s="27" t="s">
        <v>8</v>
      </c>
      <c r="CD449" s="27" t="s">
        <v>7</v>
      </c>
      <c r="CE449" s="27" t="s">
        <v>8</v>
      </c>
      <c r="CF449" s="27" t="s">
        <v>7</v>
      </c>
      <c r="CG449" s="27" t="s">
        <v>8</v>
      </c>
      <c r="CJ449" s="27" t="s">
        <v>7</v>
      </c>
      <c r="CK449" s="27" t="s">
        <v>8</v>
      </c>
      <c r="CL449" s="27" t="s">
        <v>7</v>
      </c>
      <c r="DY449" s="27" t="s">
        <v>8</v>
      </c>
      <c r="DZ449" s="27" t="s">
        <v>7</v>
      </c>
      <c r="EA449" s="27" t="s">
        <v>8</v>
      </c>
      <c r="EI449" s="27" t="s">
        <v>8</v>
      </c>
      <c r="EJ449" s="27" t="s">
        <v>7</v>
      </c>
      <c r="EY449" s="27" t="s">
        <v>8</v>
      </c>
      <c r="EZ449" s="27" t="s">
        <v>7</v>
      </c>
      <c r="FC449" s="27" t="s">
        <v>8</v>
      </c>
      <c r="FD449" s="27" t="s">
        <v>7</v>
      </c>
      <c r="FU449" s="27" t="s">
        <v>8</v>
      </c>
      <c r="FV449" s="27" t="s">
        <v>7</v>
      </c>
    </row>
    <row r="450" spans="1:178" x14ac:dyDescent="0.25">
      <c r="A450" s="7">
        <v>15.073827164848511</v>
      </c>
      <c r="B450"/>
      <c r="C450"/>
      <c r="D450"/>
      <c r="E450" t="s">
        <v>8</v>
      </c>
      <c r="F450" s="27" t="s">
        <v>7</v>
      </c>
      <c r="G450" s="27" t="s">
        <v>8</v>
      </c>
      <c r="H450" s="27" t="s">
        <v>7</v>
      </c>
      <c r="I450" s="27" t="s">
        <v>8</v>
      </c>
      <c r="J450" s="27" t="s">
        <v>7</v>
      </c>
      <c r="AW450" s="27" t="s">
        <v>8</v>
      </c>
      <c r="AX450" s="27" t="s">
        <v>7</v>
      </c>
      <c r="AY450" s="27" t="s">
        <v>8</v>
      </c>
      <c r="AZ450" s="27" t="s">
        <v>7</v>
      </c>
      <c r="BA450" s="27" t="s">
        <v>8</v>
      </c>
      <c r="BB450" s="27" t="s">
        <v>7</v>
      </c>
      <c r="BC450" s="27" t="s">
        <v>8</v>
      </c>
      <c r="BD450" s="27" t="s">
        <v>7</v>
      </c>
      <c r="BG450" s="27" t="s">
        <v>8</v>
      </c>
      <c r="BH450" s="27" t="s">
        <v>7</v>
      </c>
      <c r="BI450" s="27" t="s">
        <v>8</v>
      </c>
      <c r="BL450" s="27" t="s">
        <v>7</v>
      </c>
      <c r="BM450" s="27" t="s">
        <v>8</v>
      </c>
      <c r="BR450" s="27" t="s">
        <v>7</v>
      </c>
      <c r="BS450" s="27" t="s">
        <v>8</v>
      </c>
      <c r="BT450" s="27" t="s">
        <v>7</v>
      </c>
      <c r="BU450" s="27" t="s">
        <v>8</v>
      </c>
      <c r="CD450" s="27" t="s">
        <v>7</v>
      </c>
      <c r="CE450" s="27" t="s">
        <v>8</v>
      </c>
      <c r="CF450" s="27" t="s">
        <v>7</v>
      </c>
      <c r="CG450" s="27" t="s">
        <v>8</v>
      </c>
      <c r="CJ450" s="27" t="s">
        <v>7</v>
      </c>
      <c r="CK450" s="27" t="s">
        <v>8</v>
      </c>
      <c r="CL450" s="27" t="s">
        <v>7</v>
      </c>
      <c r="DY450" s="27" t="s">
        <v>8</v>
      </c>
      <c r="DZ450" s="27" t="s">
        <v>7</v>
      </c>
      <c r="EA450" s="27" t="s">
        <v>8</v>
      </c>
      <c r="EB450" s="27" t="s">
        <v>7</v>
      </c>
      <c r="EI450" s="27" t="s">
        <v>8</v>
      </c>
      <c r="EJ450" s="27" t="s">
        <v>7</v>
      </c>
      <c r="EY450" s="27" t="s">
        <v>8</v>
      </c>
      <c r="EZ450" s="27" t="s">
        <v>7</v>
      </c>
      <c r="FC450" s="27" t="s">
        <v>8</v>
      </c>
      <c r="FD450" s="27" t="s">
        <v>7</v>
      </c>
      <c r="FU450" s="27" t="s">
        <v>8</v>
      </c>
      <c r="FV450" s="27" t="s">
        <v>7</v>
      </c>
    </row>
    <row r="451" spans="1:178" x14ac:dyDescent="0.25">
      <c r="A451" s="7">
        <v>14.77826192632207</v>
      </c>
      <c r="B451"/>
      <c r="C451"/>
      <c r="D451"/>
      <c r="E451" t="s">
        <v>8</v>
      </c>
      <c r="F451" s="27" t="s">
        <v>7</v>
      </c>
      <c r="G451" s="27" t="s">
        <v>8</v>
      </c>
      <c r="H451" s="27" t="s">
        <v>7</v>
      </c>
      <c r="I451" s="27" t="s">
        <v>8</v>
      </c>
      <c r="J451" s="27" t="s">
        <v>7</v>
      </c>
      <c r="AW451" s="27" t="s">
        <v>8</v>
      </c>
      <c r="AX451" s="27" t="s">
        <v>7</v>
      </c>
      <c r="AY451" s="27" t="s">
        <v>8</v>
      </c>
      <c r="AZ451" s="27" t="s">
        <v>7</v>
      </c>
      <c r="BA451" s="27" t="s">
        <v>8</v>
      </c>
      <c r="BB451" s="27" t="s">
        <v>7</v>
      </c>
      <c r="BC451" s="27" t="s">
        <v>8</v>
      </c>
      <c r="BD451" s="27" t="s">
        <v>7</v>
      </c>
      <c r="BG451" s="27" t="s">
        <v>8</v>
      </c>
      <c r="BH451" s="27" t="s">
        <v>7</v>
      </c>
      <c r="BI451" s="27" t="s">
        <v>8</v>
      </c>
      <c r="BL451" s="27" t="s">
        <v>7</v>
      </c>
      <c r="BR451" s="27" t="s">
        <v>7</v>
      </c>
      <c r="BS451" s="27" t="s">
        <v>8</v>
      </c>
      <c r="BT451" s="27" t="s">
        <v>7</v>
      </c>
      <c r="BU451" s="27" t="s">
        <v>8</v>
      </c>
      <c r="CD451" s="27" t="s">
        <v>7</v>
      </c>
      <c r="CE451" s="27" t="s">
        <v>8</v>
      </c>
      <c r="CF451" s="27" t="s">
        <v>7</v>
      </c>
      <c r="CJ451" s="27" t="s">
        <v>7</v>
      </c>
      <c r="CK451" s="27" t="s">
        <v>8</v>
      </c>
      <c r="CL451" s="27" t="s">
        <v>7</v>
      </c>
      <c r="DY451" s="27" t="s">
        <v>8</v>
      </c>
      <c r="DZ451" s="27" t="s">
        <v>7</v>
      </c>
      <c r="EA451" s="27" t="s">
        <v>8</v>
      </c>
      <c r="EB451" s="27" t="s">
        <v>7</v>
      </c>
      <c r="EI451" s="27" t="s">
        <v>8</v>
      </c>
      <c r="EJ451" s="27" t="s">
        <v>7</v>
      </c>
      <c r="EM451" s="27" t="s">
        <v>8</v>
      </c>
      <c r="EY451" s="27" t="s">
        <v>8</v>
      </c>
      <c r="EZ451" s="27" t="s">
        <v>7</v>
      </c>
      <c r="FA451" s="27" t="s">
        <v>8</v>
      </c>
      <c r="FC451" s="27" t="s">
        <v>8</v>
      </c>
      <c r="FD451" s="27" t="s">
        <v>7</v>
      </c>
      <c r="FU451" s="27" t="s">
        <v>8</v>
      </c>
      <c r="FV451" s="27" t="s">
        <v>7</v>
      </c>
    </row>
    <row r="452" spans="1:178" x14ac:dyDescent="0.25">
      <c r="A452" s="7">
        <v>14.488492084629481</v>
      </c>
      <c r="B452"/>
      <c r="C452"/>
      <c r="D452"/>
      <c r="E452" t="s">
        <v>8</v>
      </c>
      <c r="F452" s="27" t="s">
        <v>7</v>
      </c>
      <c r="G452" s="27" t="s">
        <v>8</v>
      </c>
      <c r="H452" s="27" t="s">
        <v>7</v>
      </c>
      <c r="I452" s="27" t="s">
        <v>8</v>
      </c>
      <c r="J452" s="27" t="s">
        <v>7</v>
      </c>
      <c r="AW452" s="27" t="s">
        <v>8</v>
      </c>
      <c r="AX452" s="27" t="s">
        <v>7</v>
      </c>
      <c r="AY452" s="27" t="s">
        <v>8</v>
      </c>
      <c r="AZ452" s="27" t="s">
        <v>7</v>
      </c>
      <c r="BA452" s="27" t="s">
        <v>8</v>
      </c>
      <c r="BB452" s="27" t="s">
        <v>7</v>
      </c>
      <c r="BD452" s="27" t="s">
        <v>7</v>
      </c>
      <c r="BE452" s="27" t="s">
        <v>8</v>
      </c>
      <c r="BG452" s="27" t="s">
        <v>8</v>
      </c>
      <c r="BH452" s="27" t="s">
        <v>7</v>
      </c>
      <c r="BI452" s="27" t="s">
        <v>8</v>
      </c>
      <c r="BR452" s="27" t="s">
        <v>7</v>
      </c>
      <c r="BS452" s="27" t="s">
        <v>8</v>
      </c>
      <c r="BT452" s="27" t="s">
        <v>7</v>
      </c>
      <c r="BU452" s="27" t="s">
        <v>8</v>
      </c>
      <c r="CD452" s="27" t="s">
        <v>7</v>
      </c>
      <c r="CJ452" s="27" t="s">
        <v>7</v>
      </c>
      <c r="CK452" s="27" t="s">
        <v>8</v>
      </c>
      <c r="CL452" s="27" t="s">
        <v>7</v>
      </c>
      <c r="DY452" s="27" t="s">
        <v>8</v>
      </c>
      <c r="DZ452" s="27" t="s">
        <v>7</v>
      </c>
      <c r="EA452" s="27" t="s">
        <v>8</v>
      </c>
      <c r="EB452" s="27" t="s">
        <v>7</v>
      </c>
      <c r="EI452" s="27" t="s">
        <v>8</v>
      </c>
      <c r="EJ452" s="27" t="s">
        <v>7</v>
      </c>
      <c r="EM452" s="27" t="s">
        <v>8</v>
      </c>
      <c r="EN452" s="27" t="s">
        <v>7</v>
      </c>
      <c r="EO452" s="27" t="s">
        <v>8</v>
      </c>
      <c r="EW452" s="27" t="s">
        <v>8</v>
      </c>
      <c r="EY452" s="27" t="s">
        <v>8</v>
      </c>
      <c r="EZ452" s="27" t="s">
        <v>7</v>
      </c>
      <c r="FA452" s="27" t="s">
        <v>8</v>
      </c>
      <c r="FB452" s="27" t="s">
        <v>7</v>
      </c>
      <c r="FC452" s="27" t="s">
        <v>8</v>
      </c>
      <c r="FD452" s="27" t="s">
        <v>7</v>
      </c>
      <c r="FE452" s="27" t="s">
        <v>8</v>
      </c>
      <c r="FU452" s="27" t="s">
        <v>8</v>
      </c>
      <c r="FV452" s="27" t="s">
        <v>7</v>
      </c>
    </row>
    <row r="453" spans="1:178" x14ac:dyDescent="0.25">
      <c r="A453" s="7">
        <v>14.204404004538707</v>
      </c>
      <c r="B453"/>
      <c r="C453"/>
      <c r="D453"/>
      <c r="E453" t="s">
        <v>8</v>
      </c>
      <c r="F453" s="27" t="s">
        <v>7</v>
      </c>
      <c r="G453" s="27" t="s">
        <v>8</v>
      </c>
      <c r="H453" s="27" t="s">
        <v>7</v>
      </c>
      <c r="I453" s="27" t="s">
        <v>8</v>
      </c>
      <c r="J453" s="27" t="s">
        <v>7</v>
      </c>
      <c r="AW453" s="27" t="s">
        <v>8</v>
      </c>
      <c r="AX453" s="27" t="s">
        <v>7</v>
      </c>
      <c r="AY453" s="27" t="s">
        <v>8</v>
      </c>
      <c r="AZ453" s="27" t="s">
        <v>7</v>
      </c>
      <c r="BA453" s="27" t="s">
        <v>8</v>
      </c>
      <c r="BD453" s="27" t="s">
        <v>7</v>
      </c>
      <c r="BE453" s="27" t="s">
        <v>8</v>
      </c>
      <c r="BF453" s="27" t="s">
        <v>7</v>
      </c>
      <c r="BG453" s="27" t="s">
        <v>8</v>
      </c>
      <c r="BH453" s="27" t="s">
        <v>7</v>
      </c>
      <c r="BI453" s="27" t="s">
        <v>8</v>
      </c>
      <c r="BR453" s="27" t="s">
        <v>7</v>
      </c>
      <c r="BS453" s="27" t="s">
        <v>8</v>
      </c>
      <c r="BT453" s="27" t="s">
        <v>7</v>
      </c>
      <c r="BU453" s="27" t="s">
        <v>8</v>
      </c>
      <c r="CJ453" s="27" t="s">
        <v>7</v>
      </c>
      <c r="CK453" s="27" t="s">
        <v>8</v>
      </c>
      <c r="CL453" s="27" t="s">
        <v>7</v>
      </c>
      <c r="DW453" s="27" t="s">
        <v>8</v>
      </c>
      <c r="DY453" s="27" t="s">
        <v>8</v>
      </c>
      <c r="DZ453" s="27" t="s">
        <v>7</v>
      </c>
      <c r="EA453" s="27" t="s">
        <v>8</v>
      </c>
      <c r="EB453" s="27" t="s">
        <v>7</v>
      </c>
      <c r="EC453" s="27" t="s">
        <v>8</v>
      </c>
      <c r="EI453" s="27" t="s">
        <v>8</v>
      </c>
      <c r="EJ453" s="27" t="s">
        <v>7</v>
      </c>
      <c r="EM453" s="27" t="s">
        <v>8</v>
      </c>
      <c r="EN453" s="27" t="s">
        <v>7</v>
      </c>
      <c r="EO453" s="27" t="s">
        <v>8</v>
      </c>
      <c r="EP453" s="27" t="s">
        <v>7</v>
      </c>
      <c r="EW453" s="27" t="s">
        <v>8</v>
      </c>
      <c r="EX453" s="27" t="s">
        <v>7</v>
      </c>
      <c r="EY453" s="27" t="s">
        <v>8</v>
      </c>
      <c r="EZ453" s="27" t="s">
        <v>7</v>
      </c>
      <c r="FA453" s="27" t="s">
        <v>8</v>
      </c>
      <c r="FB453" s="27" t="s">
        <v>7</v>
      </c>
      <c r="FC453" s="27" t="s">
        <v>8</v>
      </c>
      <c r="FD453" s="27" t="s">
        <v>7</v>
      </c>
      <c r="FE453" s="27" t="s">
        <v>8</v>
      </c>
      <c r="FF453" s="27" t="s">
        <v>7</v>
      </c>
      <c r="FK453" s="27" t="s">
        <v>8</v>
      </c>
      <c r="FU453" s="27" t="s">
        <v>8</v>
      </c>
      <c r="FV453" s="27" t="s">
        <v>7</v>
      </c>
    </row>
    <row r="454" spans="1:178" x14ac:dyDescent="0.25">
      <c r="A454" s="7">
        <v>13.925886278959517</v>
      </c>
      <c r="B454"/>
      <c r="C454"/>
      <c r="D454"/>
      <c r="E454" t="s">
        <v>8</v>
      </c>
      <c r="F454" s="27" t="s">
        <v>7</v>
      </c>
      <c r="G454" s="27" t="s">
        <v>8</v>
      </c>
      <c r="H454" s="27" t="s">
        <v>7</v>
      </c>
      <c r="I454" s="27" t="s">
        <v>8</v>
      </c>
      <c r="J454" s="27" t="s">
        <v>7</v>
      </c>
      <c r="AW454" s="27" t="s">
        <v>8</v>
      </c>
      <c r="AX454" s="27" t="s">
        <v>7</v>
      </c>
      <c r="AY454" s="27" t="s">
        <v>8</v>
      </c>
      <c r="AZ454" s="27" t="s">
        <v>7</v>
      </c>
      <c r="BD454" s="27" t="s">
        <v>7</v>
      </c>
      <c r="BE454" s="27" t="s">
        <v>8</v>
      </c>
      <c r="BF454" s="27" t="s">
        <v>7</v>
      </c>
      <c r="BG454" s="27" t="s">
        <v>8</v>
      </c>
      <c r="BH454" s="27" t="s">
        <v>7</v>
      </c>
      <c r="BI454" s="27" t="s">
        <v>8</v>
      </c>
      <c r="BR454" s="27" t="s">
        <v>7</v>
      </c>
      <c r="BS454" s="27" t="s">
        <v>8</v>
      </c>
      <c r="BT454" s="27" t="s">
        <v>7</v>
      </c>
      <c r="BU454" s="27" t="s">
        <v>8</v>
      </c>
      <c r="CJ454" s="27" t="s">
        <v>7</v>
      </c>
      <c r="CK454" s="27" t="s">
        <v>8</v>
      </c>
      <c r="CL454" s="27" t="s">
        <v>7</v>
      </c>
      <c r="DW454" s="27" t="s">
        <v>8</v>
      </c>
      <c r="DX454" s="27" t="s">
        <v>7</v>
      </c>
      <c r="DY454" s="27" t="s">
        <v>8</v>
      </c>
      <c r="DZ454" s="27" t="s">
        <v>7</v>
      </c>
      <c r="EA454" s="27" t="s">
        <v>8</v>
      </c>
      <c r="EB454" s="27" t="s">
        <v>7</v>
      </c>
      <c r="EC454" s="27" t="s">
        <v>8</v>
      </c>
      <c r="ED454" s="27" t="s">
        <v>7</v>
      </c>
      <c r="EI454" s="27" t="s">
        <v>8</v>
      </c>
      <c r="EJ454" s="27" t="s">
        <v>7</v>
      </c>
      <c r="EM454" s="27" t="s">
        <v>8</v>
      </c>
      <c r="EN454" s="27" t="s">
        <v>7</v>
      </c>
      <c r="EO454" s="27" t="s">
        <v>8</v>
      </c>
      <c r="EP454" s="27" t="s">
        <v>7</v>
      </c>
      <c r="EQ454" s="27" t="s">
        <v>8</v>
      </c>
      <c r="EW454" s="27" t="s">
        <v>8</v>
      </c>
      <c r="EX454" s="27" t="s">
        <v>7</v>
      </c>
      <c r="EY454" s="27" t="s">
        <v>8</v>
      </c>
      <c r="EZ454" s="27" t="s">
        <v>7</v>
      </c>
      <c r="FB454" s="27" t="s">
        <v>7</v>
      </c>
      <c r="FC454" s="27" t="s">
        <v>8</v>
      </c>
      <c r="FD454" s="27" t="s">
        <v>7</v>
      </c>
      <c r="FE454" s="27" t="s">
        <v>8</v>
      </c>
      <c r="FF454" s="27" t="s">
        <v>7</v>
      </c>
      <c r="FK454" s="27" t="s">
        <v>8</v>
      </c>
      <c r="FL454" s="27" t="s">
        <v>7</v>
      </c>
      <c r="FU454" s="27" t="s">
        <v>8</v>
      </c>
      <c r="FV454" s="27" t="s">
        <v>7</v>
      </c>
    </row>
    <row r="455" spans="1:178" x14ac:dyDescent="0.25">
      <c r="A455" s="7">
        <v>13.652829685254428</v>
      </c>
      <c r="B455"/>
      <c r="C455"/>
      <c r="D455"/>
      <c r="E455" t="s">
        <v>8</v>
      </c>
      <c r="F455" s="27" t="s">
        <v>7</v>
      </c>
      <c r="G455" s="27" t="s">
        <v>8</v>
      </c>
      <c r="H455" s="27" t="s">
        <v>7</v>
      </c>
      <c r="I455" s="27" t="s">
        <v>8</v>
      </c>
      <c r="J455" s="27" t="s">
        <v>7</v>
      </c>
      <c r="Q455" s="27" t="s">
        <v>8</v>
      </c>
      <c r="AG455" s="27" t="s">
        <v>8</v>
      </c>
      <c r="AW455" s="27" t="s">
        <v>8</v>
      </c>
      <c r="AX455" s="27" t="s">
        <v>7</v>
      </c>
      <c r="AY455" s="27" t="s">
        <v>8</v>
      </c>
      <c r="BD455" s="27" t="s">
        <v>7</v>
      </c>
      <c r="BE455" s="27" t="s">
        <v>8</v>
      </c>
      <c r="BF455" s="27" t="s">
        <v>7</v>
      </c>
      <c r="BH455" s="27" t="s">
        <v>7</v>
      </c>
      <c r="BI455" s="27" t="s">
        <v>8</v>
      </c>
      <c r="BR455" s="27" t="s">
        <v>7</v>
      </c>
      <c r="BS455" s="27" t="s">
        <v>8</v>
      </c>
      <c r="BT455" s="27" t="s">
        <v>7</v>
      </c>
      <c r="BU455" s="27" t="s">
        <v>8</v>
      </c>
      <c r="CJ455" s="27" t="s">
        <v>7</v>
      </c>
      <c r="CK455" s="27" t="s">
        <v>8</v>
      </c>
      <c r="CL455" s="27" t="s">
        <v>7</v>
      </c>
      <c r="DS455" s="27" t="s">
        <v>8</v>
      </c>
      <c r="DW455" s="27" t="s">
        <v>8</v>
      </c>
      <c r="DX455" s="27" t="s">
        <v>7</v>
      </c>
      <c r="DY455" s="27" t="s">
        <v>8</v>
      </c>
      <c r="DZ455" s="27" t="s">
        <v>7</v>
      </c>
      <c r="EA455" s="27" t="s">
        <v>8</v>
      </c>
      <c r="EB455" s="27" t="s">
        <v>7</v>
      </c>
      <c r="EC455" s="27" t="s">
        <v>8</v>
      </c>
      <c r="ED455" s="27" t="s">
        <v>7</v>
      </c>
      <c r="EI455" s="27" t="s">
        <v>8</v>
      </c>
      <c r="EJ455" s="27" t="s">
        <v>7</v>
      </c>
      <c r="EM455" s="27" t="s">
        <v>8</v>
      </c>
      <c r="EN455" s="27" t="s">
        <v>7</v>
      </c>
      <c r="EO455" s="27" t="s">
        <v>8</v>
      </c>
      <c r="EP455" s="27" t="s">
        <v>7</v>
      </c>
      <c r="EQ455" s="27" t="s">
        <v>8</v>
      </c>
      <c r="ER455" s="27" t="s">
        <v>7</v>
      </c>
      <c r="ES455" s="27" t="s">
        <v>8</v>
      </c>
      <c r="EW455" s="27" t="s">
        <v>8</v>
      </c>
      <c r="EX455" s="27" t="s">
        <v>7</v>
      </c>
      <c r="EY455" s="27" t="s">
        <v>8</v>
      </c>
      <c r="FB455" s="27" t="s">
        <v>7</v>
      </c>
      <c r="FD455" s="27" t="s">
        <v>7</v>
      </c>
      <c r="FF455" s="27" t="s">
        <v>7</v>
      </c>
      <c r="FK455" s="27" t="s">
        <v>8</v>
      </c>
      <c r="FL455" s="27" t="s">
        <v>7</v>
      </c>
      <c r="FU455" s="27" t="s">
        <v>8</v>
      </c>
      <c r="FV455" s="27" t="s">
        <v>7</v>
      </c>
    </row>
    <row r="456" spans="1:178" x14ac:dyDescent="0.25">
      <c r="A456" s="7">
        <v>13.385127142406303</v>
      </c>
      <c r="B456"/>
      <c r="C456"/>
      <c r="D456"/>
      <c r="E456" t="s">
        <v>8</v>
      </c>
      <c r="F456" s="27" t="s">
        <v>7</v>
      </c>
      <c r="G456" s="27" t="s">
        <v>8</v>
      </c>
      <c r="H456" s="27" t="s">
        <v>7</v>
      </c>
      <c r="J456" s="27" t="s">
        <v>7</v>
      </c>
      <c r="K456" s="27" t="s">
        <v>8</v>
      </c>
      <c r="O456" s="27" t="s">
        <v>8</v>
      </c>
      <c r="Q456" s="27" t="s">
        <v>8</v>
      </c>
      <c r="R456" s="27" t="s">
        <v>7</v>
      </c>
      <c r="AG456" s="27" t="s">
        <v>8</v>
      </c>
      <c r="AH456" s="27" t="s">
        <v>7</v>
      </c>
      <c r="AW456" s="27" t="s">
        <v>8</v>
      </c>
      <c r="AX456" s="27" t="s">
        <v>7</v>
      </c>
      <c r="AY456" s="27" t="s">
        <v>8</v>
      </c>
      <c r="BD456" s="27" t="s">
        <v>7</v>
      </c>
      <c r="BE456" s="27" t="s">
        <v>8</v>
      </c>
      <c r="BH456" s="27" t="s">
        <v>7</v>
      </c>
      <c r="BR456" s="27" t="s">
        <v>7</v>
      </c>
      <c r="BS456" s="27" t="s">
        <v>8</v>
      </c>
      <c r="BT456" s="27" t="s">
        <v>7</v>
      </c>
      <c r="CJ456" s="27" t="s">
        <v>7</v>
      </c>
      <c r="CK456" s="27" t="s">
        <v>8</v>
      </c>
      <c r="CL456" s="27" t="s">
        <v>7</v>
      </c>
      <c r="CO456" s="27" t="s">
        <v>8</v>
      </c>
      <c r="DS456" s="27" t="s">
        <v>8</v>
      </c>
      <c r="DT456" s="27" t="s">
        <v>7</v>
      </c>
      <c r="DW456" s="27" t="s">
        <v>8</v>
      </c>
      <c r="DX456" s="27" t="s">
        <v>7</v>
      </c>
      <c r="DY456" s="27" t="s">
        <v>8</v>
      </c>
      <c r="DZ456" s="27" t="s">
        <v>7</v>
      </c>
      <c r="EA456" s="27" t="s">
        <v>8</v>
      </c>
      <c r="EB456" s="27" t="s">
        <v>7</v>
      </c>
      <c r="EC456" s="27" t="s">
        <v>8</v>
      </c>
      <c r="ED456" s="27" t="s">
        <v>7</v>
      </c>
      <c r="EI456" s="27" t="s">
        <v>8</v>
      </c>
      <c r="EJ456" s="27" t="s">
        <v>7</v>
      </c>
      <c r="EK456" s="27" t="s">
        <v>8</v>
      </c>
      <c r="EM456" s="27" t="s">
        <v>8</v>
      </c>
      <c r="EN456" s="27" t="s">
        <v>7</v>
      </c>
      <c r="EO456" s="27" t="s">
        <v>8</v>
      </c>
      <c r="EP456" s="27" t="s">
        <v>7</v>
      </c>
      <c r="EQ456" s="27" t="s">
        <v>8</v>
      </c>
      <c r="ER456" s="27" t="s">
        <v>7</v>
      </c>
      <c r="ES456" s="27" t="s">
        <v>8</v>
      </c>
      <c r="ET456" s="27" t="s">
        <v>7</v>
      </c>
      <c r="EW456" s="27" t="s">
        <v>8</v>
      </c>
      <c r="EX456" s="27" t="s">
        <v>7</v>
      </c>
      <c r="EY456" s="27" t="s">
        <v>8</v>
      </c>
      <c r="FF456" s="27" t="s">
        <v>7</v>
      </c>
      <c r="FI456" s="27" t="s">
        <v>8</v>
      </c>
      <c r="FK456" s="27" t="s">
        <v>8</v>
      </c>
      <c r="FL456" s="27" t="s">
        <v>7</v>
      </c>
      <c r="FM456" s="27" t="s">
        <v>8</v>
      </c>
      <c r="FU456" s="27" t="s">
        <v>8</v>
      </c>
      <c r="FV456" s="27" t="s">
        <v>7</v>
      </c>
    </row>
    <row r="457" spans="1:178" x14ac:dyDescent="0.25">
      <c r="A457" s="7">
        <v>13.122673669025787</v>
      </c>
      <c r="B457"/>
      <c r="C457"/>
      <c r="D457"/>
      <c r="E457" t="s">
        <v>8</v>
      </c>
      <c r="F457" s="27" t="s">
        <v>7</v>
      </c>
      <c r="G457" s="27" t="s">
        <v>8</v>
      </c>
      <c r="J457" s="27" t="s">
        <v>7</v>
      </c>
      <c r="K457" s="27" t="s">
        <v>8</v>
      </c>
      <c r="L457" s="27" t="s">
        <v>7</v>
      </c>
      <c r="O457" s="27" t="s">
        <v>8</v>
      </c>
      <c r="P457" s="27" t="s">
        <v>7</v>
      </c>
      <c r="Q457" s="27" t="s">
        <v>8</v>
      </c>
      <c r="R457" s="27" t="s">
        <v>7</v>
      </c>
      <c r="AG457" s="27" t="s">
        <v>8</v>
      </c>
      <c r="AH457" s="27" t="s">
        <v>7</v>
      </c>
      <c r="AW457" s="27" t="s">
        <v>8</v>
      </c>
      <c r="AX457" s="27" t="s">
        <v>7</v>
      </c>
      <c r="AY457" s="27" t="s">
        <v>8</v>
      </c>
      <c r="BD457" s="27" t="s">
        <v>7</v>
      </c>
      <c r="BE457" s="27" t="s">
        <v>8</v>
      </c>
      <c r="BR457" s="27" t="s">
        <v>7</v>
      </c>
      <c r="BS457" s="27" t="s">
        <v>8</v>
      </c>
      <c r="CJ457" s="27" t="s">
        <v>7</v>
      </c>
      <c r="CL457" s="27" t="s">
        <v>7</v>
      </c>
      <c r="CO457" s="27" t="s">
        <v>8</v>
      </c>
      <c r="CP457" s="27" t="s">
        <v>7</v>
      </c>
      <c r="DS457" s="27" t="s">
        <v>8</v>
      </c>
      <c r="DT457" s="27" t="s">
        <v>7</v>
      </c>
      <c r="DW457" s="27" t="s">
        <v>8</v>
      </c>
      <c r="DX457" s="27" t="s">
        <v>7</v>
      </c>
      <c r="DY457" s="27" t="s">
        <v>8</v>
      </c>
      <c r="DZ457" s="27" t="s">
        <v>7</v>
      </c>
      <c r="EB457" s="27" t="s">
        <v>7</v>
      </c>
      <c r="ED457" s="27" t="s">
        <v>7</v>
      </c>
      <c r="EG457" s="27" t="s">
        <v>8</v>
      </c>
      <c r="EI457" s="27" t="s">
        <v>8</v>
      </c>
      <c r="EJ457" s="27" t="s">
        <v>7</v>
      </c>
      <c r="EK457" s="27" t="s">
        <v>8</v>
      </c>
      <c r="EL457" s="27" t="s">
        <v>7</v>
      </c>
      <c r="EM457" s="27" t="s">
        <v>8</v>
      </c>
      <c r="EN457" s="27" t="s">
        <v>7</v>
      </c>
      <c r="EO457" s="27" t="s">
        <v>8</v>
      </c>
      <c r="EP457" s="27" t="s">
        <v>7</v>
      </c>
      <c r="EQ457" s="27" t="s">
        <v>8</v>
      </c>
      <c r="ER457" s="27" t="s">
        <v>7</v>
      </c>
      <c r="ES457" s="27" t="s">
        <v>8</v>
      </c>
      <c r="ET457" s="27" t="s">
        <v>7</v>
      </c>
      <c r="EW457" s="27" t="s">
        <v>8</v>
      </c>
      <c r="EX457" s="27" t="s">
        <v>7</v>
      </c>
      <c r="EY457" s="27" t="s">
        <v>8</v>
      </c>
      <c r="FF457" s="27" t="s">
        <v>7</v>
      </c>
      <c r="FG457" s="27" t="s">
        <v>8</v>
      </c>
      <c r="FI457" s="27" t="s">
        <v>8</v>
      </c>
      <c r="FJ457" s="27" t="s">
        <v>7</v>
      </c>
      <c r="FK457" s="27" t="s">
        <v>8</v>
      </c>
      <c r="FL457" s="27" t="s">
        <v>7</v>
      </c>
      <c r="FM457" s="27" t="s">
        <v>8</v>
      </c>
      <c r="FN457" s="27" t="s">
        <v>7</v>
      </c>
      <c r="FU457" s="27" t="s">
        <v>8</v>
      </c>
      <c r="FV457" s="27" t="s">
        <v>7</v>
      </c>
    </row>
    <row r="458" spans="1:178" x14ac:dyDescent="0.25">
      <c r="A458" s="7">
        <v>12.865366342182144</v>
      </c>
      <c r="B458"/>
      <c r="C458"/>
      <c r="D458"/>
      <c r="E458" t="s">
        <v>8</v>
      </c>
      <c r="F458" s="27" t="s">
        <v>7</v>
      </c>
      <c r="G458" s="27" t="s">
        <v>8</v>
      </c>
      <c r="J458" s="27" t="s">
        <v>7</v>
      </c>
      <c r="K458" s="27" t="s">
        <v>8</v>
      </c>
      <c r="L458" s="27" t="s">
        <v>7</v>
      </c>
      <c r="O458" s="27" t="s">
        <v>8</v>
      </c>
      <c r="P458" s="27" t="s">
        <v>7</v>
      </c>
      <c r="Q458" s="27" t="s">
        <v>8</v>
      </c>
      <c r="R458" s="27" t="s">
        <v>7</v>
      </c>
      <c r="AE458" s="27" t="s">
        <v>8</v>
      </c>
      <c r="AG458" s="27" t="s">
        <v>8</v>
      </c>
      <c r="AH458" s="27" t="s">
        <v>7</v>
      </c>
      <c r="AK458" s="27" t="s">
        <v>8</v>
      </c>
      <c r="AW458" s="27" t="s">
        <v>8</v>
      </c>
      <c r="AX458" s="27" t="s">
        <v>7</v>
      </c>
      <c r="AY458" s="27" t="s">
        <v>8</v>
      </c>
      <c r="BD458" s="27" t="s">
        <v>7</v>
      </c>
      <c r="BE458" s="27" t="s">
        <v>8</v>
      </c>
      <c r="BR458" s="27" t="s">
        <v>7</v>
      </c>
      <c r="BS458" s="27" t="s">
        <v>8</v>
      </c>
      <c r="CL458" s="27" t="s">
        <v>7</v>
      </c>
      <c r="CO458" s="27" t="s">
        <v>8</v>
      </c>
      <c r="CP458" s="27" t="s">
        <v>7</v>
      </c>
      <c r="DS458" s="27" t="s">
        <v>8</v>
      </c>
      <c r="DT458" s="27" t="s">
        <v>7</v>
      </c>
      <c r="DU458" s="27" t="s">
        <v>8</v>
      </c>
      <c r="DW458" s="27" t="s">
        <v>8</v>
      </c>
      <c r="DX458" s="27" t="s">
        <v>7</v>
      </c>
      <c r="ED458" s="27" t="s">
        <v>7</v>
      </c>
      <c r="EE458" s="27" t="s">
        <v>8</v>
      </c>
      <c r="EG458" s="27" t="s">
        <v>8</v>
      </c>
      <c r="EH458" s="27" t="s">
        <v>7</v>
      </c>
      <c r="EI458" s="27" t="s">
        <v>8</v>
      </c>
      <c r="EJ458" s="27" t="s">
        <v>7</v>
      </c>
      <c r="EK458" s="27" t="s">
        <v>8</v>
      </c>
      <c r="EL458" s="27" t="s">
        <v>7</v>
      </c>
      <c r="EM458" s="27" t="s">
        <v>8</v>
      </c>
      <c r="EN458" s="27" t="s">
        <v>7</v>
      </c>
      <c r="EO458" s="27" t="s">
        <v>8</v>
      </c>
      <c r="EP458" s="27" t="s">
        <v>7</v>
      </c>
      <c r="EQ458" s="27" t="s">
        <v>8</v>
      </c>
      <c r="ER458" s="27" t="s">
        <v>7</v>
      </c>
      <c r="ES458" s="27" t="s">
        <v>8</v>
      </c>
      <c r="ET458" s="27" t="s">
        <v>7</v>
      </c>
      <c r="EU458" s="27" t="s">
        <v>8</v>
      </c>
      <c r="EW458" s="27" t="s">
        <v>8</v>
      </c>
      <c r="EX458" s="27" t="s">
        <v>7</v>
      </c>
      <c r="EY458" s="27" t="s">
        <v>8</v>
      </c>
      <c r="FF458" s="27" t="s">
        <v>7</v>
      </c>
      <c r="FG458" s="27" t="s">
        <v>8</v>
      </c>
      <c r="FH458" s="27" t="s">
        <v>7</v>
      </c>
      <c r="FI458" s="27" t="s">
        <v>8</v>
      </c>
      <c r="FJ458" s="27" t="s">
        <v>7</v>
      </c>
      <c r="FK458" s="27" t="s">
        <v>8</v>
      </c>
      <c r="FL458" s="27" t="s">
        <v>7</v>
      </c>
      <c r="FM458" s="27" t="s">
        <v>8</v>
      </c>
      <c r="FN458" s="27" t="s">
        <v>7</v>
      </c>
      <c r="FU458" s="27" t="s">
        <v>8</v>
      </c>
      <c r="FV458" s="27" t="s">
        <v>7</v>
      </c>
    </row>
    <row r="459" spans="1:178" x14ac:dyDescent="0.25">
      <c r="A459" s="7">
        <v>12.613104257041318</v>
      </c>
      <c r="B459"/>
      <c r="C459"/>
      <c r="D459"/>
      <c r="E459" t="s">
        <v>8</v>
      </c>
      <c r="F459" s="27" t="s">
        <v>7</v>
      </c>
      <c r="G459" s="27" t="s">
        <v>8</v>
      </c>
      <c r="J459" s="27" t="s">
        <v>7</v>
      </c>
      <c r="K459" s="27" t="s">
        <v>8</v>
      </c>
      <c r="L459" s="27" t="s">
        <v>7</v>
      </c>
      <c r="O459" s="27" t="s">
        <v>8</v>
      </c>
      <c r="P459" s="27" t="s">
        <v>7</v>
      </c>
      <c r="Q459" s="27" t="s">
        <v>8</v>
      </c>
      <c r="R459" s="27" t="s">
        <v>7</v>
      </c>
      <c r="AE459" s="27" t="s">
        <v>8</v>
      </c>
      <c r="AF459" s="27" t="s">
        <v>7</v>
      </c>
      <c r="AG459" s="27" t="s">
        <v>8</v>
      </c>
      <c r="AH459" s="27" t="s">
        <v>7</v>
      </c>
      <c r="AK459" s="27" t="s">
        <v>8</v>
      </c>
      <c r="AL459" s="27" t="s">
        <v>7</v>
      </c>
      <c r="AW459" s="27" t="s">
        <v>8</v>
      </c>
      <c r="AX459" s="27" t="s">
        <v>7</v>
      </c>
      <c r="BD459" s="27" t="s">
        <v>7</v>
      </c>
      <c r="BE459" s="27" t="s">
        <v>8</v>
      </c>
      <c r="BR459" s="27" t="s">
        <v>7</v>
      </c>
      <c r="BS459" s="27" t="s">
        <v>8</v>
      </c>
      <c r="CL459" s="27" t="s">
        <v>7</v>
      </c>
      <c r="CO459" s="27" t="s">
        <v>8</v>
      </c>
      <c r="CP459" s="27" t="s">
        <v>7</v>
      </c>
      <c r="DS459" s="27" t="s">
        <v>8</v>
      </c>
      <c r="DT459" s="27" t="s">
        <v>7</v>
      </c>
      <c r="DU459" s="27" t="s">
        <v>8</v>
      </c>
      <c r="DV459" s="27" t="s">
        <v>7</v>
      </c>
      <c r="DW459" s="27" t="s">
        <v>8</v>
      </c>
      <c r="ED459" s="27" t="s">
        <v>7</v>
      </c>
      <c r="EE459" s="27" t="s">
        <v>8</v>
      </c>
      <c r="EF459" s="27" t="s">
        <v>7</v>
      </c>
      <c r="EG459" s="27" t="s">
        <v>8</v>
      </c>
      <c r="EH459" s="27" t="s">
        <v>7</v>
      </c>
      <c r="EI459" s="27" t="s">
        <v>8</v>
      </c>
      <c r="EJ459" s="27" t="s">
        <v>7</v>
      </c>
      <c r="EK459" s="27" t="s">
        <v>8</v>
      </c>
      <c r="EL459" s="27" t="s">
        <v>7</v>
      </c>
      <c r="EM459" s="27" t="s">
        <v>8</v>
      </c>
      <c r="EN459" s="27" t="s">
        <v>7</v>
      </c>
      <c r="EO459" s="27" t="s">
        <v>8</v>
      </c>
      <c r="EP459" s="27" t="s">
        <v>7</v>
      </c>
      <c r="EQ459" s="27" t="s">
        <v>8</v>
      </c>
      <c r="ER459" s="27" t="s">
        <v>7</v>
      </c>
      <c r="ES459" s="27" t="s">
        <v>8</v>
      </c>
      <c r="ET459" s="27" t="s">
        <v>7</v>
      </c>
      <c r="EU459" s="27" t="s">
        <v>8</v>
      </c>
      <c r="EV459" s="27" t="s">
        <v>7</v>
      </c>
      <c r="EW459" s="27" t="s">
        <v>8</v>
      </c>
      <c r="EX459" s="27" t="s">
        <v>7</v>
      </c>
      <c r="EY459" s="27" t="s">
        <v>8</v>
      </c>
      <c r="FF459" s="27" t="s">
        <v>7</v>
      </c>
      <c r="FG459" s="27" t="s">
        <v>8</v>
      </c>
      <c r="FH459" s="27" t="s">
        <v>7</v>
      </c>
      <c r="FI459" s="27" t="s">
        <v>8</v>
      </c>
      <c r="FJ459" s="27" t="s">
        <v>7</v>
      </c>
      <c r="FK459" s="27" t="s">
        <v>8</v>
      </c>
      <c r="FL459" s="27" t="s">
        <v>7</v>
      </c>
      <c r="FM459" s="27" t="s">
        <v>8</v>
      </c>
      <c r="FN459" s="27" t="s">
        <v>7</v>
      </c>
      <c r="FU459" s="27" t="s">
        <v>8</v>
      </c>
      <c r="FV459" s="27" t="s">
        <v>7</v>
      </c>
    </row>
    <row r="460" spans="1:178" x14ac:dyDescent="0.25">
      <c r="A460" s="7">
        <v>12.36578848729541</v>
      </c>
      <c r="B460"/>
      <c r="C460"/>
      <c r="D460"/>
      <c r="E460" t="s">
        <v>8</v>
      </c>
      <c r="F460" s="27" t="s">
        <v>7</v>
      </c>
      <c r="G460" s="27" t="s">
        <v>8</v>
      </c>
      <c r="J460" s="27" t="s">
        <v>7</v>
      </c>
      <c r="K460" s="27" t="s">
        <v>8</v>
      </c>
      <c r="L460" s="27" t="s">
        <v>7</v>
      </c>
      <c r="O460" s="27" t="s">
        <v>8</v>
      </c>
      <c r="P460" s="27" t="s">
        <v>7</v>
      </c>
      <c r="Q460" s="27" t="s">
        <v>8</v>
      </c>
      <c r="R460" s="27" t="s">
        <v>7</v>
      </c>
      <c r="AE460" s="27" t="s">
        <v>8</v>
      </c>
      <c r="AF460" s="27" t="s">
        <v>7</v>
      </c>
      <c r="AG460" s="27" t="s">
        <v>8</v>
      </c>
      <c r="AH460" s="27" t="s">
        <v>7</v>
      </c>
      <c r="AI460" s="27" t="s">
        <v>8</v>
      </c>
      <c r="AK460" s="27" t="s">
        <v>8</v>
      </c>
      <c r="AL460" s="27" t="s">
        <v>7</v>
      </c>
      <c r="AW460" s="27" t="s">
        <v>8</v>
      </c>
      <c r="BD460" s="27" t="s">
        <v>7</v>
      </c>
      <c r="BE460" s="27" t="s">
        <v>8</v>
      </c>
      <c r="BR460" s="27" t="s">
        <v>7</v>
      </c>
      <c r="BS460" s="27" t="s">
        <v>8</v>
      </c>
      <c r="CL460" s="27" t="s">
        <v>7</v>
      </c>
      <c r="CO460" s="27" t="s">
        <v>8</v>
      </c>
      <c r="CP460" s="27" t="s">
        <v>7</v>
      </c>
      <c r="DS460" s="27" t="s">
        <v>8</v>
      </c>
      <c r="DT460" s="27" t="s">
        <v>7</v>
      </c>
      <c r="DU460" s="27" t="s">
        <v>8</v>
      </c>
      <c r="DV460" s="27" t="s">
        <v>7</v>
      </c>
      <c r="DW460" s="27" t="s">
        <v>8</v>
      </c>
      <c r="ED460" s="27" t="s">
        <v>7</v>
      </c>
      <c r="EE460" s="27" t="s">
        <v>8</v>
      </c>
      <c r="EF460" s="27" t="s">
        <v>7</v>
      </c>
      <c r="EG460" s="27" t="s">
        <v>8</v>
      </c>
      <c r="EH460" s="27" t="s">
        <v>7</v>
      </c>
      <c r="EI460" s="27" t="s">
        <v>8</v>
      </c>
      <c r="EJ460" s="27" t="s">
        <v>7</v>
      </c>
      <c r="EK460" s="27" t="s">
        <v>8</v>
      </c>
      <c r="EL460" s="27" t="s">
        <v>7</v>
      </c>
      <c r="EM460" s="27" t="s">
        <v>8</v>
      </c>
      <c r="EN460" s="27" t="s">
        <v>7</v>
      </c>
      <c r="EP460" s="27" t="s">
        <v>7</v>
      </c>
      <c r="EQ460" s="27" t="s">
        <v>8</v>
      </c>
      <c r="ER460" s="27" t="s">
        <v>7</v>
      </c>
      <c r="ES460" s="27" t="s">
        <v>8</v>
      </c>
      <c r="ET460" s="27" t="s">
        <v>7</v>
      </c>
      <c r="EU460" s="27" t="s">
        <v>8</v>
      </c>
      <c r="EV460" s="27" t="s">
        <v>7</v>
      </c>
      <c r="EW460" s="27" t="s">
        <v>8</v>
      </c>
      <c r="EX460" s="27" t="s">
        <v>7</v>
      </c>
      <c r="FF460" s="27" t="s">
        <v>7</v>
      </c>
      <c r="FH460" s="27" t="s">
        <v>7</v>
      </c>
      <c r="FJ460" s="27" t="s">
        <v>7</v>
      </c>
      <c r="FL460" s="27" t="s">
        <v>7</v>
      </c>
      <c r="FN460" s="27" t="s">
        <v>7</v>
      </c>
      <c r="FU460" s="27" t="s">
        <v>8</v>
      </c>
      <c r="FV460" s="27" t="s">
        <v>7</v>
      </c>
    </row>
    <row r="461" spans="1:178" x14ac:dyDescent="0.25">
      <c r="A461" s="7">
        <v>12.123322046368049</v>
      </c>
      <c r="B461"/>
      <c r="C461"/>
      <c r="D461"/>
      <c r="E461" t="s">
        <v>8</v>
      </c>
      <c r="F461" s="27" t="s">
        <v>7</v>
      </c>
      <c r="J461" s="27" t="s">
        <v>7</v>
      </c>
      <c r="K461" s="27" t="s">
        <v>8</v>
      </c>
      <c r="L461" s="27" t="s">
        <v>7</v>
      </c>
      <c r="O461" s="27" t="s">
        <v>8</v>
      </c>
      <c r="P461" s="27" t="s">
        <v>7</v>
      </c>
      <c r="Q461" s="27" t="s">
        <v>8</v>
      </c>
      <c r="R461" s="27" t="s">
        <v>7</v>
      </c>
      <c r="AE461" s="27" t="s">
        <v>8</v>
      </c>
      <c r="AF461" s="27" t="s">
        <v>7</v>
      </c>
      <c r="AG461" s="27" t="s">
        <v>8</v>
      </c>
      <c r="AH461" s="27" t="s">
        <v>7</v>
      </c>
      <c r="AI461" s="27" t="s">
        <v>8</v>
      </c>
      <c r="AJ461" s="27" t="s">
        <v>7</v>
      </c>
      <c r="AK461" s="27" t="s">
        <v>8</v>
      </c>
      <c r="AL461" s="27" t="s">
        <v>7</v>
      </c>
      <c r="AW461" s="27" t="s">
        <v>8</v>
      </c>
      <c r="BD461" s="27" t="s">
        <v>7</v>
      </c>
      <c r="BR461" s="27" t="s">
        <v>7</v>
      </c>
      <c r="BS461" s="27" t="s">
        <v>8</v>
      </c>
      <c r="CL461" s="27" t="s">
        <v>7</v>
      </c>
      <c r="CO461" s="27" t="s">
        <v>8</v>
      </c>
      <c r="CP461" s="27" t="s">
        <v>7</v>
      </c>
      <c r="DS461" s="27" t="s">
        <v>8</v>
      </c>
      <c r="DT461" s="27" t="s">
        <v>7</v>
      </c>
      <c r="DV461" s="27" t="s">
        <v>7</v>
      </c>
      <c r="ED461" s="27" t="s">
        <v>7</v>
      </c>
      <c r="EE461" s="27" t="s">
        <v>8</v>
      </c>
      <c r="EF461" s="27" t="s">
        <v>7</v>
      </c>
      <c r="EH461" s="27" t="s">
        <v>7</v>
      </c>
      <c r="EI461" s="27" t="s">
        <v>8</v>
      </c>
      <c r="EJ461" s="27" t="s">
        <v>7</v>
      </c>
      <c r="EL461" s="27" t="s">
        <v>7</v>
      </c>
      <c r="EM461" s="27" t="s">
        <v>8</v>
      </c>
      <c r="EP461" s="27" t="s">
        <v>7</v>
      </c>
      <c r="EQ461" s="27" t="s">
        <v>8</v>
      </c>
      <c r="ER461" s="27" t="s">
        <v>7</v>
      </c>
      <c r="ES461" s="27" t="s">
        <v>8</v>
      </c>
      <c r="ET461" s="27" t="s">
        <v>7</v>
      </c>
      <c r="EU461" s="27" t="s">
        <v>8</v>
      </c>
      <c r="EV461" s="27" t="s">
        <v>7</v>
      </c>
      <c r="FN461" s="27" t="s">
        <v>7</v>
      </c>
      <c r="FU461" s="27" t="s">
        <v>8</v>
      </c>
      <c r="FV461" s="27" t="s">
        <v>7</v>
      </c>
    </row>
    <row r="462" spans="1:178" x14ac:dyDescent="0.25">
      <c r="A462" s="7">
        <v>11.88560984938044</v>
      </c>
      <c r="B462"/>
      <c r="C462"/>
      <c r="D462"/>
      <c r="E462" t="s">
        <v>8</v>
      </c>
      <c r="J462" s="27" t="s">
        <v>7</v>
      </c>
      <c r="L462" s="27" t="s">
        <v>7</v>
      </c>
      <c r="O462" s="27" t="s">
        <v>8</v>
      </c>
      <c r="P462" s="27" t="s">
        <v>7</v>
      </c>
      <c r="Q462" s="27" t="s">
        <v>8</v>
      </c>
      <c r="R462" s="27" t="s">
        <v>7</v>
      </c>
      <c r="AE462" s="27" t="s">
        <v>8</v>
      </c>
      <c r="AF462" s="27" t="s">
        <v>7</v>
      </c>
      <c r="AG462" s="27" t="s">
        <v>8</v>
      </c>
      <c r="AH462" s="27" t="s">
        <v>7</v>
      </c>
      <c r="AI462" s="27" t="s">
        <v>8</v>
      </c>
      <c r="AJ462" s="27" t="s">
        <v>7</v>
      </c>
      <c r="AK462" s="27" t="s">
        <v>8</v>
      </c>
      <c r="AL462" s="27" t="s">
        <v>7</v>
      </c>
      <c r="AM462" s="27" t="s">
        <v>8</v>
      </c>
      <c r="AW462" s="27" t="s">
        <v>8</v>
      </c>
      <c r="BR462" s="27" t="s">
        <v>7</v>
      </c>
      <c r="CL462" s="27" t="s">
        <v>7</v>
      </c>
      <c r="CO462" s="27" t="s">
        <v>8</v>
      </c>
      <c r="CP462" s="27" t="s">
        <v>7</v>
      </c>
      <c r="CU462" s="27" t="s">
        <v>8</v>
      </c>
      <c r="DS462" s="27" t="s">
        <v>8</v>
      </c>
      <c r="ED462" s="27" t="s">
        <v>7</v>
      </c>
      <c r="EE462" s="27" t="s">
        <v>8</v>
      </c>
      <c r="EH462" s="27" t="s">
        <v>7</v>
      </c>
      <c r="EI462" s="27" t="s">
        <v>8</v>
      </c>
      <c r="EL462" s="27" t="s">
        <v>7</v>
      </c>
      <c r="EM462" s="27" t="s">
        <v>8</v>
      </c>
      <c r="EP462" s="27" t="s">
        <v>7</v>
      </c>
      <c r="EQ462" s="27" t="s">
        <v>8</v>
      </c>
      <c r="ER462" s="27" t="s">
        <v>7</v>
      </c>
      <c r="ES462" s="27" t="s">
        <v>8</v>
      </c>
      <c r="ET462" s="27" t="s">
        <v>7</v>
      </c>
      <c r="EU462" s="27" t="s">
        <v>8</v>
      </c>
      <c r="FN462" s="27" t="s">
        <v>7</v>
      </c>
      <c r="FU462" s="27" t="s">
        <v>8</v>
      </c>
      <c r="FV462" s="27" t="s">
        <v>7</v>
      </c>
    </row>
    <row r="463" spans="1:178" x14ac:dyDescent="0.25">
      <c r="A463" s="7">
        <v>11.652558675863176</v>
      </c>
      <c r="B463"/>
      <c r="C463"/>
      <c r="D463"/>
      <c r="E463" t="s">
        <v>8</v>
      </c>
      <c r="L463" s="27" t="s">
        <v>7</v>
      </c>
      <c r="O463" s="27" t="s">
        <v>8</v>
      </c>
      <c r="P463" s="27" t="s">
        <v>7</v>
      </c>
      <c r="Q463" s="27" t="s">
        <v>8</v>
      </c>
      <c r="R463" s="27" t="s">
        <v>7</v>
      </c>
      <c r="AC463" s="27" t="s">
        <v>8</v>
      </c>
      <c r="AE463" s="27" t="s">
        <v>8</v>
      </c>
      <c r="AF463" s="27" t="s">
        <v>7</v>
      </c>
      <c r="AG463" s="27" t="s">
        <v>8</v>
      </c>
      <c r="AH463" s="27" t="s">
        <v>7</v>
      </c>
      <c r="AI463" s="27" t="s">
        <v>8</v>
      </c>
      <c r="AJ463" s="27" t="s">
        <v>7</v>
      </c>
      <c r="AK463" s="27" t="s">
        <v>8</v>
      </c>
      <c r="AL463" s="27" t="s">
        <v>7</v>
      </c>
      <c r="AM463" s="27" t="s">
        <v>8</v>
      </c>
      <c r="AN463" s="27" t="s">
        <v>7</v>
      </c>
      <c r="AU463" s="27" t="s">
        <v>8</v>
      </c>
      <c r="AW463" s="27" t="s">
        <v>8</v>
      </c>
      <c r="CL463" s="27" t="s">
        <v>7</v>
      </c>
      <c r="CO463" s="27" t="s">
        <v>8</v>
      </c>
      <c r="CP463" s="27" t="s">
        <v>7</v>
      </c>
      <c r="CU463" s="27" t="s">
        <v>8</v>
      </c>
      <c r="CV463" s="27" t="s">
        <v>7</v>
      </c>
      <c r="DS463" s="27" t="s">
        <v>8</v>
      </c>
      <c r="ED463" s="27" t="s">
        <v>7</v>
      </c>
      <c r="EE463" s="27" t="s">
        <v>8</v>
      </c>
      <c r="EH463" s="27" t="s">
        <v>7</v>
      </c>
      <c r="EI463" s="27" t="s">
        <v>8</v>
      </c>
      <c r="EL463" s="27" t="s">
        <v>7</v>
      </c>
      <c r="EP463" s="27" t="s">
        <v>7</v>
      </c>
      <c r="EQ463" s="27" t="s">
        <v>8</v>
      </c>
      <c r="ER463" s="27" t="s">
        <v>7</v>
      </c>
      <c r="ES463" s="27" t="s">
        <v>8</v>
      </c>
      <c r="ET463" s="27" t="s">
        <v>7</v>
      </c>
      <c r="EU463" s="27" t="s">
        <v>8</v>
      </c>
      <c r="FN463" s="27" t="s">
        <v>7</v>
      </c>
      <c r="FU463" s="27" t="s">
        <v>8</v>
      </c>
      <c r="FV463" s="27" t="s">
        <v>7</v>
      </c>
    </row>
    <row r="464" spans="1:178" x14ac:dyDescent="0.25">
      <c r="A464" s="7">
        <v>11.424077133199193</v>
      </c>
      <c r="B464"/>
      <c r="C464"/>
      <c r="D464"/>
      <c r="E464" t="s">
        <v>8</v>
      </c>
      <c r="L464" s="27" t="s">
        <v>7</v>
      </c>
      <c r="O464" s="27" t="s">
        <v>8</v>
      </c>
      <c r="P464" s="27" t="s">
        <v>7</v>
      </c>
      <c r="Q464" s="27" t="s">
        <v>8</v>
      </c>
      <c r="R464" s="27" t="s">
        <v>7</v>
      </c>
      <c r="AC464" s="27" t="s">
        <v>8</v>
      </c>
      <c r="AD464" s="27" t="s">
        <v>7</v>
      </c>
      <c r="AE464" s="27" t="s">
        <v>8</v>
      </c>
      <c r="AF464" s="27" t="s">
        <v>7</v>
      </c>
      <c r="AG464" s="27" t="s">
        <v>8</v>
      </c>
      <c r="AH464" s="27" t="s">
        <v>7</v>
      </c>
      <c r="AI464" s="27" t="s">
        <v>8</v>
      </c>
      <c r="AJ464" s="27" t="s">
        <v>7</v>
      </c>
      <c r="AK464" s="27" t="s">
        <v>8</v>
      </c>
      <c r="AL464" s="27" t="s">
        <v>7</v>
      </c>
      <c r="AM464" s="27" t="s">
        <v>8</v>
      </c>
      <c r="AN464" s="27" t="s">
        <v>7</v>
      </c>
      <c r="AU464" s="27" t="s">
        <v>8</v>
      </c>
      <c r="AV464" s="27" t="s">
        <v>7</v>
      </c>
      <c r="AW464" s="27" t="s">
        <v>8</v>
      </c>
      <c r="CL464" s="27" t="s">
        <v>7</v>
      </c>
      <c r="CM464" s="27" t="s">
        <v>8</v>
      </c>
      <c r="CO464" s="27" t="s">
        <v>8</v>
      </c>
      <c r="CP464" s="27" t="s">
        <v>7</v>
      </c>
      <c r="CU464" s="27" t="s">
        <v>8</v>
      </c>
      <c r="CV464" s="27" t="s">
        <v>7</v>
      </c>
      <c r="DS464" s="27" t="s">
        <v>8</v>
      </c>
      <c r="ED464" s="27" t="s">
        <v>7</v>
      </c>
      <c r="EE464" s="27" t="s">
        <v>8</v>
      </c>
      <c r="EH464" s="27" t="s">
        <v>7</v>
      </c>
      <c r="EI464" s="27" t="s">
        <v>8</v>
      </c>
      <c r="EP464" s="27" t="s">
        <v>7</v>
      </c>
      <c r="EQ464" s="27" t="s">
        <v>8</v>
      </c>
      <c r="ER464" s="27" t="s">
        <v>7</v>
      </c>
      <c r="ES464" s="27" t="s">
        <v>8</v>
      </c>
      <c r="ET464" s="27" t="s">
        <v>7</v>
      </c>
      <c r="FN464" s="27" t="s">
        <v>7</v>
      </c>
      <c r="FO464" s="27" t="s">
        <v>8</v>
      </c>
      <c r="FU464" s="27" t="s">
        <v>8</v>
      </c>
      <c r="FV464" s="27" t="s">
        <v>7</v>
      </c>
    </row>
    <row r="465" spans="1:195" x14ac:dyDescent="0.25">
      <c r="A465" s="7">
        <v>11.200075620783522</v>
      </c>
      <c r="B465"/>
      <c r="C465"/>
      <c r="D465"/>
      <c r="E465" t="s">
        <v>8</v>
      </c>
      <c r="L465" s="27" t="s">
        <v>7</v>
      </c>
      <c r="O465" s="27" t="s">
        <v>8</v>
      </c>
      <c r="P465" s="27" t="s">
        <v>7</v>
      </c>
      <c r="Q465" s="27" t="s">
        <v>8</v>
      </c>
      <c r="R465" s="27" t="s">
        <v>7</v>
      </c>
      <c r="AC465" s="27" t="s">
        <v>8</v>
      </c>
      <c r="AD465" s="27" t="s">
        <v>7</v>
      </c>
      <c r="AE465" s="27" t="s">
        <v>8</v>
      </c>
      <c r="AF465" s="27" t="s">
        <v>7</v>
      </c>
      <c r="AG465" s="27" t="s">
        <v>8</v>
      </c>
      <c r="AH465" s="27" t="s">
        <v>7</v>
      </c>
      <c r="AI465" s="27" t="s">
        <v>8</v>
      </c>
      <c r="AJ465" s="27" t="s">
        <v>7</v>
      </c>
      <c r="AK465" s="27" t="s">
        <v>8</v>
      </c>
      <c r="AL465" s="27" t="s">
        <v>7</v>
      </c>
      <c r="AM465" s="27" t="s">
        <v>8</v>
      </c>
      <c r="AN465" s="27" t="s">
        <v>7</v>
      </c>
      <c r="AU465" s="27" t="s">
        <v>8</v>
      </c>
      <c r="AV465" s="27" t="s">
        <v>7</v>
      </c>
      <c r="AW465" s="27" t="s">
        <v>8</v>
      </c>
      <c r="CL465" s="27" t="s">
        <v>7</v>
      </c>
      <c r="CM465" s="27" t="s">
        <v>8</v>
      </c>
      <c r="CN465" s="27" t="s">
        <v>7</v>
      </c>
      <c r="CO465" s="27" t="s">
        <v>8</v>
      </c>
      <c r="CP465" s="27" t="s">
        <v>7</v>
      </c>
      <c r="CS465" s="27" t="s">
        <v>8</v>
      </c>
      <c r="CU465" s="27" t="s">
        <v>8</v>
      </c>
      <c r="CV465" s="27" t="s">
        <v>7</v>
      </c>
      <c r="DO465" s="27" t="s">
        <v>8</v>
      </c>
      <c r="DS465" s="27" t="s">
        <v>8</v>
      </c>
      <c r="ED465" s="27" t="s">
        <v>7</v>
      </c>
      <c r="EE465" s="27" t="s">
        <v>8</v>
      </c>
      <c r="EH465" s="27" t="s">
        <v>7</v>
      </c>
      <c r="EI465" s="27" t="s">
        <v>8</v>
      </c>
      <c r="EP465" s="27" t="s">
        <v>7</v>
      </c>
      <c r="EQ465" s="27" t="s">
        <v>8</v>
      </c>
      <c r="ER465" s="27" t="s">
        <v>7</v>
      </c>
      <c r="ES465" s="27" t="s">
        <v>8</v>
      </c>
      <c r="FN465" s="27" t="s">
        <v>7</v>
      </c>
      <c r="FO465" s="27" t="s">
        <v>8</v>
      </c>
      <c r="FP465" s="27" t="s">
        <v>7</v>
      </c>
      <c r="FS465" s="27" t="s">
        <v>8</v>
      </c>
      <c r="FU465" s="27" t="s">
        <v>8</v>
      </c>
      <c r="FV465" s="27" t="s">
        <v>7</v>
      </c>
    </row>
    <row r="466" spans="1:195" x14ac:dyDescent="0.25">
      <c r="A466" s="7">
        <v>10.980466294885806</v>
      </c>
      <c r="B466"/>
      <c r="C466"/>
      <c r="D466"/>
      <c r="E466" t="s">
        <v>8</v>
      </c>
      <c r="L466" s="27" t="s">
        <v>7</v>
      </c>
      <c r="O466" s="27" t="s">
        <v>8</v>
      </c>
      <c r="P466" s="27" t="s">
        <v>7</v>
      </c>
      <c r="Q466" s="27" t="s">
        <v>8</v>
      </c>
      <c r="R466" s="27" t="s">
        <v>7</v>
      </c>
      <c r="AC466" s="27" t="s">
        <v>8</v>
      </c>
      <c r="AD466" s="27" t="s">
        <v>7</v>
      </c>
      <c r="AE466" s="27" t="s">
        <v>8</v>
      </c>
      <c r="AF466" s="27" t="s">
        <v>7</v>
      </c>
      <c r="AG466" s="27" t="s">
        <v>8</v>
      </c>
      <c r="AH466" s="27" t="s">
        <v>7</v>
      </c>
      <c r="AI466" s="27" t="s">
        <v>8</v>
      </c>
      <c r="AJ466" s="27" t="s">
        <v>7</v>
      </c>
      <c r="AL466" s="27" t="s">
        <v>7</v>
      </c>
      <c r="AM466" s="27" t="s">
        <v>8</v>
      </c>
      <c r="AN466" s="27" t="s">
        <v>7</v>
      </c>
      <c r="AU466" s="27" t="s">
        <v>8</v>
      </c>
      <c r="AV466" s="27" t="s">
        <v>7</v>
      </c>
      <c r="AW466" s="27" t="s">
        <v>8</v>
      </c>
      <c r="CL466" s="27" t="s">
        <v>7</v>
      </c>
      <c r="CM466" s="27" t="s">
        <v>8</v>
      </c>
      <c r="CN466" s="27" t="s">
        <v>7</v>
      </c>
      <c r="CO466" s="27" t="s">
        <v>8</v>
      </c>
      <c r="CP466" s="27" t="s">
        <v>7</v>
      </c>
      <c r="CS466" s="27" t="s">
        <v>8</v>
      </c>
      <c r="CT466" s="27" t="s">
        <v>7</v>
      </c>
      <c r="CU466" s="27" t="s">
        <v>8</v>
      </c>
      <c r="CV466" s="27" t="s">
        <v>7</v>
      </c>
      <c r="DO466" s="27" t="s">
        <v>8</v>
      </c>
      <c r="DP466" s="27" t="s">
        <v>7</v>
      </c>
      <c r="DQ466" s="27" t="s">
        <v>8</v>
      </c>
      <c r="DS466" s="27" t="s">
        <v>8</v>
      </c>
      <c r="ED466" s="27" t="s">
        <v>7</v>
      </c>
      <c r="EH466" s="27" t="s">
        <v>7</v>
      </c>
      <c r="EI466" s="27" t="s">
        <v>8</v>
      </c>
      <c r="EP466" s="27" t="s">
        <v>7</v>
      </c>
      <c r="EQ466" s="27" t="s">
        <v>8</v>
      </c>
      <c r="ER466" s="27" t="s">
        <v>7</v>
      </c>
      <c r="FN466" s="27" t="s">
        <v>7</v>
      </c>
      <c r="FO466" s="27" t="s">
        <v>8</v>
      </c>
      <c r="FP466" s="27" t="s">
        <v>7</v>
      </c>
      <c r="FS466" s="27" t="s">
        <v>8</v>
      </c>
      <c r="FT466" s="27" t="s">
        <v>7</v>
      </c>
      <c r="FU466" s="27" t="s">
        <v>8</v>
      </c>
      <c r="FV466" s="27" t="s">
        <v>7</v>
      </c>
      <c r="FW466" s="27" t="s">
        <v>8</v>
      </c>
    </row>
    <row r="467" spans="1:195" x14ac:dyDescent="0.25">
      <c r="A467" s="7">
        <v>10.765163034201771</v>
      </c>
      <c r="B467"/>
      <c r="C467"/>
      <c r="D467"/>
      <c r="E467" t="s">
        <v>8</v>
      </c>
      <c r="L467" s="27" t="s">
        <v>7</v>
      </c>
      <c r="O467" s="27" t="s">
        <v>8</v>
      </c>
      <c r="P467" s="27" t="s">
        <v>7</v>
      </c>
      <c r="Q467" s="27" t="s">
        <v>8</v>
      </c>
      <c r="R467" s="27" t="s">
        <v>7</v>
      </c>
      <c r="Y467" s="27" t="s">
        <v>8</v>
      </c>
      <c r="AC467" s="27" t="s">
        <v>8</v>
      </c>
      <c r="AD467" s="27" t="s">
        <v>7</v>
      </c>
      <c r="AE467" s="27" t="s">
        <v>8</v>
      </c>
      <c r="AF467" s="27" t="s">
        <v>7</v>
      </c>
      <c r="AG467" s="27" t="s">
        <v>8</v>
      </c>
      <c r="AH467" s="27" t="s">
        <v>7</v>
      </c>
      <c r="AI467" s="27" t="s">
        <v>8</v>
      </c>
      <c r="AL467" s="27" t="s">
        <v>7</v>
      </c>
      <c r="AM467" s="27" t="s">
        <v>8</v>
      </c>
      <c r="AN467" s="27" t="s">
        <v>7</v>
      </c>
      <c r="AO467" s="27" t="s">
        <v>8</v>
      </c>
      <c r="AU467" s="27" t="s">
        <v>8</v>
      </c>
      <c r="AV467" s="27" t="s">
        <v>7</v>
      </c>
      <c r="AW467" s="27" t="s">
        <v>8</v>
      </c>
      <c r="CL467" s="27" t="s">
        <v>7</v>
      </c>
      <c r="CM467" s="27" t="s">
        <v>8</v>
      </c>
      <c r="CN467" s="27" t="s">
        <v>7</v>
      </c>
      <c r="CO467" s="27" t="s">
        <v>8</v>
      </c>
      <c r="CP467" s="27" t="s">
        <v>7</v>
      </c>
      <c r="CQ467" s="27" t="s">
        <v>8</v>
      </c>
      <c r="CS467" s="27" t="s">
        <v>8</v>
      </c>
      <c r="CT467" s="27" t="s">
        <v>7</v>
      </c>
      <c r="CU467" s="27" t="s">
        <v>8</v>
      </c>
      <c r="CV467" s="27" t="s">
        <v>7</v>
      </c>
      <c r="DO467" s="27" t="s">
        <v>8</v>
      </c>
      <c r="DP467" s="27" t="s">
        <v>7</v>
      </c>
      <c r="DQ467" s="27" t="s">
        <v>8</v>
      </c>
      <c r="DR467" s="27" t="s">
        <v>7</v>
      </c>
      <c r="DS467" s="27" t="s">
        <v>8</v>
      </c>
      <c r="EH467" s="27" t="s">
        <v>7</v>
      </c>
      <c r="EI467" s="27" t="s">
        <v>8</v>
      </c>
      <c r="EP467" s="27" t="s">
        <v>7</v>
      </c>
      <c r="EQ467" s="27" t="s">
        <v>8</v>
      </c>
      <c r="FN467" s="27" t="s">
        <v>7</v>
      </c>
      <c r="FP467" s="27" t="s">
        <v>7</v>
      </c>
      <c r="FS467" s="27" t="s">
        <v>8</v>
      </c>
      <c r="FT467" s="27" t="s">
        <v>7</v>
      </c>
      <c r="FU467" s="27" t="s">
        <v>8</v>
      </c>
      <c r="FV467" s="27" t="s">
        <v>7</v>
      </c>
      <c r="FW467" s="27" t="s">
        <v>8</v>
      </c>
      <c r="FX467" s="27" t="s">
        <v>7</v>
      </c>
      <c r="GE467" s="27" t="s">
        <v>8</v>
      </c>
    </row>
    <row r="468" spans="1:195" x14ac:dyDescent="0.25">
      <c r="A468" s="7">
        <v>10.554081406080169</v>
      </c>
      <c r="B468"/>
      <c r="C468"/>
      <c r="D468"/>
      <c r="E468" t="s">
        <v>8</v>
      </c>
      <c r="L468" s="27" t="s">
        <v>7</v>
      </c>
      <c r="M468" s="27" t="s">
        <v>8</v>
      </c>
      <c r="O468" s="27" t="s">
        <v>8</v>
      </c>
      <c r="P468" s="27" t="s">
        <v>7</v>
      </c>
      <c r="Q468" s="27" t="s">
        <v>8</v>
      </c>
      <c r="R468" s="27" t="s">
        <v>7</v>
      </c>
      <c r="Y468" s="27" t="s">
        <v>8</v>
      </c>
      <c r="Z468" s="27" t="s">
        <v>7</v>
      </c>
      <c r="AC468" s="27" t="s">
        <v>8</v>
      </c>
      <c r="AD468" s="27" t="s">
        <v>7</v>
      </c>
      <c r="AE468" s="27" t="s">
        <v>8</v>
      </c>
      <c r="AF468" s="27" t="s">
        <v>7</v>
      </c>
      <c r="AG468" s="27" t="s">
        <v>8</v>
      </c>
      <c r="AH468" s="27" t="s">
        <v>7</v>
      </c>
      <c r="AI468" s="27" t="s">
        <v>8</v>
      </c>
      <c r="AL468" s="27" t="s">
        <v>7</v>
      </c>
      <c r="AN468" s="27" t="s">
        <v>7</v>
      </c>
      <c r="AO468" s="27" t="s">
        <v>8</v>
      </c>
      <c r="AP468" s="27" t="s">
        <v>7</v>
      </c>
      <c r="AU468" s="27" t="s">
        <v>8</v>
      </c>
      <c r="AV468" s="27" t="s">
        <v>7</v>
      </c>
      <c r="AW468" s="27" t="s">
        <v>8</v>
      </c>
      <c r="CL468" s="27" t="s">
        <v>7</v>
      </c>
      <c r="CM468" s="27" t="s">
        <v>8</v>
      </c>
      <c r="CN468" s="27" t="s">
        <v>7</v>
      </c>
      <c r="CO468" s="27" t="s">
        <v>8</v>
      </c>
      <c r="CP468" s="27" t="s">
        <v>7</v>
      </c>
      <c r="CQ468" s="27" t="s">
        <v>8</v>
      </c>
      <c r="CR468" s="27" t="s">
        <v>7</v>
      </c>
      <c r="CS468" s="27" t="s">
        <v>8</v>
      </c>
      <c r="CT468" s="27" t="s">
        <v>7</v>
      </c>
      <c r="CU468" s="27" t="s">
        <v>8</v>
      </c>
      <c r="CV468" s="27" t="s">
        <v>7</v>
      </c>
      <c r="DO468" s="27" t="s">
        <v>8</v>
      </c>
      <c r="DP468" s="27" t="s">
        <v>7</v>
      </c>
      <c r="DQ468" s="27" t="s">
        <v>8</v>
      </c>
      <c r="DR468" s="27" t="s">
        <v>7</v>
      </c>
      <c r="DS468" s="27" t="s">
        <v>8</v>
      </c>
      <c r="EH468" s="27" t="s">
        <v>7</v>
      </c>
      <c r="EI468" s="27" t="s">
        <v>8</v>
      </c>
      <c r="EP468" s="27" t="s">
        <v>7</v>
      </c>
      <c r="EQ468" s="27" t="s">
        <v>8</v>
      </c>
      <c r="FP468" s="27" t="s">
        <v>7</v>
      </c>
      <c r="FQ468" s="27" t="s">
        <v>8</v>
      </c>
      <c r="FS468" s="27" t="s">
        <v>8</v>
      </c>
      <c r="FT468" s="27" t="s">
        <v>7</v>
      </c>
      <c r="FU468" s="27" t="s">
        <v>8</v>
      </c>
      <c r="FV468" s="27" t="s">
        <v>7</v>
      </c>
      <c r="FW468" s="27" t="s">
        <v>8</v>
      </c>
      <c r="FX468" s="27" t="s">
        <v>7</v>
      </c>
      <c r="GE468" s="27" t="s">
        <v>8</v>
      </c>
      <c r="GF468" s="27" t="s">
        <v>7</v>
      </c>
    </row>
    <row r="469" spans="1:195" x14ac:dyDescent="0.25">
      <c r="A469" s="7">
        <v>10.34713863341193</v>
      </c>
      <c r="B469"/>
      <c r="C469"/>
      <c r="D469"/>
      <c r="E469" t="s">
        <v>8</v>
      </c>
      <c r="L469" s="27" t="s">
        <v>7</v>
      </c>
      <c r="M469" s="27" t="s">
        <v>8</v>
      </c>
      <c r="N469" s="27" t="s">
        <v>7</v>
      </c>
      <c r="O469" s="27" t="s">
        <v>8</v>
      </c>
      <c r="P469" s="27" t="s">
        <v>7</v>
      </c>
      <c r="Q469" s="27" t="s">
        <v>8</v>
      </c>
      <c r="R469" s="27" t="s">
        <v>7</v>
      </c>
      <c r="S469" s="27" t="s">
        <v>8</v>
      </c>
      <c r="Y469" s="27" t="s">
        <v>8</v>
      </c>
      <c r="Z469" s="27" t="s">
        <v>7</v>
      </c>
      <c r="AC469" s="27" t="s">
        <v>8</v>
      </c>
      <c r="AD469" s="27" t="s">
        <v>7</v>
      </c>
      <c r="AE469" s="27" t="s">
        <v>8</v>
      </c>
      <c r="AF469" s="27" t="s">
        <v>7</v>
      </c>
      <c r="AG469" s="27" t="s">
        <v>8</v>
      </c>
      <c r="AH469" s="27" t="s">
        <v>7</v>
      </c>
      <c r="AI469" s="27" t="s">
        <v>8</v>
      </c>
      <c r="AN469" s="27" t="s">
        <v>7</v>
      </c>
      <c r="AO469" s="27" t="s">
        <v>8</v>
      </c>
      <c r="AP469" s="27" t="s">
        <v>7</v>
      </c>
      <c r="AQ469" s="27" t="s">
        <v>8</v>
      </c>
      <c r="AS469" s="27" t="s">
        <v>8</v>
      </c>
      <c r="AU469" s="27" t="s">
        <v>8</v>
      </c>
      <c r="AV469" s="27" t="s">
        <v>7</v>
      </c>
      <c r="AW469" s="27" t="s">
        <v>8</v>
      </c>
      <c r="CL469" s="27" t="s">
        <v>7</v>
      </c>
      <c r="CM469" s="27" t="s">
        <v>8</v>
      </c>
      <c r="CN469" s="27" t="s">
        <v>7</v>
      </c>
      <c r="CO469" s="27" t="s">
        <v>8</v>
      </c>
      <c r="CP469" s="27" t="s">
        <v>7</v>
      </c>
      <c r="CQ469" s="27" t="s">
        <v>8</v>
      </c>
      <c r="CR469" s="27" t="s">
        <v>7</v>
      </c>
      <c r="CS469" s="27" t="s">
        <v>8</v>
      </c>
      <c r="CT469" s="27" t="s">
        <v>7</v>
      </c>
      <c r="CU469" s="27" t="s">
        <v>8</v>
      </c>
      <c r="CV469" s="27" t="s">
        <v>7</v>
      </c>
      <c r="DO469" s="27" t="s">
        <v>8</v>
      </c>
      <c r="DP469" s="27" t="s">
        <v>7</v>
      </c>
      <c r="DQ469" s="27" t="s">
        <v>8</v>
      </c>
      <c r="DR469" s="27" t="s">
        <v>7</v>
      </c>
      <c r="EH469" s="27" t="s">
        <v>7</v>
      </c>
      <c r="EI469" s="27" t="s">
        <v>8</v>
      </c>
      <c r="EP469" s="27" t="s">
        <v>7</v>
      </c>
      <c r="FP469" s="27" t="s">
        <v>7</v>
      </c>
      <c r="FQ469" s="27" t="s">
        <v>8</v>
      </c>
      <c r="FR469" s="27" t="s">
        <v>7</v>
      </c>
      <c r="FS469" s="27" t="s">
        <v>8</v>
      </c>
      <c r="FT469" s="27" t="s">
        <v>7</v>
      </c>
      <c r="FU469" s="27" t="s">
        <v>8</v>
      </c>
      <c r="FV469" s="27" t="s">
        <v>7</v>
      </c>
      <c r="FW469" s="27" t="s">
        <v>8</v>
      </c>
      <c r="FX469" s="27" t="s">
        <v>7</v>
      </c>
      <c r="GE469" s="27" t="s">
        <v>8</v>
      </c>
      <c r="GF469" s="27" t="s">
        <v>7</v>
      </c>
    </row>
    <row r="470" spans="1:195" x14ac:dyDescent="0.25">
      <c r="A470" s="7">
        <v>10.14425356216856</v>
      </c>
      <c r="B470"/>
      <c r="C470"/>
      <c r="D470"/>
      <c r="E470" t="s">
        <v>8</v>
      </c>
      <c r="L470" s="27" t="s">
        <v>7</v>
      </c>
      <c r="M470" s="27" t="s">
        <v>8</v>
      </c>
      <c r="N470" s="27" t="s">
        <v>7</v>
      </c>
      <c r="O470" s="27" t="s">
        <v>8</v>
      </c>
      <c r="P470" s="27" t="s">
        <v>7</v>
      </c>
      <c r="Q470" s="27" t="s">
        <v>8</v>
      </c>
      <c r="R470" s="27" t="s">
        <v>7</v>
      </c>
      <c r="S470" s="27" t="s">
        <v>8</v>
      </c>
      <c r="T470" s="27" t="s">
        <v>7</v>
      </c>
      <c r="Y470" s="27" t="s">
        <v>8</v>
      </c>
      <c r="Z470" s="27" t="s">
        <v>7</v>
      </c>
      <c r="AC470" s="27" t="s">
        <v>8</v>
      </c>
      <c r="AD470" s="27" t="s">
        <v>7</v>
      </c>
      <c r="AE470" s="27" t="s">
        <v>8</v>
      </c>
      <c r="AF470" s="27" t="s">
        <v>7</v>
      </c>
      <c r="AG470" s="27" t="s">
        <v>8</v>
      </c>
      <c r="AH470" s="27" t="s">
        <v>7</v>
      </c>
      <c r="AI470" s="27" t="s">
        <v>8</v>
      </c>
      <c r="AN470" s="27" t="s">
        <v>7</v>
      </c>
      <c r="AO470" s="27" t="s">
        <v>8</v>
      </c>
      <c r="AP470" s="27" t="s">
        <v>7</v>
      </c>
      <c r="AQ470" s="27" t="s">
        <v>8</v>
      </c>
      <c r="AR470" s="27" t="s">
        <v>7</v>
      </c>
      <c r="AS470" s="27" t="s">
        <v>8</v>
      </c>
      <c r="AT470" s="27" t="s">
        <v>7</v>
      </c>
      <c r="AU470" s="27" t="s">
        <v>8</v>
      </c>
      <c r="AV470" s="27" t="s">
        <v>7</v>
      </c>
      <c r="AW470" s="27" t="s">
        <v>8</v>
      </c>
      <c r="CL470" s="27" t="s">
        <v>7</v>
      </c>
      <c r="CM470" s="27" t="s">
        <v>8</v>
      </c>
      <c r="CN470" s="27" t="s">
        <v>7</v>
      </c>
      <c r="CO470" s="27" t="s">
        <v>8</v>
      </c>
      <c r="CP470" s="27" t="s">
        <v>7</v>
      </c>
      <c r="CQ470" s="27" t="s">
        <v>8</v>
      </c>
      <c r="CR470" s="27" t="s">
        <v>7</v>
      </c>
      <c r="CS470" s="27" t="s">
        <v>8</v>
      </c>
      <c r="CT470" s="27" t="s">
        <v>7</v>
      </c>
      <c r="CU470" s="27" t="s">
        <v>8</v>
      </c>
      <c r="CV470" s="27" t="s">
        <v>7</v>
      </c>
      <c r="CY470" s="27" t="s">
        <v>8</v>
      </c>
      <c r="DO470" s="27" t="s">
        <v>8</v>
      </c>
      <c r="DP470" s="27" t="s">
        <v>7</v>
      </c>
      <c r="DQ470" s="27" t="s">
        <v>8</v>
      </c>
      <c r="EH470" s="27" t="s">
        <v>7</v>
      </c>
      <c r="EI470" s="27" t="s">
        <v>8</v>
      </c>
      <c r="FP470" s="27" t="s">
        <v>7</v>
      </c>
      <c r="FQ470" s="27" t="s">
        <v>8</v>
      </c>
      <c r="FR470" s="27" t="s">
        <v>7</v>
      </c>
      <c r="FS470" s="27" t="s">
        <v>8</v>
      </c>
      <c r="FT470" s="27" t="s">
        <v>7</v>
      </c>
      <c r="FU470" s="27" t="s">
        <v>8</v>
      </c>
      <c r="FV470" s="27" t="s">
        <v>7</v>
      </c>
      <c r="FW470" s="27" t="s">
        <v>8</v>
      </c>
      <c r="FX470" s="27" t="s">
        <v>7</v>
      </c>
      <c r="GE470" s="27" t="s">
        <v>8</v>
      </c>
      <c r="GF470" s="27" t="s">
        <v>7</v>
      </c>
    </row>
    <row r="471" spans="1:195" x14ac:dyDescent="0.25">
      <c r="A471" s="7">
        <v>9.9453466295770188</v>
      </c>
      <c r="B471"/>
      <c r="C471"/>
      <c r="D471"/>
      <c r="E471" t="s">
        <v>8</v>
      </c>
      <c r="L471" s="27" t="s">
        <v>7</v>
      </c>
      <c r="M471" s="27" t="s">
        <v>8</v>
      </c>
      <c r="N471" s="27" t="s">
        <v>7</v>
      </c>
      <c r="O471" s="27" t="s">
        <v>8</v>
      </c>
      <c r="P471" s="27" t="s">
        <v>7</v>
      </c>
      <c r="Q471" s="27" t="s">
        <v>8</v>
      </c>
      <c r="R471" s="27" t="s">
        <v>7</v>
      </c>
      <c r="S471" s="27" t="s">
        <v>8</v>
      </c>
      <c r="T471" s="27" t="s">
        <v>7</v>
      </c>
      <c r="Y471" s="27" t="s">
        <v>8</v>
      </c>
      <c r="Z471" s="27" t="s">
        <v>7</v>
      </c>
      <c r="AC471" s="27" t="s">
        <v>8</v>
      </c>
      <c r="AD471" s="27" t="s">
        <v>7</v>
      </c>
      <c r="AE471" s="27" t="s">
        <v>8</v>
      </c>
      <c r="AF471" s="27" t="s">
        <v>7</v>
      </c>
      <c r="AG471" s="27" t="s">
        <v>8</v>
      </c>
      <c r="AH471" s="27" t="s">
        <v>7</v>
      </c>
      <c r="AN471" s="27" t="s">
        <v>7</v>
      </c>
      <c r="AO471" s="27" t="s">
        <v>8</v>
      </c>
      <c r="AP471" s="27" t="s">
        <v>7</v>
      </c>
      <c r="AQ471" s="27" t="s">
        <v>8</v>
      </c>
      <c r="AR471" s="27" t="s">
        <v>7</v>
      </c>
      <c r="AS471" s="27" t="s">
        <v>8</v>
      </c>
      <c r="AT471" s="27" t="s">
        <v>7</v>
      </c>
      <c r="AU471" s="27" t="s">
        <v>8</v>
      </c>
      <c r="AV471" s="27" t="s">
        <v>7</v>
      </c>
      <c r="AW471" s="27" t="s">
        <v>8</v>
      </c>
      <c r="CL471" s="27" t="s">
        <v>7</v>
      </c>
      <c r="CM471" s="27" t="s">
        <v>8</v>
      </c>
      <c r="CN471" s="27" t="s">
        <v>7</v>
      </c>
      <c r="CO471" s="27" t="s">
        <v>8</v>
      </c>
      <c r="CP471" s="27" t="s">
        <v>7</v>
      </c>
      <c r="CQ471" s="27" t="s">
        <v>8</v>
      </c>
      <c r="CR471" s="27" t="s">
        <v>7</v>
      </c>
      <c r="CS471" s="27" t="s">
        <v>8</v>
      </c>
      <c r="CT471" s="27" t="s">
        <v>7</v>
      </c>
      <c r="CU471" s="27" t="s">
        <v>8</v>
      </c>
      <c r="CV471" s="27" t="s">
        <v>7</v>
      </c>
      <c r="CY471" s="27" t="s">
        <v>8</v>
      </c>
      <c r="CZ471" s="27" t="s">
        <v>7</v>
      </c>
      <c r="DO471" s="27" t="s">
        <v>8</v>
      </c>
      <c r="DP471" s="27" t="s">
        <v>7</v>
      </c>
      <c r="EH471" s="27" t="s">
        <v>7</v>
      </c>
      <c r="FP471" s="27" t="s">
        <v>7</v>
      </c>
      <c r="FQ471" s="27" t="s">
        <v>8</v>
      </c>
      <c r="FR471" s="27" t="s">
        <v>7</v>
      </c>
      <c r="FS471" s="27" t="s">
        <v>8</v>
      </c>
      <c r="FT471" s="27" t="s">
        <v>7</v>
      </c>
      <c r="FU471" s="27" t="s">
        <v>8</v>
      </c>
      <c r="FV471" s="27" t="s">
        <v>7</v>
      </c>
      <c r="FW471" s="27" t="s">
        <v>8</v>
      </c>
      <c r="FX471" s="27" t="s">
        <v>7</v>
      </c>
      <c r="GE471" s="27" t="s">
        <v>8</v>
      </c>
      <c r="GF471" s="27" t="s">
        <v>7</v>
      </c>
    </row>
    <row r="472" spans="1:195" x14ac:dyDescent="0.25">
      <c r="A472" s="7">
        <v>9.7503398329186464</v>
      </c>
      <c r="B472"/>
      <c r="C472"/>
      <c r="D472"/>
      <c r="E472" t="s">
        <v>8</v>
      </c>
      <c r="L472" s="27" t="s">
        <v>7</v>
      </c>
      <c r="M472" s="27" t="s">
        <v>8</v>
      </c>
      <c r="N472" s="27" t="s">
        <v>7</v>
      </c>
      <c r="O472" s="27" t="s">
        <v>8</v>
      </c>
      <c r="P472" s="27" t="s">
        <v>7</v>
      </c>
      <c r="Q472" s="27" t="s">
        <v>8</v>
      </c>
      <c r="R472" s="27" t="s">
        <v>7</v>
      </c>
      <c r="S472" s="27" t="s">
        <v>8</v>
      </c>
      <c r="T472" s="27" t="s">
        <v>7</v>
      </c>
      <c r="Y472" s="27" t="s">
        <v>8</v>
      </c>
      <c r="Z472" s="27" t="s">
        <v>7</v>
      </c>
      <c r="AC472" s="27" t="s">
        <v>8</v>
      </c>
      <c r="AD472" s="27" t="s">
        <v>7</v>
      </c>
      <c r="AE472" s="27" t="s">
        <v>8</v>
      </c>
      <c r="AF472" s="27" t="s">
        <v>7</v>
      </c>
      <c r="AG472" s="27" t="s">
        <v>8</v>
      </c>
      <c r="AN472" s="27" t="s">
        <v>7</v>
      </c>
      <c r="AO472" s="27" t="s">
        <v>8</v>
      </c>
      <c r="AP472" s="27" t="s">
        <v>7</v>
      </c>
      <c r="AQ472" s="27" t="s">
        <v>8</v>
      </c>
      <c r="AR472" s="27" t="s">
        <v>7</v>
      </c>
      <c r="AS472" s="27" t="s">
        <v>8</v>
      </c>
      <c r="AT472" s="27" t="s">
        <v>7</v>
      </c>
      <c r="AU472" s="27" t="s">
        <v>8</v>
      </c>
      <c r="AV472" s="27" t="s">
        <v>7</v>
      </c>
      <c r="CL472" s="27" t="s">
        <v>7</v>
      </c>
      <c r="CM472" s="27" t="s">
        <v>8</v>
      </c>
      <c r="CN472" s="27" t="s">
        <v>7</v>
      </c>
      <c r="CO472" s="27" t="s">
        <v>8</v>
      </c>
      <c r="CP472" s="27" t="s">
        <v>7</v>
      </c>
      <c r="CQ472" s="27" t="s">
        <v>8</v>
      </c>
      <c r="CR472" s="27" t="s">
        <v>7</v>
      </c>
      <c r="CT472" s="27" t="s">
        <v>7</v>
      </c>
      <c r="CU472" s="27" t="s">
        <v>8</v>
      </c>
      <c r="CV472" s="27" t="s">
        <v>7</v>
      </c>
      <c r="CW472" s="27" t="s">
        <v>8</v>
      </c>
      <c r="CY472" s="27" t="s">
        <v>8</v>
      </c>
      <c r="CZ472" s="27" t="s">
        <v>7</v>
      </c>
      <c r="DO472" s="27" t="s">
        <v>8</v>
      </c>
      <c r="FP472" s="27" t="s">
        <v>7</v>
      </c>
      <c r="FR472" s="27" t="s">
        <v>7</v>
      </c>
      <c r="FT472" s="27" t="s">
        <v>7</v>
      </c>
      <c r="FU472" s="27" t="s">
        <v>8</v>
      </c>
      <c r="FV472" s="27" t="s">
        <v>7</v>
      </c>
      <c r="FW472" s="27" t="s">
        <v>8</v>
      </c>
      <c r="FX472" s="27" t="s">
        <v>7</v>
      </c>
      <c r="GC472" s="27" t="s">
        <v>8</v>
      </c>
      <c r="GE472" s="27" t="s">
        <v>8</v>
      </c>
      <c r="GF472" s="27" t="s">
        <v>7</v>
      </c>
    </row>
    <row r="473" spans="1:195" x14ac:dyDescent="0.25">
      <c r="A473" s="7">
        <v>9.5591566989398498</v>
      </c>
      <c r="B473"/>
      <c r="C473"/>
      <c r="D473"/>
      <c r="E473" t="s">
        <v>8</v>
      </c>
      <c r="L473" s="27" t="s">
        <v>7</v>
      </c>
      <c r="N473" s="27" t="s">
        <v>7</v>
      </c>
      <c r="O473" s="27" t="s">
        <v>8</v>
      </c>
      <c r="P473" s="27" t="s">
        <v>7</v>
      </c>
      <c r="Q473" s="27" t="s">
        <v>8</v>
      </c>
      <c r="R473" s="27" t="s">
        <v>7</v>
      </c>
      <c r="T473" s="27" t="s">
        <v>7</v>
      </c>
      <c r="Y473" s="27" t="s">
        <v>8</v>
      </c>
      <c r="Z473" s="27" t="s">
        <v>7</v>
      </c>
      <c r="AC473" s="27" t="s">
        <v>8</v>
      </c>
      <c r="AD473" s="27" t="s">
        <v>7</v>
      </c>
      <c r="AE473" s="27" t="s">
        <v>8</v>
      </c>
      <c r="AF473" s="27" t="s">
        <v>7</v>
      </c>
      <c r="AG473" s="27" t="s">
        <v>8</v>
      </c>
      <c r="AN473" s="27" t="s">
        <v>7</v>
      </c>
      <c r="AO473" s="27" t="s">
        <v>8</v>
      </c>
      <c r="AP473" s="27" t="s">
        <v>7</v>
      </c>
      <c r="AQ473" s="27" t="s">
        <v>8</v>
      </c>
      <c r="AR473" s="27" t="s">
        <v>7</v>
      </c>
      <c r="AS473" s="27" t="s">
        <v>8</v>
      </c>
      <c r="AT473" s="27" t="s">
        <v>7</v>
      </c>
      <c r="AU473" s="27" t="s">
        <v>8</v>
      </c>
      <c r="CL473" s="27" t="s">
        <v>7</v>
      </c>
      <c r="CM473" s="27" t="s">
        <v>8</v>
      </c>
      <c r="CN473" s="27" t="s">
        <v>7</v>
      </c>
      <c r="CO473" s="27" t="s">
        <v>8</v>
      </c>
      <c r="CP473" s="27" t="s">
        <v>7</v>
      </c>
      <c r="CT473" s="27" t="s">
        <v>7</v>
      </c>
      <c r="CU473" s="27" t="s">
        <v>8</v>
      </c>
      <c r="CV473" s="27" t="s">
        <v>7</v>
      </c>
      <c r="CW473" s="27" t="s">
        <v>8</v>
      </c>
      <c r="CX473" s="27" t="s">
        <v>7</v>
      </c>
      <c r="CY473" s="27" t="s">
        <v>8</v>
      </c>
      <c r="CZ473" s="27" t="s">
        <v>7</v>
      </c>
      <c r="DO473" s="27" t="s">
        <v>8</v>
      </c>
      <c r="FT473" s="27" t="s">
        <v>7</v>
      </c>
      <c r="FU473" s="27" t="s">
        <v>8</v>
      </c>
      <c r="FV473" s="27" t="s">
        <v>7</v>
      </c>
      <c r="FW473" s="27" t="s">
        <v>8</v>
      </c>
      <c r="FX473" s="27" t="s">
        <v>7</v>
      </c>
      <c r="GC473" s="27" t="s">
        <v>8</v>
      </c>
      <c r="GD473" s="27" t="s">
        <v>7</v>
      </c>
      <c r="GE473" s="27" t="s">
        <v>8</v>
      </c>
      <c r="GF473" s="27" t="s">
        <v>7</v>
      </c>
    </row>
    <row r="474" spans="1:195" x14ac:dyDescent="0.25">
      <c r="A474" s="7">
        <v>9.3717222538625968</v>
      </c>
      <c r="B474"/>
      <c r="C474"/>
      <c r="D474"/>
      <c r="E474" t="s">
        <v>8</v>
      </c>
      <c r="N474" s="27" t="s">
        <v>7</v>
      </c>
      <c r="O474" s="27" t="s">
        <v>8</v>
      </c>
      <c r="P474" s="27" t="s">
        <v>7</v>
      </c>
      <c r="Q474" s="27" t="s">
        <v>8</v>
      </c>
      <c r="T474" s="27" t="s">
        <v>7</v>
      </c>
      <c r="U474" s="27" t="s">
        <v>8</v>
      </c>
      <c r="Y474" s="27" t="s">
        <v>8</v>
      </c>
      <c r="Z474" s="27" t="s">
        <v>7</v>
      </c>
      <c r="AC474" s="27" t="s">
        <v>8</v>
      </c>
      <c r="AD474" s="27" t="s">
        <v>7</v>
      </c>
      <c r="AE474" s="27" t="s">
        <v>8</v>
      </c>
      <c r="AF474" s="27" t="s">
        <v>7</v>
      </c>
      <c r="AN474" s="27" t="s">
        <v>7</v>
      </c>
      <c r="AO474" s="27" t="s">
        <v>8</v>
      </c>
      <c r="AP474" s="27" t="s">
        <v>7</v>
      </c>
      <c r="AQ474" s="27" t="s">
        <v>8</v>
      </c>
      <c r="AR474" s="27" t="s">
        <v>7</v>
      </c>
      <c r="AS474" s="27" t="s">
        <v>8</v>
      </c>
      <c r="AT474" s="27" t="s">
        <v>7</v>
      </c>
      <c r="AU474" s="27" t="s">
        <v>8</v>
      </c>
      <c r="CL474" s="27" t="s">
        <v>7</v>
      </c>
      <c r="CM474" s="27" t="s">
        <v>8</v>
      </c>
      <c r="CN474" s="27" t="s">
        <v>7</v>
      </c>
      <c r="CO474" s="27" t="s">
        <v>8</v>
      </c>
      <c r="CT474" s="27" t="s">
        <v>7</v>
      </c>
      <c r="CU474" s="27" t="s">
        <v>8</v>
      </c>
      <c r="CV474" s="27" t="s">
        <v>7</v>
      </c>
      <c r="CW474" s="27" t="s">
        <v>8</v>
      </c>
      <c r="CX474" s="27" t="s">
        <v>7</v>
      </c>
      <c r="CY474" s="27" t="s">
        <v>8</v>
      </c>
      <c r="CZ474" s="27" t="s">
        <v>7</v>
      </c>
      <c r="DA474" s="27" t="s">
        <v>8</v>
      </c>
      <c r="DO474" s="27" t="s">
        <v>8</v>
      </c>
      <c r="FT474" s="27" t="s">
        <v>7</v>
      </c>
      <c r="FU474" s="27" t="s">
        <v>8</v>
      </c>
      <c r="FV474" s="27" t="s">
        <v>7</v>
      </c>
      <c r="FW474" s="27" t="s">
        <v>8</v>
      </c>
      <c r="FX474" s="27" t="s">
        <v>7</v>
      </c>
      <c r="GC474" s="27" t="s">
        <v>8</v>
      </c>
      <c r="GD474" s="27" t="s">
        <v>7</v>
      </c>
      <c r="GE474" s="27" t="s">
        <v>8</v>
      </c>
      <c r="GF474" s="27" t="s">
        <v>7</v>
      </c>
    </row>
    <row r="475" spans="1:195" x14ac:dyDescent="0.25">
      <c r="A475" s="7">
        <v>9.1879629939829375</v>
      </c>
      <c r="B475"/>
      <c r="C475"/>
      <c r="D475"/>
      <c r="E475" t="s">
        <v>8</v>
      </c>
      <c r="N475" s="27" t="s">
        <v>7</v>
      </c>
      <c r="O475" s="27" t="s">
        <v>8</v>
      </c>
      <c r="P475" s="27" t="s">
        <v>7</v>
      </c>
      <c r="Q475" s="27" t="s">
        <v>8</v>
      </c>
      <c r="T475" s="27" t="s">
        <v>7</v>
      </c>
      <c r="U475" s="27" t="s">
        <v>8</v>
      </c>
      <c r="V475" s="27" t="s">
        <v>7</v>
      </c>
      <c r="Y475" s="27" t="s">
        <v>8</v>
      </c>
      <c r="Z475" s="27" t="s">
        <v>7</v>
      </c>
      <c r="AC475" s="27" t="s">
        <v>8</v>
      </c>
      <c r="AD475" s="27" t="s">
        <v>7</v>
      </c>
      <c r="AE475" s="27" t="s">
        <v>8</v>
      </c>
      <c r="AN475" s="27" t="s">
        <v>7</v>
      </c>
      <c r="AO475" s="27" t="s">
        <v>8</v>
      </c>
      <c r="AP475" s="27" t="s">
        <v>7</v>
      </c>
      <c r="AQ475" s="27" t="s">
        <v>8</v>
      </c>
      <c r="AR475" s="27" t="s">
        <v>7</v>
      </c>
      <c r="AS475" s="27" t="s">
        <v>8</v>
      </c>
      <c r="AT475" s="27" t="s">
        <v>7</v>
      </c>
      <c r="AU475" s="27" t="s">
        <v>8</v>
      </c>
      <c r="CL475" s="27" t="s">
        <v>7</v>
      </c>
      <c r="CM475" s="27" t="s">
        <v>8</v>
      </c>
      <c r="CN475" s="27" t="s">
        <v>7</v>
      </c>
      <c r="CT475" s="27" t="s">
        <v>7</v>
      </c>
      <c r="CU475" s="27" t="s">
        <v>8</v>
      </c>
      <c r="CV475" s="27" t="s">
        <v>7</v>
      </c>
      <c r="CW475" s="27" t="s">
        <v>8</v>
      </c>
      <c r="CX475" s="27" t="s">
        <v>7</v>
      </c>
      <c r="CZ475" s="27" t="s">
        <v>7</v>
      </c>
      <c r="DA475" s="27" t="s">
        <v>8</v>
      </c>
      <c r="DB475" s="27" t="s">
        <v>7</v>
      </c>
      <c r="DO475" s="27" t="s">
        <v>8</v>
      </c>
      <c r="FT475" s="27" t="s">
        <v>7</v>
      </c>
      <c r="FU475" s="27" t="s">
        <v>8</v>
      </c>
      <c r="FV475" s="27" t="s">
        <v>7</v>
      </c>
      <c r="FX475" s="27" t="s">
        <v>7</v>
      </c>
      <c r="GA475" s="27" t="s">
        <v>8</v>
      </c>
      <c r="GC475" s="27" t="s">
        <v>8</v>
      </c>
      <c r="GD475" s="27" t="s">
        <v>7</v>
      </c>
      <c r="GF475" s="27" t="s">
        <v>7</v>
      </c>
    </row>
    <row r="476" spans="1:195" x14ac:dyDescent="0.25">
      <c r="A476" s="7">
        <v>9.0078068568460168</v>
      </c>
      <c r="B476"/>
      <c r="C476"/>
      <c r="D476"/>
      <c r="E476" t="s">
        <v>8</v>
      </c>
      <c r="N476" s="27" t="s">
        <v>7</v>
      </c>
      <c r="O476" s="27" t="s">
        <v>8</v>
      </c>
      <c r="P476" s="27" t="s">
        <v>7</v>
      </c>
      <c r="Q476" s="27" t="s">
        <v>8</v>
      </c>
      <c r="T476" s="27" t="s">
        <v>7</v>
      </c>
      <c r="U476" s="27" t="s">
        <v>8</v>
      </c>
      <c r="V476" s="27" t="s">
        <v>7</v>
      </c>
      <c r="W476" s="27" t="s">
        <v>8</v>
      </c>
      <c r="Y476" s="27" t="s">
        <v>8</v>
      </c>
      <c r="Z476" s="27" t="s">
        <v>7</v>
      </c>
      <c r="AC476" s="27" t="s">
        <v>8</v>
      </c>
      <c r="AD476" s="27" t="s">
        <v>7</v>
      </c>
      <c r="AE476" s="27" t="s">
        <v>8</v>
      </c>
      <c r="AN476" s="27" t="s">
        <v>7</v>
      </c>
      <c r="AO476" s="27" t="s">
        <v>8</v>
      </c>
      <c r="AP476" s="27" t="s">
        <v>7</v>
      </c>
      <c r="AQ476" s="27" t="s">
        <v>8</v>
      </c>
      <c r="AR476" s="27" t="s">
        <v>7</v>
      </c>
      <c r="AT476" s="27" t="s">
        <v>7</v>
      </c>
      <c r="AU476" s="27" t="s">
        <v>8</v>
      </c>
      <c r="CL476" s="27" t="s">
        <v>7</v>
      </c>
      <c r="CM476" s="27" t="s">
        <v>8</v>
      </c>
      <c r="CT476" s="27" t="s">
        <v>7</v>
      </c>
      <c r="CU476" s="27" t="s">
        <v>8</v>
      </c>
      <c r="CV476" s="27" t="s">
        <v>7</v>
      </c>
      <c r="CW476" s="27" t="s">
        <v>8</v>
      </c>
      <c r="CZ476" s="27" t="s">
        <v>7</v>
      </c>
      <c r="DA476" s="27" t="s">
        <v>8</v>
      </c>
      <c r="DB476" s="27" t="s">
        <v>7</v>
      </c>
      <c r="DO476" s="27" t="s">
        <v>8</v>
      </c>
      <c r="FT476" s="27" t="s">
        <v>7</v>
      </c>
      <c r="FU476" s="27" t="s">
        <v>8</v>
      </c>
      <c r="FX476" s="27" t="s">
        <v>7</v>
      </c>
      <c r="GA476" s="27" t="s">
        <v>8</v>
      </c>
      <c r="GB476" s="27" t="s">
        <v>7</v>
      </c>
      <c r="GC476" s="27" t="s">
        <v>8</v>
      </c>
      <c r="GF476" s="27" t="s">
        <v>7</v>
      </c>
    </row>
    <row r="477" spans="1:195" x14ac:dyDescent="0.25">
      <c r="A477" s="7">
        <v>8.8311831929862912</v>
      </c>
      <c r="B477"/>
      <c r="C477"/>
      <c r="D477"/>
      <c r="E477" t="s">
        <v>8</v>
      </c>
      <c r="N477" s="27" t="s">
        <v>7</v>
      </c>
      <c r="O477" s="27" t="s">
        <v>8</v>
      </c>
      <c r="P477" s="27" t="s">
        <v>7</v>
      </c>
      <c r="Q477" s="27" t="s">
        <v>8</v>
      </c>
      <c r="T477" s="27" t="s">
        <v>7</v>
      </c>
      <c r="U477" s="27" t="s">
        <v>8</v>
      </c>
      <c r="V477" s="27" t="s">
        <v>7</v>
      </c>
      <c r="W477" s="27" t="s">
        <v>8</v>
      </c>
      <c r="X477" s="27" t="s">
        <v>7</v>
      </c>
      <c r="Y477" s="27" t="s">
        <v>8</v>
      </c>
      <c r="Z477" s="27" t="s">
        <v>7</v>
      </c>
      <c r="AC477" s="27" t="s">
        <v>8</v>
      </c>
      <c r="AD477" s="27" t="s">
        <v>7</v>
      </c>
      <c r="AE477" s="27" t="s">
        <v>8</v>
      </c>
      <c r="AN477" s="27" t="s">
        <v>7</v>
      </c>
      <c r="AO477" s="27" t="s">
        <v>8</v>
      </c>
      <c r="AP477" s="27" t="s">
        <v>7</v>
      </c>
      <c r="AQ477" s="27" t="s">
        <v>8</v>
      </c>
      <c r="AT477" s="27" t="s">
        <v>7</v>
      </c>
      <c r="CL477" s="27" t="s">
        <v>7</v>
      </c>
      <c r="CM477" s="27" t="s">
        <v>8</v>
      </c>
      <c r="CT477" s="27" t="s">
        <v>7</v>
      </c>
      <c r="CU477" s="27" t="s">
        <v>8</v>
      </c>
      <c r="CV477" s="27" t="s">
        <v>7</v>
      </c>
      <c r="CW477" s="27" t="s">
        <v>8</v>
      </c>
      <c r="CZ477" s="27" t="s">
        <v>7</v>
      </c>
      <c r="DA477" s="27" t="s">
        <v>8</v>
      </c>
      <c r="DB477" s="27" t="s">
        <v>7</v>
      </c>
      <c r="DM477" s="27" t="s">
        <v>8</v>
      </c>
      <c r="DO477" s="27" t="s">
        <v>8</v>
      </c>
      <c r="FT477" s="27" t="s">
        <v>7</v>
      </c>
      <c r="FU477" s="27" t="s">
        <v>8</v>
      </c>
      <c r="FX477" s="27" t="s">
        <v>7</v>
      </c>
      <c r="FY477" s="27" t="s">
        <v>8</v>
      </c>
      <c r="GA477" s="27" t="s">
        <v>8</v>
      </c>
      <c r="GB477" s="27" t="s">
        <v>7</v>
      </c>
      <c r="GC477" s="27" t="s">
        <v>8</v>
      </c>
      <c r="GF477" s="27" t="s">
        <v>7</v>
      </c>
    </row>
    <row r="478" spans="1:195" x14ac:dyDescent="0.25">
      <c r="A478" s="7">
        <v>8.6580227382218542</v>
      </c>
      <c r="B478"/>
      <c r="C478"/>
      <c r="D478"/>
      <c r="E478" t="s">
        <v>8</v>
      </c>
      <c r="N478" s="27" t="s">
        <v>7</v>
      </c>
      <c r="P478" s="27" t="s">
        <v>7</v>
      </c>
      <c r="Q478" s="27" t="s">
        <v>8</v>
      </c>
      <c r="T478" s="27" t="s">
        <v>7</v>
      </c>
      <c r="U478" s="27" t="s">
        <v>8</v>
      </c>
      <c r="V478" s="27" t="s">
        <v>7</v>
      </c>
      <c r="W478" s="27" t="s">
        <v>8</v>
      </c>
      <c r="X478" s="27" t="s">
        <v>7</v>
      </c>
      <c r="Y478" s="27" t="s">
        <v>8</v>
      </c>
      <c r="Z478" s="27" t="s">
        <v>7</v>
      </c>
      <c r="AC478" s="27" t="s">
        <v>8</v>
      </c>
      <c r="AD478" s="27" t="s">
        <v>7</v>
      </c>
      <c r="AE478" s="27" t="s">
        <v>8</v>
      </c>
      <c r="AN478" s="27" t="s">
        <v>7</v>
      </c>
      <c r="AO478" s="27" t="s">
        <v>8</v>
      </c>
      <c r="AP478" s="27" t="s">
        <v>7</v>
      </c>
      <c r="CL478" s="27" t="s">
        <v>7</v>
      </c>
      <c r="CM478" s="27" t="s">
        <v>8</v>
      </c>
      <c r="CT478" s="27" t="s">
        <v>7</v>
      </c>
      <c r="CU478" s="27" t="s">
        <v>8</v>
      </c>
      <c r="CV478" s="27" t="s">
        <v>7</v>
      </c>
      <c r="CW478" s="27" t="s">
        <v>8</v>
      </c>
      <c r="CZ478" s="27" t="s">
        <v>7</v>
      </c>
      <c r="DB478" s="27" t="s">
        <v>7</v>
      </c>
      <c r="DK478" s="27" t="s">
        <v>8</v>
      </c>
      <c r="DM478" s="27" t="s">
        <v>8</v>
      </c>
      <c r="DN478" s="27" t="s">
        <v>7</v>
      </c>
      <c r="DO478" s="18" t="s">
        <v>8</v>
      </c>
      <c r="FT478" s="27" t="s">
        <v>7</v>
      </c>
      <c r="FU478" s="27" t="s">
        <v>8</v>
      </c>
      <c r="FX478" s="27" t="s">
        <v>7</v>
      </c>
      <c r="FY478" s="27" t="s">
        <v>8</v>
      </c>
      <c r="FZ478" s="27" t="s">
        <v>7</v>
      </c>
      <c r="GA478" s="27" t="s">
        <v>8</v>
      </c>
      <c r="GB478" s="27" t="s">
        <v>7</v>
      </c>
      <c r="GF478" s="27" t="s">
        <v>7</v>
      </c>
      <c r="GK478" s="27" t="s">
        <v>8</v>
      </c>
    </row>
    <row r="479" spans="1:195" x14ac:dyDescent="0.25">
      <c r="A479" s="7">
        <v>8.4882575864920131</v>
      </c>
      <c r="B479"/>
      <c r="C479"/>
      <c r="D479"/>
      <c r="E479" t="s">
        <v>8</v>
      </c>
      <c r="P479" s="27" t="s">
        <v>7</v>
      </c>
      <c r="Q479" s="27" t="s">
        <v>8</v>
      </c>
      <c r="T479" s="27" t="s">
        <v>7</v>
      </c>
      <c r="U479" s="27" t="s">
        <v>8</v>
      </c>
      <c r="V479" s="27" t="s">
        <v>7</v>
      </c>
      <c r="W479" s="27" t="s">
        <v>8</v>
      </c>
      <c r="X479" s="27" t="s">
        <v>7</v>
      </c>
      <c r="Y479" s="27" t="s">
        <v>8</v>
      </c>
      <c r="Z479" s="27" t="s">
        <v>7</v>
      </c>
      <c r="AC479" s="27" t="s">
        <v>8</v>
      </c>
      <c r="AD479" s="27" t="s">
        <v>7</v>
      </c>
      <c r="AE479" s="27" t="s">
        <v>8</v>
      </c>
      <c r="AN479" s="27" t="s">
        <v>7</v>
      </c>
      <c r="AO479" s="27" t="s">
        <v>8</v>
      </c>
      <c r="CL479" s="27" t="s">
        <v>7</v>
      </c>
      <c r="CM479" s="27" t="s">
        <v>8</v>
      </c>
      <c r="CT479" s="27" t="s">
        <v>7</v>
      </c>
      <c r="CU479" s="27" t="s">
        <v>8</v>
      </c>
      <c r="CV479" s="27" t="s">
        <v>7</v>
      </c>
      <c r="DB479" s="27" t="s">
        <v>7</v>
      </c>
      <c r="DK479" s="27" t="s">
        <v>8</v>
      </c>
      <c r="DL479" s="27" t="s">
        <v>7</v>
      </c>
      <c r="DM479" s="27" t="s">
        <v>8</v>
      </c>
      <c r="DN479" s="27" t="s">
        <v>7</v>
      </c>
      <c r="DO479" s="27" t="s">
        <v>8</v>
      </c>
      <c r="FT479" s="27" t="s">
        <v>7</v>
      </c>
      <c r="FU479" s="27" t="s">
        <v>8</v>
      </c>
      <c r="FX479" s="27" t="s">
        <v>7</v>
      </c>
      <c r="FY479" s="27" t="s">
        <v>8</v>
      </c>
      <c r="FZ479" s="27" t="s">
        <v>7</v>
      </c>
      <c r="GA479" s="27" t="s">
        <v>8</v>
      </c>
      <c r="GF479" s="27" t="s">
        <v>7</v>
      </c>
      <c r="GG479" s="27" t="s">
        <v>8</v>
      </c>
      <c r="GK479" s="27" t="s">
        <v>8</v>
      </c>
      <c r="GL479" s="27" t="s">
        <v>7</v>
      </c>
    </row>
    <row r="480" spans="1:195" x14ac:dyDescent="0.25">
      <c r="A480" s="7">
        <v>8.3218211632274635</v>
      </c>
      <c r="B480"/>
      <c r="C480"/>
      <c r="D480"/>
      <c r="E480" t="s">
        <v>8</v>
      </c>
      <c r="P480" s="27" t="s">
        <v>7</v>
      </c>
      <c r="T480" s="27" t="s">
        <v>7</v>
      </c>
      <c r="U480" s="27" t="s">
        <v>8</v>
      </c>
      <c r="V480" s="27" t="s">
        <v>7</v>
      </c>
      <c r="W480" s="27" t="s">
        <v>8</v>
      </c>
      <c r="X480" s="27" t="s">
        <v>7</v>
      </c>
      <c r="Y480" s="27" t="s">
        <v>8</v>
      </c>
      <c r="Z480" s="27" t="s">
        <v>7</v>
      </c>
      <c r="AA480" s="27" t="s">
        <v>8</v>
      </c>
      <c r="AC480" s="27" t="s">
        <v>8</v>
      </c>
      <c r="AD480" s="27" t="s">
        <v>7</v>
      </c>
      <c r="AE480" s="27" t="s">
        <v>8</v>
      </c>
      <c r="AN480" s="27" t="s">
        <v>7</v>
      </c>
      <c r="AO480" s="27" t="s">
        <v>8</v>
      </c>
      <c r="CL480" s="27" t="s">
        <v>7</v>
      </c>
      <c r="CM480" s="27" t="s">
        <v>8</v>
      </c>
      <c r="CT480" s="27" t="s">
        <v>7</v>
      </c>
      <c r="CU480" s="27" t="s">
        <v>8</v>
      </c>
      <c r="DB480" s="27" t="s">
        <v>7</v>
      </c>
      <c r="DG480" s="27" t="s">
        <v>8</v>
      </c>
      <c r="DI480" s="27" t="s">
        <v>8</v>
      </c>
      <c r="DK480" s="27" t="s">
        <v>8</v>
      </c>
      <c r="DL480" s="27" t="s">
        <v>7</v>
      </c>
      <c r="DM480" s="27" t="s">
        <v>8</v>
      </c>
      <c r="DN480" s="27" t="s">
        <v>7</v>
      </c>
      <c r="DO480" s="27" t="s">
        <v>8</v>
      </c>
      <c r="FT480" s="27" t="s">
        <v>7</v>
      </c>
      <c r="FX480" s="27" t="s">
        <v>7</v>
      </c>
      <c r="FY480" s="27" t="s">
        <v>8</v>
      </c>
      <c r="FZ480" s="27" t="s">
        <v>7</v>
      </c>
      <c r="GA480" s="27" t="s">
        <v>8</v>
      </c>
      <c r="GF480" s="27" t="s">
        <v>7</v>
      </c>
      <c r="GG480" s="27" t="s">
        <v>8</v>
      </c>
      <c r="GH480" s="27" t="s">
        <v>7</v>
      </c>
      <c r="GK480" s="27" t="s">
        <v>8</v>
      </c>
      <c r="GL480" s="27" t="s">
        <v>7</v>
      </c>
      <c r="GM480" s="27" t="s">
        <v>8</v>
      </c>
    </row>
    <row r="481" spans="1:199" x14ac:dyDescent="0.25">
      <c r="A481" s="7">
        <v>8.1586481992426112</v>
      </c>
      <c r="B481"/>
      <c r="C481"/>
      <c r="D481"/>
      <c r="E481" t="s">
        <v>8</v>
      </c>
      <c r="T481" s="27" t="s">
        <v>7</v>
      </c>
      <c r="U481" s="27" t="s">
        <v>8</v>
      </c>
      <c r="V481" s="27" t="s">
        <v>7</v>
      </c>
      <c r="W481" s="27" t="s">
        <v>8</v>
      </c>
      <c r="X481" s="27" t="s">
        <v>7</v>
      </c>
      <c r="Y481" s="27" t="s">
        <v>8</v>
      </c>
      <c r="Z481" s="27" t="s">
        <v>7</v>
      </c>
      <c r="AA481" s="27" t="s">
        <v>8</v>
      </c>
      <c r="AB481" s="27" t="s">
        <v>7</v>
      </c>
      <c r="AC481" s="27" t="s">
        <v>8</v>
      </c>
      <c r="AD481" s="27" t="s">
        <v>7</v>
      </c>
      <c r="AN481" s="27" t="s">
        <v>7</v>
      </c>
      <c r="CL481" s="27" t="s">
        <v>7</v>
      </c>
      <c r="CM481" s="27" t="s">
        <v>8</v>
      </c>
      <c r="CT481" s="27" t="s">
        <v>7</v>
      </c>
      <c r="DB481" s="27" t="s">
        <v>7</v>
      </c>
      <c r="DG481" s="27" t="s">
        <v>8</v>
      </c>
      <c r="DH481" s="27" t="s">
        <v>7</v>
      </c>
      <c r="DI481" s="27" t="s">
        <v>8</v>
      </c>
      <c r="DJ481" s="27" t="s">
        <v>7</v>
      </c>
      <c r="DK481" s="27" t="s">
        <v>8</v>
      </c>
      <c r="DL481" s="27" t="s">
        <v>7</v>
      </c>
      <c r="DM481" s="27" t="s">
        <v>8</v>
      </c>
      <c r="DN481" s="27" t="s">
        <v>7</v>
      </c>
      <c r="DO481" s="27" t="s">
        <v>8</v>
      </c>
      <c r="FX481" s="27" t="s">
        <v>7</v>
      </c>
      <c r="FY481" s="27" t="s">
        <v>8</v>
      </c>
      <c r="FZ481" s="27" t="s">
        <v>7</v>
      </c>
      <c r="GA481" s="27" t="s">
        <v>8</v>
      </c>
      <c r="GF481" s="27" t="s">
        <v>7</v>
      </c>
      <c r="GG481" s="27" t="s">
        <v>8</v>
      </c>
      <c r="GH481" s="27" t="s">
        <v>7</v>
      </c>
      <c r="GI481" s="27" t="s">
        <v>8</v>
      </c>
      <c r="GK481" s="27" t="s">
        <v>8</v>
      </c>
      <c r="GL481" s="27" t="s">
        <v>7</v>
      </c>
      <c r="GM481" s="27" t="s">
        <v>8</v>
      </c>
      <c r="GN481" s="27" t="s">
        <v>7</v>
      </c>
      <c r="GO481" s="27" t="s">
        <v>8</v>
      </c>
    </row>
    <row r="482" spans="1:199" x14ac:dyDescent="0.25">
      <c r="A482" s="7">
        <v>7.9986747051398144</v>
      </c>
      <c r="B482"/>
      <c r="C482"/>
      <c r="D482"/>
      <c r="E482" t="s">
        <v>8</v>
      </c>
      <c r="T482" s="27" t="s">
        <v>7</v>
      </c>
      <c r="U482" s="27" t="s">
        <v>8</v>
      </c>
      <c r="V482" s="27" t="s">
        <v>7</v>
      </c>
      <c r="W482" s="27" t="s">
        <v>8</v>
      </c>
      <c r="X482" s="27" t="s">
        <v>7</v>
      </c>
      <c r="Y482" s="27" t="s">
        <v>8</v>
      </c>
      <c r="Z482" s="27" t="s">
        <v>7</v>
      </c>
      <c r="AA482" s="27" t="s">
        <v>8</v>
      </c>
      <c r="AB482" s="27" t="s">
        <v>7</v>
      </c>
      <c r="AC482" s="27" t="s">
        <v>8</v>
      </c>
      <c r="CL482" s="27" t="s">
        <v>7</v>
      </c>
      <c r="DB482" s="27" t="s">
        <v>7</v>
      </c>
      <c r="DG482" s="27" t="s">
        <v>8</v>
      </c>
      <c r="DH482" s="27" t="s">
        <v>7</v>
      </c>
      <c r="DI482" s="27" t="s">
        <v>8</v>
      </c>
      <c r="DJ482" s="27" t="s">
        <v>7</v>
      </c>
      <c r="DK482" s="27" t="s">
        <v>8</v>
      </c>
      <c r="DL482" s="27" t="s">
        <v>7</v>
      </c>
      <c r="DM482" s="27" t="s">
        <v>8</v>
      </c>
      <c r="DN482" s="27" t="s">
        <v>7</v>
      </c>
      <c r="DO482" s="27" t="s">
        <v>8</v>
      </c>
      <c r="FX482" s="27" t="s">
        <v>7</v>
      </c>
      <c r="FZ482" s="27" t="s">
        <v>7</v>
      </c>
      <c r="GF482" s="27" t="s">
        <v>7</v>
      </c>
      <c r="GG482" s="27" t="s">
        <v>8</v>
      </c>
      <c r="GH482" s="27" t="s">
        <v>7</v>
      </c>
      <c r="GI482" s="27" t="s">
        <v>8</v>
      </c>
      <c r="GJ482" s="27" t="s">
        <v>7</v>
      </c>
      <c r="GK482" s="27" t="s">
        <v>8</v>
      </c>
      <c r="GL482" s="27" t="s">
        <v>7</v>
      </c>
      <c r="GM482" s="27" t="s">
        <v>8</v>
      </c>
      <c r="GN482" s="27" t="s">
        <v>7</v>
      </c>
      <c r="GO482" s="27" t="s">
        <v>8</v>
      </c>
      <c r="GP482" s="27" t="s">
        <v>7</v>
      </c>
    </row>
    <row r="483" spans="1:199" x14ac:dyDescent="0.25">
      <c r="A483" s="7">
        <v>7.8418379462155041</v>
      </c>
      <c r="B483"/>
      <c r="C483"/>
      <c r="D483"/>
      <c r="E483" t="s">
        <v>8</v>
      </c>
      <c r="T483" s="27" t="s">
        <v>7</v>
      </c>
      <c r="U483" s="27" t="s">
        <v>8</v>
      </c>
      <c r="V483" s="27" t="s">
        <v>7</v>
      </c>
      <c r="X483" s="27" t="s">
        <v>7</v>
      </c>
      <c r="Y483" s="27" t="s">
        <v>8</v>
      </c>
      <c r="Z483" s="27" t="s">
        <v>7</v>
      </c>
      <c r="AB483" s="27" t="s">
        <v>7</v>
      </c>
      <c r="AC483" s="27" t="s">
        <v>8</v>
      </c>
      <c r="DB483" s="27" t="s">
        <v>7</v>
      </c>
      <c r="DG483" s="27" t="s">
        <v>8</v>
      </c>
      <c r="DH483" s="27" t="s">
        <v>7</v>
      </c>
      <c r="DI483" s="27" t="s">
        <v>8</v>
      </c>
      <c r="DJ483" s="27" t="s">
        <v>7</v>
      </c>
      <c r="DK483" s="27" t="s">
        <v>8</v>
      </c>
      <c r="DL483" s="27" t="s">
        <v>7</v>
      </c>
      <c r="DN483" s="27" t="s">
        <v>7</v>
      </c>
      <c r="DO483" s="27" t="s">
        <v>8</v>
      </c>
      <c r="GF483" s="27" t="s">
        <v>7</v>
      </c>
      <c r="GH483" s="27" t="s">
        <v>7</v>
      </c>
      <c r="GI483" s="27" t="s">
        <v>8</v>
      </c>
      <c r="GJ483" s="27" t="s">
        <v>7</v>
      </c>
      <c r="GK483" s="27" t="s">
        <v>8</v>
      </c>
      <c r="GL483" s="27" t="s">
        <v>7</v>
      </c>
      <c r="GN483" s="27" t="s">
        <v>7</v>
      </c>
      <c r="GO483" s="27" t="s">
        <v>8</v>
      </c>
      <c r="GP483" s="27" t="s">
        <v>7</v>
      </c>
    </row>
    <row r="484" spans="1:199" x14ac:dyDescent="0.25">
      <c r="A484" s="7">
        <v>7.688076417858337</v>
      </c>
      <c r="B484"/>
      <c r="C484"/>
      <c r="D484"/>
      <c r="E484" t="s">
        <v>8</v>
      </c>
      <c r="T484" s="27" t="s">
        <v>7</v>
      </c>
      <c r="U484" s="27" t="s">
        <v>8</v>
      </c>
      <c r="X484" s="27" t="s">
        <v>7</v>
      </c>
      <c r="Y484" s="27" t="s">
        <v>8</v>
      </c>
      <c r="AB484" s="27" t="s">
        <v>7</v>
      </c>
      <c r="DB484" s="27" t="s">
        <v>7</v>
      </c>
      <c r="DC484" s="27" t="s">
        <v>8</v>
      </c>
      <c r="DG484" s="27" t="s">
        <v>8</v>
      </c>
      <c r="DH484" s="27" t="s">
        <v>7</v>
      </c>
      <c r="DI484" s="27" t="s">
        <v>8</v>
      </c>
      <c r="DJ484" s="27" t="s">
        <v>7</v>
      </c>
      <c r="DK484" s="27" t="s">
        <v>8</v>
      </c>
      <c r="DN484" s="27" t="s">
        <v>7</v>
      </c>
      <c r="GH484" s="27" t="s">
        <v>7</v>
      </c>
      <c r="GJ484" s="27" t="s">
        <v>7</v>
      </c>
      <c r="GK484" s="27" t="s">
        <v>8</v>
      </c>
      <c r="GN484" s="27" t="s">
        <v>7</v>
      </c>
      <c r="GO484" s="27" t="s">
        <v>8</v>
      </c>
      <c r="GP484" s="27" t="s">
        <v>7</v>
      </c>
    </row>
    <row r="485" spans="1:199" x14ac:dyDescent="0.25">
      <c r="A485" s="7">
        <v>7.5373298214297417</v>
      </c>
      <c r="B485"/>
      <c r="C485"/>
      <c r="D485"/>
      <c r="E485" t="s">
        <v>8</v>
      </c>
      <c r="T485" s="27" t="s">
        <v>7</v>
      </c>
      <c r="U485" s="27" t="s">
        <v>8</v>
      </c>
      <c r="X485" s="27" t="s">
        <v>7</v>
      </c>
      <c r="DB485" s="27" t="s">
        <v>7</v>
      </c>
      <c r="DC485" s="27" t="s">
        <v>8</v>
      </c>
      <c r="DD485" s="27" t="s">
        <v>7</v>
      </c>
      <c r="DG485" s="27" t="s">
        <v>8</v>
      </c>
      <c r="DH485" s="27" t="s">
        <v>7</v>
      </c>
      <c r="DI485" s="27" t="s">
        <v>8</v>
      </c>
      <c r="DJ485" s="27" t="s">
        <v>7</v>
      </c>
      <c r="DK485" s="27" t="s">
        <v>8</v>
      </c>
      <c r="GJ485" s="27" t="s">
        <v>7</v>
      </c>
      <c r="GK485" s="27" t="s">
        <v>8</v>
      </c>
      <c r="GN485" s="27" t="s">
        <v>7</v>
      </c>
      <c r="GP485" s="27" t="s">
        <v>7</v>
      </c>
    </row>
    <row r="486" spans="1:199" x14ac:dyDescent="0.25">
      <c r="A486" s="7">
        <v>7.389539040617394</v>
      </c>
      <c r="B486"/>
      <c r="C486"/>
      <c r="D486"/>
      <c r="E486" t="s">
        <v>8</v>
      </c>
      <c r="T486" s="27" t="s">
        <v>7</v>
      </c>
      <c r="U486" s="27" t="s">
        <v>8</v>
      </c>
      <c r="DB486" s="27" t="s">
        <v>7</v>
      </c>
      <c r="DC486" s="27" t="s">
        <v>8</v>
      </c>
      <c r="DD486" s="27" t="s">
        <v>7</v>
      </c>
      <c r="DE486" s="27" t="s">
        <v>8</v>
      </c>
      <c r="DG486" s="27" t="s">
        <v>8</v>
      </c>
      <c r="DH486" s="27" t="s">
        <v>7</v>
      </c>
      <c r="DI486" s="27" t="s">
        <v>8</v>
      </c>
      <c r="DJ486" s="27" t="s">
        <v>7</v>
      </c>
      <c r="DK486" s="27" t="s">
        <v>8</v>
      </c>
      <c r="GJ486" s="27" t="s">
        <v>7</v>
      </c>
      <c r="GP486" s="27" t="s">
        <v>7</v>
      </c>
    </row>
    <row r="487" spans="1:199" x14ac:dyDescent="0.25">
      <c r="A487" s="7">
        <v>7.2446461182523469</v>
      </c>
      <c r="B487"/>
      <c r="C487"/>
      <c r="D487"/>
      <c r="E487" t="s">
        <v>8</v>
      </c>
      <c r="T487" s="27" t="s">
        <v>7</v>
      </c>
      <c r="U487" s="27" t="s">
        <v>8</v>
      </c>
      <c r="DB487" s="27" t="s">
        <v>7</v>
      </c>
      <c r="DC487" s="27" t="s">
        <v>8</v>
      </c>
      <c r="DD487" s="27" t="s">
        <v>7</v>
      </c>
      <c r="DE487" s="27" t="s">
        <v>8</v>
      </c>
      <c r="DF487" s="27" t="s">
        <v>7</v>
      </c>
      <c r="DG487" s="27" t="s">
        <v>8</v>
      </c>
      <c r="DH487" s="27" t="s">
        <v>7</v>
      </c>
      <c r="DI487" s="27" t="s">
        <v>8</v>
      </c>
      <c r="DJ487" s="27" t="s">
        <v>7</v>
      </c>
      <c r="GP487" s="27" t="s">
        <v>7</v>
      </c>
    </row>
    <row r="488" spans="1:199" x14ac:dyDescent="0.25">
      <c r="A488" s="7">
        <v>7.1025942335807324</v>
      </c>
      <c r="B488"/>
      <c r="C488"/>
      <c r="D488"/>
      <c r="E488" t="s">
        <v>8</v>
      </c>
      <c r="T488" s="27" t="s">
        <v>7</v>
      </c>
      <c r="U488" s="27" t="s">
        <v>8</v>
      </c>
      <c r="DB488" s="27" t="s">
        <v>7</v>
      </c>
      <c r="DC488" s="27" t="s">
        <v>8</v>
      </c>
      <c r="DD488" s="27" t="s">
        <v>7</v>
      </c>
      <c r="DE488" s="27" t="s">
        <v>8</v>
      </c>
      <c r="DF488" s="27" t="s">
        <v>7</v>
      </c>
      <c r="DG488" s="27" t="s">
        <v>8</v>
      </c>
      <c r="DH488" s="27" t="s">
        <v>7</v>
      </c>
      <c r="GP488" s="27" t="s">
        <v>7</v>
      </c>
    </row>
    <row r="489" spans="1:199" x14ac:dyDescent="0.25">
      <c r="A489" s="7">
        <v>6.9633276799811101</v>
      </c>
      <c r="B489"/>
      <c r="C489"/>
      <c r="D489"/>
      <c r="E489" t="s">
        <v>8</v>
      </c>
      <c r="T489" s="27" t="s">
        <v>7</v>
      </c>
      <c r="U489" s="27" t="s">
        <v>8</v>
      </c>
      <c r="DB489" s="27" t="s">
        <v>7</v>
      </c>
      <c r="DC489" s="27" t="s">
        <v>8</v>
      </c>
      <c r="DD489" s="27" t="s">
        <v>7</v>
      </c>
      <c r="DE489" s="27" t="s">
        <v>8</v>
      </c>
      <c r="DF489" s="27" t="s">
        <v>7</v>
      </c>
      <c r="GP489" s="27" t="s">
        <v>7</v>
      </c>
    </row>
    <row r="490" spans="1:199" x14ac:dyDescent="0.25">
      <c r="A490" s="7">
        <v>6.8267918431187349</v>
      </c>
      <c r="B490"/>
      <c r="C490"/>
      <c r="D490"/>
      <c r="E490" t="s">
        <v>8</v>
      </c>
      <c r="T490" s="27" t="s">
        <v>7</v>
      </c>
      <c r="U490" s="27" t="s">
        <v>8</v>
      </c>
      <c r="DB490" s="27" t="s">
        <v>7</v>
      </c>
      <c r="DC490" s="27" t="s">
        <v>8</v>
      </c>
      <c r="DD490" s="27" t="s">
        <v>7</v>
      </c>
      <c r="DE490" s="27" t="s">
        <v>8</v>
      </c>
      <c r="GP490" s="27" t="s">
        <v>7</v>
      </c>
    </row>
    <row r="491" spans="1:199" x14ac:dyDescent="0.25">
      <c r="A491" s="7">
        <v>6.692933179528171</v>
      </c>
      <c r="B491"/>
      <c r="C491"/>
      <c r="D491"/>
      <c r="E491" t="s">
        <v>8</v>
      </c>
      <c r="T491" s="27" t="s">
        <v>7</v>
      </c>
      <c r="U491" s="27" t="s">
        <v>8</v>
      </c>
      <c r="DB491" s="27" t="s">
        <v>7</v>
      </c>
      <c r="DC491" s="27" t="s">
        <v>8</v>
      </c>
      <c r="DD491" s="27" t="s">
        <v>7</v>
      </c>
      <c r="DE491" s="27" t="s">
        <v>8</v>
      </c>
      <c r="GP491" s="27" t="s">
        <v>7</v>
      </c>
    </row>
    <row r="492" spans="1:199" x14ac:dyDescent="0.25">
      <c r="A492" s="7">
        <v>6.5616991956158541</v>
      </c>
      <c r="B492"/>
      <c r="C492"/>
      <c r="D492"/>
      <c r="E492" t="s">
        <v>8</v>
      </c>
      <c r="T492" s="27" t="s">
        <v>7</v>
      </c>
      <c r="U492" s="27" t="s">
        <v>8</v>
      </c>
      <c r="DB492" s="27" t="s">
        <v>7</v>
      </c>
      <c r="DC492" s="27" t="s">
        <v>8</v>
      </c>
      <c r="DD492" s="27" t="s">
        <v>7</v>
      </c>
      <c r="GP492" s="27" t="s">
        <v>7</v>
      </c>
    </row>
    <row r="493" spans="1:199" x14ac:dyDescent="0.25">
      <c r="A493" s="7">
        <v>6.4330384270743668</v>
      </c>
      <c r="B493"/>
      <c r="C493"/>
      <c r="D493"/>
      <c r="E493" t="s">
        <v>8</v>
      </c>
      <c r="T493" s="27" t="s">
        <v>7</v>
      </c>
      <c r="U493" s="27" t="s">
        <v>8</v>
      </c>
      <c r="DB493" s="27" t="s">
        <v>7</v>
      </c>
      <c r="GP493" s="27" t="s">
        <v>7</v>
      </c>
    </row>
    <row r="494" spans="1:199" x14ac:dyDescent="0.25">
      <c r="A494" s="7">
        <v>6.3069004187003594</v>
      </c>
      <c r="B494"/>
      <c r="C494"/>
      <c r="D494"/>
      <c r="E494" t="s">
        <v>8</v>
      </c>
      <c r="T494" s="27" t="s">
        <v>7</v>
      </c>
      <c r="U494" s="27" t="s">
        <v>8</v>
      </c>
      <c r="GP494" s="27" t="s">
        <v>7</v>
      </c>
    </row>
    <row r="495" spans="1:199" x14ac:dyDescent="0.25">
      <c r="A495" s="7">
        <v>6.1832357046081956</v>
      </c>
      <c r="B495"/>
      <c r="C495"/>
      <c r="D495"/>
      <c r="E495" t="s">
        <v>8</v>
      </c>
      <c r="T495" s="27" t="s">
        <v>7</v>
      </c>
      <c r="U495" s="27" t="s">
        <v>8</v>
      </c>
      <c r="GP495" s="27" t="s">
        <v>7</v>
      </c>
    </row>
    <row r="496" spans="1:199" x14ac:dyDescent="0.25">
      <c r="A496" s="7">
        <v>6.0619957888315641</v>
      </c>
      <c r="B496"/>
      <c r="C496"/>
      <c r="D496"/>
      <c r="E496" t="s">
        <v>8</v>
      </c>
      <c r="T496" s="27" t="s">
        <v>7</v>
      </c>
      <c r="U496" s="27" t="s">
        <v>8</v>
      </c>
      <c r="GP496" s="27" t="s">
        <v>7</v>
      </c>
      <c r="GQ496" s="27" t="s">
        <v>8</v>
      </c>
    </row>
    <row r="497" spans="1:202" x14ac:dyDescent="0.25">
      <c r="A497" s="7">
        <v>5.9431331263054545</v>
      </c>
      <c r="B497"/>
      <c r="C497"/>
      <c r="D497"/>
      <c r="E497" t="s">
        <v>8</v>
      </c>
      <c r="T497" s="27" t="s">
        <v>7</v>
      </c>
      <c r="U497" s="27" t="s">
        <v>8</v>
      </c>
      <c r="GP497" s="27" t="s">
        <v>7</v>
      </c>
      <c r="GQ497" s="27" t="s">
        <v>8</v>
      </c>
      <c r="GR497" s="27" t="s">
        <v>7</v>
      </c>
      <c r="GS497" s="27" t="s">
        <v>8</v>
      </c>
    </row>
    <row r="498" spans="1:202" x14ac:dyDescent="0.25">
      <c r="A498" s="7">
        <v>5.8266011042210337</v>
      </c>
      <c r="B498"/>
      <c r="C498"/>
      <c r="D498"/>
      <c r="E498" t="s">
        <v>8</v>
      </c>
      <c r="T498" s="27" t="s">
        <v>7</v>
      </c>
      <c r="U498" s="27" t="s">
        <v>8</v>
      </c>
      <c r="GP498" s="27" t="s">
        <v>7</v>
      </c>
      <c r="GQ498" s="27" t="s">
        <v>8</v>
      </c>
      <c r="GR498" s="27" t="s">
        <v>7</v>
      </c>
      <c r="GS498" s="27" t="s">
        <v>8</v>
      </c>
      <c r="GT498" s="27" t="s">
        <v>7</v>
      </c>
    </row>
    <row r="499" spans="1:202" x14ac:dyDescent="0.25">
      <c r="A499" s="7">
        <v>5.7123540237461112</v>
      </c>
      <c r="B499"/>
      <c r="C499"/>
      <c r="D499"/>
      <c r="E499" t="s">
        <v>8</v>
      </c>
      <c r="T499" s="27" t="s">
        <v>7</v>
      </c>
      <c r="U499" s="27" t="s">
        <v>8</v>
      </c>
      <c r="GP499" s="27" t="s">
        <v>7</v>
      </c>
      <c r="GQ499" s="27" t="s">
        <v>8</v>
      </c>
      <c r="GR499" s="27" t="s">
        <v>7</v>
      </c>
      <c r="GS499" s="27" t="s">
        <v>8</v>
      </c>
      <c r="GT499" s="27" t="s">
        <v>7</v>
      </c>
    </row>
    <row r="500" spans="1:202" x14ac:dyDescent="0.25">
      <c r="A500" s="7">
        <v>5.6003470821040304</v>
      </c>
      <c r="B500"/>
      <c r="C500"/>
      <c r="D500"/>
      <c r="E500" t="s">
        <v>8</v>
      </c>
      <c r="T500" s="27" t="s">
        <v>7</v>
      </c>
      <c r="U500" s="27" t="s">
        <v>8</v>
      </c>
      <c r="GP500" s="27" t="s">
        <v>7</v>
      </c>
      <c r="GQ500" s="27" t="s">
        <v>8</v>
      </c>
      <c r="GR500" s="27" t="s">
        <v>7</v>
      </c>
      <c r="GS500" s="27" t="s">
        <v>8</v>
      </c>
      <c r="GT500" s="27" t="s">
        <v>7</v>
      </c>
    </row>
    <row r="501" spans="1:202" x14ac:dyDescent="0.25">
      <c r="A501" s="7">
        <v>5.4905363550039512</v>
      </c>
      <c r="B501"/>
      <c r="C501"/>
      <c r="D501"/>
      <c r="E501" t="s">
        <v>8</v>
      </c>
      <c r="T501" s="27" t="s">
        <v>7</v>
      </c>
      <c r="U501" s="27" t="s">
        <v>8</v>
      </c>
      <c r="GP501" s="27" t="s">
        <v>7</v>
      </c>
      <c r="GR501" s="27" t="s">
        <v>7</v>
      </c>
      <c r="GS501" s="27" t="s">
        <v>8</v>
      </c>
    </row>
    <row r="502" spans="1:202" x14ac:dyDescent="0.25">
      <c r="A502" s="7">
        <v>5.3828787794156385</v>
      </c>
      <c r="B502"/>
      <c r="C502"/>
      <c r="D502"/>
      <c r="E502" t="s">
        <v>8</v>
      </c>
      <c r="T502" s="27" t="s">
        <v>7</v>
      </c>
      <c r="U502" s="27" t="s">
        <v>8</v>
      </c>
      <c r="GR502" s="27" t="s">
        <v>7</v>
      </c>
      <c r="GS502" s="27" t="s">
        <v>8</v>
      </c>
    </row>
    <row r="503" spans="1:202" x14ac:dyDescent="0.25">
      <c r="A503" s="7">
        <v>5.2773321366819985</v>
      </c>
      <c r="B503"/>
      <c r="C503"/>
      <c r="D503"/>
      <c r="E503" t="s">
        <v>8</v>
      </c>
      <c r="T503" s="27" t="s">
        <v>7</v>
      </c>
      <c r="U503" s="27" t="s">
        <v>8</v>
      </c>
      <c r="GR503" s="27" t="s">
        <v>7</v>
      </c>
      <c r="GS503" s="27" t="s">
        <v>8</v>
      </c>
    </row>
    <row r="504" spans="1:202" x14ac:dyDescent="0.25">
      <c r="A504" s="7">
        <v>5.1738550359627435</v>
      </c>
      <c r="B504"/>
      <c r="C504"/>
      <c r="D504"/>
      <c r="E504" t="s">
        <v>8</v>
      </c>
      <c r="T504" s="27" t="s">
        <v>7</v>
      </c>
      <c r="U504" s="27" t="s">
        <v>8</v>
      </c>
      <c r="GR504" s="27" t="s">
        <v>7</v>
      </c>
      <c r="GS504" s="27" t="s">
        <v>8</v>
      </c>
    </row>
    <row r="505" spans="1:202" x14ac:dyDescent="0.25">
      <c r="A505" s="7">
        <v>5.07240689800269</v>
      </c>
      <c r="B505"/>
      <c r="C505"/>
      <c r="D505"/>
      <c r="E505" t="s">
        <v>8</v>
      </c>
      <c r="T505" s="27" t="s">
        <v>7</v>
      </c>
      <c r="U505" s="27" t="s">
        <v>8</v>
      </c>
      <c r="GR505" s="27" t="s">
        <v>7</v>
      </c>
    </row>
    <row r="506" spans="1:202" x14ac:dyDescent="0.25">
      <c r="A506" s="7">
        <v>4.9729479392183231</v>
      </c>
      <c r="B506"/>
      <c r="C506"/>
      <c r="D506"/>
      <c r="E506" t="s">
        <v>8</v>
      </c>
      <c r="T506" s="27" t="s">
        <v>7</v>
      </c>
      <c r="U506" s="27" t="s">
        <v>8</v>
      </c>
    </row>
    <row r="507" spans="1:202" x14ac:dyDescent="0.25">
      <c r="A507" s="7">
        <v>4.8754391560963954</v>
      </c>
      <c r="B507"/>
      <c r="C507"/>
      <c r="D507"/>
      <c r="E507" t="s">
        <v>8</v>
      </c>
      <c r="T507" s="27" t="s">
        <v>7</v>
      </c>
      <c r="U507" s="27" t="s">
        <v>8</v>
      </c>
    </row>
    <row r="508" spans="1:202" x14ac:dyDescent="0.25">
      <c r="A508" s="7">
        <v>4.7798423098984264</v>
      </c>
      <c r="B508"/>
      <c r="C508"/>
      <c r="D508"/>
      <c r="E508" t="s">
        <v>8</v>
      </c>
      <c r="T508" s="27" t="s">
        <v>7</v>
      </c>
    </row>
    <row r="509" spans="1:202" x14ac:dyDescent="0.25">
      <c r="A509" s="7">
        <v>4.6861199116651235</v>
      </c>
      <c r="B509"/>
      <c r="C509"/>
      <c r="D509"/>
      <c r="E509" t="s">
        <v>8</v>
      </c>
    </row>
    <row r="510" spans="1:202" x14ac:dyDescent="0.25">
      <c r="A510" s="7">
        <v>4.5942352075148269</v>
      </c>
      <c r="B510"/>
      <c r="C510"/>
      <c r="D510"/>
      <c r="E510" t="s">
        <v>8</v>
      </c>
    </row>
    <row r="511" spans="1:202" x14ac:dyDescent="0.25">
      <c r="A511" s="7">
        <v>4.5041521642302227</v>
      </c>
      <c r="B511"/>
      <c r="C511"/>
      <c r="D511"/>
      <c r="E511" t="s">
        <v>8</v>
      </c>
    </row>
    <row r="512" spans="1:202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08" operator="equal">
      <formula>$U$1</formula>
    </cfRule>
    <cfRule type="cellIs" dxfId="89" priority="809" operator="equal">
      <formula>$S$1</formula>
    </cfRule>
  </conditionalFormatting>
  <conditionalFormatting sqref="D27">
    <cfRule type="cellIs" dxfId="88" priority="806" operator="equal">
      <formula>$S$1</formula>
    </cfRule>
    <cfRule type="cellIs" dxfId="87" priority="807" operator="equal">
      <formula>$U$1</formula>
    </cfRule>
  </conditionalFormatting>
  <conditionalFormatting sqref="C164">
    <cfRule type="cellIs" dxfId="86" priority="804" operator="equal">
      <formula>$U$1</formula>
    </cfRule>
    <cfRule type="cellIs" dxfId="85" priority="805" operator="equal">
      <formula>$S$1</formula>
    </cfRule>
  </conditionalFormatting>
  <conditionalFormatting sqref="D164">
    <cfRule type="cellIs" dxfId="84" priority="802" operator="equal">
      <formula>$S$1</formula>
    </cfRule>
    <cfRule type="cellIs" dxfId="83" priority="803" operator="equal">
      <formula>$U$1</formula>
    </cfRule>
  </conditionalFormatting>
  <conditionalFormatting sqref="C55">
    <cfRule type="cellIs" dxfId="82" priority="800" operator="equal">
      <formula>$U$1</formula>
    </cfRule>
    <cfRule type="cellIs" dxfId="81" priority="801" operator="equal">
      <formula>$S$1</formula>
    </cfRule>
  </conditionalFormatting>
  <conditionalFormatting sqref="D55">
    <cfRule type="cellIs" dxfId="80" priority="798" operator="equal">
      <formula>$S$1</formula>
    </cfRule>
    <cfRule type="cellIs" dxfId="79" priority="799" operator="equal">
      <formula>$U$1</formula>
    </cfRule>
  </conditionalFormatting>
  <conditionalFormatting sqref="C89">
    <cfRule type="cellIs" dxfId="78" priority="796" operator="equal">
      <formula>$U$1</formula>
    </cfRule>
    <cfRule type="cellIs" dxfId="77" priority="797" operator="equal">
      <formula>$S$1</formula>
    </cfRule>
  </conditionalFormatting>
  <conditionalFormatting sqref="D89">
    <cfRule type="cellIs" dxfId="76" priority="794" operator="equal">
      <formula>$S$1</formula>
    </cfRule>
    <cfRule type="cellIs" dxfId="75" priority="795" operator="equal">
      <formula>$U$1</formula>
    </cfRule>
  </conditionalFormatting>
  <conditionalFormatting sqref="C136">
    <cfRule type="cellIs" dxfId="74" priority="792" operator="equal">
      <formula>$U$1</formula>
    </cfRule>
    <cfRule type="cellIs" dxfId="73" priority="793" operator="equal">
      <formula>$S$1</formula>
    </cfRule>
  </conditionalFormatting>
  <conditionalFormatting sqref="D136">
    <cfRule type="cellIs" dxfId="72" priority="790" operator="equal">
      <formula>$S$1</formula>
    </cfRule>
    <cfRule type="cellIs" dxfId="71" priority="791" operator="equal">
      <formula>$U$1</formula>
    </cfRule>
  </conditionalFormatting>
  <conditionalFormatting sqref="C1">
    <cfRule type="cellIs" dxfId="70" priority="78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CL206" sqref="CL20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$A$205</v>
      </c>
      <c r="D111" s="1" t="str">
        <f>ADDRESS(C121-1,D121,1,1)</f>
        <v>$CL$205</v>
      </c>
      <c r="E111"/>
    </row>
    <row r="112" spans="1:5" x14ac:dyDescent="0.25">
      <c r="A112" s="30">
        <v>515.50191262726139</v>
      </c>
      <c r="C112" s="1" t="str">
        <f>ADDRESS(C121,1,1,1)</f>
        <v>$A$206</v>
      </c>
      <c r="D112" s="1" t="str">
        <f>ADDRESS(C121,D121-1,1,1)</f>
        <v>$CK$206</v>
      </c>
      <c r="E112"/>
    </row>
    <row r="113" spans="1:5" x14ac:dyDescent="0.25">
      <c r="A113" s="30">
        <v>490.95420250215363</v>
      </c>
      <c r="C113" s="1" t="str">
        <f>ADDRESS(C121+1,1,1,1)</f>
        <v>$A$207</v>
      </c>
      <c r="D113" s="1" t="str">
        <f>ADDRESS(C121-1,D121+1,1,1)</f>
        <v>$CM$205</v>
      </c>
    </row>
    <row r="114" spans="1:5" x14ac:dyDescent="0.25">
      <c r="A114" s="30">
        <v>467.57543095443202</v>
      </c>
      <c r="C114" s="1" t="str">
        <f>ADDRESS(C121,D121,1,1)</f>
        <v>$CL$206</v>
      </c>
      <c r="D114" s="1" t="str">
        <f>ADDRESS(C121+1,D121+1,1,1)</f>
        <v>$CM$207</v>
      </c>
    </row>
    <row r="115" spans="1:5" x14ac:dyDescent="0.25">
      <c r="A115" s="30">
        <v>445.30993424231622</v>
      </c>
      <c r="C115" s="1" t="str">
        <f>ADDRESS(C121+1,D121,1,1)</f>
        <v>$CL$207</v>
      </c>
    </row>
    <row r="116" spans="1:5" x14ac:dyDescent="0.25">
      <c r="A116" s="30">
        <v>424.10469927839637</v>
      </c>
      <c r="C116" s="1">
        <f>C117-1</f>
        <v>205</v>
      </c>
    </row>
    <row r="117" spans="1:5" x14ac:dyDescent="0.25">
      <c r="A117" s="30">
        <v>403.9092374079965</v>
      </c>
      <c r="C117" s="1">
        <f>C121</f>
        <v>206</v>
      </c>
      <c r="D117" s="1">
        <f>D121</f>
        <v>90</v>
      </c>
    </row>
    <row r="118" spans="1:5" x14ac:dyDescent="0.25">
      <c r="A118" s="30">
        <v>384.6754641980919</v>
      </c>
      <c r="C118" s="1">
        <f>C117+1</f>
        <v>207</v>
      </c>
      <c r="D118" s="1">
        <f>D117+1</f>
        <v>91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206</v>
      </c>
      <c r="D121" s="19">
        <v>90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R206</v>
      </c>
      <c r="D123" s="1" t="str">
        <f>"C"&amp;D121</f>
        <v>C90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5.2533479691354827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6" x14ac:dyDescent="0.25">
      <c r="A161" s="30">
        <v>47.201372444612005</v>
      </c>
      <c r="E161"/>
    </row>
    <row r="162" spans="1:56" x14ac:dyDescent="0.25">
      <c r="A162" s="30">
        <v>44.95368804248762</v>
      </c>
      <c r="E162"/>
    </row>
    <row r="163" spans="1:56" x14ac:dyDescent="0.25">
      <c r="A163" s="30">
        <v>42.81303623094059</v>
      </c>
      <c r="E163"/>
    </row>
    <row r="164" spans="1:56" x14ac:dyDescent="0.25">
      <c r="A164" s="30">
        <v>40.774320219943419</v>
      </c>
      <c r="E164"/>
    </row>
    <row r="165" spans="1:56" x14ac:dyDescent="0.25">
      <c r="A165" s="30">
        <v>38.832685923755633</v>
      </c>
      <c r="E165"/>
    </row>
    <row r="166" spans="1:56" x14ac:dyDescent="0.25">
      <c r="A166" s="30">
        <v>36.983510403576794</v>
      </c>
      <c r="E166"/>
    </row>
    <row r="167" spans="1:56" x14ac:dyDescent="0.25">
      <c r="A167" s="30">
        <v>35.222390860549325</v>
      </c>
      <c r="E167"/>
    </row>
    <row r="168" spans="1:56" x14ac:dyDescent="0.25">
      <c r="A168" s="30">
        <v>33.545134152904119</v>
      </c>
      <c r="E168"/>
    </row>
    <row r="169" spans="1:56" x14ac:dyDescent="0.25">
      <c r="A169" s="30">
        <v>31.947746812289637</v>
      </c>
      <c r="E169"/>
    </row>
    <row r="170" spans="1:56" x14ac:dyDescent="0.25">
      <c r="A170" s="30">
        <v>30.426425535513939</v>
      </c>
      <c r="E170"/>
    </row>
    <row r="171" spans="1:56" x14ac:dyDescent="0.25">
      <c r="A171" s="30">
        <v>28.977548129060892</v>
      </c>
      <c r="E171"/>
      <c r="BA171" s="27" t="s">
        <v>8</v>
      </c>
    </row>
    <row r="172" spans="1:56" x14ac:dyDescent="0.25">
      <c r="A172" s="30">
        <v>27.597664884819896</v>
      </c>
      <c r="E172" t="s">
        <v>8</v>
      </c>
      <c r="BA172" s="27" t="s">
        <v>8</v>
      </c>
      <c r="BB172" s="27" t="s">
        <v>7</v>
      </c>
      <c r="BC172" s="27" t="s">
        <v>8</v>
      </c>
    </row>
    <row r="173" spans="1:56" x14ac:dyDescent="0.25">
      <c r="A173" s="30">
        <v>26.283490366495137</v>
      </c>
      <c r="E173" t="s">
        <v>8</v>
      </c>
      <c r="F173" s="27" t="s">
        <v>7</v>
      </c>
      <c r="BA173" s="27" t="s">
        <v>8</v>
      </c>
      <c r="BB173" s="27" t="s">
        <v>7</v>
      </c>
      <c r="BC173" s="27" t="s">
        <v>8</v>
      </c>
      <c r="BD173" s="27" t="s">
        <v>7</v>
      </c>
    </row>
    <row r="174" spans="1:56" x14ac:dyDescent="0.25">
      <c r="A174" s="30">
        <v>25.031895587138223</v>
      </c>
      <c r="E174" t="s">
        <v>8</v>
      </c>
      <c r="F174" s="27" t="s">
        <v>7</v>
      </c>
      <c r="AQ174" s="27" t="s">
        <v>8</v>
      </c>
      <c r="BA174" s="27" t="s">
        <v>8</v>
      </c>
      <c r="BB174" s="27" t="s">
        <v>7</v>
      </c>
      <c r="BC174" s="27" t="s">
        <v>8</v>
      </c>
      <c r="BD174" s="27" t="s">
        <v>7</v>
      </c>
    </row>
    <row r="175" spans="1:56" x14ac:dyDescent="0.25">
      <c r="A175" s="30">
        <v>23.839900559179259</v>
      </c>
      <c r="E175" t="s">
        <v>8</v>
      </c>
      <c r="F175" s="27" t="s">
        <v>7</v>
      </c>
      <c r="AQ175" s="27" t="s">
        <v>8</v>
      </c>
      <c r="AR175" s="27" t="s">
        <v>7</v>
      </c>
      <c r="AW175" s="27" t="s">
        <v>8</v>
      </c>
      <c r="BA175" s="27" t="s">
        <v>8</v>
      </c>
      <c r="BB175" s="27" t="s">
        <v>7</v>
      </c>
      <c r="BC175" s="27" t="s">
        <v>8</v>
      </c>
      <c r="BD175" s="27" t="s">
        <v>7</v>
      </c>
    </row>
    <row r="176" spans="1:56" x14ac:dyDescent="0.25">
      <c r="A176" s="30">
        <v>22.704667199218342</v>
      </c>
      <c r="E176" t="s">
        <v>8</v>
      </c>
      <c r="F176" s="27" t="s">
        <v>7</v>
      </c>
      <c r="AQ176" s="27" t="s">
        <v>8</v>
      </c>
      <c r="AR176" s="27" t="s">
        <v>7</v>
      </c>
      <c r="AW176" s="27" t="s">
        <v>8</v>
      </c>
      <c r="AX176" s="27" t="s">
        <v>7</v>
      </c>
      <c r="AY176" s="27" t="s">
        <v>8</v>
      </c>
      <c r="BA176" s="27" t="s">
        <v>8</v>
      </c>
      <c r="BB176" s="27" t="s">
        <v>7</v>
      </c>
      <c r="BC176" s="27" t="s">
        <v>8</v>
      </c>
      <c r="BD176" s="27" t="s">
        <v>7</v>
      </c>
    </row>
    <row r="177" spans="1:88" x14ac:dyDescent="0.25">
      <c r="A177" s="30">
        <v>21.623492570684135</v>
      </c>
      <c r="E177" t="s">
        <v>8</v>
      </c>
      <c r="F177" s="27" t="s">
        <v>7</v>
      </c>
      <c r="AQ177" s="27" t="s">
        <v>8</v>
      </c>
      <c r="AR177" s="27" t="s">
        <v>7</v>
      </c>
      <c r="AU177" s="27" t="s">
        <v>8</v>
      </c>
      <c r="AW177" s="27" t="s">
        <v>8</v>
      </c>
      <c r="AX177" s="27" t="s">
        <v>7</v>
      </c>
      <c r="AY177" s="27" t="s">
        <v>8</v>
      </c>
      <c r="AZ177" s="27" t="s">
        <v>7</v>
      </c>
      <c r="BA177" s="27" t="s">
        <v>8</v>
      </c>
      <c r="BB177" s="27" t="s">
        <v>7</v>
      </c>
      <c r="BC177" s="27" t="s">
        <v>8</v>
      </c>
      <c r="BD177" s="27" t="s">
        <v>7</v>
      </c>
    </row>
    <row r="178" spans="1:88" x14ac:dyDescent="0.25">
      <c r="A178" s="30">
        <v>20.593802448270605</v>
      </c>
      <c r="C178" s="7"/>
      <c r="D178"/>
      <c r="E178" t="s">
        <v>8</v>
      </c>
      <c r="F178" s="27" t="s">
        <v>7</v>
      </c>
      <c r="AI178" s="27" t="s">
        <v>8</v>
      </c>
      <c r="AQ178" s="27" t="s">
        <v>8</v>
      </c>
      <c r="AR178" s="27" t="s">
        <v>7</v>
      </c>
      <c r="AU178" s="27" t="s">
        <v>8</v>
      </c>
      <c r="AV178" s="27" t="s">
        <v>7</v>
      </c>
      <c r="AW178" s="27" t="s">
        <v>8</v>
      </c>
      <c r="AX178" s="27" t="s">
        <v>7</v>
      </c>
      <c r="AY178" s="27" t="s">
        <v>8</v>
      </c>
      <c r="AZ178" s="27" t="s">
        <v>7</v>
      </c>
      <c r="BA178" s="27" t="s">
        <v>8</v>
      </c>
      <c r="BB178" s="27" t="s">
        <v>7</v>
      </c>
      <c r="BC178" s="27" t="s">
        <v>8</v>
      </c>
      <c r="BD178" s="27" t="s">
        <v>7</v>
      </c>
      <c r="BE178" s="27" t="s">
        <v>8</v>
      </c>
    </row>
    <row r="179" spans="1:88" x14ac:dyDescent="0.25">
      <c r="A179" s="30">
        <v>19.613145188829147</v>
      </c>
      <c r="E179" t="s">
        <v>8</v>
      </c>
      <c r="F179" s="27" t="s">
        <v>7</v>
      </c>
      <c r="AI179" s="27" t="s">
        <v>8</v>
      </c>
      <c r="AJ179" s="27" t="s">
        <v>7</v>
      </c>
      <c r="AK179" s="27" t="s">
        <v>8</v>
      </c>
      <c r="AQ179" s="27" t="s">
        <v>8</v>
      </c>
      <c r="AR179" s="27" t="s">
        <v>7</v>
      </c>
      <c r="AS179" s="27" t="s">
        <v>8</v>
      </c>
      <c r="AU179" s="27" t="s">
        <v>8</v>
      </c>
      <c r="AV179" s="27" t="s">
        <v>7</v>
      </c>
      <c r="AW179" s="27" t="s">
        <v>8</v>
      </c>
      <c r="AX179" s="27" t="s">
        <v>7</v>
      </c>
      <c r="AY179" s="27" t="s">
        <v>8</v>
      </c>
      <c r="AZ179" s="27" t="s">
        <v>7</v>
      </c>
      <c r="BA179" s="27" t="s">
        <v>8</v>
      </c>
      <c r="BB179" s="27" t="s">
        <v>7</v>
      </c>
      <c r="BC179" s="27" t="s">
        <v>8</v>
      </c>
      <c r="BD179" s="27" t="s">
        <v>7</v>
      </c>
      <c r="BE179" s="27" t="s">
        <v>8</v>
      </c>
      <c r="BF179" s="27" t="s">
        <v>7</v>
      </c>
      <c r="CC179" s="27" t="s">
        <v>8</v>
      </c>
    </row>
    <row r="180" spans="1:88" x14ac:dyDescent="0.25">
      <c r="A180" s="30">
        <v>18.679185894122998</v>
      </c>
      <c r="E180" t="s">
        <v>8</v>
      </c>
      <c r="F180" s="27" t="s">
        <v>7</v>
      </c>
      <c r="AI180" s="27" t="s">
        <v>8</v>
      </c>
      <c r="AJ180" s="27" t="s">
        <v>7</v>
      </c>
      <c r="AK180" s="27" t="s">
        <v>8</v>
      </c>
      <c r="AL180" s="27" t="s">
        <v>7</v>
      </c>
      <c r="AQ180" s="27" t="s">
        <v>8</v>
      </c>
      <c r="AR180" s="27" t="s">
        <v>7</v>
      </c>
      <c r="AS180" s="27" t="s">
        <v>8</v>
      </c>
      <c r="AT180" s="27" t="s">
        <v>7</v>
      </c>
      <c r="AU180" s="27" t="s">
        <v>8</v>
      </c>
      <c r="AV180" s="27" t="s">
        <v>7</v>
      </c>
      <c r="AW180" s="27" t="s">
        <v>8</v>
      </c>
      <c r="AX180" s="27" t="s">
        <v>7</v>
      </c>
      <c r="AY180" s="27" t="s">
        <v>8</v>
      </c>
      <c r="AZ180" s="27" t="s">
        <v>7</v>
      </c>
      <c r="BA180" s="27" t="s">
        <v>8</v>
      </c>
      <c r="BB180" s="27" t="s">
        <v>7</v>
      </c>
      <c r="BC180" s="27" t="s">
        <v>8</v>
      </c>
      <c r="BD180" s="27" t="s">
        <v>7</v>
      </c>
      <c r="BE180" s="27" t="s">
        <v>8</v>
      </c>
      <c r="BF180" s="27" t="s">
        <v>7</v>
      </c>
      <c r="CC180" s="27" t="s">
        <v>8</v>
      </c>
      <c r="CD180" s="27" t="s">
        <v>7</v>
      </c>
    </row>
    <row r="181" spans="1:88" x14ac:dyDescent="0.25">
      <c r="A181" s="30">
        <v>17.78970085154571</v>
      </c>
      <c r="C181"/>
      <c r="D181"/>
      <c r="E181" t="s">
        <v>8</v>
      </c>
      <c r="F181" s="27" t="s">
        <v>7</v>
      </c>
      <c r="AI181" s="27" t="s">
        <v>8</v>
      </c>
      <c r="AJ181" s="27" t="s">
        <v>7</v>
      </c>
      <c r="AK181" s="27" t="s">
        <v>8</v>
      </c>
      <c r="AL181" s="27" t="s">
        <v>7</v>
      </c>
      <c r="AM181" s="27" t="s">
        <v>8</v>
      </c>
      <c r="AQ181" s="27" t="s">
        <v>8</v>
      </c>
      <c r="AR181" s="27" t="s">
        <v>7</v>
      </c>
      <c r="AS181" s="27" t="s">
        <v>8</v>
      </c>
      <c r="AT181" s="27" t="s">
        <v>7</v>
      </c>
      <c r="AU181" s="27" t="s">
        <v>8</v>
      </c>
      <c r="AV181" s="27" t="s">
        <v>7</v>
      </c>
      <c r="AW181" s="27" t="s">
        <v>8</v>
      </c>
      <c r="AX181" s="27" t="s">
        <v>7</v>
      </c>
      <c r="AY181" s="27" t="s">
        <v>8</v>
      </c>
      <c r="AZ181" s="27" t="s">
        <v>7</v>
      </c>
      <c r="BA181" s="27" t="s">
        <v>8</v>
      </c>
      <c r="BB181" s="27" t="s">
        <v>7</v>
      </c>
      <c r="BC181" s="27" t="s">
        <v>8</v>
      </c>
      <c r="BD181" s="27" t="s">
        <v>7</v>
      </c>
      <c r="BE181" s="27" t="s">
        <v>8</v>
      </c>
      <c r="BF181" s="27" t="s">
        <v>7</v>
      </c>
      <c r="BU181" s="27" t="s">
        <v>8</v>
      </c>
      <c r="CC181" s="27" t="s">
        <v>8</v>
      </c>
      <c r="CD181" s="27" t="s">
        <v>7</v>
      </c>
    </row>
    <row r="182" spans="1:88" x14ac:dyDescent="0.25">
      <c r="A182" s="30">
        <v>16.942572239567344</v>
      </c>
      <c r="E182" t="s">
        <v>8</v>
      </c>
      <c r="F182" s="27" t="s">
        <v>7</v>
      </c>
      <c r="G182" s="27" t="s">
        <v>8</v>
      </c>
      <c r="I182" s="27" t="s">
        <v>8</v>
      </c>
      <c r="AI182" s="27" t="s">
        <v>8</v>
      </c>
      <c r="AJ182" s="27" t="s">
        <v>7</v>
      </c>
      <c r="AK182" s="27" t="s">
        <v>8</v>
      </c>
      <c r="AL182" s="27" t="s">
        <v>7</v>
      </c>
      <c r="AM182" s="27" t="s">
        <v>8</v>
      </c>
      <c r="AN182" s="27" t="s">
        <v>7</v>
      </c>
      <c r="AQ182" s="27" t="s">
        <v>8</v>
      </c>
      <c r="AR182" s="27" t="s">
        <v>7</v>
      </c>
      <c r="AS182" s="27" t="s">
        <v>8</v>
      </c>
      <c r="AT182" s="27" t="s">
        <v>7</v>
      </c>
      <c r="AU182" s="27" t="s">
        <v>8</v>
      </c>
      <c r="AV182" s="27" t="s">
        <v>7</v>
      </c>
      <c r="AW182" s="27" t="s">
        <v>8</v>
      </c>
      <c r="AX182" s="27" t="s">
        <v>7</v>
      </c>
      <c r="AY182" s="27" t="s">
        <v>8</v>
      </c>
      <c r="AZ182" s="27" t="s">
        <v>7</v>
      </c>
      <c r="BA182" s="27" t="s">
        <v>8</v>
      </c>
      <c r="BB182" s="27" t="s">
        <v>7</v>
      </c>
      <c r="BD182" s="27" t="s">
        <v>7</v>
      </c>
      <c r="BE182" s="27" t="s">
        <v>8</v>
      </c>
      <c r="BF182" s="27" t="s">
        <v>7</v>
      </c>
      <c r="BQ182" s="27" t="s">
        <v>8</v>
      </c>
      <c r="BU182" s="27" t="s">
        <v>8</v>
      </c>
      <c r="BV182" s="27" t="s">
        <v>7</v>
      </c>
      <c r="CC182" s="27" t="s">
        <v>8</v>
      </c>
      <c r="CD182" s="27" t="s">
        <v>7</v>
      </c>
    </row>
    <row r="183" spans="1:88" x14ac:dyDescent="0.25">
      <c r="A183" s="30">
        <v>16.135783085302233</v>
      </c>
      <c r="E183" t="s">
        <v>8</v>
      </c>
      <c r="F183" s="27" t="s">
        <v>7</v>
      </c>
      <c r="G183" s="27" t="s">
        <v>8</v>
      </c>
      <c r="H183" s="27" t="s">
        <v>7</v>
      </c>
      <c r="I183" s="27" t="s">
        <v>8</v>
      </c>
      <c r="J183" s="27" t="s">
        <v>7</v>
      </c>
      <c r="AI183" s="27" t="s">
        <v>8</v>
      </c>
      <c r="AJ183" s="27" t="s">
        <v>7</v>
      </c>
      <c r="AK183" s="27" t="s">
        <v>8</v>
      </c>
      <c r="AL183" s="27" t="s">
        <v>7</v>
      </c>
      <c r="AM183" s="27" t="s">
        <v>8</v>
      </c>
      <c r="AN183" s="27" t="s">
        <v>7</v>
      </c>
      <c r="AQ183" s="27" t="s">
        <v>8</v>
      </c>
      <c r="AR183" s="27" t="s">
        <v>7</v>
      </c>
      <c r="AS183" s="27" t="s">
        <v>8</v>
      </c>
      <c r="AT183" s="27" t="s">
        <v>7</v>
      </c>
      <c r="AU183" s="27" t="s">
        <v>8</v>
      </c>
      <c r="AV183" s="27" t="s">
        <v>7</v>
      </c>
      <c r="AW183" s="27" t="s">
        <v>8</v>
      </c>
      <c r="AX183" s="27" t="s">
        <v>7</v>
      </c>
      <c r="AY183" s="27" t="s">
        <v>8</v>
      </c>
      <c r="AZ183" s="27" t="s">
        <v>7</v>
      </c>
      <c r="BA183" s="27" t="s">
        <v>8</v>
      </c>
      <c r="BD183" s="27" t="s">
        <v>7</v>
      </c>
      <c r="BE183" s="27" t="s">
        <v>8</v>
      </c>
      <c r="BF183" s="27" t="s">
        <v>7</v>
      </c>
      <c r="BQ183" s="27" t="s">
        <v>8</v>
      </c>
      <c r="BR183" s="27" t="s">
        <v>7</v>
      </c>
      <c r="BU183" s="27" t="s">
        <v>8</v>
      </c>
      <c r="BV183" s="27" t="s">
        <v>7</v>
      </c>
      <c r="CC183" s="27" t="s">
        <v>8</v>
      </c>
      <c r="CD183" s="27" t="s">
        <v>7</v>
      </c>
    </row>
    <row r="184" spans="1:88" x14ac:dyDescent="0.25">
      <c r="A184" s="30">
        <v>15.367412462192602</v>
      </c>
      <c r="E184" t="s">
        <v>8</v>
      </c>
      <c r="F184" s="27" t="s">
        <v>7</v>
      </c>
      <c r="G184" s="27" t="s">
        <v>8</v>
      </c>
      <c r="H184" s="27" t="s">
        <v>7</v>
      </c>
      <c r="I184" s="27" t="s">
        <v>8</v>
      </c>
      <c r="J184" s="27" t="s">
        <v>7</v>
      </c>
      <c r="AI184" s="27" t="s">
        <v>8</v>
      </c>
      <c r="AJ184" s="27" t="s">
        <v>7</v>
      </c>
      <c r="AK184" s="27" t="s">
        <v>8</v>
      </c>
      <c r="AL184" s="27" t="s">
        <v>7</v>
      </c>
      <c r="AM184" s="27" t="s">
        <v>8</v>
      </c>
      <c r="AN184" s="27" t="s">
        <v>7</v>
      </c>
      <c r="AO184" s="27" t="s">
        <v>8</v>
      </c>
      <c r="AQ184" s="27" t="s">
        <v>8</v>
      </c>
      <c r="AR184" s="27" t="s">
        <v>7</v>
      </c>
      <c r="AT184" s="27" t="s">
        <v>7</v>
      </c>
      <c r="AU184" s="27" t="s">
        <v>8</v>
      </c>
      <c r="AV184" s="27" t="s">
        <v>7</v>
      </c>
      <c r="AW184" s="27" t="s">
        <v>8</v>
      </c>
      <c r="AX184" s="27" t="s">
        <v>7</v>
      </c>
      <c r="AY184" s="27" t="s">
        <v>8</v>
      </c>
      <c r="AZ184" s="27" t="s">
        <v>7</v>
      </c>
      <c r="BA184" s="27" t="s">
        <v>8</v>
      </c>
      <c r="BD184" s="27" t="s">
        <v>7</v>
      </c>
      <c r="BE184" s="27" t="s">
        <v>8</v>
      </c>
      <c r="BF184" s="27" t="s">
        <v>7</v>
      </c>
      <c r="BQ184" s="27" t="s">
        <v>8</v>
      </c>
      <c r="BR184" s="27" t="s">
        <v>7</v>
      </c>
      <c r="BS184" s="27" t="s">
        <v>8</v>
      </c>
      <c r="BU184" s="27" t="s">
        <v>8</v>
      </c>
      <c r="BV184" s="27" t="s">
        <v>7</v>
      </c>
      <c r="CC184" s="27" t="s">
        <v>8</v>
      </c>
      <c r="CD184" s="27" t="s">
        <v>7</v>
      </c>
      <c r="CE184" s="27" t="s">
        <v>8</v>
      </c>
    </row>
    <row r="185" spans="1:88" x14ac:dyDescent="0.25">
      <c r="A185" s="30">
        <v>14.635630916373906</v>
      </c>
      <c r="C185"/>
      <c r="E185" t="s">
        <v>8</v>
      </c>
      <c r="F185" s="27" t="s">
        <v>7</v>
      </c>
      <c r="G185" s="27" t="s">
        <v>8</v>
      </c>
      <c r="H185" s="27" t="s">
        <v>7</v>
      </c>
      <c r="I185" s="27" t="s">
        <v>8</v>
      </c>
      <c r="J185" s="27" t="s">
        <v>7</v>
      </c>
      <c r="AI185" s="27" t="s">
        <v>8</v>
      </c>
      <c r="AJ185" s="27" t="s">
        <v>7</v>
      </c>
      <c r="AK185" s="27" t="s">
        <v>8</v>
      </c>
      <c r="AL185" s="27" t="s">
        <v>7</v>
      </c>
      <c r="AM185" s="27" t="s">
        <v>8</v>
      </c>
      <c r="AN185" s="27" t="s">
        <v>7</v>
      </c>
      <c r="AO185" s="27" t="s">
        <v>8</v>
      </c>
      <c r="AP185" s="27" t="s">
        <v>7</v>
      </c>
      <c r="AQ185" s="27" t="s">
        <v>8</v>
      </c>
      <c r="AT185" s="27" t="s">
        <v>7</v>
      </c>
      <c r="AU185" s="27" t="s">
        <v>8</v>
      </c>
      <c r="AV185" s="27" t="s">
        <v>7</v>
      </c>
      <c r="AW185" s="27" t="s">
        <v>8</v>
      </c>
      <c r="AX185" s="27" t="s">
        <v>7</v>
      </c>
      <c r="AZ185" s="27" t="s">
        <v>7</v>
      </c>
      <c r="BD185" s="27" t="s">
        <v>7</v>
      </c>
      <c r="BE185" s="27" t="s">
        <v>8</v>
      </c>
      <c r="BF185" s="27" t="s">
        <v>7</v>
      </c>
      <c r="BQ185" s="27" t="s">
        <v>8</v>
      </c>
      <c r="BR185" s="27" t="s">
        <v>7</v>
      </c>
      <c r="BS185" s="27" t="s">
        <v>8</v>
      </c>
      <c r="BT185" s="27" t="s">
        <v>7</v>
      </c>
      <c r="BU185" s="27" t="s">
        <v>8</v>
      </c>
      <c r="BV185" s="27" t="s">
        <v>7</v>
      </c>
      <c r="BW185" s="27" t="s">
        <v>8</v>
      </c>
      <c r="CC185" s="27" t="s">
        <v>8</v>
      </c>
      <c r="CD185" s="27" t="s">
        <v>7</v>
      </c>
      <c r="CE185" s="27" t="s">
        <v>8</v>
      </c>
      <c r="CF185" s="27" t="s">
        <v>7</v>
      </c>
    </row>
    <row r="186" spans="1:88" x14ac:dyDescent="0.25">
      <c r="A186" s="30">
        <v>13.938696110832291</v>
      </c>
      <c r="E186" t="s">
        <v>8</v>
      </c>
      <c r="F186" s="27" t="s">
        <v>7</v>
      </c>
      <c r="G186" s="27" t="s">
        <v>8</v>
      </c>
      <c r="H186" s="27" t="s">
        <v>7</v>
      </c>
      <c r="I186" s="27" t="s">
        <v>8</v>
      </c>
      <c r="J186" s="27" t="s">
        <v>7</v>
      </c>
      <c r="K186" s="27" t="s">
        <v>8</v>
      </c>
      <c r="AI186" s="27" t="s">
        <v>8</v>
      </c>
      <c r="AJ186" s="27" t="s">
        <v>7</v>
      </c>
      <c r="AK186" s="27" t="s">
        <v>8</v>
      </c>
      <c r="AL186" s="27" t="s">
        <v>7</v>
      </c>
      <c r="AN186" s="27" t="s">
        <v>7</v>
      </c>
      <c r="AO186" s="27" t="s">
        <v>8</v>
      </c>
      <c r="AP186" s="27" t="s">
        <v>7</v>
      </c>
      <c r="AQ186" s="27" t="s">
        <v>8</v>
      </c>
      <c r="AT186" s="27" t="s">
        <v>7</v>
      </c>
      <c r="AU186" s="27" t="s">
        <v>8</v>
      </c>
      <c r="AV186" s="27" t="s">
        <v>7</v>
      </c>
      <c r="BD186" s="27" t="s">
        <v>7</v>
      </c>
      <c r="BE186" s="27" t="s">
        <v>8</v>
      </c>
      <c r="BF186" s="27" t="s">
        <v>7</v>
      </c>
      <c r="BQ186" s="27" t="s">
        <v>8</v>
      </c>
      <c r="BR186" s="27" t="s">
        <v>7</v>
      </c>
      <c r="BS186" s="27" t="s">
        <v>8</v>
      </c>
      <c r="BT186" s="27" t="s">
        <v>7</v>
      </c>
      <c r="BU186" s="27" t="s">
        <v>8</v>
      </c>
      <c r="BV186" s="27" t="s">
        <v>7</v>
      </c>
      <c r="BW186" s="27" t="s">
        <v>8</v>
      </c>
      <c r="BX186" s="27" t="s">
        <v>7</v>
      </c>
      <c r="BY186" s="27" t="s">
        <v>8</v>
      </c>
      <c r="CC186" s="27" t="s">
        <v>8</v>
      </c>
      <c r="CD186" s="27" t="s">
        <v>7</v>
      </c>
      <c r="CE186" s="27" t="s">
        <v>8</v>
      </c>
      <c r="CF186" s="27" t="s">
        <v>7</v>
      </c>
    </row>
    <row r="187" spans="1:88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F187" s="27" t="s">
        <v>7</v>
      </c>
      <c r="G187" s="27" t="s">
        <v>8</v>
      </c>
      <c r="H187" s="27" t="s">
        <v>7</v>
      </c>
      <c r="J187" s="27" t="s">
        <v>7</v>
      </c>
      <c r="K187" s="27" t="s">
        <v>8</v>
      </c>
      <c r="L187" s="27" t="s">
        <v>7</v>
      </c>
      <c r="M187" s="27" t="s">
        <v>8</v>
      </c>
      <c r="O187" s="27" t="s">
        <v>8</v>
      </c>
      <c r="Y187" s="27" t="s">
        <v>8</v>
      </c>
      <c r="AI187" s="27" t="s">
        <v>8</v>
      </c>
      <c r="AJ187" s="27" t="s">
        <v>7</v>
      </c>
      <c r="AK187" s="27" t="s">
        <v>8</v>
      </c>
      <c r="AN187" s="27" t="s">
        <v>7</v>
      </c>
      <c r="AO187" s="27" t="s">
        <v>8</v>
      </c>
      <c r="AP187" s="27" t="s">
        <v>7</v>
      </c>
      <c r="AT187" s="27" t="s">
        <v>7</v>
      </c>
      <c r="AU187" s="27" t="s">
        <v>8</v>
      </c>
      <c r="BD187" s="27" t="s">
        <v>7</v>
      </c>
      <c r="BF187" s="27" t="s">
        <v>7</v>
      </c>
      <c r="BI187" s="27" t="s">
        <v>8</v>
      </c>
      <c r="BQ187" s="27" t="s">
        <v>8</v>
      </c>
      <c r="BR187" s="27" t="s">
        <v>7</v>
      </c>
      <c r="BT187" s="27" t="s">
        <v>7</v>
      </c>
      <c r="BU187" s="27" t="s">
        <v>8</v>
      </c>
      <c r="BV187" s="27" t="s">
        <v>7</v>
      </c>
      <c r="BW187" s="27" t="s">
        <v>8</v>
      </c>
      <c r="BX187" s="27" t="s">
        <v>7</v>
      </c>
      <c r="BY187" s="27" t="s">
        <v>8</v>
      </c>
      <c r="BZ187" s="27" t="s">
        <v>7</v>
      </c>
      <c r="CA187" s="27" t="s">
        <v>8</v>
      </c>
      <c r="CC187" s="27" t="s">
        <v>8</v>
      </c>
      <c r="CD187" s="27" t="s">
        <v>7</v>
      </c>
      <c r="CE187" s="27" t="s">
        <v>8</v>
      </c>
      <c r="CF187" s="27" t="s">
        <v>7</v>
      </c>
    </row>
    <row r="188" spans="1:88" x14ac:dyDescent="0.25">
      <c r="A188" s="30">
        <v>12.64280826379346</v>
      </c>
      <c r="E188" t="s">
        <v>8</v>
      </c>
      <c r="F188" s="27" t="s">
        <v>7</v>
      </c>
      <c r="G188" s="27" t="s">
        <v>8</v>
      </c>
      <c r="J188" s="27" t="s">
        <v>7</v>
      </c>
      <c r="K188" s="27" t="s">
        <v>8</v>
      </c>
      <c r="L188" s="27" t="s">
        <v>7</v>
      </c>
      <c r="M188" s="27" t="s">
        <v>8</v>
      </c>
      <c r="N188" s="27" t="s">
        <v>7</v>
      </c>
      <c r="O188" s="27" t="s">
        <v>8</v>
      </c>
      <c r="P188" s="27" t="s">
        <v>7</v>
      </c>
      <c r="W188" s="27" t="s">
        <v>8</v>
      </c>
      <c r="Y188" s="27" t="s">
        <v>8</v>
      </c>
      <c r="Z188" s="27" t="s">
        <v>7</v>
      </c>
      <c r="AA188" s="27" t="s">
        <v>8</v>
      </c>
      <c r="AI188" s="27" t="s">
        <v>8</v>
      </c>
      <c r="AJ188" s="27" t="s">
        <v>7</v>
      </c>
      <c r="AN188" s="27" t="s">
        <v>7</v>
      </c>
      <c r="AT188" s="27" t="s">
        <v>7</v>
      </c>
      <c r="AU188" s="27" t="s">
        <v>8</v>
      </c>
      <c r="BF188" s="27" t="s">
        <v>7</v>
      </c>
      <c r="BI188" s="27" t="s">
        <v>8</v>
      </c>
      <c r="BJ188" s="27" t="s">
        <v>7</v>
      </c>
      <c r="BQ188" s="27" t="s">
        <v>8</v>
      </c>
      <c r="BT188" s="27" t="s">
        <v>7</v>
      </c>
      <c r="BU188" s="27" t="s">
        <v>8</v>
      </c>
      <c r="BV188" s="27" t="s">
        <v>7</v>
      </c>
      <c r="BW188" s="27" t="s">
        <v>8</v>
      </c>
      <c r="BX188" s="27" t="s">
        <v>7</v>
      </c>
      <c r="BY188" s="27" t="s">
        <v>8</v>
      </c>
      <c r="BZ188" s="27" t="s">
        <v>7</v>
      </c>
      <c r="CA188" s="27" t="s">
        <v>8</v>
      </c>
      <c r="CB188" s="27" t="s">
        <v>7</v>
      </c>
      <c r="CC188" s="27" t="s">
        <v>8</v>
      </c>
      <c r="CD188" s="27" t="s">
        <v>7</v>
      </c>
      <c r="CE188" s="27" t="s">
        <v>8</v>
      </c>
      <c r="CF188" s="27" t="s">
        <v>7</v>
      </c>
    </row>
    <row r="189" spans="1:88" x14ac:dyDescent="0.25">
      <c r="A189" s="30">
        <v>12.04076977504139</v>
      </c>
      <c r="E189" t="s">
        <v>8</v>
      </c>
      <c r="F189" s="27" t="s">
        <v>7</v>
      </c>
      <c r="J189" s="27" t="s">
        <v>7</v>
      </c>
      <c r="L189" s="27" t="s">
        <v>7</v>
      </c>
      <c r="M189" s="27" t="s">
        <v>8</v>
      </c>
      <c r="N189" s="27" t="s">
        <v>7</v>
      </c>
      <c r="O189" s="27" t="s">
        <v>8</v>
      </c>
      <c r="P189" s="27" t="s">
        <v>7</v>
      </c>
      <c r="W189" s="27" t="s">
        <v>8</v>
      </c>
      <c r="X189" s="27" t="s">
        <v>7</v>
      </c>
      <c r="Y189" s="27" t="s">
        <v>8</v>
      </c>
      <c r="Z189" s="27" t="s">
        <v>7</v>
      </c>
      <c r="AA189" s="27" t="s">
        <v>8</v>
      </c>
      <c r="AB189" s="27" t="s">
        <v>7</v>
      </c>
      <c r="AI189" s="27" t="s">
        <v>8</v>
      </c>
      <c r="AT189" s="27" t="s">
        <v>7</v>
      </c>
      <c r="BF189" s="27" t="s">
        <v>7</v>
      </c>
      <c r="BI189" s="27" t="s">
        <v>8</v>
      </c>
      <c r="BJ189" s="27" t="s">
        <v>7</v>
      </c>
      <c r="BQ189" s="27" t="s">
        <v>8</v>
      </c>
      <c r="BT189" s="27" t="s">
        <v>7</v>
      </c>
      <c r="BU189" s="27" t="s">
        <v>8</v>
      </c>
      <c r="BV189" s="27" t="s">
        <v>7</v>
      </c>
      <c r="BW189" s="27" t="s">
        <v>8</v>
      </c>
      <c r="BX189" s="27" t="s">
        <v>7</v>
      </c>
      <c r="BY189" s="27" t="s">
        <v>8</v>
      </c>
      <c r="BZ189" s="27" t="s">
        <v>7</v>
      </c>
      <c r="CA189" s="27" t="s">
        <v>8</v>
      </c>
      <c r="CB189" s="27" t="s">
        <v>7</v>
      </c>
      <c r="CC189" s="27" t="s">
        <v>8</v>
      </c>
      <c r="CD189" s="27" t="s">
        <v>7</v>
      </c>
      <c r="CE189" s="27" t="s">
        <v>8</v>
      </c>
      <c r="CF189" s="27" t="s">
        <v>7</v>
      </c>
    </row>
    <row r="190" spans="1:88" x14ac:dyDescent="0.25">
      <c r="A190" s="30">
        <v>11.467399785753704</v>
      </c>
      <c r="E190" t="s">
        <v>8</v>
      </c>
      <c r="L190" s="27" t="s">
        <v>7</v>
      </c>
      <c r="M190" s="27" t="s">
        <v>8</v>
      </c>
      <c r="N190" s="27" t="s">
        <v>7</v>
      </c>
      <c r="O190" s="27" t="s">
        <v>8</v>
      </c>
      <c r="P190" s="27" t="s">
        <v>7</v>
      </c>
      <c r="U190" s="27" t="s">
        <v>8</v>
      </c>
      <c r="W190" s="27" t="s">
        <v>8</v>
      </c>
      <c r="X190" s="27" t="s">
        <v>7</v>
      </c>
      <c r="Y190" s="27" t="s">
        <v>8</v>
      </c>
      <c r="Z190" s="27" t="s">
        <v>7</v>
      </c>
      <c r="AA190" s="27" t="s">
        <v>8</v>
      </c>
      <c r="AB190" s="27" t="s">
        <v>7</v>
      </c>
      <c r="AG190" s="27" t="s">
        <v>8</v>
      </c>
      <c r="AI190" s="27" t="s">
        <v>8</v>
      </c>
      <c r="BF190" s="27" t="s">
        <v>7</v>
      </c>
      <c r="BG190" s="27" t="s">
        <v>8</v>
      </c>
      <c r="BI190" s="27" t="s">
        <v>8</v>
      </c>
      <c r="BJ190" s="27" t="s">
        <v>7</v>
      </c>
      <c r="BK190" s="27" t="s">
        <v>8</v>
      </c>
      <c r="BQ190" s="27" t="s">
        <v>8</v>
      </c>
      <c r="BT190" s="27" t="s">
        <v>7</v>
      </c>
      <c r="BU190" s="27" t="s">
        <v>8</v>
      </c>
      <c r="BV190" s="27" t="s">
        <v>7</v>
      </c>
      <c r="BX190" s="27" t="s">
        <v>7</v>
      </c>
      <c r="BY190" s="27" t="s">
        <v>8</v>
      </c>
      <c r="BZ190" s="27" t="s">
        <v>7</v>
      </c>
      <c r="CA190" s="27" t="s">
        <v>8</v>
      </c>
      <c r="CB190" s="27" t="s">
        <v>7</v>
      </c>
      <c r="CD190" s="27" t="s">
        <v>7</v>
      </c>
      <c r="CE190" s="27" t="s">
        <v>8</v>
      </c>
      <c r="CF190" s="27" t="s">
        <v>7</v>
      </c>
    </row>
    <row r="191" spans="1:88" x14ac:dyDescent="0.25">
      <c r="A191" s="30">
        <v>10.921333129289241</v>
      </c>
      <c r="E191" t="s">
        <v>8</v>
      </c>
      <c r="L191" s="27" t="s">
        <v>7</v>
      </c>
      <c r="M191" s="27" t="s">
        <v>8</v>
      </c>
      <c r="N191" s="27" t="s">
        <v>7</v>
      </c>
      <c r="O191" s="27" t="s">
        <v>8</v>
      </c>
      <c r="P191" s="27" t="s">
        <v>7</v>
      </c>
      <c r="U191" s="27" t="s">
        <v>8</v>
      </c>
      <c r="V191" s="27" t="s">
        <v>7</v>
      </c>
      <c r="W191" s="27" t="s">
        <v>8</v>
      </c>
      <c r="X191" s="27" t="s">
        <v>7</v>
      </c>
      <c r="Y191" s="27" t="s">
        <v>8</v>
      </c>
      <c r="Z191" s="27" t="s">
        <v>7</v>
      </c>
      <c r="AA191" s="27" t="s">
        <v>8</v>
      </c>
      <c r="AB191" s="27" t="s">
        <v>7</v>
      </c>
      <c r="AG191" s="27" t="s">
        <v>8</v>
      </c>
      <c r="AH191" s="27" t="s">
        <v>7</v>
      </c>
      <c r="AI191" s="27" t="s">
        <v>8</v>
      </c>
      <c r="BF191" s="27" t="s">
        <v>7</v>
      </c>
      <c r="BG191" s="27" t="s">
        <v>8</v>
      </c>
      <c r="BH191" s="27" t="s">
        <v>7</v>
      </c>
      <c r="BI191" s="27" t="s">
        <v>8</v>
      </c>
      <c r="BJ191" s="27" t="s">
        <v>7</v>
      </c>
      <c r="BK191" s="27" t="s">
        <v>8</v>
      </c>
      <c r="BL191" s="27" t="s">
        <v>7</v>
      </c>
      <c r="BQ191" s="27" t="s">
        <v>8</v>
      </c>
      <c r="BT191" s="27" t="s">
        <v>7</v>
      </c>
      <c r="BU191" s="27" t="s">
        <v>8</v>
      </c>
      <c r="BX191" s="27" t="s">
        <v>7</v>
      </c>
      <c r="BY191" s="27" t="s">
        <v>8</v>
      </c>
      <c r="BZ191" s="27" t="s">
        <v>7</v>
      </c>
      <c r="CD191" s="27" t="s">
        <v>7</v>
      </c>
      <c r="CE191" s="27" t="s">
        <v>8</v>
      </c>
      <c r="CF191" s="27" t="s">
        <v>7</v>
      </c>
      <c r="CG191" s="27" t="s">
        <v>8</v>
      </c>
      <c r="CI191" s="27" t="s">
        <v>8</v>
      </c>
    </row>
    <row r="192" spans="1:88" x14ac:dyDescent="0.25">
      <c r="A192" s="30">
        <v>10.401269646942135</v>
      </c>
      <c r="E192" t="s">
        <v>8</v>
      </c>
      <c r="L192" s="27" t="s">
        <v>7</v>
      </c>
      <c r="M192" s="27" t="s">
        <v>8</v>
      </c>
      <c r="N192" s="27" t="s">
        <v>7</v>
      </c>
      <c r="O192" s="27" t="s">
        <v>8</v>
      </c>
      <c r="P192" s="27" t="s">
        <v>7</v>
      </c>
      <c r="S192" s="27" t="s">
        <v>8</v>
      </c>
      <c r="U192" s="27" t="s">
        <v>8</v>
      </c>
      <c r="V192" s="27" t="s">
        <v>7</v>
      </c>
      <c r="W192" s="27" t="s">
        <v>8</v>
      </c>
      <c r="X192" s="27" t="s">
        <v>7</v>
      </c>
      <c r="Y192" s="27" t="s">
        <v>8</v>
      </c>
      <c r="Z192" s="27" t="s">
        <v>7</v>
      </c>
      <c r="AA192" s="27" t="s">
        <v>8</v>
      </c>
      <c r="AB192" s="27" t="s">
        <v>7</v>
      </c>
      <c r="AC192" s="27" t="s">
        <v>8</v>
      </c>
      <c r="AE192" s="27" t="s">
        <v>8</v>
      </c>
      <c r="AG192" s="27" t="s">
        <v>8</v>
      </c>
      <c r="AH192" s="27" t="s">
        <v>7</v>
      </c>
      <c r="AI192" s="27" t="s">
        <v>8</v>
      </c>
      <c r="BF192" s="27" t="s">
        <v>7</v>
      </c>
      <c r="BG192" s="27" t="s">
        <v>8</v>
      </c>
      <c r="BH192" s="27" t="s">
        <v>7</v>
      </c>
      <c r="BI192" s="27" t="s">
        <v>8</v>
      </c>
      <c r="BJ192" s="27" t="s">
        <v>7</v>
      </c>
      <c r="BK192" s="27" t="s">
        <v>8</v>
      </c>
      <c r="BL192" s="27" t="s">
        <v>7</v>
      </c>
      <c r="BQ192" s="27" t="s">
        <v>8</v>
      </c>
      <c r="BT192" s="27" t="s">
        <v>7</v>
      </c>
      <c r="BU192" s="27" t="s">
        <v>8</v>
      </c>
      <c r="BX192" s="27" t="s">
        <v>7</v>
      </c>
      <c r="CD192" s="27" t="s">
        <v>7</v>
      </c>
      <c r="CE192" s="27" t="s">
        <v>8</v>
      </c>
      <c r="CF192" s="27" t="s">
        <v>7</v>
      </c>
      <c r="CG192" s="27" t="s">
        <v>8</v>
      </c>
      <c r="CH192" s="27" t="s">
        <v>7</v>
      </c>
      <c r="CI192" s="27" t="s">
        <v>8</v>
      </c>
      <c r="CJ192" s="27" t="s">
        <v>7</v>
      </c>
    </row>
    <row r="193" spans="1:90" x14ac:dyDescent="0.25">
      <c r="A193" s="30">
        <v>9.9059710923258422</v>
      </c>
      <c r="E193" t="s">
        <v>8</v>
      </c>
      <c r="L193" s="27" t="s">
        <v>7</v>
      </c>
      <c r="M193" s="27" t="s">
        <v>8</v>
      </c>
      <c r="N193" s="27" t="s">
        <v>7</v>
      </c>
      <c r="O193" s="27" t="s">
        <v>8</v>
      </c>
      <c r="P193" s="27" t="s">
        <v>7</v>
      </c>
      <c r="S193" s="27" t="s">
        <v>8</v>
      </c>
      <c r="T193" s="27" t="s">
        <v>7</v>
      </c>
      <c r="U193" s="27" t="s">
        <v>8</v>
      </c>
      <c r="V193" s="27" t="s">
        <v>7</v>
      </c>
      <c r="W193" s="27" t="s">
        <v>8</v>
      </c>
      <c r="X193" s="27" t="s">
        <v>7</v>
      </c>
      <c r="Y193" s="27" t="s">
        <v>8</v>
      </c>
      <c r="Z193" s="27" t="s">
        <v>7</v>
      </c>
      <c r="AB193" s="27" t="s">
        <v>7</v>
      </c>
      <c r="AC193" s="27" t="s">
        <v>8</v>
      </c>
      <c r="AD193" s="27" t="s">
        <v>7</v>
      </c>
      <c r="AE193" s="27" t="s">
        <v>8</v>
      </c>
      <c r="AF193" s="27" t="s">
        <v>7</v>
      </c>
      <c r="AG193" s="27" t="s">
        <v>8</v>
      </c>
      <c r="AH193" s="27" t="s">
        <v>7</v>
      </c>
      <c r="BF193" s="27" t="s">
        <v>7</v>
      </c>
      <c r="BG193" s="27" t="s">
        <v>8</v>
      </c>
      <c r="BH193" s="27" t="s">
        <v>7</v>
      </c>
      <c r="BI193" s="27" t="s">
        <v>8</v>
      </c>
      <c r="BJ193" s="27" t="s">
        <v>7</v>
      </c>
      <c r="BK193" s="27" t="s">
        <v>8</v>
      </c>
      <c r="BL193" s="27" t="s">
        <v>7</v>
      </c>
      <c r="BM193" s="27" t="s">
        <v>8</v>
      </c>
      <c r="BQ193" s="27" t="s">
        <v>8</v>
      </c>
      <c r="BT193" s="27" t="s">
        <v>7</v>
      </c>
      <c r="CD193" s="27" t="s">
        <v>7</v>
      </c>
      <c r="CE193" s="27" t="s">
        <v>8</v>
      </c>
      <c r="CF193" s="27" t="s">
        <v>7</v>
      </c>
      <c r="CG193" s="27" t="s">
        <v>8</v>
      </c>
      <c r="CH193" s="27" t="s">
        <v>7</v>
      </c>
      <c r="CI193" s="27" t="s">
        <v>8</v>
      </c>
      <c r="CJ193" s="27" t="s">
        <v>7</v>
      </c>
    </row>
    <row r="194" spans="1:90" x14ac:dyDescent="0.25">
      <c r="A194" s="30">
        <v>9.4342581831674686</v>
      </c>
      <c r="E194" t="s">
        <v>8</v>
      </c>
      <c r="L194" s="27" t="s">
        <v>7</v>
      </c>
      <c r="M194" s="27" t="s">
        <v>8</v>
      </c>
      <c r="N194" s="27" t="s">
        <v>7</v>
      </c>
      <c r="O194" s="27" t="s">
        <v>8</v>
      </c>
      <c r="P194" s="27" t="s">
        <v>7</v>
      </c>
      <c r="Q194" s="27" t="s">
        <v>8</v>
      </c>
      <c r="S194" s="27" t="s">
        <v>8</v>
      </c>
      <c r="T194" s="27" t="s">
        <v>7</v>
      </c>
      <c r="U194" s="27" t="s">
        <v>8</v>
      </c>
      <c r="V194" s="27" t="s">
        <v>7</v>
      </c>
      <c r="W194" s="27" t="s">
        <v>8</v>
      </c>
      <c r="X194" s="27" t="s">
        <v>7</v>
      </c>
      <c r="AB194" s="27" t="s">
        <v>7</v>
      </c>
      <c r="AC194" s="27" t="s">
        <v>8</v>
      </c>
      <c r="AD194" s="27" t="s">
        <v>7</v>
      </c>
      <c r="AE194" s="27" t="s">
        <v>8</v>
      </c>
      <c r="AF194" s="27" t="s">
        <v>7</v>
      </c>
      <c r="AG194" s="27" t="s">
        <v>8</v>
      </c>
      <c r="BF194" s="27" t="s">
        <v>7</v>
      </c>
      <c r="BG194" s="27" t="s">
        <v>8</v>
      </c>
      <c r="BH194" s="27" t="s">
        <v>7</v>
      </c>
      <c r="BJ194" s="27" t="s">
        <v>7</v>
      </c>
      <c r="BK194" s="27" t="s">
        <v>8</v>
      </c>
      <c r="BL194" s="27" t="s">
        <v>7</v>
      </c>
      <c r="BM194" s="27" t="s">
        <v>8</v>
      </c>
      <c r="BN194" s="27" t="s">
        <v>7</v>
      </c>
      <c r="BQ194" s="27" t="s">
        <v>8</v>
      </c>
      <c r="CD194" s="27" t="s">
        <v>7</v>
      </c>
      <c r="CE194" s="27" t="s">
        <v>8</v>
      </c>
      <c r="CF194" s="27" t="s">
        <v>7</v>
      </c>
      <c r="CH194" s="27" t="s">
        <v>7</v>
      </c>
      <c r="CI194" s="27" t="s">
        <v>8</v>
      </c>
      <c r="CJ194" s="27" t="s">
        <v>7</v>
      </c>
    </row>
    <row r="195" spans="1:90" x14ac:dyDescent="0.25">
      <c r="A195" s="30">
        <v>8.9850077934928265</v>
      </c>
      <c r="E195" t="s">
        <v>8</v>
      </c>
      <c r="L195" s="27" t="s">
        <v>7</v>
      </c>
      <c r="M195" s="27" t="s">
        <v>8</v>
      </c>
      <c r="N195" s="27" t="s">
        <v>7</v>
      </c>
      <c r="O195" s="27" t="s">
        <v>8</v>
      </c>
      <c r="P195" s="27" t="s">
        <v>7</v>
      </c>
      <c r="Q195" s="27" t="s">
        <v>8</v>
      </c>
      <c r="R195" s="27" t="s">
        <v>7</v>
      </c>
      <c r="S195" s="27" t="s">
        <v>8</v>
      </c>
      <c r="T195" s="27" t="s">
        <v>7</v>
      </c>
      <c r="U195" s="27" t="s">
        <v>8</v>
      </c>
      <c r="V195" s="27" t="s">
        <v>7</v>
      </c>
      <c r="W195" s="27" t="s">
        <v>8</v>
      </c>
      <c r="AB195" s="27" t="s">
        <v>7</v>
      </c>
      <c r="AC195" s="27" t="s">
        <v>8</v>
      </c>
      <c r="AD195" s="27" t="s">
        <v>7</v>
      </c>
      <c r="AE195" s="27" t="s">
        <v>8</v>
      </c>
      <c r="AF195" s="27" t="s">
        <v>7</v>
      </c>
      <c r="BF195" s="27" t="s">
        <v>7</v>
      </c>
      <c r="BG195" s="27" t="s">
        <v>8</v>
      </c>
      <c r="BJ195" s="27" t="s">
        <v>7</v>
      </c>
      <c r="BK195" s="27" t="s">
        <v>8</v>
      </c>
      <c r="BL195" s="27" t="s">
        <v>7</v>
      </c>
      <c r="BM195" s="27" t="s">
        <v>8</v>
      </c>
      <c r="BN195" s="27" t="s">
        <v>7</v>
      </c>
      <c r="BQ195" s="27" t="s">
        <v>8</v>
      </c>
      <c r="CD195" s="27" t="s">
        <v>7</v>
      </c>
      <c r="CE195" s="27" t="s">
        <v>8</v>
      </c>
      <c r="CH195" s="27" t="s">
        <v>7</v>
      </c>
      <c r="CI195" s="27" t="s">
        <v>8</v>
      </c>
      <c r="CJ195" s="27" t="s">
        <v>7</v>
      </c>
    </row>
    <row r="196" spans="1:90" x14ac:dyDescent="0.25">
      <c r="A196" s="30">
        <v>8.5571502795169767</v>
      </c>
      <c r="E196" t="s">
        <v>8</v>
      </c>
      <c r="L196" s="27" t="s">
        <v>7</v>
      </c>
      <c r="N196" s="27" t="s">
        <v>7</v>
      </c>
      <c r="P196" s="27" t="s">
        <v>7</v>
      </c>
      <c r="Q196" s="27" t="s">
        <v>8</v>
      </c>
      <c r="R196" s="27" t="s">
        <v>7</v>
      </c>
      <c r="S196" s="27" t="s">
        <v>8</v>
      </c>
      <c r="T196" s="27" t="s">
        <v>7</v>
      </c>
      <c r="U196" s="27" t="s">
        <v>8</v>
      </c>
      <c r="V196" s="27" t="s">
        <v>7</v>
      </c>
      <c r="W196" s="27" t="s">
        <v>8</v>
      </c>
      <c r="AB196" s="27" t="s">
        <v>7</v>
      </c>
      <c r="AC196" s="27" t="s">
        <v>8</v>
      </c>
      <c r="AD196" s="27" t="s">
        <v>7</v>
      </c>
      <c r="BF196" s="27" t="s">
        <v>7</v>
      </c>
      <c r="BG196" s="27" t="s">
        <v>8</v>
      </c>
      <c r="BJ196" s="27" t="s">
        <v>7</v>
      </c>
      <c r="BK196" s="27" t="s">
        <v>8</v>
      </c>
      <c r="BL196" s="27" t="s">
        <v>7</v>
      </c>
      <c r="BN196" s="27" t="s">
        <v>7</v>
      </c>
      <c r="BQ196" s="18" t="s">
        <v>8</v>
      </c>
      <c r="CD196" s="27" t="s">
        <v>7</v>
      </c>
      <c r="CH196" s="27" t="s">
        <v>7</v>
      </c>
      <c r="CI196" s="27" t="s">
        <v>8</v>
      </c>
      <c r="CJ196" s="27" t="s">
        <v>7</v>
      </c>
      <c r="CK196" s="27" t="s">
        <v>8</v>
      </c>
    </row>
    <row r="197" spans="1:90" x14ac:dyDescent="0.25">
      <c r="A197" s="30">
        <v>8.1496669328733109</v>
      </c>
      <c r="E197" t="s">
        <v>8</v>
      </c>
      <c r="P197" s="27" t="s">
        <v>7</v>
      </c>
      <c r="Q197" s="27" t="s">
        <v>8</v>
      </c>
      <c r="R197" s="27" t="s">
        <v>7</v>
      </c>
      <c r="S197" s="27" t="s">
        <v>8</v>
      </c>
      <c r="T197" s="27" t="s">
        <v>7</v>
      </c>
      <c r="U197" s="27" t="s">
        <v>8</v>
      </c>
      <c r="V197" s="27" t="s">
        <v>7</v>
      </c>
      <c r="AB197" s="27" t="s">
        <v>7</v>
      </c>
      <c r="BF197" s="27" t="s">
        <v>7</v>
      </c>
      <c r="BJ197" s="27" t="s">
        <v>7</v>
      </c>
      <c r="BN197" s="27" t="s">
        <v>7</v>
      </c>
      <c r="BO197" s="27" t="s">
        <v>8</v>
      </c>
      <c r="BQ197" s="27" t="s">
        <v>8</v>
      </c>
      <c r="CH197" s="27" t="s">
        <v>7</v>
      </c>
      <c r="CJ197" s="27" t="s">
        <v>7</v>
      </c>
      <c r="CK197" s="27" t="s">
        <v>8</v>
      </c>
      <c r="CL197" s="27" t="s">
        <v>7</v>
      </c>
    </row>
    <row r="198" spans="1:90" x14ac:dyDescent="0.25">
      <c r="A198" s="30">
        <v>7.7615875551174378</v>
      </c>
      <c r="E198" t="s">
        <v>8</v>
      </c>
      <c r="P198" s="27" t="s">
        <v>7</v>
      </c>
      <c r="Q198" s="27" t="s">
        <v>8</v>
      </c>
      <c r="R198" s="27" t="s">
        <v>7</v>
      </c>
      <c r="T198" s="27" t="s">
        <v>7</v>
      </c>
      <c r="BN198" s="27" t="s">
        <v>7</v>
      </c>
      <c r="BO198" s="27" t="s">
        <v>8</v>
      </c>
      <c r="BP198" s="27" t="s">
        <v>7</v>
      </c>
      <c r="BQ198" s="27" t="s">
        <v>8</v>
      </c>
      <c r="CJ198" s="27" t="s">
        <v>7</v>
      </c>
      <c r="CK198" s="27" t="s">
        <v>8</v>
      </c>
      <c r="CL198" s="27" t="s">
        <v>7</v>
      </c>
    </row>
    <row r="199" spans="1:90" x14ac:dyDescent="0.25">
      <c r="A199" s="30">
        <v>7.3919881477308929</v>
      </c>
      <c r="E199" t="s">
        <v>8</v>
      </c>
      <c r="P199" s="27" t="s">
        <v>7</v>
      </c>
      <c r="Q199" s="27" t="s">
        <v>8</v>
      </c>
      <c r="BN199" s="27" t="s">
        <v>7</v>
      </c>
      <c r="BO199" s="27" t="s">
        <v>8</v>
      </c>
      <c r="BP199" s="27" t="s">
        <v>7</v>
      </c>
      <c r="BQ199" s="27" t="s">
        <v>8</v>
      </c>
      <c r="CJ199" s="27" t="s">
        <v>7</v>
      </c>
      <c r="CL199" s="27" t="s">
        <v>7</v>
      </c>
    </row>
    <row r="200" spans="1:90" x14ac:dyDescent="0.25">
      <c r="A200" s="30">
        <v>7.0399887121246598</v>
      </c>
      <c r="E200" t="s">
        <v>8</v>
      </c>
      <c r="P200" s="27" t="s">
        <v>7</v>
      </c>
      <c r="Q200" s="27" t="s">
        <v>8</v>
      </c>
      <c r="BN200" s="27" t="s">
        <v>7</v>
      </c>
      <c r="BO200" s="27" t="s">
        <v>8</v>
      </c>
      <c r="BP200" s="27" t="s">
        <v>7</v>
      </c>
      <c r="CL200" s="27" t="s">
        <v>7</v>
      </c>
    </row>
    <row r="201" spans="1:90" x14ac:dyDescent="0.25">
      <c r="A201" s="30">
        <v>6.7047511544044376</v>
      </c>
      <c r="E201" t="s">
        <v>8</v>
      </c>
      <c r="P201" s="27" t="s">
        <v>7</v>
      </c>
      <c r="Q201" s="27" t="s">
        <v>8</v>
      </c>
      <c r="BN201" s="27" t="s">
        <v>7</v>
      </c>
      <c r="BO201" s="27" t="s">
        <v>8</v>
      </c>
      <c r="CL201" s="27" t="s">
        <v>7</v>
      </c>
    </row>
    <row r="202" spans="1:90" x14ac:dyDescent="0.25">
      <c r="A202" s="30">
        <v>6.3854772899089882</v>
      </c>
      <c r="E202" t="s">
        <v>8</v>
      </c>
      <c r="P202" s="27" t="s">
        <v>7</v>
      </c>
      <c r="Q202" s="27" t="s">
        <v>8</v>
      </c>
      <c r="BN202" s="27" t="s">
        <v>7</v>
      </c>
      <c r="CL202" s="27" t="s">
        <v>7</v>
      </c>
    </row>
    <row r="203" spans="1:90" x14ac:dyDescent="0.25">
      <c r="A203" s="30">
        <v>6.0814069427704647</v>
      </c>
      <c r="C203" s="7"/>
      <c r="D203"/>
      <c r="E203" t="s">
        <v>8</v>
      </c>
      <c r="P203" s="27" t="s">
        <v>7</v>
      </c>
      <c r="Q203" s="27" t="s">
        <v>8</v>
      </c>
      <c r="CL203" s="27" t="s">
        <v>7</v>
      </c>
    </row>
    <row r="204" spans="1:90" x14ac:dyDescent="0.25">
      <c r="A204" s="30">
        <v>5.7918161359718709</v>
      </c>
      <c r="E204" t="s">
        <v>8</v>
      </c>
      <c r="P204" s="27" t="s">
        <v>7</v>
      </c>
      <c r="Q204" s="27" t="s">
        <v>8</v>
      </c>
      <c r="CL204" s="27" t="s">
        <v>7</v>
      </c>
    </row>
    <row r="205" spans="1:90" x14ac:dyDescent="0.25">
      <c r="A205" s="30">
        <v>5.5160153675922574</v>
      </c>
      <c r="E205" t="s">
        <v>8</v>
      </c>
      <c r="P205" s="27" t="s">
        <v>7</v>
      </c>
      <c r="Q205" s="27" t="s">
        <v>8</v>
      </c>
      <c r="CL205" s="27" t="s">
        <v>7</v>
      </c>
    </row>
    <row r="206" spans="1:90" x14ac:dyDescent="0.25">
      <c r="A206" s="30">
        <v>5.2533479691354827</v>
      </c>
      <c r="C206"/>
      <c r="D206"/>
      <c r="E206" t="s">
        <v>8</v>
      </c>
      <c r="P206" s="27" t="s">
        <v>7</v>
      </c>
      <c r="Q206" s="27" t="s">
        <v>8</v>
      </c>
      <c r="CL206" s="27" t="s">
        <v>7</v>
      </c>
    </row>
    <row r="207" spans="1:90" x14ac:dyDescent="0.25">
      <c r="A207" s="30">
        <v>5.0031885420337927</v>
      </c>
      <c r="E207" t="s">
        <v>8</v>
      </c>
      <c r="P207" s="27" t="s">
        <v>7</v>
      </c>
      <c r="Q207" s="27" t="s">
        <v>8</v>
      </c>
    </row>
    <row r="208" spans="1:90" x14ac:dyDescent="0.25">
      <c r="A208" s="30">
        <v>4.7649414686036122</v>
      </c>
      <c r="E208" t="s">
        <v>8</v>
      </c>
      <c r="P208" s="27" t="s">
        <v>7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23" operator="equal">
      <formula>$U$1</formula>
    </cfRule>
    <cfRule type="cellIs" dxfId="67" priority="824" operator="equal">
      <formula>$S$1</formula>
    </cfRule>
  </conditionalFormatting>
  <conditionalFormatting sqref="D136">
    <cfRule type="cellIs" dxfId="66" priority="821" operator="equal">
      <formula>$S$1</formula>
    </cfRule>
    <cfRule type="cellIs" dxfId="65" priority="822" operator="equal">
      <formula>$U$1</formula>
    </cfRule>
  </conditionalFormatting>
  <conditionalFormatting sqref="C162">
    <cfRule type="cellIs" dxfId="64" priority="819" operator="equal">
      <formula>$U$1</formula>
    </cfRule>
    <cfRule type="cellIs" dxfId="63" priority="820" operator="equal">
      <formula>$S$1</formula>
    </cfRule>
  </conditionalFormatting>
  <conditionalFormatting sqref="D162">
    <cfRule type="cellIs" dxfId="62" priority="817" operator="equal">
      <formula>$S$1</formula>
    </cfRule>
    <cfRule type="cellIs" dxfId="61" priority="818" operator="equal">
      <formula>$U$1</formula>
    </cfRule>
  </conditionalFormatting>
  <conditionalFormatting sqref="C187">
    <cfRule type="cellIs" dxfId="60" priority="815" operator="equal">
      <formula>$U$1</formula>
    </cfRule>
    <cfRule type="cellIs" dxfId="59" priority="816" operator="equal">
      <formula>$S$1</formula>
    </cfRule>
  </conditionalFormatting>
  <conditionalFormatting sqref="D187">
    <cfRule type="cellIs" dxfId="58" priority="813" operator="equal">
      <formula>$S$1</formula>
    </cfRule>
    <cfRule type="cellIs" dxfId="57" priority="814" operator="equal">
      <formula>$U$1</formula>
    </cfRule>
  </conditionalFormatting>
  <conditionalFormatting sqref="C212">
    <cfRule type="cellIs" dxfId="56" priority="811" operator="equal">
      <formula>$U$1</formula>
    </cfRule>
    <cfRule type="cellIs" dxfId="55" priority="812" operator="equal">
      <formula>$S$1</formula>
    </cfRule>
  </conditionalFormatting>
  <conditionalFormatting sqref="D212">
    <cfRule type="cellIs" dxfId="54" priority="809" operator="equal">
      <formula>$S$1</formula>
    </cfRule>
    <cfRule type="cellIs" dxfId="53" priority="810" operator="equal">
      <formula>$U$1</formula>
    </cfRule>
  </conditionalFormatting>
  <conditionalFormatting sqref="C237">
    <cfRule type="cellIs" dxfId="52" priority="807" operator="equal">
      <formula>$U$1</formula>
    </cfRule>
    <cfRule type="cellIs" dxfId="51" priority="808" operator="equal">
      <formula>$S$1</formula>
    </cfRule>
  </conditionalFormatting>
  <conditionalFormatting sqref="D237">
    <cfRule type="cellIs" dxfId="50" priority="805" operator="equal">
      <formula>$S$1</formula>
    </cfRule>
    <cfRule type="cellIs" dxfId="49" priority="806" operator="equal">
      <formula>$U$1</formula>
    </cfRule>
  </conditionalFormatting>
  <conditionalFormatting sqref="C106">
    <cfRule type="cellIs" dxfId="48" priority="803" operator="equal">
      <formula>$U$1</formula>
    </cfRule>
    <cfRule type="cellIs" dxfId="47" priority="804" operator="equal">
      <formula>$S$1</formula>
    </cfRule>
  </conditionalFormatting>
  <conditionalFormatting sqref="D106">
    <cfRule type="cellIs" dxfId="46" priority="801" operator="equal">
      <formula>$S$1</formula>
    </cfRule>
    <cfRule type="cellIs" dxfId="45" priority="802" operator="equal">
      <formula>$U$1</formula>
    </cfRule>
  </conditionalFormatting>
  <conditionalFormatting sqref="C81">
    <cfRule type="cellIs" dxfId="44" priority="799" operator="equal">
      <formula>$U$1</formula>
    </cfRule>
    <cfRule type="cellIs" dxfId="43" priority="800" operator="equal">
      <formula>$S$1</formula>
    </cfRule>
  </conditionalFormatting>
  <conditionalFormatting sqref="D81">
    <cfRule type="cellIs" dxfId="42" priority="797" operator="equal">
      <formula>$S$1</formula>
    </cfRule>
    <cfRule type="cellIs" dxfId="41" priority="798" operator="equal">
      <formula>$U$1</formula>
    </cfRule>
  </conditionalFormatting>
  <conditionalFormatting sqref="C56">
    <cfRule type="cellIs" dxfId="40" priority="795" operator="equal">
      <formula>$U$1</formula>
    </cfRule>
    <cfRule type="cellIs" dxfId="39" priority="796" operator="equal">
      <formula>$S$1</formula>
    </cfRule>
  </conditionalFormatting>
  <conditionalFormatting sqref="D56">
    <cfRule type="cellIs" dxfId="38" priority="793" operator="equal">
      <formula>$S$1</formula>
    </cfRule>
    <cfRule type="cellIs" dxfId="37" priority="794" operator="equal">
      <formula>$U$1</formula>
    </cfRule>
  </conditionalFormatting>
  <conditionalFormatting sqref="C31">
    <cfRule type="cellIs" dxfId="36" priority="791" operator="equal">
      <formula>$U$1</formula>
    </cfRule>
    <cfRule type="cellIs" dxfId="35" priority="792" operator="equal">
      <formula>$S$1</formula>
    </cfRule>
  </conditionalFormatting>
  <conditionalFormatting sqref="D31">
    <cfRule type="cellIs" dxfId="34" priority="789" operator="equal">
      <formula>$S$1</formula>
    </cfRule>
    <cfRule type="cellIs" dxfId="33" priority="79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V104" sqref="AV10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7" x14ac:dyDescent="0.25">
      <c r="A81" s="30">
        <v>45.259255568176073</v>
      </c>
      <c r="E81"/>
    </row>
    <row r="82" spans="1:47" x14ac:dyDescent="0.25">
      <c r="A82" s="30">
        <v>41.144777789250973</v>
      </c>
      <c r="E82"/>
    </row>
    <row r="83" spans="1:47" x14ac:dyDescent="0.25">
      <c r="A83" s="30">
        <v>37.404343444773609</v>
      </c>
      <c r="E83"/>
    </row>
    <row r="84" spans="1:47" x14ac:dyDescent="0.25">
      <c r="A84" s="30">
        <v>34.003948586157826</v>
      </c>
      <c r="E84"/>
    </row>
    <row r="85" spans="1:47" x14ac:dyDescent="0.25">
      <c r="A85" s="30">
        <v>30.912680532870748</v>
      </c>
      <c r="E85"/>
    </row>
    <row r="86" spans="1:47" x14ac:dyDescent="0.25">
      <c r="A86" s="30">
        <v>28.102436848064315</v>
      </c>
      <c r="E86"/>
      <c r="AC86" s="27" t="s">
        <v>8</v>
      </c>
      <c r="AE86" s="27" t="s">
        <v>8</v>
      </c>
    </row>
    <row r="87" spans="1:47" x14ac:dyDescent="0.25">
      <c r="A87" s="30">
        <v>25.547669861876649</v>
      </c>
      <c r="E87" t="s">
        <v>8</v>
      </c>
      <c r="AC87" s="27" t="s">
        <v>8</v>
      </c>
      <c r="AD87" s="27" t="s">
        <v>7</v>
      </c>
      <c r="AE87" s="27" t="s">
        <v>8</v>
      </c>
      <c r="AF87" s="27" t="s">
        <v>7</v>
      </c>
    </row>
    <row r="88" spans="1:47" x14ac:dyDescent="0.25">
      <c r="A88" s="30">
        <v>23.225154419887861</v>
      </c>
      <c r="E88" t="s">
        <v>8</v>
      </c>
      <c r="F88" s="27" t="s">
        <v>7</v>
      </c>
      <c r="U88" s="27" t="s">
        <v>8</v>
      </c>
      <c r="Y88" s="27" t="s">
        <v>8</v>
      </c>
      <c r="AC88" s="27" t="s">
        <v>8</v>
      </c>
      <c r="AD88" s="27" t="s">
        <v>7</v>
      </c>
      <c r="AE88" s="27" t="s">
        <v>8</v>
      </c>
      <c r="AF88" s="27" t="s">
        <v>7</v>
      </c>
    </row>
    <row r="89" spans="1:47" x14ac:dyDescent="0.25">
      <c r="A89" s="30">
        <v>21.113776745352599</v>
      </c>
      <c r="E89" t="s">
        <v>8</v>
      </c>
      <c r="F89" s="27" t="s">
        <v>7</v>
      </c>
      <c r="U89" s="27" t="s">
        <v>8</v>
      </c>
      <c r="V89" s="27" t="s">
        <v>7</v>
      </c>
      <c r="W89" s="27" t="s">
        <v>8</v>
      </c>
      <c r="Y89" s="27" t="s">
        <v>8</v>
      </c>
      <c r="Z89" s="27" t="s">
        <v>7</v>
      </c>
      <c r="AA89" s="27" t="s">
        <v>8</v>
      </c>
      <c r="AC89" s="27" t="s">
        <v>8</v>
      </c>
      <c r="AD89" s="27" t="s">
        <v>7</v>
      </c>
      <c r="AE89" s="27" t="s">
        <v>8</v>
      </c>
      <c r="AF89" s="27" t="s">
        <v>7</v>
      </c>
      <c r="AG89" s="27" t="s">
        <v>8</v>
      </c>
    </row>
    <row r="90" spans="1:47" x14ac:dyDescent="0.25">
      <c r="A90" s="30">
        <v>19.194342495775089</v>
      </c>
      <c r="E90" t="s">
        <v>8</v>
      </c>
      <c r="F90" s="27" t="s">
        <v>7</v>
      </c>
      <c r="Q90" s="27" t="s">
        <v>8</v>
      </c>
      <c r="S90" s="27" t="s">
        <v>8</v>
      </c>
      <c r="U90" s="27" t="s">
        <v>8</v>
      </c>
      <c r="V90" s="27" t="s">
        <v>7</v>
      </c>
      <c r="W90" s="27" t="s">
        <v>8</v>
      </c>
      <c r="X90" s="27" t="s">
        <v>7</v>
      </c>
      <c r="Y90" s="27" t="s">
        <v>8</v>
      </c>
      <c r="Z90" s="27" t="s">
        <v>7</v>
      </c>
      <c r="AA90" s="27" t="s">
        <v>8</v>
      </c>
      <c r="AB90" s="27" t="s">
        <v>7</v>
      </c>
      <c r="AC90" s="27" t="s">
        <v>8</v>
      </c>
      <c r="AD90" s="27" t="s">
        <v>7</v>
      </c>
      <c r="AE90" s="27" t="s">
        <v>8</v>
      </c>
      <c r="AF90" s="27" t="s">
        <v>7</v>
      </c>
      <c r="AG90" s="27" t="s">
        <v>8</v>
      </c>
      <c r="AH90" s="27" t="s">
        <v>7</v>
      </c>
      <c r="AQ90" s="27" t="s">
        <v>8</v>
      </c>
    </row>
    <row r="91" spans="1:47" x14ac:dyDescent="0.25">
      <c r="A91" s="30">
        <v>17.449402268886445</v>
      </c>
      <c r="E91" t="s">
        <v>8</v>
      </c>
      <c r="F91" s="27" t="s">
        <v>7</v>
      </c>
      <c r="G91" s="27" t="s">
        <v>8</v>
      </c>
      <c r="Q91" s="27" t="s">
        <v>8</v>
      </c>
      <c r="R91" s="27" t="s">
        <v>7</v>
      </c>
      <c r="S91" s="27" t="s">
        <v>8</v>
      </c>
      <c r="T91" s="27" t="s">
        <v>7</v>
      </c>
      <c r="U91" s="27" t="s">
        <v>8</v>
      </c>
      <c r="V91" s="27" t="s">
        <v>7</v>
      </c>
      <c r="W91" s="27" t="s">
        <v>8</v>
      </c>
      <c r="X91" s="27" t="s">
        <v>7</v>
      </c>
      <c r="Y91" s="27" t="s">
        <v>8</v>
      </c>
      <c r="Z91" s="27" t="s">
        <v>7</v>
      </c>
      <c r="AA91" s="27" t="s">
        <v>8</v>
      </c>
      <c r="AB91" s="27" t="s">
        <v>7</v>
      </c>
      <c r="AC91" s="27" t="s">
        <v>8</v>
      </c>
      <c r="AD91" s="27" t="s">
        <v>7</v>
      </c>
      <c r="AF91" s="27" t="s">
        <v>7</v>
      </c>
      <c r="AG91" s="27" t="s">
        <v>8</v>
      </c>
      <c r="AH91" s="27" t="s">
        <v>7</v>
      </c>
      <c r="AO91" s="27" t="s">
        <v>8</v>
      </c>
      <c r="AQ91" s="27" t="s">
        <v>8</v>
      </c>
      <c r="AR91" s="27" t="s">
        <v>7</v>
      </c>
    </row>
    <row r="92" spans="1:47" x14ac:dyDescent="0.25">
      <c r="A92" s="30">
        <v>15.863092971714948</v>
      </c>
      <c r="C92" s="1" t="s">
        <v>15</v>
      </c>
      <c r="E92" t="s">
        <v>8</v>
      </c>
      <c r="F92" s="27" t="s">
        <v>7</v>
      </c>
      <c r="G92" s="27" t="s">
        <v>8</v>
      </c>
      <c r="H92" s="27" t="s">
        <v>7</v>
      </c>
      <c r="Q92" s="27" t="s">
        <v>8</v>
      </c>
      <c r="R92" s="27" t="s">
        <v>7</v>
      </c>
      <c r="S92" s="27" t="s">
        <v>8</v>
      </c>
      <c r="T92" s="27" t="s">
        <v>7</v>
      </c>
      <c r="U92" s="27" t="s">
        <v>8</v>
      </c>
      <c r="V92" s="27" t="s">
        <v>7</v>
      </c>
      <c r="W92" s="27" t="s">
        <v>8</v>
      </c>
      <c r="X92" s="27" t="s">
        <v>7</v>
      </c>
      <c r="Y92" s="27" t="s">
        <v>8</v>
      </c>
      <c r="Z92" s="27" t="s">
        <v>7</v>
      </c>
      <c r="AB92" s="27" t="s">
        <v>7</v>
      </c>
      <c r="AF92" s="27" t="s">
        <v>7</v>
      </c>
      <c r="AG92" s="27" t="s">
        <v>8</v>
      </c>
      <c r="AH92" s="27" t="s">
        <v>7</v>
      </c>
      <c r="AM92" s="27" t="s">
        <v>8</v>
      </c>
      <c r="AO92" s="27" t="s">
        <v>8</v>
      </c>
      <c r="AP92" s="27" t="s">
        <v>7</v>
      </c>
      <c r="AQ92" s="27" t="s">
        <v>8</v>
      </c>
      <c r="AR92" s="27" t="s">
        <v>7</v>
      </c>
    </row>
    <row r="93" spans="1:47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G93" s="27" t="s">
        <v>8</v>
      </c>
      <c r="H93" s="27" t="s">
        <v>7</v>
      </c>
      <c r="Q93" s="27" t="s">
        <v>8</v>
      </c>
      <c r="R93" s="27" t="s">
        <v>7</v>
      </c>
      <c r="S93" s="27" t="s">
        <v>8</v>
      </c>
      <c r="T93" s="27" t="s">
        <v>7</v>
      </c>
      <c r="U93" s="27" t="s">
        <v>8</v>
      </c>
      <c r="V93" s="27" t="s">
        <v>7</v>
      </c>
      <c r="W93" s="27" t="s">
        <v>8</v>
      </c>
      <c r="X93" s="27" t="s">
        <v>7</v>
      </c>
      <c r="AF93" s="27" t="s">
        <v>7</v>
      </c>
      <c r="AG93" s="27" t="s">
        <v>8</v>
      </c>
      <c r="AH93" s="27" t="s">
        <v>7</v>
      </c>
      <c r="AM93" s="27" t="s">
        <v>8</v>
      </c>
      <c r="AN93" s="27" t="s">
        <v>7</v>
      </c>
      <c r="AO93" s="27" t="s">
        <v>8</v>
      </c>
      <c r="AP93" s="27" t="s">
        <v>7</v>
      </c>
      <c r="AQ93" s="27" t="s">
        <v>8</v>
      </c>
      <c r="AR93" s="27" t="s">
        <v>7</v>
      </c>
      <c r="AS93" s="27" t="s">
        <v>8</v>
      </c>
    </row>
    <row r="94" spans="1:47" x14ac:dyDescent="0.25">
      <c r="A94" s="30">
        <v>13.109994191499954</v>
      </c>
      <c r="E94" t="s">
        <v>8</v>
      </c>
      <c r="F94" s="27" t="s">
        <v>7</v>
      </c>
      <c r="H94" s="27" t="s">
        <v>7</v>
      </c>
      <c r="I94" s="27" t="s">
        <v>8</v>
      </c>
      <c r="K94" s="27" t="s">
        <v>8</v>
      </c>
      <c r="O94" s="27" t="s">
        <v>8</v>
      </c>
      <c r="Q94" s="27" t="s">
        <v>8</v>
      </c>
      <c r="R94" s="27" t="s">
        <v>7</v>
      </c>
      <c r="T94" s="27" t="s">
        <v>7</v>
      </c>
      <c r="V94" s="27" t="s">
        <v>7</v>
      </c>
      <c r="W94" s="27" t="s">
        <v>8</v>
      </c>
      <c r="AF94" s="27" t="s">
        <v>7</v>
      </c>
      <c r="AH94" s="27" t="s">
        <v>7</v>
      </c>
      <c r="AI94" s="27" t="s">
        <v>8</v>
      </c>
      <c r="AM94" s="27" t="s">
        <v>8</v>
      </c>
      <c r="AN94" s="27" t="s">
        <v>7</v>
      </c>
      <c r="AO94" s="27" t="s">
        <v>8</v>
      </c>
      <c r="AP94" s="27" t="s">
        <v>7</v>
      </c>
      <c r="AQ94" s="27" t="s">
        <v>8</v>
      </c>
      <c r="AR94" s="27" t="s">
        <v>7</v>
      </c>
      <c r="AS94" s="27" t="s">
        <v>8</v>
      </c>
      <c r="AT94" s="27" t="s">
        <v>7</v>
      </c>
    </row>
    <row r="95" spans="1:47" x14ac:dyDescent="0.25">
      <c r="A95" s="30">
        <v>11.918176537727231</v>
      </c>
      <c r="C95" s="1" t="s">
        <v>11</v>
      </c>
      <c r="D95" s="1" t="s">
        <v>12</v>
      </c>
      <c r="E95" t="s">
        <v>8</v>
      </c>
      <c r="H95" s="27" t="s">
        <v>7</v>
      </c>
      <c r="I95" s="27" t="s">
        <v>8</v>
      </c>
      <c r="J95" s="27" t="s">
        <v>7</v>
      </c>
      <c r="K95" s="27" t="s">
        <v>8</v>
      </c>
      <c r="L95" s="27" t="s">
        <v>7</v>
      </c>
      <c r="O95" s="27" t="s">
        <v>8</v>
      </c>
      <c r="P95" s="27" t="s">
        <v>7</v>
      </c>
      <c r="Q95" s="27" t="s">
        <v>8</v>
      </c>
      <c r="V95" s="27" t="s">
        <v>7</v>
      </c>
      <c r="AH95" s="27" t="s">
        <v>7</v>
      </c>
      <c r="AI95" s="27" t="s">
        <v>8</v>
      </c>
      <c r="AJ95" s="27" t="s">
        <v>7</v>
      </c>
      <c r="AK95" s="27" t="s">
        <v>8</v>
      </c>
      <c r="AM95" s="27" t="s">
        <v>8</v>
      </c>
      <c r="AN95" s="27" t="s">
        <v>7</v>
      </c>
      <c r="AO95" s="27" t="s">
        <v>8</v>
      </c>
      <c r="AP95" s="27" t="s">
        <v>7</v>
      </c>
      <c r="AQ95" s="27" t="s">
        <v>8</v>
      </c>
      <c r="AR95" s="27" t="s">
        <v>7</v>
      </c>
      <c r="AS95" s="27" t="s">
        <v>8</v>
      </c>
      <c r="AT95" s="27" t="s">
        <v>7</v>
      </c>
    </row>
    <row r="96" spans="1:47" x14ac:dyDescent="0.25">
      <c r="A96" s="30">
        <v>10.834705943388391</v>
      </c>
      <c r="C96"/>
      <c r="D96"/>
      <c r="E96" t="s">
        <v>8</v>
      </c>
      <c r="H96" s="27" t="s">
        <v>7</v>
      </c>
      <c r="I96" s="27" t="s">
        <v>8</v>
      </c>
      <c r="J96" s="27" t="s">
        <v>7</v>
      </c>
      <c r="K96" s="27" t="s">
        <v>8</v>
      </c>
      <c r="L96" s="27" t="s">
        <v>7</v>
      </c>
      <c r="M96" s="27" t="s">
        <v>8</v>
      </c>
      <c r="O96" s="27" t="s">
        <v>8</v>
      </c>
      <c r="P96" s="27" t="s">
        <v>7</v>
      </c>
      <c r="Q96" s="27" t="s">
        <v>8</v>
      </c>
      <c r="AH96" s="27" t="s">
        <v>7</v>
      </c>
      <c r="AI96" s="27" t="s">
        <v>8</v>
      </c>
      <c r="AJ96" s="27" t="s">
        <v>7</v>
      </c>
      <c r="AK96" s="27" t="s">
        <v>8</v>
      </c>
      <c r="AL96" s="27" t="s">
        <v>7</v>
      </c>
      <c r="AM96" s="27" t="s">
        <v>8</v>
      </c>
      <c r="AN96" s="27" t="s">
        <v>7</v>
      </c>
      <c r="AP96" s="27" t="s">
        <v>7</v>
      </c>
      <c r="AR96" s="27" t="s">
        <v>7</v>
      </c>
      <c r="AS96" s="27" t="s">
        <v>8</v>
      </c>
      <c r="AT96" s="27" t="s">
        <v>7</v>
      </c>
      <c r="AU96" s="27" t="s">
        <v>8</v>
      </c>
    </row>
    <row r="97" spans="1:48" x14ac:dyDescent="0.25">
      <c r="A97" s="30">
        <v>9.849732675807628</v>
      </c>
      <c r="E97" t="s">
        <v>8</v>
      </c>
      <c r="H97" s="27" t="s">
        <v>7</v>
      </c>
      <c r="I97" s="27" t="s">
        <v>8</v>
      </c>
      <c r="J97" s="27" t="s">
        <v>7</v>
      </c>
      <c r="K97" s="27" t="s">
        <v>8</v>
      </c>
      <c r="L97" s="27" t="s">
        <v>7</v>
      </c>
      <c r="M97" s="27" t="s">
        <v>8</v>
      </c>
      <c r="N97" s="27" t="s">
        <v>7</v>
      </c>
      <c r="O97" s="27" t="s">
        <v>8</v>
      </c>
      <c r="P97" s="27" t="s">
        <v>7</v>
      </c>
      <c r="Q97" s="27" t="s">
        <v>8</v>
      </c>
      <c r="AH97" s="27" t="s">
        <v>7</v>
      </c>
      <c r="AI97" s="27" t="s">
        <v>8</v>
      </c>
      <c r="AJ97" s="27" t="s">
        <v>7</v>
      </c>
      <c r="AK97" s="27" t="s">
        <v>8</v>
      </c>
      <c r="AL97" s="27" t="s">
        <v>7</v>
      </c>
      <c r="AM97" s="27" t="s">
        <v>8</v>
      </c>
      <c r="AR97" s="27" t="s">
        <v>7</v>
      </c>
      <c r="AS97" s="27" t="s">
        <v>8</v>
      </c>
      <c r="AT97" s="27" t="s">
        <v>7</v>
      </c>
      <c r="AU97" s="27" t="s">
        <v>8</v>
      </c>
      <c r="AV97" s="27" t="s">
        <v>7</v>
      </c>
    </row>
    <row r="98" spans="1:48" x14ac:dyDescent="0.25">
      <c r="A98" s="30">
        <v>8.9543024325523888</v>
      </c>
      <c r="C98" s="1" t="s">
        <v>13</v>
      </c>
      <c r="E98" t="s">
        <v>8</v>
      </c>
      <c r="H98" s="27" t="s">
        <v>7</v>
      </c>
      <c r="J98" s="27" t="s">
        <v>7</v>
      </c>
      <c r="L98" s="27" t="s">
        <v>7</v>
      </c>
      <c r="M98" s="27" t="s">
        <v>8</v>
      </c>
      <c r="N98" s="27" t="s">
        <v>7</v>
      </c>
      <c r="O98" s="27" t="s">
        <v>8</v>
      </c>
      <c r="P98" s="27" t="s">
        <v>7</v>
      </c>
      <c r="Q98" s="27" t="s">
        <v>8</v>
      </c>
      <c r="AH98" s="27" t="s">
        <v>7</v>
      </c>
      <c r="AI98" s="27" t="s">
        <v>8</v>
      </c>
      <c r="AJ98" s="27" t="s">
        <v>7</v>
      </c>
      <c r="AK98" s="27" t="s">
        <v>8</v>
      </c>
      <c r="AL98" s="27" t="s">
        <v>7</v>
      </c>
      <c r="AM98" s="27" t="s">
        <v>8</v>
      </c>
      <c r="AR98" s="27" t="s">
        <v>7</v>
      </c>
      <c r="AT98" s="27" t="s">
        <v>7</v>
      </c>
      <c r="AU98" s="27" t="s">
        <v>8</v>
      </c>
      <c r="AV98" s="27" t="s">
        <v>7</v>
      </c>
    </row>
    <row r="99" spans="1:48" x14ac:dyDescent="0.25">
      <c r="A99" s="30">
        <v>8.140274938683989</v>
      </c>
      <c r="C99" s="1">
        <f>C88</f>
        <v>0</v>
      </c>
      <c r="E99" t="s">
        <v>8</v>
      </c>
      <c r="L99" s="27" t="s">
        <v>7</v>
      </c>
      <c r="M99" s="27" t="s">
        <v>8</v>
      </c>
      <c r="N99" s="27" t="s">
        <v>7</v>
      </c>
      <c r="P99" s="27" t="s">
        <v>7</v>
      </c>
      <c r="AH99" s="27" t="s">
        <v>7</v>
      </c>
      <c r="AJ99" s="27" t="s">
        <v>7</v>
      </c>
      <c r="AL99" s="27" t="s">
        <v>7</v>
      </c>
      <c r="AM99" s="27" t="s">
        <v>8</v>
      </c>
      <c r="AT99" s="27" t="s">
        <v>7</v>
      </c>
      <c r="AV99" s="27" t="s">
        <v>7</v>
      </c>
    </row>
    <row r="100" spans="1:48" x14ac:dyDescent="0.25">
      <c r="A100" s="30">
        <v>7.4002499442581717</v>
      </c>
      <c r="C100"/>
      <c r="D100"/>
      <c r="E100" t="s">
        <v>8</v>
      </c>
      <c r="L100" s="27" t="s">
        <v>7</v>
      </c>
      <c r="M100" s="27" t="s">
        <v>8</v>
      </c>
      <c r="AL100" s="27" t="s">
        <v>7</v>
      </c>
      <c r="AM100" s="27" t="s">
        <v>8</v>
      </c>
      <c r="AV100" s="27" t="s">
        <v>7</v>
      </c>
    </row>
    <row r="101" spans="1:48" x14ac:dyDescent="0.25">
      <c r="A101" s="30">
        <v>6.72749994932561</v>
      </c>
      <c r="C101" s="1" t="s">
        <v>14</v>
      </c>
      <c r="E101" t="s">
        <v>8</v>
      </c>
      <c r="L101" s="27" t="s">
        <v>7</v>
      </c>
      <c r="M101" s="27" t="s">
        <v>8</v>
      </c>
      <c r="AL101" s="18" t="s">
        <v>7</v>
      </c>
      <c r="AV101" s="27" t="s">
        <v>7</v>
      </c>
    </row>
    <row r="102" spans="1:4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L102" s="27" t="s">
        <v>7</v>
      </c>
      <c r="M102" s="27" t="s">
        <v>8</v>
      </c>
      <c r="AV102" s="27" t="s">
        <v>7</v>
      </c>
    </row>
    <row r="103" spans="1:48" x14ac:dyDescent="0.25">
      <c r="A103" s="30">
        <v>5.5599173134922388</v>
      </c>
      <c r="E103" t="s">
        <v>8</v>
      </c>
      <c r="L103" s="27" t="s">
        <v>7</v>
      </c>
      <c r="M103" s="27" t="s">
        <v>8</v>
      </c>
      <c r="AV103" s="27" t="s">
        <v>7</v>
      </c>
    </row>
    <row r="104" spans="1:48" x14ac:dyDescent="0.25">
      <c r="A104" s="30">
        <v>5.0544702849929442</v>
      </c>
      <c r="E104" t="s">
        <v>8</v>
      </c>
      <c r="L104" s="27" t="s">
        <v>7</v>
      </c>
      <c r="AV104" s="27" t="s">
        <v>7</v>
      </c>
    </row>
    <row r="105" spans="1:48" x14ac:dyDescent="0.25">
      <c r="A105" s="30">
        <v>4.594972986357222</v>
      </c>
      <c r="E105" t="s">
        <v>8</v>
      </c>
    </row>
    <row r="106" spans="1:48" x14ac:dyDescent="0.25">
      <c r="A106" s="30">
        <v>4.1772481694156562</v>
      </c>
      <c r="E106" t="s">
        <v>8</v>
      </c>
    </row>
    <row r="107" spans="1:48" x14ac:dyDescent="0.25">
      <c r="A107" s="30">
        <v>3.7974983358324148</v>
      </c>
      <c r="E107" t="s">
        <v>8</v>
      </c>
    </row>
    <row r="108" spans="1:48" x14ac:dyDescent="0.25">
      <c r="A108" s="30">
        <v>3.4522712143931042</v>
      </c>
      <c r="E108" t="s">
        <v>8</v>
      </c>
    </row>
    <row r="109" spans="1:48" x14ac:dyDescent="0.25">
      <c r="A109" s="30">
        <v>3.1384283767210035</v>
      </c>
      <c r="E109" t="s">
        <v>8</v>
      </c>
    </row>
    <row r="110" spans="1:48" x14ac:dyDescent="0.25">
      <c r="A110" s="30">
        <v>2.8531167061100029</v>
      </c>
      <c r="E110" t="s">
        <v>8</v>
      </c>
    </row>
    <row r="111" spans="1:48" x14ac:dyDescent="0.25">
      <c r="A111" s="30">
        <v>2.5937424601000023</v>
      </c>
      <c r="C111" s="1" t="str">
        <f>ADDRESS(C121-1,1,1,1)</f>
        <v>$A$103</v>
      </c>
      <c r="D111" s="1" t="str">
        <f>ADDRESS(C121-1,D121,1,1)</f>
        <v>$AV$103</v>
      </c>
      <c r="E111" t="s">
        <v>8</v>
      </c>
    </row>
    <row r="112" spans="1:48" x14ac:dyDescent="0.25">
      <c r="A112" s="30">
        <v>2.3579476910000019</v>
      </c>
      <c r="C112" s="1" t="str">
        <f>ADDRESS(C121,1,1,1)</f>
        <v>$A$104</v>
      </c>
      <c r="D112" s="1" t="str">
        <f>ADDRESS(C121,D121-1,1,1)</f>
        <v>$AU$104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$A$105</v>
      </c>
      <c r="D113" s="1" t="str">
        <f>ADDRESS(C121-1,D121+1,1,1)</f>
        <v>$AW$103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$AV$104</v>
      </c>
      <c r="D114" s="1" t="str">
        <f>ADDRESS(C121+1,D121+1,1,1)</f>
        <v>$AW$105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$AV$105</v>
      </c>
      <c r="E115" s="1" t="s">
        <v>8</v>
      </c>
    </row>
    <row r="116" spans="1:5" x14ac:dyDescent="0.25">
      <c r="A116" s="30">
        <v>1.6105100000000008</v>
      </c>
      <c r="C116" s="1">
        <f>C117-1</f>
        <v>103</v>
      </c>
      <c r="E116" s="1" t="s">
        <v>8</v>
      </c>
    </row>
    <row r="117" spans="1:5" x14ac:dyDescent="0.25">
      <c r="A117" s="30">
        <v>1.4641000000000006</v>
      </c>
      <c r="C117" s="1">
        <f>C121</f>
        <v>104</v>
      </c>
      <c r="D117" s="1">
        <f>D121</f>
        <v>48</v>
      </c>
      <c r="E117" s="1" t="s">
        <v>8</v>
      </c>
    </row>
    <row r="118" spans="1:5" x14ac:dyDescent="0.25">
      <c r="A118" s="30">
        <v>1.3310000000000004</v>
      </c>
      <c r="C118" s="1">
        <f>C117+1</f>
        <v>105</v>
      </c>
      <c r="D118" s="1">
        <f>D117+1</f>
        <v>49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104</v>
      </c>
      <c r="D121" s="19">
        <v>48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R104</v>
      </c>
      <c r="D123" s="1" t="str">
        <f>"C"&amp;D121</f>
        <v>C48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5.0544702849929442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07" operator="equal">
      <formula>$U$1</formula>
    </cfRule>
    <cfRule type="cellIs" dxfId="30" priority="808" operator="equal">
      <formula>$S$1</formula>
    </cfRule>
  </conditionalFormatting>
  <conditionalFormatting sqref="D136">
    <cfRule type="cellIs" dxfId="29" priority="805" operator="equal">
      <formula>$S$1</formula>
    </cfRule>
    <cfRule type="cellIs" dxfId="28" priority="806" operator="equal">
      <formula>$U$1</formula>
    </cfRule>
  </conditionalFormatting>
  <conditionalFormatting sqref="C102">
    <cfRule type="cellIs" dxfId="27" priority="803" operator="equal">
      <formula>$U$1</formula>
    </cfRule>
    <cfRule type="cellIs" dxfId="26" priority="804" operator="equal">
      <formula>$S$1</formula>
    </cfRule>
  </conditionalFormatting>
  <conditionalFormatting sqref="D102">
    <cfRule type="cellIs" dxfId="25" priority="801" operator="equal">
      <formula>$S$1</formula>
    </cfRule>
    <cfRule type="cellIs" dxfId="24" priority="802" operator="equal">
      <formula>$U$1</formula>
    </cfRule>
  </conditionalFormatting>
  <conditionalFormatting sqref="C77">
    <cfRule type="cellIs" dxfId="23" priority="799" operator="equal">
      <formula>$U$1</formula>
    </cfRule>
    <cfRule type="cellIs" dxfId="22" priority="800" operator="equal">
      <formula>$S$1</formula>
    </cfRule>
  </conditionalFormatting>
  <conditionalFormatting sqref="D77">
    <cfRule type="cellIs" dxfId="21" priority="797" operator="equal">
      <formula>$S$1</formula>
    </cfRule>
    <cfRule type="cellIs" dxfId="20" priority="798" operator="equal">
      <formula>$U$1</formula>
    </cfRule>
  </conditionalFormatting>
  <conditionalFormatting sqref="C52">
    <cfRule type="cellIs" dxfId="19" priority="795" operator="equal">
      <formula>$U$1</formula>
    </cfRule>
    <cfRule type="cellIs" dxfId="18" priority="796" operator="equal">
      <formula>$S$1</formula>
    </cfRule>
  </conditionalFormatting>
  <conditionalFormatting sqref="D52">
    <cfRule type="cellIs" dxfId="17" priority="793" operator="equal">
      <formula>$S$1</formula>
    </cfRule>
    <cfRule type="cellIs" dxfId="16" priority="794" operator="equal">
      <formula>$U$1</formula>
    </cfRule>
  </conditionalFormatting>
  <conditionalFormatting sqref="C26">
    <cfRule type="cellIs" dxfId="15" priority="791" operator="equal">
      <formula>$U$1</formula>
    </cfRule>
    <cfRule type="cellIs" dxfId="14" priority="792" operator="equal">
      <formula>$S$1</formula>
    </cfRule>
  </conditionalFormatting>
  <conditionalFormatting sqref="D26">
    <cfRule type="cellIs" dxfId="13" priority="789" operator="equal">
      <formula>$S$1</formula>
    </cfRule>
    <cfRule type="cellIs" dxfId="12" priority="79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2022-01-28T01:17:59Z</dcterms:modified>
</cp:coreProperties>
</file>