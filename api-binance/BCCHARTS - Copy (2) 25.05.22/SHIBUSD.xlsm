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5E1F27A-E4F8-4B73-BE42-14C43A748C3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22" i="4"/>
  <c r="C133" i="4" s="1"/>
  <c r="D136" i="4" s="1"/>
  <c r="C118" i="4"/>
  <c r="R765" i="1"/>
  <c r="C122" i="3"/>
  <c r="C133" i="3" s="1"/>
  <c r="C136" i="3" s="1"/>
  <c r="C118" i="3"/>
  <c r="C136" i="5" l="1"/>
  <c r="C138" i="5" s="1"/>
  <c r="C136" i="4"/>
  <c r="C138" i="4" s="1"/>
  <c r="R764" i="1"/>
  <c r="S765" i="1"/>
  <c r="T765" i="1" s="1"/>
  <c r="D136" i="3"/>
  <c r="C138" i="3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S709" i="1" l="1"/>
  <c r="T709" i="1" s="1"/>
  <c r="R708" i="1"/>
  <c r="S708" i="1" l="1"/>
  <c r="T708" i="1" s="1"/>
  <c r="R707" i="1"/>
  <c r="R706" i="1" l="1"/>
  <c r="S707" i="1"/>
  <c r="T707" i="1" s="1"/>
  <c r="S706" i="1" l="1"/>
  <c r="T706" i="1" s="1"/>
  <c r="R705" i="1"/>
  <c r="S705" i="1" l="1"/>
  <c r="T705" i="1" s="1"/>
  <c r="R704" i="1"/>
  <c r="S704" i="1" l="1"/>
  <c r="T704" i="1" s="1"/>
  <c r="R703" i="1"/>
  <c r="R702" i="1" l="1"/>
  <c r="S703" i="1"/>
  <c r="T703" i="1" s="1"/>
  <c r="S702" i="1" l="1"/>
  <c r="T702" i="1" s="1"/>
  <c r="R701" i="1"/>
  <c r="S701" i="1" l="1"/>
  <c r="T701" i="1" s="1"/>
  <c r="R700" i="1"/>
  <c r="S700" i="1" l="1"/>
  <c r="T700" i="1" s="1"/>
  <c r="R699" i="1"/>
  <c r="S699" i="1" l="1"/>
  <c r="T699" i="1" s="1"/>
  <c r="R698" i="1"/>
  <c r="S698" i="1" l="1"/>
  <c r="T698" i="1" s="1"/>
  <c r="R697" i="1"/>
  <c r="S697" i="1" l="1"/>
  <c r="T697" i="1" s="1"/>
  <c r="R696" i="1"/>
  <c r="S696" i="1" l="1"/>
  <c r="T696" i="1" s="1"/>
  <c r="R695" i="1"/>
  <c r="S695" i="1" l="1"/>
  <c r="T695" i="1" s="1"/>
  <c r="R694" i="1"/>
  <c r="R693" i="1" l="1"/>
  <c r="S694" i="1"/>
  <c r="T694" i="1" s="1"/>
  <c r="S693" i="1" l="1"/>
  <c r="T693" i="1" s="1"/>
  <c r="R692" i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S684" i="1" l="1"/>
  <c r="T684" i="1" s="1"/>
  <c r="R683" i="1"/>
  <c r="S683" i="1" l="1"/>
  <c r="T683" i="1" s="1"/>
  <c r="R682" i="1"/>
  <c r="S682" i="1" l="1"/>
  <c r="T682" i="1" s="1"/>
  <c r="R681" i="1"/>
  <c r="S681" i="1" l="1"/>
  <c r="T681" i="1" s="1"/>
  <c r="R680" i="1"/>
  <c r="S680" i="1" l="1"/>
  <c r="T680" i="1" s="1"/>
  <c r="R679" i="1"/>
  <c r="S679" i="1" l="1"/>
  <c r="T679" i="1" s="1"/>
  <c r="R678" i="1"/>
  <c r="R677" i="1" l="1"/>
  <c r="S678" i="1"/>
  <c r="T678" i="1" s="1"/>
  <c r="S677" i="1" l="1"/>
  <c r="T677" i="1" s="1"/>
  <c r="R676" i="1"/>
  <c r="S676" i="1" l="1"/>
  <c r="T676" i="1" s="1"/>
  <c r="R675" i="1"/>
  <c r="R674" i="1" l="1"/>
  <c r="S675" i="1"/>
  <c r="T675" i="1" s="1"/>
  <c r="R673" i="1" l="1"/>
  <c r="S674" i="1"/>
  <c r="T674" i="1" s="1"/>
  <c r="S673" i="1" l="1"/>
  <c r="T673" i="1" s="1"/>
  <c r="R672" i="1"/>
  <c r="R671" i="1" l="1"/>
  <c r="S672" i="1"/>
  <c r="T672" i="1" s="1"/>
  <c r="S671" i="1" l="1"/>
  <c r="T671" i="1" s="1"/>
  <c r="R670" i="1"/>
  <c r="S670" i="1" l="1"/>
  <c r="T670" i="1" s="1"/>
  <c r="R669" i="1"/>
  <c r="S669" i="1" l="1"/>
  <c r="T669" i="1" s="1"/>
  <c r="R668" i="1"/>
  <c r="S668" i="1" l="1"/>
  <c r="T668" i="1" s="1"/>
  <c r="R667" i="1"/>
  <c r="S667" i="1" l="1"/>
  <c r="T667" i="1" s="1"/>
  <c r="R666" i="1"/>
  <c r="R665" i="1" l="1"/>
  <c r="S666" i="1"/>
  <c r="T666" i="1" s="1"/>
  <c r="R664" i="1" l="1"/>
  <c r="S665" i="1"/>
  <c r="T665" i="1" s="1"/>
  <c r="S664" i="1" l="1"/>
  <c r="T664" i="1" s="1"/>
  <c r="R663" i="1"/>
  <c r="S663" i="1" l="1"/>
  <c r="T663" i="1" s="1"/>
  <c r="R662" i="1"/>
  <c r="S662" i="1" l="1"/>
  <c r="T662" i="1" s="1"/>
  <c r="R661" i="1"/>
  <c r="S661" i="1" l="1"/>
  <c r="T661" i="1" s="1"/>
  <c r="R660" i="1"/>
  <c r="S660" i="1" l="1"/>
  <c r="T660" i="1" s="1"/>
  <c r="R659" i="1"/>
  <c r="S659" i="1" l="1"/>
  <c r="T659" i="1" s="1"/>
  <c r="R658" i="1"/>
  <c r="S658" i="1" l="1"/>
  <c r="T658" i="1" s="1"/>
  <c r="R657" i="1"/>
  <c r="S657" i="1" l="1"/>
  <c r="T657" i="1" s="1"/>
  <c r="R656" i="1"/>
  <c r="S656" i="1" l="1"/>
  <c r="T656" i="1" s="1"/>
  <c r="R655" i="1"/>
  <c r="S655" i="1" l="1"/>
  <c r="T655" i="1" s="1"/>
  <c r="R654" i="1"/>
  <c r="S654" i="1" l="1"/>
  <c r="T654" i="1" s="1"/>
  <c r="R653" i="1"/>
  <c r="S653" i="1" l="1"/>
  <c r="T653" i="1" s="1"/>
  <c r="R652" i="1"/>
  <c r="R651" i="1" l="1"/>
  <c r="S652" i="1"/>
  <c r="T652" i="1" s="1"/>
  <c r="R650" i="1" l="1"/>
  <c r="S651" i="1"/>
  <c r="T651" i="1" s="1"/>
  <c r="S650" i="1" l="1"/>
  <c r="T650" i="1" s="1"/>
  <c r="R649" i="1"/>
  <c r="R648" i="1" l="1"/>
  <c r="S649" i="1"/>
  <c r="T649" i="1" s="1"/>
  <c r="S648" i="1" l="1"/>
  <c r="T648" i="1" s="1"/>
  <c r="R647" i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S641" i="1" l="1"/>
  <c r="T641" i="1" s="1"/>
  <c r="R640" i="1"/>
  <c r="R639" i="1" l="1"/>
  <c r="S640" i="1"/>
  <c r="T640" i="1" s="1"/>
  <c r="R638" i="1" l="1"/>
  <c r="S639" i="1"/>
  <c r="T639" i="1" s="1"/>
  <c r="R637" i="1" l="1"/>
  <c r="S638" i="1"/>
  <c r="T638" i="1" s="1"/>
  <c r="S637" i="1" l="1"/>
  <c r="T637" i="1" s="1"/>
  <c r="R636" i="1"/>
  <c r="R635" i="1" l="1"/>
  <c r="S636" i="1"/>
  <c r="T636" i="1" s="1"/>
  <c r="R634" i="1" l="1"/>
  <c r="S635" i="1"/>
  <c r="T635" i="1" s="1"/>
  <c r="S634" i="1" l="1"/>
  <c r="T634" i="1" s="1"/>
  <c r="R633" i="1"/>
  <c r="R632" i="1" l="1"/>
  <c r="S633" i="1"/>
  <c r="T633" i="1" s="1"/>
  <c r="R631" i="1" l="1"/>
  <c r="S632" i="1"/>
  <c r="T632" i="1" s="1"/>
  <c r="R630" i="1" l="1"/>
  <c r="S631" i="1"/>
  <c r="T631" i="1" s="1"/>
  <c r="S630" i="1" l="1"/>
  <c r="T630" i="1" s="1"/>
  <c r="R629" i="1"/>
  <c r="R628" i="1" l="1"/>
  <c r="S629" i="1"/>
  <c r="T629" i="1" s="1"/>
  <c r="S628" i="1" l="1"/>
  <c r="T628" i="1" s="1"/>
  <c r="R627" i="1"/>
  <c r="S627" i="1" l="1"/>
  <c r="T627" i="1" s="1"/>
  <c r="R626" i="1"/>
  <c r="S626" i="1" l="1"/>
  <c r="T626" i="1" s="1"/>
  <c r="R625" i="1"/>
  <c r="R624" i="1" l="1"/>
  <c r="S625" i="1"/>
  <c r="T625" i="1" s="1"/>
  <c r="R623" i="1" l="1"/>
  <c r="S624" i="1"/>
  <c r="T624" i="1" s="1"/>
  <c r="R622" i="1" l="1"/>
  <c r="S623" i="1"/>
  <c r="T623" i="1" s="1"/>
  <c r="S622" i="1" l="1"/>
  <c r="T622" i="1" s="1"/>
  <c r="R621" i="1"/>
  <c r="S621" i="1" l="1"/>
  <c r="T621" i="1" s="1"/>
  <c r="R620" i="1"/>
  <c r="R619" i="1" l="1"/>
  <c r="S620" i="1"/>
  <c r="T620" i="1" s="1"/>
  <c r="R618" i="1" l="1"/>
  <c r="S619" i="1"/>
  <c r="T619" i="1" s="1"/>
  <c r="S618" i="1" l="1"/>
  <c r="T618" i="1" s="1"/>
  <c r="R617" i="1"/>
  <c r="S617" i="1" l="1"/>
  <c r="T617" i="1" s="1"/>
  <c r="R616" i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S609" i="1" l="1"/>
  <c r="T609" i="1" s="1"/>
  <c r="R608" i="1"/>
  <c r="S608" i="1" l="1"/>
  <c r="T608" i="1" s="1"/>
  <c r="R607" i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S602" i="1" l="1"/>
  <c r="T602" i="1" s="1"/>
  <c r="R601" i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S595" i="1" l="1"/>
  <c r="T595" i="1" s="1"/>
  <c r="R594" i="1"/>
  <c r="S594" i="1" l="1"/>
  <c r="T594" i="1" s="1"/>
  <c r="R593" i="1"/>
  <c r="S593" i="1" l="1"/>
  <c r="T593" i="1" s="1"/>
  <c r="R592" i="1"/>
  <c r="S592" i="1" l="1"/>
  <c r="T592" i="1" s="1"/>
  <c r="R591" i="1"/>
  <c r="R590" i="1" l="1"/>
  <c r="S591" i="1"/>
  <c r="T591" i="1" s="1"/>
  <c r="S590" i="1" l="1"/>
  <c r="T590" i="1" s="1"/>
  <c r="R589" i="1"/>
  <c r="S589" i="1" l="1"/>
  <c r="T589" i="1" s="1"/>
  <c r="R588" i="1"/>
  <c r="S588" i="1" l="1"/>
  <c r="T588" i="1" s="1"/>
  <c r="R587" i="1"/>
  <c r="S587" i="1" l="1"/>
  <c r="T587" i="1" s="1"/>
  <c r="R586" i="1"/>
  <c r="S586" i="1" l="1"/>
  <c r="T586" i="1" s="1"/>
  <c r="R585" i="1"/>
  <c r="S585" i="1" l="1"/>
  <c r="T585" i="1" s="1"/>
  <c r="R584" i="1"/>
  <c r="R583" i="1" l="1"/>
  <c r="S584" i="1"/>
  <c r="T584" i="1" s="1"/>
  <c r="S583" i="1" l="1"/>
  <c r="T583" i="1" s="1"/>
  <c r="R582" i="1"/>
  <c r="S582" i="1" l="1"/>
  <c r="T582" i="1" s="1"/>
  <c r="R581" i="1"/>
  <c r="S581" i="1" l="1"/>
  <c r="T581" i="1" s="1"/>
  <c r="R580" i="1"/>
  <c r="R579" i="1" l="1"/>
  <c r="S580" i="1"/>
  <c r="T580" i="1" s="1"/>
  <c r="R578" i="1" l="1"/>
  <c r="S579" i="1"/>
  <c r="T579" i="1" s="1"/>
  <c r="S578" i="1" l="1"/>
  <c r="T578" i="1" s="1"/>
  <c r="R577" i="1"/>
  <c r="S577" i="1" l="1"/>
  <c r="T577" i="1" s="1"/>
  <c r="R576" i="1"/>
  <c r="S576" i="1" l="1"/>
  <c r="T576" i="1" s="1"/>
  <c r="R575" i="1"/>
  <c r="S575" i="1" l="1"/>
  <c r="T575" i="1" s="1"/>
  <c r="R574" i="1"/>
  <c r="S574" i="1" l="1"/>
  <c r="T574" i="1" s="1"/>
  <c r="R573" i="1"/>
  <c r="S573" i="1" l="1"/>
  <c r="T573" i="1" s="1"/>
  <c r="R572" i="1"/>
  <c r="S572" i="1" l="1"/>
  <c r="T572" i="1" s="1"/>
  <c r="R571" i="1"/>
  <c r="R570" i="1" l="1"/>
  <c r="S571" i="1"/>
  <c r="T571" i="1" s="1"/>
  <c r="R569" i="1" l="1"/>
  <c r="S570" i="1"/>
  <c r="T570" i="1" s="1"/>
  <c r="R568" i="1" l="1"/>
  <c r="S569" i="1"/>
  <c r="T569" i="1" s="1"/>
  <c r="S568" i="1" l="1"/>
  <c r="T568" i="1" s="1"/>
  <c r="R567" i="1"/>
  <c r="S567" i="1" l="1"/>
  <c r="T567" i="1" s="1"/>
  <c r="R566" i="1"/>
  <c r="S566" i="1" l="1"/>
  <c r="T566" i="1" s="1"/>
  <c r="R565" i="1"/>
  <c r="R564" i="1" l="1"/>
  <c r="S565" i="1"/>
  <c r="T565" i="1" s="1"/>
  <c r="R563" i="1" l="1"/>
  <c r="S564" i="1"/>
  <c r="T564" i="1" s="1"/>
  <c r="S563" i="1" l="1"/>
  <c r="T563" i="1" s="1"/>
  <c r="R562" i="1"/>
  <c r="S562" i="1" l="1"/>
  <c r="T562" i="1" s="1"/>
  <c r="R561" i="1"/>
  <c r="S561" i="1" l="1"/>
  <c r="T561" i="1" s="1"/>
  <c r="R560" i="1"/>
  <c r="R559" i="1" l="1"/>
  <c r="S560" i="1"/>
  <c r="T560" i="1" s="1"/>
  <c r="S559" i="1" l="1"/>
  <c r="T559" i="1" s="1"/>
  <c r="R558" i="1"/>
  <c r="S558" i="1" l="1"/>
  <c r="T558" i="1" s="1"/>
  <c r="R557" i="1"/>
  <c r="S557" i="1" l="1"/>
  <c r="T557" i="1" s="1"/>
  <c r="R556" i="1"/>
  <c r="S556" i="1" l="1"/>
  <c r="T556" i="1" s="1"/>
  <c r="R555" i="1"/>
  <c r="R554" i="1" l="1"/>
  <c r="S555" i="1"/>
  <c r="T555" i="1" s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S548" i="1" l="1"/>
  <c r="T548" i="1" s="1"/>
  <c r="R547" i="1"/>
  <c r="S547" i="1" l="1"/>
  <c r="T547" i="1" s="1"/>
  <c r="R546" i="1"/>
  <c r="S546" i="1" l="1"/>
  <c r="T546" i="1" s="1"/>
  <c r="R545" i="1"/>
  <c r="R544" i="1" l="1"/>
  <c r="S545" i="1"/>
  <c r="T545" i="1" s="1"/>
  <c r="S544" i="1" l="1"/>
  <c r="T544" i="1" s="1"/>
  <c r="R543" i="1"/>
  <c r="S543" i="1" l="1"/>
  <c r="T543" i="1" s="1"/>
  <c r="R542" i="1"/>
  <c r="S542" i="1" l="1"/>
  <c r="T542" i="1" s="1"/>
  <c r="R541" i="1"/>
  <c r="S541" i="1" l="1"/>
  <c r="T541" i="1" s="1"/>
  <c r="R540" i="1"/>
  <c r="S540" i="1" l="1"/>
  <c r="T540" i="1" s="1"/>
  <c r="R539" i="1"/>
  <c r="S539" i="1" l="1"/>
  <c r="T539" i="1" s="1"/>
  <c r="R538" i="1"/>
  <c r="S538" i="1" l="1"/>
  <c r="T538" i="1" s="1"/>
  <c r="R537" i="1"/>
  <c r="R536" i="1" l="1"/>
  <c r="S537" i="1"/>
  <c r="T537" i="1" s="1"/>
  <c r="R535" i="1" l="1"/>
  <c r="S536" i="1"/>
  <c r="T536" i="1" s="1"/>
  <c r="R534" i="1" l="1"/>
  <c r="S535" i="1"/>
  <c r="T535" i="1" s="1"/>
  <c r="S534" i="1" l="1"/>
  <c r="T534" i="1" s="1"/>
  <c r="R533" i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S527" i="1" l="1"/>
  <c r="T527" i="1" s="1"/>
  <c r="R526" i="1"/>
  <c r="R525" i="1" l="1"/>
  <c r="S526" i="1"/>
  <c r="T526" i="1" s="1"/>
  <c r="R524" i="1" l="1"/>
  <c r="S525" i="1"/>
  <c r="T525" i="1" s="1"/>
  <c r="R523" i="1" l="1"/>
  <c r="S524" i="1"/>
  <c r="T524" i="1" s="1"/>
  <c r="S523" i="1" l="1"/>
  <c r="T523" i="1" s="1"/>
  <c r="R522" i="1"/>
  <c r="S522" i="1" l="1"/>
  <c r="T522" i="1" s="1"/>
  <c r="R521" i="1"/>
  <c r="S521" i="1" l="1"/>
  <c r="T521" i="1" s="1"/>
  <c r="R520" i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S514" i="1" l="1"/>
  <c r="T514" i="1" s="1"/>
  <c r="R513" i="1"/>
  <c r="S513" i="1" l="1"/>
  <c r="T513" i="1" s="1"/>
  <c r="R512" i="1"/>
  <c r="S512" i="1" l="1"/>
  <c r="T512" i="1" s="1"/>
  <c r="R511" i="1"/>
  <c r="R510" i="1" l="1"/>
  <c r="S511" i="1"/>
  <c r="T511" i="1" s="1"/>
  <c r="S510" i="1" l="1"/>
  <c r="T510" i="1" s="1"/>
  <c r="R509" i="1"/>
  <c r="R508" i="1" l="1"/>
  <c r="S509" i="1"/>
  <c r="T509" i="1" s="1"/>
  <c r="R507" i="1" l="1"/>
  <c r="S508" i="1"/>
  <c r="T508" i="1" s="1"/>
  <c r="R506" i="1" l="1"/>
  <c r="S507" i="1"/>
  <c r="T507" i="1" s="1"/>
  <c r="S506" i="1" l="1"/>
  <c r="T506" i="1" s="1"/>
  <c r="R505" i="1"/>
  <c r="R504" i="1" l="1"/>
  <c r="S505" i="1"/>
  <c r="T505" i="1" s="1"/>
  <c r="R503" i="1" l="1"/>
  <c r="S504" i="1"/>
  <c r="T504" i="1" s="1"/>
  <c r="S503" i="1" l="1"/>
  <c r="T503" i="1" s="1"/>
  <c r="R502" i="1"/>
  <c r="R501" i="1" l="1"/>
  <c r="S502" i="1"/>
  <c r="T502" i="1" s="1"/>
  <c r="S501" i="1" l="1"/>
  <c r="T501" i="1" s="1"/>
  <c r="R500" i="1"/>
  <c r="R499" i="1" l="1"/>
  <c r="S500" i="1"/>
  <c r="T500" i="1" s="1"/>
  <c r="S499" i="1" l="1"/>
  <c r="T499" i="1" s="1"/>
  <c r="R498" i="1"/>
  <c r="S498" i="1" l="1"/>
  <c r="T498" i="1" s="1"/>
  <c r="R497" i="1"/>
  <c r="R496" i="1" l="1"/>
  <c r="S497" i="1"/>
  <c r="T497" i="1" s="1"/>
  <c r="R495" i="1" l="1"/>
  <c r="S496" i="1"/>
  <c r="T496" i="1" s="1"/>
  <c r="S495" i="1" l="1"/>
  <c r="T495" i="1" s="1"/>
  <c r="R494" i="1"/>
  <c r="S494" i="1" l="1"/>
  <c r="T494" i="1" s="1"/>
  <c r="R493" i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S488" i="1" l="1"/>
  <c r="T488" i="1" s="1"/>
  <c r="R487" i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S482" i="1" l="1"/>
  <c r="T482" i="1" s="1"/>
  <c r="R481" i="1"/>
  <c r="R480" i="1" l="1"/>
  <c r="S481" i="1"/>
  <c r="T481" i="1" s="1"/>
  <c r="R479" i="1" l="1"/>
  <c r="S480" i="1"/>
  <c r="T480" i="1" s="1"/>
  <c r="S479" i="1" l="1"/>
  <c r="T479" i="1" s="1"/>
  <c r="R478" i="1"/>
  <c r="S478" i="1" l="1"/>
  <c r="T478" i="1" s="1"/>
  <c r="R477" i="1"/>
  <c r="R476" i="1" l="1"/>
  <c r="S477" i="1"/>
  <c r="T477" i="1" s="1"/>
  <c r="R475" i="1" l="1"/>
  <c r="S476" i="1"/>
  <c r="T476" i="1" s="1"/>
  <c r="S475" i="1" l="1"/>
  <c r="T475" i="1" s="1"/>
  <c r="R474" i="1"/>
  <c r="S474" i="1" l="1"/>
  <c r="T474" i="1" s="1"/>
  <c r="R473" i="1"/>
  <c r="S473" i="1" l="1"/>
  <c r="T473" i="1" s="1"/>
  <c r="R472" i="1"/>
  <c r="S472" i="1" l="1"/>
  <c r="T472" i="1" s="1"/>
  <c r="R471" i="1"/>
  <c r="S471" i="1" l="1"/>
  <c r="T471" i="1" s="1"/>
  <c r="R470" i="1"/>
  <c r="S470" i="1" l="1"/>
  <c r="T470" i="1" s="1"/>
  <c r="R469" i="1"/>
  <c r="S469" i="1" l="1"/>
  <c r="T469" i="1" s="1"/>
  <c r="R468" i="1"/>
  <c r="S468" i="1" l="1"/>
  <c r="T468" i="1" s="1"/>
  <c r="R467" i="1"/>
  <c r="S467" i="1" l="1"/>
  <c r="T467" i="1" s="1"/>
  <c r="R466" i="1"/>
  <c r="S466" i="1" l="1"/>
  <c r="T466" i="1" s="1"/>
  <c r="R465" i="1"/>
  <c r="R464" i="1" l="1"/>
  <c r="S465" i="1"/>
  <c r="T465" i="1" s="1"/>
  <c r="R463" i="1" l="1"/>
  <c r="S464" i="1"/>
  <c r="T464" i="1" s="1"/>
  <c r="S463" i="1" l="1"/>
  <c r="T463" i="1" s="1"/>
  <c r="R462" i="1"/>
  <c r="S462" i="1" l="1"/>
  <c r="T462" i="1" s="1"/>
  <c r="R461" i="1"/>
  <c r="S461" i="1" l="1"/>
  <c r="T461" i="1" s="1"/>
  <c r="R460" i="1"/>
  <c r="S460" i="1" l="1"/>
  <c r="T460" i="1" s="1"/>
  <c r="R459" i="1"/>
  <c r="S459" i="1" l="1"/>
  <c r="T459" i="1" s="1"/>
  <c r="R458" i="1"/>
  <c r="S458" i="1" l="1"/>
  <c r="T458" i="1" s="1"/>
  <c r="R457" i="1"/>
  <c r="S457" i="1" l="1"/>
  <c r="T457" i="1" s="1"/>
  <c r="R456" i="1"/>
  <c r="R455" i="1" l="1"/>
  <c r="S456" i="1"/>
  <c r="T456" i="1" s="1"/>
  <c r="S455" i="1" l="1"/>
  <c r="T455" i="1" s="1"/>
  <c r="R454" i="1"/>
  <c r="S454" i="1" l="1"/>
  <c r="T454" i="1" s="1"/>
  <c r="R453" i="1"/>
  <c r="R452" i="1" l="1"/>
  <c r="S453" i="1"/>
  <c r="T453" i="1" s="1"/>
  <c r="S452" i="1" l="1"/>
  <c r="T452" i="1" s="1"/>
  <c r="R451" i="1"/>
  <c r="S451" i="1" l="1"/>
  <c r="T451" i="1" s="1"/>
  <c r="R450" i="1"/>
  <c r="S450" i="1" l="1"/>
  <c r="T450" i="1" s="1"/>
  <c r="R449" i="1"/>
  <c r="R448" i="1" l="1"/>
  <c r="S449" i="1"/>
  <c r="T449" i="1" s="1"/>
  <c r="R447" i="1" l="1"/>
  <c r="S448" i="1"/>
  <c r="T448" i="1" s="1"/>
  <c r="S447" i="1" l="1"/>
  <c r="T447" i="1" s="1"/>
  <c r="R446" i="1"/>
  <c r="R445" i="1" l="1"/>
  <c r="S446" i="1"/>
  <c r="T446" i="1" s="1"/>
  <c r="S445" i="1" l="1"/>
  <c r="T445" i="1" s="1"/>
  <c r="R444" i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S440" i="1" l="1"/>
  <c r="T440" i="1" s="1"/>
  <c r="R439" i="1"/>
  <c r="R438" i="1" l="1"/>
  <c r="S439" i="1"/>
  <c r="T439" i="1" s="1"/>
  <c r="R437" i="1" l="1"/>
  <c r="S438" i="1"/>
  <c r="T438" i="1" s="1"/>
  <c r="S437" i="1" l="1"/>
  <c r="T437" i="1" s="1"/>
  <c r="R436" i="1"/>
  <c r="S436" i="1" l="1"/>
  <c r="T436" i="1" s="1"/>
  <c r="R435" i="1"/>
  <c r="S435" i="1" l="1"/>
  <c r="T435" i="1" s="1"/>
  <c r="R434" i="1"/>
  <c r="S434" i="1" l="1"/>
  <c r="T434" i="1" s="1"/>
  <c r="R433" i="1"/>
  <c r="S433" i="1" l="1"/>
  <c r="T433" i="1" s="1"/>
  <c r="R432" i="1"/>
  <c r="S432" i="1" l="1"/>
  <c r="T432" i="1" s="1"/>
  <c r="R431" i="1"/>
  <c r="S431" i="1" l="1"/>
  <c r="T431" i="1" s="1"/>
  <c r="R430" i="1"/>
  <c r="S430" i="1" l="1"/>
  <c r="T430" i="1" s="1"/>
  <c r="R429" i="1"/>
  <c r="S429" i="1" l="1"/>
  <c r="T429" i="1" s="1"/>
  <c r="R428" i="1"/>
  <c r="R427" i="1" l="1"/>
  <c r="S428" i="1"/>
  <c r="T428" i="1" s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S423" i="1" l="1"/>
  <c r="T423" i="1" s="1"/>
  <c r="R422" i="1"/>
  <c r="R421" i="1" l="1"/>
  <c r="S422" i="1"/>
  <c r="T422" i="1" s="1"/>
  <c r="S421" i="1" l="1"/>
  <c r="T421" i="1" s="1"/>
  <c r="R420" i="1"/>
  <c r="S420" i="1" l="1"/>
  <c r="T420" i="1" s="1"/>
  <c r="R419" i="1"/>
  <c r="S419" i="1" l="1"/>
  <c r="T419" i="1" s="1"/>
  <c r="R418" i="1"/>
  <c r="S418" i="1" l="1"/>
  <c r="T418" i="1" s="1"/>
  <c r="R417" i="1"/>
  <c r="S417" i="1" l="1"/>
  <c r="T417" i="1" s="1"/>
  <c r="R416" i="1"/>
  <c r="R415" i="1" l="1"/>
  <c r="S416" i="1"/>
  <c r="T416" i="1" s="1"/>
  <c r="R414" i="1" l="1"/>
  <c r="S415" i="1"/>
  <c r="T415" i="1" s="1"/>
  <c r="S414" i="1" l="1"/>
  <c r="T414" i="1" s="1"/>
  <c r="R413" i="1"/>
  <c r="R412" i="1" l="1"/>
  <c r="S413" i="1"/>
  <c r="T413" i="1" s="1"/>
  <c r="S412" i="1" l="1"/>
  <c r="T412" i="1" s="1"/>
  <c r="R411" i="1"/>
  <c r="R410" i="1" l="1"/>
  <c r="S411" i="1"/>
  <c r="T411" i="1" s="1"/>
  <c r="R409" i="1" l="1"/>
  <c r="S410" i="1"/>
  <c r="T410" i="1" s="1"/>
  <c r="R408" i="1" l="1"/>
  <c r="S409" i="1"/>
  <c r="T409" i="1" s="1"/>
  <c r="S408" i="1" l="1"/>
  <c r="T408" i="1" s="1"/>
  <c r="R407" i="1"/>
  <c r="R406" i="1" l="1"/>
  <c r="S407" i="1"/>
  <c r="T407" i="1" s="1"/>
  <c r="S406" i="1" l="1"/>
  <c r="T406" i="1" s="1"/>
  <c r="R405" i="1"/>
  <c r="S405" i="1" l="1"/>
  <c r="T405" i="1" s="1"/>
  <c r="R404" i="1"/>
  <c r="S404" i="1" l="1"/>
  <c r="T404" i="1" s="1"/>
  <c r="R403" i="1"/>
  <c r="S403" i="1" l="1"/>
  <c r="T403" i="1" s="1"/>
  <c r="R402" i="1"/>
  <c r="S402" i="1" l="1"/>
  <c r="T402" i="1" s="1"/>
  <c r="R401" i="1"/>
  <c r="R400" i="1" l="1"/>
  <c r="S401" i="1"/>
  <c r="T401" i="1" s="1"/>
  <c r="R399" i="1" l="1"/>
  <c r="S400" i="1"/>
  <c r="T400" i="1" s="1"/>
  <c r="R398" i="1" l="1"/>
  <c r="S399" i="1"/>
  <c r="T399" i="1" s="1"/>
  <c r="S398" i="1" l="1"/>
  <c r="T398" i="1" s="1"/>
  <c r="R397" i="1"/>
  <c r="S397" i="1" l="1"/>
  <c r="T397" i="1" s="1"/>
  <c r="R396" i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S392" i="1" l="1"/>
  <c r="T392" i="1" s="1"/>
  <c r="R391" i="1"/>
  <c r="S391" i="1" l="1"/>
  <c r="T391" i="1" s="1"/>
  <c r="R390" i="1"/>
  <c r="R389" i="1" l="1"/>
  <c r="S390" i="1"/>
  <c r="T390" i="1" s="1"/>
  <c r="S389" i="1" l="1"/>
  <c r="T389" i="1" s="1"/>
  <c r="R388" i="1"/>
  <c r="S388" i="1" l="1"/>
  <c r="T388" i="1" s="1"/>
  <c r="R387" i="1"/>
  <c r="R386" i="1" l="1"/>
  <c r="S387" i="1"/>
  <c r="T387" i="1" s="1"/>
  <c r="S386" i="1" l="1"/>
  <c r="T386" i="1" s="1"/>
  <c r="R385" i="1"/>
  <c r="S385" i="1" l="1"/>
  <c r="T385" i="1" s="1"/>
  <c r="R384" i="1"/>
  <c r="R383" i="1" l="1"/>
  <c r="S384" i="1"/>
  <c r="T384" i="1" s="1"/>
  <c r="S383" i="1" l="1"/>
  <c r="T383" i="1" s="1"/>
  <c r="R382" i="1"/>
  <c r="S382" i="1" l="1"/>
  <c r="T382" i="1" s="1"/>
  <c r="R381" i="1"/>
  <c r="S381" i="1" l="1"/>
  <c r="T381" i="1" s="1"/>
  <c r="R380" i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S374" i="1" l="1"/>
  <c r="T374" i="1" s="1"/>
  <c r="R373" i="1"/>
  <c r="S373" i="1" l="1"/>
  <c r="T373" i="1" s="1"/>
  <c r="R372" i="1"/>
  <c r="R371" i="1" l="1"/>
  <c r="S372" i="1"/>
  <c r="T372" i="1" s="1"/>
  <c r="S371" i="1" l="1"/>
  <c r="T371" i="1" s="1"/>
  <c r="R370" i="1"/>
  <c r="S370" i="1" l="1"/>
  <c r="T370" i="1" s="1"/>
  <c r="R369" i="1"/>
  <c r="S369" i="1" l="1"/>
  <c r="T369" i="1" s="1"/>
  <c r="R368" i="1"/>
  <c r="S368" i="1" l="1"/>
  <c r="T368" i="1" s="1"/>
  <c r="R367" i="1"/>
  <c r="S367" i="1" l="1"/>
  <c r="T367" i="1" s="1"/>
  <c r="R366" i="1"/>
  <c r="S366" i="1" l="1"/>
  <c r="T366" i="1" s="1"/>
  <c r="R365" i="1"/>
  <c r="S365" i="1" l="1"/>
  <c r="T365" i="1" s="1"/>
  <c r="R364" i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S358" i="1" l="1"/>
  <c r="T358" i="1" s="1"/>
  <c r="R357" i="1"/>
  <c r="S357" i="1" l="1"/>
  <c r="T357" i="1" s="1"/>
  <c r="R356" i="1"/>
  <c r="S356" i="1" l="1"/>
  <c r="T356" i="1" s="1"/>
  <c r="R355" i="1"/>
  <c r="R354" i="1" l="1"/>
  <c r="S355" i="1"/>
  <c r="T355" i="1" s="1"/>
  <c r="S354" i="1" l="1"/>
  <c r="T354" i="1" s="1"/>
  <c r="R353" i="1"/>
  <c r="S353" i="1" l="1"/>
  <c r="T353" i="1" s="1"/>
  <c r="R352" i="1"/>
  <c r="R351" i="1" l="1"/>
  <c r="S352" i="1"/>
  <c r="T352" i="1" s="1"/>
  <c r="R350" i="1" l="1"/>
  <c r="S351" i="1"/>
  <c r="T351" i="1" s="1"/>
  <c r="S350" i="1" l="1"/>
  <c r="T350" i="1" s="1"/>
  <c r="R349" i="1"/>
  <c r="R348" i="1" l="1"/>
  <c r="S349" i="1"/>
  <c r="T349" i="1" s="1"/>
  <c r="R347" i="1" l="1"/>
  <c r="S348" i="1"/>
  <c r="T348" i="1" s="1"/>
  <c r="S347" i="1" l="1"/>
  <c r="T347" i="1" s="1"/>
  <c r="R346" i="1"/>
  <c r="R345" i="1" l="1"/>
  <c r="S346" i="1"/>
  <c r="T346" i="1" s="1"/>
  <c r="R344" i="1" l="1"/>
  <c r="S345" i="1"/>
  <c r="T345" i="1" s="1"/>
  <c r="S344" i="1" l="1"/>
  <c r="T344" i="1" s="1"/>
  <c r="R343" i="1"/>
  <c r="R342" i="1" l="1"/>
  <c r="S343" i="1"/>
  <c r="T343" i="1" s="1"/>
  <c r="R341" i="1" l="1"/>
  <c r="S342" i="1"/>
  <c r="T342" i="1" s="1"/>
  <c r="S341" i="1" l="1"/>
  <c r="T341" i="1" s="1"/>
  <c r="R340" i="1"/>
  <c r="R339" i="1" l="1"/>
  <c r="S340" i="1"/>
  <c r="T340" i="1" s="1"/>
  <c r="S339" i="1" l="1"/>
  <c r="T339" i="1" s="1"/>
  <c r="R338" i="1"/>
  <c r="R337" i="1" l="1"/>
  <c r="S338" i="1"/>
  <c r="T338" i="1" s="1"/>
  <c r="R336" i="1" l="1"/>
  <c r="S337" i="1"/>
  <c r="T337" i="1" s="1"/>
  <c r="S336" i="1" l="1"/>
  <c r="T336" i="1" s="1"/>
  <c r="R335" i="1"/>
  <c r="R334" i="1" l="1"/>
  <c r="S335" i="1"/>
  <c r="T335" i="1" s="1"/>
  <c r="R333" i="1" l="1"/>
  <c r="S334" i="1"/>
  <c r="T334" i="1" s="1"/>
  <c r="S333" i="1" l="1"/>
  <c r="T333" i="1" s="1"/>
  <c r="R332" i="1"/>
  <c r="R331" i="1" l="1"/>
  <c r="S332" i="1"/>
  <c r="T332" i="1" s="1"/>
  <c r="R330" i="1" l="1"/>
  <c r="S331" i="1"/>
  <c r="T331" i="1" s="1"/>
  <c r="S330" i="1" l="1"/>
  <c r="T330" i="1" s="1"/>
  <c r="R329" i="1"/>
  <c r="R328" i="1" l="1"/>
  <c r="S329" i="1"/>
  <c r="T329" i="1" s="1"/>
  <c r="R327" i="1" l="1"/>
  <c r="S328" i="1"/>
  <c r="T328" i="1" s="1"/>
  <c r="R326" i="1" l="1"/>
  <c r="S327" i="1"/>
  <c r="T327" i="1" s="1"/>
  <c r="S326" i="1" l="1"/>
  <c r="T326" i="1" s="1"/>
  <c r="R325" i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S321" i="1" l="1"/>
  <c r="T321" i="1" s="1"/>
  <c r="R320" i="1"/>
  <c r="R319" i="1" l="1"/>
  <c r="S320" i="1"/>
  <c r="T320" i="1" s="1"/>
  <c r="S319" i="1" l="1"/>
  <c r="T319" i="1" s="1"/>
  <c r="R318" i="1"/>
  <c r="S318" i="1" l="1"/>
  <c r="T318" i="1" s="1"/>
  <c r="R317" i="1"/>
  <c r="R316" i="1" l="1"/>
  <c r="S317" i="1"/>
  <c r="T317" i="1" s="1"/>
  <c r="R315" i="1" l="1"/>
  <c r="S316" i="1"/>
  <c r="T316" i="1" s="1"/>
  <c r="S315" i="1" l="1"/>
  <c r="T315" i="1" s="1"/>
  <c r="R314" i="1"/>
  <c r="R313" i="1" l="1"/>
  <c r="S314" i="1"/>
  <c r="T314" i="1" s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S307" i="1" l="1"/>
  <c r="T307" i="1" s="1"/>
  <c r="R306" i="1"/>
  <c r="S306" i="1" l="1"/>
  <c r="T306" i="1" s="1"/>
  <c r="R305" i="1"/>
  <c r="S305" i="1" l="1"/>
  <c r="T305" i="1" s="1"/>
  <c r="R304" i="1"/>
  <c r="S304" i="1" l="1"/>
  <c r="T304" i="1" s="1"/>
  <c r="R303" i="1"/>
  <c r="S303" i="1" l="1"/>
  <c r="T303" i="1" s="1"/>
  <c r="R302" i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S295" i="1" l="1"/>
  <c r="T295" i="1" s="1"/>
  <c r="R294" i="1"/>
  <c r="S294" i="1" l="1"/>
  <c r="T294" i="1" s="1"/>
  <c r="R293" i="1"/>
  <c r="S293" i="1" l="1"/>
  <c r="T293" i="1" s="1"/>
  <c r="R292" i="1"/>
  <c r="S292" i="1" l="1"/>
  <c r="T292" i="1" s="1"/>
  <c r="R291" i="1"/>
  <c r="S291" i="1" l="1"/>
  <c r="T291" i="1" s="1"/>
  <c r="R290" i="1"/>
  <c r="R289" i="1" l="1"/>
  <c r="S290" i="1"/>
  <c r="T290" i="1" s="1"/>
  <c r="S289" i="1" l="1"/>
  <c r="T289" i="1" s="1"/>
  <c r="R288" i="1"/>
  <c r="S288" i="1" l="1"/>
  <c r="T288" i="1" s="1"/>
  <c r="R287" i="1"/>
  <c r="R286" i="1" l="1"/>
  <c r="S287" i="1"/>
  <c r="T287" i="1" s="1"/>
  <c r="S286" i="1" l="1"/>
  <c r="T286" i="1" s="1"/>
  <c r="R285" i="1"/>
  <c r="S285" i="1" l="1"/>
  <c r="T285" i="1" s="1"/>
  <c r="R284" i="1"/>
  <c r="R283" i="1" l="1"/>
  <c r="S284" i="1"/>
  <c r="T284" i="1" s="1"/>
  <c r="R282" i="1" l="1"/>
  <c r="S283" i="1"/>
  <c r="T283" i="1" s="1"/>
  <c r="R281" i="1" l="1"/>
  <c r="S282" i="1"/>
  <c r="T282" i="1" s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S277" i="1" l="1"/>
  <c r="T277" i="1" s="1"/>
  <c r="R276" i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S254" i="1" l="1"/>
  <c r="T254" i="1" s="1"/>
  <c r="R253" i="1"/>
  <c r="R252" i="1" l="1"/>
  <c r="S253" i="1"/>
  <c r="T253" i="1" s="1"/>
  <c r="S252" i="1" l="1"/>
  <c r="T252" i="1" s="1"/>
  <c r="R251" i="1"/>
  <c r="S251" i="1" l="1"/>
  <c r="T251" i="1" s="1"/>
  <c r="R250" i="1"/>
  <c r="R249" i="1" l="1"/>
  <c r="S250" i="1"/>
  <c r="T250" i="1" s="1"/>
  <c r="S249" i="1" l="1"/>
  <c r="T249" i="1" s="1"/>
  <c r="R248" i="1"/>
  <c r="S248" i="1" l="1"/>
  <c r="T248" i="1" s="1"/>
  <c r="R247" i="1"/>
  <c r="S247" i="1" l="1"/>
  <c r="T247" i="1" s="1"/>
  <c r="R246" i="1"/>
  <c r="S246" i="1" l="1"/>
  <c r="T246" i="1" s="1"/>
  <c r="R245" i="1"/>
  <c r="S245" i="1" l="1"/>
  <c r="T245" i="1" s="1"/>
  <c r="R244" i="1"/>
  <c r="S244" i="1" l="1"/>
  <c r="T244" i="1" s="1"/>
  <c r="R243" i="1"/>
  <c r="S243" i="1" l="1"/>
  <c r="T243" i="1" s="1"/>
  <c r="R242" i="1"/>
  <c r="S242" i="1" l="1"/>
  <c r="T242" i="1" s="1"/>
  <c r="R241" i="1"/>
  <c r="S241" i="1" l="1"/>
  <c r="T241" i="1" s="1"/>
  <c r="R240" i="1"/>
  <c r="S240" i="1" l="1"/>
  <c r="T240" i="1" s="1"/>
  <c r="R239" i="1"/>
  <c r="R238" i="1" l="1"/>
  <c r="S239" i="1"/>
  <c r="T239" i="1" s="1"/>
  <c r="R237" i="1" l="1"/>
  <c r="S238" i="1"/>
  <c r="T238" i="1" s="1"/>
  <c r="S237" i="1" l="1"/>
  <c r="T237" i="1" s="1"/>
  <c r="R236" i="1"/>
  <c r="R235" i="1" l="1"/>
  <c r="S236" i="1"/>
  <c r="T236" i="1" s="1"/>
  <c r="S235" i="1" l="1"/>
  <c r="T235" i="1" s="1"/>
  <c r="R234" i="1"/>
  <c r="S234" i="1" l="1"/>
  <c r="T234" i="1" s="1"/>
  <c r="R233" i="1"/>
  <c r="S233" i="1" l="1"/>
  <c r="T233" i="1" s="1"/>
  <c r="R232" i="1"/>
  <c r="R231" i="1" l="1"/>
  <c r="S232" i="1"/>
  <c r="T232" i="1" s="1"/>
  <c r="S231" i="1" l="1"/>
  <c r="T231" i="1" s="1"/>
  <c r="R230" i="1"/>
  <c r="S230" i="1" l="1"/>
  <c r="T230" i="1" s="1"/>
  <c r="R229" i="1"/>
  <c r="R228" i="1" l="1"/>
  <c r="S229" i="1"/>
  <c r="T229" i="1" s="1"/>
  <c r="S228" i="1" l="1"/>
  <c r="T228" i="1" s="1"/>
  <c r="R227" i="1"/>
  <c r="S227" i="1" l="1"/>
  <c r="T227" i="1" s="1"/>
  <c r="R226" i="1"/>
  <c r="S226" i="1" l="1"/>
  <c r="T226" i="1" s="1"/>
  <c r="R225" i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S210" i="1" l="1"/>
  <c r="T210" i="1" s="1"/>
  <c r="R209" i="1"/>
  <c r="S209" i="1" l="1"/>
  <c r="T209" i="1" s="1"/>
  <c r="R208" i="1"/>
  <c r="S208" i="1" l="1"/>
  <c r="T208" i="1" s="1"/>
  <c r="R207" i="1"/>
  <c r="S207" i="1" l="1"/>
  <c r="T207" i="1" s="1"/>
  <c r="R206" i="1"/>
  <c r="R205" i="1" l="1"/>
  <c r="S206" i="1"/>
  <c r="T206" i="1" s="1"/>
  <c r="S205" i="1" l="1"/>
  <c r="T205" i="1" s="1"/>
  <c r="R204" i="1"/>
  <c r="S204" i="1" l="1"/>
  <c r="T204" i="1" s="1"/>
  <c r="R203" i="1"/>
  <c r="S203" i="1" l="1"/>
  <c r="T203" i="1" s="1"/>
  <c r="R202" i="1"/>
  <c r="S202" i="1" l="1"/>
  <c r="T202" i="1" s="1"/>
  <c r="R201" i="1"/>
  <c r="S201" i="1" l="1"/>
  <c r="T201" i="1" s="1"/>
  <c r="R200" i="1"/>
  <c r="S200" i="1" l="1"/>
  <c r="T200" i="1" s="1"/>
  <c r="R199" i="1"/>
  <c r="R198" i="1" l="1"/>
  <c r="S199" i="1"/>
  <c r="T199" i="1" s="1"/>
  <c r="S198" i="1" l="1"/>
  <c r="T198" i="1" s="1"/>
  <c r="R197" i="1"/>
  <c r="S197" i="1" l="1"/>
  <c r="T197" i="1" s="1"/>
  <c r="R196" i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R182" i="1" l="1"/>
  <c r="S183" i="1"/>
  <c r="T183" i="1" s="1"/>
  <c r="S182" i="1" l="1"/>
  <c r="T182" i="1" s="1"/>
  <c r="R181" i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S177" i="1" l="1"/>
  <c r="T177" i="1" s="1"/>
  <c r="R176" i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S167" i="1" l="1"/>
  <c r="T167" i="1" s="1"/>
  <c r="R166" i="1"/>
  <c r="S166" i="1" l="1"/>
  <c r="T166" i="1" s="1"/>
  <c r="R165" i="1"/>
  <c r="S165" i="1" l="1"/>
  <c r="T165" i="1" s="1"/>
  <c r="R164" i="1"/>
  <c r="R163" i="1" l="1"/>
  <c r="S164" i="1"/>
  <c r="T164" i="1" s="1"/>
  <c r="S163" i="1" l="1"/>
  <c r="T163" i="1" s="1"/>
  <c r="R162" i="1"/>
  <c r="S162" i="1" l="1"/>
  <c r="T162" i="1" s="1"/>
  <c r="R161" i="1"/>
  <c r="S161" i="1" l="1"/>
  <c r="T161" i="1" s="1"/>
  <c r="R160" i="1"/>
  <c r="S160" i="1" l="1"/>
  <c r="T160" i="1" s="1"/>
  <c r="R159" i="1"/>
  <c r="R158" i="1" l="1"/>
  <c r="S159" i="1"/>
  <c r="T159" i="1" s="1"/>
  <c r="S158" i="1" l="1"/>
  <c r="T158" i="1" s="1"/>
  <c r="R157" i="1"/>
  <c r="S157" i="1" l="1"/>
  <c r="T157" i="1" s="1"/>
  <c r="R156" i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R149" i="1" l="1"/>
  <c r="S150" i="1"/>
  <c r="T150" i="1" s="1"/>
  <c r="S149" i="1" l="1"/>
  <c r="T149" i="1" s="1"/>
  <c r="R148" i="1"/>
  <c r="S148" i="1" l="1"/>
  <c r="T148" i="1" s="1"/>
  <c r="R147" i="1"/>
  <c r="S147" i="1" l="1"/>
  <c r="T147" i="1" s="1"/>
  <c r="R146" i="1"/>
  <c r="R145" i="1" l="1"/>
  <c r="S146" i="1"/>
  <c r="T146" i="1" s="1"/>
  <c r="S145" i="1" l="1"/>
  <c r="T145" i="1" s="1"/>
  <c r="R144" i="1"/>
  <c r="S144" i="1" l="1"/>
  <c r="T144" i="1" s="1"/>
  <c r="R143" i="1"/>
  <c r="R142" i="1" l="1"/>
  <c r="S143" i="1"/>
  <c r="T143" i="1" s="1"/>
  <c r="S142" i="1" l="1"/>
  <c r="T142" i="1" s="1"/>
  <c r="R141" i="1"/>
  <c r="R140" i="1" l="1"/>
  <c r="S141" i="1"/>
  <c r="T141" i="1" s="1"/>
  <c r="R139" i="1" l="1"/>
  <c r="S140" i="1"/>
  <c r="T140" i="1" s="1"/>
  <c r="S139" i="1" l="1"/>
  <c r="T139" i="1" s="1"/>
  <c r="R138" i="1"/>
  <c r="S138" i="1" l="1"/>
  <c r="T138" i="1" s="1"/>
  <c r="R137" i="1"/>
  <c r="S137" i="1" l="1"/>
  <c r="T137" i="1" s="1"/>
  <c r="R136" i="1"/>
  <c r="S136" i="1" l="1"/>
  <c r="T136" i="1" s="1"/>
  <c r="R135" i="1"/>
  <c r="S135" i="1" l="1"/>
  <c r="T135" i="1" s="1"/>
  <c r="R134" i="1"/>
  <c r="R133" i="1" l="1"/>
  <c r="S134" i="1"/>
  <c r="T134" i="1" s="1"/>
  <c r="S133" i="1" l="1"/>
  <c r="T133" i="1" s="1"/>
  <c r="R132" i="1"/>
  <c r="S132" i="1" l="1"/>
  <c r="T132" i="1" s="1"/>
  <c r="R131" i="1"/>
  <c r="S131" i="1" l="1"/>
  <c r="T131" i="1" s="1"/>
  <c r="R130" i="1"/>
  <c r="S130" i="1" l="1"/>
  <c r="T130" i="1" s="1"/>
  <c r="R129" i="1"/>
  <c r="S129" i="1" l="1"/>
  <c r="T129" i="1" s="1"/>
  <c r="R128" i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R119" i="1" l="1"/>
  <c r="S120" i="1"/>
  <c r="T120" i="1" s="1"/>
  <c r="S119" i="1" l="1"/>
  <c r="T119" i="1" s="1"/>
  <c r="R118" i="1"/>
  <c r="R117" i="1" l="1"/>
  <c r="S118" i="1"/>
  <c r="T118" i="1" s="1"/>
  <c r="S117" i="1" l="1"/>
  <c r="T117" i="1" s="1"/>
  <c r="R116" i="1"/>
  <c r="R115" i="1" l="1"/>
  <c r="S116" i="1"/>
  <c r="T116" i="1" s="1"/>
  <c r="S115" i="1" l="1"/>
  <c r="T115" i="1" s="1"/>
  <c r="R114" i="1"/>
  <c r="S114" i="1" l="1"/>
  <c r="T114" i="1" s="1"/>
  <c r="R113" i="1"/>
  <c r="S113" i="1" l="1"/>
  <c r="T113" i="1" s="1"/>
  <c r="R112" i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S94" i="1" l="1"/>
  <c r="T94" i="1" s="1"/>
  <c r="R93" i="1"/>
  <c r="S93" i="1" l="1"/>
  <c r="T93" i="1" s="1"/>
  <c r="R92" i="1"/>
  <c r="S92" i="1" l="1"/>
  <c r="T92" i="1" s="1"/>
  <c r="R91" i="1"/>
  <c r="S91" i="1" l="1"/>
  <c r="T91" i="1" s="1"/>
  <c r="R90" i="1"/>
  <c r="S90" i="1" l="1"/>
  <c r="T90" i="1" s="1"/>
  <c r="R89" i="1"/>
  <c r="R88" i="1" l="1"/>
  <c r="S89" i="1"/>
  <c r="T89" i="1" s="1"/>
  <c r="S88" i="1" l="1"/>
  <c r="T88" i="1" s="1"/>
  <c r="R87" i="1"/>
  <c r="S87" i="1" l="1"/>
  <c r="T87" i="1" s="1"/>
  <c r="R86" i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S76" i="1" l="1"/>
  <c r="T76" i="1" s="1"/>
  <c r="R75" i="1"/>
  <c r="R74" i="1" l="1"/>
  <c r="S75" i="1"/>
  <c r="T75" i="1" s="1"/>
  <c r="S74" i="1" l="1"/>
  <c r="T74" i="1" s="1"/>
  <c r="R73" i="1"/>
  <c r="R72" i="1" l="1"/>
  <c r="S73" i="1"/>
  <c r="T73" i="1" s="1"/>
  <c r="R71" i="1" l="1"/>
  <c r="S72" i="1"/>
  <c r="T72" i="1" s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S64" i="1" l="1"/>
  <c r="T64" i="1" s="1"/>
  <c r="R63" i="1"/>
  <c r="R62" i="1" l="1"/>
  <c r="S63" i="1"/>
  <c r="T63" i="1" s="1"/>
  <c r="S62" i="1" l="1"/>
  <c r="T62" i="1" s="1"/>
  <c r="R61" i="1"/>
  <c r="R60" i="1" l="1"/>
  <c r="S61" i="1"/>
  <c r="T61" i="1" s="1"/>
  <c r="R59" i="1" l="1"/>
  <c r="S60" i="1"/>
  <c r="T60" i="1" s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S49" i="1" l="1"/>
  <c r="T49" i="1" s="1"/>
  <c r="R48" i="1"/>
  <c r="S48" i="1" l="1"/>
  <c r="T48" i="1" s="1"/>
  <c r="R47" i="1"/>
  <c r="R46" i="1" l="1"/>
  <c r="S47" i="1"/>
  <c r="T47" i="1" s="1"/>
  <c r="R45" i="1" l="1"/>
  <c r="S46" i="1"/>
  <c r="T46" i="1" s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R31" i="1" l="1"/>
  <c r="S32" i="1"/>
  <c r="T32" i="1" s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<sst xmlns="http://schemas.openxmlformats.org/spreadsheetml/2006/main" count="2501" uniqueCount="34">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</sst>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167" fontId="0" fillId="5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2.0570000000000001E-5</c:v>
                </c:pt>
                <c:pt idx="1">
                  <c:v>2.1100000000000001E-5</c:v>
                </c:pt>
                <c:pt idx="2">
                  <c:v>2.101E-5</c:v>
                </c:pt>
                <c:pt idx="3">
                  <c:v>2.12E-5</c:v>
                </c:pt>
                <c:pt idx="4">
                  <c:v>2.2459999999999998E-5</c:v>
                </c:pt>
                <c:pt idx="5">
                  <c:v>2.0530000000000002E-5</c:v>
                </c:pt>
                <c:pt idx="6">
                  <c:v>2.2240000000000001E-5</c:v>
                </c:pt>
                <c:pt idx="7">
                  <c:v>2.6440000000000001E-5</c:v>
                </c:pt>
                <c:pt idx="8">
                  <c:v>2.726E-5</c:v>
                </c:pt>
                <c:pt idx="9">
                  <c:v>2.8079999999999999E-5</c:v>
                </c:pt>
                <c:pt idx="10">
                  <c:v>2.8819999999999999E-5</c:v>
                </c:pt>
                <c:pt idx="11">
                  <c:v>3.0490000000000001E-5</c:v>
                </c:pt>
                <c:pt idx="12">
                  <c:v>3.0830000000000001E-5</c:v>
                </c:pt>
                <c:pt idx="13">
                  <c:v>3.078E-5</c:v>
                </c:pt>
                <c:pt idx="14">
                  <c:v>2.9660000000000001E-5</c:v>
                </c:pt>
                <c:pt idx="15">
                  <c:v>3.1449999999999999E-5</c:v>
                </c:pt>
                <c:pt idx="16">
                  <c:v>2.7630000000000001E-5</c:v>
                </c:pt>
                <c:pt idx="17">
                  <c:v>2.669E-5</c:v>
                </c:pt>
                <c:pt idx="18">
                  <c:v>2.8249999999999999E-5</c:v>
                </c:pt>
                <c:pt idx="19">
                  <c:v>2.7719999999999999E-5</c:v>
                </c:pt>
                <c:pt idx="20">
                  <c:v>2.9009999999999998E-5</c:v>
                </c:pt>
                <c:pt idx="21">
                  <c:v>3.0750000000000002E-5</c:v>
                </c:pt>
                <c:pt idx="22">
                  <c:v>3.0380000000000001E-5</c:v>
                </c:pt>
                <c:pt idx="23">
                  <c:v>3.243E-5</c:v>
                </c:pt>
                <c:pt idx="24">
                  <c:v>3.3040000000000002E-5</c:v>
                </c:pt>
                <c:pt idx="25">
                  <c:v>3.4010000000000001E-5</c:v>
                </c:pt>
                <c:pt idx="26">
                  <c:v>3.4150000000000003E-5</c:v>
                </c:pt>
                <c:pt idx="27">
                  <c:v>3.3370000000000001E-5</c:v>
                </c:pt>
                <c:pt idx="28">
                  <c:v>3.375E-5</c:v>
                </c:pt>
                <c:pt idx="29">
                  <c:v>3.3640000000000003E-5</c:v>
                </c:pt>
                <c:pt idx="30">
                  <c:v>3.4929999999999999E-5</c:v>
                </c:pt>
                <c:pt idx="31">
                  <c:v>3.909E-5</c:v>
                </c:pt>
                <c:pt idx="32">
                  <c:v>3.824E-5</c:v>
                </c:pt>
                <c:pt idx="33">
                  <c:v>3.7710000000000003E-5</c:v>
                </c:pt>
                <c:pt idx="34">
                  <c:v>3.6199999999999999E-5</c:v>
                </c:pt>
                <c:pt idx="35">
                  <c:v>3.8680000000000002E-5</c:v>
                </c:pt>
                <c:pt idx="36">
                  <c:v>3.5030000000000002E-5</c:v>
                </c:pt>
                <c:pt idx="37">
                  <c:v>3.2830000000000002E-5</c:v>
                </c:pt>
                <c:pt idx="38">
                  <c:v>3.1220000000000003E-5</c:v>
                </c:pt>
                <c:pt idx="39">
                  <c:v>3.0769999999999998E-5</c:v>
                </c:pt>
                <c:pt idx="40">
                  <c:v>3.1409999999999999E-5</c:v>
                </c:pt>
                <c:pt idx="41">
                  <c:v>3.1149999999999998E-5</c:v>
                </c:pt>
                <c:pt idx="42">
                  <c:v>3.2709999999999997E-5</c:v>
                </c:pt>
                <c:pt idx="43">
                  <c:v>3.3810000000000003E-5</c:v>
                </c:pt>
                <c:pt idx="44">
                  <c:v>3.3980000000000003E-5</c:v>
                </c:pt>
                <c:pt idx="45">
                  <c:v>3.29E-5</c:v>
                </c:pt>
                <c:pt idx="46">
                  <c:v>3.6560000000000002E-5</c:v>
                </c:pt>
                <c:pt idx="47">
                  <c:v>3.383E-5</c:v>
                </c:pt>
                <c:pt idx="48">
                  <c:v>3.3460000000000002E-5</c:v>
                </c:pt>
                <c:pt idx="49">
                  <c:v>3.4659999999999997E-5</c:v>
                </c:pt>
                <c:pt idx="50">
                  <c:v>3.6980000000000002E-5</c:v>
                </c:pt>
                <c:pt idx="51">
                  <c:v>3.625E-5</c:v>
                </c:pt>
                <c:pt idx="52">
                  <c:v>3.6770000000000002E-5</c:v>
                </c:pt>
                <c:pt idx="53">
                  <c:v>3.6220000000000002E-5</c:v>
                </c:pt>
                <c:pt idx="54">
                  <c:v>3.6390000000000002E-5</c:v>
                </c:pt>
                <c:pt idx="55">
                  <c:v>4.0389999999999998E-5</c:v>
                </c:pt>
                <c:pt idx="56">
                  <c:v>4.2200000000000003E-5</c:v>
                </c:pt>
                <c:pt idx="57">
                  <c:v>4.4140000000000001E-5</c:v>
                </c:pt>
                <c:pt idx="58">
                  <c:v>4.744E-5</c:v>
                </c:pt>
                <c:pt idx="59">
                  <c:v>4.5219999999999997E-5</c:v>
                </c:pt>
                <c:pt idx="60">
                  <c:v>3.9110000000000003E-5</c:v>
                </c:pt>
                <c:pt idx="61">
                  <c:v>3.9199999999999997E-5</c:v>
                </c:pt>
                <c:pt idx="62">
                  <c:v>3.8670000000000001E-5</c:v>
                </c:pt>
                <c:pt idx="63">
                  <c:v>4.269E-5</c:v>
                </c:pt>
                <c:pt idx="64">
                  <c:v>3.9230000000000002E-5</c:v>
                </c:pt>
                <c:pt idx="65">
                  <c:v>4.1900000000000002E-5</c:v>
                </c:pt>
                <c:pt idx="66">
                  <c:v>4.3250000000000001E-5</c:v>
                </c:pt>
                <c:pt idx="67">
                  <c:v>4.4110000000000003E-5</c:v>
                </c:pt>
                <c:pt idx="68">
                  <c:v>4.7660000000000001E-5</c:v>
                </c:pt>
                <c:pt idx="69">
                  <c:v>4.8510000000000001E-5</c:v>
                </c:pt>
                <c:pt idx="70">
                  <c:v>4.2509999999999998E-5</c:v>
                </c:pt>
                <c:pt idx="71">
                  <c:v>4.8140000000000003E-5</c:v>
                </c:pt>
                <c:pt idx="72">
                  <c:v>4.8310000000000003E-5</c:v>
                </c:pt>
                <c:pt idx="73">
                  <c:v>5.3430000000000002E-5</c:v>
                </c:pt>
                <c:pt idx="74">
                  <c:v>5.3140000000000003E-5</c:v>
                </c:pt>
                <c:pt idx="75">
                  <c:v>5.168E-5</c:v>
                </c:pt>
                <c:pt idx="76">
                  <c:v>5.2349999999999999E-5</c:v>
                </c:pt>
                <c:pt idx="77">
                  <c:v>5.6539999999999997E-5</c:v>
                </c:pt>
                <c:pt idx="78">
                  <c:v>5.0269999999999998E-5</c:v>
                </c:pt>
                <c:pt idx="79">
                  <c:v>5.4839999999999997E-5</c:v>
                </c:pt>
                <c:pt idx="80">
                  <c:v>5.5170000000000002E-5</c:v>
                </c:pt>
                <c:pt idx="81">
                  <c:v>5.6900000000000001E-5</c:v>
                </c:pt>
                <c:pt idx="82">
                  <c:v>5.8619999999999998E-5</c:v>
                </c:pt>
                <c:pt idx="83">
                  <c:v>6.2559999999999997E-5</c:v>
                </c:pt>
                <c:pt idx="84">
                  <c:v>4.9370000000000003E-5</c:v>
                </c:pt>
                <c:pt idx="85">
                  <c:v>5.5470000000000003E-5</c:v>
                </c:pt>
                <c:pt idx="86">
                  <c:v>6.9179999999999998E-5</c:v>
                </c:pt>
                <c:pt idx="87">
                  <c:v>7.1500000000000003E-5</c:v>
                </c:pt>
                <c:pt idx="88">
                  <c:v>6.6970000000000004E-5</c:v>
                </c:pt>
                <c:pt idx="89">
                  <c:v>6.5320000000000005E-5</c:v>
                </c:pt>
                <c:pt idx="90">
                  <c:v>7.4900000000000005E-5</c:v>
                </c:pt>
                <c:pt idx="91">
                  <c:v>6.8869999999999996E-5</c:v>
                </c:pt>
                <c:pt idx="92">
                  <c:v>7.9060000000000005E-5</c:v>
                </c:pt>
                <c:pt idx="93">
                  <c:v>4.7960000000000002E-5</c:v>
                </c:pt>
                <c:pt idx="94">
                  <c:v>4.2299999999999998E-5</c:v>
                </c:pt>
                <c:pt idx="95">
                  <c:v>3.6050000000000002E-5</c:v>
                </c:pt>
                <c:pt idx="96">
                  <c:v>3.3840000000000001E-5</c:v>
                </c:pt>
                <c:pt idx="97">
                  <c:v>2.794E-5</c:v>
                </c:pt>
                <c:pt idx="98">
                  <c:v>2.7480000000000001E-5</c:v>
                </c:pt>
                <c:pt idx="99">
                  <c:v>2.9220000000000001E-5</c:v>
                </c:pt>
                <c:pt idx="100">
                  <c:v>2.8019999999999999E-5</c:v>
                </c:pt>
                <c:pt idx="101">
                  <c:v>2.8629999999999999E-5</c:v>
                </c:pt>
                <c:pt idx="102">
                  <c:v>2.7739999999999999E-5</c:v>
                </c:pt>
                <c:pt idx="103">
                  <c:v>2.5709999999999999E-5</c:v>
                </c:pt>
                <c:pt idx="104">
                  <c:v>2.525E-5</c:v>
                </c:pt>
                <c:pt idx="105">
                  <c:v>2.743E-5</c:v>
                </c:pt>
                <c:pt idx="106">
                  <c:v>2.9070000000000001E-5</c:v>
                </c:pt>
                <c:pt idx="107">
                  <c:v>2.904E-5</c:v>
                </c:pt>
                <c:pt idx="108">
                  <c:v>3.065E-5</c:v>
                </c:pt>
                <c:pt idx="109">
                  <c:v>2.6129999999999999E-5</c:v>
                </c:pt>
                <c:pt idx="110">
                  <c:v>2.6699999999999998E-5</c:v>
                </c:pt>
                <c:pt idx="111">
                  <c:v>2.7250000000000002E-5</c:v>
                </c:pt>
                <c:pt idx="112">
                  <c:v>2.2900000000000001E-5</c:v>
                </c:pt>
                <c:pt idx="113">
                  <c:v>2.7869999999999999E-5</c:v>
                </c:pt>
                <c:pt idx="114">
                  <c:v>1.732E-5</c:v>
                </c:pt>
                <c:pt idx="115">
                  <c:v>1.3730000000000001E-5</c:v>
                </c:pt>
                <c:pt idx="116">
                  <c:v>8.5299999999999996E-6</c:v>
                </c:pt>
                <c:pt idx="117">
                  <c:v>7.8599999999999993E-6</c:v>
                </c:pt>
                <c:pt idx="118">
                  <c:v>7.7000000000000008E-6</c:v>
                </c:pt>
                <c:pt idx="119">
                  <c:v>7.1999999999999997E-6</c:v>
                </c:pt>
                <c:pt idx="120">
                  <c:v>7.0099999999999998E-6</c:v>
                </c:pt>
                <c:pt idx="121">
                  <c:v>6.9800000000000001E-6</c:v>
                </c:pt>
                <c:pt idx="122">
                  <c:v>6.9800000000000001E-6</c:v>
                </c:pt>
                <c:pt idx="123">
                  <c:v>7.0999999999999998E-6</c:v>
                </c:pt>
                <c:pt idx="124">
                  <c:v>7.3200000000000002E-6</c:v>
                </c:pt>
                <c:pt idx="125">
                  <c:v>7.3699999999999997E-6</c:v>
                </c:pt>
                <c:pt idx="126">
                  <c:v>7.6299999999999998E-6</c:v>
                </c:pt>
                <c:pt idx="127">
                  <c:v>7.25E-6</c:v>
                </c:pt>
                <c:pt idx="128">
                  <c:v>6.8700000000000003E-6</c:v>
                </c:pt>
                <c:pt idx="129">
                  <c:v>7.3100000000000003E-6</c:v>
                </c:pt>
                <c:pt idx="130">
                  <c:v>8.0800000000000006E-6</c:v>
                </c:pt>
                <c:pt idx="131">
                  <c:v>7.8399999999999995E-6</c:v>
                </c:pt>
                <c:pt idx="132">
                  <c:v>8.4400000000000005E-6</c:v>
                </c:pt>
                <c:pt idx="133">
                  <c:v>8.5399999999999996E-6</c:v>
                </c:pt>
                <c:pt idx="134">
                  <c:v>6.7700000000000004E-6</c:v>
                </c:pt>
                <c:pt idx="135">
                  <c:v>6.6699999999999997E-6</c:v>
                </c:pt>
                <c:pt idx="136">
                  <c:v>6.4999999999999996E-6</c:v>
                </c:pt>
                <c:pt idx="137">
                  <c:v>6.8900000000000001E-6</c:v>
                </c:pt>
                <c:pt idx="138">
                  <c:v>6.7700000000000004E-6</c:v>
                </c:pt>
                <c:pt idx="139">
                  <c:v>6.9999999999999999E-6</c:v>
                </c:pt>
                <c:pt idx="140">
                  <c:v>7.3000000000000004E-6</c:v>
                </c:pt>
                <c:pt idx="141">
                  <c:v>6.6699999999999997E-6</c:v>
                </c:pt>
                <c:pt idx="142">
                  <c:v>6.0499999999999997E-6</c:v>
                </c:pt>
                <c:pt idx="143">
                  <c:v>7.2200000000000003E-6</c:v>
                </c:pt>
                <c:pt idx="144">
                  <c:v>7.5299999999999999E-6</c:v>
                </c:pt>
                <c:pt idx="145">
                  <c:v>7.4499999999999998E-6</c:v>
                </c:pt>
                <c:pt idx="146">
                  <c:v>7.0600000000000002E-6</c:v>
                </c:pt>
                <c:pt idx="147">
                  <c:v>7.0899999999999999E-6</c:v>
                </c:pt>
                <c:pt idx="148">
                  <c:v>7.1899999999999998E-6</c:v>
                </c:pt>
                <c:pt idx="149">
                  <c:v>6.8600000000000004E-6</c:v>
                </c:pt>
                <c:pt idx="150">
                  <c:v>6.6699999999999997E-6</c:v>
                </c:pt>
                <c:pt idx="151">
                  <c:v>7.1199999999999996E-6</c:v>
                </c:pt>
                <c:pt idx="152">
                  <c:v>7.2200000000000003E-6</c:v>
                </c:pt>
                <c:pt idx="153">
                  <c:v>7.4699999999999996E-6</c:v>
                </c:pt>
                <c:pt idx="154">
                  <c:v>6.9700000000000002E-6</c:v>
                </c:pt>
                <c:pt idx="155">
                  <c:v>7.5299999999999999E-6</c:v>
                </c:pt>
                <c:pt idx="156">
                  <c:v>7.4800000000000004E-6</c:v>
                </c:pt>
                <c:pt idx="157">
                  <c:v>8.1899999999999995E-6</c:v>
                </c:pt>
                <c:pt idx="158">
                  <c:v>8.2099999999999993E-6</c:v>
                </c:pt>
                <c:pt idx="159">
                  <c:v>8.14E-6</c:v>
                </c:pt>
                <c:pt idx="160">
                  <c:v>8.4800000000000001E-6</c:v>
                </c:pt>
                <c:pt idx="161">
                  <c:v>8.3499999999999997E-6</c:v>
                </c:pt>
                <c:pt idx="162">
                  <c:v>8.0199999999999994E-6</c:v>
                </c:pt>
                <c:pt idx="163">
                  <c:v>8.0499999999999992E-6</c:v>
                </c:pt>
                <c:pt idx="164">
                  <c:v>9.0399999999999998E-6</c:v>
                </c:pt>
                <c:pt idx="165">
                  <c:v>8.5499999999999995E-6</c:v>
                </c:pt>
                <c:pt idx="166">
                  <c:v>8.1300000000000001E-6</c:v>
                </c:pt>
                <c:pt idx="167">
                  <c:v>8.1300000000000001E-6</c:v>
                </c:pt>
                <c:pt idx="168">
                  <c:v>7.6499999999999996E-6</c:v>
                </c:pt>
                <c:pt idx="169">
                  <c:v>7.7700000000000001E-6</c:v>
                </c:pt>
                <c:pt idx="170">
                  <c:v>7.5599999999999996E-6</c:v>
                </c:pt>
                <c:pt idx="171">
                  <c:v>7.6199999999999999E-6</c:v>
                </c:pt>
                <c:pt idx="172">
                  <c:v>7.2899999999999997E-6</c:v>
                </c:pt>
                <c:pt idx="173">
                  <c:v>7.7999999999999999E-6</c:v>
                </c:pt>
                <c:pt idx="174">
                  <c:v>6.2999999999999998E-6</c:v>
                </c:pt>
                <c:pt idx="175">
                  <c:v>6.2099999999999998E-6</c:v>
                </c:pt>
                <c:pt idx="176">
                  <c:v>6.2299999999999996E-6</c:v>
                </c:pt>
                <c:pt idx="177">
                  <c:v>6.1800000000000001E-6</c:v>
                </c:pt>
                <c:pt idx="178">
                  <c:v>6.3400000000000003E-6</c:v>
                </c:pt>
                <c:pt idx="179">
                  <c:v>6.2999999999999998E-6</c:v>
                </c:pt>
                <c:pt idx="180">
                  <c:v>6.2500000000000003E-6</c:v>
                </c:pt>
                <c:pt idx="181">
                  <c:v>6.2899999999999999E-6</c:v>
                </c:pt>
                <c:pt idx="182">
                  <c:v>6.2899999999999999E-6</c:v>
                </c:pt>
                <c:pt idx="183">
                  <c:v>6.1800000000000001E-6</c:v>
                </c:pt>
                <c:pt idx="184">
                  <c:v>6.3199999999999996E-6</c:v>
                </c:pt>
                <c:pt idx="185">
                  <c:v>6.2999999999999998E-6</c:v>
                </c:pt>
                <c:pt idx="186">
                  <c:v>6.3600000000000001E-6</c:v>
                </c:pt>
                <c:pt idx="187">
                  <c:v>6.4400000000000002E-6</c:v>
                </c:pt>
                <c:pt idx="188">
                  <c:v>6.4799999999999998E-6</c:v>
                </c:pt>
                <c:pt idx="189">
                  <c:v>6.46E-6</c:v>
                </c:pt>
                <c:pt idx="190">
                  <c:v>6.5400000000000001E-6</c:v>
                </c:pt>
                <c:pt idx="191">
                  <c:v>5.8900000000000004E-6</c:v>
                </c:pt>
                <c:pt idx="192">
                  <c:v>6.19E-6</c:v>
                </c:pt>
                <c:pt idx="193">
                  <c:v>6.64E-6</c:v>
                </c:pt>
                <c:pt idx="194">
                  <c:v>6.81E-6</c:v>
                </c:pt>
                <c:pt idx="195">
                  <c:v>6.6200000000000001E-6</c:v>
                </c:pt>
                <c:pt idx="196">
                  <c:v>6.9099999999999999E-6</c:v>
                </c:pt>
                <c:pt idx="197">
                  <c:v>7.2400000000000001E-6</c:v>
                </c:pt>
                <c:pt idx="198">
                  <c:v>7.1099999999999997E-6</c:v>
                </c:pt>
                <c:pt idx="199">
                  <c:v>7.5599999999999996E-6</c:v>
                </c:pt>
                <c:pt idx="200">
                  <c:v>7.8599999999999993E-6</c:v>
                </c:pt>
                <c:pt idx="201">
                  <c:v>7.6699999999999994E-6</c:v>
                </c:pt>
                <c:pt idx="202">
                  <c:v>7.9100000000000005E-6</c:v>
                </c:pt>
                <c:pt idx="203">
                  <c:v>8.0199999999999994E-6</c:v>
                </c:pt>
                <c:pt idx="204">
                  <c:v>8.5499999999999995E-6</c:v>
                </c:pt>
                <c:pt idx="205">
                  <c:v>8.7399999999999993E-6</c:v>
                </c:pt>
                <c:pt idx="206">
                  <c:v>8.3399999999999998E-6</c:v>
                </c:pt>
                <c:pt idx="207">
                  <c:v>8.7299999999999994E-6</c:v>
                </c:pt>
                <c:pt idx="208">
                  <c:v>8.6600000000000001E-6</c:v>
                </c:pt>
                <c:pt idx="209">
                  <c:v>8.3499999999999997E-6</c:v>
                </c:pt>
                <c:pt idx="210">
                  <c:v>8.32E-6</c:v>
                </c:pt>
                <c:pt idx="211">
                  <c:v>8.8200000000000003E-6</c:v>
                </c:pt>
                <c:pt idx="212">
                  <c:v>8.8699999999999998E-6</c:v>
                </c:pt>
                <c:pt idx="213">
                  <c:v>8.0800000000000006E-6</c:v>
                </c:pt>
                <c:pt idx="214">
                  <c:v>7.8499999999999994E-6</c:v>
                </c:pt>
                <c:pt idx="215">
                  <c:v>7.4800000000000004E-6</c:v>
                </c:pt>
                <c:pt idx="216">
                  <c:v>7.0700000000000001E-6</c:v>
                </c:pt>
                <c:pt idx="217">
                  <c:v>7.2099999999999996E-6</c:v>
                </c:pt>
                <c:pt idx="218">
                  <c:v>6.8399999999999997E-6</c:v>
                </c:pt>
                <c:pt idx="219">
                  <c:v>6.3300000000000004E-6</c:v>
                </c:pt>
                <c:pt idx="220">
                  <c:v>6.19E-6</c:v>
                </c:pt>
                <c:pt idx="221">
                  <c:v>7.7800000000000001E-6</c:v>
                </c:pt>
                <c:pt idx="222">
                  <c:v>7.6199999999999999E-6</c:v>
                </c:pt>
                <c:pt idx="223">
                  <c:v>7.2599999999999999E-6</c:v>
                </c:pt>
                <c:pt idx="224">
                  <c:v>7.9500000000000001E-6</c:v>
                </c:pt>
                <c:pt idx="225">
                  <c:v>8.3100000000000001E-6</c:v>
                </c:pt>
                <c:pt idx="226">
                  <c:v>9.0299999999999999E-6</c:v>
                </c:pt>
                <c:pt idx="227">
                  <c:v>7.0899999999999999E-6</c:v>
                </c:pt>
                <c:pt idx="228">
                  <c:v>6.8499999999999996E-6</c:v>
                </c:pt>
                <c:pt idx="229">
                  <c:v>6.28E-6</c:v>
                </c:pt>
                <c:pt idx="230">
                  <c:v>6.2099999999999998E-6</c:v>
                </c:pt>
                <c:pt idx="231">
                  <c:v>6.8399999999999997E-6</c:v>
                </c:pt>
                <c:pt idx="232">
                  <c:v>7.3799999999999996E-6</c:v>
                </c:pt>
                <c:pt idx="233">
                  <c:v>7.1500000000000002E-6</c:v>
                </c:pt>
                <c:pt idx="234">
                  <c:v>7.7400000000000004E-6</c:v>
                </c:pt>
                <c:pt idx="235">
                  <c:v>8.5299999999999996E-6</c:v>
                </c:pt>
                <c:pt idx="236">
                  <c:v>8.4200000000000007E-6</c:v>
                </c:pt>
                <c:pt idx="237">
                  <c:v>8.7900000000000005E-6</c:v>
                </c:pt>
                <c:pt idx="238">
                  <c:v>9.8200000000000008E-6</c:v>
                </c:pt>
                <c:pt idx="239">
                  <c:v>9.4399999999999994E-6</c:v>
                </c:pt>
                <c:pt idx="240">
                  <c:v>8.8200000000000003E-6</c:v>
                </c:pt>
                <c:pt idx="241">
                  <c:v>9.2799999999999992E-6</c:v>
                </c:pt>
                <c:pt idx="242">
                  <c:v>7.8599999999999993E-6</c:v>
                </c:pt>
                <c:pt idx="243">
                  <c:v>7.8900000000000007E-6</c:v>
                </c:pt>
                <c:pt idx="244">
                  <c:v>7.9000000000000006E-6</c:v>
                </c:pt>
                <c:pt idx="245">
                  <c:v>8.7900000000000005E-6</c:v>
                </c:pt>
                <c:pt idx="246">
                  <c:v>9.4900000000000006E-6</c:v>
                </c:pt>
                <c:pt idx="247">
                  <c:v>9.3899999999999999E-6</c:v>
                </c:pt>
                <c:pt idx="248">
                  <c:v>1.065E-5</c:v>
                </c:pt>
                <c:pt idx="249">
                  <c:v>8.0900000000000005E-6</c:v>
                </c:pt>
                <c:pt idx="250">
                  <c:v>8.4200000000000007E-6</c:v>
                </c:pt>
                <c:pt idx="251">
                  <c:v>8.1999999999999994E-6</c:v>
                </c:pt>
                <c:pt idx="252">
                  <c:v>9.6399999999999992E-6</c:v>
                </c:pt>
                <c:pt idx="253">
                  <c:v>9.0699999999999996E-6</c:v>
                </c:pt>
                <c:pt idx="254">
                  <c:v>1.56E-5</c:v>
                </c:pt>
                <c:pt idx="255">
                  <c:v>1.6509999999999999E-5</c:v>
                </c:pt>
                <c:pt idx="256">
                  <c:v>1.7839999999999999E-5</c:v>
                </c:pt>
                <c:pt idx="257">
                  <c:v>1.5529999999999999E-5</c:v>
                </c:pt>
                <c:pt idx="258">
                  <c:v>1.84E-5</c:v>
                </c:pt>
                <c:pt idx="259">
                  <c:v>2.1019999999999999E-5</c:v>
                </c:pt>
                <c:pt idx="260">
                  <c:v>1.821E-5</c:v>
                </c:pt>
                <c:pt idx="261">
                  <c:v>3.042E-5</c:v>
                </c:pt>
                <c:pt idx="262">
                  <c:v>3.4659999999999997E-5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08-4204-853A-6B9082478FC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-72781.340881414289</c:v>
                </c:pt>
                <c:pt idx="1">
                  <c:v>-67779.198428305521</c:v>
                </c:pt>
                <c:pt idx="2">
                  <c:v>90.852335034306648</c:v>
                </c:pt>
                <c:pt idx="3">
                  <c:v>-22026.062191173583</c:v>
                </c:pt>
                <c:pt idx="4">
                  <c:v>-43001.915656716366</c:v>
                </c:pt>
                <c:pt idx="5">
                  <c:v>-86943.376881294927</c:v>
                </c:pt>
                <c:pt idx="6">
                  <c:v>-158126.97496816091</c:v>
                </c:pt>
                <c:pt idx="7">
                  <c:v>-59715.224281711271</c:v>
                </c:pt>
                <c:pt idx="8">
                  <c:v>-19153.655407759099</c:v>
                </c:pt>
                <c:pt idx="9">
                  <c:v>9230.7175597224159</c:v>
                </c:pt>
                <c:pt idx="10">
                  <c:v>31466.673147299742</c:v>
                </c:pt>
                <c:pt idx="11">
                  <c:v>55746.210806823008</c:v>
                </c:pt>
                <c:pt idx="12">
                  <c:v>60483.582399403691</c:v>
                </c:pt>
                <c:pt idx="13">
                  <c:v>76135.215369417623</c:v>
                </c:pt>
                <c:pt idx="14">
                  <c:v>84704.968089454458</c:v>
                </c:pt>
                <c:pt idx="15">
                  <c:v>165400.1732845105</c:v>
                </c:pt>
                <c:pt idx="16">
                  <c:v>111497.99348149919</c:v>
                </c:pt>
                <c:pt idx="17">
                  <c:v>90607.074163452358</c:v>
                </c:pt>
                <c:pt idx="18">
                  <c:v>106358.23515960164</c:v>
                </c:pt>
                <c:pt idx="19">
                  <c:v>109031.31013035231</c:v>
                </c:pt>
                <c:pt idx="20">
                  <c:v>126870.46359980434</c:v>
                </c:pt>
                <c:pt idx="21">
                  <c:v>169340.93004827626</c:v>
                </c:pt>
                <c:pt idx="22">
                  <c:v>156630.90233503617</c:v>
                </c:pt>
                <c:pt idx="23">
                  <c:v>170239.57637225519</c:v>
                </c:pt>
                <c:pt idx="24">
                  <c:v>200383.72232839977</c:v>
                </c:pt>
                <c:pt idx="25">
                  <c:v>203600.41255654016</c:v>
                </c:pt>
                <c:pt idx="26">
                  <c:v>199452.28218881876</c:v>
                </c:pt>
                <c:pt idx="27">
                  <c:v>170209.34662170205</c:v>
                </c:pt>
                <c:pt idx="28">
                  <c:v>184800.69240086421</c:v>
                </c:pt>
                <c:pt idx="29">
                  <c:v>175895.52356142836</c:v>
                </c:pt>
                <c:pt idx="30">
                  <c:v>225590.3819843753</c:v>
                </c:pt>
                <c:pt idx="31">
                  <c:v>304374.93771862698</c:v>
                </c:pt>
                <c:pt idx="32">
                  <c:v>262799.5962751623</c:v>
                </c:pt>
                <c:pt idx="33">
                  <c:v>235118.9908227961</c:v>
                </c:pt>
                <c:pt idx="34">
                  <c:v>200386.61266443977</c:v>
                </c:pt>
                <c:pt idx="35">
                  <c:v>295644.22122939042</c:v>
                </c:pt>
                <c:pt idx="36">
                  <c:v>176497.71122486354</c:v>
                </c:pt>
                <c:pt idx="37">
                  <c:v>185794.56017472901</c:v>
                </c:pt>
                <c:pt idx="38">
                  <c:v>137778.79221376198</c:v>
                </c:pt>
                <c:pt idx="39">
                  <c:v>126531.49339740346</c:v>
                </c:pt>
                <c:pt idx="40">
                  <c:v>154187.36808241694</c:v>
                </c:pt>
                <c:pt idx="41">
                  <c:v>158506.37390217505</c:v>
                </c:pt>
                <c:pt idx="42">
                  <c:v>189962.82443447554</c:v>
                </c:pt>
                <c:pt idx="43">
                  <c:v>248011.70212727442</c:v>
                </c:pt>
                <c:pt idx="44">
                  <c:v>204776.4917770068</c:v>
                </c:pt>
                <c:pt idx="45">
                  <c:v>207997.77292063285</c:v>
                </c:pt>
                <c:pt idx="46">
                  <c:v>262446.24807778635</c:v>
                </c:pt>
                <c:pt idx="47">
                  <c:v>226349.22159080816</c:v>
                </c:pt>
                <c:pt idx="48">
                  <c:v>223801.99924875129</c:v>
                </c:pt>
                <c:pt idx="49">
                  <c:v>286975.63389249006</c:v>
                </c:pt>
                <c:pt idx="50">
                  <c:v>337506.11816712638</c:v>
                </c:pt>
                <c:pt idx="51">
                  <c:v>307585.88075883465</c:v>
                </c:pt>
                <c:pt idx="52">
                  <c:v>383986.09530036082</c:v>
                </c:pt>
                <c:pt idx="53">
                  <c:v>275458.43229884881</c:v>
                </c:pt>
                <c:pt idx="54">
                  <c:v>273451.60329595173</c:v>
                </c:pt>
                <c:pt idx="55">
                  <c:v>197651.7668141383</c:v>
                </c:pt>
                <c:pt idx="56">
                  <c:v>291010.44920187374</c:v>
                </c:pt>
                <c:pt idx="57">
                  <c:v>325790.13657613314</c:v>
                </c:pt>
                <c:pt idx="58">
                  <c:v>491783.0119549135</c:v>
                </c:pt>
                <c:pt idx="59">
                  <c:v>636292.09708084783</c:v>
                </c:pt>
                <c:pt idx="60">
                  <c:v>446076.93515900796</c:v>
                </c:pt>
                <c:pt idx="61">
                  <c:v>348548.16238359566</c:v>
                </c:pt>
                <c:pt idx="62">
                  <c:v>404389.86041244725</c:v>
                </c:pt>
                <c:pt idx="63">
                  <c:v>443289.03901860758</c:v>
                </c:pt>
                <c:pt idx="64">
                  <c:v>450350.8115557853</c:v>
                </c:pt>
                <c:pt idx="65">
                  <c:v>480824.48856080335</c:v>
                </c:pt>
                <c:pt idx="66">
                  <c:v>536556.86371330603</c:v>
                </c:pt>
                <c:pt idx="67">
                  <c:v>610984.4452639753</c:v>
                </c:pt>
                <c:pt idx="68">
                  <c:v>678624.1753063841</c:v>
                </c:pt>
                <c:pt idx="69">
                  <c:v>685808.8399655642</c:v>
                </c:pt>
                <c:pt idx="70">
                  <c:v>614300.17508186668</c:v>
                </c:pt>
                <c:pt idx="71">
                  <c:v>724628.50068510952</c:v>
                </c:pt>
                <c:pt idx="72">
                  <c:v>733174.20996064832</c:v>
                </c:pt>
                <c:pt idx="73">
                  <c:v>784309.32201540156</c:v>
                </c:pt>
                <c:pt idx="74">
                  <c:v>832848.87678497843</c:v>
                </c:pt>
                <c:pt idx="75">
                  <c:v>875931.72820222529</c:v>
                </c:pt>
                <c:pt idx="76">
                  <c:v>875570.20462925732</c:v>
                </c:pt>
                <c:pt idx="77">
                  <c:v>969494.37655976508</c:v>
                </c:pt>
                <c:pt idx="78">
                  <c:v>767094.67880141421</c:v>
                </c:pt>
                <c:pt idx="79">
                  <c:v>784799.75115419948</c:v>
                </c:pt>
                <c:pt idx="80">
                  <c:v>849210.07978559204</c:v>
                </c:pt>
                <c:pt idx="81">
                  <c:v>901960.86447555723</c:v>
                </c:pt>
                <c:pt idx="82">
                  <c:v>974838.12170525524</c:v>
                </c:pt>
                <c:pt idx="83">
                  <c:v>1008208.9196272513</c:v>
                </c:pt>
                <c:pt idx="84">
                  <c:v>551453.49629250006</c:v>
                </c:pt>
                <c:pt idx="85">
                  <c:v>759561.31930178183</c:v>
                </c:pt>
                <c:pt idx="86">
                  <c:v>951973.08387972554</c:v>
                </c:pt>
                <c:pt idx="87">
                  <c:v>983666.15615686309</c:v>
                </c:pt>
                <c:pt idx="88">
                  <c:v>908738.22766313259</c:v>
                </c:pt>
                <c:pt idx="89">
                  <c:v>737759.57366909855</c:v>
                </c:pt>
                <c:pt idx="90">
                  <c:v>912780.83704890579</c:v>
                </c:pt>
                <c:pt idx="91">
                  <c:v>516929.05354989623</c:v>
                </c:pt>
                <c:pt idx="92">
                  <c:v>856190.42341651651</c:v>
                </c:pt>
                <c:pt idx="93">
                  <c:v>-49566.650556918357</c:v>
                </c:pt>
                <c:pt idx="94">
                  <c:v>-468005.38862025546</c:v>
                </c:pt>
                <c:pt idx="95">
                  <c:v>-852422.63861449005</c:v>
                </c:pt>
                <c:pt idx="96">
                  <c:v>-290855.04165862774</c:v>
                </c:pt>
                <c:pt idx="97">
                  <c:v>-614662.28476333793</c:v>
                </c:pt>
                <c:pt idx="98">
                  <c:v>-640543.5920947938</c:v>
                </c:pt>
                <c:pt idx="99">
                  <c:v>-563496.2102057311</c:v>
                </c:pt>
                <c:pt idx="100">
                  <c:v>-664668.22263955884</c:v>
                </c:pt>
                <c:pt idx="101">
                  <c:v>-602097.29824149038</c:v>
                </c:pt>
                <c:pt idx="102">
                  <c:v>-756647.98401939764</c:v>
                </c:pt>
                <c:pt idx="103">
                  <c:v>-871637.86336803983</c:v>
                </c:pt>
                <c:pt idx="104">
                  <c:v>-883249.93553088128</c:v>
                </c:pt>
                <c:pt idx="105">
                  <c:v>-841366.01858802978</c:v>
                </c:pt>
                <c:pt idx="106">
                  <c:v>-773724.47611127433</c:v>
                </c:pt>
                <c:pt idx="107">
                  <c:v>-759609.14285958512</c:v>
                </c:pt>
                <c:pt idx="108">
                  <c:v>-663845.10095775523</c:v>
                </c:pt>
                <c:pt idx="109">
                  <c:v>-1073444.3312735611</c:v>
                </c:pt>
                <c:pt idx="110">
                  <c:v>-987379.62924256478</c:v>
                </c:pt>
                <c:pt idx="111">
                  <c:v>-840833.30479829165</c:v>
                </c:pt>
                <c:pt idx="112">
                  <c:v>-1524951.6894530277</c:v>
                </c:pt>
                <c:pt idx="113">
                  <c:v>159272.32571098657</c:v>
                </c:pt>
                <c:pt idx="114">
                  <c:v>-1418510.3619192303</c:v>
                </c:pt>
                <c:pt idx="115">
                  <c:v>-1983656.942570772</c:v>
                </c:pt>
                <c:pt idx="116">
                  <c:v>-2770009.0596926771</c:v>
                </c:pt>
                <c:pt idx="117">
                  <c:v>-2821960.0794992032</c:v>
                </c:pt>
                <c:pt idx="118">
                  <c:v>-2828657.2659050431</c:v>
                </c:pt>
                <c:pt idx="119">
                  <c:v>-2882384.3776058648</c:v>
                </c:pt>
                <c:pt idx="120">
                  <c:v>-2878805.055644867</c:v>
                </c:pt>
                <c:pt idx="121">
                  <c:v>-2869195.9921062416</c:v>
                </c:pt>
                <c:pt idx="122">
                  <c:v>-2864855.6648724489</c:v>
                </c:pt>
                <c:pt idx="123">
                  <c:v>-2841355.8767519589</c:v>
                </c:pt>
                <c:pt idx="124">
                  <c:v>-2849246.553892069</c:v>
                </c:pt>
                <c:pt idx="125">
                  <c:v>-2840375.9973654342</c:v>
                </c:pt>
                <c:pt idx="126">
                  <c:v>-2858978.9955617981</c:v>
                </c:pt>
                <c:pt idx="127">
                  <c:v>-2945281.0438813218</c:v>
                </c:pt>
                <c:pt idx="128">
                  <c:v>-3005455.7294708476</c:v>
                </c:pt>
                <c:pt idx="129">
                  <c:v>-2970146.7570337104</c:v>
                </c:pt>
                <c:pt idx="130">
                  <c:v>-2892231.4915708229</c:v>
                </c:pt>
                <c:pt idx="131">
                  <c:v>-2974251.5984858014</c:v>
                </c:pt>
                <c:pt idx="132">
                  <c:v>-2882027.4307493903</c:v>
                </c:pt>
                <c:pt idx="133">
                  <c:v>-2577632.2671692283</c:v>
                </c:pt>
                <c:pt idx="134">
                  <c:v>-2945164.0377709637</c:v>
                </c:pt>
                <c:pt idx="135">
                  <c:v>-2954414.0450473139</c:v>
                </c:pt>
                <c:pt idx="136">
                  <c:v>-2993870.9553191587</c:v>
                </c:pt>
                <c:pt idx="137">
                  <c:v>-2977030.6000948623</c:v>
                </c:pt>
                <c:pt idx="138">
                  <c:v>-3007666.6322621936</c:v>
                </c:pt>
                <c:pt idx="139">
                  <c:v>-2948700.3686667001</c:v>
                </c:pt>
                <c:pt idx="140">
                  <c:v>-2939442.6402242244</c:v>
                </c:pt>
                <c:pt idx="141">
                  <c:v>-3017518.8627278539</c:v>
                </c:pt>
                <c:pt idx="142">
                  <c:v>-2972414.145315859</c:v>
                </c:pt>
                <c:pt idx="143">
                  <c:v>-2945983.678346015</c:v>
                </c:pt>
                <c:pt idx="144">
                  <c:v>-2916283.7564837555</c:v>
                </c:pt>
                <c:pt idx="145">
                  <c:v>-2975827.1379395258</c:v>
                </c:pt>
                <c:pt idx="146">
                  <c:v>-3014039.9739228641</c:v>
                </c:pt>
                <c:pt idx="147">
                  <c:v>-3007848.0819273568</c:v>
                </c:pt>
                <c:pt idx="148">
                  <c:v>-2962450.1425318052</c:v>
                </c:pt>
                <c:pt idx="149">
                  <c:v>-3033932.2734411443</c:v>
                </c:pt>
                <c:pt idx="150">
                  <c:v>-3032134.2332043159</c:v>
                </c:pt>
                <c:pt idx="151">
                  <c:v>-3006372.103514384</c:v>
                </c:pt>
                <c:pt idx="152">
                  <c:v>-2986894.609571036</c:v>
                </c:pt>
                <c:pt idx="153">
                  <c:v>-2942562.0781920119</c:v>
                </c:pt>
                <c:pt idx="154">
                  <c:v>-3016720.0700128255</c:v>
                </c:pt>
                <c:pt idx="155">
                  <c:v>-2954366.9590576319</c:v>
                </c:pt>
                <c:pt idx="156">
                  <c:v>-2993325.1332561285</c:v>
                </c:pt>
                <c:pt idx="157">
                  <c:v>-2911091.715785074</c:v>
                </c:pt>
                <c:pt idx="158">
                  <c:v>-2860736.2695142734</c:v>
                </c:pt>
                <c:pt idx="159">
                  <c:v>-2866470.1850634031</c:v>
                </c:pt>
                <c:pt idx="160">
                  <c:v>-2788385.9828792363</c:v>
                </c:pt>
                <c:pt idx="161">
                  <c:v>-2830700.8402964668</c:v>
                </c:pt>
                <c:pt idx="162">
                  <c:v>-2942186.1356829768</c:v>
                </c:pt>
                <c:pt idx="163">
                  <c:v>-2926161.7659889893</c:v>
                </c:pt>
                <c:pt idx="164">
                  <c:v>-2685863.451206726</c:v>
                </c:pt>
                <c:pt idx="165">
                  <c:v>-2765558.871210116</c:v>
                </c:pt>
                <c:pt idx="166">
                  <c:v>-2865084.4506311994</c:v>
                </c:pt>
                <c:pt idx="167">
                  <c:v>-2838225.7604494481</c:v>
                </c:pt>
                <c:pt idx="168">
                  <c:v>-2931101.7311025076</c:v>
                </c:pt>
                <c:pt idx="169">
                  <c:v>-2856941.9908729345</c:v>
                </c:pt>
                <c:pt idx="170">
                  <c:v>-2782347.2015468837</c:v>
                </c:pt>
                <c:pt idx="171">
                  <c:v>-2755590.7985845231</c:v>
                </c:pt>
                <c:pt idx="172">
                  <c:v>-2824607.6963591906</c:v>
                </c:pt>
                <c:pt idx="173">
                  <c:v>-2425989.3422482526</c:v>
                </c:pt>
                <c:pt idx="174">
                  <c:v>-2705087.5030433103</c:v>
                </c:pt>
                <c:pt idx="175">
                  <c:v>-2718784.7970706564</c:v>
                </c:pt>
                <c:pt idx="176">
                  <c:v>-2745620.3298252658</c:v>
                </c:pt>
                <c:pt idx="177">
                  <c:v>-2750625.4062993401</c:v>
                </c:pt>
                <c:pt idx="178">
                  <c:v>-2710933.0038411454</c:v>
                </c:pt>
                <c:pt idx="179">
                  <c:v>-2722315.7882751455</c:v>
                </c:pt>
                <c:pt idx="180">
                  <c:v>-2651398.2613638411</c:v>
                </c:pt>
                <c:pt idx="181">
                  <c:v>-2646570.9944507801</c:v>
                </c:pt>
                <c:pt idx="182">
                  <c:v>-2661588.3152661794</c:v>
                </c:pt>
                <c:pt idx="183">
                  <c:v>-2657636.0579240471</c:v>
                </c:pt>
                <c:pt idx="184">
                  <c:v>-2614532.6319092745</c:v>
                </c:pt>
                <c:pt idx="185">
                  <c:v>-2660203.8262697621</c:v>
                </c:pt>
                <c:pt idx="186">
                  <c:v>-2502369.10827121</c:v>
                </c:pt>
                <c:pt idx="187">
                  <c:v>-2506124.1701252009</c:v>
                </c:pt>
                <c:pt idx="188">
                  <c:v>-2485069.1144083566</c:v>
                </c:pt>
                <c:pt idx="189">
                  <c:v>-2505626.5782768293</c:v>
                </c:pt>
                <c:pt idx="190">
                  <c:v>-2485564.9724374092</c:v>
                </c:pt>
                <c:pt idx="191">
                  <c:v>-2526989.5444544894</c:v>
                </c:pt>
                <c:pt idx="192">
                  <c:v>-2496730.7633592328</c:v>
                </c:pt>
                <c:pt idx="193">
                  <c:v>-2445468.7476751953</c:v>
                </c:pt>
                <c:pt idx="194">
                  <c:v>-2395606.5168554359</c:v>
                </c:pt>
                <c:pt idx="195">
                  <c:v>-2397058.4424903793</c:v>
                </c:pt>
                <c:pt idx="196">
                  <c:v>-2355398.3424803545</c:v>
                </c:pt>
                <c:pt idx="197">
                  <c:v>-2302957.2085895315</c:v>
                </c:pt>
                <c:pt idx="198">
                  <c:v>-2331623.1377912341</c:v>
                </c:pt>
                <c:pt idx="199">
                  <c:v>-2271177.1372308875</c:v>
                </c:pt>
                <c:pt idx="200">
                  <c:v>-2250703.0946206655</c:v>
                </c:pt>
                <c:pt idx="201">
                  <c:v>-2274190.4342291728</c:v>
                </c:pt>
                <c:pt idx="202">
                  <c:v>-2240126.334687476</c:v>
                </c:pt>
                <c:pt idx="203">
                  <c:v>-2244590.7632546267</c:v>
                </c:pt>
                <c:pt idx="204">
                  <c:v>-2188059.6360468385</c:v>
                </c:pt>
                <c:pt idx="205">
                  <c:v>-2095366.5331672404</c:v>
                </c:pt>
                <c:pt idx="206">
                  <c:v>-2056518.1878417747</c:v>
                </c:pt>
                <c:pt idx="207">
                  <c:v>-2012056.9275668708</c:v>
                </c:pt>
                <c:pt idx="208">
                  <c:v>-2024075.8260312979</c:v>
                </c:pt>
                <c:pt idx="209">
                  <c:v>-2072476.6114205222</c:v>
                </c:pt>
                <c:pt idx="210">
                  <c:v>-2124219.2057717214</c:v>
                </c:pt>
                <c:pt idx="211">
                  <c:v>-2044269.0744719063</c:v>
                </c:pt>
                <c:pt idx="212">
                  <c:v>-2150693.0560650802</c:v>
                </c:pt>
                <c:pt idx="213">
                  <c:v>-2173714.1532363053</c:v>
                </c:pt>
                <c:pt idx="214">
                  <c:v>-2282400.2313637757</c:v>
                </c:pt>
                <c:pt idx="215">
                  <c:v>-2386263.2704156856</c:v>
                </c:pt>
                <c:pt idx="216">
                  <c:v>-2557780.4517783117</c:v>
                </c:pt>
                <c:pt idx="217">
                  <c:v>-2305248.7754230937</c:v>
                </c:pt>
                <c:pt idx="218">
                  <c:v>-2372456.9089870634</c:v>
                </c:pt>
                <c:pt idx="219">
                  <c:v>-2476445.8772026538</c:v>
                </c:pt>
                <c:pt idx="220">
                  <c:v>-2496910.7223269185</c:v>
                </c:pt>
                <c:pt idx="221">
                  <c:v>-2192804.7593780444</c:v>
                </c:pt>
                <c:pt idx="222">
                  <c:v>-2292570.3927773745</c:v>
                </c:pt>
                <c:pt idx="223">
                  <c:v>-2179143.6418330879</c:v>
                </c:pt>
                <c:pt idx="224">
                  <c:v>-2068394.060354331</c:v>
                </c:pt>
                <c:pt idx="225">
                  <c:v>-1955142.9700307862</c:v>
                </c:pt>
                <c:pt idx="226">
                  <c:v>-1629534.7332048689</c:v>
                </c:pt>
                <c:pt idx="227">
                  <c:v>-1865793.850137661</c:v>
                </c:pt>
                <c:pt idx="228">
                  <c:v>-1961577.0629844556</c:v>
                </c:pt>
                <c:pt idx="229">
                  <c:v>-2055956.9564678329</c:v>
                </c:pt>
                <c:pt idx="230">
                  <c:v>-2191467.8195567466</c:v>
                </c:pt>
                <c:pt idx="231">
                  <c:v>-2099774.1314282734</c:v>
                </c:pt>
                <c:pt idx="232">
                  <c:v>-1969453.282198037</c:v>
                </c:pt>
                <c:pt idx="233">
                  <c:v>-2060881.6174467898</c:v>
                </c:pt>
                <c:pt idx="234">
                  <c:v>-2087716.1308521803</c:v>
                </c:pt>
                <c:pt idx="235">
                  <c:v>-2000872.3332427829</c:v>
                </c:pt>
                <c:pt idx="236">
                  <c:v>-2029935.1734384859</c:v>
                </c:pt>
                <c:pt idx="237">
                  <c:v>-1973535.97813482</c:v>
                </c:pt>
                <c:pt idx="238">
                  <c:v>-1878043.4435672055</c:v>
                </c:pt>
                <c:pt idx="239">
                  <c:v>-1866642.5214579508</c:v>
                </c:pt>
                <c:pt idx="240">
                  <c:v>-1831570.5103827321</c:v>
                </c:pt>
                <c:pt idx="241">
                  <c:v>-1817191.4318018882</c:v>
                </c:pt>
                <c:pt idx="242">
                  <c:v>-1929933.0408703736</c:v>
                </c:pt>
                <c:pt idx="243">
                  <c:v>-1944676.2081846329</c:v>
                </c:pt>
                <c:pt idx="244">
                  <c:v>-1990586.3805663399</c:v>
                </c:pt>
                <c:pt idx="245">
                  <c:v>-1897006.2250351866</c:v>
                </c:pt>
                <c:pt idx="246">
                  <c:v>-1807219.4317725352</c:v>
                </c:pt>
                <c:pt idx="247">
                  <c:v>-1662213.0179502117</c:v>
                </c:pt>
                <c:pt idx="248">
                  <c:v>-1458453.2766235911</c:v>
                </c:pt>
                <c:pt idx="249">
                  <c:v>-1687676.3784906843</c:v>
                </c:pt>
                <c:pt idx="250">
                  <c:v>-1596070.6830956778</c:v>
                </c:pt>
                <c:pt idx="251">
                  <c:v>-1639261.2693410993</c:v>
                </c:pt>
                <c:pt idx="252">
                  <c:v>-1567414.0273654952</c:v>
                </c:pt>
                <c:pt idx="253">
                  <c:v>-1421453.5738311994</c:v>
                </c:pt>
                <c:pt idx="254">
                  <c:v>-1044047.6454217223</c:v>
                </c:pt>
                <c:pt idx="255">
                  <c:v>-849298.78850034997</c:v>
                </c:pt>
                <c:pt idx="256">
                  <c:v>-978635.9560497175</c:v>
                </c:pt>
                <c:pt idx="257">
                  <c:v>-1292335.5937296737</c:v>
                </c:pt>
                <c:pt idx="258">
                  <c:v>-969902.14788794063</c:v>
                </c:pt>
                <c:pt idx="259">
                  <c:v>-608774.02191816142</c:v>
                </c:pt>
                <c:pt idx="260">
                  <c:v>-958566.00836099219</c:v>
                </c:pt>
                <c:pt idx="261">
                  <c:v>-175264.70186568511</c:v>
                </c:pt>
                <c:pt idx="262">
                  <c:v>138119.29263430118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08-4204-853A-6B9082478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458768"/>
        <c:axId val="534459184"/>
      </c:lineChart>
      <c:dateAx>
        <c:axId val="534458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459184"/>
        <c:crosses val="autoZero"/>
        <c:auto val="1"/>
        <c:lblOffset val="100"/>
        <c:baseTimeUnit val="days"/>
      </c:dateAx>
      <c:valAx>
        <c:axId val="53445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45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0CA79E3-9E1E-4BE3-9520-F52236BFC7AB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F2457C-ED0E-4C7A-9402-5421EDDBE28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8.8540000000000003E-5</v>
      </c>
      <c r="D2" s="4">
        <f>MIN(D3:D1912)</f>
        <v>5.1000000000000003E-6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8</v>
      </c>
      <c r="M4" t="s">
        <v>8</v>
      </c>
      <c r="N4" t="s">
        <v>8</v>
      </c>
    </row>
    <row r="5" spans="1:20" x14ac:dyDescent="0.25">
      <c r="A5" s="5">
        <v>44588</v>
      </c>
      <c r="B5">
        <v>2.1100000000000001E-5</v>
      </c>
      <c r="C5">
        <v>2.1339999999999999E-5</v>
      </c>
      <c r="D5">
        <v>2.0530000000000002E-5</v>
      </c>
      <c r="E5">
        <v>2.0570000000000001E-5</v>
      </c>
      <c r="F5">
        <v>555032244797</v>
      </c>
      <c r="G5">
        <v>2.0570000000000001E-5</v>
      </c>
      <c r="L5" t="s">
        <v>8</v>
      </c>
      <c r="M5" t="s">
        <v>8</v>
      </c>
      <c r="N5" t="s">
        <v>8</v>
      </c>
      <c r="P5">
        <f t="shared" ref="P5" si="0">IF(C5=D5,0,((E5-D5)-(C5-E5))/(C5-D5))</f>
        <v>-0.90123456790123524</v>
      </c>
      <c r="Q5">
        <f t="shared" ref="Q5" si="1">F5*P5</f>
        <v>-500214245310.87689</v>
      </c>
      <c r="R5">
        <f t="shared" ref="R5" si="2">R6+Q5</f>
        <v>-7278134088141.4297</v>
      </c>
      <c r="S5">
        <f t="shared" ref="S5" si="3">R5/100000</f>
        <v>-72781340.881414294</v>
      </c>
      <c r="T5">
        <f t="shared" ref="T5" si="4">S5/1000</f>
        <v>-72781.340881414289</v>
      </c>
    </row>
    <row r="6" spans="1:20" x14ac:dyDescent="0.25">
      <c r="A6" s="5">
        <v>44587</v>
      </c>
      <c r="B6">
        <v>2.1019999999999999E-5</v>
      </c>
      <c r="C6">
        <v>2.353E-5</v>
      </c>
      <c r="D6">
        <v>2.048E-5</v>
      </c>
      <c r="E6">
        <v>2.1100000000000001E-5</v>
      </c>
      <c r="F6">
        <v>11436666012607</v>
      </c>
      <c r="G6">
        <v>2.1100000000000001E-5</v>
      </c>
      <c r="L6" t="s">
        <v>7</v>
      </c>
      <c r="M6" t="s">
        <v>8</v>
      </c>
      <c r="N6" t="s">
        <v>8</v>
      </c>
      <c r="P6">
        <f t="shared" ref="P6" si="5">IF(C6=D6,0,((E6-D6)-(C6-E6))/(C6-D6))</f>
        <v>-0.59344262295081907</v>
      </c>
      <c r="Q6">
        <f t="shared" ref="Q6" si="6">F6*P6</f>
        <v>-6787005076333.9834</v>
      </c>
      <c r="R6">
        <f t="shared" ref="R6" si="7">R7+Q6</f>
        <v>-6777919842830.5527</v>
      </c>
      <c r="S6">
        <f t="shared" ref="S6" si="8">R6/100000</f>
        <v>-67779198.428305522</v>
      </c>
      <c r="T6">
        <f t="shared" ref="T6" si="9">S6/1000</f>
        <v>-67779.198428305521</v>
      </c>
    </row>
    <row r="7" spans="1:20" x14ac:dyDescent="0.25">
      <c r="A7" s="5">
        <v>44586</v>
      </c>
      <c r="B7">
        <v>2.1189999999999999E-5</v>
      </c>
      <c r="C7">
        <v>2.1650000000000001E-5</v>
      </c>
      <c r="D7">
        <v>2.003E-5</v>
      </c>
      <c r="E7">
        <v>2.101E-5</v>
      </c>
      <c r="F7">
        <v>10538059274252</v>
      </c>
      <c r="G7">
        <v>2.101E-5</v>
      </c>
      <c r="L7" t="s">
        <v>8</v>
      </c>
      <c r="M7" t="s">
        <v>7</v>
      </c>
      <c r="N7" t="s">
        <v>8</v>
      </c>
      <c r="P7">
        <f t="shared" ref="P7" si="10">IF(C7=D7,0,((E7-D7)-(C7-E7))/(C7-D7))</f>
        <v>0.20987654320987645</v>
      </c>
      <c r="Q7">
        <f t="shared" ref="Q7" si="11">F7*P7</f>
        <v>2211691452620.7891</v>
      </c>
      <c r="R7">
        <f t="shared" ref="R7" si="12">R8+Q7</f>
        <v>9085233503.4306641</v>
      </c>
      <c r="S7">
        <f t="shared" ref="S7" si="13">R7/100000</f>
        <v>90852.335034306641</v>
      </c>
      <c r="T7">
        <f t="shared" ref="T7" si="14">S7/1000</f>
        <v>90.852335034306648</v>
      </c>
    </row>
    <row r="8" spans="1:20" x14ac:dyDescent="0.25">
      <c r="A8" s="5">
        <v>44585</v>
      </c>
      <c r="B8">
        <v>2.2459999999999998E-5</v>
      </c>
      <c r="C8">
        <v>2.3289999999999999E-5</v>
      </c>
      <c r="D8">
        <v>1.8649999999999999E-5</v>
      </c>
      <c r="E8">
        <v>2.12E-5</v>
      </c>
      <c r="F8">
        <v>21158252191330</v>
      </c>
      <c r="G8">
        <v>2.12E-5</v>
      </c>
      <c r="L8" t="s">
        <v>7</v>
      </c>
      <c r="M8" t="s">
        <v>7</v>
      </c>
      <c r="N8" t="s">
        <v>8</v>
      </c>
      <c r="P8">
        <f t="shared" ref="P8" si="15">IF(C8=D8,0,((E8-D8)-(C8-E8))/(C8-D8))</f>
        <v>9.9137931034483276E-2</v>
      </c>
      <c r="Q8">
        <f t="shared" ref="Q8" si="16">F8*P8</f>
        <v>2097585346554.2781</v>
      </c>
      <c r="R8">
        <f t="shared" ref="R8" si="17">R9+Q8</f>
        <v>-2202606219117.3584</v>
      </c>
      <c r="S8">
        <f t="shared" ref="S8" si="18">R8/100000</f>
        <v>-22026062.191173583</v>
      </c>
      <c r="T8">
        <f t="shared" ref="T8" si="19">S8/1000</f>
        <v>-22026.062191173583</v>
      </c>
    </row>
    <row r="9" spans="1:20" x14ac:dyDescent="0.25">
      <c r="A9" s="5">
        <v>44584</v>
      </c>
      <c r="B9">
        <v>2.0530000000000002E-5</v>
      </c>
      <c r="C9">
        <v>2.37E-5</v>
      </c>
      <c r="D9">
        <v>2.0440000000000001E-5</v>
      </c>
      <c r="E9">
        <v>2.2459999999999998E-5</v>
      </c>
      <c r="F9">
        <v>18365277383606</v>
      </c>
      <c r="G9">
        <v>2.2459999999999998E-5</v>
      </c>
      <c r="L9" t="s">
        <v>8</v>
      </c>
      <c r="M9" t="s">
        <v>8</v>
      </c>
      <c r="N9" t="s">
        <v>8</v>
      </c>
      <c r="P9">
        <f t="shared" ref="P9" si="20">IF(C9=D9,0,((E9-D9)-(C9-E9))/(C9-D9))</f>
        <v>0.23926380368098041</v>
      </c>
      <c r="Q9">
        <f t="shared" ref="Q9" si="21">F9*P9</f>
        <v>4394146122457.8555</v>
      </c>
      <c r="R9">
        <f t="shared" ref="R9" si="22">R10+Q9</f>
        <v>-4300191565671.6367</v>
      </c>
      <c r="S9">
        <f t="shared" ref="S9" si="23">R9/100000</f>
        <v>-43001915.656716369</v>
      </c>
      <c r="T9">
        <f t="shared" ref="T9" si="24">S9/1000</f>
        <v>-43001.915656716366</v>
      </c>
    </row>
    <row r="10" spans="1:20" x14ac:dyDescent="0.25">
      <c r="A10" s="5">
        <v>44583</v>
      </c>
      <c r="B10">
        <v>2.2240000000000001E-5</v>
      </c>
      <c r="C10">
        <v>2.2520000000000001E-5</v>
      </c>
      <c r="D10">
        <v>1.7039999999999999E-5</v>
      </c>
      <c r="E10">
        <v>2.0530000000000002E-5</v>
      </c>
      <c r="F10">
        <v>26005741167735</v>
      </c>
      <c r="G10">
        <v>2.0530000000000002E-5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0.27372262773722666</v>
      </c>
      <c r="Q10">
        <f t="shared" ref="Q10" si="26">F10*P10</f>
        <v>7118359808686.5977</v>
      </c>
      <c r="R10">
        <f t="shared" ref="R10" si="27">R11+Q10</f>
        <v>-8694337688129.4922</v>
      </c>
      <c r="S10">
        <f t="shared" ref="S10" si="28">R10/100000</f>
        <v>-86943376.881294921</v>
      </c>
      <c r="T10">
        <f t="shared" ref="T10" si="29">S10/1000</f>
        <v>-86943.376881294927</v>
      </c>
    </row>
    <row r="11" spans="1:20" x14ac:dyDescent="0.25">
      <c r="A11" s="5">
        <v>44582</v>
      </c>
      <c r="B11">
        <v>2.6440000000000001E-5</v>
      </c>
      <c r="C11">
        <v>2.6840000000000001E-5</v>
      </c>
      <c r="D11">
        <v>2.158E-5</v>
      </c>
      <c r="E11">
        <v>2.2240000000000001E-5</v>
      </c>
      <c r="F11">
        <v>13138218492658</v>
      </c>
      <c r="G11">
        <v>2.2240000000000001E-5</v>
      </c>
      <c r="L11" t="s">
        <v>8</v>
      </c>
      <c r="M11" t="s">
        <v>7</v>
      </c>
      <c r="N11" t="s">
        <v>7</v>
      </c>
      <c r="P11">
        <f t="shared" ref="P11" si="30">IF(C11=D11,0,((E11-D11)-(C11-E11))/(C11-D11))</f>
        <v>-0.74904942965779453</v>
      </c>
      <c r="Q11">
        <f t="shared" ref="Q11" si="31">F11*P11</f>
        <v>-9841175068644.9629</v>
      </c>
      <c r="R11">
        <f t="shared" ref="R11" si="32">R12+Q11</f>
        <v>-15812697496816.09</v>
      </c>
      <c r="S11">
        <f t="shared" ref="S11" si="33">R11/100000</f>
        <v>-158126974.9681609</v>
      </c>
      <c r="T11">
        <f t="shared" ref="T11" si="34">S11/1000</f>
        <v>-158126.97496816091</v>
      </c>
    </row>
    <row r="12" spans="1:20" x14ac:dyDescent="0.25">
      <c r="A12" s="5">
        <v>44581</v>
      </c>
      <c r="B12">
        <v>2.7270000000000001E-5</v>
      </c>
      <c r="C12">
        <v>2.881E-5</v>
      </c>
      <c r="D12">
        <v>2.6239999999999999E-5</v>
      </c>
      <c r="E12">
        <v>2.6440000000000001E-5</v>
      </c>
      <c r="F12">
        <v>4803835576316</v>
      </c>
      <c r="G12">
        <v>2.6440000000000001E-5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-0.84435797665369539</v>
      </c>
      <c r="Q12">
        <f t="shared" ref="Q12" si="36">F12*P12</f>
        <v>-4056156887395.2163</v>
      </c>
      <c r="R12">
        <f t="shared" ref="R12" si="37">R13+Q12</f>
        <v>-5971522428171.127</v>
      </c>
      <c r="S12">
        <f t="shared" ref="S12" si="38">R12/100000</f>
        <v>-59715224.281711273</v>
      </c>
      <c r="T12">
        <f t="shared" ref="T12" si="39">S12/1000</f>
        <v>-59715.224281711271</v>
      </c>
    </row>
    <row r="13" spans="1:20" x14ac:dyDescent="0.25">
      <c r="A13" s="5">
        <v>44580</v>
      </c>
      <c r="B13">
        <v>2.8059999999999999E-5</v>
      </c>
      <c r="C13">
        <v>2.8269999999999999E-5</v>
      </c>
      <c r="D13">
        <v>2.7080000000000002E-5</v>
      </c>
      <c r="E13">
        <v>2.726E-5</v>
      </c>
      <c r="F13">
        <v>4069566726663</v>
      </c>
      <c r="G13">
        <v>2.726E-5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-0.69747899159664084</v>
      </c>
      <c r="Q13">
        <f t="shared" ref="Q13" si="41">F13*P13</f>
        <v>-2838437296748.1519</v>
      </c>
      <c r="R13">
        <f t="shared" ref="R13" si="42">R14+Q13</f>
        <v>-1915365540775.9102</v>
      </c>
      <c r="S13">
        <f t="shared" ref="S13" si="43">R13/100000</f>
        <v>-19153655.4077591</v>
      </c>
      <c r="T13">
        <f t="shared" ref="T13" si="44">S13/1000</f>
        <v>-19153.655407759099</v>
      </c>
    </row>
    <row r="14" spans="1:20" x14ac:dyDescent="0.25">
      <c r="A14" s="5">
        <v>44579</v>
      </c>
      <c r="B14">
        <v>2.8819999999999999E-5</v>
      </c>
      <c r="C14">
        <v>2.955E-5</v>
      </c>
      <c r="D14">
        <v>2.743E-5</v>
      </c>
      <c r="E14">
        <v>2.8079999999999999E-5</v>
      </c>
      <c r="F14">
        <v>5748808029959</v>
      </c>
      <c r="G14">
        <v>2.8079999999999999E-5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-0.38679245283018976</v>
      </c>
      <c r="Q14">
        <f t="shared" ref="Q14" si="46">F14*P14</f>
        <v>-2223595558757.7324</v>
      </c>
      <c r="R14">
        <f t="shared" ref="R14" si="47">R15+Q14</f>
        <v>923071755972.2417</v>
      </c>
      <c r="S14">
        <f t="shared" ref="S14" si="48">R14/100000</f>
        <v>9230717.5597224161</v>
      </c>
      <c r="T14">
        <f t="shared" ref="T14" si="49">S14/1000</f>
        <v>9230.7175597224159</v>
      </c>
    </row>
    <row r="15" spans="1:20" x14ac:dyDescent="0.25">
      <c r="A15" s="5">
        <v>44578</v>
      </c>
      <c r="B15">
        <v>3.0490000000000001E-5</v>
      </c>
      <c r="C15">
        <v>3.0580000000000002E-5</v>
      </c>
      <c r="D15">
        <v>2.8249999999999999E-5</v>
      </c>
      <c r="E15">
        <v>2.8819999999999999E-5</v>
      </c>
      <c r="F15">
        <v>4753892667789</v>
      </c>
      <c r="G15">
        <v>2.8819999999999999E-5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-0.51072961373390657</v>
      </c>
      <c r="Q15">
        <f t="shared" ref="Q15" si="51">F15*P15</f>
        <v>-2427953765952.3267</v>
      </c>
      <c r="R15">
        <f t="shared" ref="R15" si="52">R16+Q15</f>
        <v>3146667314729.9741</v>
      </c>
      <c r="S15">
        <f t="shared" ref="S15" si="53">R15/100000</f>
        <v>31466673.14729974</v>
      </c>
      <c r="T15">
        <f t="shared" ref="T15" si="54">S15/1000</f>
        <v>31466.673147299742</v>
      </c>
    </row>
    <row r="16" spans="1:20" x14ac:dyDescent="0.25">
      <c r="A16" s="5">
        <v>44577</v>
      </c>
      <c r="B16">
        <v>3.0830000000000001E-5</v>
      </c>
      <c r="C16">
        <v>3.1019999999999998E-5</v>
      </c>
      <c r="D16">
        <v>3.008E-5</v>
      </c>
      <c r="E16">
        <v>3.0490000000000001E-5</v>
      </c>
      <c r="F16">
        <v>3710941080855</v>
      </c>
      <c r="G16">
        <v>3.0490000000000001E-5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-0.12765957446808057</v>
      </c>
      <c r="Q16">
        <f t="shared" ref="Q16" si="56">F16*P16</f>
        <v>-473737159258.0683</v>
      </c>
      <c r="R16">
        <f t="shared" ref="R16" si="57">R17+Q16</f>
        <v>5574621080682.3008</v>
      </c>
      <c r="S16">
        <f t="shared" ref="S16" si="58">R16/100000</f>
        <v>55746210.806823008</v>
      </c>
      <c r="T16">
        <f t="shared" ref="T16" si="59">S16/1000</f>
        <v>55746.210806823008</v>
      </c>
    </row>
    <row r="17" spans="1:20" x14ac:dyDescent="0.25">
      <c r="A17" s="5">
        <v>44576</v>
      </c>
      <c r="B17">
        <v>3.078E-5</v>
      </c>
      <c r="C17">
        <v>3.1510000000000002E-5</v>
      </c>
      <c r="D17">
        <v>3.0519999999999999E-5</v>
      </c>
      <c r="E17">
        <v>3.0830000000000001E-5</v>
      </c>
      <c r="F17">
        <v>4187869362247</v>
      </c>
      <c r="G17">
        <v>3.0830000000000001E-5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-0.37373737373737098</v>
      </c>
      <c r="Q17">
        <f t="shared" ref="Q17" si="61">F17*P17</f>
        <v>-1565163297001.3926</v>
      </c>
      <c r="R17">
        <f t="shared" ref="R17" si="62">R18+Q17</f>
        <v>6048358239940.3691</v>
      </c>
      <c r="S17">
        <f t="shared" ref="S17" si="63">R17/100000</f>
        <v>60483582.399403691</v>
      </c>
      <c r="T17">
        <f t="shared" ref="T17" si="64">S17/1000</f>
        <v>60483.582399403691</v>
      </c>
    </row>
    <row r="18" spans="1:20" x14ac:dyDescent="0.25">
      <c r="A18" s="5">
        <v>44575</v>
      </c>
      <c r="B18">
        <v>2.9649999999999999E-5</v>
      </c>
      <c r="C18">
        <v>3.26E-5</v>
      </c>
      <c r="D18">
        <v>2.9249999999999999E-5</v>
      </c>
      <c r="E18">
        <v>3.078E-5</v>
      </c>
      <c r="F18">
        <v>9899541935215</v>
      </c>
      <c r="G18">
        <v>3.078E-5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-8.656716417910415E-2</v>
      </c>
      <c r="Q18">
        <f t="shared" ref="Q18" si="66">F18*P18</f>
        <v>-856975272003.68335</v>
      </c>
      <c r="R18">
        <f t="shared" ref="R18" si="67">R19+Q18</f>
        <v>7613521536941.7617</v>
      </c>
      <c r="S18">
        <f t="shared" ref="S18" si="68">R18/100000</f>
        <v>76135215.369417623</v>
      </c>
      <c r="T18">
        <f t="shared" ref="T18" si="69">S18/1000</f>
        <v>76135.215369417623</v>
      </c>
    </row>
    <row r="19" spans="1:20" x14ac:dyDescent="0.25">
      <c r="A19" s="5">
        <v>44574</v>
      </c>
      <c r="B19">
        <v>3.146E-5</v>
      </c>
      <c r="C19">
        <v>3.29E-5</v>
      </c>
      <c r="D19">
        <v>2.921E-5</v>
      </c>
      <c r="E19">
        <v>2.9660000000000001E-5</v>
      </c>
      <c r="F19">
        <v>10672591654830</v>
      </c>
      <c r="G19">
        <v>2.9660000000000001E-5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-0.75609756097560932</v>
      </c>
      <c r="Q19">
        <f t="shared" ref="Q19" si="71">F19*P19</f>
        <v>-8069520519505.6055</v>
      </c>
      <c r="R19">
        <f t="shared" ref="R19" si="72">R20+Q19</f>
        <v>8470496808945.4453</v>
      </c>
      <c r="S19">
        <f t="shared" ref="S19" si="73">R19/100000</f>
        <v>84704968.089454457</v>
      </c>
      <c r="T19">
        <f t="shared" ref="T19" si="74">S19/1000</f>
        <v>84704.968089454458</v>
      </c>
    </row>
    <row r="20" spans="1:20" x14ac:dyDescent="0.25">
      <c r="A20" s="5">
        <v>44573</v>
      </c>
      <c r="B20">
        <v>2.762E-5</v>
      </c>
      <c r="C20">
        <v>3.269E-5</v>
      </c>
      <c r="D20">
        <v>2.7540000000000001E-5</v>
      </c>
      <c r="E20">
        <v>3.1449999999999999E-5</v>
      </c>
      <c r="F20">
        <v>10396862396461</v>
      </c>
      <c r="G20">
        <v>3.1449999999999999E-5</v>
      </c>
      <c r="L20" t="s">
        <v>7</v>
      </c>
      <c r="M20" t="s">
        <v>8</v>
      </c>
      <c r="N20" t="s">
        <v>7</v>
      </c>
      <c r="P20">
        <f t="shared" ref="P20" si="75">IF(C20=D20,0,((E20-D20)-(C20-E20))/(C20-D20))</f>
        <v>0.51844660194174685</v>
      </c>
      <c r="Q20">
        <f t="shared" ref="Q20" si="76">F20*P20</f>
        <v>5390217980301.1328</v>
      </c>
      <c r="R20">
        <f t="shared" ref="R20" si="77">R21+Q20</f>
        <v>16540017328451.051</v>
      </c>
      <c r="S20">
        <f t="shared" ref="S20" si="78">R20/100000</f>
        <v>165400173.28451049</v>
      </c>
      <c r="T20">
        <f t="shared" ref="T20" si="79">S20/1000</f>
        <v>165400.1732845105</v>
      </c>
    </row>
    <row r="21" spans="1:20" x14ac:dyDescent="0.25">
      <c r="A21" s="5">
        <v>44572</v>
      </c>
      <c r="B21">
        <v>2.669E-5</v>
      </c>
      <c r="C21">
        <v>2.8289999999999998E-5</v>
      </c>
      <c r="D21">
        <v>2.6310000000000001E-5</v>
      </c>
      <c r="E21">
        <v>2.7630000000000001E-5</v>
      </c>
      <c r="F21">
        <v>6267275795414</v>
      </c>
      <c r="G21">
        <v>2.7630000000000001E-5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0.33333333333333559</v>
      </c>
      <c r="Q21">
        <f t="shared" ref="Q21" si="81">F21*P21</f>
        <v>2089091931804.6809</v>
      </c>
      <c r="R21">
        <f t="shared" ref="R21" si="82">R22+Q21</f>
        <v>11149799348149.918</v>
      </c>
      <c r="S21">
        <f t="shared" ref="S21" si="83">R21/100000</f>
        <v>111497993.48149918</v>
      </c>
      <c r="T21">
        <f t="shared" ref="T21" si="84">S21/1000</f>
        <v>111497.99348149919</v>
      </c>
    </row>
    <row r="22" spans="1:20" x14ac:dyDescent="0.25">
      <c r="A22" s="5">
        <v>44571</v>
      </c>
      <c r="B22">
        <v>2.826E-5</v>
      </c>
      <c r="C22">
        <v>2.8730000000000001E-5</v>
      </c>
      <c r="D22">
        <v>2.5369999999999999E-5</v>
      </c>
      <c r="E22">
        <v>2.669E-5</v>
      </c>
      <c r="F22">
        <v>7350541798203</v>
      </c>
      <c r="G22">
        <v>2.669E-5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-0.21428571428571414</v>
      </c>
      <c r="Q22">
        <f t="shared" ref="Q22" si="86">F22*P22</f>
        <v>-1575116099614.9275</v>
      </c>
      <c r="R22">
        <f t="shared" ref="R22" si="87">R23+Q22</f>
        <v>9060707416345.2363</v>
      </c>
      <c r="S22">
        <f t="shared" ref="S22" si="88">R22/100000</f>
        <v>90607074.163452357</v>
      </c>
      <c r="T22">
        <f t="shared" ref="T22" si="89">S22/1000</f>
        <v>90607.074163452358</v>
      </c>
    </row>
    <row r="23" spans="1:20" x14ac:dyDescent="0.25">
      <c r="A23" s="5">
        <v>44570</v>
      </c>
      <c r="B23">
        <v>2.7719999999999999E-5</v>
      </c>
      <c r="C23">
        <v>2.9110000000000001E-5</v>
      </c>
      <c r="D23">
        <v>2.7489999999999999E-5</v>
      </c>
      <c r="E23">
        <v>2.8249999999999999E-5</v>
      </c>
      <c r="F23">
        <v>4330381452616</v>
      </c>
      <c r="G23">
        <v>2.8249999999999999E-5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-6.1728395061729842E-2</v>
      </c>
      <c r="Q23">
        <f t="shared" ref="Q23" si="91">F23*P23</f>
        <v>-267307497075.06799</v>
      </c>
      <c r="R23">
        <f t="shared" ref="R23" si="92">R24+Q23</f>
        <v>10635823515960.164</v>
      </c>
      <c r="S23">
        <f t="shared" ref="S23" si="93">R23/100000</f>
        <v>106358235.15960164</v>
      </c>
      <c r="T23">
        <f t="shared" ref="T23" si="94">S23/1000</f>
        <v>106358.23515960164</v>
      </c>
    </row>
    <row r="24" spans="1:20" x14ac:dyDescent="0.25">
      <c r="A24" s="5">
        <v>44569</v>
      </c>
      <c r="B24">
        <v>2.9009999999999998E-5</v>
      </c>
      <c r="C24">
        <v>2.993E-5</v>
      </c>
      <c r="D24">
        <v>2.641E-5</v>
      </c>
      <c r="E24">
        <v>2.7719999999999999E-5</v>
      </c>
      <c r="F24">
        <v>6977091134719</v>
      </c>
      <c r="G24">
        <v>2.7719999999999999E-5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-0.25568181818181862</v>
      </c>
      <c r="Q24">
        <f t="shared" ref="Q24" si="96">F24*P24</f>
        <v>-1783915346945.2019</v>
      </c>
      <c r="R24">
        <f t="shared" ref="R24" si="97">R25+Q24</f>
        <v>10903131013035.232</v>
      </c>
      <c r="S24">
        <f t="shared" ref="S24" si="98">R24/100000</f>
        <v>109031310.13035232</v>
      </c>
      <c r="T24">
        <f t="shared" ref="T24" si="99">S24/1000</f>
        <v>109031.31013035231</v>
      </c>
    </row>
    <row r="25" spans="1:20" x14ac:dyDescent="0.25">
      <c r="A25" s="5">
        <v>44568</v>
      </c>
      <c r="B25">
        <v>3.074E-5</v>
      </c>
      <c r="C25">
        <v>3.0870000000000001E-5</v>
      </c>
      <c r="D25">
        <v>2.8459999999999999E-5</v>
      </c>
      <c r="E25">
        <v>2.9009999999999998E-5</v>
      </c>
      <c r="F25">
        <v>7813269018383</v>
      </c>
      <c r="G25">
        <v>2.9009999999999998E-5</v>
      </c>
      <c r="L25" t="s">
        <v>8</v>
      </c>
      <c r="M25" t="s">
        <v>7</v>
      </c>
      <c r="N25" t="s">
        <v>7</v>
      </c>
      <c r="P25">
        <f t="shared" ref="P25" si="100">IF(C25=D25,0,((E25-D25)-(C25-E25))/(C25-D25))</f>
        <v>-0.54356846473029108</v>
      </c>
      <c r="Q25">
        <f t="shared" ref="Q25" si="101">F25*P25</f>
        <v>-4247046644847.1958</v>
      </c>
      <c r="R25">
        <f t="shared" ref="R25" si="102">R26+Q25</f>
        <v>12687046359980.434</v>
      </c>
      <c r="S25">
        <f t="shared" ref="S25" si="103">R25/100000</f>
        <v>126870463.59980434</v>
      </c>
      <c r="T25">
        <f t="shared" ref="T25" si="104">S25/1000</f>
        <v>126870.46359980434</v>
      </c>
    </row>
    <row r="26" spans="1:20" x14ac:dyDescent="0.25">
      <c r="A26" s="5">
        <v>44567</v>
      </c>
      <c r="B26">
        <v>3.0369999999999999E-5</v>
      </c>
      <c r="C26">
        <v>3.1829999999999998E-5</v>
      </c>
      <c r="D26">
        <v>2.915E-5</v>
      </c>
      <c r="E26">
        <v>3.0750000000000002E-5</v>
      </c>
      <c r="F26">
        <v>6550552744516</v>
      </c>
      <c r="G26">
        <v>3.0750000000000002E-5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0.19402985074627074</v>
      </c>
      <c r="Q26">
        <f t="shared" ref="Q26" si="106">F26*P26</f>
        <v>1271002771324.0137</v>
      </c>
      <c r="R26">
        <f t="shared" ref="R26" si="107">R27+Q26</f>
        <v>16934093004827.629</v>
      </c>
      <c r="S26">
        <f t="shared" ref="S26" si="108">R26/100000</f>
        <v>169340930.04827628</v>
      </c>
      <c r="T26">
        <f t="shared" ref="T26" si="109">S26/1000</f>
        <v>169340.93004827626</v>
      </c>
    </row>
    <row r="27" spans="1:20" x14ac:dyDescent="0.25">
      <c r="A27" s="5">
        <v>44566</v>
      </c>
      <c r="B27">
        <v>3.2419999999999998E-5</v>
      </c>
      <c r="C27">
        <v>3.3000000000000003E-5</v>
      </c>
      <c r="D27">
        <v>2.8580000000000001E-5</v>
      </c>
      <c r="E27">
        <v>3.0380000000000001E-5</v>
      </c>
      <c r="F27">
        <v>7335407224940</v>
      </c>
      <c r="G27">
        <v>3.0380000000000001E-5</v>
      </c>
      <c r="L27" t="s">
        <v>8</v>
      </c>
      <c r="M27" t="s">
        <v>7</v>
      </c>
      <c r="N27" t="s">
        <v>7</v>
      </c>
      <c r="P27">
        <f t="shared" ref="P27" si="110">IF(C27=D27,0,((E27-D27)-(C27-E27))/(C27-D27))</f>
        <v>-0.18552036199095068</v>
      </c>
      <c r="Q27">
        <f t="shared" ref="Q27" si="111">F27*P27</f>
        <v>-1360867403721.9038</v>
      </c>
      <c r="R27">
        <f t="shared" ref="R27" si="112">R28+Q27</f>
        <v>15663090233503.615</v>
      </c>
      <c r="S27">
        <f t="shared" ref="S27" si="113">R27/100000</f>
        <v>156630902.33503616</v>
      </c>
      <c r="T27">
        <f t="shared" ref="T27" si="114">S27/1000</f>
        <v>156630.90233503617</v>
      </c>
    </row>
    <row r="28" spans="1:20" x14ac:dyDescent="0.25">
      <c r="A28" s="5">
        <v>44565</v>
      </c>
      <c r="B28">
        <v>3.3049999999999997E-5</v>
      </c>
      <c r="C28">
        <v>3.3500000000000001E-5</v>
      </c>
      <c r="D28">
        <v>3.2270000000000001E-5</v>
      </c>
      <c r="E28">
        <v>3.243E-5</v>
      </c>
      <c r="F28">
        <v>4074428519347</v>
      </c>
      <c r="G28">
        <v>3.243E-5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-0.73983739837398621</v>
      </c>
      <c r="Q28">
        <f t="shared" ref="Q28" si="116">F28*P28</f>
        <v>-3014414595614.457</v>
      </c>
      <c r="R28">
        <f t="shared" ref="R28" si="117">R29+Q28</f>
        <v>17023957637225.52</v>
      </c>
      <c r="S28">
        <f t="shared" ref="S28" si="118">R28/100000</f>
        <v>170239576.37225521</v>
      </c>
      <c r="T28">
        <f t="shared" ref="T28" si="119">S28/1000</f>
        <v>170239.57637225519</v>
      </c>
    </row>
    <row r="29" spans="1:20" x14ac:dyDescent="0.25">
      <c r="A29" s="5">
        <v>44564</v>
      </c>
      <c r="B29">
        <v>3.4010000000000001E-5</v>
      </c>
      <c r="C29">
        <v>3.4100000000000002E-5</v>
      </c>
      <c r="D29">
        <v>3.2140000000000001E-5</v>
      </c>
      <c r="E29">
        <v>3.3040000000000002E-5</v>
      </c>
      <c r="F29">
        <v>3940445529472</v>
      </c>
      <c r="G29">
        <v>3.3040000000000002E-5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-8.1632653061223637E-2</v>
      </c>
      <c r="Q29">
        <f t="shared" ref="Q29" si="121">F29*P29</f>
        <v>-321669022814.03748</v>
      </c>
      <c r="R29">
        <f t="shared" ref="R29" si="122">R30+Q29</f>
        <v>20038372232839.977</v>
      </c>
      <c r="S29">
        <f t="shared" ref="S29" si="123">R29/100000</f>
        <v>200383722.32839978</v>
      </c>
      <c r="T29">
        <f t="shared" ref="T29" si="124">S29/1000</f>
        <v>200383.72232839977</v>
      </c>
    </row>
    <row r="30" spans="1:20" x14ac:dyDescent="0.25">
      <c r="A30" s="5">
        <v>44563</v>
      </c>
      <c r="B30">
        <v>3.4150000000000003E-5</v>
      </c>
      <c r="C30">
        <v>3.4449999999999997E-5</v>
      </c>
      <c r="D30">
        <v>3.3439999999999998E-5</v>
      </c>
      <c r="E30">
        <v>3.4010000000000001E-5</v>
      </c>
      <c r="F30">
        <v>3222778208768</v>
      </c>
      <c r="G30">
        <v>3.4010000000000001E-5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0.12871287128713602</v>
      </c>
      <c r="Q30">
        <f t="shared" ref="Q30" si="126">F30*P30</f>
        <v>414813036772.14233</v>
      </c>
      <c r="R30">
        <f t="shared" ref="R30" si="127">R31+Q30</f>
        <v>20360041255654.016</v>
      </c>
      <c r="S30">
        <f t="shared" ref="S30" si="128">R30/100000</f>
        <v>203600412.55654016</v>
      </c>
      <c r="T30">
        <f t="shared" ref="T30" si="129">S30/1000</f>
        <v>203600.41255654016</v>
      </c>
    </row>
    <row r="31" spans="1:20" x14ac:dyDescent="0.25">
      <c r="A31" s="5">
        <v>44562</v>
      </c>
      <c r="B31">
        <v>3.3370000000000001E-5</v>
      </c>
      <c r="C31">
        <v>3.4199999999999998E-5</v>
      </c>
      <c r="D31">
        <v>3.3340000000000003E-5</v>
      </c>
      <c r="E31">
        <v>3.4150000000000003E-5</v>
      </c>
      <c r="F31">
        <v>3309069024700</v>
      </c>
      <c r="G31">
        <v>3.4150000000000003E-5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0.88372093023257037</v>
      </c>
      <c r="Q31">
        <f t="shared" ref="Q31" si="131">F31*P31</f>
        <v>2924293556711.6685</v>
      </c>
      <c r="R31">
        <f t="shared" ref="R31" si="132">R32+Q31</f>
        <v>19945228218881.875</v>
      </c>
      <c r="S31">
        <f t="shared" ref="S31" si="133">R31/100000</f>
        <v>199452282.18881875</v>
      </c>
      <c r="T31">
        <f t="shared" ref="T31" si="134">S31/1000</f>
        <v>199452.28218881876</v>
      </c>
    </row>
    <row r="32" spans="1:20" x14ac:dyDescent="0.25">
      <c r="A32" s="5">
        <v>44561</v>
      </c>
      <c r="B32">
        <v>3.375E-5</v>
      </c>
      <c r="C32">
        <v>3.4650000000000002E-5</v>
      </c>
      <c r="D32">
        <v>3.2620000000000003E-5</v>
      </c>
      <c r="E32">
        <v>3.3370000000000001E-5</v>
      </c>
      <c r="F32">
        <v>5588760741830</v>
      </c>
      <c r="G32">
        <v>3.3370000000000001E-5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-0.26108374384236632</v>
      </c>
      <c r="Q32">
        <f t="shared" ref="Q32" si="136">F32*P32</f>
        <v>-1459134577916.2168</v>
      </c>
      <c r="R32">
        <f t="shared" ref="R32" si="137">R33+Q32</f>
        <v>17020934662170.205</v>
      </c>
      <c r="S32">
        <f t="shared" ref="S32" si="138">R32/100000</f>
        <v>170209346.62170205</v>
      </c>
      <c r="T32">
        <f t="shared" ref="T32" si="139">S32/1000</f>
        <v>170209.34662170205</v>
      </c>
    </row>
    <row r="33" spans="1:20" x14ac:dyDescent="0.25">
      <c r="A33" s="5">
        <v>44560</v>
      </c>
      <c r="B33">
        <v>3.3649999999999998E-5</v>
      </c>
      <c r="C33">
        <v>3.4369999999999998E-5</v>
      </c>
      <c r="D33">
        <v>3.2910000000000002E-5</v>
      </c>
      <c r="E33">
        <v>3.375E-5</v>
      </c>
      <c r="F33">
        <v>5909793866171</v>
      </c>
      <c r="G33">
        <v>3.375E-5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0.15068493150685058</v>
      </c>
      <c r="Q33">
        <f t="shared" ref="Q33" si="141">F33*P33</f>
        <v>890516883943.58289</v>
      </c>
      <c r="R33">
        <f t="shared" ref="R33" si="142">R34+Q33</f>
        <v>18480069240086.422</v>
      </c>
      <c r="S33">
        <f t="shared" ref="S33" si="143">R33/100000</f>
        <v>184800692.40086421</v>
      </c>
      <c r="T33">
        <f t="shared" ref="T33" si="144">S33/1000</f>
        <v>184800.69240086421</v>
      </c>
    </row>
    <row r="34" spans="1:20" x14ac:dyDescent="0.25">
      <c r="A34" s="5">
        <v>44559</v>
      </c>
      <c r="B34">
        <v>3.4919999999999998E-5</v>
      </c>
      <c r="C34">
        <v>3.6279999999999998E-5</v>
      </c>
      <c r="D34">
        <v>3.3099999999999998E-5</v>
      </c>
      <c r="E34">
        <v>3.3640000000000003E-5</v>
      </c>
      <c r="F34">
        <v>7525221418332</v>
      </c>
      <c r="G34">
        <v>3.3640000000000003E-5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-0.66037735849056289</v>
      </c>
      <c r="Q34">
        <f t="shared" ref="Q34" si="146">F34*P34</f>
        <v>-4969485842294.6934</v>
      </c>
      <c r="R34">
        <f t="shared" ref="R34" si="147">R35+Q34</f>
        <v>17589552356142.838</v>
      </c>
      <c r="S34">
        <f t="shared" ref="S34" si="148">R34/100000</f>
        <v>175895523.56142837</v>
      </c>
      <c r="T34">
        <f t="shared" ref="T34" si="149">S34/1000</f>
        <v>175895.52356142836</v>
      </c>
    </row>
    <row r="35" spans="1:20" x14ac:dyDescent="0.25">
      <c r="A35" s="5">
        <v>44558</v>
      </c>
      <c r="B35">
        <v>3.9079999999999999E-5</v>
      </c>
      <c r="C35">
        <v>3.909E-5</v>
      </c>
      <c r="D35">
        <v>3.413E-5</v>
      </c>
      <c r="E35">
        <v>3.4929999999999999E-5</v>
      </c>
      <c r="F35">
        <v>11630101084580</v>
      </c>
      <c r="G35">
        <v>3.4929999999999999E-5</v>
      </c>
      <c r="L35" t="s">
        <v>8</v>
      </c>
      <c r="M35" t="s">
        <v>8</v>
      </c>
      <c r="N35" t="s">
        <v>7</v>
      </c>
      <c r="P35">
        <f t="shared" ref="P35" si="150">IF(C35=D35,0,((E35-D35)-(C35-E35))/(C35-D35))</f>
        <v>-0.67741935483871007</v>
      </c>
      <c r="Q35">
        <f t="shared" ref="Q35" si="151">F35*P35</f>
        <v>-7878455573425.166</v>
      </c>
      <c r="R35">
        <f t="shared" ref="R35" si="152">R36+Q35</f>
        <v>22559038198437.531</v>
      </c>
      <c r="S35">
        <f t="shared" ref="S35" si="153">R35/100000</f>
        <v>225590381.9843753</v>
      </c>
      <c r="T35">
        <f t="shared" ref="T35" si="154">S35/1000</f>
        <v>225590.3819843753</v>
      </c>
    </row>
    <row r="36" spans="1:20" x14ac:dyDescent="0.25">
      <c r="A36" s="5">
        <v>44557</v>
      </c>
      <c r="B36">
        <v>3.8250000000000001E-5</v>
      </c>
      <c r="C36">
        <v>3.9480000000000001E-5</v>
      </c>
      <c r="D36">
        <v>3.773E-5</v>
      </c>
      <c r="E36">
        <v>3.909E-5</v>
      </c>
      <c r="F36">
        <v>7500705930522</v>
      </c>
      <c r="G36">
        <v>3.909E-5</v>
      </c>
      <c r="L36" t="s">
        <v>7</v>
      </c>
      <c r="M36" t="s">
        <v>8</v>
      </c>
      <c r="N36" t="s">
        <v>7</v>
      </c>
      <c r="P36">
        <f t="shared" ref="P36" si="155">IF(C36=D36,0,((E36-D36)-(C36-E36))/(C36-D36))</f>
        <v>0.55428571428571327</v>
      </c>
      <c r="Q36">
        <f t="shared" ref="Q36" si="156">F36*P36</f>
        <v>4157534144346.4722</v>
      </c>
      <c r="R36">
        <f t="shared" ref="R36" si="157">R37+Q36</f>
        <v>30437493771862.699</v>
      </c>
      <c r="S36">
        <f t="shared" ref="S36" si="158">R36/100000</f>
        <v>304374937.71862698</v>
      </c>
      <c r="T36">
        <f t="shared" ref="T36" si="159">S36/1000</f>
        <v>304374.93771862698</v>
      </c>
    </row>
    <row r="37" spans="1:20" x14ac:dyDescent="0.25">
      <c r="A37" s="5">
        <v>44556</v>
      </c>
      <c r="B37">
        <v>3.7710000000000003E-5</v>
      </c>
      <c r="C37">
        <v>3.9010000000000001E-5</v>
      </c>
      <c r="D37">
        <v>3.6560000000000002E-5</v>
      </c>
      <c r="E37">
        <v>3.824E-5</v>
      </c>
      <c r="F37">
        <v>7452470698714</v>
      </c>
      <c r="G37">
        <v>3.824E-5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0.37142857142857016</v>
      </c>
      <c r="Q37">
        <f t="shared" ref="Q37" si="161">F37*P37</f>
        <v>2768060545236.6191</v>
      </c>
      <c r="R37">
        <f t="shared" ref="R37" si="162">R38+Q37</f>
        <v>26279959627516.227</v>
      </c>
      <c r="S37">
        <f t="shared" ref="S37" si="163">R37/100000</f>
        <v>262799596.27516228</v>
      </c>
      <c r="T37">
        <f t="shared" ref="T37" si="164">S37/1000</f>
        <v>262799.5962751623</v>
      </c>
    </row>
    <row r="38" spans="1:20" x14ac:dyDescent="0.25">
      <c r="A38" s="5">
        <v>44555</v>
      </c>
      <c r="B38">
        <v>3.6199999999999999E-5</v>
      </c>
      <c r="C38">
        <v>3.8330000000000001E-5</v>
      </c>
      <c r="D38">
        <v>3.587E-5</v>
      </c>
      <c r="E38">
        <v>3.7710000000000003E-5</v>
      </c>
      <c r="F38">
        <v>7003413956521</v>
      </c>
      <c r="G38">
        <v>3.7710000000000003E-5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0.49593495934959558</v>
      </c>
      <c r="Q38">
        <f t="shared" ref="Q38" si="166">F38*P38</f>
        <v>3473237815835.6323</v>
      </c>
      <c r="R38">
        <f t="shared" ref="R38" si="167">R39+Q38</f>
        <v>23511899082279.609</v>
      </c>
      <c r="S38">
        <f t="shared" ref="S38" si="168">R38/100000</f>
        <v>235118990.82279611</v>
      </c>
      <c r="T38">
        <f t="shared" ref="T38" si="169">S38/1000</f>
        <v>235118.9908227961</v>
      </c>
    </row>
    <row r="39" spans="1:20" x14ac:dyDescent="0.25">
      <c r="A39" s="5">
        <v>44554</v>
      </c>
      <c r="B39">
        <v>3.8680000000000002E-5</v>
      </c>
      <c r="C39">
        <v>3.9870000000000003E-5</v>
      </c>
      <c r="D39">
        <v>3.574E-5</v>
      </c>
      <c r="E39">
        <v>3.6199999999999999E-5</v>
      </c>
      <c r="F39">
        <v>12255885463341</v>
      </c>
      <c r="G39">
        <v>3.6199999999999999E-5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-0.77723970944309995</v>
      </c>
      <c r="Q39">
        <f t="shared" ref="Q39" si="171">F39*P39</f>
        <v>-9525760856495.0703</v>
      </c>
      <c r="R39">
        <f t="shared" ref="R39" si="172">R40+Q39</f>
        <v>20038661266443.977</v>
      </c>
      <c r="S39">
        <f t="shared" ref="S39" si="173">R39/100000</f>
        <v>200386612.66443977</v>
      </c>
      <c r="T39">
        <f t="shared" ref="T39" si="174">S39/1000</f>
        <v>200386.61266443977</v>
      </c>
    </row>
    <row r="40" spans="1:20" x14ac:dyDescent="0.25">
      <c r="A40" s="5">
        <v>44553</v>
      </c>
      <c r="B40">
        <v>3.5030000000000002E-5</v>
      </c>
      <c r="C40">
        <v>3.8999999999999999E-5</v>
      </c>
      <c r="D40">
        <v>3.4400000000000003E-5</v>
      </c>
      <c r="E40">
        <v>3.8680000000000002E-5</v>
      </c>
      <c r="F40">
        <v>13840251162142</v>
      </c>
      <c r="G40">
        <v>3.8680000000000002E-5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0.86086956521739255</v>
      </c>
      <c r="Q40">
        <f t="shared" ref="Q40" si="176">F40*P40</f>
        <v>11914651000452.695</v>
      </c>
      <c r="R40">
        <f t="shared" ref="R40" si="177">R41+Q40</f>
        <v>29564422122939.047</v>
      </c>
      <c r="S40">
        <f t="shared" ref="S40" si="178">R40/100000</f>
        <v>295644221.22939044</v>
      </c>
      <c r="T40">
        <f t="shared" ref="T40" si="179">S40/1000</f>
        <v>295644.22122939042</v>
      </c>
    </row>
    <row r="41" spans="1:20" x14ac:dyDescent="0.25">
      <c r="A41" s="5">
        <v>44552</v>
      </c>
      <c r="B41">
        <v>3.2839999999999997E-5</v>
      </c>
      <c r="C41">
        <v>3.7849999999999998E-5</v>
      </c>
      <c r="D41">
        <v>3.2499999999999997E-5</v>
      </c>
      <c r="E41">
        <v>3.5030000000000002E-5</v>
      </c>
      <c r="F41">
        <v>17151083407511</v>
      </c>
      <c r="G41">
        <v>3.5030000000000002E-5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-5.4205607476634034E-2</v>
      </c>
      <c r="Q41">
        <f t="shared" ref="Q41" si="181">F41*P41</f>
        <v>-929684894986.55212</v>
      </c>
      <c r="R41">
        <f t="shared" ref="R41" si="182">R42+Q41</f>
        <v>17649771122486.352</v>
      </c>
      <c r="S41">
        <f t="shared" ref="S41" si="183">R41/100000</f>
        <v>176497711.22486353</v>
      </c>
      <c r="T41">
        <f t="shared" ref="T41" si="184">S41/1000</f>
        <v>176497.71122486354</v>
      </c>
    </row>
    <row r="42" spans="1:20" x14ac:dyDescent="0.25">
      <c r="A42" s="5">
        <v>44551</v>
      </c>
      <c r="B42">
        <v>3.1229999999999997E-5</v>
      </c>
      <c r="C42">
        <v>3.3500000000000001E-5</v>
      </c>
      <c r="D42">
        <v>3.0960000000000002E-5</v>
      </c>
      <c r="E42">
        <v>3.2830000000000002E-5</v>
      </c>
      <c r="F42">
        <v>10163337551738</v>
      </c>
      <c r="G42">
        <v>3.2830000000000002E-5</v>
      </c>
      <c r="L42" t="s">
        <v>7</v>
      </c>
      <c r="M42" t="s">
        <v>8</v>
      </c>
      <c r="N42" t="s">
        <v>7</v>
      </c>
      <c r="P42">
        <f t="shared" ref="P42" si="185">IF(C42=D42,0,((E42-D42)-(C42-E42))/(C42-D42))</f>
        <v>0.4724409448818907</v>
      </c>
      <c r="Q42">
        <f t="shared" ref="Q42" si="186">F42*P42</f>
        <v>4801576796096.7021</v>
      </c>
      <c r="R42">
        <f t="shared" ref="R42" si="187">R43+Q42</f>
        <v>18579456017472.902</v>
      </c>
      <c r="S42">
        <f t="shared" ref="S42" si="188">R42/100000</f>
        <v>185794560.17472902</v>
      </c>
      <c r="T42">
        <f t="shared" ref="T42" si="189">S42/1000</f>
        <v>185794.56017472901</v>
      </c>
    </row>
    <row r="43" spans="1:20" x14ac:dyDescent="0.25">
      <c r="A43" s="5">
        <v>44550</v>
      </c>
      <c r="B43">
        <v>3.0769999999999998E-5</v>
      </c>
      <c r="C43">
        <v>3.3760000000000002E-5</v>
      </c>
      <c r="D43">
        <v>2.8240000000000001E-5</v>
      </c>
      <c r="E43">
        <v>3.1220000000000003E-5</v>
      </c>
      <c r="F43">
        <v>14110247605977</v>
      </c>
      <c r="G43">
        <v>3.1220000000000003E-5</v>
      </c>
      <c r="L43" t="s">
        <v>8</v>
      </c>
      <c r="M43" t="s">
        <v>7</v>
      </c>
      <c r="N43" t="s">
        <v>7</v>
      </c>
      <c r="P43">
        <f t="shared" ref="P43" si="190">IF(C43=D43,0,((E43-D43)-(C43-E43))/(C43-D43))</f>
        <v>7.9710144927536683E-2</v>
      </c>
      <c r="Q43">
        <f t="shared" ref="Q43" si="191">F43*P43</f>
        <v>1124729881635.8542</v>
      </c>
      <c r="R43">
        <f t="shared" ref="R43" si="192">R44+Q43</f>
        <v>13777879221376.199</v>
      </c>
      <c r="S43">
        <f t="shared" ref="S43" si="193">R43/100000</f>
        <v>137778792.21376199</v>
      </c>
      <c r="T43">
        <f t="shared" ref="T43" si="194">S43/1000</f>
        <v>137778.79221376198</v>
      </c>
    </row>
    <row r="44" spans="1:20" x14ac:dyDescent="0.25">
      <c r="A44" s="5">
        <v>44549</v>
      </c>
      <c r="B44">
        <v>3.1409999999999999E-5</v>
      </c>
      <c r="C44">
        <v>3.188E-5</v>
      </c>
      <c r="D44">
        <v>3.0620000000000002E-5</v>
      </c>
      <c r="E44">
        <v>3.0769999999999998E-5</v>
      </c>
      <c r="F44">
        <v>3629833552408</v>
      </c>
      <c r="G44">
        <v>3.0769999999999998E-5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-0.76190476190476653</v>
      </c>
      <c r="Q44">
        <f t="shared" ref="Q44" si="196">F44*P44</f>
        <v>-2765587468501.3501</v>
      </c>
      <c r="R44">
        <f t="shared" ref="R44" si="197">R45+Q44</f>
        <v>12653149339740.346</v>
      </c>
      <c r="S44">
        <f t="shared" ref="S44" si="198">R44/100000</f>
        <v>126531493.39740346</v>
      </c>
      <c r="T44">
        <f t="shared" ref="T44" si="199">S44/1000</f>
        <v>126531.49339740346</v>
      </c>
    </row>
    <row r="45" spans="1:20" x14ac:dyDescent="0.25">
      <c r="A45" s="5">
        <v>44548</v>
      </c>
      <c r="B45">
        <v>3.116E-5</v>
      </c>
      <c r="C45">
        <v>3.218E-5</v>
      </c>
      <c r="D45">
        <v>3.0769999999999998E-5</v>
      </c>
      <c r="E45">
        <v>3.1409999999999999E-5</v>
      </c>
      <c r="F45">
        <v>4684460158353</v>
      </c>
      <c r="G45">
        <v>3.1409999999999999E-5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-9.219858156028389E-2</v>
      </c>
      <c r="Q45">
        <f t="shared" ref="Q45" si="201">F45*P45</f>
        <v>-431900581975.80945</v>
      </c>
      <c r="R45">
        <f t="shared" ref="R45" si="202">R46+Q45</f>
        <v>15418736808241.695</v>
      </c>
      <c r="S45">
        <f t="shared" ref="S45" si="203">R45/100000</f>
        <v>154187368.08241695</v>
      </c>
      <c r="T45">
        <f t="shared" ref="T45" si="204">S45/1000</f>
        <v>154187.36808241694</v>
      </c>
    </row>
    <row r="46" spans="1:20" x14ac:dyDescent="0.25">
      <c r="A46" s="5">
        <v>44547</v>
      </c>
      <c r="B46">
        <v>3.2709999999999997E-5</v>
      </c>
      <c r="C46">
        <v>3.3189999999999999E-5</v>
      </c>
      <c r="D46">
        <v>3.0190000000000001E-5</v>
      </c>
      <c r="E46">
        <v>3.1149999999999998E-5</v>
      </c>
      <c r="F46">
        <v>8737902925639</v>
      </c>
      <c r="G46">
        <v>3.1149999999999998E-5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-0.36000000000000126</v>
      </c>
      <c r="Q46">
        <f t="shared" ref="Q46" si="206">F46*P46</f>
        <v>-3145645053230.0513</v>
      </c>
      <c r="R46">
        <f t="shared" ref="R46" si="207">R47+Q46</f>
        <v>15850637390217.504</v>
      </c>
      <c r="S46">
        <f t="shared" ref="S46" si="208">R46/100000</f>
        <v>158506373.90217504</v>
      </c>
      <c r="T46">
        <f t="shared" ref="T46" si="209">S46/1000</f>
        <v>158506.37390217505</v>
      </c>
    </row>
    <row r="47" spans="1:20" x14ac:dyDescent="0.25">
      <c r="A47" s="5">
        <v>44546</v>
      </c>
      <c r="B47">
        <v>3.3810000000000003E-5</v>
      </c>
      <c r="C47">
        <v>3.4629999999999999E-5</v>
      </c>
      <c r="D47">
        <v>3.2620000000000003E-5</v>
      </c>
      <c r="E47">
        <v>3.2709999999999997E-5</v>
      </c>
      <c r="F47">
        <v>6375860336750</v>
      </c>
      <c r="G47">
        <v>3.2709999999999997E-5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-0.91044776119403559</v>
      </c>
      <c r="Q47">
        <f t="shared" ref="Q47" si="211">F47*P47</f>
        <v>-5804887769279.8877</v>
      </c>
      <c r="R47">
        <f t="shared" ref="R47" si="212">R48+Q47</f>
        <v>18996282443447.555</v>
      </c>
      <c r="S47">
        <f t="shared" ref="S47" si="213">R47/100000</f>
        <v>189962824.43447554</v>
      </c>
      <c r="T47">
        <f t="shared" ref="T47" si="214">S47/1000</f>
        <v>189962.82443447554</v>
      </c>
    </row>
    <row r="48" spans="1:20" x14ac:dyDescent="0.25">
      <c r="A48" s="5">
        <v>44545</v>
      </c>
      <c r="B48">
        <v>3.3970000000000002E-5</v>
      </c>
      <c r="C48">
        <v>3.4390000000000001E-5</v>
      </c>
      <c r="D48">
        <v>3.1900000000000003E-5</v>
      </c>
      <c r="E48">
        <v>3.3810000000000003E-5</v>
      </c>
      <c r="F48">
        <v>8094411561817</v>
      </c>
      <c r="G48">
        <v>3.3810000000000003E-5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0.53413654618474038</v>
      </c>
      <c r="Q48">
        <f t="shared" ref="Q48" si="216">F48*P48</f>
        <v>4323521035026.7627</v>
      </c>
      <c r="R48">
        <f t="shared" ref="R48" si="217">R49+Q48</f>
        <v>24801170212727.441</v>
      </c>
      <c r="S48">
        <f t="shared" ref="S48" si="218">R48/100000</f>
        <v>248011702.12727442</v>
      </c>
      <c r="T48">
        <f t="shared" ref="T48" si="219">S48/1000</f>
        <v>248011.70212727442</v>
      </c>
    </row>
    <row r="49" spans="1:20" x14ac:dyDescent="0.25">
      <c r="A49" s="5">
        <v>44544</v>
      </c>
      <c r="B49">
        <v>3.29E-5</v>
      </c>
      <c r="C49">
        <v>3.5639999999999998E-5</v>
      </c>
      <c r="D49">
        <v>3.2419999999999998E-5</v>
      </c>
      <c r="E49">
        <v>3.3980000000000003E-5</v>
      </c>
      <c r="F49">
        <v>10372525282477</v>
      </c>
      <c r="G49">
        <v>3.3980000000000003E-5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-3.105590062111456E-2</v>
      </c>
      <c r="Q49">
        <f t="shared" ref="Q49" si="221">F49*P49</f>
        <v>-322128114362.60394</v>
      </c>
      <c r="R49">
        <f t="shared" ref="R49" si="222">R50+Q49</f>
        <v>20477649177700.68</v>
      </c>
      <c r="S49">
        <f t="shared" ref="S49" si="223">R49/100000</f>
        <v>204776491.7770068</v>
      </c>
      <c r="T49">
        <f t="shared" ref="T49" si="224">S49/1000</f>
        <v>204776.4917770068</v>
      </c>
    </row>
    <row r="50" spans="1:20" x14ac:dyDescent="0.25">
      <c r="A50" s="5">
        <v>44543</v>
      </c>
      <c r="B50">
        <v>3.6569999999999997E-5</v>
      </c>
      <c r="C50">
        <v>3.684E-5</v>
      </c>
      <c r="D50">
        <v>3.1560000000000003E-5</v>
      </c>
      <c r="E50">
        <v>3.29E-5</v>
      </c>
      <c r="F50">
        <v>11057228801145</v>
      </c>
      <c r="G50">
        <v>3.29E-5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-0.49242424242424315</v>
      </c>
      <c r="Q50">
        <f t="shared" ref="Q50" si="226">F50*P50</f>
        <v>-5444847515715.3486</v>
      </c>
      <c r="R50">
        <f t="shared" ref="R50" si="227">R51+Q50</f>
        <v>20799777292063.285</v>
      </c>
      <c r="S50">
        <f t="shared" ref="S50" si="228">R50/100000</f>
        <v>207997772.92063284</v>
      </c>
      <c r="T50">
        <f t="shared" ref="T50" si="229">S50/1000</f>
        <v>207997.77292063285</v>
      </c>
    </row>
    <row r="51" spans="1:20" x14ac:dyDescent="0.25">
      <c r="A51" s="5">
        <v>44542</v>
      </c>
      <c r="B51">
        <v>3.4440000000000002E-5</v>
      </c>
      <c r="C51">
        <v>3.7849999999999998E-5</v>
      </c>
      <c r="D51">
        <v>3.3769999999999997E-5</v>
      </c>
      <c r="E51">
        <v>3.6560000000000002E-5</v>
      </c>
      <c r="F51">
        <v>9818391204458</v>
      </c>
      <c r="G51">
        <v>3.6560000000000002E-5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0.36764705882353155</v>
      </c>
      <c r="Q51">
        <f t="shared" ref="Q51" si="231">F51*P51</f>
        <v>3609702648697.8149</v>
      </c>
      <c r="R51">
        <f t="shared" ref="R51" si="232">R52+Q51</f>
        <v>26244624807778.633</v>
      </c>
      <c r="S51">
        <f t="shared" ref="S51" si="233">R51/100000</f>
        <v>262446248.07778633</v>
      </c>
      <c r="T51">
        <f t="shared" ref="T51" si="234">S51/1000</f>
        <v>262446.24807778635</v>
      </c>
    </row>
    <row r="52" spans="1:20" x14ac:dyDescent="0.25">
      <c r="A52" s="5">
        <v>44541</v>
      </c>
      <c r="B52">
        <v>3.3439999999999998E-5</v>
      </c>
      <c r="C52">
        <v>3.4060000000000003E-5</v>
      </c>
      <c r="D52">
        <v>3.3090000000000003E-5</v>
      </c>
      <c r="E52">
        <v>3.383E-5</v>
      </c>
      <c r="F52">
        <v>484471700352</v>
      </c>
      <c r="G52">
        <v>3.383E-5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0.52577319587628235</v>
      </c>
      <c r="Q52">
        <f t="shared" ref="Q52" si="236">F52*P52</f>
        <v>254722234205.68765</v>
      </c>
      <c r="R52">
        <f t="shared" ref="R52" si="237">R53+Q52</f>
        <v>22634922159080.816</v>
      </c>
      <c r="S52">
        <f t="shared" ref="S52" si="238">R52/100000</f>
        <v>226349221.59080815</v>
      </c>
      <c r="T52">
        <f t="shared" ref="T52" si="239">S52/1000</f>
        <v>226349.22159080816</v>
      </c>
    </row>
    <row r="53" spans="1:20" x14ac:dyDescent="0.25">
      <c r="A53" s="5">
        <v>44540</v>
      </c>
      <c r="B53">
        <v>3.4659999999999997E-5</v>
      </c>
      <c r="C53">
        <v>3.6180000000000003E-5</v>
      </c>
      <c r="D53">
        <v>3.3330000000000001E-5</v>
      </c>
      <c r="E53">
        <v>3.3460000000000002E-5</v>
      </c>
      <c r="F53">
        <v>6951538947284</v>
      </c>
      <c r="G53">
        <v>3.3460000000000002E-5</v>
      </c>
      <c r="L53" t="s">
        <v>8</v>
      </c>
      <c r="M53" t="s">
        <v>7</v>
      </c>
      <c r="N53" t="s">
        <v>7</v>
      </c>
      <c r="P53">
        <f t="shared" ref="P53" si="240">IF(C53=D53,0,((E53-D53)-(C53-E53))/(C53-D53))</f>
        <v>-0.90877192982456112</v>
      </c>
      <c r="Q53">
        <f t="shared" ref="Q53" si="241">F53*P53</f>
        <v>-6317363464373.8789</v>
      </c>
      <c r="R53">
        <f t="shared" ref="R53" si="242">R54+Q53</f>
        <v>22380199924875.129</v>
      </c>
      <c r="S53">
        <f t="shared" ref="S53" si="243">R53/100000</f>
        <v>223801999.24875128</v>
      </c>
      <c r="T53">
        <f t="shared" ref="T53" si="244">S53/1000</f>
        <v>223801.99924875129</v>
      </c>
    </row>
    <row r="54" spans="1:20" x14ac:dyDescent="0.25">
      <c r="A54" s="5">
        <v>44539</v>
      </c>
      <c r="B54">
        <v>3.6959999999999998E-5</v>
      </c>
      <c r="C54">
        <v>3.7289999999999997E-5</v>
      </c>
      <c r="D54">
        <v>3.417E-5</v>
      </c>
      <c r="E54">
        <v>3.4659999999999997E-5</v>
      </c>
      <c r="F54">
        <v>7367061258732</v>
      </c>
      <c r="G54">
        <v>3.4659999999999997E-5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-0.68589743589743757</v>
      </c>
      <c r="Q54">
        <f t="shared" ref="Q54" si="246">F54*P54</f>
        <v>-5053048427463.6279</v>
      </c>
      <c r="R54">
        <f t="shared" ref="R54" si="247">R55+Q54</f>
        <v>28697563389249.008</v>
      </c>
      <c r="S54">
        <f t="shared" ref="S54" si="248">R54/100000</f>
        <v>286975633.89249009</v>
      </c>
      <c r="T54">
        <f t="shared" ref="T54" si="249">S54/1000</f>
        <v>286975.63389249006</v>
      </c>
    </row>
    <row r="55" spans="1:20" x14ac:dyDescent="0.25">
      <c r="A55" s="5">
        <v>44538</v>
      </c>
      <c r="B55">
        <v>3.6239999999999999E-5</v>
      </c>
      <c r="C55">
        <v>3.7629999999999997E-5</v>
      </c>
      <c r="D55">
        <v>3.5580000000000002E-5</v>
      </c>
      <c r="E55">
        <v>3.6980000000000002E-5</v>
      </c>
      <c r="F55">
        <v>8178198224933</v>
      </c>
      <c r="G55">
        <v>3.6980000000000002E-5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0.36585365853658841</v>
      </c>
      <c r="Q55">
        <f t="shared" ref="Q55" si="251">F55*P55</f>
        <v>2992023740829.1714</v>
      </c>
      <c r="R55">
        <f t="shared" ref="R55" si="252">R56+Q55</f>
        <v>33750611816712.637</v>
      </c>
      <c r="S55">
        <f t="shared" ref="S55" si="253">R55/100000</f>
        <v>337506118.16712636</v>
      </c>
      <c r="T55">
        <f t="shared" ref="T55" si="254">S55/1000</f>
        <v>337506.11816712638</v>
      </c>
    </row>
    <row r="56" spans="1:20" x14ac:dyDescent="0.25">
      <c r="A56" s="5">
        <v>44537</v>
      </c>
      <c r="B56">
        <v>3.6770000000000002E-5</v>
      </c>
      <c r="C56">
        <v>3.8779999999999998E-5</v>
      </c>
      <c r="D56">
        <v>3.561E-5</v>
      </c>
      <c r="E56">
        <v>3.625E-5</v>
      </c>
      <c r="F56">
        <v>12814215878129</v>
      </c>
      <c r="G56">
        <v>3.625E-5</v>
      </c>
      <c r="L56" t="s">
        <v>7</v>
      </c>
      <c r="M56" t="s">
        <v>8</v>
      </c>
      <c r="N56" t="s">
        <v>7</v>
      </c>
      <c r="P56">
        <f t="shared" ref="P56" si="255">IF(C56=D56,0,((E56-D56)-(C56-E56))/(C56-D56))</f>
        <v>-0.59621451104100887</v>
      </c>
      <c r="Q56">
        <f t="shared" ref="Q56" si="256">F56*P56</f>
        <v>-7640021454152.6143</v>
      </c>
      <c r="R56">
        <f t="shared" ref="R56" si="257">R57+Q56</f>
        <v>30758588075883.465</v>
      </c>
      <c r="S56">
        <f t="shared" ref="S56" si="258">R56/100000</f>
        <v>307585880.75883466</v>
      </c>
      <c r="T56">
        <f t="shared" ref="T56" si="259">S56/1000</f>
        <v>307585.88075883465</v>
      </c>
    </row>
    <row r="57" spans="1:20" x14ac:dyDescent="0.25">
      <c r="A57" s="5">
        <v>44536</v>
      </c>
      <c r="B57">
        <v>3.6229999999999997E-5</v>
      </c>
      <c r="C57">
        <v>3.7589999999999998E-5</v>
      </c>
      <c r="D57">
        <v>3.269E-5</v>
      </c>
      <c r="E57">
        <v>3.6770000000000002E-5</v>
      </c>
      <c r="F57">
        <v>16312440144399</v>
      </c>
      <c r="G57">
        <v>3.6770000000000002E-5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0.66530612244898124</v>
      </c>
      <c r="Q57">
        <f t="shared" ref="Q57" si="261">F57*P57</f>
        <v>10852766300151.199</v>
      </c>
      <c r="R57">
        <f t="shared" ref="R57" si="262">R58+Q57</f>
        <v>38398609530036.078</v>
      </c>
      <c r="S57">
        <f t="shared" ref="S57" si="263">R57/100000</f>
        <v>383986095.3003608</v>
      </c>
      <c r="T57">
        <f t="shared" ref="T57" si="264">S57/1000</f>
        <v>383986.09530036082</v>
      </c>
    </row>
    <row r="58" spans="1:20" x14ac:dyDescent="0.25">
      <c r="A58" s="5">
        <v>44535</v>
      </c>
      <c r="B58">
        <v>3.6390000000000002E-5</v>
      </c>
      <c r="C58">
        <v>3.8300000000000003E-5</v>
      </c>
      <c r="D58">
        <v>3.4090000000000001E-5</v>
      </c>
      <c r="E58">
        <v>3.6220000000000002E-5</v>
      </c>
      <c r="F58">
        <v>16897500204393</v>
      </c>
      <c r="G58">
        <v>3.6220000000000002E-5</v>
      </c>
      <c r="L58" t="s">
        <v>7</v>
      </c>
      <c r="M58" t="s">
        <v>8</v>
      </c>
      <c r="N58" t="s">
        <v>7</v>
      </c>
      <c r="P58">
        <f t="shared" ref="P58" si="265">IF(C58=D58,0,((E58-D58)-(C58-E58))/(C58-D58))</f>
        <v>1.1876484560570354E-2</v>
      </c>
      <c r="Q58">
        <f t="shared" ref="Q58" si="266">F58*P58</f>
        <v>200682900289.70786</v>
      </c>
      <c r="R58">
        <f t="shared" ref="R58" si="267">R59+Q58</f>
        <v>27545843229884.879</v>
      </c>
      <c r="S58">
        <f t="shared" ref="S58" si="268">R58/100000</f>
        <v>275458432.29884881</v>
      </c>
      <c r="T58">
        <f t="shared" ref="T58" si="269">S58/1000</f>
        <v>275458.43229884881</v>
      </c>
    </row>
    <row r="59" spans="1:20" x14ac:dyDescent="0.25">
      <c r="A59" s="5">
        <v>44534</v>
      </c>
      <c r="B59">
        <v>4.0380000000000003E-5</v>
      </c>
      <c r="C59">
        <v>4.0500000000000002E-5</v>
      </c>
      <c r="D59">
        <v>2.9519999999999999E-5</v>
      </c>
      <c r="E59">
        <v>3.6390000000000002E-5</v>
      </c>
      <c r="F59">
        <v>30155152339504</v>
      </c>
      <c r="G59">
        <v>3.6390000000000002E-5</v>
      </c>
      <c r="L59" t="s">
        <v>8</v>
      </c>
      <c r="M59" t="s">
        <v>7</v>
      </c>
      <c r="N59" t="s">
        <v>7</v>
      </c>
      <c r="P59">
        <f t="shared" ref="P59" si="270">IF(C59=D59,0,((E59-D59)-(C59-E59))/(C59-D59))</f>
        <v>0.25136612021857951</v>
      </c>
      <c r="Q59">
        <f t="shared" ref="Q59" si="271">F59*P59</f>
        <v>7579983648181.3418</v>
      </c>
      <c r="R59">
        <f t="shared" ref="R59" si="272">R60+Q59</f>
        <v>27345160329595.172</v>
      </c>
      <c r="S59">
        <f t="shared" ref="S59" si="273">R59/100000</f>
        <v>273451603.29595172</v>
      </c>
      <c r="T59">
        <f t="shared" ref="T59" si="274">S59/1000</f>
        <v>273451.60329595173</v>
      </c>
    </row>
    <row r="60" spans="1:20" x14ac:dyDescent="0.25">
      <c r="A60" s="5">
        <v>44533</v>
      </c>
      <c r="B60">
        <v>4.2190000000000001E-5</v>
      </c>
      <c r="C60">
        <v>4.4849999999999999E-5</v>
      </c>
      <c r="D60">
        <v>3.8999999999999999E-5</v>
      </c>
      <c r="E60">
        <v>4.0389999999999998E-5</v>
      </c>
      <c r="F60">
        <v>17789846643917</v>
      </c>
      <c r="G60">
        <v>4.0389999999999998E-5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-0.52478632478632525</v>
      </c>
      <c r="Q60">
        <f t="shared" ref="Q60" si="276">F60*P60</f>
        <v>-9335868238773.5449</v>
      </c>
      <c r="R60">
        <f t="shared" ref="R60" si="277">R61+Q60</f>
        <v>19765176681413.828</v>
      </c>
      <c r="S60">
        <f t="shared" ref="S60" si="278">R60/100000</f>
        <v>197651766.81413829</v>
      </c>
      <c r="T60">
        <f t="shared" ref="T60" si="279">S60/1000</f>
        <v>197651.7668141383</v>
      </c>
    </row>
    <row r="61" spans="1:20" x14ac:dyDescent="0.25">
      <c r="A61" s="5">
        <v>44532</v>
      </c>
      <c r="B61">
        <v>4.4140000000000001E-5</v>
      </c>
      <c r="C61">
        <v>4.4230000000000002E-5</v>
      </c>
      <c r="D61">
        <v>4.1E-5</v>
      </c>
      <c r="E61">
        <v>4.2200000000000003E-5</v>
      </c>
      <c r="F61">
        <v>13534745809501</v>
      </c>
      <c r="G61">
        <v>4.2200000000000003E-5</v>
      </c>
      <c r="L61" t="s">
        <v>8</v>
      </c>
      <c r="M61" t="s">
        <v>7</v>
      </c>
      <c r="N61" t="s">
        <v>8</v>
      </c>
      <c r="P61">
        <f t="shared" ref="P61" si="280">IF(C61=D61,0,((E61-D61)-(C61-E61))/(C61-D61))</f>
        <v>-0.25696594427244485</v>
      </c>
      <c r="Q61">
        <f t="shared" ref="Q61" si="281">F61*P61</f>
        <v>-3477968737425.9404</v>
      </c>
      <c r="R61">
        <f t="shared" ref="R61" si="282">R62+Q61</f>
        <v>29101044920187.371</v>
      </c>
      <c r="S61">
        <f t="shared" ref="S61" si="283">R61/100000</f>
        <v>291010449.20187372</v>
      </c>
      <c r="T61">
        <f t="shared" ref="T61" si="284">S61/1000</f>
        <v>291010.44920187374</v>
      </c>
    </row>
    <row r="62" spans="1:20" x14ac:dyDescent="0.25">
      <c r="A62" s="5">
        <v>44531</v>
      </c>
      <c r="B62">
        <v>4.7450000000000001E-5</v>
      </c>
      <c r="C62">
        <v>4.8779999999999997E-5</v>
      </c>
      <c r="D62">
        <v>4.3510000000000002E-5</v>
      </c>
      <c r="E62">
        <v>4.4140000000000001E-5</v>
      </c>
      <c r="F62">
        <v>21815023771725</v>
      </c>
      <c r="G62">
        <v>4.4140000000000001E-5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-0.76091081593927912</v>
      </c>
      <c r="Q62">
        <f t="shared" ref="Q62" si="286">F62*P62</f>
        <v>-16599287537878.039</v>
      </c>
      <c r="R62">
        <f t="shared" ref="R62" si="287">R63+Q62</f>
        <v>32579013657613.313</v>
      </c>
      <c r="S62">
        <f t="shared" ref="S62" si="288">R62/100000</f>
        <v>325790136.57613313</v>
      </c>
      <c r="T62">
        <f t="shared" ref="T62" si="289">S62/1000</f>
        <v>325790.13657613314</v>
      </c>
    </row>
    <row r="63" spans="1:20" x14ac:dyDescent="0.25">
      <c r="A63" s="5">
        <v>44530</v>
      </c>
      <c r="B63">
        <v>4.5219999999999997E-5</v>
      </c>
      <c r="C63">
        <v>5.435E-5</v>
      </c>
      <c r="D63">
        <v>4.3309999999999997E-5</v>
      </c>
      <c r="E63">
        <v>4.744E-5</v>
      </c>
      <c r="F63">
        <v>57387780567997</v>
      </c>
      <c r="G63">
        <v>4.744E-5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-0.25181159420289823</v>
      </c>
      <c r="Q63">
        <f t="shared" ref="Q63" si="291">F63*P63</f>
        <v>-14450908512593.43</v>
      </c>
      <c r="R63">
        <f t="shared" ref="R63" si="292">R64+Q63</f>
        <v>49178301195491.352</v>
      </c>
      <c r="S63">
        <f t="shared" ref="S63" si="293">R63/100000</f>
        <v>491783011.9549135</v>
      </c>
      <c r="T63">
        <f t="shared" ref="T63" si="294">S63/1000</f>
        <v>491783.0119549135</v>
      </c>
    </row>
    <row r="64" spans="1:20" x14ac:dyDescent="0.25">
      <c r="A64" s="5">
        <v>44529</v>
      </c>
      <c r="B64">
        <v>3.9110000000000003E-5</v>
      </c>
      <c r="C64">
        <v>4.5859999999999998E-5</v>
      </c>
      <c r="D64">
        <v>3.8300000000000003E-5</v>
      </c>
      <c r="E64">
        <v>4.5219999999999997E-5</v>
      </c>
      <c r="F64">
        <v>22898513123075</v>
      </c>
      <c r="G64">
        <v>4.5219999999999997E-5</v>
      </c>
      <c r="L64" t="s">
        <v>7</v>
      </c>
      <c r="M64" t="s">
        <v>8</v>
      </c>
      <c r="N64" t="s">
        <v>7</v>
      </c>
      <c r="P64">
        <f t="shared" ref="P64" si="295">IF(C64=D64,0,((E64-D64)-(C64-E64))/(C64-D64))</f>
        <v>0.83068783068783036</v>
      </c>
      <c r="Q64">
        <f t="shared" ref="Q64" si="296">F64*P64</f>
        <v>19021516192183.988</v>
      </c>
      <c r="R64">
        <f t="shared" ref="R64" si="297">R65+Q64</f>
        <v>63629209708084.781</v>
      </c>
      <c r="S64">
        <f t="shared" ref="S64" si="298">R64/100000</f>
        <v>636292097.08084786</v>
      </c>
      <c r="T64">
        <f t="shared" ref="T64" si="299">S64/1000</f>
        <v>636292.09708084783</v>
      </c>
    </row>
    <row r="65" spans="1:20" x14ac:dyDescent="0.25">
      <c r="A65" s="5">
        <v>44528</v>
      </c>
      <c r="B65">
        <v>3.9199999999999997E-5</v>
      </c>
      <c r="C65">
        <v>3.9560000000000001E-5</v>
      </c>
      <c r="D65">
        <v>3.6199999999999999E-5</v>
      </c>
      <c r="E65">
        <v>3.9110000000000003E-5</v>
      </c>
      <c r="F65">
        <v>13321003110788</v>
      </c>
      <c r="G65">
        <v>3.9110000000000003E-5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0.73214285714285887</v>
      </c>
      <c r="Q65">
        <f t="shared" ref="Q65" si="301">F65*P65</f>
        <v>9752877277541.2383</v>
      </c>
      <c r="R65">
        <f t="shared" ref="R65" si="302">R66+Q65</f>
        <v>44607693515900.797</v>
      </c>
      <c r="S65">
        <f t="shared" ref="S65" si="303">R65/100000</f>
        <v>446076935.15900797</v>
      </c>
      <c r="T65">
        <f t="shared" ref="T65" si="304">S65/1000</f>
        <v>446076.93515900796</v>
      </c>
    </row>
    <row r="66" spans="1:20" x14ac:dyDescent="0.25">
      <c r="A66" s="5">
        <v>44527</v>
      </c>
      <c r="B66">
        <v>3.8659999999999999E-5</v>
      </c>
      <c r="C66">
        <v>4.1680000000000001E-5</v>
      </c>
      <c r="D66">
        <v>3.8160000000000001E-5</v>
      </c>
      <c r="E66">
        <v>3.9199999999999997E-5</v>
      </c>
      <c r="F66">
        <v>13650192851497</v>
      </c>
      <c r="G66">
        <v>3.9199999999999997E-5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-0.40909090909091095</v>
      </c>
      <c r="Q66">
        <f t="shared" ref="Q66" si="306">F66*P66</f>
        <v>-5584169802885.1621</v>
      </c>
      <c r="R66">
        <f t="shared" ref="R66" si="307">R67+Q66</f>
        <v>34854816238359.563</v>
      </c>
      <c r="S66">
        <f t="shared" ref="S66" si="308">R66/100000</f>
        <v>348548162.38359565</v>
      </c>
      <c r="T66">
        <f t="shared" ref="T66" si="309">S66/1000</f>
        <v>348548.16238359566</v>
      </c>
    </row>
    <row r="67" spans="1:20" x14ac:dyDescent="0.25">
      <c r="A67" s="5">
        <v>44526</v>
      </c>
      <c r="B67">
        <v>4.2700000000000001E-5</v>
      </c>
      <c r="C67">
        <v>4.2880000000000003E-5</v>
      </c>
      <c r="D67">
        <v>3.5599999999999998E-5</v>
      </c>
      <c r="E67">
        <v>3.8670000000000001E-5</v>
      </c>
      <c r="F67">
        <v>24840878969548</v>
      </c>
      <c r="G67">
        <v>3.8670000000000001E-5</v>
      </c>
      <c r="L67" t="s">
        <v>8</v>
      </c>
      <c r="M67" t="s">
        <v>7</v>
      </c>
      <c r="N67" t="s">
        <v>7</v>
      </c>
      <c r="P67">
        <f t="shared" ref="P67" si="310">IF(C67=D67,0,((E67-D67)-(C67-E67))/(C67-D67))</f>
        <v>-0.1565934065934064</v>
      </c>
      <c r="Q67">
        <f t="shared" ref="Q67" si="311">F67*P67</f>
        <v>-3889917860616.0283</v>
      </c>
      <c r="R67">
        <f t="shared" ref="R67" si="312">R68+Q67</f>
        <v>40438986041244.727</v>
      </c>
      <c r="S67">
        <f t="shared" ref="S67" si="313">R67/100000</f>
        <v>404389860.41244727</v>
      </c>
      <c r="T67">
        <f t="shared" ref="T67" si="314">S67/1000</f>
        <v>404389.86041244725</v>
      </c>
    </row>
    <row r="68" spans="1:20" x14ac:dyDescent="0.25">
      <c r="A68" s="5">
        <v>44525</v>
      </c>
      <c r="B68">
        <v>3.7849999999999998E-5</v>
      </c>
      <c r="C68">
        <v>4.7920000000000002E-5</v>
      </c>
      <c r="D68">
        <v>3.765E-5</v>
      </c>
      <c r="E68">
        <v>4.269E-5</v>
      </c>
      <c r="F68">
        <v>38170738924639</v>
      </c>
      <c r="G68">
        <v>4.269E-5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-1.850048685491755E-2</v>
      </c>
      <c r="Q68">
        <f t="shared" ref="Q68" si="316">F68*P68</f>
        <v>-706177253717.77344</v>
      </c>
      <c r="R68">
        <f t="shared" ref="R68" si="317">R69+Q68</f>
        <v>44328903901860.758</v>
      </c>
      <c r="S68">
        <f t="shared" ref="S68" si="318">R68/100000</f>
        <v>443289039.01860756</v>
      </c>
      <c r="T68">
        <f t="shared" ref="T68" si="319">S68/1000</f>
        <v>443289.03901860758</v>
      </c>
    </row>
    <row r="69" spans="1:20" x14ac:dyDescent="0.25">
      <c r="A69" s="5">
        <v>44524</v>
      </c>
      <c r="B69">
        <v>4.1900000000000002E-5</v>
      </c>
      <c r="C69">
        <v>4.2849999999999998E-5</v>
      </c>
      <c r="D69">
        <v>3.7880000000000003E-5</v>
      </c>
      <c r="E69">
        <v>3.9230000000000002E-5</v>
      </c>
      <c r="F69">
        <v>6671990075548</v>
      </c>
      <c r="G69">
        <v>3.9230000000000002E-5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-0.4567404426559355</v>
      </c>
      <c r="Q69">
        <f t="shared" ref="Q69" si="321">F69*P69</f>
        <v>-3047367700501.8022</v>
      </c>
      <c r="R69">
        <f t="shared" ref="R69" si="322">R70+Q69</f>
        <v>45035081155578.531</v>
      </c>
      <c r="S69">
        <f t="shared" ref="S69" si="323">R69/100000</f>
        <v>450350811.5557853</v>
      </c>
      <c r="T69">
        <f t="shared" ref="T69" si="324">S69/1000</f>
        <v>450350.8115557853</v>
      </c>
    </row>
    <row r="70" spans="1:20" x14ac:dyDescent="0.25">
      <c r="A70" s="5">
        <v>44523</v>
      </c>
      <c r="B70">
        <v>4.3239999999999999E-5</v>
      </c>
      <c r="C70">
        <v>4.4520000000000001E-5</v>
      </c>
      <c r="D70">
        <v>4.1010000000000002E-5</v>
      </c>
      <c r="E70">
        <v>4.1900000000000002E-5</v>
      </c>
      <c r="F70">
        <v>11307551259265</v>
      </c>
      <c r="G70">
        <v>4.1900000000000002E-5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-0.49287749287749272</v>
      </c>
      <c r="Q70">
        <f t="shared" ref="Q70" si="326">F70*P70</f>
        <v>-5573237515250.2686</v>
      </c>
      <c r="R70">
        <f t="shared" ref="R70" si="327">R71+Q70</f>
        <v>48082448856080.336</v>
      </c>
      <c r="S70">
        <f t="shared" ref="S70" si="328">R70/100000</f>
        <v>480824488.56080335</v>
      </c>
      <c r="T70">
        <f t="shared" ref="T70" si="329">S70/1000</f>
        <v>480824.48856080335</v>
      </c>
    </row>
    <row r="71" spans="1:20" x14ac:dyDescent="0.25">
      <c r="A71" s="5">
        <v>44522</v>
      </c>
      <c r="B71">
        <v>4.4119999999999998E-5</v>
      </c>
      <c r="C71">
        <v>4.6260000000000001E-5</v>
      </c>
      <c r="D71">
        <v>4.2700000000000001E-5</v>
      </c>
      <c r="E71">
        <v>4.3250000000000001E-5</v>
      </c>
      <c r="F71">
        <v>10770820744731</v>
      </c>
      <c r="G71">
        <v>4.3250000000000001E-5</v>
      </c>
      <c r="L71" t="s">
        <v>8</v>
      </c>
      <c r="M71" t="s">
        <v>7</v>
      </c>
      <c r="N71" t="s">
        <v>7</v>
      </c>
      <c r="P71">
        <f t="shared" ref="P71" si="330">IF(C71=D71,0,((E71-D71)-(C71-E71))/(C71-D71))</f>
        <v>-0.69101123595505631</v>
      </c>
      <c r="Q71">
        <f t="shared" ref="Q71" si="331">F71*P71</f>
        <v>-7442758155066.9287</v>
      </c>
      <c r="R71">
        <f t="shared" ref="R71" si="332">R72+Q71</f>
        <v>53655686371330.602</v>
      </c>
      <c r="S71">
        <f t="shared" ref="S71" si="333">R71/100000</f>
        <v>536556863.71330601</v>
      </c>
      <c r="T71">
        <f t="shared" ref="T71" si="334">S71/1000</f>
        <v>536556.86371330603</v>
      </c>
    </row>
    <row r="72" spans="1:20" x14ac:dyDescent="0.25">
      <c r="A72" s="5">
        <v>44521</v>
      </c>
      <c r="B72">
        <v>4.7660000000000001E-5</v>
      </c>
      <c r="C72">
        <v>4.774E-5</v>
      </c>
      <c r="D72">
        <v>4.3460000000000001E-5</v>
      </c>
      <c r="E72">
        <v>4.4110000000000003E-5</v>
      </c>
      <c r="F72">
        <v>9714699482601</v>
      </c>
      <c r="G72">
        <v>4.4110000000000003E-5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-0.69626168224298957</v>
      </c>
      <c r="Q72">
        <f t="shared" ref="Q72" si="336">F72*P72</f>
        <v>-6763973004240.873</v>
      </c>
      <c r="R72">
        <f t="shared" ref="R72" si="337">R73+Q72</f>
        <v>61098444526397.531</v>
      </c>
      <c r="S72">
        <f t="shared" ref="S72" si="338">R72/100000</f>
        <v>610984445.26397526</v>
      </c>
      <c r="T72">
        <f t="shared" ref="T72" si="339">S72/1000</f>
        <v>610984.4452639753</v>
      </c>
    </row>
    <row r="73" spans="1:20" x14ac:dyDescent="0.25">
      <c r="A73" s="5">
        <v>44520</v>
      </c>
      <c r="B73">
        <v>4.85E-5</v>
      </c>
      <c r="C73">
        <v>5.0000000000000002E-5</v>
      </c>
      <c r="D73">
        <v>4.5540000000000001E-5</v>
      </c>
      <c r="E73">
        <v>4.7660000000000001E-5</v>
      </c>
      <c r="F73">
        <v>14565274718156</v>
      </c>
      <c r="G73">
        <v>4.7660000000000001E-5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-4.932735426008996E-2</v>
      </c>
      <c r="Q73">
        <f t="shared" ref="Q73" si="341">F73*P73</f>
        <v>-718466465918.01294</v>
      </c>
      <c r="R73">
        <f t="shared" ref="R73" si="342">R74+Q73</f>
        <v>67862417530638.406</v>
      </c>
      <c r="S73">
        <f t="shared" ref="S73" si="343">R73/100000</f>
        <v>678624175.30638409</v>
      </c>
      <c r="T73">
        <f t="shared" ref="T73" si="344">S73/1000</f>
        <v>678624.1753063841</v>
      </c>
    </row>
    <row r="74" spans="1:20" x14ac:dyDescent="0.25">
      <c r="A74" s="5">
        <v>44519</v>
      </c>
      <c r="B74">
        <v>4.2519999999999999E-5</v>
      </c>
      <c r="C74">
        <v>5.2169999999999997E-5</v>
      </c>
      <c r="D74">
        <v>4.1770000000000002E-5</v>
      </c>
      <c r="E74">
        <v>4.8510000000000001E-5</v>
      </c>
      <c r="F74">
        <v>24145782947742</v>
      </c>
      <c r="G74">
        <v>4.8510000000000001E-5</v>
      </c>
      <c r="L74" t="s">
        <v>7</v>
      </c>
      <c r="M74" t="s">
        <v>8</v>
      </c>
      <c r="N74" t="s">
        <v>7</v>
      </c>
      <c r="P74">
        <f t="shared" ref="P74" si="345">IF(C74=D74,0,((E74-D74)-(C74-E74))/(C74-D74))</f>
        <v>0.29615384615384671</v>
      </c>
      <c r="Q74">
        <f t="shared" ref="Q74" si="346">F74*P74</f>
        <v>7150866488369.7598</v>
      </c>
      <c r="R74">
        <f t="shared" ref="R74" si="347">R75+Q74</f>
        <v>68580883996556.422</v>
      </c>
      <c r="S74">
        <f t="shared" ref="S74" si="348">R74/100000</f>
        <v>685808839.96556425</v>
      </c>
      <c r="T74">
        <f t="shared" ref="T74" si="349">S74/1000</f>
        <v>685808.8399655642</v>
      </c>
    </row>
    <row r="75" spans="1:20" x14ac:dyDescent="0.25">
      <c r="A75" s="5">
        <v>44518</v>
      </c>
      <c r="B75">
        <v>4.8149999999999998E-5</v>
      </c>
      <c r="C75">
        <v>4.8999999999999998E-5</v>
      </c>
      <c r="D75">
        <v>4.0509999999999997E-5</v>
      </c>
      <c r="E75">
        <v>4.2509999999999998E-5</v>
      </c>
      <c r="F75">
        <v>20861636622974</v>
      </c>
      <c r="G75">
        <v>4.2509999999999998E-5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-0.5288574793875146</v>
      </c>
      <c r="Q75">
        <f t="shared" ref="Q75" si="351">F75*P75</f>
        <v>-11032832560324.291</v>
      </c>
      <c r="R75">
        <f t="shared" ref="R75" si="352">R76+Q75</f>
        <v>61430017508186.664</v>
      </c>
      <c r="S75">
        <f t="shared" ref="S75" si="353">R75/100000</f>
        <v>614300175.08186662</v>
      </c>
      <c r="T75">
        <f t="shared" ref="T75" si="354">S75/1000</f>
        <v>614300.17508186668</v>
      </c>
    </row>
    <row r="76" spans="1:20" x14ac:dyDescent="0.25">
      <c r="A76" s="5">
        <v>44517</v>
      </c>
      <c r="B76">
        <v>4.8310000000000003E-5</v>
      </c>
      <c r="C76">
        <v>4.9879999999999997E-5</v>
      </c>
      <c r="D76">
        <v>4.6629999999999999E-5</v>
      </c>
      <c r="E76">
        <v>4.8140000000000003E-5</v>
      </c>
      <c r="F76">
        <v>12075458758914</v>
      </c>
      <c r="G76">
        <v>4.8140000000000003E-5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-7.0769230769227531E-2</v>
      </c>
      <c r="Q76">
        <f t="shared" ref="Q76" si="356">F76*P76</f>
        <v>-854570927553.87476</v>
      </c>
      <c r="R76">
        <f t="shared" ref="R76" si="357">R77+Q76</f>
        <v>72462850068510.953</v>
      </c>
      <c r="S76">
        <f t="shared" ref="S76" si="358">R76/100000</f>
        <v>724628500.6851095</v>
      </c>
      <c r="T76">
        <f t="shared" ref="T76" si="359">S76/1000</f>
        <v>724628.50068510952</v>
      </c>
    </row>
    <row r="77" spans="1:20" x14ac:dyDescent="0.25">
      <c r="A77" s="5">
        <v>44516</v>
      </c>
      <c r="B77">
        <v>5.3430000000000002E-5</v>
      </c>
      <c r="C77">
        <v>5.3539999999999999E-5</v>
      </c>
      <c r="D77">
        <v>4.5099999999999998E-5</v>
      </c>
      <c r="E77">
        <v>4.8310000000000003E-5</v>
      </c>
      <c r="F77">
        <v>21365363650600</v>
      </c>
      <c r="G77">
        <v>4.8310000000000003E-5</v>
      </c>
      <c r="L77" t="s">
        <v>8</v>
      </c>
      <c r="M77" t="s">
        <v>7</v>
      </c>
      <c r="N77" t="s">
        <v>7</v>
      </c>
      <c r="P77">
        <f t="shared" ref="P77" si="360">IF(C77=D77,0,((E77-D77)-(C77-E77))/(C77-D77))</f>
        <v>-0.23933649289099415</v>
      </c>
      <c r="Q77">
        <f t="shared" ref="Q77" si="361">F77*P77</f>
        <v>-5113511205475.332</v>
      </c>
      <c r="R77">
        <f t="shared" ref="R77" si="362">R78+Q77</f>
        <v>73317420996064.828</v>
      </c>
      <c r="S77">
        <f t="shared" ref="S77" si="363">R77/100000</f>
        <v>733174209.9606483</v>
      </c>
      <c r="T77">
        <f t="shared" ref="T77" si="364">S77/1000</f>
        <v>733174.20996064832</v>
      </c>
    </row>
    <row r="78" spans="1:20" x14ac:dyDescent="0.25">
      <c r="A78" s="5">
        <v>44515</v>
      </c>
      <c r="B78">
        <v>5.3140000000000003E-5</v>
      </c>
      <c r="C78">
        <v>5.5989999999999998E-5</v>
      </c>
      <c r="D78">
        <v>5.2280000000000001E-5</v>
      </c>
      <c r="E78">
        <v>5.3430000000000002E-5</v>
      </c>
      <c r="F78">
        <v>12771755191144</v>
      </c>
      <c r="G78">
        <v>5.3430000000000002E-5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-0.38005390835579411</v>
      </c>
      <c r="Q78">
        <f t="shared" ref="Q78" si="366">F78*P78</f>
        <v>-4853955476957.6797</v>
      </c>
      <c r="R78">
        <f t="shared" ref="R78" si="367">R79+Q78</f>
        <v>78430932201540.156</v>
      </c>
      <c r="S78">
        <f t="shared" ref="S78" si="368">R78/100000</f>
        <v>784309322.0154016</v>
      </c>
      <c r="T78">
        <f t="shared" ref="T78" si="369">S78/1000</f>
        <v>784309.32201540156</v>
      </c>
    </row>
    <row r="79" spans="1:20" x14ac:dyDescent="0.25">
      <c r="A79" s="5">
        <v>44514</v>
      </c>
      <c r="B79">
        <v>5.168E-5</v>
      </c>
      <c r="C79">
        <v>5.6400000000000002E-5</v>
      </c>
      <c r="D79">
        <v>5.1530000000000003E-5</v>
      </c>
      <c r="E79">
        <v>5.3140000000000003E-5</v>
      </c>
      <c r="F79">
        <v>12715968872848</v>
      </c>
      <c r="G79">
        <v>5.3140000000000003E-5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-0.33880903490759751</v>
      </c>
      <c r="Q79">
        <f t="shared" ref="Q79" si="371">F79*P79</f>
        <v>-4308285141724.6812</v>
      </c>
      <c r="R79">
        <f t="shared" ref="R79" si="372">R80+Q79</f>
        <v>83284887678497.844</v>
      </c>
      <c r="S79">
        <f t="shared" ref="S79" si="373">R79/100000</f>
        <v>832848876.78497839</v>
      </c>
      <c r="T79">
        <f t="shared" ref="T79" si="374">S79/1000</f>
        <v>832848.87678497843</v>
      </c>
    </row>
    <row r="80" spans="1:20" x14ac:dyDescent="0.25">
      <c r="A80" s="5">
        <v>44513</v>
      </c>
      <c r="B80">
        <v>5.2349999999999999E-5</v>
      </c>
      <c r="C80">
        <v>5.2800000000000003E-5</v>
      </c>
      <c r="D80">
        <v>5.0550000000000002E-5</v>
      </c>
      <c r="E80">
        <v>5.168E-5</v>
      </c>
      <c r="F80">
        <v>8134280391784</v>
      </c>
      <c r="G80">
        <v>5.168E-5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4.4444444444421425E-3</v>
      </c>
      <c r="Q80">
        <f t="shared" ref="Q80" si="376">F80*P80</f>
        <v>36152357296.799049</v>
      </c>
      <c r="R80">
        <f t="shared" ref="R80" si="377">R81+Q80</f>
        <v>87593172820222.531</v>
      </c>
      <c r="S80">
        <f t="shared" ref="S80" si="378">R80/100000</f>
        <v>875931728.20222533</v>
      </c>
      <c r="T80">
        <f t="shared" ref="T80" si="379">S80/1000</f>
        <v>875931.72820222529</v>
      </c>
    </row>
    <row r="81" spans="1:20" x14ac:dyDescent="0.25">
      <c r="A81" s="5">
        <v>44512</v>
      </c>
      <c r="B81">
        <v>5.6539999999999997E-5</v>
      </c>
      <c r="C81">
        <v>5.698E-5</v>
      </c>
      <c r="D81">
        <v>5.1329999999999998E-5</v>
      </c>
      <c r="E81">
        <v>5.2349999999999999E-5</v>
      </c>
      <c r="F81">
        <v>14700043529290</v>
      </c>
      <c r="G81">
        <v>5.2349999999999999E-5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-0.63893805309734508</v>
      </c>
      <c r="Q81">
        <f t="shared" ref="Q81" si="381">F81*P81</f>
        <v>-9392417193050.7773</v>
      </c>
      <c r="R81">
        <f t="shared" ref="R81" si="382">R82+Q81</f>
        <v>87557020462925.734</v>
      </c>
      <c r="S81">
        <f t="shared" ref="S81" si="383">R81/100000</f>
        <v>875570204.62925732</v>
      </c>
      <c r="T81">
        <f t="shared" ref="T81" si="384">S81/1000</f>
        <v>875570.20462925732</v>
      </c>
    </row>
    <row r="82" spans="1:20" x14ac:dyDescent="0.25">
      <c r="A82" s="5">
        <v>44511</v>
      </c>
      <c r="B82">
        <v>5.0260000000000003E-5</v>
      </c>
      <c r="C82">
        <v>5.7979999999999997E-5</v>
      </c>
      <c r="D82">
        <v>4.833E-5</v>
      </c>
      <c r="E82">
        <v>5.6539999999999997E-5</v>
      </c>
      <c r="F82">
        <v>28850178484019</v>
      </c>
      <c r="G82">
        <v>5.6539999999999997E-5</v>
      </c>
      <c r="L82" t="s">
        <v>7</v>
      </c>
      <c r="M82" t="s">
        <v>8</v>
      </c>
      <c r="N82" t="s">
        <v>7</v>
      </c>
      <c r="P82">
        <f t="shared" ref="P82" si="385">IF(C82=D82,0,((E82-D82)-(C82-E82))/(C82-D82))</f>
        <v>0.70155440414507764</v>
      </c>
      <c r="Q82">
        <f t="shared" ref="Q82" si="386">F82*P82</f>
        <v>20239969775835.09</v>
      </c>
      <c r="R82">
        <f t="shared" ref="R82" si="387">R83+Q82</f>
        <v>96949437655976.516</v>
      </c>
      <c r="S82">
        <f t="shared" ref="S82" si="388">R82/100000</f>
        <v>969494376.5597651</v>
      </c>
      <c r="T82">
        <f t="shared" ref="T82" si="389">S82/1000</f>
        <v>969494.37655976508</v>
      </c>
    </row>
    <row r="83" spans="1:20" x14ac:dyDescent="0.25">
      <c r="A83" s="5">
        <v>44510</v>
      </c>
      <c r="B83">
        <v>5.4849999999999998E-5</v>
      </c>
      <c r="C83">
        <v>5.5250000000000001E-5</v>
      </c>
      <c r="D83">
        <v>4.6E-5</v>
      </c>
      <c r="E83">
        <v>5.0269999999999998E-5</v>
      </c>
      <c r="F83">
        <v>23066467501868</v>
      </c>
      <c r="G83">
        <v>5.0269999999999998E-5</v>
      </c>
      <c r="L83" t="s">
        <v>8</v>
      </c>
      <c r="M83" t="s">
        <v>7</v>
      </c>
      <c r="N83" t="s">
        <v>7</v>
      </c>
      <c r="P83">
        <f t="shared" ref="P83" si="390">IF(C83=D83,0,((E83-D83)-(C83-E83))/(C83-D83))</f>
        <v>-7.6756756756757291E-2</v>
      </c>
      <c r="Q83">
        <f t="shared" ref="Q83" si="391">F83*P83</f>
        <v>-1770507235278.5291</v>
      </c>
      <c r="R83">
        <f t="shared" ref="R83" si="392">R84+Q83</f>
        <v>76709467880141.422</v>
      </c>
      <c r="S83">
        <f t="shared" ref="S83" si="393">R83/100000</f>
        <v>767094678.80141425</v>
      </c>
      <c r="T83">
        <f t="shared" ref="T83" si="394">S83/1000</f>
        <v>767094.67880141421</v>
      </c>
    </row>
    <row r="84" spans="1:20" x14ac:dyDescent="0.25">
      <c r="A84" s="5">
        <v>44509</v>
      </c>
      <c r="B84">
        <v>5.516E-5</v>
      </c>
      <c r="C84">
        <v>5.8499999999999999E-5</v>
      </c>
      <c r="D84">
        <v>5.3300000000000001E-5</v>
      </c>
      <c r="E84">
        <v>5.4839999999999997E-5</v>
      </c>
      <c r="F84">
        <v>15798759852983</v>
      </c>
      <c r="G84">
        <v>5.4839999999999997E-5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-0.40769230769230919</v>
      </c>
      <c r="Q84">
        <f t="shared" ref="Q84" si="396">F84*P84</f>
        <v>-6441032863139.2471</v>
      </c>
      <c r="R84">
        <f t="shared" ref="R84" si="397">R85+Q84</f>
        <v>78479975115419.953</v>
      </c>
      <c r="S84">
        <f t="shared" ref="S84" si="398">R84/100000</f>
        <v>784799751.15419948</v>
      </c>
      <c r="T84">
        <f t="shared" ref="T84" si="399">S84/1000</f>
        <v>784799.75115419948</v>
      </c>
    </row>
    <row r="85" spans="1:20" x14ac:dyDescent="0.25">
      <c r="A85" s="5">
        <v>44508</v>
      </c>
      <c r="B85">
        <v>5.6900000000000001E-5</v>
      </c>
      <c r="C85">
        <v>5.8999999999999998E-5</v>
      </c>
      <c r="D85">
        <v>5.2719999999999997E-5</v>
      </c>
      <c r="E85">
        <v>5.5170000000000002E-5</v>
      </c>
      <c r="F85">
        <v>24005429554564</v>
      </c>
      <c r="G85">
        <v>5.5170000000000002E-5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-0.2197452229299347</v>
      </c>
      <c r="Q85">
        <f t="shared" ref="Q85" si="401">F85*P85</f>
        <v>-5275078468996.5098</v>
      </c>
      <c r="R85">
        <f t="shared" ref="R85" si="402">R86+Q85</f>
        <v>84921007978559.203</v>
      </c>
      <c r="S85">
        <f t="shared" ref="S85" si="403">R85/100000</f>
        <v>849210079.78559208</v>
      </c>
      <c r="T85">
        <f t="shared" ref="T85" si="404">S85/1000</f>
        <v>849210.07978559204</v>
      </c>
    </row>
    <row r="86" spans="1:20" x14ac:dyDescent="0.25">
      <c r="A86" s="5">
        <v>44507</v>
      </c>
      <c r="B86">
        <v>5.8610000000000003E-5</v>
      </c>
      <c r="C86">
        <v>5.9679999999999998E-5</v>
      </c>
      <c r="D86">
        <v>5.5840000000000001E-5</v>
      </c>
      <c r="E86">
        <v>5.6900000000000001E-5</v>
      </c>
      <c r="F86">
        <v>16270271381514</v>
      </c>
      <c r="G86">
        <v>5.6900000000000001E-5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-0.44791666666666624</v>
      </c>
      <c r="Q86">
        <f t="shared" ref="Q86" si="406">F86*P86</f>
        <v>-7287725722969.8057</v>
      </c>
      <c r="R86">
        <f t="shared" ref="R86" si="407">R87+Q86</f>
        <v>90196086447555.719</v>
      </c>
      <c r="S86">
        <f t="shared" ref="S86" si="408">R86/100000</f>
        <v>901960864.47555721</v>
      </c>
      <c r="T86">
        <f t="shared" ref="T86" si="409">S86/1000</f>
        <v>901960.86447555723</v>
      </c>
    </row>
    <row r="87" spans="1:20" x14ac:dyDescent="0.25">
      <c r="A87" s="5">
        <v>44506</v>
      </c>
      <c r="B87">
        <v>6.2570000000000006E-5</v>
      </c>
      <c r="C87">
        <v>6.3139999999999995E-5</v>
      </c>
      <c r="D87">
        <v>5.49E-5</v>
      </c>
      <c r="E87">
        <v>5.8619999999999998E-5</v>
      </c>
      <c r="F87">
        <v>34371921859656</v>
      </c>
      <c r="G87">
        <v>5.8619999999999998E-5</v>
      </c>
      <c r="L87" t="s">
        <v>8</v>
      </c>
      <c r="M87" t="s">
        <v>7</v>
      </c>
      <c r="N87" t="s">
        <v>8</v>
      </c>
      <c r="P87">
        <f t="shared" ref="P87" si="410">IF(C87=D87,0,((E87-D87)-(C87-E87))/(C87-D87))</f>
        <v>-9.7087378640776642E-2</v>
      </c>
      <c r="Q87">
        <f t="shared" ref="Q87" si="411">F87*P87</f>
        <v>-3337079792199.6099</v>
      </c>
      <c r="R87">
        <f t="shared" ref="R87" si="412">R88+Q87</f>
        <v>97483812170525.531</v>
      </c>
      <c r="S87">
        <f t="shared" ref="S87" si="413">R87/100000</f>
        <v>974838121.70525527</v>
      </c>
      <c r="T87">
        <f t="shared" ref="T87" si="414">S87/1000</f>
        <v>974838.12170525524</v>
      </c>
    </row>
    <row r="88" spans="1:20" x14ac:dyDescent="0.25">
      <c r="A88" s="5">
        <v>44505</v>
      </c>
      <c r="B88">
        <v>4.9379999999999998E-5</v>
      </c>
      <c r="C88">
        <v>6.5469999999999995E-5</v>
      </c>
      <c r="D88">
        <v>4.5410000000000001E-5</v>
      </c>
      <c r="E88">
        <v>6.2559999999999997E-5</v>
      </c>
      <c r="F88">
        <v>64343495731005</v>
      </c>
      <c r="G88">
        <v>6.2559999999999997E-5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0.70987038883349962</v>
      </c>
      <c r="Q88">
        <f t="shared" ref="Q88" si="416">F88*P88</f>
        <v>45675542333475.141</v>
      </c>
      <c r="R88">
        <f t="shared" ref="R88" si="417">R89+Q88</f>
        <v>100820891962725.14</v>
      </c>
      <c r="S88">
        <f t="shared" ref="S88" si="418">R88/100000</f>
        <v>1008208919.6272514</v>
      </c>
      <c r="T88">
        <f t="shared" ref="T88" si="419">S88/1000</f>
        <v>1008208.9196272513</v>
      </c>
    </row>
    <row r="89" spans="1:20" x14ac:dyDescent="0.25">
      <c r="A89" s="5">
        <v>44504</v>
      </c>
      <c r="B89">
        <v>5.5460000000000001E-5</v>
      </c>
      <c r="C89">
        <v>6.0970000000000001E-5</v>
      </c>
      <c r="D89">
        <v>4.3120000000000001E-5</v>
      </c>
      <c r="E89">
        <v>4.9370000000000003E-5</v>
      </c>
      <c r="F89">
        <v>69434105433938</v>
      </c>
      <c r="G89">
        <v>4.9370000000000003E-5</v>
      </c>
      <c r="L89" t="s">
        <v>8</v>
      </c>
      <c r="M89" t="s">
        <v>7</v>
      </c>
      <c r="N89" t="s">
        <v>7</v>
      </c>
      <c r="P89">
        <f t="shared" ref="P89" si="420">IF(C89=D89,0,((E89-D89)-(C89-E89))/(C89-D89))</f>
        <v>-0.29971988795518179</v>
      </c>
      <c r="Q89">
        <f t="shared" ref="Q89" si="421">F89*P89</f>
        <v>-20810782300928.176</v>
      </c>
      <c r="R89">
        <f t="shared" ref="R89" si="422">R90+Q89</f>
        <v>55145349629250</v>
      </c>
      <c r="S89">
        <f t="shared" ref="S89" si="423">R89/100000</f>
        <v>551453496.29250002</v>
      </c>
      <c r="T89">
        <f t="shared" ref="T89" si="424">S89/1000</f>
        <v>551453.49629250006</v>
      </c>
    </row>
    <row r="90" spans="1:20" x14ac:dyDescent="0.25">
      <c r="A90" s="5">
        <v>44503</v>
      </c>
      <c r="B90">
        <v>6.9190000000000007E-5</v>
      </c>
      <c r="C90">
        <v>6.9220000000000005E-5</v>
      </c>
      <c r="D90">
        <v>5.2859999999999999E-5</v>
      </c>
      <c r="E90">
        <v>5.5470000000000003E-5</v>
      </c>
      <c r="F90">
        <v>28257239394032</v>
      </c>
      <c r="G90">
        <v>5.5470000000000003E-5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-0.68092909535452284</v>
      </c>
      <c r="Q90">
        <f t="shared" ref="Q90" si="426">F90*P90</f>
        <v>-19241176457794.395</v>
      </c>
      <c r="R90">
        <f t="shared" ref="R90" si="427">R91+Q90</f>
        <v>75956131930178.172</v>
      </c>
      <c r="S90">
        <f t="shared" ref="S90" si="428">R90/100000</f>
        <v>759561319.30178177</v>
      </c>
      <c r="T90">
        <f t="shared" ref="T90" si="429">S90/1000</f>
        <v>759561.31930178183</v>
      </c>
    </row>
    <row r="91" spans="1:20" x14ac:dyDescent="0.25">
      <c r="A91" s="5">
        <v>44502</v>
      </c>
      <c r="B91">
        <v>7.1500000000000003E-5</v>
      </c>
      <c r="C91">
        <v>7.2960000000000006E-5</v>
      </c>
      <c r="D91">
        <v>6.6500000000000004E-5</v>
      </c>
      <c r="E91">
        <v>6.9179999999999998E-5</v>
      </c>
      <c r="F91">
        <v>18612476991846</v>
      </c>
      <c r="G91">
        <v>6.9179999999999998E-5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-0.1702786377708998</v>
      </c>
      <c r="Q91">
        <f t="shared" ref="Q91" si="431">F91*P91</f>
        <v>-3169307227713.752</v>
      </c>
      <c r="R91">
        <f t="shared" ref="R91" si="432">R92+Q91</f>
        <v>95197308387972.563</v>
      </c>
      <c r="S91">
        <f t="shared" ref="S91" si="433">R91/100000</f>
        <v>951973083.87972558</v>
      </c>
      <c r="T91">
        <f t="shared" ref="T91" si="434">S91/1000</f>
        <v>951973.08387972554</v>
      </c>
    </row>
    <row r="92" spans="1:20" x14ac:dyDescent="0.25">
      <c r="A92" s="5">
        <v>44501</v>
      </c>
      <c r="B92">
        <v>6.6970000000000004E-5</v>
      </c>
      <c r="C92">
        <v>7.4939999999999997E-5</v>
      </c>
      <c r="D92">
        <v>6.5699999999999998E-5</v>
      </c>
      <c r="E92">
        <v>7.1500000000000003E-5</v>
      </c>
      <c r="F92">
        <v>29336188952630</v>
      </c>
      <c r="G92">
        <v>7.1500000000000003E-5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0.25541125541125664</v>
      </c>
      <c r="Q92">
        <f t="shared" ref="Q92" si="436">F92*P92</f>
        <v>7492792849373.0664</v>
      </c>
      <c r="R92">
        <f t="shared" ref="R92" si="437">R93+Q92</f>
        <v>98366615615686.313</v>
      </c>
      <c r="S92">
        <f t="shared" ref="S92" si="438">R92/100000</f>
        <v>983666156.15686309</v>
      </c>
      <c r="T92">
        <f t="shared" ref="T92" si="439">S92/1000</f>
        <v>983666.15615686309</v>
      </c>
    </row>
    <row r="93" spans="1:20" x14ac:dyDescent="0.25">
      <c r="A93" s="5">
        <v>44500</v>
      </c>
      <c r="B93">
        <v>6.5309999999999996E-5</v>
      </c>
      <c r="C93">
        <v>6.9590000000000003E-5</v>
      </c>
      <c r="D93">
        <v>5.808E-5</v>
      </c>
      <c r="E93">
        <v>6.6970000000000004E-5</v>
      </c>
      <c r="F93">
        <v>31386990549782</v>
      </c>
      <c r="G93">
        <v>6.6970000000000004E-5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0.54474370112945303</v>
      </c>
      <c r="Q93">
        <f t="shared" ref="Q93" si="441">F93*P93</f>
        <v>17097865399403.412</v>
      </c>
      <c r="R93">
        <f t="shared" ref="R93" si="442">R94+Q93</f>
        <v>90873822766313.25</v>
      </c>
      <c r="S93">
        <f t="shared" ref="S93" si="443">R93/100000</f>
        <v>908738227.66313255</v>
      </c>
      <c r="T93">
        <f t="shared" ref="T93" si="444">S93/1000</f>
        <v>908738.22766313259</v>
      </c>
    </row>
    <row r="94" spans="1:20" x14ac:dyDescent="0.25">
      <c r="A94" s="5">
        <v>44499</v>
      </c>
      <c r="B94">
        <v>7.4889999999999996E-5</v>
      </c>
      <c r="C94">
        <v>7.7999999999999999E-5</v>
      </c>
      <c r="D94">
        <v>6.1500000000000004E-5</v>
      </c>
      <c r="E94">
        <v>6.5320000000000005E-5</v>
      </c>
      <c r="F94">
        <v>32594253338226</v>
      </c>
      <c r="G94">
        <v>6.5320000000000005E-5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-0.53696969696969676</v>
      </c>
      <c r="Q94">
        <f t="shared" ref="Q94" si="446">F94*P94</f>
        <v>-17502126337980.742</v>
      </c>
      <c r="R94">
        <f t="shared" ref="R94" si="447">R95+Q94</f>
        <v>73775957366909.844</v>
      </c>
      <c r="S94">
        <f t="shared" ref="S94" si="448">R94/100000</f>
        <v>737759573.6690985</v>
      </c>
      <c r="T94">
        <f t="shared" ref="T94" si="449">S94/1000</f>
        <v>737759.57366909855</v>
      </c>
    </row>
    <row r="95" spans="1:20" x14ac:dyDescent="0.25">
      <c r="A95" s="5">
        <v>44498</v>
      </c>
      <c r="B95">
        <v>6.8860000000000001E-5</v>
      </c>
      <c r="C95">
        <v>7.7470000000000002E-5</v>
      </c>
      <c r="D95">
        <v>6.0999999999999999E-5</v>
      </c>
      <c r="E95">
        <v>7.4900000000000005E-5</v>
      </c>
      <c r="F95">
        <v>57543502861683</v>
      </c>
      <c r="G95">
        <v>7.4900000000000005E-5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0.68791742562234404</v>
      </c>
      <c r="Q95">
        <f t="shared" ref="Q95" si="451">F95*P95</f>
        <v>39585178349900.953</v>
      </c>
      <c r="R95">
        <f t="shared" ref="R95" si="452">R96+Q95</f>
        <v>91278083704890.578</v>
      </c>
      <c r="S95">
        <f t="shared" ref="S95" si="453">R95/100000</f>
        <v>912780837.04890573</v>
      </c>
      <c r="T95">
        <f t="shared" ref="T95" si="454">S95/1000</f>
        <v>912780.83704890579</v>
      </c>
    </row>
    <row r="96" spans="1:20" x14ac:dyDescent="0.25">
      <c r="A96" s="5">
        <v>44497</v>
      </c>
      <c r="B96">
        <v>7.9060000000000005E-5</v>
      </c>
      <c r="C96">
        <v>8.8540000000000003E-5</v>
      </c>
      <c r="D96">
        <v>5.7000000000000003E-5</v>
      </c>
      <c r="E96">
        <v>6.8869999999999996E-5</v>
      </c>
      <c r="F96">
        <v>137183379558887</v>
      </c>
      <c r="G96">
        <v>6.8869999999999996E-5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-0.24730500951173157</v>
      </c>
      <c r="Q96">
        <f t="shared" ref="Q96" si="456">F96*P96</f>
        <v>-33926136986662.031</v>
      </c>
      <c r="R96">
        <f t="shared" ref="R96" si="457">R97+Q96</f>
        <v>51692905354989.625</v>
      </c>
      <c r="S96">
        <f t="shared" ref="S96" si="458">R96/100000</f>
        <v>516929053.54989624</v>
      </c>
      <c r="T96">
        <f t="shared" ref="T96" si="459">S96/1000</f>
        <v>516929.05354989623</v>
      </c>
    </row>
    <row r="97" spans="1:20" x14ac:dyDescent="0.25">
      <c r="A97" s="5">
        <v>44496</v>
      </c>
      <c r="B97">
        <v>4.7970000000000003E-5</v>
      </c>
      <c r="C97">
        <v>8.7999999999999998E-5</v>
      </c>
      <c r="D97">
        <v>4.6499999999999999E-5</v>
      </c>
      <c r="E97">
        <v>7.9060000000000005E-5</v>
      </c>
      <c r="F97">
        <v>159140214097788</v>
      </c>
      <c r="G97">
        <v>7.9060000000000005E-5</v>
      </c>
      <c r="L97" t="s">
        <v>8</v>
      </c>
      <c r="M97" t="s">
        <v>8</v>
      </c>
      <c r="N97" t="s">
        <v>8</v>
      </c>
      <c r="P97">
        <f t="shared" ref="P97" si="460">IF(C97=D97,0,((E97-D97)-(C97-E97))/(C97-D97))</f>
        <v>0.5691566265060245</v>
      </c>
      <c r="Q97">
        <f t="shared" ref="Q97" si="461">F97*P97</f>
        <v>90575707397343.5</v>
      </c>
      <c r="R97">
        <f t="shared" ref="R97" si="462">R98+Q97</f>
        <v>85619042341651.656</v>
      </c>
      <c r="S97">
        <f t="shared" ref="S97" si="463">R97/100000</f>
        <v>856190423.41651654</v>
      </c>
      <c r="T97">
        <f t="shared" ref="T97" si="464">S97/1000</f>
        <v>856190.42341651651</v>
      </c>
    </row>
    <row r="98" spans="1:20" x14ac:dyDescent="0.25">
      <c r="A98" s="5">
        <v>44495</v>
      </c>
      <c r="B98">
        <v>4.2290000000000003E-5</v>
      </c>
      <c r="C98">
        <v>4.9599999999999999E-5</v>
      </c>
      <c r="D98">
        <v>4.0439999999999999E-5</v>
      </c>
      <c r="E98">
        <v>4.7960000000000002E-5</v>
      </c>
      <c r="F98">
        <v>65185354432996</v>
      </c>
      <c r="G98">
        <v>4.7960000000000002E-5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0.64192139737991316</v>
      </c>
      <c r="Q98">
        <f t="shared" ref="Q98" si="466">F98*P98</f>
        <v>41843873806333.711</v>
      </c>
      <c r="R98">
        <f t="shared" ref="R98" si="467">R99+Q98</f>
        <v>-4956665055691.8359</v>
      </c>
      <c r="S98">
        <f t="shared" ref="S98" si="468">R98/100000</f>
        <v>-49566650.55691836</v>
      </c>
      <c r="T98">
        <f t="shared" ref="T98" si="469">S98/1000</f>
        <v>-49566.650556918357</v>
      </c>
    </row>
    <row r="99" spans="1:20" x14ac:dyDescent="0.25">
      <c r="A99" s="5">
        <v>44494</v>
      </c>
      <c r="B99">
        <v>3.6050000000000002E-5</v>
      </c>
      <c r="C99">
        <v>4.3649999999999997E-5</v>
      </c>
      <c r="D99">
        <v>3.4929999999999999E-5</v>
      </c>
      <c r="E99">
        <v>4.2299999999999998E-5</v>
      </c>
      <c r="F99">
        <v>55683030231723</v>
      </c>
      <c r="G99">
        <v>4.2299999999999998E-5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0.69036697247706436</v>
      </c>
      <c r="Q99">
        <f t="shared" ref="Q99" si="471">F99*P99</f>
        <v>38441724999423.453</v>
      </c>
      <c r="R99">
        <f t="shared" ref="R99" si="472">R100+Q99</f>
        <v>-46800538862025.547</v>
      </c>
      <c r="S99">
        <f t="shared" ref="S99" si="473">R99/100000</f>
        <v>-468005388.62025547</v>
      </c>
      <c r="T99">
        <f t="shared" ref="T99" si="474">S99/1000</f>
        <v>-468005.38862025546</v>
      </c>
    </row>
    <row r="100" spans="1:20" x14ac:dyDescent="0.25">
      <c r="A100" s="5">
        <v>44493</v>
      </c>
      <c r="B100">
        <v>3.3840000000000001E-5</v>
      </c>
      <c r="C100">
        <v>4.4650000000000001E-5</v>
      </c>
      <c r="D100">
        <v>3.286E-5</v>
      </c>
      <c r="E100">
        <v>3.6050000000000002E-5</v>
      </c>
      <c r="F100">
        <v>122382291462285</v>
      </c>
      <c r="G100">
        <v>3.6050000000000002E-5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-0.45886344359626779</v>
      </c>
      <c r="Q100">
        <f t="shared" ref="Q100" si="476">F100*P100</f>
        <v>-56156759695586.219</v>
      </c>
      <c r="R100">
        <f t="shared" ref="R100" si="477">R101+Q100</f>
        <v>-85242263861449</v>
      </c>
      <c r="S100">
        <f t="shared" ref="S100" si="478">R100/100000</f>
        <v>-852422638.61449003</v>
      </c>
      <c r="T100">
        <f t="shared" ref="T100" si="479">S100/1000</f>
        <v>-852422.63861449005</v>
      </c>
    </row>
    <row r="101" spans="1:20" x14ac:dyDescent="0.25">
      <c r="A101" s="5">
        <v>44492</v>
      </c>
      <c r="B101">
        <v>2.794E-5</v>
      </c>
      <c r="C101">
        <v>3.4600000000000001E-5</v>
      </c>
      <c r="D101">
        <v>2.7589999999999998E-5</v>
      </c>
      <c r="E101">
        <v>3.3840000000000001E-5</v>
      </c>
      <c r="F101">
        <v>41345879310820</v>
      </c>
      <c r="G101">
        <v>3.3840000000000001E-5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0.78316690442225412</v>
      </c>
      <c r="Q101">
        <f t="shared" ref="Q101" si="481">F101*P101</f>
        <v>32380724310471.02</v>
      </c>
      <c r="R101">
        <f t="shared" ref="R101" si="482">R102+Q101</f>
        <v>-29085504165862.777</v>
      </c>
      <c r="S101">
        <f t="shared" ref="S101" si="483">R101/100000</f>
        <v>-290855041.65862775</v>
      </c>
      <c r="T101">
        <f t="shared" ref="T101" si="484">S101/1000</f>
        <v>-290855.04165862774</v>
      </c>
    </row>
    <row r="102" spans="1:20" x14ac:dyDescent="0.25">
      <c r="A102" s="5">
        <v>44491</v>
      </c>
      <c r="B102">
        <v>2.747E-5</v>
      </c>
      <c r="C102">
        <v>2.8500000000000002E-5</v>
      </c>
      <c r="D102">
        <v>2.7019999999999999E-5</v>
      </c>
      <c r="E102">
        <v>2.794E-5</v>
      </c>
      <c r="F102">
        <v>10640093014043</v>
      </c>
      <c r="G102">
        <v>2.794E-5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0.24324324324324276</v>
      </c>
      <c r="Q102">
        <f t="shared" ref="Q102" si="486">F102*P102</f>
        <v>2588130733145.5894</v>
      </c>
      <c r="R102">
        <f t="shared" ref="R102" si="487">R103+Q102</f>
        <v>-61466228476333.797</v>
      </c>
      <c r="S102">
        <f t="shared" ref="S102" si="488">R102/100000</f>
        <v>-614662284.76333797</v>
      </c>
      <c r="T102">
        <f t="shared" ref="T102" si="489">S102/1000</f>
        <v>-614662.28476333793</v>
      </c>
    </row>
    <row r="103" spans="1:20" x14ac:dyDescent="0.25">
      <c r="A103" s="5">
        <v>44490</v>
      </c>
      <c r="B103">
        <v>2.923E-5</v>
      </c>
      <c r="C103">
        <v>2.9240000000000001E-5</v>
      </c>
      <c r="D103">
        <v>2.6999999999999999E-5</v>
      </c>
      <c r="E103">
        <v>2.7480000000000001E-5</v>
      </c>
      <c r="F103">
        <v>13483291830586</v>
      </c>
      <c r="G103">
        <v>2.7480000000000001E-5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-0.57142857142856995</v>
      </c>
      <c r="Q103">
        <f t="shared" ref="Q103" si="491">F103*P103</f>
        <v>-7704738188906.2656</v>
      </c>
      <c r="R103">
        <f t="shared" ref="R103" si="492">R104+Q103</f>
        <v>-64054359209479.383</v>
      </c>
      <c r="S103">
        <f t="shared" ref="S103" si="493">R103/100000</f>
        <v>-640543592.0947938</v>
      </c>
      <c r="T103">
        <f t="shared" ref="T103" si="494">S103/1000</f>
        <v>-640543.5920947938</v>
      </c>
    </row>
    <row r="104" spans="1:20" x14ac:dyDescent="0.25">
      <c r="A104" s="5">
        <v>44489</v>
      </c>
      <c r="B104">
        <v>2.8030000000000001E-5</v>
      </c>
      <c r="C104">
        <v>2.9600000000000001E-5</v>
      </c>
      <c r="D104">
        <v>2.7160000000000001E-5</v>
      </c>
      <c r="E104">
        <v>2.9220000000000001E-5</v>
      </c>
      <c r="F104">
        <v>14694030377294</v>
      </c>
      <c r="G104">
        <v>2.9220000000000001E-5</v>
      </c>
      <c r="L104" t="s">
        <v>7</v>
      </c>
      <c r="M104" t="s">
        <v>8</v>
      </c>
      <c r="N104" t="s">
        <v>8</v>
      </c>
      <c r="P104">
        <f t="shared" ref="P104" si="495">IF(C104=D104,0,((E104-D104)-(C104-E104))/(C104-D104))</f>
        <v>0.68852459016393464</v>
      </c>
      <c r="Q104">
        <f t="shared" ref="Q104" si="496">F104*P104</f>
        <v>10117201243382.758</v>
      </c>
      <c r="R104">
        <f t="shared" ref="R104" si="497">R105+Q104</f>
        <v>-56349621020573.117</v>
      </c>
      <c r="S104">
        <f t="shared" ref="S104" si="498">R104/100000</f>
        <v>-563496210.20573115</v>
      </c>
      <c r="T104">
        <f t="shared" ref="T104" si="499">S104/1000</f>
        <v>-563496.2102057311</v>
      </c>
    </row>
    <row r="105" spans="1:20" x14ac:dyDescent="0.25">
      <c r="A105" s="5">
        <v>44488</v>
      </c>
      <c r="B105">
        <v>2.864E-5</v>
      </c>
      <c r="C105">
        <v>2.919E-5</v>
      </c>
      <c r="D105">
        <v>2.7529999999999999E-5</v>
      </c>
      <c r="E105">
        <v>2.8019999999999999E-5</v>
      </c>
      <c r="F105">
        <v>15274666838352</v>
      </c>
      <c r="G105">
        <v>2.8019999999999999E-5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-0.40963855421686735</v>
      </c>
      <c r="Q105">
        <f t="shared" ref="Q105" si="501">F105*P105</f>
        <v>-6257092439806.8418</v>
      </c>
      <c r="R105">
        <f t="shared" ref="R105" si="502">R106+Q105</f>
        <v>-66466822263955.875</v>
      </c>
      <c r="S105">
        <f t="shared" ref="S105" si="503">R105/100000</f>
        <v>-664668222.63955879</v>
      </c>
      <c r="T105">
        <f t="shared" ref="T105" si="504">S105/1000</f>
        <v>-664668.22263955884</v>
      </c>
    </row>
    <row r="106" spans="1:20" x14ac:dyDescent="0.25">
      <c r="A106" s="5">
        <v>44487</v>
      </c>
      <c r="B106">
        <v>2.775E-5</v>
      </c>
      <c r="C106">
        <v>2.9629999999999999E-5</v>
      </c>
      <c r="D106">
        <v>2.6380000000000002E-5</v>
      </c>
      <c r="E106">
        <v>2.8629999999999999E-5</v>
      </c>
      <c r="F106">
        <v>40183178302256</v>
      </c>
      <c r="G106">
        <v>2.8629999999999999E-5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0.3846153846153838</v>
      </c>
      <c r="Q106">
        <f t="shared" ref="Q106" si="506">F106*P106</f>
        <v>15455068577790.736</v>
      </c>
      <c r="R106">
        <f t="shared" ref="R106" si="507">R107+Q106</f>
        <v>-60209729824149.031</v>
      </c>
      <c r="S106">
        <f t="shared" ref="S106" si="508">R106/100000</f>
        <v>-602097298.24149036</v>
      </c>
      <c r="T106">
        <f t="shared" ref="T106" si="509">S106/1000</f>
        <v>-602097.29824149038</v>
      </c>
    </row>
    <row r="107" spans="1:20" x14ac:dyDescent="0.25">
      <c r="A107" s="5">
        <v>44486</v>
      </c>
      <c r="B107">
        <v>2.5700000000000001E-5</v>
      </c>
      <c r="C107">
        <v>2.9E-5</v>
      </c>
      <c r="D107">
        <v>2.37E-5</v>
      </c>
      <c r="E107">
        <v>2.7739999999999999E-5</v>
      </c>
      <c r="F107">
        <v>21922530954957</v>
      </c>
      <c r="G107">
        <v>2.7739999999999999E-5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0.52452830188679189</v>
      </c>
      <c r="Q107">
        <f t="shared" ref="Q107" si="511">F107*P107</f>
        <v>11498987934864.225</v>
      </c>
      <c r="R107">
        <f t="shared" ref="R107" si="512">R108+Q107</f>
        <v>-75664798401939.766</v>
      </c>
      <c r="S107">
        <f t="shared" ref="S107" si="513">R107/100000</f>
        <v>-756647984.01939762</v>
      </c>
      <c r="T107">
        <f t="shared" ref="T107" si="514">S107/1000</f>
        <v>-756647.98401939764</v>
      </c>
    </row>
    <row r="108" spans="1:20" x14ac:dyDescent="0.25">
      <c r="A108" s="5">
        <v>44485</v>
      </c>
      <c r="B108">
        <v>2.525E-5</v>
      </c>
      <c r="C108">
        <v>2.6599999999999999E-5</v>
      </c>
      <c r="D108">
        <v>2.4700000000000001E-5</v>
      </c>
      <c r="E108">
        <v>2.5709999999999999E-5</v>
      </c>
      <c r="F108">
        <v>18385780924499</v>
      </c>
      <c r="G108">
        <v>2.5709999999999999E-5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6.3157894736841538E-2</v>
      </c>
      <c r="Q108">
        <f t="shared" ref="Q108" si="516">F108*P108</f>
        <v>1161207216284.137</v>
      </c>
      <c r="R108">
        <f t="shared" ref="R108" si="517">R109+Q108</f>
        <v>-87163786336803.984</v>
      </c>
      <c r="S108">
        <f t="shared" ref="S108" si="518">R108/100000</f>
        <v>-871637863.36803985</v>
      </c>
      <c r="T108">
        <f t="shared" ref="T108" si="519">S108/1000</f>
        <v>-871637.86336803983</v>
      </c>
    </row>
    <row r="109" spans="1:20" x14ac:dyDescent="0.25">
      <c r="A109" s="5">
        <v>44484</v>
      </c>
      <c r="B109">
        <v>2.7419999999999998E-5</v>
      </c>
      <c r="C109">
        <v>2.7569999999999999E-5</v>
      </c>
      <c r="D109">
        <v>2.3329999999999999E-5</v>
      </c>
      <c r="E109">
        <v>2.525E-5</v>
      </c>
      <c r="F109">
        <v>44396951959423</v>
      </c>
      <c r="G109">
        <v>2.525E-5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-9.4339622641508525E-2</v>
      </c>
      <c r="Q109">
        <f t="shared" ref="Q109" si="521">F109*P109</f>
        <v>-4188391694285.1484</v>
      </c>
      <c r="R109">
        <f t="shared" ref="R109" si="522">R110+Q109</f>
        <v>-88324993553088.125</v>
      </c>
      <c r="S109">
        <f t="shared" ref="S109" si="523">R109/100000</f>
        <v>-883249935.53088129</v>
      </c>
      <c r="T109">
        <f t="shared" ref="T109" si="524">S109/1000</f>
        <v>-883249.93553088128</v>
      </c>
    </row>
    <row r="110" spans="1:20" x14ac:dyDescent="0.25">
      <c r="A110" s="5">
        <v>44483</v>
      </c>
      <c r="B110">
        <v>2.9070000000000001E-5</v>
      </c>
      <c r="C110">
        <v>2.9850000000000001E-5</v>
      </c>
      <c r="D110">
        <v>2.5999999999999998E-5</v>
      </c>
      <c r="E110">
        <v>2.743E-5</v>
      </c>
      <c r="F110">
        <v>26305044296516</v>
      </c>
      <c r="G110">
        <v>2.743E-5</v>
      </c>
      <c r="L110" t="s">
        <v>7</v>
      </c>
      <c r="M110" t="s">
        <v>7</v>
      </c>
      <c r="N110" t="s">
        <v>8</v>
      </c>
      <c r="P110">
        <f t="shared" ref="P110" si="525">IF(C110=D110,0,((E110-D110)-(C110-E110))/(C110-D110))</f>
        <v>-0.25714285714285673</v>
      </c>
      <c r="Q110">
        <f t="shared" ref="Q110" si="526">F110*P110</f>
        <v>-6764154247675.5322</v>
      </c>
      <c r="R110">
        <f t="shared" ref="R110" si="527">R111+Q110</f>
        <v>-84136601858802.969</v>
      </c>
      <c r="S110">
        <f t="shared" ref="S110" si="528">R110/100000</f>
        <v>-841366018.58802974</v>
      </c>
      <c r="T110">
        <f t="shared" ref="T110" si="529">S110/1000</f>
        <v>-841366.01858802978</v>
      </c>
    </row>
    <row r="111" spans="1:20" x14ac:dyDescent="0.25">
      <c r="A111" s="5">
        <v>44482</v>
      </c>
      <c r="B111">
        <v>2.9030000000000002E-5</v>
      </c>
      <c r="C111">
        <v>3.0729999999999999E-5</v>
      </c>
      <c r="D111">
        <v>2.7569999999999999E-5</v>
      </c>
      <c r="E111">
        <v>2.9070000000000001E-5</v>
      </c>
      <c r="F111">
        <v>27877783172087</v>
      </c>
      <c r="G111">
        <v>2.9070000000000001E-5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-5.0632911392403501E-2</v>
      </c>
      <c r="Q111">
        <f t="shared" ref="Q111" si="531">F111*P111</f>
        <v>-1411533325168.9185</v>
      </c>
      <c r="R111">
        <f t="shared" ref="R111" si="532">R112+Q111</f>
        <v>-77372447611127.438</v>
      </c>
      <c r="S111">
        <f t="shared" ref="S111" si="533">R111/100000</f>
        <v>-773724476.11127436</v>
      </c>
      <c r="T111">
        <f t="shared" ref="T111" si="534">S111/1000</f>
        <v>-773724.47611127433</v>
      </c>
    </row>
    <row r="112" spans="1:20" x14ac:dyDescent="0.25">
      <c r="A112" s="5">
        <v>44481</v>
      </c>
      <c r="B112">
        <v>3.065E-5</v>
      </c>
      <c r="C112">
        <v>3.1600000000000002E-5</v>
      </c>
      <c r="D112">
        <v>2.7319999999999999E-5</v>
      </c>
      <c r="E112">
        <v>2.904E-5</v>
      </c>
      <c r="F112">
        <v>48794059445218</v>
      </c>
      <c r="G112">
        <v>2.904E-5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-0.19626168224299101</v>
      </c>
      <c r="Q112">
        <f t="shared" ref="Q112" si="536">F112*P112</f>
        <v>-9576404190182.9902</v>
      </c>
      <c r="R112">
        <f t="shared" ref="R112" si="537">R113+Q112</f>
        <v>-75960914285958.516</v>
      </c>
      <c r="S112">
        <f t="shared" ref="S112" si="538">R112/100000</f>
        <v>-759609142.85958517</v>
      </c>
      <c r="T112">
        <f t="shared" ref="T112" si="539">S112/1000</f>
        <v>-759609.14285958512</v>
      </c>
    </row>
    <row r="113" spans="1:20" x14ac:dyDescent="0.25">
      <c r="A113" s="5">
        <v>44480</v>
      </c>
      <c r="B113">
        <v>2.6129999999999999E-5</v>
      </c>
      <c r="C113">
        <v>3.1999999999999999E-5</v>
      </c>
      <c r="D113">
        <v>2.58E-5</v>
      </c>
      <c r="E113">
        <v>3.065E-5</v>
      </c>
      <c r="F113">
        <v>72557577941657</v>
      </c>
      <c r="G113">
        <v>3.065E-5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0.56451612903225834</v>
      </c>
      <c r="Q113">
        <f t="shared" ref="Q113" si="541">F113*P113</f>
        <v>40959923031580.586</v>
      </c>
      <c r="R113">
        <f t="shared" ref="R113" si="542">R114+Q113</f>
        <v>-66384510095775.523</v>
      </c>
      <c r="S113">
        <f t="shared" ref="S113" si="543">R113/100000</f>
        <v>-663845100.95775521</v>
      </c>
      <c r="T113">
        <f t="shared" ref="T113" si="544">S113/1000</f>
        <v>-663845.10095775523</v>
      </c>
    </row>
    <row r="114" spans="1:20" x14ac:dyDescent="0.25">
      <c r="A114" s="5">
        <v>44479</v>
      </c>
      <c r="B114">
        <v>2.669E-5</v>
      </c>
      <c r="C114">
        <v>2.7869999999999999E-5</v>
      </c>
      <c r="D114">
        <v>2.5060000000000001E-5</v>
      </c>
      <c r="E114">
        <v>2.6129999999999999E-5</v>
      </c>
      <c r="F114">
        <v>36095792941358</v>
      </c>
      <c r="G114">
        <v>2.6129999999999999E-5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-0.23843416370106849</v>
      </c>
      <c r="Q114">
        <f t="shared" ref="Q114" si="546">F114*P114</f>
        <v>-8606470203099.626</v>
      </c>
      <c r="R114">
        <f t="shared" ref="R114" si="547">R115+Q114</f>
        <v>-107344433127356.11</v>
      </c>
      <c r="S114">
        <f t="shared" ref="S114" si="548">R114/100000</f>
        <v>-1073444331.2735611</v>
      </c>
      <c r="T114">
        <f t="shared" ref="T114" si="549">S114/1000</f>
        <v>-1073444.3312735611</v>
      </c>
    </row>
    <row r="115" spans="1:20" x14ac:dyDescent="0.25">
      <c r="A115" s="5">
        <v>44478</v>
      </c>
      <c r="B115">
        <v>2.726E-5</v>
      </c>
      <c r="C115">
        <v>3.0199999999999999E-5</v>
      </c>
      <c r="D115">
        <v>2.442E-5</v>
      </c>
      <c r="E115">
        <v>2.6699999999999998E-5</v>
      </c>
      <c r="F115">
        <v>69429324203926</v>
      </c>
      <c r="G115">
        <v>2.6699999999999998E-5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-0.21107266435986197</v>
      </c>
      <c r="Q115">
        <f t="shared" ref="Q115" si="551">F115*P115</f>
        <v>-14654632444427.313</v>
      </c>
      <c r="R115">
        <f t="shared" ref="R115" si="552">R116+Q115</f>
        <v>-98737962924256.484</v>
      </c>
      <c r="S115">
        <f t="shared" ref="S115" si="553">R115/100000</f>
        <v>-987379629.2425648</v>
      </c>
      <c r="T115">
        <f t="shared" ref="T115" si="554">S115/1000</f>
        <v>-987379.62924256478</v>
      </c>
    </row>
    <row r="116" spans="1:20" x14ac:dyDescent="0.25">
      <c r="A116" s="5">
        <v>44477</v>
      </c>
      <c r="B116">
        <v>2.2909999999999999E-5</v>
      </c>
      <c r="C116">
        <v>2.9499999999999999E-5</v>
      </c>
      <c r="D116">
        <v>2.0599999999999999E-5</v>
      </c>
      <c r="E116">
        <v>2.7250000000000002E-5</v>
      </c>
      <c r="F116">
        <v>138378491441526</v>
      </c>
      <c r="G116">
        <v>2.7250000000000002E-5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0.49438202247191071</v>
      </c>
      <c r="Q116">
        <f t="shared" ref="Q116" si="556">F116*P116</f>
        <v>68411838465473.609</v>
      </c>
      <c r="R116">
        <f t="shared" ref="R116" si="557">R117+Q116</f>
        <v>-84083330479829.172</v>
      </c>
      <c r="S116">
        <f t="shared" ref="S116" si="558">R116/100000</f>
        <v>-840833304.79829168</v>
      </c>
      <c r="T116">
        <f t="shared" ref="T116" si="559">S116/1000</f>
        <v>-840833.30479829165</v>
      </c>
    </row>
    <row r="117" spans="1:20" x14ac:dyDescent="0.25">
      <c r="A117" s="5">
        <v>44476</v>
      </c>
      <c r="B117">
        <v>2.7869999999999999E-5</v>
      </c>
      <c r="C117">
        <v>3.5280000000000001E-5</v>
      </c>
      <c r="D117">
        <v>2.0579999999999999E-5</v>
      </c>
      <c r="E117">
        <v>2.2900000000000001E-5</v>
      </c>
      <c r="F117">
        <v>246104304402694</v>
      </c>
      <c r="G117">
        <v>2.2900000000000001E-5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-0.68435374149659844</v>
      </c>
      <c r="Q117">
        <f t="shared" ref="Q117" si="561">F117*P117</f>
        <v>-168422401516401.44</v>
      </c>
      <c r="R117">
        <f t="shared" ref="R117" si="562">R118+Q117</f>
        <v>-152495168945302.78</v>
      </c>
      <c r="S117">
        <f t="shared" ref="S117" si="563">R117/100000</f>
        <v>-1524951689.4530277</v>
      </c>
      <c r="T117">
        <f t="shared" ref="T117" si="564">S117/1000</f>
        <v>-1524951.6894530277</v>
      </c>
    </row>
    <row r="118" spans="1:20" x14ac:dyDescent="0.25">
      <c r="A118" s="5">
        <v>44475</v>
      </c>
      <c r="B118">
        <v>1.732E-5</v>
      </c>
      <c r="C118">
        <v>2.8929999999999999E-5</v>
      </c>
      <c r="D118">
        <v>1.6569999999999999E-5</v>
      </c>
      <c r="E118">
        <v>2.7869999999999999E-5</v>
      </c>
      <c r="F118">
        <v>190443300967866</v>
      </c>
      <c r="G118">
        <v>2.7869999999999999E-5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0.82847896440129454</v>
      </c>
      <c r="Q118">
        <f t="shared" ref="Q118" si="566">F118*P118</f>
        <v>157778268763021.69</v>
      </c>
      <c r="R118">
        <f t="shared" ref="R118" si="567">R119+Q118</f>
        <v>15927232571098.656</v>
      </c>
      <c r="S118">
        <f t="shared" ref="S118" si="568">R118/100000</f>
        <v>159272325.71098655</v>
      </c>
      <c r="T118">
        <f t="shared" ref="T118" si="569">S118/1000</f>
        <v>159272.32571098657</v>
      </c>
    </row>
    <row r="119" spans="1:20" x14ac:dyDescent="0.25">
      <c r="A119" s="5">
        <v>44474</v>
      </c>
      <c r="B119">
        <v>1.348E-5</v>
      </c>
      <c r="C119">
        <v>2.0100000000000001E-5</v>
      </c>
      <c r="D119">
        <v>1.2109999999999999E-5</v>
      </c>
      <c r="E119">
        <v>1.732E-5</v>
      </c>
      <c r="F119">
        <v>185823916847976</v>
      </c>
      <c r="G119">
        <v>1.732E-5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0.30413016270337923</v>
      </c>
      <c r="Q119">
        <f t="shared" ref="Q119" si="571">F119*P119</f>
        <v>56514658065154.156</v>
      </c>
      <c r="R119">
        <f t="shared" ref="R119" si="572">R120+Q119</f>
        <v>-141851036191923.03</v>
      </c>
      <c r="S119">
        <f t="shared" ref="S119" si="573">R119/100000</f>
        <v>-1418510361.9192302</v>
      </c>
      <c r="T119">
        <f t="shared" ref="T119" si="574">S119/1000</f>
        <v>-1418510.3619192303</v>
      </c>
    </row>
    <row r="120" spans="1:20" x14ac:dyDescent="0.25">
      <c r="A120" s="5">
        <v>44473</v>
      </c>
      <c r="B120">
        <v>8.5499999999999995E-6</v>
      </c>
      <c r="C120">
        <v>1.5140000000000001E-5</v>
      </c>
      <c r="D120">
        <v>8.1999999999999994E-6</v>
      </c>
      <c r="E120">
        <v>1.3730000000000001E-5</v>
      </c>
      <c r="F120">
        <v>132458342058884</v>
      </c>
      <c r="G120">
        <v>1.3730000000000001E-5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0.59365994236311248</v>
      </c>
      <c r="Q120">
        <f t="shared" ref="Q120" si="576">F120*P120</f>
        <v>78635211712190.516</v>
      </c>
      <c r="R120">
        <f t="shared" ref="R120" si="577">R121+Q120</f>
        <v>-198365694257077.19</v>
      </c>
      <c r="S120">
        <f t="shared" ref="S120" si="578">R120/100000</f>
        <v>-1983656942.5707719</v>
      </c>
      <c r="T120">
        <f t="shared" ref="T120" si="579">S120/1000</f>
        <v>-1983656.942570772</v>
      </c>
    </row>
    <row r="121" spans="1:20" x14ac:dyDescent="0.25">
      <c r="A121" s="5">
        <v>44472</v>
      </c>
      <c r="B121">
        <v>7.8699999999999992E-6</v>
      </c>
      <c r="C121">
        <v>9.0299999999999999E-6</v>
      </c>
      <c r="D121">
        <v>7.6499999999999996E-6</v>
      </c>
      <c r="E121">
        <v>8.5299999999999996E-6</v>
      </c>
      <c r="F121">
        <v>18866422982370</v>
      </c>
      <c r="G121">
        <v>8.5299999999999996E-6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0.27536231884057943</v>
      </c>
      <c r="Q121">
        <f t="shared" ref="Q121" si="581">F121*P121</f>
        <v>5195101980652.6035</v>
      </c>
      <c r="R121">
        <f t="shared" ref="R121" si="582">R122+Q121</f>
        <v>-277000905969267.72</v>
      </c>
      <c r="S121">
        <f t="shared" ref="S121" si="583">R121/100000</f>
        <v>-2770009059.692677</v>
      </c>
      <c r="T121">
        <f t="shared" ref="T121" si="584">S121/1000</f>
        <v>-2770009.0596926771</v>
      </c>
    </row>
    <row r="122" spans="1:20" x14ac:dyDescent="0.25">
      <c r="A122" s="5">
        <v>44471</v>
      </c>
      <c r="B122">
        <v>7.7000000000000008E-6</v>
      </c>
      <c r="C122">
        <v>8.2400000000000007E-6</v>
      </c>
      <c r="D122">
        <v>7.4200000000000001E-6</v>
      </c>
      <c r="E122">
        <v>7.8599999999999993E-6</v>
      </c>
      <c r="F122">
        <v>9152821421315</v>
      </c>
      <c r="G122">
        <v>7.8599999999999993E-6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7.3170731707314252E-2</v>
      </c>
      <c r="Q122">
        <f t="shared" ref="Q122" si="586">F122*P122</f>
        <v>669718640583.99854</v>
      </c>
      <c r="R122">
        <f t="shared" ref="R122" si="587">R123+Q122</f>
        <v>-282196007949920.31</v>
      </c>
      <c r="S122">
        <f t="shared" ref="S122" si="588">R122/100000</f>
        <v>-2821960079.4992032</v>
      </c>
      <c r="T122">
        <f t="shared" ref="T122" si="589">S122/1000</f>
        <v>-2821960.0794992032</v>
      </c>
    </row>
    <row r="123" spans="1:20" x14ac:dyDescent="0.25">
      <c r="A123" s="5">
        <v>44470</v>
      </c>
      <c r="B123">
        <v>7.2099999999999996E-6</v>
      </c>
      <c r="C123">
        <v>7.79E-6</v>
      </c>
      <c r="D123">
        <v>7.1600000000000001E-6</v>
      </c>
      <c r="E123">
        <v>7.7000000000000008E-6</v>
      </c>
      <c r="F123">
        <v>7521795638115</v>
      </c>
      <c r="G123">
        <v>7.7000000000000008E-6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0.71428571428571697</v>
      </c>
      <c r="Q123">
        <f t="shared" ref="Q123" si="591">F123*P123</f>
        <v>5372711170082.1631</v>
      </c>
      <c r="R123">
        <f t="shared" ref="R123" si="592">R124+Q123</f>
        <v>-282865726590504.31</v>
      </c>
      <c r="S123">
        <f t="shared" ref="S123" si="593">R123/100000</f>
        <v>-2828657265.9050431</v>
      </c>
      <c r="T123">
        <f t="shared" ref="T123" si="594">S123/1000</f>
        <v>-2828657.2659050431</v>
      </c>
    </row>
    <row r="124" spans="1:20" x14ac:dyDescent="0.25">
      <c r="A124" s="5">
        <v>44469</v>
      </c>
      <c r="B124">
        <v>7.0199999999999997E-6</v>
      </c>
      <c r="C124">
        <v>7.43E-6</v>
      </c>
      <c r="D124">
        <v>6.9999999999999999E-6</v>
      </c>
      <c r="E124">
        <v>7.1999999999999997E-6</v>
      </c>
      <c r="F124">
        <v>5130361477431</v>
      </c>
      <c r="G124">
        <v>7.1999999999999997E-6</v>
      </c>
      <c r="L124" t="s">
        <v>7</v>
      </c>
      <c r="M124" t="s">
        <v>8</v>
      </c>
      <c r="N124" t="s">
        <v>7</v>
      </c>
      <c r="P124">
        <f t="shared" ref="P124" si="595">IF(C124=D124,0,((E124-D124)-(C124-E124))/(C124-D124))</f>
        <v>-6.9767441860466392E-2</v>
      </c>
      <c r="Q124">
        <f t="shared" ref="Q124" si="596">F124*P124</f>
        <v>-357932196099.84375</v>
      </c>
      <c r="R124">
        <f t="shared" ref="R124" si="597">R125+Q124</f>
        <v>-288238437760586.5</v>
      </c>
      <c r="S124">
        <f t="shared" ref="S124" si="598">R124/100000</f>
        <v>-2882384377.605865</v>
      </c>
      <c r="T124">
        <f t="shared" ref="T124" si="599">S124/1000</f>
        <v>-2882384.3776058648</v>
      </c>
    </row>
    <row r="125" spans="1:20" x14ac:dyDescent="0.25">
      <c r="A125" s="5">
        <v>44468</v>
      </c>
      <c r="B125">
        <v>6.9700000000000002E-6</v>
      </c>
      <c r="C125">
        <v>7.1600000000000001E-6</v>
      </c>
      <c r="D125">
        <v>6.9199999999999998E-6</v>
      </c>
      <c r="E125">
        <v>7.0099999999999998E-6</v>
      </c>
      <c r="F125">
        <v>3843625415450</v>
      </c>
      <c r="G125">
        <v>7.0099999999999998E-6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-0.25000000000000089</v>
      </c>
      <c r="Q125">
        <f t="shared" ref="Q125" si="601">F125*P125</f>
        <v>-960906353862.50342</v>
      </c>
      <c r="R125">
        <f t="shared" ref="R125" si="602">R126+Q125</f>
        <v>-287880505564486.69</v>
      </c>
      <c r="S125">
        <f t="shared" ref="S125" si="603">R125/100000</f>
        <v>-2878805055.6448669</v>
      </c>
      <c r="T125">
        <f t="shared" ref="T125" si="604">S125/1000</f>
        <v>-2878805.055644867</v>
      </c>
    </row>
    <row r="126" spans="1:20" x14ac:dyDescent="0.25">
      <c r="A126" s="5">
        <v>44467</v>
      </c>
      <c r="B126">
        <v>6.9700000000000002E-6</v>
      </c>
      <c r="C126">
        <v>7.17E-6</v>
      </c>
      <c r="D126">
        <v>6.8199999999999999E-6</v>
      </c>
      <c r="E126">
        <v>6.9800000000000001E-6</v>
      </c>
      <c r="F126">
        <v>5063715106092</v>
      </c>
      <c r="G126">
        <v>6.9800000000000001E-6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-8.5714285714284882E-2</v>
      </c>
      <c r="Q126">
        <f t="shared" ref="Q126" si="606">F126*P126</f>
        <v>-434032723379.31006</v>
      </c>
      <c r="R126">
        <f t="shared" ref="R126" si="607">R127+Q126</f>
        <v>-286919599210624.19</v>
      </c>
      <c r="S126">
        <f t="shared" ref="S126" si="608">R126/100000</f>
        <v>-2869195992.1062417</v>
      </c>
      <c r="T126">
        <f t="shared" ref="T126" si="609">S126/1000</f>
        <v>-2869195.9921062416</v>
      </c>
    </row>
    <row r="127" spans="1:20" x14ac:dyDescent="0.25">
      <c r="A127" s="5">
        <v>44466</v>
      </c>
      <c r="B127">
        <v>7.0999999999999998E-6</v>
      </c>
      <c r="C127">
        <v>7.2599999999999999E-6</v>
      </c>
      <c r="D127">
        <v>6.8900000000000001E-6</v>
      </c>
      <c r="E127">
        <v>6.9800000000000001E-6</v>
      </c>
      <c r="F127">
        <v>4576274528727</v>
      </c>
      <c r="G127">
        <v>6.9800000000000001E-6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-0.51351351351351338</v>
      </c>
      <c r="Q127">
        <f t="shared" ref="Q127" si="611">F127*P127</f>
        <v>-2349978812048.9995</v>
      </c>
      <c r="R127">
        <f t="shared" ref="R127" si="612">R128+Q127</f>
        <v>-286485566487244.88</v>
      </c>
      <c r="S127">
        <f t="shared" ref="S127" si="613">R127/100000</f>
        <v>-2864855664.8724489</v>
      </c>
      <c r="T127">
        <f t="shared" ref="T127" si="614">S127/1000</f>
        <v>-2864855.6648724489</v>
      </c>
    </row>
    <row r="128" spans="1:20" x14ac:dyDescent="0.25">
      <c r="A128" s="5">
        <v>44465</v>
      </c>
      <c r="B128">
        <v>7.3200000000000002E-6</v>
      </c>
      <c r="C128">
        <v>7.3200000000000002E-6</v>
      </c>
      <c r="D128">
        <v>6.8199999999999999E-6</v>
      </c>
      <c r="E128">
        <v>7.0999999999999998E-6</v>
      </c>
      <c r="F128">
        <v>6575564283425</v>
      </c>
      <c r="G128">
        <v>7.0999999999999998E-6</v>
      </c>
      <c r="L128" t="s">
        <v>7</v>
      </c>
      <c r="M128" t="s">
        <v>8</v>
      </c>
      <c r="N128" t="s">
        <v>7</v>
      </c>
      <c r="P128">
        <f t="shared" ref="P128" si="615">IF(C128=D128,0,((E128-D128)-(C128-E128))/(C128-D128))</f>
        <v>0.11999999999999877</v>
      </c>
      <c r="Q128">
        <f t="shared" ref="Q128" si="616">F128*P128</f>
        <v>789067714010.99194</v>
      </c>
      <c r="R128">
        <f t="shared" ref="R128" si="617">R129+Q128</f>
        <v>-284135587675195.88</v>
      </c>
      <c r="S128">
        <f t="shared" ref="S128" si="618">R128/100000</f>
        <v>-2841355876.7519588</v>
      </c>
      <c r="T128">
        <f t="shared" ref="T128" si="619">S128/1000</f>
        <v>-2841355.8767519589</v>
      </c>
    </row>
    <row r="129" spans="1:20" x14ac:dyDescent="0.25">
      <c r="A129" s="5">
        <v>44464</v>
      </c>
      <c r="B129">
        <v>7.3799999999999996E-6</v>
      </c>
      <c r="C129">
        <v>7.6000000000000001E-6</v>
      </c>
      <c r="D129">
        <v>7.1099999999999997E-6</v>
      </c>
      <c r="E129">
        <v>7.3200000000000002E-6</v>
      </c>
      <c r="F129">
        <v>6209389568644</v>
      </c>
      <c r="G129">
        <v>7.3200000000000002E-6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-0.14285714285714138</v>
      </c>
      <c r="Q129">
        <f t="shared" ref="Q129" si="621">F129*P129</f>
        <v>-887055652663.41943</v>
      </c>
      <c r="R129">
        <f t="shared" ref="R129" si="622">R130+Q129</f>
        <v>-284924655389206.88</v>
      </c>
      <c r="S129">
        <f t="shared" ref="S129" si="623">R129/100000</f>
        <v>-2849246553.8920689</v>
      </c>
      <c r="T129">
        <f t="shared" ref="T129" si="624">S129/1000</f>
        <v>-2849246.553892069</v>
      </c>
    </row>
    <row r="130" spans="1:20" x14ac:dyDescent="0.25">
      <c r="A130" s="5">
        <v>44463</v>
      </c>
      <c r="B130">
        <v>7.6299999999999998E-6</v>
      </c>
      <c r="C130">
        <v>7.8699999999999992E-6</v>
      </c>
      <c r="D130">
        <v>6.7299999999999999E-6</v>
      </c>
      <c r="E130">
        <v>7.3699999999999997E-6</v>
      </c>
      <c r="F130">
        <v>15148155674182</v>
      </c>
      <c r="G130">
        <v>7.3699999999999997E-6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0.12280701754386004</v>
      </c>
      <c r="Q130">
        <f t="shared" ref="Q130" si="626">F130*P130</f>
        <v>1860299819636.3918</v>
      </c>
      <c r="R130">
        <f t="shared" ref="R130" si="627">R131+Q130</f>
        <v>-284037599736543.44</v>
      </c>
      <c r="S130">
        <f t="shared" ref="S130" si="628">R130/100000</f>
        <v>-2840375997.3654342</v>
      </c>
      <c r="T130">
        <f t="shared" ref="T130" si="629">S130/1000</f>
        <v>-2840375.9973654342</v>
      </c>
    </row>
    <row r="131" spans="1:20" x14ac:dyDescent="0.25">
      <c r="A131" s="5">
        <v>44462</v>
      </c>
      <c r="B131">
        <v>7.2400000000000001E-6</v>
      </c>
      <c r="C131">
        <v>7.7400000000000004E-6</v>
      </c>
      <c r="D131">
        <v>7.0999999999999998E-6</v>
      </c>
      <c r="E131">
        <v>7.6299999999999998E-6</v>
      </c>
      <c r="F131">
        <v>13150788315356</v>
      </c>
      <c r="G131">
        <v>7.6299999999999998E-6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0.65624999999999833</v>
      </c>
      <c r="Q131">
        <f t="shared" ref="Q131" si="631">F131*P131</f>
        <v>8630204831952.3535</v>
      </c>
      <c r="R131">
        <f t="shared" ref="R131" si="632">R132+Q131</f>
        <v>-285897899556179.81</v>
      </c>
      <c r="S131">
        <f t="shared" ref="S131" si="633">R131/100000</f>
        <v>-2858978995.5617981</v>
      </c>
      <c r="T131">
        <f t="shared" ref="T131" si="634">S131/1000</f>
        <v>-2858978.9955617981</v>
      </c>
    </row>
    <row r="132" spans="1:20" x14ac:dyDescent="0.25">
      <c r="A132" s="5">
        <v>44461</v>
      </c>
      <c r="B132">
        <v>6.8800000000000002E-6</v>
      </c>
      <c r="C132">
        <v>7.3200000000000002E-6</v>
      </c>
      <c r="D132">
        <v>6.8399999999999997E-6</v>
      </c>
      <c r="E132">
        <v>7.25E-6</v>
      </c>
      <c r="F132">
        <v>8495249730286</v>
      </c>
      <c r="G132">
        <v>7.25E-6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0.70833333333333293</v>
      </c>
      <c r="Q132">
        <f t="shared" ref="Q132" si="636">F132*P132</f>
        <v>6017468558952.5801</v>
      </c>
      <c r="R132">
        <f t="shared" ref="R132" si="637">R133+Q132</f>
        <v>-294528104388132.19</v>
      </c>
      <c r="S132">
        <f t="shared" ref="S132" si="638">R132/100000</f>
        <v>-2945281043.8813219</v>
      </c>
      <c r="T132">
        <f t="shared" ref="T132" si="639">S132/1000</f>
        <v>-2945281.0438813218</v>
      </c>
    </row>
    <row r="133" spans="1:20" x14ac:dyDescent="0.25">
      <c r="A133" s="5">
        <v>44460</v>
      </c>
      <c r="B133">
        <v>7.0199999999999997E-6</v>
      </c>
      <c r="C133">
        <v>7.3300000000000001E-6</v>
      </c>
      <c r="D133">
        <v>6.6000000000000003E-6</v>
      </c>
      <c r="E133">
        <v>6.8700000000000003E-6</v>
      </c>
      <c r="F133">
        <v>13566078883742</v>
      </c>
      <c r="G133">
        <v>6.8700000000000003E-6</v>
      </c>
      <c r="L133" t="s">
        <v>8</v>
      </c>
      <c r="M133" t="s">
        <v>7</v>
      </c>
      <c r="N133" t="s">
        <v>7</v>
      </c>
      <c r="P133">
        <f t="shared" ref="P133" si="640">IF(C133=D133,0,((E133-D133)-(C133-E133))/(C133-D133))</f>
        <v>-0.26027397260273966</v>
      </c>
      <c r="Q133">
        <f t="shared" ref="Q133" si="641">F133*P133</f>
        <v>-3530897243713.6704</v>
      </c>
      <c r="R133">
        <f t="shared" ref="R133" si="642">R134+Q133</f>
        <v>-300545572947084.75</v>
      </c>
      <c r="S133">
        <f t="shared" ref="S133" si="643">R133/100000</f>
        <v>-3005455729.4708476</v>
      </c>
      <c r="T133">
        <f t="shared" ref="T133" si="644">S133/1000</f>
        <v>-3005455.7294708476</v>
      </c>
    </row>
    <row r="134" spans="1:20" x14ac:dyDescent="0.25">
      <c r="A134" s="5">
        <v>44459</v>
      </c>
      <c r="B134">
        <v>8.0800000000000006E-6</v>
      </c>
      <c r="C134">
        <v>8.1200000000000002E-6</v>
      </c>
      <c r="D134">
        <v>7.2099999999999996E-6</v>
      </c>
      <c r="E134">
        <v>7.3100000000000003E-6</v>
      </c>
      <c r="F134">
        <v>9986322756511</v>
      </c>
      <c r="G134">
        <v>7.3100000000000003E-6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-0.78021978021977878</v>
      </c>
      <c r="Q134">
        <f t="shared" ref="Q134" si="646">F134*P134</f>
        <v>-7791526546288.7881</v>
      </c>
      <c r="R134">
        <f t="shared" ref="R134" si="647">R135+Q134</f>
        <v>-297014675703371.06</v>
      </c>
      <c r="S134">
        <f t="shared" ref="S134" si="648">R134/100000</f>
        <v>-2970146757.0337105</v>
      </c>
      <c r="T134">
        <f t="shared" ref="T134" si="649">S134/1000</f>
        <v>-2970146.7570337104</v>
      </c>
    </row>
    <row r="135" spans="1:20" x14ac:dyDescent="0.25">
      <c r="A135" s="5">
        <v>44458</v>
      </c>
      <c r="B135">
        <v>7.8399999999999995E-6</v>
      </c>
      <c r="C135">
        <v>8.3799999999999994E-6</v>
      </c>
      <c r="D135">
        <v>7.3599999999999998E-6</v>
      </c>
      <c r="E135">
        <v>8.0800000000000006E-6</v>
      </c>
      <c r="F135">
        <v>19919168822209</v>
      </c>
      <c r="G135">
        <v>8.0800000000000006E-6</v>
      </c>
      <c r="L135" t="s">
        <v>8</v>
      </c>
      <c r="M135" t="s">
        <v>7</v>
      </c>
      <c r="N135" t="s">
        <v>8</v>
      </c>
      <c r="P135">
        <f t="shared" ref="P135" si="650">IF(C135=D135,0,((E135-D135)-(C135-E135))/(C135-D135))</f>
        <v>0.41176470588235498</v>
      </c>
      <c r="Q135">
        <f t="shared" ref="Q135" si="651">F135*P135</f>
        <v>8202010691497.8643</v>
      </c>
      <c r="R135">
        <f t="shared" ref="R135" si="652">R136+Q135</f>
        <v>-289223149157082.25</v>
      </c>
      <c r="S135">
        <f t="shared" ref="S135" si="653">R135/100000</f>
        <v>-2892231491.5708227</v>
      </c>
      <c r="T135">
        <f t="shared" ref="T135" si="654">S135/1000</f>
        <v>-2892231.4915708229</v>
      </c>
    </row>
    <row r="136" spans="1:20" x14ac:dyDescent="0.25">
      <c r="A136" s="5">
        <v>44457</v>
      </c>
      <c r="B136">
        <v>8.4400000000000005E-6</v>
      </c>
      <c r="C136">
        <v>8.6400000000000003E-6</v>
      </c>
      <c r="D136">
        <v>7.61E-6</v>
      </c>
      <c r="E136">
        <v>7.8399999999999995E-6</v>
      </c>
      <c r="F136">
        <v>16665068906755</v>
      </c>
      <c r="G136">
        <v>7.8399999999999995E-6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-0.55339805825242827</v>
      </c>
      <c r="Q136">
        <f t="shared" ref="Q136" si="656">F136*P136</f>
        <v>-9222416773641.1348</v>
      </c>
      <c r="R136">
        <f t="shared" ref="R136" si="657">R137+Q136</f>
        <v>-297425159848580.13</v>
      </c>
      <c r="S136">
        <f t="shared" ref="S136" si="658">R136/100000</f>
        <v>-2974251598.4858012</v>
      </c>
      <c r="T136">
        <f t="shared" ref="T136" si="659">S136/1000</f>
        <v>-2974251.5984858014</v>
      </c>
    </row>
    <row r="137" spans="1:20" x14ac:dyDescent="0.25">
      <c r="A137" s="5">
        <v>44456</v>
      </c>
      <c r="B137">
        <v>8.5399999999999996E-6</v>
      </c>
      <c r="C137">
        <v>9.5000000000000005E-6</v>
      </c>
      <c r="D137">
        <v>8.1100000000000003E-6</v>
      </c>
      <c r="E137">
        <v>8.4400000000000005E-6</v>
      </c>
      <c r="F137">
        <v>57960174983072</v>
      </c>
      <c r="G137">
        <v>8.4400000000000005E-6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-0.52517985611510765</v>
      </c>
      <c r="Q137">
        <f t="shared" ref="Q137" si="661">F137*P137</f>
        <v>-30439516358016.215</v>
      </c>
      <c r="R137">
        <f t="shared" ref="R137" si="662">R138+Q137</f>
        <v>-288202743074939</v>
      </c>
      <c r="S137">
        <f t="shared" ref="S137" si="663">R137/100000</f>
        <v>-2882027430.7493901</v>
      </c>
      <c r="T137">
        <f t="shared" ref="T137" si="664">S137/1000</f>
        <v>-2882027.4307493903</v>
      </c>
    </row>
    <row r="138" spans="1:20" x14ac:dyDescent="0.25">
      <c r="A138" s="5">
        <v>44455</v>
      </c>
      <c r="B138">
        <v>6.7700000000000004E-6</v>
      </c>
      <c r="C138">
        <v>8.8799999999999997E-6</v>
      </c>
      <c r="D138">
        <v>6.5200000000000003E-6</v>
      </c>
      <c r="E138">
        <v>8.5399999999999996E-6</v>
      </c>
      <c r="F138">
        <v>51629463013101</v>
      </c>
      <c r="G138">
        <v>8.5399999999999996E-6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0.71186440677966079</v>
      </c>
      <c r="Q138">
        <f t="shared" ref="Q138" si="666">F138*P138</f>
        <v>36753177060173.578</v>
      </c>
      <c r="R138">
        <f t="shared" ref="R138" si="667">R139+Q138</f>
        <v>-257763226716922.81</v>
      </c>
      <c r="S138">
        <f t="shared" ref="S138" si="668">R138/100000</f>
        <v>-2577632267.1692281</v>
      </c>
      <c r="T138">
        <f t="shared" ref="T138" si="669">S138/1000</f>
        <v>-2577632.2671692283</v>
      </c>
    </row>
    <row r="139" spans="1:20" x14ac:dyDescent="0.25">
      <c r="A139" s="5">
        <v>44454</v>
      </c>
      <c r="B139">
        <v>6.6599999999999998E-6</v>
      </c>
      <c r="C139">
        <v>6.9E-6</v>
      </c>
      <c r="D139">
        <v>6.5899999999999996E-6</v>
      </c>
      <c r="E139">
        <v>6.7700000000000004E-6</v>
      </c>
      <c r="F139">
        <v>5735004511337</v>
      </c>
      <c r="G139">
        <v>6.7700000000000004E-6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0.16129032258064888</v>
      </c>
      <c r="Q139">
        <f t="shared" ref="Q139" si="671">F139*P139</f>
        <v>925000727635.02136</v>
      </c>
      <c r="R139">
        <f t="shared" ref="R139" si="672">R140+Q139</f>
        <v>-294516403777096.38</v>
      </c>
      <c r="S139">
        <f t="shared" ref="S139" si="673">R139/100000</f>
        <v>-2945164037.7709637</v>
      </c>
      <c r="T139">
        <f t="shared" ref="T139" si="674">S139/1000</f>
        <v>-2945164.0377709637</v>
      </c>
    </row>
    <row r="140" spans="1:20" x14ac:dyDescent="0.25">
      <c r="A140" s="5">
        <v>44453</v>
      </c>
      <c r="B140">
        <v>6.4899999999999997E-6</v>
      </c>
      <c r="C140">
        <v>6.7100000000000001E-6</v>
      </c>
      <c r="D140">
        <v>6.4400000000000002E-6</v>
      </c>
      <c r="E140">
        <v>6.6699999999999997E-6</v>
      </c>
      <c r="F140">
        <v>5607034617578</v>
      </c>
      <c r="G140">
        <v>6.6699999999999997E-6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0.70370370370370017</v>
      </c>
      <c r="Q140">
        <f t="shared" ref="Q140" si="676">F140*P140</f>
        <v>3945691027184.4985</v>
      </c>
      <c r="R140">
        <f t="shared" ref="R140" si="677">R141+Q140</f>
        <v>-295441404504731.38</v>
      </c>
      <c r="S140">
        <f t="shared" ref="S140" si="678">R140/100000</f>
        <v>-2954414045.0473137</v>
      </c>
      <c r="T140">
        <f t="shared" ref="T140" si="679">S140/1000</f>
        <v>-2954414.0450473139</v>
      </c>
    </row>
    <row r="141" spans="1:20" x14ac:dyDescent="0.25">
      <c r="A141" s="5">
        <v>44452</v>
      </c>
      <c r="B141">
        <v>6.8900000000000001E-6</v>
      </c>
      <c r="C141">
        <v>6.9800000000000001E-6</v>
      </c>
      <c r="D141">
        <v>6.1700000000000002E-6</v>
      </c>
      <c r="E141">
        <v>6.4999999999999996E-6</v>
      </c>
      <c r="F141">
        <v>9093791821120</v>
      </c>
      <c r="G141">
        <v>6.4999999999999996E-6</v>
      </c>
      <c r="L141" t="s">
        <v>8</v>
      </c>
      <c r="M141" t="s">
        <v>7</v>
      </c>
      <c r="N141" t="s">
        <v>8</v>
      </c>
      <c r="P141">
        <f t="shared" ref="P141" si="680">IF(C141=D141,0,((E141-D141)-(C141-E141))/(C141-D141))</f>
        <v>-0.18518518518518659</v>
      </c>
      <c r="Q141">
        <f t="shared" ref="Q141" si="681">F141*P141</f>
        <v>-1684035522429.6423</v>
      </c>
      <c r="R141">
        <f t="shared" ref="R141" si="682">R142+Q141</f>
        <v>-299387095531915.88</v>
      </c>
      <c r="S141">
        <f t="shared" ref="S141" si="683">R141/100000</f>
        <v>-2993870955.3191586</v>
      </c>
      <c r="T141">
        <f t="shared" ref="T141" si="684">S141/1000</f>
        <v>-2993870.9553191587</v>
      </c>
    </row>
    <row r="142" spans="1:20" x14ac:dyDescent="0.25">
      <c r="A142" s="5">
        <v>44451</v>
      </c>
      <c r="B142">
        <v>6.7700000000000004E-6</v>
      </c>
      <c r="C142">
        <v>6.9999999999999999E-6</v>
      </c>
      <c r="D142">
        <v>6.64E-6</v>
      </c>
      <c r="E142">
        <v>6.8900000000000001E-6</v>
      </c>
      <c r="F142">
        <v>7877836843028</v>
      </c>
      <c r="G142">
        <v>6.8900000000000001E-6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0.38888888888888995</v>
      </c>
      <c r="Q142">
        <f t="shared" ref="Q142" si="686">F142*P142</f>
        <v>3063603216733.1196</v>
      </c>
      <c r="R142">
        <f t="shared" ref="R142" si="687">R143+Q142</f>
        <v>-297703060009486.25</v>
      </c>
      <c r="S142">
        <f t="shared" ref="S142" si="688">R142/100000</f>
        <v>-2977030600.0948625</v>
      </c>
      <c r="T142">
        <f t="shared" ref="T142" si="689">S142/1000</f>
        <v>-2977030.6000948623</v>
      </c>
    </row>
    <row r="143" spans="1:20" x14ac:dyDescent="0.25">
      <c r="A143" s="5">
        <v>44450</v>
      </c>
      <c r="B143">
        <v>6.9999999999999999E-6</v>
      </c>
      <c r="C143">
        <v>7.08E-6</v>
      </c>
      <c r="D143">
        <v>6.7299999999999999E-6</v>
      </c>
      <c r="E143">
        <v>6.7700000000000004E-6</v>
      </c>
      <c r="F143">
        <v>7643774910527</v>
      </c>
      <c r="G143">
        <v>6.7700000000000004E-6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-0.7714285714285688</v>
      </c>
      <c r="Q143">
        <f t="shared" ref="Q143" si="691">F143*P143</f>
        <v>-5896626359549.3799</v>
      </c>
      <c r="R143">
        <f t="shared" ref="R143" si="692">R144+Q143</f>
        <v>-300766663226219.38</v>
      </c>
      <c r="S143">
        <f t="shared" ref="S143" si="693">R143/100000</f>
        <v>-3007666632.2621937</v>
      </c>
      <c r="T143">
        <f t="shared" ref="T143" si="694">S143/1000</f>
        <v>-3007666.6322621936</v>
      </c>
    </row>
    <row r="144" spans="1:20" x14ac:dyDescent="0.25">
      <c r="A144" s="5">
        <v>44449</v>
      </c>
      <c r="B144">
        <v>7.3000000000000004E-6</v>
      </c>
      <c r="C144">
        <v>7.5000000000000002E-6</v>
      </c>
      <c r="D144">
        <v>6.55E-6</v>
      </c>
      <c r="E144">
        <v>6.9999999999999999E-6</v>
      </c>
      <c r="F144">
        <v>17589684040703</v>
      </c>
      <c r="G144">
        <v>6.9999999999999999E-6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-5.26315789473688E-2</v>
      </c>
      <c r="Q144">
        <f t="shared" ref="Q144" si="696">F144*P144</f>
        <v>-925772844247.53296</v>
      </c>
      <c r="R144">
        <f t="shared" ref="R144" si="697">R145+Q144</f>
        <v>-294870036866670</v>
      </c>
      <c r="S144">
        <f t="shared" ref="S144" si="698">R144/100000</f>
        <v>-2948700368.6666999</v>
      </c>
      <c r="T144">
        <f t="shared" ref="T144" si="699">S144/1000</f>
        <v>-2948700.3686667001</v>
      </c>
    </row>
    <row r="145" spans="1:20" x14ac:dyDescent="0.25">
      <c r="A145" s="5">
        <v>44448</v>
      </c>
      <c r="B145">
        <v>6.6800000000000004E-6</v>
      </c>
      <c r="C145">
        <v>7.7700000000000001E-6</v>
      </c>
      <c r="D145">
        <v>6.5300000000000002E-6</v>
      </c>
      <c r="E145">
        <v>7.3000000000000004E-6</v>
      </c>
      <c r="F145">
        <v>32271505301500</v>
      </c>
      <c r="G145">
        <v>7.3000000000000004E-6</v>
      </c>
      <c r="L145" t="s">
        <v>8</v>
      </c>
      <c r="M145" t="s">
        <v>7</v>
      </c>
      <c r="N145" t="s">
        <v>8</v>
      </c>
      <c r="P145">
        <f t="shared" ref="P145" si="700">IF(C145=D145,0,((E145-D145)-(C145-E145))/(C145-D145))</f>
        <v>0.24193548387096817</v>
      </c>
      <c r="Q145">
        <f t="shared" ref="Q145" si="701">F145*P145</f>
        <v>7807622250362.917</v>
      </c>
      <c r="R145">
        <f t="shared" ref="R145" si="702">R146+Q145</f>
        <v>-293944264022422.44</v>
      </c>
      <c r="S145">
        <f t="shared" ref="S145" si="703">R145/100000</f>
        <v>-2939442640.2242246</v>
      </c>
      <c r="T145">
        <f t="shared" ref="T145" si="704">S145/1000</f>
        <v>-2939442.6402242244</v>
      </c>
    </row>
    <row r="146" spans="1:20" x14ac:dyDescent="0.25">
      <c r="A146" s="5">
        <v>44447</v>
      </c>
      <c r="B146">
        <v>6.0499999999999997E-6</v>
      </c>
      <c r="C146">
        <v>8.1999999999999994E-6</v>
      </c>
      <c r="D146">
        <v>5.4099999999999999E-6</v>
      </c>
      <c r="E146">
        <v>6.6699999999999997E-6</v>
      </c>
      <c r="F146">
        <v>46608207992395</v>
      </c>
      <c r="G146">
        <v>6.6699999999999997E-6</v>
      </c>
      <c r="L146" t="s">
        <v>7</v>
      </c>
      <c r="M146" t="s">
        <v>8</v>
      </c>
      <c r="N146" t="s">
        <v>8</v>
      </c>
      <c r="P146">
        <f t="shared" ref="P146" si="705">IF(C146=D146,0,((E146-D146)-(C146-E146))/(C146-D146))</f>
        <v>-9.6774193548387094E-2</v>
      </c>
      <c r="Q146">
        <f t="shared" ref="Q146" si="706">F146*P146</f>
        <v>-4510471741199.5156</v>
      </c>
      <c r="R146">
        <f t="shared" ref="R146" si="707">R147+Q146</f>
        <v>-301751886272785.38</v>
      </c>
      <c r="S146">
        <f t="shared" ref="S146" si="708">R146/100000</f>
        <v>-3017518862.7278538</v>
      </c>
      <c r="T146">
        <f t="shared" ref="T146" si="709">S146/1000</f>
        <v>-3017518.8627278539</v>
      </c>
    </row>
    <row r="147" spans="1:20" x14ac:dyDescent="0.25">
      <c r="A147" s="5">
        <v>44446</v>
      </c>
      <c r="B147">
        <v>7.2300000000000002E-6</v>
      </c>
      <c r="C147">
        <v>7.2400000000000001E-6</v>
      </c>
      <c r="D147">
        <v>5.1000000000000003E-6</v>
      </c>
      <c r="E147">
        <v>6.0499999999999997E-6</v>
      </c>
      <c r="F147">
        <v>23567166381444</v>
      </c>
      <c r="G147">
        <v>6.0499999999999997E-6</v>
      </c>
      <c r="L147" t="s">
        <v>8</v>
      </c>
      <c r="M147" t="s">
        <v>7</v>
      </c>
      <c r="N147" t="s">
        <v>7</v>
      </c>
      <c r="P147">
        <f t="shared" ref="P147" si="710">IF(C147=D147,0,((E147-D147)-(C147-E147))/(C147-D147))</f>
        <v>-0.11214953271028089</v>
      </c>
      <c r="Q147">
        <f t="shared" ref="Q147" si="711">F147*P147</f>
        <v>-2643046696984.3857</v>
      </c>
      <c r="R147">
        <f t="shared" ref="R147" si="712">R148+Q147</f>
        <v>-297241414531585.88</v>
      </c>
      <c r="S147">
        <f t="shared" ref="S147" si="713">R147/100000</f>
        <v>-2972414145.3158588</v>
      </c>
      <c r="T147">
        <f t="shared" ref="T147" si="714">S147/1000</f>
        <v>-2972414.145315859</v>
      </c>
    </row>
    <row r="148" spans="1:20" x14ac:dyDescent="0.25">
      <c r="A148" s="5">
        <v>44445</v>
      </c>
      <c r="B148">
        <v>7.5299999999999999E-6</v>
      </c>
      <c r="C148">
        <v>7.6399999999999997E-6</v>
      </c>
      <c r="D148">
        <v>6.9999999999999999E-6</v>
      </c>
      <c r="E148">
        <v>7.2200000000000003E-6</v>
      </c>
      <c r="F148">
        <v>9503974995923</v>
      </c>
      <c r="G148">
        <v>7.2200000000000003E-6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-0.31249999999999845</v>
      </c>
      <c r="Q148">
        <f t="shared" ref="Q148" si="716">F148*P148</f>
        <v>-2969992186225.9229</v>
      </c>
      <c r="R148">
        <f t="shared" ref="R148" si="717">R149+Q148</f>
        <v>-294598367834601.5</v>
      </c>
      <c r="S148">
        <f t="shared" ref="S148" si="718">R148/100000</f>
        <v>-2945983678.346015</v>
      </c>
      <c r="T148">
        <f t="shared" ref="T148" si="719">S148/1000</f>
        <v>-2945983.678346015</v>
      </c>
    </row>
    <row r="149" spans="1:20" x14ac:dyDescent="0.25">
      <c r="A149" s="5">
        <v>44444</v>
      </c>
      <c r="B149">
        <v>7.4499999999999998E-6</v>
      </c>
      <c r="C149">
        <v>7.5700000000000004E-6</v>
      </c>
      <c r="D149">
        <v>7.25E-6</v>
      </c>
      <c r="E149">
        <v>7.5299999999999999E-6</v>
      </c>
      <c r="F149">
        <v>7939117527436</v>
      </c>
      <c r="G149">
        <v>7.5299999999999999E-6</v>
      </c>
      <c r="L149" t="s">
        <v>8</v>
      </c>
      <c r="M149" t="s">
        <v>7</v>
      </c>
      <c r="N149" t="s">
        <v>7</v>
      </c>
      <c r="P149">
        <f t="shared" ref="P149" si="720">IF(C149=D149,0,((E149-D149)-(C149-E149))/(C149-D149))</f>
        <v>0.74999999999999734</v>
      </c>
      <c r="Q149">
        <f t="shared" ref="Q149" si="721">F149*P149</f>
        <v>5954338145576.9785</v>
      </c>
      <c r="R149">
        <f t="shared" ref="R149" si="722">R150+Q149</f>
        <v>-291628375648375.56</v>
      </c>
      <c r="S149">
        <f t="shared" ref="S149" si="723">R149/100000</f>
        <v>-2916283756.4837556</v>
      </c>
      <c r="T149">
        <f t="shared" ref="T149" si="724">S149/1000</f>
        <v>-2916283.7564837555</v>
      </c>
    </row>
    <row r="150" spans="1:20" x14ac:dyDescent="0.25">
      <c r="A150" s="5">
        <v>44443</v>
      </c>
      <c r="B150">
        <v>7.0700000000000001E-6</v>
      </c>
      <c r="C150">
        <v>7.6799999999999993E-6</v>
      </c>
      <c r="D150">
        <v>7.0400000000000004E-6</v>
      </c>
      <c r="E150">
        <v>7.4499999999999998E-6</v>
      </c>
      <c r="F150">
        <v>13586786127409</v>
      </c>
      <c r="G150">
        <v>7.4499999999999998E-6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0.28125000000000039</v>
      </c>
      <c r="Q150">
        <f t="shared" ref="Q150" si="726">F150*P150</f>
        <v>3821283598333.7866</v>
      </c>
      <c r="R150">
        <f t="shared" ref="R150" si="727">R151+Q150</f>
        <v>-297582713793952.56</v>
      </c>
      <c r="S150">
        <f t="shared" ref="S150" si="728">R150/100000</f>
        <v>-2975827137.9395256</v>
      </c>
      <c r="T150">
        <f t="shared" ref="T150" si="729">S150/1000</f>
        <v>-2975827.1379395258</v>
      </c>
    </row>
    <row r="151" spans="1:20" x14ac:dyDescent="0.25">
      <c r="A151" s="5">
        <v>44442</v>
      </c>
      <c r="B151">
        <v>7.0899999999999999E-6</v>
      </c>
      <c r="C151">
        <v>7.25E-6</v>
      </c>
      <c r="D151">
        <v>6.9E-6</v>
      </c>
      <c r="E151">
        <v>7.0600000000000002E-6</v>
      </c>
      <c r="F151">
        <v>7223873994758</v>
      </c>
      <c r="G151">
        <v>7.0600000000000002E-6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-8.5714285714284882E-2</v>
      </c>
      <c r="Q151">
        <f t="shared" ref="Q151" si="731">F151*P151</f>
        <v>-619189199550.67969</v>
      </c>
      <c r="R151">
        <f t="shared" ref="R151" si="732">R152+Q151</f>
        <v>-301403997392286.38</v>
      </c>
      <c r="S151">
        <f t="shared" ref="S151" si="733">R151/100000</f>
        <v>-3014039973.922864</v>
      </c>
      <c r="T151">
        <f t="shared" ref="T151" si="734">S151/1000</f>
        <v>-3014039.9739228641</v>
      </c>
    </row>
    <row r="152" spans="1:20" x14ac:dyDescent="0.25">
      <c r="A152" s="5">
        <v>44441</v>
      </c>
      <c r="B152">
        <v>7.1899999999999998E-6</v>
      </c>
      <c r="C152">
        <v>7.3699999999999997E-6</v>
      </c>
      <c r="D152">
        <v>7.0199999999999997E-6</v>
      </c>
      <c r="E152">
        <v>7.0899999999999999E-6</v>
      </c>
      <c r="F152">
        <v>7566323232592</v>
      </c>
      <c r="G152">
        <v>7.0899999999999999E-6</v>
      </c>
      <c r="L152" t="s">
        <v>7</v>
      </c>
      <c r="M152" t="s">
        <v>7</v>
      </c>
      <c r="N152" t="s">
        <v>7</v>
      </c>
      <c r="P152">
        <f t="shared" ref="P152" si="735">IF(C152=D152,0,((E152-D152)-(C152-E152))/(C152-D152))</f>
        <v>-0.59999999999999898</v>
      </c>
      <c r="Q152">
        <f t="shared" ref="Q152" si="736">F152*P152</f>
        <v>-4539793939555.1924</v>
      </c>
      <c r="R152">
        <f t="shared" ref="R152" si="737">R153+Q152</f>
        <v>-300784808192735.69</v>
      </c>
      <c r="S152">
        <f t="shared" ref="S152" si="738">R152/100000</f>
        <v>-3007848081.9273567</v>
      </c>
      <c r="T152">
        <f t="shared" ref="T152" si="739">S152/1000</f>
        <v>-3007848.0819273568</v>
      </c>
    </row>
    <row r="153" spans="1:20" x14ac:dyDescent="0.25">
      <c r="A153" s="5">
        <v>44440</v>
      </c>
      <c r="B153">
        <v>6.8600000000000004E-6</v>
      </c>
      <c r="C153">
        <v>7.2200000000000003E-6</v>
      </c>
      <c r="D153">
        <v>6.6599999999999998E-6</v>
      </c>
      <c r="E153">
        <v>7.1899999999999998E-6</v>
      </c>
      <c r="F153">
        <v>8005998661846</v>
      </c>
      <c r="G153">
        <v>7.1899999999999998E-6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0.89285714285714102</v>
      </c>
      <c r="Q153">
        <f t="shared" ref="Q153" si="741">F153*P153</f>
        <v>7148213090933.9141</v>
      </c>
      <c r="R153">
        <f t="shared" ref="R153" si="742">R154+Q153</f>
        <v>-296245014253180.5</v>
      </c>
      <c r="S153">
        <f t="shared" ref="S153" si="743">R153/100000</f>
        <v>-2962450142.531805</v>
      </c>
      <c r="T153">
        <f t="shared" ref="T153" si="744">S153/1000</f>
        <v>-2962450.1425318052</v>
      </c>
    </row>
    <row r="154" spans="1:20" x14ac:dyDescent="0.25">
      <c r="A154" s="5">
        <v>44439</v>
      </c>
      <c r="B154">
        <v>6.6699999999999997E-6</v>
      </c>
      <c r="C154">
        <v>7.0999999999999998E-6</v>
      </c>
      <c r="D154">
        <v>6.63E-6</v>
      </c>
      <c r="E154">
        <v>6.8600000000000004E-6</v>
      </c>
      <c r="F154">
        <v>8450789113097</v>
      </c>
      <c r="G154">
        <v>6.8600000000000004E-6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-2.1276595744678856E-2</v>
      </c>
      <c r="Q154">
        <f t="shared" ref="Q154" si="746">F154*P154</f>
        <v>-179804023682.89804</v>
      </c>
      <c r="R154">
        <f t="shared" ref="R154" si="747">R155+Q154</f>
        <v>-303393227344114.44</v>
      </c>
      <c r="S154">
        <f t="shared" ref="S154" si="748">R154/100000</f>
        <v>-3033932273.4411445</v>
      </c>
      <c r="T154">
        <f t="shared" ref="T154" si="749">S154/1000</f>
        <v>-3033932.2734411443</v>
      </c>
    </row>
    <row r="155" spans="1:20" x14ac:dyDescent="0.25">
      <c r="A155" s="5">
        <v>44438</v>
      </c>
      <c r="B155">
        <v>7.1099999999999997E-6</v>
      </c>
      <c r="C155">
        <v>7.1400000000000002E-6</v>
      </c>
      <c r="D155">
        <v>6.4699999999999999E-6</v>
      </c>
      <c r="E155">
        <v>6.6699999999999997E-6</v>
      </c>
      <c r="F155">
        <v>6392824774909</v>
      </c>
      <c r="G155">
        <v>6.6699999999999997E-6</v>
      </c>
      <c r="L155" t="s">
        <v>8</v>
      </c>
      <c r="M155" t="s">
        <v>7</v>
      </c>
      <c r="N155" t="s">
        <v>7</v>
      </c>
      <c r="P155">
        <f t="shared" ref="P155" si="750">IF(C155=D155,0,((E155-D155)-(C155-E155))/(C155-D155))</f>
        <v>-0.40298507462686667</v>
      </c>
      <c r="Q155">
        <f t="shared" ref="Q155" si="751">F155*P155</f>
        <v>-2576212968993.1855</v>
      </c>
      <c r="R155">
        <f t="shared" ref="R155" si="752">R156+Q155</f>
        <v>-303213423320431.56</v>
      </c>
      <c r="S155">
        <f t="shared" ref="S155" si="753">R155/100000</f>
        <v>-3032134233.2043157</v>
      </c>
      <c r="T155">
        <f t="shared" ref="T155" si="754">S155/1000</f>
        <v>-3032134.2332043159</v>
      </c>
    </row>
    <row r="156" spans="1:20" x14ac:dyDescent="0.25">
      <c r="A156" s="5">
        <v>44437</v>
      </c>
      <c r="B156">
        <v>7.2300000000000002E-6</v>
      </c>
      <c r="C156">
        <v>7.3900000000000004E-6</v>
      </c>
      <c r="D156">
        <v>6.99E-6</v>
      </c>
      <c r="E156">
        <v>7.1199999999999996E-6</v>
      </c>
      <c r="F156">
        <v>5564998269528</v>
      </c>
      <c r="G156">
        <v>7.1199999999999996E-6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-0.35000000000000264</v>
      </c>
      <c r="Q156">
        <f t="shared" ref="Q156" si="756">F156*P156</f>
        <v>-1947749394334.8147</v>
      </c>
      <c r="R156">
        <f t="shared" ref="R156" si="757">R157+Q156</f>
        <v>-300637210351438.38</v>
      </c>
      <c r="S156">
        <f t="shared" ref="S156" si="758">R156/100000</f>
        <v>-3006372103.5143838</v>
      </c>
      <c r="T156">
        <f t="shared" ref="T156" si="759">S156/1000</f>
        <v>-3006372.103514384</v>
      </c>
    </row>
    <row r="157" spans="1:20" x14ac:dyDescent="0.25">
      <c r="A157" s="5">
        <v>44436</v>
      </c>
      <c r="B157">
        <v>7.4699999999999996E-6</v>
      </c>
      <c r="C157">
        <v>7.4900000000000003E-6</v>
      </c>
      <c r="D157">
        <v>7.1899999999999998E-6</v>
      </c>
      <c r="E157">
        <v>7.2200000000000003E-6</v>
      </c>
      <c r="F157">
        <v>5541566422378</v>
      </c>
      <c r="G157">
        <v>7.2200000000000003E-6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-0.7999999999999966</v>
      </c>
      <c r="Q157">
        <f t="shared" ref="Q157" si="761">F157*P157</f>
        <v>-4433253137902.3809</v>
      </c>
      <c r="R157">
        <f t="shared" ref="R157" si="762">R158+Q157</f>
        <v>-298689460957103.56</v>
      </c>
      <c r="S157">
        <f t="shared" ref="S157" si="763">R157/100000</f>
        <v>-2986894609.5710359</v>
      </c>
      <c r="T157">
        <f t="shared" ref="T157" si="764">S157/1000</f>
        <v>-2986894.609571036</v>
      </c>
    </row>
    <row r="158" spans="1:20" x14ac:dyDescent="0.25">
      <c r="A158" s="5">
        <v>44435</v>
      </c>
      <c r="B158">
        <v>6.9800000000000001E-6</v>
      </c>
      <c r="C158">
        <v>7.5700000000000004E-6</v>
      </c>
      <c r="D158">
        <v>6.8199999999999999E-6</v>
      </c>
      <c r="E158">
        <v>7.4699999999999996E-6</v>
      </c>
      <c r="F158">
        <v>10112453430111</v>
      </c>
      <c r="G158">
        <v>7.4699999999999996E-6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0.73333333333333151</v>
      </c>
      <c r="Q158">
        <f t="shared" ref="Q158" si="766">F158*P158</f>
        <v>7415799182081.3818</v>
      </c>
      <c r="R158">
        <f t="shared" ref="R158" si="767">R159+Q158</f>
        <v>-294256207819201.19</v>
      </c>
      <c r="S158">
        <f t="shared" ref="S158" si="768">R158/100000</f>
        <v>-2942562078.1920118</v>
      </c>
      <c r="T158">
        <f t="shared" ref="T158" si="769">S158/1000</f>
        <v>-2942562.0781920119</v>
      </c>
    </row>
    <row r="159" spans="1:20" x14ac:dyDescent="0.25">
      <c r="A159" s="5">
        <v>44434</v>
      </c>
      <c r="B159">
        <v>7.5299999999999999E-6</v>
      </c>
      <c r="C159">
        <v>7.6399999999999997E-6</v>
      </c>
      <c r="D159">
        <v>6.8199999999999999E-6</v>
      </c>
      <c r="E159">
        <v>6.9700000000000002E-6</v>
      </c>
      <c r="F159">
        <v>9832605958319</v>
      </c>
      <c r="G159">
        <v>6.9700000000000002E-6</v>
      </c>
      <c r="L159" t="s">
        <v>8</v>
      </c>
      <c r="M159" t="s">
        <v>7</v>
      </c>
      <c r="N159" t="s">
        <v>7</v>
      </c>
      <c r="P159">
        <f t="shared" ref="P159" si="770">IF(C159=D159,0,((E159-D159)-(C159-E159))/(C159-D159))</f>
        <v>-0.63414634146341387</v>
      </c>
      <c r="Q159">
        <f t="shared" ref="Q159" si="771">F159*P159</f>
        <v>-6235311095519.3584</v>
      </c>
      <c r="R159">
        <f t="shared" ref="R159" si="772">R160+Q159</f>
        <v>-301672007001282.56</v>
      </c>
      <c r="S159">
        <f t="shared" ref="S159" si="773">R159/100000</f>
        <v>-3016720070.0128255</v>
      </c>
      <c r="T159">
        <f t="shared" ref="T159" si="774">S159/1000</f>
        <v>-3016720.0700128255</v>
      </c>
    </row>
    <row r="160" spans="1:20" x14ac:dyDescent="0.25">
      <c r="A160" s="5">
        <v>44433</v>
      </c>
      <c r="B160">
        <v>7.4800000000000004E-6</v>
      </c>
      <c r="C160">
        <v>7.7100000000000007E-6</v>
      </c>
      <c r="D160">
        <v>7.1500000000000002E-6</v>
      </c>
      <c r="E160">
        <v>7.5299999999999999E-6</v>
      </c>
      <c r="F160">
        <v>10908288775579</v>
      </c>
      <c r="G160">
        <v>7.5299999999999999E-6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0.35714285714285487</v>
      </c>
      <c r="Q160">
        <f t="shared" ref="Q160" si="776">F160*P160</f>
        <v>3895817419849.6182</v>
      </c>
      <c r="R160">
        <f t="shared" ref="R160" si="777">R161+Q160</f>
        <v>-295436695905763.19</v>
      </c>
      <c r="S160">
        <f t="shared" ref="S160" si="778">R160/100000</f>
        <v>-2954366959.057632</v>
      </c>
      <c r="T160">
        <f t="shared" ref="T160" si="779">S160/1000</f>
        <v>-2954366.9590576319</v>
      </c>
    </row>
    <row r="161" spans="1:20" x14ac:dyDescent="0.25">
      <c r="A161" s="5">
        <v>44432</v>
      </c>
      <c r="B161">
        <v>8.1799999999999996E-6</v>
      </c>
      <c r="C161">
        <v>8.2199999999999992E-6</v>
      </c>
      <c r="D161">
        <v>7.3100000000000003E-6</v>
      </c>
      <c r="E161">
        <v>7.4800000000000004E-6</v>
      </c>
      <c r="F161">
        <v>13128492964677</v>
      </c>
      <c r="G161">
        <v>7.4800000000000004E-6</v>
      </c>
      <c r="L161" t="s">
        <v>8</v>
      </c>
      <c r="M161" t="s">
        <v>7</v>
      </c>
      <c r="N161" t="s">
        <v>8</v>
      </c>
      <c r="P161">
        <f t="shared" ref="P161" si="780">IF(C161=D161,0,((E161-D161)-(C161-E161))/(C161-D161))</f>
        <v>-0.62637362637362581</v>
      </c>
      <c r="Q161">
        <f t="shared" ref="Q161" si="781">F161*P161</f>
        <v>-8223341747105.3662</v>
      </c>
      <c r="R161">
        <f t="shared" ref="R161" si="782">R162+Q161</f>
        <v>-299332513325612.81</v>
      </c>
      <c r="S161">
        <f t="shared" ref="S161" si="783">R161/100000</f>
        <v>-2993325133.2561283</v>
      </c>
      <c r="T161">
        <f t="shared" ref="T161" si="784">S161/1000</f>
        <v>-2993325.1332561285</v>
      </c>
    </row>
    <row r="162" spans="1:20" x14ac:dyDescent="0.25">
      <c r="A162" s="5">
        <v>44431</v>
      </c>
      <c r="B162">
        <v>8.1999999999999994E-6</v>
      </c>
      <c r="C162">
        <v>8.4400000000000005E-6</v>
      </c>
      <c r="D162">
        <v>8.1300000000000001E-6</v>
      </c>
      <c r="E162">
        <v>8.1899999999999995E-6</v>
      </c>
      <c r="F162">
        <v>8215888602078</v>
      </c>
      <c r="G162">
        <v>8.1899999999999995E-6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-0.61290322580645584</v>
      </c>
      <c r="Q162">
        <f t="shared" ref="Q162" si="786">F162*P162</f>
        <v>-5035544627080.0996</v>
      </c>
      <c r="R162">
        <f t="shared" ref="R162" si="787">R163+Q162</f>
        <v>-291109171578507.44</v>
      </c>
      <c r="S162">
        <f t="shared" ref="S162" si="788">R162/100000</f>
        <v>-2911091715.7850742</v>
      </c>
      <c r="T162">
        <f t="shared" ref="T162" si="789">S162/1000</f>
        <v>-2911091.715785074</v>
      </c>
    </row>
    <row r="163" spans="1:20" x14ac:dyDescent="0.25">
      <c r="A163" s="5">
        <v>44430</v>
      </c>
      <c r="B163">
        <v>8.1300000000000001E-6</v>
      </c>
      <c r="C163">
        <v>8.2400000000000007E-6</v>
      </c>
      <c r="D163">
        <v>8.1200000000000002E-6</v>
      </c>
      <c r="E163">
        <v>8.2099999999999993E-6</v>
      </c>
      <c r="F163">
        <v>1146783109826</v>
      </c>
      <c r="G163">
        <v>8.2099999999999993E-6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0.49999999999997885</v>
      </c>
      <c r="Q163">
        <f t="shared" ref="Q163" si="791">F163*P163</f>
        <v>573391554912.97571</v>
      </c>
      <c r="R163">
        <f t="shared" ref="R163" si="792">R164+Q163</f>
        <v>-286073626951427.31</v>
      </c>
      <c r="S163">
        <f t="shared" ref="S163" si="793">R163/100000</f>
        <v>-2860736269.5142732</v>
      </c>
      <c r="T163">
        <f t="shared" ref="T163" si="794">S163/1000</f>
        <v>-2860736.2695142734</v>
      </c>
    </row>
    <row r="164" spans="1:20" x14ac:dyDescent="0.25">
      <c r="A164" s="5">
        <v>44429</v>
      </c>
      <c r="B164">
        <v>8.4800000000000001E-6</v>
      </c>
      <c r="C164">
        <v>8.5099999999999998E-6</v>
      </c>
      <c r="D164">
        <v>8.1100000000000003E-6</v>
      </c>
      <c r="E164">
        <v>8.14E-6</v>
      </c>
      <c r="F164">
        <v>9186376727549</v>
      </c>
      <c r="G164">
        <v>8.14E-6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-0.85000000000000131</v>
      </c>
      <c r="Q164">
        <f t="shared" ref="Q164" si="796">F164*P164</f>
        <v>-7808420218416.6621</v>
      </c>
      <c r="R164">
        <f t="shared" ref="R164" si="797">R165+Q164</f>
        <v>-286647018506340.31</v>
      </c>
      <c r="S164">
        <f t="shared" ref="S164" si="798">R164/100000</f>
        <v>-2866470185.0634031</v>
      </c>
      <c r="T164">
        <f t="shared" ref="T164" si="799">S164/1000</f>
        <v>-2866470.1850634031</v>
      </c>
    </row>
    <row r="165" spans="1:20" x14ac:dyDescent="0.25">
      <c r="A165" s="5">
        <v>44428</v>
      </c>
      <c r="B165">
        <v>8.3499999999999997E-6</v>
      </c>
      <c r="C165">
        <v>8.6000000000000007E-6</v>
      </c>
      <c r="D165">
        <v>8.2099999999999993E-6</v>
      </c>
      <c r="E165">
        <v>8.4800000000000001E-6</v>
      </c>
      <c r="F165">
        <v>11001862928480</v>
      </c>
      <c r="G165">
        <v>8.4800000000000001E-6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0.38461538461538397</v>
      </c>
      <c r="Q165">
        <f t="shared" ref="Q165" si="801">F165*P165</f>
        <v>4231485741723.0698</v>
      </c>
      <c r="R165">
        <f t="shared" ref="R165" si="802">R166+Q165</f>
        <v>-278838598287923.63</v>
      </c>
      <c r="S165">
        <f t="shared" ref="S165" si="803">R165/100000</f>
        <v>-2788385982.8792362</v>
      </c>
      <c r="T165">
        <f t="shared" ref="T165" si="804">S165/1000</f>
        <v>-2788385.9828792363</v>
      </c>
    </row>
    <row r="166" spans="1:20" x14ac:dyDescent="0.25">
      <c r="A166" s="5">
        <v>44427</v>
      </c>
      <c r="B166">
        <v>8.0199999999999994E-6</v>
      </c>
      <c r="C166">
        <v>8.3499999999999997E-6</v>
      </c>
      <c r="D166">
        <v>7.8599999999999993E-6</v>
      </c>
      <c r="E166">
        <v>8.3499999999999997E-6</v>
      </c>
      <c r="F166">
        <v>11148529538651</v>
      </c>
      <c r="G166">
        <v>8.3499999999999997E-6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1</v>
      </c>
      <c r="Q166">
        <f t="shared" ref="Q166" si="806">F166*P166</f>
        <v>11148529538651</v>
      </c>
      <c r="R166">
        <f t="shared" ref="R166" si="807">R167+Q166</f>
        <v>-283070084029646.69</v>
      </c>
      <c r="S166">
        <f t="shared" ref="S166" si="808">R166/100000</f>
        <v>-2830700840.2964668</v>
      </c>
      <c r="T166">
        <f t="shared" ref="T166" si="809">S166/1000</f>
        <v>-2830700.8402964668</v>
      </c>
    </row>
    <row r="167" spans="1:20" x14ac:dyDescent="0.25">
      <c r="A167" s="5">
        <v>44426</v>
      </c>
      <c r="B167">
        <v>8.0499999999999992E-6</v>
      </c>
      <c r="C167">
        <v>8.3299999999999999E-6</v>
      </c>
      <c r="D167">
        <v>7.7600000000000002E-6</v>
      </c>
      <c r="E167">
        <v>8.0199999999999994E-6</v>
      </c>
      <c r="F167">
        <v>18267781451145</v>
      </c>
      <c r="G167">
        <v>8.0199999999999994E-6</v>
      </c>
      <c r="L167" t="s">
        <v>8</v>
      </c>
      <c r="M167" t="s">
        <v>7</v>
      </c>
      <c r="N167" t="s">
        <v>8</v>
      </c>
      <c r="P167">
        <f t="shared" ref="P167" si="810">IF(C167=D167,0,((E167-D167)-(C167-E167))/(C167-D167))</f>
        <v>-8.7719298245616223E-2</v>
      </c>
      <c r="Q167">
        <f t="shared" ref="Q167" si="811">F167*P167</f>
        <v>-1602436969398.7241</v>
      </c>
      <c r="R167">
        <f t="shared" ref="R167" si="812">R168+Q167</f>
        <v>-294218613568297.69</v>
      </c>
      <c r="S167">
        <f t="shared" ref="S167" si="813">R167/100000</f>
        <v>-2942186135.6829767</v>
      </c>
      <c r="T167">
        <f t="shared" ref="T167" si="814">S167/1000</f>
        <v>-2942186.1356829768</v>
      </c>
    </row>
    <row r="168" spans="1:20" x14ac:dyDescent="0.25">
      <c r="A168" s="5">
        <v>44425</v>
      </c>
      <c r="B168">
        <v>9.0399999999999998E-6</v>
      </c>
      <c r="C168">
        <v>9.3700000000000001E-6</v>
      </c>
      <c r="D168">
        <v>7.9899999999999997E-6</v>
      </c>
      <c r="E168">
        <v>8.0499999999999992E-6</v>
      </c>
      <c r="F168">
        <v>26318386857105</v>
      </c>
      <c r="G168">
        <v>8.0499999999999992E-6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-0.9130434782608704</v>
      </c>
      <c r="Q168">
        <f t="shared" ref="Q168" si="816">F168*P168</f>
        <v>-24029831478226.328</v>
      </c>
      <c r="R168">
        <f t="shared" ref="R168" si="817">R169+Q168</f>
        <v>-292616176598898.94</v>
      </c>
      <c r="S168">
        <f t="shared" ref="S168" si="818">R168/100000</f>
        <v>-2926161765.9889894</v>
      </c>
      <c r="T168">
        <f t="shared" ref="T168" si="819">S168/1000</f>
        <v>-2926161.7659889893</v>
      </c>
    </row>
    <row r="169" spans="1:20" x14ac:dyDescent="0.25">
      <c r="A169" s="5">
        <v>44424</v>
      </c>
      <c r="B169">
        <v>8.5499999999999995E-6</v>
      </c>
      <c r="C169">
        <v>9.4800000000000007E-6</v>
      </c>
      <c r="D169">
        <v>8.3599999999999996E-6</v>
      </c>
      <c r="E169">
        <v>9.0399999999999998E-6</v>
      </c>
      <c r="F169">
        <v>37191196001582</v>
      </c>
      <c r="G169">
        <v>9.0399999999999998E-6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0.21428571428571352</v>
      </c>
      <c r="Q169">
        <f t="shared" ref="Q169" si="821">F169*P169</f>
        <v>7969542000338.9717</v>
      </c>
      <c r="R169">
        <f t="shared" ref="R169" si="822">R170+Q169</f>
        <v>-268586345120672.63</v>
      </c>
      <c r="S169">
        <f t="shared" ref="S169" si="823">R169/100000</f>
        <v>-2685863451.2067261</v>
      </c>
      <c r="T169">
        <f t="shared" ref="T169" si="824">S169/1000</f>
        <v>-2685863.451206726</v>
      </c>
    </row>
    <row r="170" spans="1:20" x14ac:dyDescent="0.25">
      <c r="A170" s="5">
        <v>44423</v>
      </c>
      <c r="B170">
        <v>8.1200000000000002E-6</v>
      </c>
      <c r="C170">
        <v>8.7600000000000008E-6</v>
      </c>
      <c r="D170">
        <v>7.8499999999999994E-6</v>
      </c>
      <c r="E170">
        <v>8.5499999999999995E-6</v>
      </c>
      <c r="F170">
        <v>18483321892487</v>
      </c>
      <c r="G170">
        <v>8.5499999999999995E-6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0.53846153846153622</v>
      </c>
      <c r="Q170">
        <f t="shared" ref="Q170" si="826">F170*P170</f>
        <v>9952557942108.3438</v>
      </c>
      <c r="R170">
        <f t="shared" ref="R170" si="827">R171+Q170</f>
        <v>-276555887121011.59</v>
      </c>
      <c r="S170">
        <f t="shared" ref="S170" si="828">R170/100000</f>
        <v>-2765558871.2101159</v>
      </c>
      <c r="T170">
        <f t="shared" ref="T170" si="829">S170/1000</f>
        <v>-2765558.871210116</v>
      </c>
    </row>
    <row r="171" spans="1:20" x14ac:dyDescent="0.25">
      <c r="A171" s="5">
        <v>44422</v>
      </c>
      <c r="B171">
        <v>8.1300000000000001E-6</v>
      </c>
      <c r="C171">
        <v>8.5699999999999993E-6</v>
      </c>
      <c r="D171">
        <v>7.8099999999999998E-6</v>
      </c>
      <c r="E171">
        <v>8.1300000000000001E-6</v>
      </c>
      <c r="F171">
        <v>17010503781776</v>
      </c>
      <c r="G171">
        <v>8.1300000000000001E-6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-0.15789473684210387</v>
      </c>
      <c r="Q171">
        <f t="shared" ref="Q171" si="831">F171*P171</f>
        <v>-2685869018175.1343</v>
      </c>
      <c r="R171">
        <f t="shared" ref="R171" si="832">R172+Q171</f>
        <v>-286508445063119.94</v>
      </c>
      <c r="S171">
        <f t="shared" ref="S171" si="833">R171/100000</f>
        <v>-2865084450.6311994</v>
      </c>
      <c r="T171">
        <f t="shared" ref="T171" si="834">S171/1000</f>
        <v>-2865084.4506311994</v>
      </c>
    </row>
    <row r="172" spans="1:20" x14ac:dyDescent="0.25">
      <c r="A172" s="5">
        <v>44421</v>
      </c>
      <c r="B172">
        <v>7.6399999999999997E-6</v>
      </c>
      <c r="C172">
        <v>8.1799999999999996E-6</v>
      </c>
      <c r="D172">
        <v>7.6000000000000001E-6</v>
      </c>
      <c r="E172">
        <v>8.1300000000000001E-6</v>
      </c>
      <c r="F172">
        <v>11222513120578</v>
      </c>
      <c r="G172">
        <v>8.1300000000000001E-6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0.82758620689655327</v>
      </c>
      <c r="Q172">
        <f t="shared" ref="Q172" si="836">F172*P172</f>
        <v>9287597065305.9492</v>
      </c>
      <c r="R172">
        <f t="shared" ref="R172" si="837">R173+Q172</f>
        <v>-283822576044944.81</v>
      </c>
      <c r="S172">
        <f t="shared" ref="S172" si="838">R172/100000</f>
        <v>-2838225760.4494481</v>
      </c>
      <c r="T172">
        <f t="shared" ref="T172" si="839">S172/1000</f>
        <v>-2838225.7604494481</v>
      </c>
    </row>
    <row r="173" spans="1:20" x14ac:dyDescent="0.25">
      <c r="A173" s="5">
        <v>44420</v>
      </c>
      <c r="B173">
        <v>7.7700000000000001E-6</v>
      </c>
      <c r="C173">
        <v>8.2199999999999992E-6</v>
      </c>
      <c r="D173">
        <v>7.43E-6</v>
      </c>
      <c r="E173">
        <v>7.6499999999999996E-6</v>
      </c>
      <c r="F173">
        <v>16738912794675</v>
      </c>
      <c r="G173">
        <v>7.6499999999999996E-6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-0.44303797468354478</v>
      </c>
      <c r="Q173">
        <f t="shared" ref="Q173" si="841">F173*P173</f>
        <v>-7415974022957.2861</v>
      </c>
      <c r="R173">
        <f t="shared" ref="R173" si="842">R174+Q173</f>
        <v>-293110173110250.75</v>
      </c>
      <c r="S173">
        <f t="shared" ref="S173" si="843">R173/100000</f>
        <v>-2931101731.1025076</v>
      </c>
      <c r="T173">
        <f t="shared" ref="T173" si="844">S173/1000</f>
        <v>-2931101.7311025076</v>
      </c>
    </row>
    <row r="174" spans="1:20" x14ac:dyDescent="0.25">
      <c r="A174" s="5">
        <v>44419</v>
      </c>
      <c r="B174">
        <v>7.5599999999999996E-6</v>
      </c>
      <c r="C174">
        <v>8.3000000000000002E-6</v>
      </c>
      <c r="D174">
        <v>7.5000000000000002E-6</v>
      </c>
      <c r="E174">
        <v>7.7700000000000001E-6</v>
      </c>
      <c r="F174">
        <v>22952242869554</v>
      </c>
      <c r="G174">
        <v>7.7700000000000001E-6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-0.32500000000000007</v>
      </c>
      <c r="Q174">
        <f t="shared" ref="Q174" si="846">F174*P174</f>
        <v>-7459478932605.0518</v>
      </c>
      <c r="R174">
        <f t="shared" ref="R174" si="847">R175+Q174</f>
        <v>-285694199087293.44</v>
      </c>
      <c r="S174">
        <f t="shared" ref="S174" si="848">R174/100000</f>
        <v>-2856941990.8729343</v>
      </c>
      <c r="T174">
        <f t="shared" ref="T174" si="849">S174/1000</f>
        <v>-2856941.9908729345</v>
      </c>
    </row>
    <row r="175" spans="1:20" x14ac:dyDescent="0.25">
      <c r="A175" s="5">
        <v>44418</v>
      </c>
      <c r="B175">
        <v>7.6199999999999999E-6</v>
      </c>
      <c r="C175">
        <v>7.9500000000000001E-6</v>
      </c>
      <c r="D175">
        <v>7.3100000000000003E-6</v>
      </c>
      <c r="E175">
        <v>7.5599999999999996E-6</v>
      </c>
      <c r="F175">
        <v>12231498497079</v>
      </c>
      <c r="G175">
        <v>7.5599999999999996E-6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-0.21875000000000194</v>
      </c>
      <c r="Q175">
        <f t="shared" ref="Q175" si="851">F175*P175</f>
        <v>-2675640296236.0552</v>
      </c>
      <c r="R175">
        <f t="shared" ref="R175" si="852">R176+Q175</f>
        <v>-278234720154688.38</v>
      </c>
      <c r="S175">
        <f t="shared" ref="S175" si="853">R175/100000</f>
        <v>-2782347201.5468836</v>
      </c>
      <c r="T175">
        <f t="shared" ref="T175" si="854">S175/1000</f>
        <v>-2782347.2015468837</v>
      </c>
    </row>
    <row r="176" spans="1:20" x14ac:dyDescent="0.25">
      <c r="A176" s="5">
        <v>44417</v>
      </c>
      <c r="B176">
        <v>7.2899999999999997E-6</v>
      </c>
      <c r="C176">
        <v>7.8800000000000008E-6</v>
      </c>
      <c r="D176">
        <v>7.0899999999999999E-6</v>
      </c>
      <c r="E176">
        <v>7.6199999999999999E-6</v>
      </c>
      <c r="F176">
        <v>20193833052588</v>
      </c>
      <c r="G176">
        <v>7.6199999999999999E-6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0.34177215189873267</v>
      </c>
      <c r="Q176">
        <f t="shared" ref="Q176" si="856">F176*P176</f>
        <v>6901689777466.7539</v>
      </c>
      <c r="R176">
        <f t="shared" ref="R176" si="857">R177+Q176</f>
        <v>-275559079858452.31</v>
      </c>
      <c r="S176">
        <f t="shared" ref="S176" si="858">R176/100000</f>
        <v>-2755590798.5845232</v>
      </c>
      <c r="T176">
        <f t="shared" ref="T176" si="859">S176/1000</f>
        <v>-2755590.7985845231</v>
      </c>
    </row>
    <row r="177" spans="1:20" x14ac:dyDescent="0.25">
      <c r="A177" s="5">
        <v>44416</v>
      </c>
      <c r="B177">
        <v>7.7999999999999999E-6</v>
      </c>
      <c r="C177">
        <v>8.8799999999999997E-6</v>
      </c>
      <c r="D177">
        <v>7.2300000000000002E-6</v>
      </c>
      <c r="E177">
        <v>7.2899999999999997E-6</v>
      </c>
      <c r="F177">
        <v>42988253874709</v>
      </c>
      <c r="G177">
        <v>7.2899999999999997E-6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-0.92727272727272791</v>
      </c>
      <c r="Q177">
        <f t="shared" ref="Q177" si="861">F177*P177</f>
        <v>-39861835411093.828</v>
      </c>
      <c r="R177">
        <f t="shared" ref="R177" si="862">R178+Q177</f>
        <v>-282460769635919.06</v>
      </c>
      <c r="S177">
        <f t="shared" ref="S177" si="863">R177/100000</f>
        <v>-2824607696.3591905</v>
      </c>
      <c r="T177">
        <f t="shared" ref="T177" si="864">S177/1000</f>
        <v>-2824607.6963591906</v>
      </c>
    </row>
    <row r="178" spans="1:20" x14ac:dyDescent="0.25">
      <c r="A178" s="5">
        <v>44415</v>
      </c>
      <c r="B178">
        <v>6.3099999999999997E-6</v>
      </c>
      <c r="C178">
        <v>7.8900000000000007E-6</v>
      </c>
      <c r="D178">
        <v>6.2899999999999999E-6</v>
      </c>
      <c r="E178">
        <v>7.7999999999999999E-6</v>
      </c>
      <c r="F178">
        <v>31447680089584</v>
      </c>
      <c r="G178">
        <v>7.7999999999999999E-6</v>
      </c>
      <c r="L178" t="s">
        <v>7</v>
      </c>
      <c r="M178" t="s">
        <v>8</v>
      </c>
      <c r="N178" t="s">
        <v>7</v>
      </c>
      <c r="P178">
        <f t="shared" ref="P178" si="865">IF(C178=D178,0,((E178-D178)-(C178-E178))/(C178-D178))</f>
        <v>0.88749999999999907</v>
      </c>
      <c r="Q178">
        <f t="shared" ref="Q178" si="866">F178*P178</f>
        <v>27909816079505.77</v>
      </c>
      <c r="R178">
        <f t="shared" ref="R178" si="867">R179+Q178</f>
        <v>-242598934224825.22</v>
      </c>
      <c r="S178">
        <f t="shared" ref="S178" si="868">R178/100000</f>
        <v>-2425989342.2482524</v>
      </c>
      <c r="T178">
        <f t="shared" ref="T178" si="869">S178/1000</f>
        <v>-2425989.3422482526</v>
      </c>
    </row>
    <row r="179" spans="1:20" x14ac:dyDescent="0.25">
      <c r="A179" s="5">
        <v>44414</v>
      </c>
      <c r="B179">
        <v>6.2199999999999997E-6</v>
      </c>
      <c r="C179">
        <v>6.4200000000000004E-6</v>
      </c>
      <c r="D179">
        <v>6.1299999999999998E-6</v>
      </c>
      <c r="E179">
        <v>6.2999999999999998E-6</v>
      </c>
      <c r="F179">
        <v>7944430535861</v>
      </c>
      <c r="G179">
        <v>6.2999999999999998E-6</v>
      </c>
      <c r="L179" t="s">
        <v>8</v>
      </c>
      <c r="M179" t="s">
        <v>8</v>
      </c>
      <c r="N179" t="s">
        <v>7</v>
      </c>
      <c r="P179">
        <f t="shared" ref="P179" si="870">IF(C179=D179,0,((E179-D179)-(C179-E179))/(C179-D179))</f>
        <v>0.17241379310344626</v>
      </c>
      <c r="Q179">
        <f t="shared" ref="Q179" si="871">F179*P179</f>
        <v>1369729402734.6392</v>
      </c>
      <c r="R179">
        <f t="shared" ref="R179" si="872">R180+Q179</f>
        <v>-270508750304331</v>
      </c>
      <c r="S179">
        <f t="shared" ref="S179" si="873">R179/100000</f>
        <v>-2705087503.0433102</v>
      </c>
      <c r="T179">
        <f t="shared" ref="T179" si="874">S179/1000</f>
        <v>-2705087.5030433103</v>
      </c>
    </row>
    <row r="180" spans="1:20" x14ac:dyDescent="0.25">
      <c r="A180" s="5">
        <v>44413</v>
      </c>
      <c r="B180">
        <v>6.2400000000000004E-6</v>
      </c>
      <c r="C180">
        <v>6.2500000000000003E-6</v>
      </c>
      <c r="D180">
        <v>6.1099999999999999E-6</v>
      </c>
      <c r="E180">
        <v>6.2099999999999998E-6</v>
      </c>
      <c r="F180">
        <v>6261624309409</v>
      </c>
      <c r="G180">
        <v>6.2099999999999998E-6</v>
      </c>
      <c r="L180" t="s">
        <v>7</v>
      </c>
      <c r="M180" t="s">
        <v>8</v>
      </c>
      <c r="N180" t="s">
        <v>7</v>
      </c>
      <c r="P180">
        <f t="shared" ref="P180" si="875">IF(C180=D180,0,((E180-D180)-(C180-E180))/(C180-D180))</f>
        <v>0.42857142857142339</v>
      </c>
      <c r="Q180">
        <f t="shared" ref="Q180" si="876">F180*P180</f>
        <v>2683553275460.9673</v>
      </c>
      <c r="R180">
        <f t="shared" ref="R180" si="877">R181+Q180</f>
        <v>-271878479707065.63</v>
      </c>
      <c r="S180">
        <f t="shared" ref="S180" si="878">R180/100000</f>
        <v>-2718784797.0706563</v>
      </c>
      <c r="T180">
        <f t="shared" ref="T180" si="879">S180/1000</f>
        <v>-2718784.7970706564</v>
      </c>
    </row>
    <row r="181" spans="1:20" x14ac:dyDescent="0.25">
      <c r="A181" s="5">
        <v>44412</v>
      </c>
      <c r="B181">
        <v>6.1800000000000001E-6</v>
      </c>
      <c r="C181">
        <v>6.3300000000000004E-6</v>
      </c>
      <c r="D181">
        <v>6.1099999999999999E-6</v>
      </c>
      <c r="E181">
        <v>6.2299999999999996E-6</v>
      </c>
      <c r="F181">
        <v>5505584121482</v>
      </c>
      <c r="G181">
        <v>6.2299999999999996E-6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9.0909090909086013E-2</v>
      </c>
      <c r="Q181">
        <f t="shared" ref="Q181" si="881">F181*P181</f>
        <v>500507647407.42761</v>
      </c>
      <c r="R181">
        <f t="shared" ref="R181" si="882">R182+Q181</f>
        <v>-274562032982526.59</v>
      </c>
      <c r="S181">
        <f t="shared" ref="S181" si="883">R181/100000</f>
        <v>-2745620329.8252659</v>
      </c>
      <c r="T181">
        <f t="shared" ref="T181" si="884">S181/1000</f>
        <v>-2745620.3298252658</v>
      </c>
    </row>
    <row r="182" spans="1:20" x14ac:dyDescent="0.25">
      <c r="A182" s="5">
        <v>44411</v>
      </c>
      <c r="B182">
        <v>6.3400000000000003E-6</v>
      </c>
      <c r="C182">
        <v>6.3999999999999997E-6</v>
      </c>
      <c r="D182">
        <v>6.1500000000000004E-6</v>
      </c>
      <c r="E182">
        <v>6.1800000000000001E-6</v>
      </c>
      <c r="F182">
        <v>5222684533973</v>
      </c>
      <c r="G182">
        <v>6.1800000000000001E-6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-0.76000000000000167</v>
      </c>
      <c r="Q182">
        <f t="shared" ref="Q182" si="886">F182*P182</f>
        <v>-3969240245819.4888</v>
      </c>
      <c r="R182">
        <f t="shared" ref="R182" si="887">R183+Q182</f>
        <v>-275062540629934.03</v>
      </c>
      <c r="S182">
        <f t="shared" ref="S182" si="888">R182/100000</f>
        <v>-2750625406.2993402</v>
      </c>
      <c r="T182">
        <f t="shared" ref="T182" si="889">S182/1000</f>
        <v>-2750625.4062993401</v>
      </c>
    </row>
    <row r="183" spans="1:20" x14ac:dyDescent="0.25">
      <c r="A183" s="5">
        <v>44410</v>
      </c>
      <c r="B183">
        <v>6.2999999999999998E-6</v>
      </c>
      <c r="C183">
        <v>6.4300000000000003E-6</v>
      </c>
      <c r="D183">
        <v>6.2099999999999998E-6</v>
      </c>
      <c r="E183">
        <v>6.3400000000000003E-6</v>
      </c>
      <c r="F183">
        <v>6260531438700</v>
      </c>
      <c r="G183">
        <v>6.3400000000000003E-6</v>
      </c>
      <c r="L183" t="s">
        <v>8</v>
      </c>
      <c r="M183" t="s">
        <v>8</v>
      </c>
      <c r="N183" t="s">
        <v>7</v>
      </c>
      <c r="P183">
        <f t="shared" ref="P183" si="890">IF(C183=D183,0,((E183-D183)-(C183-E183))/(C183-D183))</f>
        <v>0.18181818181818357</v>
      </c>
      <c r="Q183">
        <f t="shared" ref="Q183" si="891">F183*P183</f>
        <v>1138278443400.011</v>
      </c>
      <c r="R183">
        <f t="shared" ref="R183" si="892">R184+Q183</f>
        <v>-271093300384114.53</v>
      </c>
      <c r="S183">
        <f t="shared" ref="S183" si="893">R183/100000</f>
        <v>-2710933003.8411455</v>
      </c>
      <c r="T183">
        <f t="shared" ref="T183" si="894">S183/1000</f>
        <v>-2710933.0038411454</v>
      </c>
    </row>
    <row r="184" spans="1:20" x14ac:dyDescent="0.25">
      <c r="A184" s="5">
        <v>44409</v>
      </c>
      <c r="B184">
        <v>6.2500000000000003E-6</v>
      </c>
      <c r="C184">
        <v>6.72E-6</v>
      </c>
      <c r="D184">
        <v>6.2099999999999998E-6</v>
      </c>
      <c r="E184">
        <v>6.2999999999999998E-6</v>
      </c>
      <c r="F184">
        <v>10959981431747</v>
      </c>
      <c r="G184">
        <v>6.2999999999999998E-6</v>
      </c>
      <c r="L184" t="s">
        <v>7</v>
      </c>
      <c r="M184" t="s">
        <v>8</v>
      </c>
      <c r="N184" t="s">
        <v>7</v>
      </c>
      <c r="P184">
        <f t="shared" ref="P184" si="895">IF(C184=D184,0,((E184-D184)-(C184-E184))/(C184-D184))</f>
        <v>-0.64705882352941191</v>
      </c>
      <c r="Q184">
        <f t="shared" ref="Q184" si="896">F184*P184</f>
        <v>-7091752691130.4131</v>
      </c>
      <c r="R184">
        <f t="shared" ref="R184" si="897">R185+Q184</f>
        <v>-272231578827514.53</v>
      </c>
      <c r="S184">
        <f t="shared" ref="S184" si="898">R184/100000</f>
        <v>-2722315788.2751455</v>
      </c>
      <c r="T184">
        <f t="shared" ref="T184" si="899">S184/1000</f>
        <v>-2722315.7882751455</v>
      </c>
    </row>
    <row r="185" spans="1:20" x14ac:dyDescent="0.25">
      <c r="A185" s="5">
        <v>44408</v>
      </c>
      <c r="B185">
        <v>6.2899999999999999E-6</v>
      </c>
      <c r="C185">
        <v>6.3099999999999997E-6</v>
      </c>
      <c r="D185">
        <v>6.1999999999999999E-6</v>
      </c>
      <c r="E185">
        <v>6.2500000000000003E-6</v>
      </c>
      <c r="F185">
        <v>5309993604368</v>
      </c>
      <c r="G185">
        <v>6.2500000000000003E-6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-9.0909090909082516E-2</v>
      </c>
      <c r="Q185">
        <f t="shared" ref="Q185" si="901">F185*P185</f>
        <v>-482726691306.13727</v>
      </c>
      <c r="R185">
        <f t="shared" ref="R185" si="902">R186+Q185</f>
        <v>-265139826136384.13</v>
      </c>
      <c r="S185">
        <f t="shared" ref="S185" si="903">R185/100000</f>
        <v>-2651398261.3638411</v>
      </c>
      <c r="T185">
        <f t="shared" ref="T185" si="904">S185/1000</f>
        <v>-2651398.2613638411</v>
      </c>
    </row>
    <row r="186" spans="1:20" x14ac:dyDescent="0.25">
      <c r="A186" s="5">
        <v>44407</v>
      </c>
      <c r="B186">
        <v>6.2899999999999999E-6</v>
      </c>
      <c r="C186">
        <v>6.4099999999999996E-6</v>
      </c>
      <c r="D186">
        <v>6.1E-6</v>
      </c>
      <c r="E186">
        <v>6.2899999999999999E-6</v>
      </c>
      <c r="F186">
        <v>6650527789677</v>
      </c>
      <c r="G186">
        <v>6.2899999999999999E-6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0.22580645161290411</v>
      </c>
      <c r="Q186">
        <f t="shared" ref="Q186" si="906">F186*P186</f>
        <v>1501732081539.9736</v>
      </c>
      <c r="R186">
        <f t="shared" ref="R186" si="907">R187+Q186</f>
        <v>-264657099445078</v>
      </c>
      <c r="S186">
        <f t="shared" ref="S186" si="908">R186/100000</f>
        <v>-2646570994.4507799</v>
      </c>
      <c r="T186">
        <f t="shared" ref="T186" si="909">S186/1000</f>
        <v>-2646570.9944507801</v>
      </c>
    </row>
    <row r="187" spans="1:20" x14ac:dyDescent="0.25">
      <c r="A187" s="5">
        <v>44406</v>
      </c>
      <c r="B187">
        <v>6.19E-6</v>
      </c>
      <c r="C187">
        <v>6.5200000000000003E-6</v>
      </c>
      <c r="D187">
        <v>6.0800000000000002E-6</v>
      </c>
      <c r="E187">
        <v>6.2899999999999999E-6</v>
      </c>
      <c r="F187">
        <v>8694966152691</v>
      </c>
      <c r="G187">
        <v>6.2899999999999999E-6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-4.5454545454546941E-2</v>
      </c>
      <c r="Q187">
        <f t="shared" ref="Q187" si="911">F187*P187</f>
        <v>-395225734213.24017</v>
      </c>
      <c r="R187">
        <f t="shared" ref="R187" si="912">R188+Q187</f>
        <v>-266158831526617.97</v>
      </c>
      <c r="S187">
        <f t="shared" ref="S187" si="913">R187/100000</f>
        <v>-2661588315.2661796</v>
      </c>
      <c r="T187">
        <f t="shared" ref="T187" si="914">S187/1000</f>
        <v>-2661588.3152661794</v>
      </c>
    </row>
    <row r="188" spans="1:20" x14ac:dyDescent="0.25">
      <c r="A188" s="5">
        <v>44405</v>
      </c>
      <c r="B188">
        <v>6.3199999999999996E-6</v>
      </c>
      <c r="C188">
        <v>6.3500000000000002E-6</v>
      </c>
      <c r="D188">
        <v>6.1299999999999998E-6</v>
      </c>
      <c r="E188">
        <v>6.1800000000000001E-6</v>
      </c>
      <c r="F188">
        <v>7902294769375</v>
      </c>
      <c r="G188">
        <v>6.1800000000000001E-6</v>
      </c>
      <c r="L188" t="s">
        <v>7</v>
      </c>
      <c r="M188" t="s">
        <v>8</v>
      </c>
      <c r="N188" t="s">
        <v>7</v>
      </c>
      <c r="P188">
        <f t="shared" ref="P188" si="915">IF(C188=D188,0,((E188-D188)-(C188-E188))/(C188-D188))</f>
        <v>-0.54545454545454297</v>
      </c>
      <c r="Q188">
        <f t="shared" ref="Q188" si="916">F188*P188</f>
        <v>-4310342601477.2529</v>
      </c>
      <c r="R188">
        <f t="shared" ref="R188" si="917">R189+Q188</f>
        <v>-265763605792404.72</v>
      </c>
      <c r="S188">
        <f t="shared" ref="S188" si="918">R188/100000</f>
        <v>-2657636057.924047</v>
      </c>
      <c r="T188">
        <f t="shared" ref="T188" si="919">S188/1000</f>
        <v>-2657636.0579240471</v>
      </c>
    </row>
    <row r="189" spans="1:20" x14ac:dyDescent="0.25">
      <c r="A189" s="5">
        <v>44404</v>
      </c>
      <c r="B189">
        <v>6.3099999999999997E-6</v>
      </c>
      <c r="C189">
        <v>6.4200000000000004E-6</v>
      </c>
      <c r="D189">
        <v>6.0399999999999998E-6</v>
      </c>
      <c r="E189">
        <v>6.3199999999999996E-6</v>
      </c>
      <c r="F189">
        <v>9641696587214</v>
      </c>
      <c r="G189">
        <v>6.3199999999999996E-6</v>
      </c>
      <c r="L189" t="s">
        <v>8</v>
      </c>
      <c r="M189" t="s">
        <v>8</v>
      </c>
      <c r="N189" t="s">
        <v>7</v>
      </c>
      <c r="P189">
        <f t="shared" ref="P189" si="920">IF(C189=D189,0,((E189-D189)-(C189-E189))/(C189-D189))</f>
        <v>0.47368421052631277</v>
      </c>
      <c r="Q189">
        <f t="shared" ref="Q189" si="921">F189*P189</f>
        <v>4567119436048.708</v>
      </c>
      <c r="R189">
        <f t="shared" ref="R189" si="922">R190+Q189</f>
        <v>-261453263190927.47</v>
      </c>
      <c r="S189">
        <f t="shared" ref="S189" si="923">R189/100000</f>
        <v>-2614532631.9092746</v>
      </c>
      <c r="T189">
        <f t="shared" ref="T189" si="924">S189/1000</f>
        <v>-2614532.6319092745</v>
      </c>
    </row>
    <row r="190" spans="1:20" x14ac:dyDescent="0.25">
      <c r="A190" s="5">
        <v>44403</v>
      </c>
      <c r="B190">
        <v>6.37E-6</v>
      </c>
      <c r="C190">
        <v>6.9099999999999999E-6</v>
      </c>
      <c r="D190">
        <v>6.2400000000000004E-6</v>
      </c>
      <c r="E190">
        <v>6.2999999999999998E-6</v>
      </c>
      <c r="F190">
        <v>19227138374369</v>
      </c>
      <c r="G190">
        <v>6.2999999999999998E-6</v>
      </c>
      <c r="L190" t="s">
        <v>7</v>
      </c>
      <c r="M190" t="s">
        <v>8</v>
      </c>
      <c r="N190" t="s">
        <v>7</v>
      </c>
      <c r="P190">
        <f t="shared" ref="P190" si="925">IF(C190=D190,0,((E190-D190)-(C190-E190))/(C190-D190))</f>
        <v>-0.82089552238806129</v>
      </c>
      <c r="Q190">
        <f t="shared" ref="Q190" si="926">F190*P190</f>
        <v>-15783471799855.18</v>
      </c>
      <c r="R190">
        <f t="shared" ref="R190" si="927">R191+Q190</f>
        <v>-266020382626976.19</v>
      </c>
      <c r="S190">
        <f t="shared" ref="S190" si="928">R190/100000</f>
        <v>-2660203826.269762</v>
      </c>
      <c r="T190">
        <f t="shared" ref="T190" si="929">S190/1000</f>
        <v>-2660203.8262697621</v>
      </c>
    </row>
    <row r="191" spans="1:20" x14ac:dyDescent="0.25">
      <c r="A191" s="5">
        <v>44402</v>
      </c>
      <c r="B191">
        <v>6.4400000000000002E-6</v>
      </c>
      <c r="C191">
        <v>6.5400000000000001E-6</v>
      </c>
      <c r="D191">
        <v>6.1600000000000003E-6</v>
      </c>
      <c r="E191">
        <v>6.3600000000000001E-6</v>
      </c>
      <c r="F191">
        <v>7134617522583</v>
      </c>
      <c r="G191">
        <v>6.3600000000000001E-6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5.2631578947367953E-2</v>
      </c>
      <c r="Q191">
        <f t="shared" ref="Q191" si="931">F191*P191</f>
        <v>375506185399.10193</v>
      </c>
      <c r="R191">
        <f t="shared" ref="R191" si="932">R192+Q191</f>
        <v>-250236910827121</v>
      </c>
      <c r="S191">
        <f t="shared" ref="S191" si="933">R191/100000</f>
        <v>-2502369108.2712102</v>
      </c>
      <c r="T191">
        <f t="shared" ref="T191:T197" si="934">S191/1000</f>
        <v>-2502369.10827121</v>
      </c>
    </row>
    <row r="192" spans="1:20" x14ac:dyDescent="0.25">
      <c r="A192" s="5">
        <v>44401</v>
      </c>
      <c r="B192">
        <v>6.4699999999999999E-6</v>
      </c>
      <c r="C192">
        <v>6.6599999999999998E-6</v>
      </c>
      <c r="D192">
        <v>6.2999999999999998E-6</v>
      </c>
      <c r="E192">
        <v>6.4400000000000002E-6</v>
      </c>
      <c r="F192">
        <v>9474775072580</v>
      </c>
      <c r="G192">
        <v>6.4400000000000002E-6</v>
      </c>
      <c r="L192" t="s">
        <v>7</v>
      </c>
      <c r="M192" t="s">
        <v>8</v>
      </c>
      <c r="N192" t="s">
        <v>7</v>
      </c>
      <c r="P192">
        <f t="shared" ref="P192" si="935">IF(C192=D192,0,((E192-D192)-(C192-E192))/(C192-D192))</f>
        <v>-0.22222222222222013</v>
      </c>
      <c r="Q192">
        <f t="shared" ref="Q192" si="936">F192*P192</f>
        <v>-2105505571684.4246</v>
      </c>
      <c r="R192">
        <f t="shared" ref="R192" si="937">R193+Q192</f>
        <v>-250612417012520.09</v>
      </c>
      <c r="S192">
        <f t="shared" ref="S192" si="938">R192/100000</f>
        <v>-2506124170.1252007</v>
      </c>
      <c r="T192">
        <f t="shared" si="934"/>
        <v>-2506124.1701252009</v>
      </c>
    </row>
    <row r="193" spans="1:20" x14ac:dyDescent="0.25">
      <c r="A193" s="5">
        <v>44400</v>
      </c>
      <c r="B193">
        <v>6.4699999999999999E-6</v>
      </c>
      <c r="C193">
        <v>6.7100000000000001E-6</v>
      </c>
      <c r="D193">
        <v>6.1099999999999999E-6</v>
      </c>
      <c r="E193">
        <v>6.4799999999999998E-6</v>
      </c>
      <c r="F193">
        <v>8810341657917</v>
      </c>
      <c r="G193">
        <v>6.4799999999999998E-6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0.23333333333333245</v>
      </c>
      <c r="Q193">
        <f t="shared" ref="Q193" si="940">F193*P193</f>
        <v>2055746386847.2922</v>
      </c>
      <c r="R193">
        <f t="shared" ref="R193" si="941">R194+Q193</f>
        <v>-248506911440835.66</v>
      </c>
      <c r="S193">
        <f t="shared" ref="S193" si="942">R193/100000</f>
        <v>-2485069114.4083567</v>
      </c>
      <c r="T193">
        <f t="shared" si="934"/>
        <v>-2485069.1144083566</v>
      </c>
    </row>
    <row r="194" spans="1:20" x14ac:dyDescent="0.25">
      <c r="A194" s="5">
        <v>44399</v>
      </c>
      <c r="B194">
        <v>6.5300000000000002E-6</v>
      </c>
      <c r="C194">
        <v>6.6599999999999998E-6</v>
      </c>
      <c r="D194">
        <v>6.3400000000000003E-6</v>
      </c>
      <c r="E194">
        <v>6.46E-6</v>
      </c>
      <c r="F194">
        <v>8024642335768</v>
      </c>
      <c r="G194">
        <v>6.46E-6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-0.25000000000000067</v>
      </c>
      <c r="Q194">
        <f t="shared" ref="Q194" si="944">F194*P194</f>
        <v>-2006160583942.0054</v>
      </c>
      <c r="R194">
        <f t="shared" ref="R194" si="945">R195+Q194</f>
        <v>-250562657827682.94</v>
      </c>
      <c r="S194">
        <f t="shared" ref="S194" si="946">R194/100000</f>
        <v>-2505626578.2768292</v>
      </c>
      <c r="T194">
        <f t="shared" si="934"/>
        <v>-2505626.5782768293</v>
      </c>
    </row>
    <row r="195" spans="1:20" x14ac:dyDescent="0.25">
      <c r="A195" s="5">
        <v>44398</v>
      </c>
      <c r="B195">
        <v>5.8900000000000004E-6</v>
      </c>
      <c r="C195">
        <v>6.9800000000000001E-6</v>
      </c>
      <c r="D195">
        <v>5.7699999999999998E-6</v>
      </c>
      <c r="E195">
        <v>6.5400000000000001E-6</v>
      </c>
      <c r="F195">
        <v>15189009739596</v>
      </c>
      <c r="G195">
        <v>6.5400000000000001E-6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0.27272727272727287</v>
      </c>
      <c r="Q195">
        <f t="shared" ref="Q195" si="948">F195*P195</f>
        <v>4142457201708.0024</v>
      </c>
      <c r="R195">
        <f t="shared" ref="R195" si="949">R196+Q195</f>
        <v>-248556497243740.94</v>
      </c>
      <c r="S195">
        <f t="shared" ref="S195" si="950">R195/100000</f>
        <v>-2485564972.4374094</v>
      </c>
      <c r="T195">
        <f t="shared" si="934"/>
        <v>-2485564.9724374092</v>
      </c>
    </row>
    <row r="196" spans="1:20" x14ac:dyDescent="0.25">
      <c r="A196" s="5">
        <v>44397</v>
      </c>
      <c r="B196">
        <v>6.19E-6</v>
      </c>
      <c r="C196">
        <v>6.2400000000000004E-6</v>
      </c>
      <c r="D196">
        <v>5.6999999999999996E-6</v>
      </c>
      <c r="E196">
        <v>5.8900000000000004E-6</v>
      </c>
      <c r="F196">
        <v>10212338619649</v>
      </c>
      <c r="G196">
        <v>5.8900000000000004E-6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-0.29629629629629461</v>
      </c>
      <c r="Q196">
        <f t="shared" ref="Q196" si="952">F196*P196</f>
        <v>-3025878109525.6123</v>
      </c>
      <c r="R196">
        <f t="shared" ref="R196" si="953">R197+Q196</f>
        <v>-252698954445448.94</v>
      </c>
      <c r="S196">
        <f t="shared" ref="S196" si="954">R196/100000</f>
        <v>-2526989544.4544892</v>
      </c>
      <c r="T196">
        <f t="shared" si="934"/>
        <v>-2526989.5444544894</v>
      </c>
    </row>
    <row r="197" spans="1:20" x14ac:dyDescent="0.25">
      <c r="A197" s="5">
        <v>44396</v>
      </c>
      <c r="B197">
        <v>6.6499999999999999E-6</v>
      </c>
      <c r="C197">
        <v>6.6699999999999997E-6</v>
      </c>
      <c r="D197">
        <v>6.0700000000000003E-6</v>
      </c>
      <c r="E197">
        <v>6.19E-6</v>
      </c>
      <c r="F197">
        <v>8543669280673</v>
      </c>
      <c r="G197">
        <v>0</v>
      </c>
      <c r="L197" t="s">
        <v>8</v>
      </c>
      <c r="M197" t="s">
        <v>7</v>
      </c>
      <c r="N197" t="s">
        <v>7</v>
      </c>
      <c r="P197">
        <f t="shared" ref="P197" si="955">IF(C197=D197,0,((E197-D197)-(C197-E197))/(C197-D197))</f>
        <v>-0.60000000000000053</v>
      </c>
      <c r="Q197">
        <f t="shared" ref="Q197" si="956">F197*P197</f>
        <v>-5126201568403.8047</v>
      </c>
      <c r="R197">
        <f t="shared" ref="R197" si="957">R198+Q197</f>
        <v>-249673076335923.31</v>
      </c>
      <c r="S197">
        <f t="shared" ref="S197" si="958">R197/100000</f>
        <v>-2496730763.3592329</v>
      </c>
      <c r="T197">
        <f t="shared" si="934"/>
        <v>-2496730.7633592328</v>
      </c>
    </row>
    <row r="198" spans="1:20" x14ac:dyDescent="0.25">
      <c r="A198" s="5">
        <v>44395</v>
      </c>
      <c r="B198">
        <v>6.8199999999999999E-6</v>
      </c>
      <c r="C198">
        <v>7.0299999999999996E-6</v>
      </c>
      <c r="D198">
        <v>6.6000000000000003E-6</v>
      </c>
      <c r="E198">
        <v>6.64E-6</v>
      </c>
      <c r="F198">
        <v>6125931214999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-0.81395348837209447</v>
      </c>
      <c r="Q198">
        <f t="shared" ref="Q198:Q261" si="960">F198*P198</f>
        <v>-4986223081975.9395</v>
      </c>
      <c r="R198">
        <f t="shared" ref="R198:R261" si="961">R199+Q198</f>
        <v>-244546874767519.5</v>
      </c>
      <c r="S198">
        <f t="shared" ref="S198:S261" si="962">R198/100000</f>
        <v>-2445468747.6751952</v>
      </c>
      <c r="T198">
        <f t="shared" ref="T198:T261" si="963">S198/1000</f>
        <v>-2445468.7476751953</v>
      </c>
    </row>
    <row r="199" spans="1:20" x14ac:dyDescent="0.25">
      <c r="A199" s="5">
        <v>44394</v>
      </c>
      <c r="B199">
        <v>6.63E-6</v>
      </c>
      <c r="C199">
        <v>7.0500000000000003E-6</v>
      </c>
      <c r="D199">
        <v>6.5599999999999999E-6</v>
      </c>
      <c r="E199">
        <v>6.81E-6</v>
      </c>
      <c r="F199">
        <v>7114435611225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2.0408163265305909E-2</v>
      </c>
      <c r="Q199">
        <f t="shared" si="960"/>
        <v>145192563494.38623</v>
      </c>
      <c r="R199">
        <f t="shared" si="961"/>
        <v>-239560651685543.56</v>
      </c>
      <c r="S199">
        <f t="shared" si="962"/>
        <v>-2395606516.8554358</v>
      </c>
      <c r="T199">
        <f t="shared" si="963"/>
        <v>-2395606.5168554359</v>
      </c>
    </row>
    <row r="200" spans="1:20" x14ac:dyDescent="0.25">
      <c r="A200" s="5">
        <v>44393</v>
      </c>
      <c r="B200">
        <v>6.9E-6</v>
      </c>
      <c r="C200">
        <v>6.9999999999999999E-6</v>
      </c>
      <c r="D200">
        <v>6.55E-6</v>
      </c>
      <c r="E200">
        <v>6.6200000000000001E-6</v>
      </c>
      <c r="F200">
        <v>6047433872423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-0.68888888888888811</v>
      </c>
      <c r="Q200">
        <f t="shared" si="960"/>
        <v>-4166010001002.5063</v>
      </c>
      <c r="R200">
        <f t="shared" si="961"/>
        <v>-239705844249037.94</v>
      </c>
      <c r="S200">
        <f t="shared" si="962"/>
        <v>-2397058442.4903793</v>
      </c>
      <c r="T200">
        <f t="shared" si="963"/>
        <v>-2397058.4424903793</v>
      </c>
    </row>
    <row r="201" spans="1:20" x14ac:dyDescent="0.25">
      <c r="A201" s="5">
        <v>44392</v>
      </c>
      <c r="B201">
        <v>7.2400000000000001E-6</v>
      </c>
      <c r="C201">
        <v>7.3699999999999997E-6</v>
      </c>
      <c r="D201">
        <v>6.7900000000000002E-6</v>
      </c>
      <c r="E201">
        <v>6.9099999999999999E-6</v>
      </c>
      <c r="F201">
        <v>8945840487258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-0.58620689655172487</v>
      </c>
      <c r="Q201">
        <f t="shared" si="960"/>
        <v>-5244113389082.2822</v>
      </c>
      <c r="R201">
        <f t="shared" si="961"/>
        <v>-235539834248035.44</v>
      </c>
      <c r="S201">
        <f t="shared" si="962"/>
        <v>-2355398342.4803543</v>
      </c>
      <c r="T201">
        <f t="shared" si="963"/>
        <v>-2355398.3424803545</v>
      </c>
    </row>
    <row r="202" spans="1:20" x14ac:dyDescent="0.25">
      <c r="A202" s="5">
        <v>44391</v>
      </c>
      <c r="B202">
        <v>7.1199999999999996E-6</v>
      </c>
      <c r="C202">
        <v>7.5700000000000004E-6</v>
      </c>
      <c r="D202">
        <v>6.7000000000000002E-6</v>
      </c>
      <c r="E202">
        <v>7.2400000000000001E-6</v>
      </c>
      <c r="F202">
        <v>11875884954991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0.24137931034482718</v>
      </c>
      <c r="Q202">
        <f t="shared" si="960"/>
        <v>2866592920170.2363</v>
      </c>
      <c r="R202">
        <f t="shared" si="961"/>
        <v>-230295720858953.16</v>
      </c>
      <c r="S202">
        <f t="shared" si="962"/>
        <v>-2302957208.5895314</v>
      </c>
      <c r="T202">
        <f t="shared" si="963"/>
        <v>-2302957.2085895315</v>
      </c>
    </row>
    <row r="203" spans="1:20" x14ac:dyDescent="0.25">
      <c r="A203" s="5">
        <v>44390</v>
      </c>
      <c r="B203">
        <v>7.5599999999999996E-6</v>
      </c>
      <c r="C203">
        <v>7.5900000000000002E-6</v>
      </c>
      <c r="D203">
        <v>7.0400000000000004E-6</v>
      </c>
      <c r="E203">
        <v>7.1099999999999997E-6</v>
      </c>
      <c r="F203">
        <v>8108609831266</v>
      </c>
      <c r="G203">
        <v>0</v>
      </c>
      <c r="L203" t="s">
        <v>8</v>
      </c>
      <c r="M203" t="s">
        <v>7</v>
      </c>
      <c r="N203" t="s">
        <v>7</v>
      </c>
      <c r="P203">
        <f t="shared" si="959"/>
        <v>-0.74545454545454781</v>
      </c>
      <c r="Q203">
        <f t="shared" si="960"/>
        <v>-6044600056034.6738</v>
      </c>
      <c r="R203">
        <f t="shared" si="961"/>
        <v>-233162313779123.41</v>
      </c>
      <c r="S203">
        <f t="shared" si="962"/>
        <v>-2331623137.791234</v>
      </c>
      <c r="T203">
        <f t="shared" si="963"/>
        <v>-2331623.1377912341</v>
      </c>
    </row>
    <row r="204" spans="1:20" x14ac:dyDescent="0.25">
      <c r="A204" s="5">
        <v>44389</v>
      </c>
      <c r="B204">
        <v>7.8699999999999992E-6</v>
      </c>
      <c r="C204">
        <v>7.9899999999999997E-6</v>
      </c>
      <c r="D204">
        <v>7.3100000000000003E-6</v>
      </c>
      <c r="E204">
        <v>7.5599999999999996E-6</v>
      </c>
      <c r="F204">
        <v>7734638319417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-0.26470588235294262</v>
      </c>
      <c r="Q204">
        <f t="shared" si="960"/>
        <v>-2047404261022.1582</v>
      </c>
      <c r="R204">
        <f t="shared" si="961"/>
        <v>-227117713723088.72</v>
      </c>
      <c r="S204">
        <f t="shared" si="962"/>
        <v>-2271177137.2308874</v>
      </c>
      <c r="T204">
        <f t="shared" si="963"/>
        <v>-2271177.1372308875</v>
      </c>
    </row>
    <row r="205" spans="1:20" x14ac:dyDescent="0.25">
      <c r="A205" s="5">
        <v>44388</v>
      </c>
      <c r="B205">
        <v>7.6699999999999994E-6</v>
      </c>
      <c r="C205">
        <v>7.9799999999999998E-6</v>
      </c>
      <c r="D205">
        <v>7.5599999999999996E-6</v>
      </c>
      <c r="E205">
        <v>7.8599999999999993E-6</v>
      </c>
      <c r="F205">
        <v>5480379241985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0.42857142857142627</v>
      </c>
      <c r="Q205">
        <f t="shared" si="960"/>
        <v>2348733960850.7017</v>
      </c>
      <c r="R205">
        <f t="shared" si="961"/>
        <v>-225070309462066.56</v>
      </c>
      <c r="S205">
        <f t="shared" si="962"/>
        <v>-2250703094.6206656</v>
      </c>
      <c r="T205">
        <f t="shared" si="963"/>
        <v>-2250703.0946206655</v>
      </c>
    </row>
    <row r="206" spans="1:20" x14ac:dyDescent="0.25">
      <c r="A206" s="5">
        <v>44387</v>
      </c>
      <c r="B206">
        <v>7.9200000000000004E-6</v>
      </c>
      <c r="C206">
        <v>8.0900000000000005E-6</v>
      </c>
      <c r="D206">
        <v>7.52E-6</v>
      </c>
      <c r="E206">
        <v>7.6699999999999994E-6</v>
      </c>
      <c r="F206">
        <v>7191309903247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-0.47368421052631832</v>
      </c>
      <c r="Q206">
        <f t="shared" si="960"/>
        <v>-3406409954169.6499</v>
      </c>
      <c r="R206">
        <f t="shared" si="961"/>
        <v>-227419043422917.25</v>
      </c>
      <c r="S206">
        <f t="shared" si="962"/>
        <v>-2274190434.2291727</v>
      </c>
      <c r="T206">
        <f t="shared" si="963"/>
        <v>-2274190.4342291728</v>
      </c>
    </row>
    <row r="207" spans="1:20" x14ac:dyDescent="0.25">
      <c r="A207" s="5">
        <v>44386</v>
      </c>
      <c r="B207">
        <v>8.0299999999999994E-6</v>
      </c>
      <c r="C207">
        <v>8.1000000000000004E-6</v>
      </c>
      <c r="D207">
        <v>7.7000000000000008E-6</v>
      </c>
      <c r="E207">
        <v>7.9100000000000005E-6</v>
      </c>
      <c r="F207">
        <v>8928857134302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4.999999999999958E-2</v>
      </c>
      <c r="Q207">
        <f t="shared" si="960"/>
        <v>446442856715.09625</v>
      </c>
      <c r="R207">
        <f t="shared" si="961"/>
        <v>-224012633468747.59</v>
      </c>
      <c r="S207">
        <f t="shared" si="962"/>
        <v>-2240126334.6874762</v>
      </c>
      <c r="T207">
        <f t="shared" si="963"/>
        <v>-2240126.334687476</v>
      </c>
    </row>
    <row r="208" spans="1:20" x14ac:dyDescent="0.25">
      <c r="A208" s="5">
        <v>44385</v>
      </c>
      <c r="B208">
        <v>8.5399999999999996E-6</v>
      </c>
      <c r="C208">
        <v>8.5599999999999994E-6</v>
      </c>
      <c r="D208">
        <v>7.7800000000000001E-6</v>
      </c>
      <c r="E208">
        <v>8.0199999999999994E-6</v>
      </c>
      <c r="F208">
        <v>14698093074025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-0.38461538461538564</v>
      </c>
      <c r="Q208">
        <f t="shared" si="960"/>
        <v>-5653112720778.8613</v>
      </c>
      <c r="R208">
        <f t="shared" si="961"/>
        <v>-224459076325462.69</v>
      </c>
      <c r="S208">
        <f t="shared" si="962"/>
        <v>-2244590763.2546268</v>
      </c>
      <c r="T208">
        <f t="shared" si="963"/>
        <v>-2244590.7632546267</v>
      </c>
    </row>
    <row r="209" spans="1:20" x14ac:dyDescent="0.25">
      <c r="A209" s="5">
        <v>44384</v>
      </c>
      <c r="B209">
        <v>8.7399999999999993E-6</v>
      </c>
      <c r="C209">
        <v>8.9600000000000006E-6</v>
      </c>
      <c r="D209">
        <v>8.5199999999999997E-6</v>
      </c>
      <c r="E209">
        <v>8.5499999999999995E-6</v>
      </c>
      <c r="F209">
        <v>10732885596585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-0.8636363636363652</v>
      </c>
      <c r="Q209">
        <f t="shared" si="960"/>
        <v>-9269310287959.7891</v>
      </c>
      <c r="R209">
        <f t="shared" si="961"/>
        <v>-218805963604683.81</v>
      </c>
      <c r="S209">
        <f t="shared" si="962"/>
        <v>-2188059636.0468383</v>
      </c>
      <c r="T209">
        <f t="shared" si="963"/>
        <v>-2188059.6360468385</v>
      </c>
    </row>
    <row r="210" spans="1:20" x14ac:dyDescent="0.25">
      <c r="A210" s="5">
        <v>44383</v>
      </c>
      <c r="B210">
        <v>8.3299999999999999E-6</v>
      </c>
      <c r="C210">
        <v>9.3300000000000005E-6</v>
      </c>
      <c r="D210">
        <v>8.3100000000000001E-6</v>
      </c>
      <c r="E210">
        <v>8.7399999999999993E-6</v>
      </c>
      <c r="F210">
        <v>24765820144984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-0.15686274509804096</v>
      </c>
      <c r="Q210">
        <f t="shared" si="960"/>
        <v>-3884834532546.5532</v>
      </c>
      <c r="R210">
        <f t="shared" si="961"/>
        <v>-209536653316724.03</v>
      </c>
      <c r="S210">
        <f t="shared" si="962"/>
        <v>-2095366533.1672404</v>
      </c>
      <c r="T210">
        <f t="shared" si="963"/>
        <v>-2095366.5331672404</v>
      </c>
    </row>
    <row r="211" spans="1:20" x14ac:dyDescent="0.25">
      <c r="A211" s="5">
        <v>44382</v>
      </c>
      <c r="B211">
        <v>8.7199999999999995E-6</v>
      </c>
      <c r="C211">
        <v>8.7299999999999994E-6</v>
      </c>
      <c r="D211">
        <v>8.1599999999999998E-6</v>
      </c>
      <c r="E211">
        <v>8.3399999999999998E-6</v>
      </c>
      <c r="F211">
        <v>12068056360331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-0.36842105263157865</v>
      </c>
      <c r="Q211">
        <f t="shared" si="960"/>
        <v>-4446126027490.3652</v>
      </c>
      <c r="R211">
        <f t="shared" si="961"/>
        <v>-205651818784177.47</v>
      </c>
      <c r="S211">
        <f t="shared" si="962"/>
        <v>-2056518187.8417747</v>
      </c>
      <c r="T211">
        <f t="shared" si="963"/>
        <v>-2056518.1878417747</v>
      </c>
    </row>
    <row r="212" spans="1:20" x14ac:dyDescent="0.25">
      <c r="A212" s="5">
        <v>44381</v>
      </c>
      <c r="B212">
        <v>8.6600000000000001E-6</v>
      </c>
      <c r="C212">
        <v>8.9500000000000007E-6</v>
      </c>
      <c r="D212">
        <v>8.4500000000000004E-6</v>
      </c>
      <c r="E212">
        <v>8.7299999999999994E-6</v>
      </c>
      <c r="F212">
        <v>10015748720356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0.11999999999999539</v>
      </c>
      <c r="Q212">
        <f t="shared" si="960"/>
        <v>1201889846442.6738</v>
      </c>
      <c r="R212">
        <f t="shared" si="961"/>
        <v>-201205692756687.09</v>
      </c>
      <c r="S212">
        <f t="shared" si="962"/>
        <v>-2012056927.5668709</v>
      </c>
      <c r="T212">
        <f t="shared" si="963"/>
        <v>-2012056.9275668708</v>
      </c>
    </row>
    <row r="213" spans="1:20" x14ac:dyDescent="0.25">
      <c r="A213" s="5">
        <v>44380</v>
      </c>
      <c r="B213">
        <v>8.3599999999999996E-6</v>
      </c>
      <c r="C213">
        <v>8.8000000000000004E-6</v>
      </c>
      <c r="D213">
        <v>8.3000000000000002E-6</v>
      </c>
      <c r="E213">
        <v>8.6600000000000001E-6</v>
      </c>
      <c r="F213">
        <v>11000178497551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0.43999999999999889</v>
      </c>
      <c r="Q213">
        <f t="shared" si="960"/>
        <v>4840078538922.4277</v>
      </c>
      <c r="R213">
        <f t="shared" si="961"/>
        <v>-202407582603129.78</v>
      </c>
      <c r="S213">
        <f t="shared" si="962"/>
        <v>-2024075826.0312979</v>
      </c>
      <c r="T213">
        <f t="shared" si="963"/>
        <v>-2024075.8260312979</v>
      </c>
    </row>
    <row r="214" spans="1:20" x14ac:dyDescent="0.25">
      <c r="A214" s="5">
        <v>44379</v>
      </c>
      <c r="B214">
        <v>8.3299999999999999E-6</v>
      </c>
      <c r="C214">
        <v>8.4400000000000005E-6</v>
      </c>
      <c r="D214">
        <v>8.0499999999999992E-6</v>
      </c>
      <c r="E214">
        <v>8.3499999999999997E-6</v>
      </c>
      <c r="F214">
        <v>9609338950937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0.53846153846153577</v>
      </c>
      <c r="Q214">
        <f t="shared" si="960"/>
        <v>5174259435119.8975</v>
      </c>
      <c r="R214">
        <f t="shared" si="961"/>
        <v>-207247661142052.22</v>
      </c>
      <c r="S214">
        <f t="shared" si="962"/>
        <v>-2072476611.4205222</v>
      </c>
      <c r="T214">
        <f t="shared" si="963"/>
        <v>-2072476.6114205222</v>
      </c>
    </row>
    <row r="215" spans="1:20" x14ac:dyDescent="0.25">
      <c r="A215" s="5">
        <v>44378</v>
      </c>
      <c r="B215">
        <v>8.8200000000000003E-6</v>
      </c>
      <c r="C215">
        <v>8.8300000000000002E-6</v>
      </c>
      <c r="D215">
        <v>8.1499999999999999E-6</v>
      </c>
      <c r="E215">
        <v>8.32E-6</v>
      </c>
      <c r="F215">
        <v>15990026259963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-0.5</v>
      </c>
      <c r="Q215">
        <f t="shared" si="960"/>
        <v>-7995013129981.5</v>
      </c>
      <c r="R215">
        <f t="shared" si="961"/>
        <v>-212421920577172.13</v>
      </c>
      <c r="S215">
        <f t="shared" si="962"/>
        <v>-2124219205.7717214</v>
      </c>
      <c r="T215">
        <f t="shared" si="963"/>
        <v>-2124219.2057717214</v>
      </c>
    </row>
    <row r="216" spans="1:20" x14ac:dyDescent="0.25">
      <c r="A216" s="5">
        <v>44377</v>
      </c>
      <c r="B216">
        <v>8.8699999999999998E-6</v>
      </c>
      <c r="C216">
        <v>9.2299999999999997E-6</v>
      </c>
      <c r="D216">
        <v>8.0099999999999995E-6</v>
      </c>
      <c r="E216">
        <v>8.8200000000000003E-6</v>
      </c>
      <c r="F216">
        <v>32459314385918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0.32786885245901737</v>
      </c>
      <c r="Q216">
        <f t="shared" si="960"/>
        <v>10642398159317.408</v>
      </c>
      <c r="R216">
        <f t="shared" si="961"/>
        <v>-204426907447190.63</v>
      </c>
      <c r="S216">
        <f t="shared" si="962"/>
        <v>-2044269074.4719062</v>
      </c>
      <c r="T216">
        <f t="shared" si="963"/>
        <v>-2044269.0744719063</v>
      </c>
    </row>
    <row r="217" spans="1:20" x14ac:dyDescent="0.25">
      <c r="A217" s="5">
        <v>44376</v>
      </c>
      <c r="B217">
        <v>8.0800000000000006E-6</v>
      </c>
      <c r="C217">
        <v>9.6299999999999993E-6</v>
      </c>
      <c r="D217">
        <v>8.0299999999999994E-6</v>
      </c>
      <c r="E217">
        <v>8.8699999999999998E-6</v>
      </c>
      <c r="F217">
        <v>46042194342449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5.0000000000000586E-2</v>
      </c>
      <c r="Q217">
        <f t="shared" si="960"/>
        <v>2302109717122.4771</v>
      </c>
      <c r="R217">
        <f t="shared" si="961"/>
        <v>-215069305606508.03</v>
      </c>
      <c r="S217">
        <f t="shared" si="962"/>
        <v>-2150693056.0650802</v>
      </c>
      <c r="T217">
        <f t="shared" si="963"/>
        <v>-2150693.0560650802</v>
      </c>
    </row>
    <row r="218" spans="1:20" x14ac:dyDescent="0.25">
      <c r="A218" s="5">
        <v>44375</v>
      </c>
      <c r="B218">
        <v>7.8499999999999994E-6</v>
      </c>
      <c r="C218">
        <v>8.2099999999999993E-6</v>
      </c>
      <c r="D218">
        <v>7.5800000000000003E-6</v>
      </c>
      <c r="E218">
        <v>8.0800000000000006E-6</v>
      </c>
      <c r="F218">
        <v>18506007897380</v>
      </c>
      <c r="G218">
        <v>0</v>
      </c>
      <c r="L218" t="s">
        <v>7</v>
      </c>
      <c r="M218" t="s">
        <v>7</v>
      </c>
      <c r="N218" t="s">
        <v>8</v>
      </c>
      <c r="P218">
        <f t="shared" si="959"/>
        <v>0.58730158730159066</v>
      </c>
      <c r="Q218">
        <f t="shared" si="960"/>
        <v>10868607812747.047</v>
      </c>
      <c r="R218">
        <f t="shared" si="961"/>
        <v>-217371415323630.5</v>
      </c>
      <c r="S218">
        <f t="shared" si="962"/>
        <v>-2173714153.2363052</v>
      </c>
      <c r="T218">
        <f t="shared" si="963"/>
        <v>-2173714.1532363053</v>
      </c>
    </row>
    <row r="219" spans="1:20" x14ac:dyDescent="0.25">
      <c r="A219" s="5">
        <v>44374</v>
      </c>
      <c r="B219">
        <v>7.4699999999999996E-6</v>
      </c>
      <c r="C219">
        <v>7.8900000000000007E-6</v>
      </c>
      <c r="D219">
        <v>7.2699999999999999E-6</v>
      </c>
      <c r="E219">
        <v>7.8499999999999994E-6</v>
      </c>
      <c r="F219">
        <v>11925015594849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0.87096774193547977</v>
      </c>
      <c r="Q219">
        <f t="shared" si="960"/>
        <v>10386303905191.016</v>
      </c>
      <c r="R219">
        <f t="shared" si="961"/>
        <v>-228240023136377.56</v>
      </c>
      <c r="S219">
        <f t="shared" si="962"/>
        <v>-2282400231.3637757</v>
      </c>
      <c r="T219">
        <f t="shared" si="963"/>
        <v>-2282400.2313637757</v>
      </c>
    </row>
    <row r="220" spans="1:20" x14ac:dyDescent="0.25">
      <c r="A220" s="5">
        <v>44373</v>
      </c>
      <c r="B220">
        <v>7.0600000000000002E-6</v>
      </c>
      <c r="C220">
        <v>7.5499999999999997E-6</v>
      </c>
      <c r="D220">
        <v>6.9E-6</v>
      </c>
      <c r="E220">
        <v>7.4800000000000004E-6</v>
      </c>
      <c r="F220">
        <v>21860032918766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0.7846153846153866</v>
      </c>
      <c r="Q220">
        <f t="shared" si="960"/>
        <v>17151718136262.598</v>
      </c>
      <c r="R220">
        <f t="shared" si="961"/>
        <v>-238626327041568.56</v>
      </c>
      <c r="S220">
        <f t="shared" si="962"/>
        <v>-2386263270.4156857</v>
      </c>
      <c r="T220">
        <f t="shared" si="963"/>
        <v>-2386263.2704156856</v>
      </c>
    </row>
    <row r="221" spans="1:20" x14ac:dyDescent="0.25">
      <c r="A221" s="5">
        <v>44372</v>
      </c>
      <c r="B221">
        <v>7.2099999999999996E-6</v>
      </c>
      <c r="C221">
        <v>8.4999999999999999E-6</v>
      </c>
      <c r="D221">
        <v>6.72E-6</v>
      </c>
      <c r="E221">
        <v>7.0700000000000001E-6</v>
      </c>
      <c r="F221">
        <v>41620961473360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-0.60674157303370779</v>
      </c>
      <c r="Q221">
        <f t="shared" si="960"/>
        <v>-25253167635521.793</v>
      </c>
      <c r="R221">
        <f t="shared" si="961"/>
        <v>-255778045177831.16</v>
      </c>
      <c r="S221">
        <f t="shared" si="962"/>
        <v>-2557780451.7783117</v>
      </c>
      <c r="T221">
        <f t="shared" si="963"/>
        <v>-2557780.4517783117</v>
      </c>
    </row>
    <row r="222" spans="1:20" x14ac:dyDescent="0.25">
      <c r="A222" s="5">
        <v>44371</v>
      </c>
      <c r="B222">
        <v>6.8299999999999998E-6</v>
      </c>
      <c r="C222">
        <v>7.4499999999999998E-6</v>
      </c>
      <c r="D222">
        <v>6.5599999999999999E-6</v>
      </c>
      <c r="E222">
        <v>7.2099999999999996E-6</v>
      </c>
      <c r="F222">
        <v>14589082651691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0.46067415730337019</v>
      </c>
      <c r="Q222">
        <f t="shared" si="960"/>
        <v>6720813356396.9688</v>
      </c>
      <c r="R222">
        <f t="shared" si="961"/>
        <v>-230524877542309.38</v>
      </c>
      <c r="S222">
        <f t="shared" si="962"/>
        <v>-2305248775.4230938</v>
      </c>
      <c r="T222">
        <f t="shared" si="963"/>
        <v>-2305248.7754230937</v>
      </c>
    </row>
    <row r="223" spans="1:20" x14ac:dyDescent="0.25">
      <c r="A223" s="5">
        <v>44370</v>
      </c>
      <c r="B223">
        <v>6.3300000000000004E-6</v>
      </c>
      <c r="C223">
        <v>7.1099999999999997E-6</v>
      </c>
      <c r="D223">
        <v>6.0900000000000001E-6</v>
      </c>
      <c r="E223">
        <v>6.8399999999999997E-6</v>
      </c>
      <c r="F223">
        <v>22097655745813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0.47058823529411747</v>
      </c>
      <c r="Q223">
        <f t="shared" si="960"/>
        <v>10398896821559.055</v>
      </c>
      <c r="R223">
        <f t="shared" si="961"/>
        <v>-237245690898706.34</v>
      </c>
      <c r="S223">
        <f t="shared" si="962"/>
        <v>-2372456908.9870634</v>
      </c>
      <c r="T223">
        <f t="shared" si="963"/>
        <v>-2372456.9089870634</v>
      </c>
    </row>
    <row r="224" spans="1:20" x14ac:dyDescent="0.25">
      <c r="A224" s="5">
        <v>44369</v>
      </c>
      <c r="B224">
        <v>6.19E-6</v>
      </c>
      <c r="C224">
        <v>6.9999999999999999E-6</v>
      </c>
      <c r="D224">
        <v>5.5899999999999998E-6</v>
      </c>
      <c r="E224">
        <v>6.3300000000000004E-6</v>
      </c>
      <c r="F224">
        <v>41222045178875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4.964539007092271E-2</v>
      </c>
      <c r="Q224">
        <f t="shared" si="960"/>
        <v>2046484512426.4482</v>
      </c>
      <c r="R224">
        <f t="shared" si="961"/>
        <v>-247644587720265.41</v>
      </c>
      <c r="S224">
        <f t="shared" si="962"/>
        <v>-2476445877.2026539</v>
      </c>
      <c r="T224">
        <f t="shared" si="963"/>
        <v>-2476445.8772026538</v>
      </c>
    </row>
    <row r="225" spans="1:20" x14ac:dyDescent="0.25">
      <c r="A225" s="5">
        <v>44368</v>
      </c>
      <c r="B225">
        <v>7.7800000000000001E-6</v>
      </c>
      <c r="C225">
        <v>7.8399999999999995E-6</v>
      </c>
      <c r="D225">
        <v>6.0800000000000002E-6</v>
      </c>
      <c r="E225">
        <v>6.19E-6</v>
      </c>
      <c r="F225">
        <v>34754967194157</v>
      </c>
      <c r="G225">
        <v>0</v>
      </c>
      <c r="L225" t="s">
        <v>8</v>
      </c>
      <c r="M225" t="s">
        <v>7</v>
      </c>
      <c r="N225" t="s">
        <v>7</v>
      </c>
      <c r="P225">
        <f t="shared" si="959"/>
        <v>-0.87500000000000022</v>
      </c>
      <c r="Q225">
        <f t="shared" si="960"/>
        <v>-30410596294887.383</v>
      </c>
      <c r="R225">
        <f t="shared" si="961"/>
        <v>-249691072232691.84</v>
      </c>
      <c r="S225">
        <f t="shared" si="962"/>
        <v>-2496910722.3269186</v>
      </c>
      <c r="T225">
        <f t="shared" si="963"/>
        <v>-2496910.7223269185</v>
      </c>
    </row>
    <row r="226" spans="1:20" x14ac:dyDescent="0.25">
      <c r="A226" s="5">
        <v>44367</v>
      </c>
      <c r="B226">
        <v>7.6299999999999998E-6</v>
      </c>
      <c r="C226">
        <v>8.0700000000000007E-6</v>
      </c>
      <c r="D226">
        <v>7.1099999999999997E-6</v>
      </c>
      <c r="E226">
        <v>7.7800000000000001E-6</v>
      </c>
      <c r="F226">
        <v>25203949490357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0.39583333333333265</v>
      </c>
      <c r="Q226">
        <f t="shared" si="960"/>
        <v>9976563339932.9609</v>
      </c>
      <c r="R226">
        <f t="shared" si="961"/>
        <v>-219280475937804.47</v>
      </c>
      <c r="S226">
        <f t="shared" si="962"/>
        <v>-2192804759.3780446</v>
      </c>
      <c r="T226">
        <f t="shared" si="963"/>
        <v>-2192804.7593780444</v>
      </c>
    </row>
    <row r="227" spans="1:20" x14ac:dyDescent="0.25">
      <c r="A227" s="5">
        <v>44366</v>
      </c>
      <c r="B227">
        <v>7.2599999999999999E-6</v>
      </c>
      <c r="C227">
        <v>8.49E-6</v>
      </c>
      <c r="D227">
        <v>7.1899999999999998E-6</v>
      </c>
      <c r="E227">
        <v>7.6199999999999999E-6</v>
      </c>
      <c r="F227">
        <v>33512449142630</v>
      </c>
      <c r="G227">
        <v>0</v>
      </c>
      <c r="L227" t="s">
        <v>8</v>
      </c>
      <c r="M227" t="s">
        <v>8</v>
      </c>
      <c r="N227" t="s">
        <v>7</v>
      </c>
      <c r="P227">
        <f t="shared" si="959"/>
        <v>-0.33846153846153842</v>
      </c>
      <c r="Q227">
        <f t="shared" si="960"/>
        <v>-11342675094428.613</v>
      </c>
      <c r="R227">
        <f t="shared" si="961"/>
        <v>-229257039277737.44</v>
      </c>
      <c r="S227">
        <f t="shared" si="962"/>
        <v>-2292570392.7773743</v>
      </c>
      <c r="T227">
        <f t="shared" si="963"/>
        <v>-2292570.3927773745</v>
      </c>
    </row>
    <row r="228" spans="1:20" x14ac:dyDescent="0.25">
      <c r="A228" s="5">
        <v>44365</v>
      </c>
      <c r="B228">
        <v>7.9500000000000001E-6</v>
      </c>
      <c r="C228">
        <v>7.9799999999999998E-6</v>
      </c>
      <c r="D228">
        <v>6.9999999999999999E-6</v>
      </c>
      <c r="E228">
        <v>7.2599999999999999E-6</v>
      </c>
      <c r="F228">
        <v>23594476054170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-0.46938775510204067</v>
      </c>
      <c r="Q228">
        <f t="shared" si="960"/>
        <v>-11074958147875.711</v>
      </c>
      <c r="R228">
        <f t="shared" si="961"/>
        <v>-217914364183308.81</v>
      </c>
      <c r="S228">
        <f t="shared" si="962"/>
        <v>-2179143641.8330879</v>
      </c>
      <c r="T228">
        <f t="shared" si="963"/>
        <v>-2179143.6418330879</v>
      </c>
    </row>
    <row r="229" spans="1:20" x14ac:dyDescent="0.25">
      <c r="A229" s="5">
        <v>44364</v>
      </c>
      <c r="B229">
        <v>8.32E-6</v>
      </c>
      <c r="C229">
        <v>8.4999999999999999E-6</v>
      </c>
      <c r="D229">
        <v>7.7200000000000006E-6</v>
      </c>
      <c r="E229">
        <v>7.9500000000000001E-6</v>
      </c>
      <c r="F229">
        <v>27604953266364</v>
      </c>
      <c r="G229">
        <v>0</v>
      </c>
      <c r="L229" t="s">
        <v>8</v>
      </c>
      <c r="M229" t="s">
        <v>7</v>
      </c>
      <c r="N229" t="s">
        <v>8</v>
      </c>
      <c r="P229">
        <f t="shared" si="959"/>
        <v>-0.41025641025641102</v>
      </c>
      <c r="Q229">
        <f t="shared" si="960"/>
        <v>-11325109032354.482</v>
      </c>
      <c r="R229">
        <f t="shared" si="961"/>
        <v>-206839406035433.09</v>
      </c>
      <c r="S229">
        <f t="shared" si="962"/>
        <v>-2068394060.354331</v>
      </c>
      <c r="T229">
        <f t="shared" si="963"/>
        <v>-2068394.060354331</v>
      </c>
    </row>
    <row r="230" spans="1:20" x14ac:dyDescent="0.25">
      <c r="A230" s="5">
        <v>44363</v>
      </c>
      <c r="B230">
        <v>9.02E-6</v>
      </c>
      <c r="C230">
        <v>9.2900000000000008E-6</v>
      </c>
      <c r="D230">
        <v>8.14E-6</v>
      </c>
      <c r="E230">
        <v>8.3100000000000001E-6</v>
      </c>
      <c r="F230">
        <v>46228329919729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-0.70434782608695667</v>
      </c>
      <c r="Q230">
        <f t="shared" si="960"/>
        <v>-32560823682591.738</v>
      </c>
      <c r="R230">
        <f t="shared" si="961"/>
        <v>-195514297003078.63</v>
      </c>
      <c r="S230">
        <f t="shared" si="962"/>
        <v>-1955142970.0307863</v>
      </c>
      <c r="T230">
        <f t="shared" si="963"/>
        <v>-1955142.9700307862</v>
      </c>
    </row>
    <row r="231" spans="1:20" x14ac:dyDescent="0.25">
      <c r="A231" s="5">
        <v>44362</v>
      </c>
      <c r="B231">
        <v>7.08E-6</v>
      </c>
      <c r="C231">
        <v>9.8800000000000003E-6</v>
      </c>
      <c r="D231">
        <v>6.9299999999999997E-6</v>
      </c>
      <c r="E231">
        <v>9.0299999999999999E-6</v>
      </c>
      <c r="F231">
        <v>55757151596139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0.4237288135593219</v>
      </c>
      <c r="Q231">
        <f t="shared" si="960"/>
        <v>23625911693279.23</v>
      </c>
      <c r="R231">
        <f t="shared" si="961"/>
        <v>-162953473320486.88</v>
      </c>
      <c r="S231">
        <f t="shared" si="962"/>
        <v>-1629534733.2048688</v>
      </c>
      <c r="T231">
        <f t="shared" si="963"/>
        <v>-1629534.7332048689</v>
      </c>
    </row>
    <row r="232" spans="1:20" x14ac:dyDescent="0.25">
      <c r="A232" s="5">
        <v>44361</v>
      </c>
      <c r="B232">
        <v>6.8399999999999997E-6</v>
      </c>
      <c r="C232">
        <v>7.2099999999999996E-6</v>
      </c>
      <c r="D232">
        <v>6.6699999999999997E-6</v>
      </c>
      <c r="E232">
        <v>7.0899999999999999E-6</v>
      </c>
      <c r="F232">
        <v>17240978312423</v>
      </c>
      <c r="G232">
        <v>0</v>
      </c>
      <c r="L232" t="s">
        <v>7</v>
      </c>
      <c r="M232" t="s">
        <v>8</v>
      </c>
      <c r="N232" t="s">
        <v>7</v>
      </c>
      <c r="P232">
        <f t="shared" si="959"/>
        <v>0.55555555555555658</v>
      </c>
      <c r="Q232">
        <f t="shared" si="960"/>
        <v>9578321284679.4629</v>
      </c>
      <c r="R232">
        <f t="shared" si="961"/>
        <v>-186579385013766.09</v>
      </c>
      <c r="S232">
        <f t="shared" si="962"/>
        <v>-1865793850.137661</v>
      </c>
      <c r="T232">
        <f t="shared" si="963"/>
        <v>-1865793.850137661</v>
      </c>
    </row>
    <row r="233" spans="1:20" x14ac:dyDescent="0.25">
      <c r="A233" s="5">
        <v>44360</v>
      </c>
      <c r="B233">
        <v>6.2700000000000001E-6</v>
      </c>
      <c r="C233">
        <v>7.1500000000000002E-6</v>
      </c>
      <c r="D233">
        <v>6.0499999999999997E-6</v>
      </c>
      <c r="E233">
        <v>6.8499999999999996E-6</v>
      </c>
      <c r="F233">
        <v>20763576566343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0.45454545454545386</v>
      </c>
      <c r="Q233">
        <f t="shared" si="960"/>
        <v>9437989348337.7129</v>
      </c>
      <c r="R233">
        <f t="shared" si="961"/>
        <v>-196157706298445.56</v>
      </c>
      <c r="S233">
        <f t="shared" si="962"/>
        <v>-1961577062.9844556</v>
      </c>
      <c r="T233">
        <f t="shared" si="963"/>
        <v>-1961577.0629844556</v>
      </c>
    </row>
    <row r="234" spans="1:20" x14ac:dyDescent="0.25">
      <c r="A234" s="5">
        <v>44359</v>
      </c>
      <c r="B234">
        <v>6.2099999999999998E-6</v>
      </c>
      <c r="C234">
        <v>6.55E-6</v>
      </c>
      <c r="D234">
        <v>5.5099999999999998E-6</v>
      </c>
      <c r="E234">
        <v>6.28E-6</v>
      </c>
      <c r="F234">
        <v>28186259522494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0.48076923076923095</v>
      </c>
      <c r="Q234">
        <f t="shared" si="960"/>
        <v>13551086308891.352</v>
      </c>
      <c r="R234">
        <f t="shared" si="961"/>
        <v>-205595695646783.28</v>
      </c>
      <c r="S234">
        <f t="shared" si="962"/>
        <v>-2055956956.4678328</v>
      </c>
      <c r="T234">
        <f t="shared" si="963"/>
        <v>-2055956.9564678329</v>
      </c>
    </row>
    <row r="235" spans="1:20" x14ac:dyDescent="0.25">
      <c r="A235" s="5">
        <v>44358</v>
      </c>
      <c r="B235">
        <v>6.8399999999999997E-6</v>
      </c>
      <c r="C235">
        <v>6.9E-6</v>
      </c>
      <c r="D235">
        <v>6.0100000000000001E-6</v>
      </c>
      <c r="E235">
        <v>6.2099999999999998E-6</v>
      </c>
      <c r="F235">
        <v>16654567843743</v>
      </c>
      <c r="G235">
        <v>0</v>
      </c>
      <c r="L235" t="s">
        <v>8</v>
      </c>
      <c r="M235" t="s">
        <v>7</v>
      </c>
      <c r="N235" t="s">
        <v>7</v>
      </c>
      <c r="P235">
        <f t="shared" si="959"/>
        <v>-0.55056179775280945</v>
      </c>
      <c r="Q235">
        <f t="shared" si="960"/>
        <v>-9169368812847.2773</v>
      </c>
      <c r="R235">
        <f t="shared" si="961"/>
        <v>-219146781955674.63</v>
      </c>
      <c r="S235">
        <f t="shared" si="962"/>
        <v>-2191467819.5567465</v>
      </c>
      <c r="T235">
        <f t="shared" si="963"/>
        <v>-2191467.8195567466</v>
      </c>
    </row>
    <row r="236" spans="1:20" x14ac:dyDescent="0.25">
      <c r="A236" s="5">
        <v>44357</v>
      </c>
      <c r="B236">
        <v>7.3900000000000004E-6</v>
      </c>
      <c r="C236">
        <v>7.43E-6</v>
      </c>
      <c r="D236">
        <v>6.7800000000000003E-6</v>
      </c>
      <c r="E236">
        <v>6.8399999999999997E-6</v>
      </c>
      <c r="F236">
        <v>15982745660312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-0.81538461538461704</v>
      </c>
      <c r="Q236">
        <f t="shared" si="960"/>
        <v>-13032084923023.656</v>
      </c>
      <c r="R236">
        <f t="shared" si="961"/>
        <v>-209977413142827.34</v>
      </c>
      <c r="S236">
        <f t="shared" si="962"/>
        <v>-2099774131.4282734</v>
      </c>
      <c r="T236">
        <f t="shared" si="963"/>
        <v>-2099774.1314282734</v>
      </c>
    </row>
    <row r="237" spans="1:20" x14ac:dyDescent="0.25">
      <c r="A237" s="5">
        <v>44356</v>
      </c>
      <c r="B237">
        <v>7.1600000000000001E-6</v>
      </c>
      <c r="C237">
        <v>7.6000000000000001E-6</v>
      </c>
      <c r="D237">
        <v>6.8299999999999998E-6</v>
      </c>
      <c r="E237">
        <v>7.3799999999999996E-6</v>
      </c>
      <c r="F237">
        <v>21333278224709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0.4285714285714276</v>
      </c>
      <c r="Q237">
        <f t="shared" si="960"/>
        <v>9142833524875.2656</v>
      </c>
      <c r="R237">
        <f t="shared" si="961"/>
        <v>-196945328219803.69</v>
      </c>
      <c r="S237">
        <f t="shared" si="962"/>
        <v>-1969453282.1980369</v>
      </c>
      <c r="T237">
        <f t="shared" si="963"/>
        <v>-1969453.282198037</v>
      </c>
    </row>
    <row r="238" spans="1:20" x14ac:dyDescent="0.25">
      <c r="A238" s="5">
        <v>44355</v>
      </c>
      <c r="B238">
        <v>7.7400000000000004E-6</v>
      </c>
      <c r="C238">
        <v>7.8699999999999992E-6</v>
      </c>
      <c r="D238">
        <v>6.2999999999999998E-6</v>
      </c>
      <c r="E238">
        <v>7.1500000000000002E-6</v>
      </c>
      <c r="F238">
        <v>32407835420356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8.2802547770701493E-2</v>
      </c>
      <c r="Q238">
        <f t="shared" si="960"/>
        <v>2683451340539.0596</v>
      </c>
      <c r="R238">
        <f t="shared" si="961"/>
        <v>-206088161744678.97</v>
      </c>
      <c r="S238">
        <f t="shared" si="962"/>
        <v>-2060881617.4467897</v>
      </c>
      <c r="T238">
        <f t="shared" si="963"/>
        <v>-2060881.6174467898</v>
      </c>
    </row>
    <row r="239" spans="1:20" x14ac:dyDescent="0.25">
      <c r="A239" s="5">
        <v>44354</v>
      </c>
      <c r="B239">
        <v>8.5199999999999997E-6</v>
      </c>
      <c r="C239">
        <v>8.7199999999999995E-6</v>
      </c>
      <c r="D239">
        <v>7.5000000000000002E-6</v>
      </c>
      <c r="E239">
        <v>7.7400000000000004E-6</v>
      </c>
      <c r="F239">
        <v>14317490957225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-0.60655737704917967</v>
      </c>
      <c r="Q239">
        <f t="shared" si="960"/>
        <v>-8684379760939.7451</v>
      </c>
      <c r="R239">
        <f t="shared" si="961"/>
        <v>-208771613085218.03</v>
      </c>
      <c r="S239">
        <f t="shared" si="962"/>
        <v>-2087716130.8521802</v>
      </c>
      <c r="T239">
        <f t="shared" si="963"/>
        <v>-2087716.1308521803</v>
      </c>
    </row>
    <row r="240" spans="1:20" x14ac:dyDescent="0.25">
      <c r="A240" s="5">
        <v>44353</v>
      </c>
      <c r="B240">
        <v>8.4200000000000007E-6</v>
      </c>
      <c r="C240">
        <v>8.6300000000000004E-6</v>
      </c>
      <c r="D240">
        <v>8.3299999999999999E-6</v>
      </c>
      <c r="E240">
        <v>8.5299999999999996E-6</v>
      </c>
      <c r="F240">
        <v>8718852058711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0.3333333333333296</v>
      </c>
      <c r="Q240">
        <f t="shared" si="960"/>
        <v>2906284019570.3008</v>
      </c>
      <c r="R240">
        <f t="shared" si="961"/>
        <v>-200087233324278.28</v>
      </c>
      <c r="S240">
        <f t="shared" si="962"/>
        <v>-2000872333.2427828</v>
      </c>
      <c r="T240">
        <f t="shared" si="963"/>
        <v>-2000872.3332427829</v>
      </c>
    </row>
    <row r="241" spans="1:20" x14ac:dyDescent="0.25">
      <c r="A241" s="5">
        <v>44352</v>
      </c>
      <c r="B241">
        <v>8.8000000000000004E-6</v>
      </c>
      <c r="C241">
        <v>9.1200000000000008E-6</v>
      </c>
      <c r="D241">
        <v>8.1000000000000004E-6</v>
      </c>
      <c r="E241">
        <v>8.4200000000000007E-6</v>
      </c>
      <c r="F241">
        <v>15138731370984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-0.37254901960784276</v>
      </c>
      <c r="Q241">
        <f t="shared" si="960"/>
        <v>-5639919530366.582</v>
      </c>
      <c r="R241">
        <f t="shared" si="961"/>
        <v>-202993517343848.59</v>
      </c>
      <c r="S241">
        <f t="shared" si="962"/>
        <v>-2029935173.4384859</v>
      </c>
      <c r="T241">
        <f t="shared" si="963"/>
        <v>-2029935.1734384859</v>
      </c>
    </row>
    <row r="242" spans="1:20" x14ac:dyDescent="0.25">
      <c r="A242" s="5">
        <v>44351</v>
      </c>
      <c r="B242">
        <v>9.8099999999999992E-6</v>
      </c>
      <c r="C242">
        <v>9.8400000000000007E-6</v>
      </c>
      <c r="D242">
        <v>8.2800000000000003E-6</v>
      </c>
      <c r="E242">
        <v>8.7900000000000005E-6</v>
      </c>
      <c r="F242">
        <v>27586732208422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-0.34615384615384603</v>
      </c>
      <c r="Q242">
        <f t="shared" si="960"/>
        <v>-9549253456761.459</v>
      </c>
      <c r="R242">
        <f t="shared" si="961"/>
        <v>-197353597813482</v>
      </c>
      <c r="S242">
        <f t="shared" si="962"/>
        <v>-1973535978.13482</v>
      </c>
      <c r="T242">
        <f t="shared" si="963"/>
        <v>-1973535.97813482</v>
      </c>
    </row>
    <row r="243" spans="1:20" x14ac:dyDescent="0.25">
      <c r="A243" s="5">
        <v>44350</v>
      </c>
      <c r="B243">
        <v>9.4299999999999995E-6</v>
      </c>
      <c r="C243">
        <v>1.04E-5</v>
      </c>
      <c r="D243">
        <v>9.2900000000000008E-6</v>
      </c>
      <c r="E243">
        <v>9.8200000000000008E-6</v>
      </c>
      <c r="F243">
        <v>25310047082545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-4.5045045045044634E-2</v>
      </c>
      <c r="Q243">
        <f t="shared" si="960"/>
        <v>-1140092210925.4399</v>
      </c>
      <c r="R243">
        <f t="shared" si="961"/>
        <v>-187804344356720.53</v>
      </c>
      <c r="S243">
        <f t="shared" si="962"/>
        <v>-1878043443.5672054</v>
      </c>
      <c r="T243">
        <f t="shared" si="963"/>
        <v>-1878043.4435672055</v>
      </c>
    </row>
    <row r="244" spans="1:20" x14ac:dyDescent="0.25">
      <c r="A244" s="5">
        <v>44349</v>
      </c>
      <c r="B244">
        <v>8.8300000000000002E-6</v>
      </c>
      <c r="C244">
        <v>1.049E-5</v>
      </c>
      <c r="D244">
        <v>8.5699999999999993E-6</v>
      </c>
      <c r="E244">
        <v>9.4399999999999994E-6</v>
      </c>
      <c r="F244">
        <v>37410145146900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-9.3749999999999972E-2</v>
      </c>
      <c r="Q244">
        <f t="shared" si="960"/>
        <v>-3507201107521.874</v>
      </c>
      <c r="R244">
        <f t="shared" si="961"/>
        <v>-186664252145795.09</v>
      </c>
      <c r="S244">
        <f t="shared" si="962"/>
        <v>-1866642521.4579508</v>
      </c>
      <c r="T244">
        <f t="shared" si="963"/>
        <v>-1866642.5214579508</v>
      </c>
    </row>
    <row r="245" spans="1:20" x14ac:dyDescent="0.25">
      <c r="A245" s="5">
        <v>44348</v>
      </c>
      <c r="B245">
        <v>9.2799999999999992E-6</v>
      </c>
      <c r="C245">
        <v>9.4299999999999995E-6</v>
      </c>
      <c r="D245">
        <v>8.2800000000000003E-6</v>
      </c>
      <c r="E245">
        <v>8.8200000000000003E-6</v>
      </c>
      <c r="F245">
        <v>23622771954244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-6.0869565217390766E-2</v>
      </c>
      <c r="Q245">
        <f t="shared" si="960"/>
        <v>-1437907858084.4048</v>
      </c>
      <c r="R245">
        <f t="shared" si="961"/>
        <v>-183157051038273.22</v>
      </c>
      <c r="S245">
        <f t="shared" si="962"/>
        <v>-1831570510.3827322</v>
      </c>
      <c r="T245">
        <f t="shared" si="963"/>
        <v>-1831570.5103827321</v>
      </c>
    </row>
    <row r="246" spans="1:20" x14ac:dyDescent="0.25">
      <c r="A246" s="5">
        <v>44347</v>
      </c>
      <c r="B246">
        <v>7.8499999999999994E-6</v>
      </c>
      <c r="C246">
        <v>9.9799999999999993E-6</v>
      </c>
      <c r="D246">
        <v>7.6899999999999992E-6</v>
      </c>
      <c r="E246">
        <v>9.2799999999999992E-6</v>
      </c>
      <c r="F246">
        <v>29008796041217</v>
      </c>
      <c r="G246">
        <v>0</v>
      </c>
      <c r="L246" t="s">
        <v>7</v>
      </c>
      <c r="M246" t="s">
        <v>8</v>
      </c>
      <c r="N246" t="s">
        <v>7</v>
      </c>
      <c r="P246">
        <f t="shared" si="959"/>
        <v>0.38864628820960695</v>
      </c>
      <c r="Q246">
        <f t="shared" si="960"/>
        <v>11274160906848.527</v>
      </c>
      <c r="R246">
        <f t="shared" si="961"/>
        <v>-181719143180188.81</v>
      </c>
      <c r="S246">
        <f t="shared" si="962"/>
        <v>-1817191431.8018882</v>
      </c>
      <c r="T246">
        <f t="shared" si="963"/>
        <v>-1817191.4318018882</v>
      </c>
    </row>
    <row r="247" spans="1:20" x14ac:dyDescent="0.25">
      <c r="A247" s="5">
        <v>44346</v>
      </c>
      <c r="B247">
        <v>7.9000000000000006E-6</v>
      </c>
      <c r="C247">
        <v>8.1300000000000001E-6</v>
      </c>
      <c r="D247">
        <v>7.52E-6</v>
      </c>
      <c r="E247">
        <v>7.8599999999999993E-6</v>
      </c>
      <c r="F247">
        <v>12847617230998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0.11475409836065323</v>
      </c>
      <c r="Q247">
        <f t="shared" si="960"/>
        <v>1474316731425.9678</v>
      </c>
      <c r="R247">
        <f t="shared" si="961"/>
        <v>-192993304087037.34</v>
      </c>
      <c r="S247">
        <f t="shared" si="962"/>
        <v>-1929933040.8703735</v>
      </c>
      <c r="T247">
        <f t="shared" si="963"/>
        <v>-1929933.0408703736</v>
      </c>
    </row>
    <row r="248" spans="1:20" x14ac:dyDescent="0.25">
      <c r="A248" s="5">
        <v>44345</v>
      </c>
      <c r="B248">
        <v>7.9100000000000005E-6</v>
      </c>
      <c r="C248">
        <v>8.2099999999999993E-6</v>
      </c>
      <c r="D248">
        <v>7.3000000000000004E-6</v>
      </c>
      <c r="E248">
        <v>7.8900000000000007E-6</v>
      </c>
      <c r="F248">
        <v>15473428469390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0.29670329670329887</v>
      </c>
      <c r="Q248">
        <f t="shared" si="960"/>
        <v>4591017238170.6924</v>
      </c>
      <c r="R248">
        <f t="shared" si="961"/>
        <v>-194467620818463.31</v>
      </c>
      <c r="S248">
        <f t="shared" si="962"/>
        <v>-1944676208.184633</v>
      </c>
      <c r="T248">
        <f t="shared" si="963"/>
        <v>-1944676.2081846329</v>
      </c>
    </row>
    <row r="249" spans="1:20" x14ac:dyDescent="0.25">
      <c r="A249" s="5">
        <v>44344</v>
      </c>
      <c r="B249">
        <v>8.7900000000000005E-6</v>
      </c>
      <c r="C249">
        <v>8.85E-6</v>
      </c>
      <c r="D249">
        <v>7.5000000000000002E-6</v>
      </c>
      <c r="E249">
        <v>7.9000000000000006E-6</v>
      </c>
      <c r="F249">
        <v>22969674539465</v>
      </c>
      <c r="G249">
        <v>0</v>
      </c>
      <c r="L249" t="s">
        <v>8</v>
      </c>
      <c r="M249" t="s">
        <v>7</v>
      </c>
      <c r="N249" t="s">
        <v>7</v>
      </c>
      <c r="P249">
        <f t="shared" si="959"/>
        <v>-0.40740740740740672</v>
      </c>
      <c r="Q249">
        <f t="shared" si="960"/>
        <v>-9358015553115.3555</v>
      </c>
      <c r="R249">
        <f t="shared" si="961"/>
        <v>-199058638056634</v>
      </c>
      <c r="S249">
        <f t="shared" si="962"/>
        <v>-1990586380.56634</v>
      </c>
      <c r="T249">
        <f t="shared" si="963"/>
        <v>-1990586.3805663399</v>
      </c>
    </row>
    <row r="250" spans="1:20" x14ac:dyDescent="0.25">
      <c r="A250" s="5">
        <v>44343</v>
      </c>
      <c r="B250">
        <v>9.4900000000000006E-6</v>
      </c>
      <c r="C250">
        <v>9.5000000000000005E-6</v>
      </c>
      <c r="D250">
        <v>8.4999999999999999E-6</v>
      </c>
      <c r="E250">
        <v>8.7900000000000005E-6</v>
      </c>
      <c r="F250">
        <v>21377807919679</v>
      </c>
      <c r="G250">
        <v>0</v>
      </c>
      <c r="L250" t="s">
        <v>7</v>
      </c>
      <c r="M250" t="s">
        <v>7</v>
      </c>
      <c r="N250" t="s">
        <v>7</v>
      </c>
      <c r="P250">
        <f t="shared" si="959"/>
        <v>-0.4199999999999991</v>
      </c>
      <c r="Q250">
        <f t="shared" si="960"/>
        <v>-8978679326265.1602</v>
      </c>
      <c r="R250">
        <f t="shared" si="961"/>
        <v>-189700622503518.66</v>
      </c>
      <c r="S250">
        <f t="shared" si="962"/>
        <v>-1897006225.0351865</v>
      </c>
      <c r="T250">
        <f t="shared" si="963"/>
        <v>-1897006.2250351866</v>
      </c>
    </row>
    <row r="251" spans="1:20" x14ac:dyDescent="0.25">
      <c r="A251" s="5">
        <v>44342</v>
      </c>
      <c r="B251">
        <v>9.38E-6</v>
      </c>
      <c r="C251">
        <v>1.0499999999999999E-5</v>
      </c>
      <c r="D251">
        <v>9.1400000000000006E-6</v>
      </c>
      <c r="E251">
        <v>9.4900000000000006E-6</v>
      </c>
      <c r="F251">
        <v>29880109514903</v>
      </c>
      <c r="G251">
        <v>0</v>
      </c>
      <c r="L251" t="s">
        <v>8</v>
      </c>
      <c r="M251" t="s">
        <v>7</v>
      </c>
      <c r="N251" t="s">
        <v>8</v>
      </c>
      <c r="P251">
        <f t="shared" si="959"/>
        <v>-0.48529411764705832</v>
      </c>
      <c r="Q251">
        <f t="shared" si="960"/>
        <v>-14500641382232.322</v>
      </c>
      <c r="R251">
        <f t="shared" si="961"/>
        <v>-180721943177253.5</v>
      </c>
      <c r="S251">
        <f t="shared" si="962"/>
        <v>-1807219431.7725351</v>
      </c>
      <c r="T251">
        <f t="shared" si="963"/>
        <v>-1807219.4317725352</v>
      </c>
    </row>
    <row r="252" spans="1:20" x14ac:dyDescent="0.25">
      <c r="A252" s="5">
        <v>44341</v>
      </c>
      <c r="B252">
        <v>1.065E-5</v>
      </c>
      <c r="C252">
        <v>1.115E-5</v>
      </c>
      <c r="D252">
        <v>8.7600000000000008E-6</v>
      </c>
      <c r="E252">
        <v>9.3899999999999999E-6</v>
      </c>
      <c r="F252">
        <v>43096086882356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-0.47280334728033535</v>
      </c>
      <c r="Q252">
        <f t="shared" si="960"/>
        <v>-20375974132662.07</v>
      </c>
      <c r="R252">
        <f t="shared" si="961"/>
        <v>-166221301795021.19</v>
      </c>
      <c r="S252">
        <f t="shared" si="962"/>
        <v>-1662213017.9502118</v>
      </c>
      <c r="T252">
        <f t="shared" si="963"/>
        <v>-1662213.0179502117</v>
      </c>
    </row>
    <row r="253" spans="1:20" x14ac:dyDescent="0.25">
      <c r="A253" s="5">
        <v>44340</v>
      </c>
      <c r="B253">
        <v>8.0800000000000006E-6</v>
      </c>
      <c r="C253">
        <v>1.208E-5</v>
      </c>
      <c r="D253">
        <v>7.7300000000000005E-6</v>
      </c>
      <c r="E253">
        <v>1.065E-5</v>
      </c>
      <c r="F253">
        <v>66920838464554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0.34252873563218383</v>
      </c>
      <c r="Q253">
        <f t="shared" si="960"/>
        <v>22922310186709.297</v>
      </c>
      <c r="R253">
        <f t="shared" si="961"/>
        <v>-145845327662359.13</v>
      </c>
      <c r="S253">
        <f t="shared" si="962"/>
        <v>-1458453276.6235912</v>
      </c>
      <c r="T253">
        <f t="shared" si="963"/>
        <v>-1458453.2766235911</v>
      </c>
    </row>
    <row r="254" spans="1:20" x14ac:dyDescent="0.25">
      <c r="A254" s="5">
        <v>44339</v>
      </c>
      <c r="B254">
        <v>8.4200000000000007E-6</v>
      </c>
      <c r="C254">
        <v>9.6500000000000008E-6</v>
      </c>
      <c r="D254">
        <v>6.9399999999999996E-6</v>
      </c>
      <c r="E254">
        <v>8.0900000000000005E-6</v>
      </c>
      <c r="F254">
        <v>60549130370846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-0.15129151291512888</v>
      </c>
      <c r="Q254">
        <f t="shared" si="960"/>
        <v>-9160569539500.6699</v>
      </c>
      <c r="R254">
        <f t="shared" si="961"/>
        <v>-168767637849068.44</v>
      </c>
      <c r="S254">
        <f t="shared" si="962"/>
        <v>-1687676378.4906843</v>
      </c>
      <c r="T254">
        <f t="shared" si="963"/>
        <v>-1687676.3784906843</v>
      </c>
    </row>
    <row r="255" spans="1:20" x14ac:dyDescent="0.25">
      <c r="A255" s="5">
        <v>44338</v>
      </c>
      <c r="B255">
        <v>8.2099999999999993E-6</v>
      </c>
      <c r="C255">
        <v>9.8300000000000008E-6</v>
      </c>
      <c r="D255">
        <v>6.72E-6</v>
      </c>
      <c r="E255">
        <v>8.4200000000000007E-6</v>
      </c>
      <c r="F255">
        <v>46318180421814</v>
      </c>
      <c r="G255">
        <v>0</v>
      </c>
      <c r="L255" t="s">
        <v>8</v>
      </c>
      <c r="M255" t="s">
        <v>8</v>
      </c>
      <c r="N255" t="s">
        <v>8</v>
      </c>
      <c r="P255">
        <f t="shared" si="959"/>
        <v>9.3247588424437478E-2</v>
      </c>
      <c r="Q255">
        <f t="shared" si="960"/>
        <v>4319058624542.1499</v>
      </c>
      <c r="R255">
        <f t="shared" si="961"/>
        <v>-159607068309567.78</v>
      </c>
      <c r="S255">
        <f t="shared" si="962"/>
        <v>-1596070683.0956779</v>
      </c>
      <c r="T255">
        <f t="shared" si="963"/>
        <v>-1596070.6830956778</v>
      </c>
    </row>
    <row r="256" spans="1:20" x14ac:dyDescent="0.25">
      <c r="A256" s="5">
        <v>44337</v>
      </c>
      <c r="B256">
        <v>9.6399999999999992E-6</v>
      </c>
      <c r="C256">
        <v>1.0349999999999999E-5</v>
      </c>
      <c r="D256">
        <v>6.55E-6</v>
      </c>
      <c r="E256">
        <v>8.1999999999999994E-6</v>
      </c>
      <c r="F256">
        <v>54603903901459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-0.13157894736842116</v>
      </c>
      <c r="Q256">
        <f t="shared" si="960"/>
        <v>-7184724197560.4004</v>
      </c>
      <c r="R256">
        <f t="shared" si="961"/>
        <v>-163926126934109.94</v>
      </c>
      <c r="S256">
        <f t="shared" si="962"/>
        <v>-1639261269.3410993</v>
      </c>
      <c r="T256">
        <f t="shared" si="963"/>
        <v>-1639261.2693410993</v>
      </c>
    </row>
    <row r="257" spans="1:20" x14ac:dyDescent="0.25">
      <c r="A257" s="5">
        <v>44336</v>
      </c>
      <c r="B257">
        <v>9.0699999999999996E-6</v>
      </c>
      <c r="C257">
        <v>1.219E-5</v>
      </c>
      <c r="D257">
        <v>7.9999999999999996E-6</v>
      </c>
      <c r="E257">
        <v>9.6399999999999992E-6</v>
      </c>
      <c r="F257">
        <v>67205967066890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-0.21718377088305521</v>
      </c>
      <c r="Q257">
        <f t="shared" si="960"/>
        <v>-14596045353429.592</v>
      </c>
      <c r="R257">
        <f t="shared" si="961"/>
        <v>-156741402736549.53</v>
      </c>
      <c r="S257">
        <f t="shared" si="962"/>
        <v>-1567414027.3654952</v>
      </c>
      <c r="T257">
        <f t="shared" si="963"/>
        <v>-1567414.0273654952</v>
      </c>
    </row>
    <row r="258" spans="1:20" x14ac:dyDescent="0.25">
      <c r="A258" s="5">
        <v>44335</v>
      </c>
      <c r="B258">
        <v>1.562E-5</v>
      </c>
      <c r="C258">
        <v>1.5800000000000001E-5</v>
      </c>
      <c r="D258">
        <v>6.2999999999999998E-6</v>
      </c>
      <c r="E258">
        <v>9.0699999999999996E-6</v>
      </c>
      <c r="F258">
        <v>90539301007324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-0.41684210526315807</v>
      </c>
      <c r="Q258">
        <f t="shared" si="960"/>
        <v>-37740592840947.703</v>
      </c>
      <c r="R258">
        <f t="shared" si="961"/>
        <v>-142145357383119.94</v>
      </c>
      <c r="S258">
        <f t="shared" si="962"/>
        <v>-1421453573.8311994</v>
      </c>
      <c r="T258">
        <f t="shared" si="963"/>
        <v>-1421453.5738311994</v>
      </c>
    </row>
    <row r="259" spans="1:20" x14ac:dyDescent="0.25">
      <c r="A259" s="5">
        <v>44334</v>
      </c>
      <c r="B259">
        <v>1.6500000000000001E-5</v>
      </c>
      <c r="C259">
        <v>1.8E-5</v>
      </c>
      <c r="D259">
        <v>1.517E-5</v>
      </c>
      <c r="E259">
        <v>1.56E-5</v>
      </c>
      <c r="F259">
        <v>27976612440989</v>
      </c>
      <c r="G259">
        <v>0</v>
      </c>
      <c r="L259" t="s">
        <v>8</v>
      </c>
      <c r="M259" t="s">
        <v>7</v>
      </c>
      <c r="N259" t="s">
        <v>8</v>
      </c>
      <c r="P259">
        <f t="shared" si="959"/>
        <v>-0.6961130742049475</v>
      </c>
      <c r="Q259">
        <f t="shared" si="960"/>
        <v>-19474885692137.234</v>
      </c>
      <c r="R259">
        <f t="shared" si="961"/>
        <v>-104404764542172.23</v>
      </c>
      <c r="S259">
        <f t="shared" si="962"/>
        <v>-1044047645.4217223</v>
      </c>
      <c r="T259">
        <f t="shared" si="963"/>
        <v>-1044047.6454217223</v>
      </c>
    </row>
    <row r="260" spans="1:20" x14ac:dyDescent="0.25">
      <c r="A260" s="5">
        <v>44333</v>
      </c>
      <c r="B260">
        <v>1.783E-5</v>
      </c>
      <c r="C260">
        <v>1.808E-5</v>
      </c>
      <c r="D260">
        <v>1.4080000000000001E-5</v>
      </c>
      <c r="E260">
        <v>1.6509999999999999E-5</v>
      </c>
      <c r="F260">
        <v>60156822115985</v>
      </c>
      <c r="G260">
        <v>0</v>
      </c>
      <c r="L260" t="s">
        <v>7</v>
      </c>
      <c r="M260" t="s">
        <v>8</v>
      </c>
      <c r="N260" t="s">
        <v>8</v>
      </c>
      <c r="P260">
        <f t="shared" si="959"/>
        <v>0.21499999999999969</v>
      </c>
      <c r="Q260">
        <f t="shared" si="960"/>
        <v>12933716754936.756</v>
      </c>
      <c r="R260">
        <f t="shared" si="961"/>
        <v>-84929878850035</v>
      </c>
      <c r="S260">
        <f t="shared" si="962"/>
        <v>-849298788.50035</v>
      </c>
      <c r="T260">
        <f t="shared" si="963"/>
        <v>-849298.78850034997</v>
      </c>
    </row>
    <row r="261" spans="1:20" x14ac:dyDescent="0.25">
      <c r="A261" s="5">
        <v>44332</v>
      </c>
      <c r="B261">
        <v>1.552E-5</v>
      </c>
      <c r="C261">
        <v>1.9619999999999998E-5</v>
      </c>
      <c r="D261">
        <v>1.237E-5</v>
      </c>
      <c r="E261">
        <v>1.7839999999999999E-5</v>
      </c>
      <c r="F261">
        <v>61634752660696</v>
      </c>
      <c r="G261">
        <v>0</v>
      </c>
      <c r="L261" t="s">
        <v>8</v>
      </c>
      <c r="M261" t="s">
        <v>7</v>
      </c>
      <c r="N261" t="s">
        <v>7</v>
      </c>
      <c r="P261">
        <f t="shared" si="959"/>
        <v>0.50896551724137917</v>
      </c>
      <c r="Q261">
        <f t="shared" si="960"/>
        <v>31369963767995.609</v>
      </c>
      <c r="R261">
        <f t="shared" si="961"/>
        <v>-97863595604971.75</v>
      </c>
      <c r="S261">
        <f t="shared" si="962"/>
        <v>-978635956.04971755</v>
      </c>
      <c r="T261">
        <f t="shared" si="963"/>
        <v>-978635.9560497175</v>
      </c>
    </row>
    <row r="262" spans="1:20" x14ac:dyDescent="0.25">
      <c r="A262" s="5">
        <v>44331</v>
      </c>
      <c r="B262">
        <v>1.8410000000000002E-5</v>
      </c>
      <c r="C262">
        <v>1.897E-5</v>
      </c>
      <c r="D262">
        <v>1.501E-5</v>
      </c>
      <c r="E262">
        <v>1.5529999999999999E-5</v>
      </c>
      <c r="F262">
        <v>43727275531961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-0.73737373737373813</v>
      </c>
      <c r="Q262">
        <f t="shared" ref="Q262:Q325" si="965">F262*P262</f>
        <v>-32243344584173.297</v>
      </c>
      <c r="R262">
        <f t="shared" ref="R262:R325" si="966">R263+Q262</f>
        <v>-129233559372967.36</v>
      </c>
      <c r="S262">
        <f t="shared" ref="S262:S325" si="967">R262/100000</f>
        <v>-1292335593.7296736</v>
      </c>
      <c r="T262">
        <f t="shared" ref="T262:T325" si="968">S262/1000</f>
        <v>-1292335.5937296737</v>
      </c>
    </row>
    <row r="263" spans="1:20" x14ac:dyDescent="0.25">
      <c r="A263" s="5">
        <v>44330</v>
      </c>
      <c r="B263">
        <v>2.103E-5</v>
      </c>
      <c r="C263">
        <v>2.2240000000000001E-5</v>
      </c>
      <c r="D263">
        <v>1.8159999999999999E-5</v>
      </c>
      <c r="E263">
        <v>1.84E-5</v>
      </c>
      <c r="F263">
        <v>40927854276575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-0.88235294117647012</v>
      </c>
      <c r="Q263">
        <f t="shared" si="965"/>
        <v>-36112812596977.922</v>
      </c>
      <c r="R263">
        <f t="shared" si="966"/>
        <v>-96990214788794.063</v>
      </c>
      <c r="S263">
        <f t="shared" si="967"/>
        <v>-969902147.88794065</v>
      </c>
      <c r="T263">
        <f t="shared" si="968"/>
        <v>-969902.14788794063</v>
      </c>
    </row>
    <row r="264" spans="1:20" x14ac:dyDescent="0.25">
      <c r="A264" s="5">
        <v>44329</v>
      </c>
      <c r="B264">
        <v>1.8170000000000001E-5</v>
      </c>
      <c r="C264">
        <v>2.357E-5</v>
      </c>
      <c r="D264">
        <v>1.5299999999999999E-5</v>
      </c>
      <c r="E264">
        <v>2.1019999999999999E-5</v>
      </c>
      <c r="F264">
        <v>91254881005748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0.38331318016928639</v>
      </c>
      <c r="Q264">
        <f t="shared" si="965"/>
        <v>34979198644283.074</v>
      </c>
      <c r="R264">
        <f t="shared" si="966"/>
        <v>-60877402191816.141</v>
      </c>
      <c r="S264">
        <f t="shared" si="967"/>
        <v>-608774021.91816139</v>
      </c>
      <c r="T264">
        <f t="shared" si="968"/>
        <v>-608774.02191816142</v>
      </c>
    </row>
    <row r="265" spans="1:20" x14ac:dyDescent="0.25">
      <c r="A265" s="5">
        <v>44328</v>
      </c>
      <c r="B265">
        <v>3.04E-5</v>
      </c>
      <c r="C265">
        <v>3.15E-5</v>
      </c>
      <c r="D265">
        <v>1.7520000000000002E-5</v>
      </c>
      <c r="E265">
        <v>1.821E-5</v>
      </c>
      <c r="F265">
        <v>86909144958765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-0.9012875536480689</v>
      </c>
      <c r="Q265">
        <f t="shared" si="965"/>
        <v>-78330130649530.703</v>
      </c>
      <c r="R265">
        <f t="shared" si="966"/>
        <v>-95856600836099.219</v>
      </c>
      <c r="S265">
        <f t="shared" si="967"/>
        <v>-958566008.36099219</v>
      </c>
      <c r="T265">
        <f t="shared" si="968"/>
        <v>-958566.00836099219</v>
      </c>
    </row>
    <row r="266" spans="1:20" x14ac:dyDescent="0.25">
      <c r="A266" s="5">
        <v>44327</v>
      </c>
      <c r="B266">
        <v>3.468E-5</v>
      </c>
      <c r="C266">
        <v>3.799E-5</v>
      </c>
      <c r="D266">
        <v>2.7800000000000001E-5</v>
      </c>
      <c r="E266">
        <v>3.042E-5</v>
      </c>
      <c r="F266">
        <v>64512785938482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-0.48577036310107968</v>
      </c>
      <c r="Q266">
        <f t="shared" si="965"/>
        <v>-31338399449998.629</v>
      </c>
      <c r="R266">
        <f t="shared" si="966"/>
        <v>-17526470186568.51</v>
      </c>
      <c r="S266">
        <f t="shared" si="967"/>
        <v>-175264701.86568511</v>
      </c>
      <c r="T266">
        <f t="shared" si="968"/>
        <v>-175264.70186568511</v>
      </c>
    </row>
    <row r="267" spans="1:20" x14ac:dyDescent="0.25">
      <c r="A267" s="5">
        <v>44326</v>
      </c>
      <c r="B267">
        <v>1.412E-5</v>
      </c>
      <c r="C267">
        <v>5.0000000000000002E-5</v>
      </c>
      <c r="D267">
        <v>1.412E-5</v>
      </c>
      <c r="E267">
        <v>3.4659999999999997E-5</v>
      </c>
      <c r="F267">
        <v>95302311917668</v>
      </c>
      <c r="G267">
        <v>0</v>
      </c>
      <c r="P267">
        <f t="shared" si="964"/>
        <v>0.14492753623188379</v>
      </c>
      <c r="Q267">
        <f t="shared" si="965"/>
        <v>13811929263430.119</v>
      </c>
      <c r="R267">
        <f t="shared" si="966"/>
        <v>13811929263430.119</v>
      </c>
      <c r="S267">
        <f t="shared" si="967"/>
        <v>138119292.63430119</v>
      </c>
      <c r="T267">
        <f t="shared" si="968"/>
        <v>138119.29263430118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G936" sqref="JG93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$A$935</v>
      </c>
      <c r="D111" s="1" t="str">
        <f>ADDRESS(C121-1,D121,1,1)</f>
        <v>$JG$935</v>
      </c>
      <c r="E111"/>
    </row>
    <row r="112" spans="1:5" x14ac:dyDescent="0.25">
      <c r="A112" s="7">
        <v>12164.144957890772</v>
      </c>
      <c r="C112" s="1" t="str">
        <f>ADDRESS(C121,1,1,1)</f>
        <v>$A$936</v>
      </c>
      <c r="D112" s="1" t="str">
        <f>ADDRESS(C121,D121-1,1,1)</f>
        <v>$JF$936</v>
      </c>
      <c r="E112"/>
    </row>
    <row r="113" spans="1:5" x14ac:dyDescent="0.25">
      <c r="A113" s="7">
        <v>11925.63231165762</v>
      </c>
      <c r="C113" s="1" t="str">
        <f>ADDRESS(C121+1,1,1,1)</f>
        <v>$A$937</v>
      </c>
      <c r="D113" s="1" t="str">
        <f>ADDRESS(C121-1,D121+1,1,1)</f>
        <v>$JH$935</v>
      </c>
    </row>
    <row r="114" spans="1:5" x14ac:dyDescent="0.25">
      <c r="A114" s="7">
        <v>11691.796383978059</v>
      </c>
      <c r="C114" s="1" t="str">
        <f>ADDRESS(C121,D121,1,1)</f>
        <v>$JG$936</v>
      </c>
      <c r="D114" s="1" t="str">
        <f>ADDRESS(C121+1,D121+1,1,1)</f>
        <v>$JH$937</v>
      </c>
    </row>
    <row r="115" spans="1:5" x14ac:dyDescent="0.25">
      <c r="A115" s="7">
        <v>11462.545474488292</v>
      </c>
      <c r="C115" s="1" t="str">
        <f>ADDRESS(C121+1,D121,1,1)</f>
        <v>$JG$937</v>
      </c>
    </row>
    <row r="116" spans="1:5" x14ac:dyDescent="0.25">
      <c r="A116" s="7">
        <v>11237.789680870874</v>
      </c>
      <c r="C116" s="1">
        <f>C117-1</f>
        <v>935</v>
      </c>
    </row>
    <row r="117" spans="1:5" x14ac:dyDescent="0.25">
      <c r="A117" s="7">
        <v>11017.440863598895</v>
      </c>
      <c r="C117" s="1">
        <f>C121</f>
        <v>936</v>
      </c>
      <c r="D117" s="1">
        <f>D121</f>
        <v>267</v>
      </c>
    </row>
    <row r="118" spans="1:5" x14ac:dyDescent="0.25">
      <c r="A118" s="7">
        <v>10801.412611371465</v>
      </c>
      <c r="C118" s="1">
        <f>C117+1</f>
        <v>937</v>
      </c>
      <c r="D118" s="1">
        <f>D117+1</f>
        <v>268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936</v>
      </c>
      <c r="D121" s="19">
        <v>267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R936</v>
      </c>
      <c r="D123" s="1" t="str">
        <f>"C"&amp;D121</f>
        <v>C267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9.966439966258261E-4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6" x14ac:dyDescent="0.25">
      <c r="A721" s="7">
        <v>7.0400701055846782E-2</v>
      </c>
      <c r="B721"/>
      <c r="C721"/>
      <c r="D721"/>
      <c r="E721"/>
      <c r="F721" s="27" t="s">
        <v>7</v>
      </c>
    </row>
    <row r="722" spans="1:6" x14ac:dyDescent="0.25">
      <c r="A722" s="7">
        <v>6.9020295152790956E-2</v>
      </c>
      <c r="B722"/>
      <c r="C722"/>
      <c r="D722"/>
      <c r="E722"/>
      <c r="F722" s="27" t="s">
        <v>7</v>
      </c>
    </row>
    <row r="723" spans="1:6" x14ac:dyDescent="0.25">
      <c r="A723" s="7">
        <v>6.7666956032147993E-2</v>
      </c>
      <c r="B723"/>
      <c r="C723"/>
      <c r="D723"/>
      <c r="E723"/>
      <c r="F723" s="27" t="s">
        <v>7</v>
      </c>
    </row>
    <row r="724" spans="1:6" x14ac:dyDescent="0.25">
      <c r="A724" s="7">
        <v>6.6340152972694105E-2</v>
      </c>
      <c r="B724"/>
      <c r="C724"/>
      <c r="D724"/>
      <c r="E724"/>
      <c r="F724" s="27" t="s">
        <v>7</v>
      </c>
    </row>
    <row r="725" spans="1:6" x14ac:dyDescent="0.25">
      <c r="A725" s="7">
        <v>6.5039365659504023E-2</v>
      </c>
      <c r="B725"/>
      <c r="C725"/>
      <c r="D725"/>
      <c r="E725"/>
      <c r="F725" s="27" t="s">
        <v>7</v>
      </c>
    </row>
    <row r="726" spans="1:6" x14ac:dyDescent="0.25">
      <c r="A726" s="7">
        <v>6.3764083979905906E-2</v>
      </c>
      <c r="B726"/>
      <c r="C726"/>
      <c r="D726"/>
      <c r="E726"/>
      <c r="F726" s="27" t="s">
        <v>7</v>
      </c>
    </row>
    <row r="727" spans="1:6" x14ac:dyDescent="0.25">
      <c r="A727" s="7">
        <v>6.251380782343717E-2</v>
      </c>
      <c r="B727"/>
      <c r="C727"/>
      <c r="D727"/>
      <c r="E727"/>
      <c r="F727" s="27" t="s">
        <v>7</v>
      </c>
    </row>
    <row r="728" spans="1:6" x14ac:dyDescent="0.25">
      <c r="A728" s="7">
        <v>6.1288046885722716E-2</v>
      </c>
      <c r="B728"/>
      <c r="C728"/>
      <c r="D728"/>
      <c r="E728"/>
      <c r="F728" s="27" t="s">
        <v>7</v>
      </c>
    </row>
    <row r="729" spans="1:6" x14ac:dyDescent="0.25">
      <c r="A729" s="7">
        <v>6.0086320476198739E-2</v>
      </c>
      <c r="B729"/>
      <c r="C729"/>
      <c r="D729"/>
      <c r="E729"/>
      <c r="F729" s="27" t="s">
        <v>7</v>
      </c>
    </row>
    <row r="730" spans="1:6" x14ac:dyDescent="0.25">
      <c r="A730" s="7">
        <v>5.8908157329606609E-2</v>
      </c>
      <c r="B730"/>
      <c r="C730"/>
      <c r="D730"/>
      <c r="E730"/>
      <c r="F730" s="27" t="s">
        <v>7</v>
      </c>
    </row>
    <row r="731" spans="1:6" x14ac:dyDescent="0.25">
      <c r="A731" s="7">
        <v>5.7753095421182947E-2</v>
      </c>
      <c r="B731"/>
      <c r="C731"/>
      <c r="D731"/>
      <c r="E731"/>
      <c r="F731" s="27" t="s">
        <v>7</v>
      </c>
    </row>
    <row r="732" spans="1:6" x14ac:dyDescent="0.25">
      <c r="A732" s="7">
        <v>5.6620681785473484E-2</v>
      </c>
      <c r="B732"/>
      <c r="C732"/>
      <c r="D732"/>
      <c r="E732"/>
      <c r="F732" s="27" t="s">
        <v>7</v>
      </c>
    </row>
    <row r="733" spans="1:6" x14ac:dyDescent="0.25">
      <c r="A733" s="7">
        <v>5.5510472338699497E-2</v>
      </c>
      <c r="B733"/>
      <c r="C733"/>
      <c r="D733"/>
      <c r="E733"/>
      <c r="F733" s="27" t="s">
        <v>7</v>
      </c>
    </row>
    <row r="734" spans="1:6" x14ac:dyDescent="0.25">
      <c r="A734" s="7">
        <v>5.4422031704607354E-2</v>
      </c>
      <c r="B734"/>
      <c r="C734"/>
      <c r="D734"/>
      <c r="E734"/>
      <c r="F734" s="27" t="s">
        <v>7</v>
      </c>
    </row>
    <row r="735" spans="1:6" x14ac:dyDescent="0.25">
      <c r="A735" s="7">
        <v>5.3354933043732705E-2</v>
      </c>
      <c r="B735"/>
      <c r="C735"/>
      <c r="D735"/>
      <c r="E735"/>
      <c r="F735" s="27" t="s">
        <v>7</v>
      </c>
    </row>
    <row r="736" spans="1:6" x14ac:dyDescent="0.25">
      <c r="A736" s="7">
        <v>5.2308757886012455E-2</v>
      </c>
      <c r="B736"/>
      <c r="C736"/>
      <c r="D736"/>
      <c r="E736"/>
      <c r="F736" s="27" t="s">
        <v>7</v>
      </c>
    </row>
    <row r="737" spans="1:6" x14ac:dyDescent="0.25">
      <c r="A737" s="7">
        <v>5.1283095966678877E-2</v>
      </c>
      <c r="B737"/>
      <c r="C737"/>
      <c r="D737"/>
      <c r="E737"/>
      <c r="F737" s="27" t="s">
        <v>7</v>
      </c>
    </row>
    <row r="738" spans="1:6" x14ac:dyDescent="0.25">
      <c r="A738" s="7">
        <v>5.0277545065371444E-2</v>
      </c>
      <c r="B738"/>
      <c r="C738"/>
      <c r="D738"/>
      <c r="E738"/>
      <c r="F738" s="27" t="s">
        <v>7</v>
      </c>
    </row>
    <row r="739" spans="1:6" x14ac:dyDescent="0.25">
      <c r="A739" s="7">
        <v>4.9291710848403378E-2</v>
      </c>
      <c r="B739"/>
      <c r="C739"/>
      <c r="D739"/>
      <c r="E739"/>
      <c r="F739" s="27" t="s">
        <v>7</v>
      </c>
    </row>
    <row r="740" spans="1:6" x14ac:dyDescent="0.25">
      <c r="A740" s="7">
        <v>4.8325206714120959E-2</v>
      </c>
      <c r="B740"/>
      <c r="C740"/>
      <c r="D740"/>
      <c r="E740"/>
      <c r="F740" s="27" t="s">
        <v>7</v>
      </c>
    </row>
    <row r="741" spans="1:6" x14ac:dyDescent="0.25">
      <c r="A741" s="7">
        <v>4.7377653641295057E-2</v>
      </c>
      <c r="B741"/>
      <c r="C741"/>
      <c r="D741"/>
      <c r="E741"/>
      <c r="F741" s="27" t="s">
        <v>7</v>
      </c>
    </row>
    <row r="742" spans="1:6" x14ac:dyDescent="0.25">
      <c r="A742" s="7">
        <v>4.644868004048535E-2</v>
      </c>
      <c r="B742"/>
      <c r="C742"/>
      <c r="D742"/>
      <c r="E742"/>
      <c r="F742" s="27" t="s">
        <v>7</v>
      </c>
    </row>
    <row r="743" spans="1:6" x14ac:dyDescent="0.25">
      <c r="A743" s="7">
        <v>4.5537921608318974E-2</v>
      </c>
      <c r="B743"/>
      <c r="C743"/>
      <c r="D743"/>
      <c r="E743"/>
      <c r="F743" s="27" t="s">
        <v>7</v>
      </c>
    </row>
    <row r="744" spans="1:6" x14ac:dyDescent="0.25">
      <c r="A744" s="7">
        <v>4.4645021184626446E-2</v>
      </c>
      <c r="B744"/>
      <c r="C744"/>
      <c r="D744"/>
      <c r="E744"/>
      <c r="F744" s="27" t="s">
        <v>7</v>
      </c>
    </row>
    <row r="745" spans="1:6" x14ac:dyDescent="0.25">
      <c r="A745" s="7">
        <v>4.3769628612378868E-2</v>
      </c>
      <c r="B745"/>
      <c r="C745"/>
      <c r="D745"/>
      <c r="E745"/>
      <c r="F745" s="27" t="s">
        <v>7</v>
      </c>
    </row>
    <row r="746" spans="1:6" x14ac:dyDescent="0.25">
      <c r="A746" s="7">
        <v>4.2911400600371442E-2</v>
      </c>
      <c r="B746"/>
      <c r="C746"/>
      <c r="D746"/>
      <c r="E746"/>
      <c r="F746" s="27" t="s">
        <v>7</v>
      </c>
    </row>
    <row r="747" spans="1:6" x14ac:dyDescent="0.25">
      <c r="A747" s="7">
        <v>4.2070000588599457E-2</v>
      </c>
      <c r="B747"/>
      <c r="C747"/>
      <c r="D747"/>
      <c r="E747"/>
      <c r="F747" s="27" t="s">
        <v>7</v>
      </c>
    </row>
    <row r="748" spans="1:6" x14ac:dyDescent="0.25">
      <c r="A748" s="7">
        <v>4.1245098616273977E-2</v>
      </c>
      <c r="B748"/>
      <c r="C748"/>
      <c r="D748"/>
      <c r="E748"/>
      <c r="F748" s="27" t="s">
        <v>7</v>
      </c>
    </row>
    <row r="749" spans="1:6" x14ac:dyDescent="0.25">
      <c r="A749" s="7">
        <v>4.043637119242547E-2</v>
      </c>
      <c r="B749"/>
      <c r="C749"/>
      <c r="D749"/>
      <c r="E749"/>
      <c r="F749" s="27" t="s">
        <v>7</v>
      </c>
    </row>
    <row r="750" spans="1:6" x14ac:dyDescent="0.25">
      <c r="A750" s="7">
        <v>3.9643501169044582E-2</v>
      </c>
      <c r="B750"/>
      <c r="C750"/>
      <c r="D750"/>
      <c r="E750"/>
      <c r="F750" s="27" t="s">
        <v>7</v>
      </c>
    </row>
    <row r="751" spans="1:6" x14ac:dyDescent="0.25">
      <c r="A751" s="7">
        <v>3.8866177616710372E-2</v>
      </c>
      <c r="B751"/>
      <c r="C751"/>
      <c r="D751"/>
      <c r="E751"/>
      <c r="F751" s="27" t="s">
        <v>7</v>
      </c>
    </row>
    <row r="752" spans="1:6" x14ac:dyDescent="0.25">
      <c r="A752" s="7">
        <v>3.8104095702657229E-2</v>
      </c>
      <c r="B752"/>
      <c r="C752"/>
      <c r="D752"/>
      <c r="E752"/>
      <c r="F752" s="27" t="s">
        <v>7</v>
      </c>
    </row>
    <row r="753" spans="1:6" x14ac:dyDescent="0.25">
      <c r="A753" s="7">
        <v>3.7356956571232579E-2</v>
      </c>
      <c r="B753"/>
      <c r="C753"/>
      <c r="D753"/>
      <c r="E753"/>
      <c r="F753" s="27" t="s">
        <v>7</v>
      </c>
    </row>
    <row r="754" spans="1:6" x14ac:dyDescent="0.25">
      <c r="A754" s="7">
        <v>3.6624467226698605E-2</v>
      </c>
      <c r="B754"/>
      <c r="C754"/>
      <c r="D754"/>
      <c r="E754"/>
      <c r="F754" s="27" t="s">
        <v>7</v>
      </c>
    </row>
    <row r="755" spans="1:6" x14ac:dyDescent="0.25">
      <c r="A755" s="7">
        <v>3.5906340418331961E-2</v>
      </c>
      <c r="B755"/>
      <c r="C755"/>
      <c r="D755"/>
      <c r="E755"/>
      <c r="F755" s="27" t="s">
        <v>7</v>
      </c>
    </row>
    <row r="756" spans="1:6" x14ac:dyDescent="0.25">
      <c r="A756" s="7">
        <v>3.5202294527776436E-2</v>
      </c>
      <c r="B756"/>
      <c r="C756"/>
      <c r="D756"/>
      <c r="E756"/>
      <c r="F756" s="27" t="s">
        <v>7</v>
      </c>
    </row>
    <row r="757" spans="1:6" x14ac:dyDescent="0.25">
      <c r="A757" s="7">
        <v>3.451205345860435E-2</v>
      </c>
      <c r="B757"/>
      <c r="C757"/>
      <c r="D757"/>
      <c r="E757"/>
      <c r="F757" s="27" t="s">
        <v>7</v>
      </c>
    </row>
    <row r="758" spans="1:6" x14ac:dyDescent="0.25">
      <c r="A758" s="7">
        <v>3.3835346528043479E-2</v>
      </c>
      <c r="B758"/>
      <c r="C758"/>
      <c r="D758"/>
      <c r="E758"/>
      <c r="F758" s="27" t="s">
        <v>7</v>
      </c>
    </row>
    <row r="759" spans="1:6" x14ac:dyDescent="0.25">
      <c r="A759" s="7">
        <v>3.3171908360826938E-2</v>
      </c>
      <c r="B759"/>
      <c r="C759"/>
      <c r="D759"/>
      <c r="E759"/>
      <c r="F759" s="27" t="s">
        <v>7</v>
      </c>
    </row>
    <row r="760" spans="1:6" x14ac:dyDescent="0.25">
      <c r="A760" s="7">
        <v>3.2521478785124451E-2</v>
      </c>
      <c r="B760"/>
      <c r="C760"/>
      <c r="D760"/>
      <c r="E760"/>
      <c r="F760" s="27" t="s">
        <v>7</v>
      </c>
    </row>
    <row r="761" spans="1:6" x14ac:dyDescent="0.25">
      <c r="A761" s="7">
        <v>3.1883802730514173E-2</v>
      </c>
      <c r="B761"/>
      <c r="C761"/>
      <c r="D761"/>
      <c r="E761"/>
      <c r="F761" s="27" t="s">
        <v>7</v>
      </c>
    </row>
    <row r="762" spans="1:6" x14ac:dyDescent="0.25">
      <c r="A762" s="7">
        <v>3.1258630127955073E-2</v>
      </c>
      <c r="B762"/>
      <c r="C762"/>
      <c r="D762"/>
      <c r="E762"/>
      <c r="F762" s="27" t="s">
        <v>7</v>
      </c>
    </row>
    <row r="763" spans="1:6" x14ac:dyDescent="0.25">
      <c r="A763" s="7">
        <v>3.064571581172066E-2</v>
      </c>
      <c r="B763"/>
      <c r="C763"/>
      <c r="D763"/>
      <c r="E763"/>
      <c r="F763" s="27" t="s">
        <v>7</v>
      </c>
    </row>
    <row r="764" spans="1:6" x14ac:dyDescent="0.25">
      <c r="A764" s="7">
        <v>3.0044819423255549E-2</v>
      </c>
      <c r="B764"/>
      <c r="C764"/>
      <c r="D764"/>
      <c r="E764"/>
      <c r="F764" s="27" t="s">
        <v>7</v>
      </c>
    </row>
    <row r="765" spans="1:6" x14ac:dyDescent="0.25">
      <c r="A765" s="7">
        <v>2.9455705316917203E-2</v>
      </c>
      <c r="B765"/>
      <c r="C765"/>
      <c r="D765"/>
      <c r="E765"/>
      <c r="F765" s="27" t="s">
        <v>7</v>
      </c>
    </row>
    <row r="766" spans="1:6" x14ac:dyDescent="0.25">
      <c r="A766" s="7">
        <v>2.8878142467565884E-2</v>
      </c>
      <c r="B766"/>
      <c r="C766"/>
      <c r="D766"/>
      <c r="E766"/>
      <c r="F766" s="27" t="s">
        <v>7</v>
      </c>
    </row>
    <row r="767" spans="1:6" x14ac:dyDescent="0.25">
      <c r="A767" s="7">
        <v>2.8311904379966554E-2</v>
      </c>
      <c r="B767"/>
      <c r="C767"/>
      <c r="D767"/>
      <c r="E767"/>
      <c r="F767" s="27" t="s">
        <v>7</v>
      </c>
    </row>
    <row r="768" spans="1:6" x14ac:dyDescent="0.25">
      <c r="A768" s="7">
        <v>2.7756768999967207E-2</v>
      </c>
      <c r="B768"/>
      <c r="C768"/>
      <c r="D768"/>
      <c r="E768"/>
      <c r="F768" s="27" t="s">
        <v>7</v>
      </c>
    </row>
    <row r="769" spans="1:6" x14ac:dyDescent="0.25">
      <c r="A769" s="7">
        <v>2.7212518627418834E-2</v>
      </c>
      <c r="B769"/>
      <c r="C769"/>
      <c r="D769"/>
      <c r="E769"/>
      <c r="F769" s="27" t="s">
        <v>7</v>
      </c>
    </row>
    <row r="770" spans="1:6" x14ac:dyDescent="0.25">
      <c r="A770" s="7">
        <v>2.6678939830802779E-2</v>
      </c>
      <c r="B770"/>
      <c r="C770"/>
      <c r="D770"/>
      <c r="E770"/>
      <c r="F770" s="27" t="s">
        <v>7</v>
      </c>
    </row>
    <row r="771" spans="1:6" x14ac:dyDescent="0.25">
      <c r="A771" s="7">
        <v>2.615582336353214E-2</v>
      </c>
      <c r="B771"/>
      <c r="C771"/>
      <c r="D771"/>
      <c r="E771"/>
      <c r="F771" s="27" t="s">
        <v>7</v>
      </c>
    </row>
    <row r="772" spans="1:6" x14ac:dyDescent="0.25">
      <c r="A772" s="7">
        <v>2.5642964081894253E-2</v>
      </c>
      <c r="B772"/>
      <c r="C772"/>
      <c r="D772"/>
      <c r="E772"/>
      <c r="F772" s="27" t="s">
        <v>7</v>
      </c>
    </row>
    <row r="773" spans="1:6" x14ac:dyDescent="0.25">
      <c r="A773" s="7">
        <v>2.5140160864602207E-2</v>
      </c>
      <c r="B773"/>
      <c r="C773"/>
      <c r="D773"/>
      <c r="E773"/>
      <c r="F773" s="27" t="s">
        <v>7</v>
      </c>
    </row>
    <row r="774" spans="1:6" x14ac:dyDescent="0.25">
      <c r="A774" s="7">
        <v>2.4647216533923735E-2</v>
      </c>
      <c r="B774"/>
      <c r="C774"/>
      <c r="D774"/>
      <c r="E774"/>
      <c r="F774" s="27" t="s">
        <v>7</v>
      </c>
    </row>
    <row r="775" spans="1:6" x14ac:dyDescent="0.25">
      <c r="A775" s="7">
        <v>2.4163937778356601E-2</v>
      </c>
      <c r="B775"/>
      <c r="C775"/>
      <c r="D775"/>
      <c r="E775"/>
      <c r="F775" s="27" t="s">
        <v>7</v>
      </c>
    </row>
    <row r="776" spans="1:6" x14ac:dyDescent="0.25">
      <c r="A776" s="7">
        <v>2.3690135076820197E-2</v>
      </c>
      <c r="B776"/>
      <c r="C776"/>
      <c r="D776"/>
      <c r="E776"/>
      <c r="F776" s="27" t="s">
        <v>7</v>
      </c>
    </row>
    <row r="777" spans="1:6" x14ac:dyDescent="0.25">
      <c r="A777" s="7">
        <v>2.3225622624333527E-2</v>
      </c>
      <c r="B777"/>
      <c r="C777"/>
      <c r="D777"/>
      <c r="E777"/>
      <c r="F777" s="27" t="s">
        <v>7</v>
      </c>
    </row>
    <row r="778" spans="1:6" x14ac:dyDescent="0.25">
      <c r="A778" s="7">
        <v>2.2770218259150519E-2</v>
      </c>
      <c r="B778"/>
      <c r="C778"/>
      <c r="D778"/>
      <c r="E778"/>
      <c r="F778" s="27" t="s">
        <v>7</v>
      </c>
    </row>
    <row r="779" spans="1:6" x14ac:dyDescent="0.25">
      <c r="A779" s="7">
        <v>2.2323743391324039E-2</v>
      </c>
      <c r="B779"/>
      <c r="C779"/>
      <c r="D779"/>
      <c r="E779"/>
      <c r="F779" s="27" t="s">
        <v>7</v>
      </c>
    </row>
    <row r="780" spans="1:6" x14ac:dyDescent="0.25">
      <c r="A780" s="7">
        <v>2.188602293267063E-2</v>
      </c>
      <c r="B780"/>
      <c r="C780"/>
      <c r="D780"/>
      <c r="E780"/>
      <c r="F780" s="27" t="s">
        <v>7</v>
      </c>
    </row>
    <row r="781" spans="1:6" x14ac:dyDescent="0.25">
      <c r="A781" s="7">
        <v>2.1456885228108461E-2</v>
      </c>
      <c r="B781"/>
      <c r="C781"/>
      <c r="D781"/>
      <c r="E781"/>
      <c r="F781" s="27" t="s">
        <v>7</v>
      </c>
    </row>
    <row r="782" spans="1:6" x14ac:dyDescent="0.25">
      <c r="A782" s="7">
        <v>2.1036161988341632E-2</v>
      </c>
      <c r="B782"/>
      <c r="C782"/>
      <c r="D782"/>
      <c r="E782"/>
      <c r="F782" s="27" t="s">
        <v>7</v>
      </c>
    </row>
    <row r="783" spans="1:6" x14ac:dyDescent="0.25">
      <c r="A783" s="7">
        <v>2.0623688223864345E-2</v>
      </c>
      <c r="B783"/>
      <c r="C783"/>
      <c r="D783"/>
      <c r="E783"/>
      <c r="F783" s="27" t="s">
        <v>7</v>
      </c>
    </row>
    <row r="784" spans="1:6" x14ac:dyDescent="0.25">
      <c r="A784" s="7">
        <v>2.021930218025916E-2</v>
      </c>
      <c r="B784"/>
      <c r="C784"/>
      <c r="D784"/>
      <c r="E784"/>
      <c r="F784" s="27" t="s">
        <v>7</v>
      </c>
    </row>
    <row r="785" spans="1:6" x14ac:dyDescent="0.25">
      <c r="A785" s="7">
        <v>1.9822845274763884E-2</v>
      </c>
      <c r="B785"/>
      <c r="C785"/>
      <c r="D785"/>
      <c r="E785"/>
      <c r="F785" s="27" t="s">
        <v>7</v>
      </c>
    </row>
    <row r="786" spans="1:6" x14ac:dyDescent="0.25">
      <c r="A786" s="7">
        <v>1.9434162034082238E-2</v>
      </c>
      <c r="B786"/>
      <c r="C786"/>
      <c r="D786"/>
      <c r="E786"/>
      <c r="F786" s="27" t="s">
        <v>7</v>
      </c>
    </row>
    <row r="787" spans="1:6" x14ac:dyDescent="0.25">
      <c r="A787" s="7">
        <v>1.9053100033413959E-2</v>
      </c>
      <c r="B787"/>
      <c r="C787"/>
      <c r="D787"/>
      <c r="E787"/>
      <c r="F787" s="27" t="s">
        <v>7</v>
      </c>
    </row>
    <row r="788" spans="1:6" x14ac:dyDescent="0.25">
      <c r="A788" s="7">
        <v>1.867950983668035E-2</v>
      </c>
      <c r="B788"/>
      <c r="C788"/>
      <c r="D788"/>
      <c r="E788"/>
      <c r="F788" s="27" t="s">
        <v>7</v>
      </c>
    </row>
    <row r="789" spans="1:6" x14ac:dyDescent="0.25">
      <c r="A789" s="7">
        <v>1.8313244937921913E-2</v>
      </c>
      <c r="B789"/>
      <c r="C789"/>
      <c r="D789"/>
      <c r="E789"/>
      <c r="F789" s="27" t="s">
        <v>7</v>
      </c>
    </row>
    <row r="790" spans="1:6" x14ac:dyDescent="0.25">
      <c r="A790" s="7">
        <v>1.7954161703845013E-2</v>
      </c>
      <c r="B790"/>
      <c r="C790"/>
      <c r="D790"/>
      <c r="E790"/>
      <c r="F790" s="27" t="s">
        <v>7</v>
      </c>
    </row>
    <row r="791" spans="1:6" x14ac:dyDescent="0.25">
      <c r="A791" s="7">
        <v>1.7602119317495109E-2</v>
      </c>
      <c r="B791"/>
      <c r="C791"/>
      <c r="D791"/>
      <c r="E791"/>
      <c r="F791" s="27" t="s">
        <v>7</v>
      </c>
    </row>
    <row r="792" spans="1:6" x14ac:dyDescent="0.25">
      <c r="A792" s="7">
        <v>1.7256979723034419E-2</v>
      </c>
      <c r="B792"/>
      <c r="C792"/>
      <c r="D792"/>
      <c r="E792"/>
      <c r="F792" s="27" t="s">
        <v>7</v>
      </c>
    </row>
    <row r="793" spans="1:6" x14ac:dyDescent="0.25">
      <c r="A793" s="7">
        <v>1.6918607571602372E-2</v>
      </c>
      <c r="B793"/>
      <c r="C793"/>
      <c r="D793"/>
      <c r="E793"/>
      <c r="F793" s="27" t="s">
        <v>7</v>
      </c>
    </row>
    <row r="794" spans="1:6" x14ac:dyDescent="0.25">
      <c r="A794" s="7">
        <v>1.6586870168237622E-2</v>
      </c>
      <c r="B794"/>
      <c r="C794"/>
      <c r="D794"/>
      <c r="E794"/>
      <c r="F794" s="27" t="s">
        <v>7</v>
      </c>
    </row>
    <row r="795" spans="1:6" x14ac:dyDescent="0.25">
      <c r="A795" s="7">
        <v>1.6261637419840807E-2</v>
      </c>
      <c r="B795"/>
      <c r="C795"/>
      <c r="D795"/>
      <c r="E795"/>
      <c r="F795" s="27" t="s">
        <v>7</v>
      </c>
    </row>
    <row r="796" spans="1:6" x14ac:dyDescent="0.25">
      <c r="A796" s="7">
        <v>1.5942781784157655E-2</v>
      </c>
      <c r="B796"/>
      <c r="C796"/>
      <c r="D796"/>
      <c r="E796"/>
      <c r="F796" s="27" t="s">
        <v>7</v>
      </c>
    </row>
    <row r="797" spans="1:6" x14ac:dyDescent="0.25">
      <c r="A797" s="7">
        <v>1.5630178219762408E-2</v>
      </c>
      <c r="B797"/>
      <c r="C797"/>
      <c r="D797"/>
      <c r="E797"/>
      <c r="F797" s="27" t="s">
        <v>7</v>
      </c>
    </row>
    <row r="798" spans="1:6" x14ac:dyDescent="0.25">
      <c r="A798" s="7">
        <v>1.5323704137021967E-2</v>
      </c>
      <c r="B798"/>
      <c r="C798"/>
      <c r="D798"/>
      <c r="E798"/>
      <c r="F798" s="27" t="s">
        <v>7</v>
      </c>
    </row>
    <row r="799" spans="1:6" x14ac:dyDescent="0.25">
      <c r="A799" s="7">
        <v>1.5023239350021535E-2</v>
      </c>
      <c r="B799"/>
      <c r="C799"/>
      <c r="D799"/>
      <c r="E799"/>
      <c r="F799" s="27" t="s">
        <v>7</v>
      </c>
    </row>
    <row r="800" spans="1:6" x14ac:dyDescent="0.25">
      <c r="A800" s="7">
        <v>1.4728666029432878E-2</v>
      </c>
      <c r="B800"/>
      <c r="C800"/>
      <c r="D800"/>
      <c r="E800"/>
      <c r="F800" s="27" t="s">
        <v>7</v>
      </c>
    </row>
    <row r="801" spans="1:6" x14ac:dyDescent="0.25">
      <c r="A801" s="7">
        <v>1.4439868656306743E-2</v>
      </c>
      <c r="B801"/>
      <c r="C801"/>
      <c r="D801"/>
      <c r="E801"/>
      <c r="F801" s="27" t="s">
        <v>7</v>
      </c>
    </row>
    <row r="802" spans="1:6" x14ac:dyDescent="0.25">
      <c r="A802" s="7">
        <v>1.4156733976771318E-2</v>
      </c>
      <c r="B802"/>
      <c r="C802"/>
      <c r="D802"/>
      <c r="E802"/>
      <c r="F802" s="27" t="s">
        <v>7</v>
      </c>
    </row>
    <row r="803" spans="1:6" x14ac:dyDescent="0.25">
      <c r="A803" s="7">
        <v>1.3879150957618939E-2</v>
      </c>
      <c r="B803"/>
      <c r="C803"/>
      <c r="D803"/>
      <c r="E803"/>
      <c r="F803" s="27" t="s">
        <v>7</v>
      </c>
    </row>
    <row r="804" spans="1:6" x14ac:dyDescent="0.25">
      <c r="A804" s="7">
        <v>1.3607010742763666E-2</v>
      </c>
      <c r="B804"/>
      <c r="C804"/>
      <c r="D804"/>
      <c r="E804"/>
      <c r="F804" s="27" t="s">
        <v>7</v>
      </c>
    </row>
    <row r="805" spans="1:6" x14ac:dyDescent="0.25">
      <c r="A805" s="7">
        <v>1.3340206610552614E-2</v>
      </c>
      <c r="B805"/>
      <c r="C805"/>
      <c r="D805"/>
      <c r="E805"/>
      <c r="F805" s="27" t="s">
        <v>7</v>
      </c>
    </row>
    <row r="806" spans="1:6" x14ac:dyDescent="0.25">
      <c r="A806" s="7">
        <v>1.3078633931914328E-2</v>
      </c>
      <c r="B806"/>
      <c r="C806"/>
      <c r="D806"/>
      <c r="E806"/>
      <c r="F806" s="27" t="s">
        <v>7</v>
      </c>
    </row>
    <row r="807" spans="1:6" x14ac:dyDescent="0.25">
      <c r="A807" s="7">
        <v>1.2822190129327771E-2</v>
      </c>
      <c r="B807"/>
      <c r="C807"/>
      <c r="D807"/>
      <c r="E807"/>
      <c r="F807" s="27" t="s">
        <v>7</v>
      </c>
    </row>
    <row r="808" spans="1:6" x14ac:dyDescent="0.25">
      <c r="A808" s="7">
        <v>1.2570774636595854E-2</v>
      </c>
      <c r="B808"/>
      <c r="C808"/>
      <c r="D808"/>
      <c r="E808"/>
      <c r="F808" s="27" t="s">
        <v>7</v>
      </c>
    </row>
    <row r="809" spans="1:6" x14ac:dyDescent="0.25">
      <c r="A809" s="7">
        <v>1.23242888594077E-2</v>
      </c>
      <c r="B809"/>
      <c r="C809"/>
      <c r="D809"/>
      <c r="E809"/>
      <c r="F809" s="27" t="s">
        <v>7</v>
      </c>
    </row>
    <row r="810" spans="1:6" x14ac:dyDescent="0.25">
      <c r="A810" s="7">
        <v>1.2082636136674216E-2</v>
      </c>
      <c r="B810"/>
      <c r="C810"/>
      <c r="D810"/>
      <c r="E810"/>
      <c r="F810" s="27" t="s">
        <v>7</v>
      </c>
    </row>
    <row r="811" spans="1:6" x14ac:dyDescent="0.25">
      <c r="A811" s="7">
        <v>1.184572170262178E-2</v>
      </c>
      <c r="B811"/>
      <c r="C811"/>
      <c r="D811"/>
      <c r="E811"/>
      <c r="F811" s="27" t="s">
        <v>7</v>
      </c>
    </row>
    <row r="812" spans="1:6" x14ac:dyDescent="0.25">
      <c r="A812" s="7">
        <v>1.1613452649629196E-2</v>
      </c>
      <c r="B812"/>
      <c r="C812"/>
      <c r="D812"/>
      <c r="E812"/>
      <c r="F812" s="27" t="s">
        <v>7</v>
      </c>
    </row>
    <row r="813" spans="1:6" x14ac:dyDescent="0.25">
      <c r="A813" s="7">
        <v>1.138573789179333E-2</v>
      </c>
      <c r="B813"/>
      <c r="C813"/>
      <c r="D813"/>
      <c r="E813"/>
      <c r="F813" s="27" t="s">
        <v>7</v>
      </c>
    </row>
    <row r="814" spans="1:6" x14ac:dyDescent="0.25">
      <c r="A814" s="7">
        <v>1.1162488129209149E-2</v>
      </c>
      <c r="B814"/>
      <c r="C814"/>
      <c r="D814"/>
      <c r="E814"/>
      <c r="F814" s="27" t="s">
        <v>7</v>
      </c>
    </row>
    <row r="815" spans="1:6" x14ac:dyDescent="0.25">
      <c r="A815" s="7">
        <v>1.0943615812950145E-2</v>
      </c>
      <c r="B815"/>
      <c r="C815"/>
      <c r="D815"/>
      <c r="E815"/>
      <c r="F815" s="27" t="s">
        <v>7</v>
      </c>
    </row>
    <row r="816" spans="1:6" x14ac:dyDescent="0.25">
      <c r="A816" s="7">
        <v>1.0729035110735436E-2</v>
      </c>
      <c r="B816"/>
      <c r="C816"/>
      <c r="D816"/>
      <c r="E816"/>
      <c r="F816" s="27" t="s">
        <v>7</v>
      </c>
    </row>
    <row r="817" spans="1:6" x14ac:dyDescent="0.25">
      <c r="A817" s="7">
        <v>1.0518661873270036E-2</v>
      </c>
      <c r="B817"/>
      <c r="C817"/>
      <c r="D817"/>
      <c r="E817"/>
      <c r="F817" s="27" t="s">
        <v>7</v>
      </c>
    </row>
    <row r="818" spans="1:6" x14ac:dyDescent="0.25">
      <c r="A818" s="7">
        <v>1.0312413601245135E-2</v>
      </c>
      <c r="B818"/>
      <c r="C818"/>
      <c r="D818"/>
      <c r="E818"/>
      <c r="F818" s="27" t="s">
        <v>7</v>
      </c>
    </row>
    <row r="819" spans="1:6" x14ac:dyDescent="0.25">
      <c r="A819" s="7">
        <v>1.0110209412985426E-2</v>
      </c>
      <c r="B819"/>
      <c r="C819"/>
      <c r="D819"/>
      <c r="E819"/>
      <c r="F819" s="27" t="s">
        <v>7</v>
      </c>
    </row>
    <row r="820" spans="1:6" x14ac:dyDescent="0.25">
      <c r="A820" s="7">
        <v>9.9119700127308103E-3</v>
      </c>
      <c r="B820"/>
      <c r="C820"/>
      <c r="D820"/>
      <c r="E820"/>
      <c r="F820" s="27" t="s">
        <v>7</v>
      </c>
    </row>
    <row r="821" spans="1:6" x14ac:dyDescent="0.25">
      <c r="A821" s="7">
        <v>9.717617659540009E-3</v>
      </c>
      <c r="B821"/>
      <c r="C821"/>
      <c r="D821"/>
      <c r="E821"/>
      <c r="F821" s="27" t="s">
        <v>7</v>
      </c>
    </row>
    <row r="822" spans="1:6" x14ac:dyDescent="0.25">
      <c r="A822" s="7">
        <v>9.5270761368039299E-3</v>
      </c>
      <c r="B822"/>
      <c r="C822"/>
      <c r="D822"/>
      <c r="E822"/>
      <c r="F822" s="27" t="s">
        <v>7</v>
      </c>
    </row>
    <row r="823" spans="1:6" x14ac:dyDescent="0.25">
      <c r="A823" s="7">
        <v>9.3402707223567936E-3</v>
      </c>
      <c r="B823"/>
      <c r="C823"/>
      <c r="D823"/>
      <c r="E823"/>
      <c r="F823" s="27" t="s">
        <v>7</v>
      </c>
    </row>
    <row r="824" spans="1:6" x14ac:dyDescent="0.25">
      <c r="A824" s="7">
        <v>9.1571281591733261E-3</v>
      </c>
      <c r="B824"/>
      <c r="C824"/>
      <c r="D824"/>
      <c r="E824"/>
      <c r="F824" s="27" t="s">
        <v>7</v>
      </c>
    </row>
    <row r="825" spans="1:6" x14ac:dyDescent="0.25">
      <c r="A825" s="7">
        <v>8.9775766266405148E-3</v>
      </c>
      <c r="B825"/>
      <c r="C825"/>
      <c r="D825"/>
      <c r="E825"/>
      <c r="F825" s="27" t="s">
        <v>7</v>
      </c>
    </row>
    <row r="826" spans="1:6" x14ac:dyDescent="0.25">
      <c r="A826" s="7">
        <v>8.8015457123926614E-3</v>
      </c>
      <c r="B826"/>
      <c r="C826"/>
      <c r="D826"/>
      <c r="E826"/>
      <c r="F826" s="27" t="s">
        <v>7</v>
      </c>
    </row>
    <row r="827" spans="1:6" x14ac:dyDescent="0.25">
      <c r="A827" s="7">
        <v>8.6289663846986879E-3</v>
      </c>
      <c r="B827"/>
      <c r="C827"/>
      <c r="D827"/>
      <c r="E827"/>
      <c r="F827" s="27" t="s">
        <v>7</v>
      </c>
    </row>
    <row r="828" spans="1:6" x14ac:dyDescent="0.25">
      <c r="A828" s="7">
        <v>8.4597709653908715E-3</v>
      </c>
      <c r="B828"/>
      <c r="C828"/>
      <c r="D828"/>
      <c r="E828"/>
      <c r="F828" s="27" t="s">
        <v>7</v>
      </c>
    </row>
    <row r="829" spans="1:6" x14ac:dyDescent="0.25">
      <c r="A829" s="7">
        <v>8.2938931033243839E-3</v>
      </c>
      <c r="B829"/>
      <c r="C829"/>
      <c r="D829"/>
      <c r="E829"/>
      <c r="F829" s="27" t="s">
        <v>7</v>
      </c>
    </row>
    <row r="830" spans="1:6" x14ac:dyDescent="0.25">
      <c r="A830" s="7">
        <v>8.1312677483572383E-3</v>
      </c>
      <c r="B830"/>
      <c r="C830"/>
      <c r="D830"/>
      <c r="E830"/>
      <c r="F830" s="27" t="s">
        <v>7</v>
      </c>
    </row>
    <row r="831" spans="1:6" x14ac:dyDescent="0.25">
      <c r="A831" s="7">
        <v>7.9718311258404305E-3</v>
      </c>
      <c r="B831"/>
      <c r="C831"/>
      <c r="D831"/>
      <c r="E831"/>
      <c r="F831" s="27" t="s">
        <v>7</v>
      </c>
    </row>
    <row r="832" spans="1:6" x14ac:dyDescent="0.25">
      <c r="A832" s="7">
        <v>7.8155207116082648E-3</v>
      </c>
      <c r="B832"/>
      <c r="C832"/>
      <c r="D832"/>
      <c r="E832"/>
      <c r="F832" s="27" t="s">
        <v>7</v>
      </c>
    </row>
    <row r="833" spans="1:6" x14ac:dyDescent="0.25">
      <c r="A833" s="7">
        <v>7.6622752074590825E-3</v>
      </c>
      <c r="B833"/>
      <c r="C833"/>
      <c r="D833"/>
      <c r="E833"/>
      <c r="F833" s="27" t="s">
        <v>7</v>
      </c>
    </row>
    <row r="834" spans="1:6" x14ac:dyDescent="0.25">
      <c r="A834" s="7">
        <v>7.5120345171167469E-3</v>
      </c>
      <c r="B834"/>
      <c r="C834"/>
      <c r="D834"/>
      <c r="E834"/>
      <c r="F834" s="27" t="s">
        <v>7</v>
      </c>
    </row>
    <row r="835" spans="1:6" x14ac:dyDescent="0.25">
      <c r="A835" s="7">
        <v>7.3647397226634772E-3</v>
      </c>
      <c r="B835"/>
      <c r="C835"/>
      <c r="D835"/>
      <c r="E835"/>
      <c r="F835" s="27" t="s">
        <v>7</v>
      </c>
    </row>
    <row r="836" spans="1:6" x14ac:dyDescent="0.25">
      <c r="A836" s="7">
        <v>7.2203330614347815E-3</v>
      </c>
      <c r="B836"/>
      <c r="C836"/>
      <c r="D836"/>
      <c r="E836"/>
      <c r="F836" s="27" t="s">
        <v>7</v>
      </c>
    </row>
    <row r="837" spans="1:6" x14ac:dyDescent="0.25">
      <c r="A837" s="7">
        <v>7.0787579033674327E-3</v>
      </c>
      <c r="B837"/>
      <c r="C837"/>
      <c r="D837"/>
      <c r="E837"/>
      <c r="F837" s="27" t="s">
        <v>7</v>
      </c>
    </row>
    <row r="838" spans="1:6" x14ac:dyDescent="0.25">
      <c r="A838" s="7">
        <v>6.9399587287916013E-3</v>
      </c>
      <c r="B838"/>
      <c r="C838"/>
      <c r="D838"/>
      <c r="E838"/>
      <c r="F838" s="27" t="s">
        <v>7</v>
      </c>
    </row>
    <row r="839" spans="1:6" x14ac:dyDescent="0.25">
      <c r="A839" s="7">
        <v>6.8038811066584333E-3</v>
      </c>
      <c r="B839"/>
      <c r="C839"/>
      <c r="D839"/>
      <c r="E839"/>
      <c r="F839" s="27" t="s">
        <v>7</v>
      </c>
    </row>
    <row r="840" spans="1:6" x14ac:dyDescent="0.25">
      <c r="A840" s="7">
        <v>6.6704716731945425E-3</v>
      </c>
      <c r="B840"/>
      <c r="C840"/>
      <c r="D840"/>
      <c r="E840"/>
      <c r="F840" s="27" t="s">
        <v>7</v>
      </c>
    </row>
    <row r="841" spans="1:6" x14ac:dyDescent="0.25">
      <c r="A841" s="7">
        <v>6.5396781109750427E-3</v>
      </c>
      <c r="B841"/>
      <c r="C841"/>
      <c r="D841"/>
      <c r="E841"/>
      <c r="F841" s="27" t="s">
        <v>7</v>
      </c>
    </row>
    <row r="842" spans="1:6" x14ac:dyDescent="0.25">
      <c r="A842" s="7">
        <v>6.4114491284069045E-3</v>
      </c>
      <c r="B842"/>
      <c r="C842"/>
      <c r="D842"/>
      <c r="E842"/>
      <c r="F842" s="27" t="s">
        <v>7</v>
      </c>
    </row>
    <row r="843" spans="1:6" x14ac:dyDescent="0.25">
      <c r="A843" s="7">
        <v>6.2857344396146115E-3</v>
      </c>
      <c r="B843"/>
      <c r="C843"/>
      <c r="D843"/>
      <c r="E843"/>
      <c r="F843" s="27" t="s">
        <v>7</v>
      </c>
    </row>
    <row r="844" spans="1:6" x14ac:dyDescent="0.25">
      <c r="A844" s="7">
        <v>6.1624847447202076E-3</v>
      </c>
      <c r="B844"/>
      <c r="C844"/>
      <c r="D844"/>
      <c r="E844"/>
      <c r="F844" s="27" t="s">
        <v>7</v>
      </c>
    </row>
    <row r="845" spans="1:6" x14ac:dyDescent="0.25">
      <c r="A845" s="7">
        <v>6.0416517105100079E-3</v>
      </c>
      <c r="B845"/>
      <c r="C845"/>
      <c r="D845"/>
      <c r="E845"/>
      <c r="F845" s="27" t="s">
        <v>7</v>
      </c>
    </row>
    <row r="846" spans="1:6" x14ac:dyDescent="0.25">
      <c r="A846" s="7">
        <v>5.9231879514803996E-3</v>
      </c>
      <c r="B846"/>
      <c r="C846"/>
      <c r="D846"/>
      <c r="E846"/>
      <c r="F846" s="27" t="s">
        <v>7</v>
      </c>
    </row>
    <row r="847" spans="1:6" x14ac:dyDescent="0.25">
      <c r="A847" s="7">
        <v>5.8070470112552936E-3</v>
      </c>
      <c r="B847"/>
      <c r="C847"/>
      <c r="D847"/>
      <c r="E847"/>
      <c r="F847" s="27" t="s">
        <v>7</v>
      </c>
    </row>
    <row r="848" spans="1:6" x14ac:dyDescent="0.25">
      <c r="A848" s="7">
        <v>5.6931833443679353E-3</v>
      </c>
      <c r="B848"/>
      <c r="C848"/>
      <c r="D848"/>
      <c r="E848"/>
      <c r="F848" s="27" t="s">
        <v>7</v>
      </c>
    </row>
    <row r="849" spans="1:6" x14ac:dyDescent="0.25">
      <c r="A849" s="7">
        <v>5.5815522983999367E-3</v>
      </c>
      <c r="B849"/>
      <c r="C849"/>
      <c r="D849"/>
      <c r="E849"/>
      <c r="F849" s="27" t="s">
        <v>7</v>
      </c>
    </row>
    <row r="850" spans="1:6" x14ac:dyDescent="0.25">
      <c r="A850" s="7">
        <v>5.4721100964705257E-3</v>
      </c>
      <c r="B850"/>
      <c r="C850"/>
      <c r="D850"/>
      <c r="E850"/>
      <c r="F850" s="27" t="s">
        <v>7</v>
      </c>
    </row>
    <row r="851" spans="1:6" x14ac:dyDescent="0.25">
      <c r="A851" s="7">
        <v>5.3648138200691423E-3</v>
      </c>
      <c r="B851"/>
      <c r="C851"/>
      <c r="D851"/>
      <c r="E851"/>
      <c r="F851" s="27" t="s">
        <v>7</v>
      </c>
    </row>
    <row r="852" spans="1:6" x14ac:dyDescent="0.25">
      <c r="A852" s="7">
        <v>5.2596213922246494E-3</v>
      </c>
      <c r="B852"/>
      <c r="C852"/>
      <c r="D852"/>
      <c r="E852"/>
      <c r="F852" s="27" t="s">
        <v>7</v>
      </c>
    </row>
    <row r="853" spans="1:6" x14ac:dyDescent="0.25">
      <c r="A853" s="7">
        <v>5.1564915610045588E-3</v>
      </c>
      <c r="B853"/>
      <c r="C853"/>
      <c r="D853"/>
      <c r="E853"/>
      <c r="F853" s="27" t="s">
        <v>7</v>
      </c>
    </row>
    <row r="854" spans="1:6" x14ac:dyDescent="0.25">
      <c r="A854" s="7">
        <v>5.0553838833378023E-3</v>
      </c>
      <c r="B854"/>
      <c r="C854"/>
      <c r="D854"/>
      <c r="E854"/>
      <c r="F854" s="27" t="s">
        <v>7</v>
      </c>
    </row>
    <row r="855" spans="1:6" x14ac:dyDescent="0.25">
      <c r="A855" s="7">
        <v>4.9562587091547079E-3</v>
      </c>
      <c r="B855"/>
      <c r="C855"/>
      <c r="D855"/>
      <c r="E855"/>
      <c r="F855" s="27" t="s">
        <v>7</v>
      </c>
    </row>
    <row r="856" spans="1:6" x14ac:dyDescent="0.25">
      <c r="A856" s="7">
        <v>4.8590771658379491E-3</v>
      </c>
      <c r="B856"/>
      <c r="C856"/>
      <c r="D856"/>
      <c r="E856"/>
      <c r="F856" s="27" t="s">
        <v>7</v>
      </c>
    </row>
    <row r="857" spans="1:6" x14ac:dyDescent="0.25">
      <c r="A857" s="7">
        <v>4.7638011429783815E-3</v>
      </c>
      <c r="B857"/>
      <c r="C857"/>
      <c r="D857"/>
      <c r="E857"/>
      <c r="F857" s="27" t="s">
        <v>7</v>
      </c>
    </row>
    <row r="858" spans="1:6" x14ac:dyDescent="0.25">
      <c r="A858" s="7">
        <v>4.6703932774297859E-3</v>
      </c>
      <c r="B858"/>
      <c r="C858"/>
      <c r="D858"/>
      <c r="E858"/>
      <c r="F858" s="27" t="s">
        <v>7</v>
      </c>
    </row>
    <row r="859" spans="1:6" x14ac:dyDescent="0.25">
      <c r="A859" s="7">
        <v>4.5788169386566527E-3</v>
      </c>
      <c r="B859"/>
      <c r="C859"/>
      <c r="D859"/>
      <c r="E859"/>
      <c r="F859" s="27" t="s">
        <v>7</v>
      </c>
    </row>
    <row r="860" spans="1:6" x14ac:dyDescent="0.25">
      <c r="A860" s="7">
        <v>4.4890362143692672E-3</v>
      </c>
      <c r="B860"/>
      <c r="C860"/>
      <c r="D860"/>
      <c r="E860"/>
      <c r="F860" s="27" t="s">
        <v>7</v>
      </c>
    </row>
    <row r="861" spans="1:6" x14ac:dyDescent="0.25">
      <c r="A861" s="7">
        <v>4.4010158964404578E-3</v>
      </c>
      <c r="B861"/>
      <c r="C861"/>
      <c r="D861"/>
      <c r="E861"/>
      <c r="F861" s="27" t="s">
        <v>7</v>
      </c>
    </row>
    <row r="862" spans="1:6" x14ac:dyDescent="0.25">
      <c r="A862" s="7">
        <v>4.314721467098488E-3</v>
      </c>
      <c r="B862"/>
      <c r="C862"/>
      <c r="D862"/>
      <c r="E862"/>
      <c r="F862" s="27" t="s">
        <v>7</v>
      </c>
    </row>
    <row r="863" spans="1:6" x14ac:dyDescent="0.25">
      <c r="A863" s="7">
        <v>4.2301190853906746E-3</v>
      </c>
      <c r="B863"/>
      <c r="C863"/>
      <c r="D863"/>
      <c r="E863"/>
      <c r="F863" s="27" t="s">
        <v>7</v>
      </c>
    </row>
    <row r="864" spans="1:6" x14ac:dyDescent="0.25">
      <c r="A864" s="7">
        <v>4.1471755739124266E-3</v>
      </c>
      <c r="B864"/>
      <c r="C864"/>
      <c r="D864"/>
      <c r="E864"/>
      <c r="F864" s="27" t="s">
        <v>7</v>
      </c>
    </row>
    <row r="865" spans="1:6" x14ac:dyDescent="0.25">
      <c r="A865" s="7">
        <v>4.0658584057964966E-3</v>
      </c>
      <c r="B865"/>
      <c r="C865"/>
      <c r="D865"/>
      <c r="E865"/>
      <c r="F865" s="27" t="s">
        <v>7</v>
      </c>
    </row>
    <row r="866" spans="1:6" x14ac:dyDescent="0.25">
      <c r="A866" s="7">
        <v>3.9861356919573491E-3</v>
      </c>
      <c r="B866"/>
      <c r="C866"/>
      <c r="D866"/>
      <c r="E866"/>
      <c r="F866" s="27" t="s">
        <v>7</v>
      </c>
    </row>
    <row r="867" spans="1:6" x14ac:dyDescent="0.25">
      <c r="A867" s="7">
        <v>3.9079761685856364E-3</v>
      </c>
      <c r="B867"/>
      <c r="C867"/>
      <c r="D867"/>
      <c r="E867"/>
      <c r="F867" s="27" t="s">
        <v>7</v>
      </c>
    </row>
    <row r="868" spans="1:6" x14ac:dyDescent="0.25">
      <c r="A868" s="7">
        <v>3.8313491848878793E-3</v>
      </c>
      <c r="B868"/>
      <c r="C868"/>
      <c r="D868"/>
      <c r="E868"/>
      <c r="F868" s="27" t="s">
        <v>7</v>
      </c>
    </row>
    <row r="869" spans="1:6" x14ac:dyDescent="0.25">
      <c r="A869" s="7">
        <v>3.7562246910665485E-3</v>
      </c>
      <c r="B869"/>
      <c r="C869"/>
      <c r="D869"/>
      <c r="E869"/>
      <c r="F869" s="27" t="s">
        <v>7</v>
      </c>
    </row>
    <row r="870" spans="1:6" x14ac:dyDescent="0.25">
      <c r="A870" s="7">
        <v>3.6825732265358315E-3</v>
      </c>
      <c r="B870"/>
      <c r="C870"/>
      <c r="D870"/>
      <c r="E870"/>
      <c r="F870" s="27" t="s">
        <v>7</v>
      </c>
    </row>
    <row r="871" spans="1:6" x14ac:dyDescent="0.25">
      <c r="A871" s="7">
        <v>3.6103659083684624E-3</v>
      </c>
      <c r="B871"/>
      <c r="C871"/>
      <c r="D871"/>
      <c r="E871"/>
      <c r="F871" s="27" t="s">
        <v>7</v>
      </c>
    </row>
    <row r="872" spans="1:6" x14ac:dyDescent="0.25">
      <c r="A872" s="7">
        <v>3.539574419969081E-3</v>
      </c>
      <c r="B872"/>
      <c r="C872"/>
      <c r="D872"/>
      <c r="E872"/>
      <c r="F872" s="27" t="s">
        <v>7</v>
      </c>
    </row>
    <row r="873" spans="1:6" x14ac:dyDescent="0.25">
      <c r="A873" s="7">
        <v>3.4701709999696872E-3</v>
      </c>
      <c r="B873"/>
      <c r="C873"/>
      <c r="D873"/>
      <c r="E873"/>
      <c r="F873" s="27" t="s">
        <v>7</v>
      </c>
    </row>
    <row r="874" spans="1:6" x14ac:dyDescent="0.25">
      <c r="A874" s="7">
        <v>3.4021284313428307E-3</v>
      </c>
      <c r="B874"/>
      <c r="C874"/>
      <c r="D874"/>
      <c r="E874"/>
      <c r="F874" s="27" t="s">
        <v>7</v>
      </c>
    </row>
    <row r="875" spans="1:6" x14ac:dyDescent="0.25">
      <c r="A875" s="7">
        <v>3.3354200307282654E-3</v>
      </c>
      <c r="B875"/>
      <c r="C875"/>
      <c r="D875"/>
      <c r="E875"/>
      <c r="F875" s="27" t="s">
        <v>7</v>
      </c>
    </row>
    <row r="876" spans="1:6" x14ac:dyDescent="0.25">
      <c r="A876" s="7">
        <v>3.2700196379688881E-3</v>
      </c>
      <c r="B876"/>
      <c r="C876"/>
      <c r="D876"/>
      <c r="E876"/>
      <c r="F876" s="27" t="s">
        <v>7</v>
      </c>
    </row>
    <row r="877" spans="1:6" x14ac:dyDescent="0.25">
      <c r="A877" s="7">
        <v>3.205901605851851E-3</v>
      </c>
      <c r="B877"/>
      <c r="C877"/>
      <c r="D877"/>
      <c r="E877"/>
      <c r="F877" s="27" t="s">
        <v>7</v>
      </c>
    </row>
    <row r="878" spans="1:6" x14ac:dyDescent="0.25">
      <c r="A878" s="7">
        <v>3.1430407900508344E-3</v>
      </c>
      <c r="B878"/>
      <c r="C878"/>
      <c r="D878"/>
      <c r="E878"/>
      <c r="F878" s="27" t="s">
        <v>7</v>
      </c>
    </row>
    <row r="879" spans="1:6" x14ac:dyDescent="0.25">
      <c r="A879" s="7">
        <v>3.0814125392655241E-3</v>
      </c>
      <c r="B879"/>
      <c r="C879"/>
      <c r="D879"/>
      <c r="E879"/>
      <c r="F879" s="27" t="s">
        <v>7</v>
      </c>
    </row>
    <row r="880" spans="1:6" x14ac:dyDescent="0.25">
      <c r="A880" s="7">
        <v>3.0209926855544354E-3</v>
      </c>
      <c r="B880"/>
      <c r="C880"/>
      <c r="D880"/>
      <c r="E880"/>
      <c r="F880" s="27" t="s">
        <v>7</v>
      </c>
    </row>
    <row r="881" spans="1:6" x14ac:dyDescent="0.25">
      <c r="A881" s="7">
        <v>2.9617575348572897E-3</v>
      </c>
      <c r="B881"/>
      <c r="C881"/>
      <c r="D881"/>
      <c r="E881"/>
      <c r="F881" s="27" t="s">
        <v>7</v>
      </c>
    </row>
    <row r="882" spans="1:6" x14ac:dyDescent="0.25">
      <c r="A882" s="7">
        <v>2.9036838577032251E-3</v>
      </c>
      <c r="B882"/>
      <c r="C882"/>
      <c r="D882"/>
      <c r="E882"/>
      <c r="F882" s="27" t="s">
        <v>7</v>
      </c>
    </row>
    <row r="883" spans="1:6" x14ac:dyDescent="0.25">
      <c r="A883" s="7">
        <v>2.8467488801012012E-3</v>
      </c>
      <c r="B883"/>
      <c r="C883"/>
      <c r="D883"/>
      <c r="E883"/>
      <c r="F883" s="27" t="s">
        <v>7</v>
      </c>
    </row>
    <row r="884" spans="1:6" x14ac:dyDescent="0.25">
      <c r="A884" s="7">
        <v>2.7909302746090209E-3</v>
      </c>
      <c r="B884"/>
      <c r="C884"/>
      <c r="D884"/>
      <c r="E884"/>
      <c r="F884" s="27" t="s">
        <v>7</v>
      </c>
    </row>
    <row r="885" spans="1:6" x14ac:dyDescent="0.25">
      <c r="A885" s="7">
        <v>2.7362061515774716E-3</v>
      </c>
      <c r="B885"/>
      <c r="C885"/>
      <c r="D885"/>
      <c r="E885"/>
      <c r="F885" s="27" t="s">
        <v>7</v>
      </c>
    </row>
    <row r="886" spans="1:6" x14ac:dyDescent="0.25">
      <c r="A886" s="7">
        <v>2.6825550505661486E-3</v>
      </c>
      <c r="B886"/>
      <c r="C886"/>
      <c r="D886"/>
      <c r="E886"/>
      <c r="F886" s="27" t="s">
        <v>7</v>
      </c>
    </row>
    <row r="887" spans="1:6" x14ac:dyDescent="0.25">
      <c r="A887" s="7">
        <v>2.6299559319275965E-3</v>
      </c>
      <c r="B887"/>
      <c r="C887"/>
      <c r="D887"/>
      <c r="E887"/>
      <c r="F887" s="27" t="s">
        <v>7</v>
      </c>
    </row>
    <row r="888" spans="1:6" x14ac:dyDescent="0.25">
      <c r="A888" s="7">
        <v>2.578388168556467E-3</v>
      </c>
      <c r="B888"/>
      <c r="C888"/>
      <c r="D888"/>
      <c r="E888"/>
      <c r="F888" s="27" t="s">
        <v>7</v>
      </c>
    </row>
    <row r="889" spans="1:6" x14ac:dyDescent="0.25">
      <c r="A889" s="7">
        <v>2.5278315378004577E-3</v>
      </c>
      <c r="B889"/>
      <c r="C889"/>
      <c r="D889"/>
      <c r="E889"/>
      <c r="F889" s="27" t="s">
        <v>7</v>
      </c>
    </row>
    <row r="890" spans="1:6" x14ac:dyDescent="0.25">
      <c r="A890" s="7">
        <v>2.4782662135298603E-3</v>
      </c>
      <c r="B890"/>
      <c r="C890"/>
      <c r="D890"/>
      <c r="E890"/>
      <c r="F890" s="27" t="s">
        <v>7</v>
      </c>
    </row>
    <row r="891" spans="1:6" x14ac:dyDescent="0.25">
      <c r="A891" s="7">
        <v>2.4296727583626083E-3</v>
      </c>
      <c r="B891"/>
      <c r="C891"/>
      <c r="D891"/>
      <c r="E891"/>
      <c r="F891" s="27" t="s">
        <v>7</v>
      </c>
    </row>
    <row r="892" spans="1:6" x14ac:dyDescent="0.25">
      <c r="A892" s="7">
        <v>2.3820321160417726E-3</v>
      </c>
      <c r="B892"/>
      <c r="C892"/>
      <c r="D892"/>
      <c r="E892"/>
      <c r="F892" s="27" t="s">
        <v>7</v>
      </c>
    </row>
    <row r="893" spans="1:6" x14ac:dyDescent="0.25">
      <c r="A893" s="7">
        <v>2.3353256039625224E-3</v>
      </c>
      <c r="B893"/>
      <c r="C893"/>
      <c r="D893"/>
      <c r="E893"/>
      <c r="F893" s="27" t="s">
        <v>7</v>
      </c>
    </row>
    <row r="894" spans="1:6" x14ac:dyDescent="0.25">
      <c r="A894" s="7">
        <v>2.2895349058456101E-3</v>
      </c>
      <c r="B894"/>
      <c r="C894"/>
      <c r="D894"/>
      <c r="E894"/>
      <c r="F894" s="27" t="s">
        <v>7</v>
      </c>
    </row>
    <row r="895" spans="1:6" x14ac:dyDescent="0.25">
      <c r="A895" s="7">
        <v>2.24464206455452E-3</v>
      </c>
      <c r="B895"/>
      <c r="C895"/>
      <c r="D895"/>
      <c r="E895"/>
      <c r="F895" s="27" t="s">
        <v>7</v>
      </c>
    </row>
    <row r="896" spans="1:6" x14ac:dyDescent="0.25">
      <c r="A896" s="7">
        <v>2.200629475053451E-3</v>
      </c>
      <c r="B896"/>
      <c r="C896"/>
      <c r="D896"/>
      <c r="E896"/>
      <c r="F896" s="27" t="s">
        <v>7</v>
      </c>
    </row>
    <row r="897" spans="1:6" x14ac:dyDescent="0.25">
      <c r="A897" s="7">
        <v>2.1574798775033832E-3</v>
      </c>
      <c r="B897"/>
      <c r="C897"/>
      <c r="D897"/>
      <c r="E897"/>
      <c r="F897" s="27" t="s">
        <v>7</v>
      </c>
    </row>
    <row r="898" spans="1:6" x14ac:dyDescent="0.25">
      <c r="A898" s="7">
        <v>2.115176350493513E-3</v>
      </c>
      <c r="B898"/>
      <c r="C898"/>
      <c r="D898"/>
      <c r="E898"/>
      <c r="F898" s="27" t="s">
        <v>7</v>
      </c>
    </row>
    <row r="899" spans="1:6" x14ac:dyDescent="0.25">
      <c r="A899" s="7">
        <v>2.0737023044054047E-3</v>
      </c>
      <c r="B899"/>
      <c r="C899"/>
      <c r="D899"/>
      <c r="E899"/>
      <c r="F899" s="27" t="s">
        <v>7</v>
      </c>
    </row>
    <row r="900" spans="1:6" x14ac:dyDescent="0.25">
      <c r="A900" s="7">
        <v>2.0330414749072595E-3</v>
      </c>
      <c r="B900"/>
      <c r="C900"/>
      <c r="D900"/>
      <c r="E900"/>
      <c r="F900" s="27" t="s">
        <v>7</v>
      </c>
    </row>
    <row r="901" spans="1:6" x14ac:dyDescent="0.25">
      <c r="A901" s="7">
        <v>1.9931779165757446E-3</v>
      </c>
      <c r="B901"/>
      <c r="C901"/>
      <c r="D901"/>
      <c r="E901"/>
      <c r="F901" s="27" t="s">
        <v>7</v>
      </c>
    </row>
    <row r="902" spans="1:6" x14ac:dyDescent="0.25">
      <c r="A902" s="7">
        <v>1.954095996642887E-3</v>
      </c>
      <c r="B902"/>
      <c r="C902"/>
      <c r="D902"/>
      <c r="E902"/>
      <c r="F902" s="27" t="s">
        <v>7</v>
      </c>
    </row>
    <row r="903" spans="1:6" x14ac:dyDescent="0.25">
      <c r="A903" s="7">
        <v>1.9157803888655755E-3</v>
      </c>
      <c r="B903"/>
      <c r="C903"/>
      <c r="D903"/>
      <c r="E903"/>
      <c r="F903" s="27" t="s">
        <v>7</v>
      </c>
    </row>
    <row r="904" spans="1:6" x14ac:dyDescent="0.25">
      <c r="A904" s="7">
        <v>1.8782160675152703E-3</v>
      </c>
      <c r="B904"/>
      <c r="C904"/>
      <c r="D904"/>
      <c r="E904"/>
      <c r="F904" s="27" t="s">
        <v>7</v>
      </c>
    </row>
    <row r="905" spans="1:6" x14ac:dyDescent="0.25">
      <c r="A905" s="7">
        <v>1.8413883014855592E-3</v>
      </c>
      <c r="B905"/>
      <c r="C905"/>
      <c r="D905"/>
      <c r="E905"/>
      <c r="F905" s="27" t="s">
        <v>7</v>
      </c>
    </row>
    <row r="906" spans="1:6" x14ac:dyDescent="0.25">
      <c r="A906" s="7">
        <v>1.8052826485152542E-3</v>
      </c>
      <c r="B906"/>
      <c r="C906"/>
      <c r="D906"/>
      <c r="E906"/>
      <c r="F906" s="27" t="s">
        <v>7</v>
      </c>
    </row>
    <row r="907" spans="1:6" x14ac:dyDescent="0.25">
      <c r="A907" s="7">
        <v>1.7698849495247592E-3</v>
      </c>
      <c r="B907"/>
      <c r="C907"/>
      <c r="D907"/>
      <c r="E907"/>
      <c r="F907" s="27" t="s">
        <v>7</v>
      </c>
    </row>
    <row r="908" spans="1:6" x14ac:dyDescent="0.25">
      <c r="A908" s="7">
        <v>1.7351813230634893E-3</v>
      </c>
      <c r="B908"/>
      <c r="C908"/>
      <c r="D908"/>
      <c r="E908"/>
      <c r="F908" s="27" t="s">
        <v>7</v>
      </c>
    </row>
    <row r="909" spans="1:6" x14ac:dyDescent="0.25">
      <c r="A909" s="7">
        <v>1.701158159866166E-3</v>
      </c>
      <c r="B909"/>
      <c r="C909"/>
      <c r="D909"/>
      <c r="E909"/>
      <c r="F909" s="27" t="s">
        <v>7</v>
      </c>
    </row>
    <row r="910" spans="1:6" x14ac:dyDescent="0.25">
      <c r="A910" s="7">
        <v>1.6678021175158492E-3</v>
      </c>
      <c r="B910"/>
      <c r="C910"/>
      <c r="D910"/>
      <c r="E910"/>
      <c r="F910" s="27" t="s">
        <v>7</v>
      </c>
    </row>
    <row r="911" spans="1:6" x14ac:dyDescent="0.25">
      <c r="A911" s="7">
        <v>1.6351001152116167E-3</v>
      </c>
      <c r="B911"/>
      <c r="C911"/>
      <c r="D911"/>
      <c r="E911"/>
      <c r="F911" s="27" t="s">
        <v>7</v>
      </c>
    </row>
    <row r="912" spans="1:6" x14ac:dyDescent="0.25">
      <c r="A912" s="7">
        <v>1.60303932863884E-3</v>
      </c>
      <c r="B912"/>
      <c r="C912"/>
      <c r="D912"/>
      <c r="E912"/>
      <c r="F912" s="27" t="s">
        <v>7</v>
      </c>
    </row>
    <row r="913" spans="1:6" x14ac:dyDescent="0.25">
      <c r="A913" s="7">
        <v>1.5716071849400392E-3</v>
      </c>
      <c r="B913"/>
      <c r="C913"/>
      <c r="D913"/>
      <c r="E913"/>
      <c r="F913" s="27" t="s">
        <v>7</v>
      </c>
    </row>
    <row r="914" spans="1:6" x14ac:dyDescent="0.25">
      <c r="A914" s="7">
        <v>1.5407913577843522E-3</v>
      </c>
      <c r="B914"/>
      <c r="C914"/>
      <c r="D914"/>
      <c r="E914"/>
      <c r="F914" s="27" t="s">
        <v>7</v>
      </c>
    </row>
    <row r="915" spans="1:6" x14ac:dyDescent="0.25">
      <c r="A915" s="7">
        <v>1.5105797625336785E-3</v>
      </c>
      <c r="B915"/>
      <c r="C915"/>
      <c r="D915"/>
      <c r="E915"/>
      <c r="F915" s="27" t="s">
        <v>7</v>
      </c>
    </row>
    <row r="916" spans="1:6" x14ac:dyDescent="0.25">
      <c r="A916" s="7">
        <v>1.4809605515036064E-3</v>
      </c>
      <c r="B916"/>
      <c r="C916"/>
      <c r="D916"/>
      <c r="E916"/>
      <c r="F916" s="27" t="s">
        <v>7</v>
      </c>
    </row>
    <row r="917" spans="1:6" x14ac:dyDescent="0.25">
      <c r="A917" s="7">
        <v>1.4519221093172612E-3</v>
      </c>
      <c r="B917"/>
      <c r="C917"/>
      <c r="D917"/>
      <c r="E917"/>
      <c r="F917" s="27" t="s">
        <v>7</v>
      </c>
    </row>
    <row r="918" spans="1:6" x14ac:dyDescent="0.25">
      <c r="A918" s="7">
        <v>1.423453048350256E-3</v>
      </c>
      <c r="B918"/>
      <c r="C918"/>
      <c r="D918"/>
      <c r="E918"/>
      <c r="F918" s="27" t="s">
        <v>7</v>
      </c>
    </row>
    <row r="919" spans="1:6" x14ac:dyDescent="0.25">
      <c r="A919" s="7">
        <v>1.3955422042649568E-3</v>
      </c>
      <c r="B919"/>
      <c r="C919"/>
      <c r="D919"/>
      <c r="E919"/>
      <c r="F919" s="27" t="s">
        <v>7</v>
      </c>
    </row>
    <row r="920" spans="1:6" x14ac:dyDescent="0.25">
      <c r="A920" s="7">
        <v>1.3681786316323105E-3</v>
      </c>
      <c r="B920"/>
      <c r="C920"/>
      <c r="D920"/>
      <c r="E920"/>
      <c r="F920" s="27" t="s">
        <v>7</v>
      </c>
    </row>
    <row r="921" spans="1:6" x14ac:dyDescent="0.25">
      <c r="A921" s="7">
        <v>1.3413515996395203E-3</v>
      </c>
      <c r="B921"/>
      <c r="C921"/>
      <c r="D921"/>
      <c r="E921"/>
      <c r="F921" s="27" t="s">
        <v>7</v>
      </c>
    </row>
    <row r="922" spans="1:6" x14ac:dyDescent="0.25">
      <c r="A922" s="7">
        <v>1.3150505878818826E-3</v>
      </c>
      <c r="B922"/>
      <c r="C922"/>
      <c r="D922"/>
      <c r="E922"/>
      <c r="F922" s="27" t="s">
        <v>7</v>
      </c>
    </row>
    <row r="923" spans="1:6" x14ac:dyDescent="0.25">
      <c r="A923" s="7">
        <v>1.2892652822371396E-3</v>
      </c>
      <c r="B923"/>
      <c r="C923"/>
      <c r="D923"/>
      <c r="E923"/>
      <c r="F923" s="27" t="s">
        <v>7</v>
      </c>
    </row>
    <row r="924" spans="1:6" x14ac:dyDescent="0.25">
      <c r="A924" s="7">
        <v>1.2639855708207251E-3</v>
      </c>
      <c r="B924"/>
      <c r="C924"/>
      <c r="D924"/>
      <c r="E924"/>
      <c r="F924" s="27" t="s">
        <v>7</v>
      </c>
    </row>
    <row r="925" spans="1:6" x14ac:dyDescent="0.25">
      <c r="A925" s="7">
        <v>1.2392015400203187E-3</v>
      </c>
      <c r="B925"/>
      <c r="C925"/>
      <c r="D925"/>
      <c r="E925"/>
      <c r="F925" s="27" t="s">
        <v>7</v>
      </c>
    </row>
    <row r="926" spans="1:6" x14ac:dyDescent="0.25">
      <c r="A926" s="7">
        <v>1.2149034706081556E-3</v>
      </c>
      <c r="B926"/>
      <c r="C926"/>
      <c r="D926"/>
      <c r="E926"/>
      <c r="F926" s="27" t="s">
        <v>7</v>
      </c>
    </row>
    <row r="927" spans="1:6" x14ac:dyDescent="0.25">
      <c r="A927" s="7">
        <v>1.1910818339295644E-3</v>
      </c>
      <c r="B927"/>
      <c r="C927"/>
      <c r="D927"/>
      <c r="E927"/>
      <c r="F927" s="27" t="s">
        <v>7</v>
      </c>
    </row>
    <row r="928" spans="1:6" x14ac:dyDescent="0.25">
      <c r="A928" s="7">
        <v>1.1677272881662395E-3</v>
      </c>
      <c r="B928"/>
      <c r="C928"/>
      <c r="D928"/>
      <c r="E928"/>
      <c r="F928" s="27" t="s">
        <v>7</v>
      </c>
    </row>
    <row r="929" spans="1:267" x14ac:dyDescent="0.25">
      <c r="A929" s="7">
        <v>1.1448306746727837E-3</v>
      </c>
      <c r="B929"/>
      <c r="C929"/>
      <c r="D929"/>
      <c r="E929"/>
      <c r="F929" s="27" t="s">
        <v>7</v>
      </c>
    </row>
    <row r="930" spans="1:267" x14ac:dyDescent="0.25">
      <c r="A930" s="7">
        <v>1.1223830143850821E-3</v>
      </c>
      <c r="B930"/>
      <c r="C930"/>
      <c r="D930"/>
      <c r="E930"/>
      <c r="F930" s="27" t="s">
        <v>7</v>
      </c>
    </row>
    <row r="931" spans="1:267" x14ac:dyDescent="0.25">
      <c r="A931" s="7">
        <v>1.1003755042991001E-3</v>
      </c>
      <c r="B931"/>
      <c r="C931"/>
      <c r="D931"/>
      <c r="E931"/>
      <c r="F931" s="27" t="s">
        <v>7</v>
      </c>
    </row>
    <row r="932" spans="1:267" x14ac:dyDescent="0.25">
      <c r="A932" s="7">
        <v>1.0787995140187257E-3</v>
      </c>
      <c r="B932"/>
      <c r="C932"/>
      <c r="D932"/>
      <c r="E932"/>
      <c r="F932" s="27" t="s">
        <v>7</v>
      </c>
    </row>
    <row r="933" spans="1:267" x14ac:dyDescent="0.25">
      <c r="A933" s="7">
        <v>1.0576465823712996E-3</v>
      </c>
      <c r="B933"/>
      <c r="C933"/>
      <c r="D933"/>
      <c r="E933"/>
      <c r="F933" s="27" t="s">
        <v>7</v>
      </c>
    </row>
    <row r="934" spans="1:267" x14ac:dyDescent="0.25">
      <c r="A934" s="7">
        <v>1.0369084140895094E-3</v>
      </c>
      <c r="B934"/>
      <c r="C934"/>
      <c r="D934"/>
      <c r="E934"/>
      <c r="F934" s="27" t="s">
        <v>7</v>
      </c>
    </row>
    <row r="935" spans="1:267" x14ac:dyDescent="0.25">
      <c r="A935" s="7">
        <v>1.0165768765583426E-3</v>
      </c>
      <c r="B935"/>
      <c r="C935"/>
      <c r="D935"/>
      <c r="E935"/>
      <c r="F935" s="27" t="s">
        <v>7</v>
      </c>
    </row>
    <row r="936" spans="1:267" x14ac:dyDescent="0.25">
      <c r="A936" s="7">
        <v>9.966439966258261E-4</v>
      </c>
      <c r="B936"/>
      <c r="C936"/>
      <c r="D936"/>
      <c r="E936"/>
      <c r="F936" s="27" t="s">
        <v>7</v>
      </c>
      <c r="G936" s="27" t="s">
        <v>8</v>
      </c>
      <c r="I936" s="27" t="s">
        <v>8</v>
      </c>
      <c r="K936" s="27" t="s">
        <v>8</v>
      </c>
      <c r="M936" s="27" t="s">
        <v>8</v>
      </c>
      <c r="O936" s="27" t="s">
        <v>8</v>
      </c>
      <c r="Q936" s="27" t="s">
        <v>8</v>
      </c>
      <c r="S936" s="27" t="s">
        <v>8</v>
      </c>
      <c r="U936" s="27" t="s">
        <v>8</v>
      </c>
      <c r="W936" s="27" t="s">
        <v>8</v>
      </c>
      <c r="Y936" s="27" t="s">
        <v>8</v>
      </c>
      <c r="AA936" s="27" t="s">
        <v>8</v>
      </c>
      <c r="AC936" s="27" t="s">
        <v>8</v>
      </c>
      <c r="AE936" s="27" t="s">
        <v>8</v>
      </c>
      <c r="AG936" s="27" t="s">
        <v>8</v>
      </c>
      <c r="AI936" s="27" t="s">
        <v>8</v>
      </c>
      <c r="AK936" s="27" t="s">
        <v>8</v>
      </c>
      <c r="AM936" s="27" t="s">
        <v>8</v>
      </c>
      <c r="AO936" s="27" t="s">
        <v>8</v>
      </c>
      <c r="AQ936" s="27" t="s">
        <v>8</v>
      </c>
      <c r="AS936" s="27" t="s">
        <v>8</v>
      </c>
      <c r="AU936" s="27" t="s">
        <v>8</v>
      </c>
      <c r="AW936" s="27" t="s">
        <v>8</v>
      </c>
      <c r="AY936" s="27" t="s">
        <v>8</v>
      </c>
      <c r="BA936" s="27" t="s">
        <v>8</v>
      </c>
      <c r="BC936" s="27" t="s">
        <v>8</v>
      </c>
      <c r="BE936" s="27" t="s">
        <v>8</v>
      </c>
      <c r="BG936" s="27" t="s">
        <v>8</v>
      </c>
      <c r="BI936" s="27" t="s">
        <v>8</v>
      </c>
      <c r="BK936" s="27" t="s">
        <v>8</v>
      </c>
      <c r="BM936" s="27" t="s">
        <v>8</v>
      </c>
      <c r="BO936" s="27" t="s">
        <v>8</v>
      </c>
      <c r="BQ936" s="27" t="s">
        <v>8</v>
      </c>
      <c r="BS936" s="27" t="s">
        <v>8</v>
      </c>
      <c r="BU936" s="27" t="s">
        <v>8</v>
      </c>
      <c r="BW936" s="18" t="s">
        <v>8</v>
      </c>
      <c r="BY936" s="27" t="s">
        <v>8</v>
      </c>
      <c r="CA936" s="27" t="s">
        <v>8</v>
      </c>
      <c r="CC936" s="27" t="s">
        <v>8</v>
      </c>
      <c r="CE936" s="27" t="s">
        <v>8</v>
      </c>
      <c r="CG936" s="27" t="s">
        <v>8</v>
      </c>
      <c r="CI936" s="27" t="s">
        <v>8</v>
      </c>
      <c r="CK936" s="27" t="s">
        <v>8</v>
      </c>
      <c r="CM936" s="27" t="s">
        <v>8</v>
      </c>
      <c r="CO936" s="27" t="s">
        <v>8</v>
      </c>
      <c r="CQ936" s="27" t="s">
        <v>8</v>
      </c>
      <c r="CS936" s="27" t="s">
        <v>8</v>
      </c>
      <c r="CU936" s="27" t="s">
        <v>8</v>
      </c>
      <c r="CW936" s="27" t="s">
        <v>8</v>
      </c>
      <c r="CY936" s="27" t="s">
        <v>8</v>
      </c>
      <c r="DA936" s="27" t="s">
        <v>8</v>
      </c>
      <c r="DC936" s="27" t="s">
        <v>8</v>
      </c>
      <c r="DE936" s="27" t="s">
        <v>8</v>
      </c>
      <c r="DG936" s="27" t="s">
        <v>8</v>
      </c>
      <c r="DI936" s="27" t="s">
        <v>8</v>
      </c>
      <c r="DK936" s="27" t="s">
        <v>8</v>
      </c>
      <c r="DM936" s="27" t="s">
        <v>8</v>
      </c>
      <c r="DO936" s="27" t="s">
        <v>8</v>
      </c>
      <c r="DQ936" s="27" t="s">
        <v>8</v>
      </c>
      <c r="DS936" s="27" t="s">
        <v>8</v>
      </c>
      <c r="DU936" s="27" t="s">
        <v>8</v>
      </c>
      <c r="DW936" s="27" t="s">
        <v>8</v>
      </c>
      <c r="DY936" s="27" t="s">
        <v>8</v>
      </c>
      <c r="EA936" s="27" t="s">
        <v>8</v>
      </c>
      <c r="EC936" s="27" t="s">
        <v>8</v>
      </c>
      <c r="EE936" s="27" t="s">
        <v>8</v>
      </c>
      <c r="EG936" s="27" t="s">
        <v>8</v>
      </c>
      <c r="EI936" s="27" t="s">
        <v>8</v>
      </c>
      <c r="EK936" s="27" t="s">
        <v>8</v>
      </c>
      <c r="EM936" s="27" t="s">
        <v>8</v>
      </c>
      <c r="EO936" s="27" t="s">
        <v>8</v>
      </c>
      <c r="EQ936" s="27" t="s">
        <v>8</v>
      </c>
      <c r="ES936" s="27" t="s">
        <v>8</v>
      </c>
      <c r="EU936" s="27" t="s">
        <v>8</v>
      </c>
      <c r="EW936" s="27" t="s">
        <v>8</v>
      </c>
      <c r="EY936" s="27" t="s">
        <v>8</v>
      </c>
      <c r="FA936" s="27" t="s">
        <v>8</v>
      </c>
      <c r="FC936" s="27" t="s">
        <v>8</v>
      </c>
      <c r="FE936" s="27" t="s">
        <v>8</v>
      </c>
      <c r="FG936" s="27" t="s">
        <v>8</v>
      </c>
      <c r="FI936" s="27" t="s">
        <v>8</v>
      </c>
      <c r="FK936" s="27" t="s">
        <v>8</v>
      </c>
      <c r="FM936" s="27" t="s">
        <v>8</v>
      </c>
      <c r="FO936" s="27" t="s">
        <v>8</v>
      </c>
      <c r="FQ936" s="27" t="s">
        <v>8</v>
      </c>
      <c r="FS936" s="27" t="s">
        <v>8</v>
      </c>
      <c r="FU936" s="27" t="s">
        <v>8</v>
      </c>
      <c r="FW936" s="27" t="s">
        <v>8</v>
      </c>
      <c r="FY936" s="27" t="s">
        <v>8</v>
      </c>
      <c r="GA936" s="27" t="s">
        <v>8</v>
      </c>
      <c r="GC936" s="27" t="s">
        <v>8</v>
      </c>
      <c r="GE936" s="27" t="s">
        <v>8</v>
      </c>
      <c r="GG936" s="27" t="s">
        <v>8</v>
      </c>
      <c r="GI936" s="27" t="s">
        <v>8</v>
      </c>
      <c r="GK936" s="27" t="s">
        <v>8</v>
      </c>
      <c r="GM936" s="27" t="s">
        <v>8</v>
      </c>
      <c r="GO936" s="27" t="s">
        <v>8</v>
      </c>
      <c r="GQ936" s="27" t="s">
        <v>8</v>
      </c>
      <c r="GS936" s="27" t="s">
        <v>8</v>
      </c>
      <c r="GU936" s="27" t="s">
        <v>8</v>
      </c>
      <c r="GW936" s="27" t="s">
        <v>8</v>
      </c>
      <c r="GY936" s="27" t="s">
        <v>8</v>
      </c>
      <c r="HA936" s="27" t="s">
        <v>8</v>
      </c>
      <c r="HC936" s="27" t="s">
        <v>8</v>
      </c>
      <c r="HE936" s="27" t="s">
        <v>8</v>
      </c>
      <c r="HG936" s="27" t="s">
        <v>8</v>
      </c>
      <c r="HI936" s="27" t="s">
        <v>8</v>
      </c>
      <c r="HK936" s="27" t="s">
        <v>8</v>
      </c>
      <c r="HM936" s="27" t="s">
        <v>8</v>
      </c>
      <c r="HO936" s="27" t="s">
        <v>8</v>
      </c>
      <c r="HQ936" s="27" t="s">
        <v>8</v>
      </c>
      <c r="HS936" s="27" t="s">
        <v>8</v>
      </c>
      <c r="HU936" s="27" t="s">
        <v>8</v>
      </c>
      <c r="HW936" s="27" t="s">
        <v>8</v>
      </c>
      <c r="HY936" s="27" t="s">
        <v>8</v>
      </c>
      <c r="IA936" s="27" t="s">
        <v>8</v>
      </c>
      <c r="IC936" s="27" t="s">
        <v>8</v>
      </c>
      <c r="IE936" s="27" t="s">
        <v>8</v>
      </c>
      <c r="IG936" s="27" t="s">
        <v>8</v>
      </c>
      <c r="II936" s="27" t="s">
        <v>8</v>
      </c>
      <c r="IK936" s="27" t="s">
        <v>8</v>
      </c>
      <c r="IM936" s="27" t="s">
        <v>8</v>
      </c>
      <c r="IO936" s="27" t="s">
        <v>8</v>
      </c>
      <c r="IQ936" s="27" t="s">
        <v>8</v>
      </c>
      <c r="IS936" s="27" t="s">
        <v>8</v>
      </c>
      <c r="IU936" s="27" t="s">
        <v>8</v>
      </c>
      <c r="IW936" s="27" t="s">
        <v>8</v>
      </c>
      <c r="IY936" s="27" t="s">
        <v>8</v>
      </c>
      <c r="JA936" s="27" t="s">
        <v>8</v>
      </c>
      <c r="JC936" s="27" t="s">
        <v>8</v>
      </c>
      <c r="JE936" s="27" t="s">
        <v>8</v>
      </c>
      <c r="JG936" s="27" t="s">
        <v>8</v>
      </c>
    </row>
    <row r="937" spans="1:267" x14ac:dyDescent="0.25">
      <c r="F937" s="27" t="s">
        <v>7</v>
      </c>
      <c r="H937" s="27" t="s">
        <v>7</v>
      </c>
      <c r="J937" s="27" t="s">
        <v>7</v>
      </c>
      <c r="L937" s="27" t="s">
        <v>7</v>
      </c>
      <c r="N937" s="27" t="s">
        <v>7</v>
      </c>
      <c r="P937" s="27" t="s">
        <v>7</v>
      </c>
      <c r="R937" s="27" t="s">
        <v>7</v>
      </c>
      <c r="T937" s="27" t="s">
        <v>7</v>
      </c>
      <c r="V937" s="27" t="s">
        <v>7</v>
      </c>
      <c r="X937" s="27" t="s">
        <v>7</v>
      </c>
      <c r="Z937" s="27" t="s">
        <v>7</v>
      </c>
      <c r="AB937" s="27" t="s">
        <v>7</v>
      </c>
      <c r="AD937" s="27" t="s">
        <v>7</v>
      </c>
      <c r="AF937" s="27" t="s">
        <v>7</v>
      </c>
      <c r="AH937" s="27" t="s">
        <v>7</v>
      </c>
      <c r="AJ937" s="27" t="s">
        <v>7</v>
      </c>
      <c r="AL937" s="27" t="s">
        <v>7</v>
      </c>
      <c r="AN937" s="27" t="s">
        <v>7</v>
      </c>
      <c r="AP937" s="27" t="s">
        <v>7</v>
      </c>
      <c r="AR937" s="27" t="s">
        <v>7</v>
      </c>
      <c r="AT937" s="27" t="s">
        <v>7</v>
      </c>
      <c r="AV937" s="27" t="s">
        <v>7</v>
      </c>
      <c r="AX937" s="27" t="s">
        <v>7</v>
      </c>
      <c r="AZ937" s="27" t="s">
        <v>7</v>
      </c>
      <c r="BB937" s="27" t="s">
        <v>7</v>
      </c>
      <c r="BD937" s="27" t="s">
        <v>7</v>
      </c>
      <c r="BF937" s="27" t="s">
        <v>7</v>
      </c>
      <c r="BH937" s="27" t="s">
        <v>7</v>
      </c>
      <c r="BJ937" s="27" t="s">
        <v>7</v>
      </c>
      <c r="BL937" s="27" t="s">
        <v>7</v>
      </c>
      <c r="BN937" s="27" t="s">
        <v>7</v>
      </c>
      <c r="BP937" s="27" t="s">
        <v>7</v>
      </c>
      <c r="BR937" s="27" t="s">
        <v>7</v>
      </c>
      <c r="BT937" s="27" t="s">
        <v>7</v>
      </c>
      <c r="BV937" s="27" t="s">
        <v>7</v>
      </c>
      <c r="BX937" s="27" t="s">
        <v>7</v>
      </c>
      <c r="BZ937" s="27" t="s">
        <v>7</v>
      </c>
      <c r="CB937" s="27" t="s">
        <v>7</v>
      </c>
      <c r="CD937" s="27" t="s">
        <v>7</v>
      </c>
      <c r="CF937" s="27" t="s">
        <v>7</v>
      </c>
      <c r="CH937" s="27" t="s">
        <v>7</v>
      </c>
      <c r="CJ937" s="27" t="s">
        <v>7</v>
      </c>
      <c r="CL937" s="27" t="s">
        <v>7</v>
      </c>
      <c r="CN937" s="27" t="s">
        <v>7</v>
      </c>
      <c r="CP937" s="27" t="s">
        <v>7</v>
      </c>
      <c r="CR937" s="27" t="s">
        <v>7</v>
      </c>
      <c r="CT937" s="27" t="s">
        <v>7</v>
      </c>
      <c r="CV937" s="27" t="s">
        <v>7</v>
      </c>
      <c r="CX937" s="27" t="s">
        <v>7</v>
      </c>
      <c r="CZ937" s="27" t="s">
        <v>7</v>
      </c>
      <c r="DB937" s="27" t="s">
        <v>7</v>
      </c>
      <c r="DD937" s="27" t="s">
        <v>7</v>
      </c>
      <c r="DF937" s="27" t="s">
        <v>7</v>
      </c>
      <c r="DH937" s="27" t="s">
        <v>7</v>
      </c>
      <c r="DJ937" s="27" t="s">
        <v>7</v>
      </c>
      <c r="DL937" s="27" t="s">
        <v>7</v>
      </c>
      <c r="DN937" s="27" t="s">
        <v>7</v>
      </c>
      <c r="DP937" s="27" t="s">
        <v>7</v>
      </c>
      <c r="DR937" s="27" t="s">
        <v>7</v>
      </c>
      <c r="DT937" s="27" t="s">
        <v>7</v>
      </c>
      <c r="DV937" s="27" t="s">
        <v>7</v>
      </c>
      <c r="DX937" s="27" t="s">
        <v>7</v>
      </c>
      <c r="DZ937" s="27" t="s">
        <v>7</v>
      </c>
      <c r="EB937" s="27" t="s">
        <v>7</v>
      </c>
      <c r="ED937" s="27" t="s">
        <v>7</v>
      </c>
      <c r="EF937" s="27" t="s">
        <v>7</v>
      </c>
      <c r="EH937" s="27" t="s">
        <v>7</v>
      </c>
      <c r="EJ937" s="27" t="s">
        <v>7</v>
      </c>
      <c r="EL937" s="27" t="s">
        <v>7</v>
      </c>
      <c r="EN937" s="27" t="s">
        <v>7</v>
      </c>
      <c r="EP937" s="27" t="s">
        <v>7</v>
      </c>
      <c r="ER937" s="27" t="s">
        <v>7</v>
      </c>
      <c r="ET937" s="27" t="s">
        <v>7</v>
      </c>
      <c r="EV937" s="27" t="s">
        <v>7</v>
      </c>
      <c r="EX937" s="27" t="s">
        <v>7</v>
      </c>
      <c r="EZ937" s="27" t="s">
        <v>7</v>
      </c>
      <c r="FB937" s="27" t="s">
        <v>7</v>
      </c>
      <c r="FD937" s="27" t="s">
        <v>7</v>
      </c>
      <c r="FF937" s="27" t="s">
        <v>7</v>
      </c>
      <c r="FH937" s="27" t="s">
        <v>7</v>
      </c>
      <c r="FJ937" s="27" t="s">
        <v>7</v>
      </c>
      <c r="FL937" s="27" t="s">
        <v>7</v>
      </c>
      <c r="FN937" s="27" t="s">
        <v>7</v>
      </c>
      <c r="FP937" s="27" t="s">
        <v>7</v>
      </c>
      <c r="FR937" s="27" t="s">
        <v>7</v>
      </c>
      <c r="FT937" s="27" t="s">
        <v>7</v>
      </c>
      <c r="FV937" s="27" t="s">
        <v>7</v>
      </c>
      <c r="FX937" s="27" t="s">
        <v>7</v>
      </c>
      <c r="FZ937" s="27" t="s">
        <v>7</v>
      </c>
      <c r="GB937" s="27" t="s">
        <v>7</v>
      </c>
      <c r="GD937" s="27" t="s">
        <v>7</v>
      </c>
      <c r="GF937" s="27" t="s">
        <v>7</v>
      </c>
      <c r="GH937" s="27" t="s">
        <v>7</v>
      </c>
      <c r="GJ937" s="27" t="s">
        <v>7</v>
      </c>
      <c r="GL937" s="27" t="s">
        <v>7</v>
      </c>
      <c r="GN937" s="27" t="s">
        <v>7</v>
      </c>
      <c r="GP937" s="27" t="s">
        <v>7</v>
      </c>
      <c r="GR937" s="27" t="s">
        <v>7</v>
      </c>
      <c r="GT937" s="27" t="s">
        <v>7</v>
      </c>
      <c r="GV937" s="27" t="s">
        <v>7</v>
      </c>
      <c r="GX937" s="27" t="s">
        <v>7</v>
      </c>
      <c r="GZ937" s="27" t="s">
        <v>7</v>
      </c>
      <c r="HB937" s="27" t="s">
        <v>7</v>
      </c>
      <c r="HD937" s="27" t="s">
        <v>7</v>
      </c>
      <c r="HF937" s="27" t="s">
        <v>7</v>
      </c>
      <c r="HH937" s="27" t="s">
        <v>7</v>
      </c>
      <c r="HJ937" s="27" t="s">
        <v>7</v>
      </c>
      <c r="HL937" s="27" t="s">
        <v>7</v>
      </c>
      <c r="HN937" s="27" t="s">
        <v>7</v>
      </c>
      <c r="HP937" s="27" t="s">
        <v>7</v>
      </c>
      <c r="HR937" s="27" t="s">
        <v>7</v>
      </c>
      <c r="HT937" s="27" t="s">
        <v>7</v>
      </c>
      <c r="HV937" s="27" t="s">
        <v>7</v>
      </c>
      <c r="HX937" s="27" t="s">
        <v>7</v>
      </c>
      <c r="HZ937" s="27" t="s">
        <v>7</v>
      </c>
      <c r="IB937" s="27" t="s">
        <v>7</v>
      </c>
      <c r="ID937" s="27" t="s">
        <v>7</v>
      </c>
      <c r="IF937" s="27" t="s">
        <v>7</v>
      </c>
      <c r="IH937" s="27" t="s">
        <v>7</v>
      </c>
      <c r="IJ937" s="27" t="s">
        <v>7</v>
      </c>
      <c r="IL937" s="27" t="s">
        <v>7</v>
      </c>
      <c r="IN937" s="27" t="s">
        <v>7</v>
      </c>
      <c r="IP937" s="27" t="s">
        <v>7</v>
      </c>
      <c r="IR937" s="27" t="s">
        <v>7</v>
      </c>
      <c r="IT937" s="27" t="s">
        <v>7</v>
      </c>
      <c r="IV937" s="27" t="s">
        <v>7</v>
      </c>
      <c r="IX937" s="27" t="s">
        <v>7</v>
      </c>
      <c r="IZ937" s="27" t="s">
        <v>7</v>
      </c>
      <c r="JB937" s="27" t="s">
        <v>7</v>
      </c>
      <c r="JD937" s="27" t="s">
        <v>7</v>
      </c>
      <c r="JF937" s="27" t="s">
        <v>7</v>
      </c>
    </row>
  </sheetData>
  <conditionalFormatting sqref="C27">
    <cfRule type="cellIs" dxfId="90" priority="668" operator="equal">
      <formula>$U$1</formula>
    </cfRule>
    <cfRule type="cellIs" dxfId="89" priority="669" operator="equal">
      <formula>$S$1</formula>
    </cfRule>
  </conditionalFormatting>
  <conditionalFormatting sqref="D27">
    <cfRule type="cellIs" dxfId="88" priority="666" operator="equal">
      <formula>$S$1</formula>
    </cfRule>
    <cfRule type="cellIs" dxfId="87" priority="667" operator="equal">
      <formula>$U$1</formula>
    </cfRule>
  </conditionalFormatting>
  <conditionalFormatting sqref="C164">
    <cfRule type="cellIs" dxfId="86" priority="664" operator="equal">
      <formula>$U$1</formula>
    </cfRule>
    <cfRule type="cellIs" dxfId="85" priority="665" operator="equal">
      <formula>$S$1</formula>
    </cfRule>
  </conditionalFormatting>
  <conditionalFormatting sqref="D164">
    <cfRule type="cellIs" dxfId="84" priority="662" operator="equal">
      <formula>$S$1</formula>
    </cfRule>
    <cfRule type="cellIs" dxfId="83" priority="663" operator="equal">
      <formula>$U$1</formula>
    </cfRule>
  </conditionalFormatting>
  <conditionalFormatting sqref="C55">
    <cfRule type="cellIs" dxfId="82" priority="660" operator="equal">
      <formula>$U$1</formula>
    </cfRule>
    <cfRule type="cellIs" dxfId="81" priority="661" operator="equal">
      <formula>$S$1</formula>
    </cfRule>
  </conditionalFormatting>
  <conditionalFormatting sqref="D55">
    <cfRule type="cellIs" dxfId="80" priority="658" operator="equal">
      <formula>$S$1</formula>
    </cfRule>
    <cfRule type="cellIs" dxfId="79" priority="659" operator="equal">
      <formula>$U$1</formula>
    </cfRule>
  </conditionalFormatting>
  <conditionalFormatting sqref="C89">
    <cfRule type="cellIs" dxfId="78" priority="656" operator="equal">
      <formula>$U$1</formula>
    </cfRule>
    <cfRule type="cellIs" dxfId="77" priority="657" operator="equal">
      <formula>$S$1</formula>
    </cfRule>
  </conditionalFormatting>
  <conditionalFormatting sqref="D89">
    <cfRule type="cellIs" dxfId="76" priority="654" operator="equal">
      <formula>$S$1</formula>
    </cfRule>
    <cfRule type="cellIs" dxfId="75" priority="655" operator="equal">
      <formula>$U$1</formula>
    </cfRule>
  </conditionalFormatting>
  <conditionalFormatting sqref="C136">
    <cfRule type="cellIs" dxfId="74" priority="652" operator="equal">
      <formula>$U$1</formula>
    </cfRule>
    <cfRule type="cellIs" dxfId="73" priority="653" operator="equal">
      <formula>$S$1</formula>
    </cfRule>
  </conditionalFormatting>
  <conditionalFormatting sqref="D136">
    <cfRule type="cellIs" dxfId="72" priority="650" operator="equal">
      <formula>$S$1</formula>
    </cfRule>
    <cfRule type="cellIs" dxfId="71" priority="651" operator="equal">
      <formula>$U$1</formula>
    </cfRule>
  </conditionalFormatting>
  <conditionalFormatting sqref="C1">
    <cfRule type="cellIs" dxfId="70" priority="64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449" zoomScale="90" zoomScaleNormal="90" workbookViewId="0">
      <pane xSplit="4" topLeftCell="G1" activePane="topRight" state="frozen"/>
      <selection activeCell="A109" sqref="A109"/>
      <selection pane="topRight" activeCell="BS455" sqref="BS455"/>
    </sheetView>
  </sheetViews>
  <sheetFormatPr defaultRowHeight="15" x14ac:dyDescent="0.25"/>
  <cols>
    <col min="1" max="1" width="23.42578125" style="36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6">
        <v>100155.44859784204</v>
      </c>
    </row>
    <row r="5" spans="1:21" x14ac:dyDescent="0.25">
      <c r="A5" s="36">
        <v>95386.141521754325</v>
      </c>
    </row>
    <row r="6" spans="1:21" x14ac:dyDescent="0.25">
      <c r="A6" s="36">
        <v>90843.944306432692</v>
      </c>
    </row>
    <row r="7" spans="1:21" x14ac:dyDescent="0.25">
      <c r="A7" s="36">
        <v>86518.042196602561</v>
      </c>
    </row>
    <row r="8" spans="1:21" x14ac:dyDescent="0.25">
      <c r="A8" s="36">
        <v>82398.135425335771</v>
      </c>
    </row>
    <row r="9" spans="1:21" x14ac:dyDescent="0.25">
      <c r="A9" s="36">
        <v>78474.414690795966</v>
      </c>
    </row>
    <row r="10" spans="1:21" x14ac:dyDescent="0.25">
      <c r="A10" s="36">
        <v>74737.537800758058</v>
      </c>
    </row>
    <row r="11" spans="1:21" x14ac:dyDescent="0.25">
      <c r="A11" s="36">
        <v>71178.607429293392</v>
      </c>
    </row>
    <row r="12" spans="1:21" x14ac:dyDescent="0.25">
      <c r="A12" s="36">
        <v>67789.149932660366</v>
      </c>
    </row>
    <row r="13" spans="1:21" x14ac:dyDescent="0.25">
      <c r="A13" s="36">
        <v>64561.095173962254</v>
      </c>
    </row>
    <row r="14" spans="1:21" x14ac:dyDescent="0.25">
      <c r="A14" s="36">
        <v>61486.757308535474</v>
      </c>
    </row>
    <row r="15" spans="1:21" x14ac:dyDescent="0.25">
      <c r="A15" s="36">
        <v>58558.816484319497</v>
      </c>
    </row>
    <row r="16" spans="1:21" x14ac:dyDescent="0.25">
      <c r="A16" s="36">
        <v>55770.301413637615</v>
      </c>
    </row>
    <row r="17" spans="1:7" x14ac:dyDescent="0.25">
      <c r="A17" s="36">
        <v>53114.572774892964</v>
      </c>
    </row>
    <row r="18" spans="1:7" x14ac:dyDescent="0.25">
      <c r="A18" s="36">
        <v>50585.307404659965</v>
      </c>
    </row>
    <row r="19" spans="1:7" x14ac:dyDescent="0.25">
      <c r="A19" s="36">
        <v>48176.483242533301</v>
      </c>
    </row>
    <row r="20" spans="1:7" x14ac:dyDescent="0.25">
      <c r="A20" s="36">
        <v>45882.364992888855</v>
      </c>
    </row>
    <row r="21" spans="1:7" x14ac:dyDescent="0.25">
      <c r="A21" s="36">
        <v>43697.490469417957</v>
      </c>
      <c r="C21" s="1" t="s">
        <v>15</v>
      </c>
      <c r="G21" s="11"/>
    </row>
    <row r="22" spans="1:7" x14ac:dyDescent="0.25">
      <c r="A22" s="36">
        <v>41616.657589921859</v>
      </c>
      <c r="C22" s="7">
        <v>0.11686133436193799</v>
      </c>
      <c r="D22"/>
    </row>
    <row r="23" spans="1:7" x14ac:dyDescent="0.25">
      <c r="A23" s="36">
        <v>39634.911990401772</v>
      </c>
    </row>
    <row r="24" spans="1:7" x14ac:dyDescent="0.25">
      <c r="A24" s="36">
        <v>37747.535228954068</v>
      </c>
      <c r="C24" s="1" t="s">
        <v>11</v>
      </c>
      <c r="D24" s="1" t="s">
        <v>12</v>
      </c>
    </row>
    <row r="25" spans="1:7" x14ac:dyDescent="0.25">
      <c r="A25" s="36">
        <v>35950.033551384826</v>
      </c>
      <c r="C25"/>
      <c r="D25"/>
    </row>
    <row r="26" spans="1:7" x14ac:dyDescent="0.25">
      <c r="A26" s="36">
        <v>34238.127191795073</v>
      </c>
    </row>
    <row r="27" spans="1:7" x14ac:dyDescent="0.25">
      <c r="A27" s="36">
        <v>32607.740182661972</v>
      </c>
      <c r="C27" s="1" t="s">
        <v>13</v>
      </c>
    </row>
    <row r="28" spans="1:7" x14ac:dyDescent="0.25">
      <c r="A28" s="36">
        <v>31054.990650154257</v>
      </c>
      <c r="C28" s="1">
        <f>C17</f>
        <v>0</v>
      </c>
    </row>
    <row r="29" spans="1:7" x14ac:dyDescent="0.25">
      <c r="A29" s="36">
        <v>29576.181571575482</v>
      </c>
      <c r="C29"/>
    </row>
    <row r="30" spans="1:7" x14ac:dyDescent="0.25">
      <c r="A30" s="36">
        <v>28167.79197292903</v>
      </c>
      <c r="C30" s="1" t="s">
        <v>14</v>
      </c>
    </row>
    <row r="31" spans="1:7" x14ac:dyDescent="0.25">
      <c r="A31" s="36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6">
        <v>25549.017662520659</v>
      </c>
    </row>
    <row r="33" spans="1:5" x14ac:dyDescent="0.25">
      <c r="A33" s="36">
        <v>24332.397773829198</v>
      </c>
      <c r="E33"/>
    </row>
    <row r="34" spans="1:5" x14ac:dyDescent="0.25">
      <c r="A34" s="36">
        <v>23173.712165551617</v>
      </c>
      <c r="E34"/>
    </row>
    <row r="35" spans="1:5" x14ac:dyDescent="0.25">
      <c r="A35" s="36">
        <v>22070.202062430111</v>
      </c>
      <c r="E35"/>
    </row>
    <row r="36" spans="1:5" x14ac:dyDescent="0.25">
      <c r="A36" s="36">
        <v>21019.240059457246</v>
      </c>
      <c r="E36"/>
    </row>
    <row r="37" spans="1:5" x14ac:dyDescent="0.25">
      <c r="A37" s="36">
        <v>20018.323866149756</v>
      </c>
      <c r="E37"/>
    </row>
    <row r="38" spans="1:5" x14ac:dyDescent="0.25">
      <c r="A38" s="36">
        <v>19065.070348714053</v>
      </c>
      <c r="E38"/>
    </row>
    <row r="39" spans="1:5" x14ac:dyDescent="0.25">
      <c r="A39" s="36">
        <v>18157.209855918143</v>
      </c>
      <c r="E39"/>
    </row>
    <row r="40" spans="1:5" x14ac:dyDescent="0.25">
      <c r="A40" s="36">
        <v>17292.580815160134</v>
      </c>
      <c r="E40"/>
    </row>
    <row r="41" spans="1:5" x14ac:dyDescent="0.25">
      <c r="A41" s="36">
        <v>16469.124585866793</v>
      </c>
      <c r="E41"/>
    </row>
    <row r="42" spans="1:5" x14ac:dyDescent="0.25">
      <c r="A42" s="36">
        <v>15684.880557968376</v>
      </c>
      <c r="E42"/>
    </row>
    <row r="43" spans="1:5" x14ac:dyDescent="0.25">
      <c r="A43" s="36">
        <v>14937.981483779406</v>
      </c>
      <c r="E43"/>
    </row>
    <row r="44" spans="1:5" x14ac:dyDescent="0.25">
      <c r="A44" s="36">
        <v>14226.649032170862</v>
      </c>
      <c r="E44"/>
    </row>
    <row r="45" spans="1:5" x14ac:dyDescent="0.25">
      <c r="A45" s="36">
        <v>13549.18955444844</v>
      </c>
      <c r="E45"/>
    </row>
    <row r="46" spans="1:5" x14ac:dyDescent="0.25">
      <c r="A46" s="36">
        <v>12903.990051855657</v>
      </c>
      <c r="C46" s="1" t="s">
        <v>15</v>
      </c>
      <c r="E46"/>
    </row>
    <row r="47" spans="1:5" x14ac:dyDescent="0.25">
      <c r="A47" s="36">
        <v>12289.514335100625</v>
      </c>
      <c r="C47" s="7">
        <v>0.11686133436193799</v>
      </c>
      <c r="D47"/>
      <c r="E47"/>
    </row>
    <row r="48" spans="1:5" x14ac:dyDescent="0.25">
      <c r="A48" s="36">
        <v>11704.2993667625</v>
      </c>
      <c r="E48"/>
    </row>
    <row r="49" spans="1:5" x14ac:dyDescent="0.25">
      <c r="A49" s="36">
        <v>11146.951777869046</v>
      </c>
      <c r="C49" s="1" t="s">
        <v>11</v>
      </c>
      <c r="D49" s="1" t="s">
        <v>12</v>
      </c>
      <c r="E49"/>
    </row>
    <row r="50" spans="1:5" x14ac:dyDescent="0.25">
      <c r="A50" s="36">
        <v>10616.144550351471</v>
      </c>
      <c r="C50"/>
      <c r="D50"/>
      <c r="E50"/>
    </row>
    <row r="51" spans="1:5" x14ac:dyDescent="0.25">
      <c r="A51" s="36">
        <v>10110.613857477592</v>
      </c>
      <c r="E51"/>
    </row>
    <row r="52" spans="1:5" x14ac:dyDescent="0.25">
      <c r="A52" s="36">
        <v>9629.1560547405643</v>
      </c>
      <c r="C52" s="1" t="s">
        <v>13</v>
      </c>
      <c r="E52"/>
    </row>
    <row r="53" spans="1:5" x14ac:dyDescent="0.25">
      <c r="A53" s="36">
        <v>9170.6248140386324</v>
      </c>
      <c r="C53" s="1">
        <f>C42</f>
        <v>0</v>
      </c>
      <c r="E53"/>
    </row>
    <row r="54" spans="1:5" x14ac:dyDescent="0.25">
      <c r="A54" s="36">
        <v>8733.9283943225073</v>
      </c>
      <c r="C54"/>
      <c r="E54"/>
    </row>
    <row r="55" spans="1:5" x14ac:dyDescent="0.25">
      <c r="A55" s="36">
        <v>8318.027042211912</v>
      </c>
      <c r="C55" s="1" t="s">
        <v>14</v>
      </c>
      <c r="E55"/>
    </row>
    <row r="56" spans="1:5" x14ac:dyDescent="0.25">
      <c r="A56" s="36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6">
        <v>7544.6957298974248</v>
      </c>
      <c r="E57"/>
    </row>
    <row r="58" spans="1:5" x14ac:dyDescent="0.25">
      <c r="A58" s="36">
        <v>7185.4245046642136</v>
      </c>
      <c r="E58"/>
    </row>
    <row r="59" spans="1:5" x14ac:dyDescent="0.25">
      <c r="A59" s="36">
        <v>6843.2614330135366</v>
      </c>
      <c r="E59"/>
    </row>
    <row r="60" spans="1:5" x14ac:dyDescent="0.25">
      <c r="A60" s="36">
        <v>6517.3918409652724</v>
      </c>
      <c r="E60"/>
    </row>
    <row r="61" spans="1:5" x14ac:dyDescent="0.25">
      <c r="A61" s="36">
        <v>6207.0398485383548</v>
      </c>
      <c r="E61"/>
    </row>
    <row r="62" spans="1:5" x14ac:dyDescent="0.25">
      <c r="A62" s="36">
        <v>5911.4665224174805</v>
      </c>
      <c r="E62"/>
    </row>
    <row r="63" spans="1:5" x14ac:dyDescent="0.25">
      <c r="A63" s="36">
        <v>5629.9681165880766</v>
      </c>
      <c r="E63"/>
    </row>
    <row r="64" spans="1:5" x14ac:dyDescent="0.25">
      <c r="A64" s="36">
        <v>5361.8743967505488</v>
      </c>
      <c r="E64"/>
    </row>
    <row r="65" spans="1:5" x14ac:dyDescent="0.25">
      <c r="A65" s="36">
        <v>5106.5470445243318</v>
      </c>
      <c r="E65"/>
    </row>
    <row r="66" spans="1:5" x14ac:dyDescent="0.25">
      <c r="A66" s="36">
        <v>4863.3781376422203</v>
      </c>
      <c r="E66"/>
    </row>
    <row r="67" spans="1:5" x14ac:dyDescent="0.25">
      <c r="A67" s="36">
        <v>4631.7887025164</v>
      </c>
      <c r="E67"/>
    </row>
    <row r="68" spans="1:5" x14ac:dyDescent="0.25">
      <c r="A68" s="36">
        <v>4411.2273357299046</v>
      </c>
      <c r="E68"/>
    </row>
    <row r="69" spans="1:5" x14ac:dyDescent="0.25">
      <c r="A69" s="36">
        <v>4201.1688911713372</v>
      </c>
      <c r="E69"/>
    </row>
    <row r="70" spans="1:5" x14ac:dyDescent="0.25">
      <c r="A70" s="36">
        <v>4001.1132296869878</v>
      </c>
      <c r="E70"/>
    </row>
    <row r="71" spans="1:5" x14ac:dyDescent="0.25">
      <c r="A71" s="36">
        <v>3810.5840282733216</v>
      </c>
      <c r="C71" s="1" t="s">
        <v>15</v>
      </c>
      <c r="E71"/>
    </row>
    <row r="72" spans="1:5" x14ac:dyDescent="0.25">
      <c r="A72" s="36">
        <v>3629.1276459745918</v>
      </c>
      <c r="C72" s="7">
        <v>0.11686133436193799</v>
      </c>
      <c r="D72"/>
      <c r="E72"/>
    </row>
    <row r="73" spans="1:5" x14ac:dyDescent="0.25">
      <c r="A73" s="36">
        <v>3456.3120437853254</v>
      </c>
      <c r="E73"/>
    </row>
    <row r="74" spans="1:5" x14ac:dyDescent="0.25">
      <c r="A74" s="36">
        <v>3291.7257559860241</v>
      </c>
      <c r="C74" s="1" t="s">
        <v>11</v>
      </c>
      <c r="D74" s="1" t="s">
        <v>12</v>
      </c>
      <c r="E74"/>
    </row>
    <row r="75" spans="1:5" x14ac:dyDescent="0.25">
      <c r="A75" s="36">
        <v>3134.9769104628799</v>
      </c>
      <c r="C75"/>
      <c r="D75"/>
      <c r="E75"/>
    </row>
    <row r="76" spans="1:5" x14ac:dyDescent="0.25">
      <c r="A76" s="36">
        <v>2985.6922956789331</v>
      </c>
      <c r="E76"/>
    </row>
    <row r="77" spans="1:5" x14ac:dyDescent="0.25">
      <c r="A77" s="36">
        <v>2843.5164720751741</v>
      </c>
      <c r="C77" s="1" t="s">
        <v>13</v>
      </c>
      <c r="E77"/>
    </row>
    <row r="78" spans="1:5" x14ac:dyDescent="0.25">
      <c r="A78" s="36">
        <v>2708.1109257858798</v>
      </c>
      <c r="C78" s="1">
        <f>C67</f>
        <v>0</v>
      </c>
      <c r="E78"/>
    </row>
    <row r="79" spans="1:5" x14ac:dyDescent="0.25">
      <c r="A79" s="36">
        <v>2579.1532626532189</v>
      </c>
      <c r="C79"/>
      <c r="E79"/>
    </row>
    <row r="80" spans="1:5" x14ac:dyDescent="0.25">
      <c r="A80" s="36">
        <v>2456.3364406221131</v>
      </c>
      <c r="C80" s="1" t="s">
        <v>14</v>
      </c>
      <c r="E80"/>
    </row>
    <row r="81" spans="1:5" x14ac:dyDescent="0.25">
      <c r="A81" s="36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6">
        <v>2227.9695606549776</v>
      </c>
      <c r="E82"/>
    </row>
    <row r="83" spans="1:5" x14ac:dyDescent="0.25">
      <c r="A83" s="36">
        <v>2121.8757720523595</v>
      </c>
      <c r="E83"/>
    </row>
    <row r="84" spans="1:5" x14ac:dyDescent="0.25">
      <c r="A84" s="36">
        <v>2020.8340686212948</v>
      </c>
      <c r="E84"/>
    </row>
    <row r="85" spans="1:5" x14ac:dyDescent="0.25">
      <c r="A85" s="36">
        <v>1924.6038748774236</v>
      </c>
      <c r="E85"/>
    </row>
    <row r="86" spans="1:5" x14ac:dyDescent="0.25">
      <c r="A86" s="36">
        <v>1832.9560713118319</v>
      </c>
      <c r="E86"/>
    </row>
    <row r="87" spans="1:5" x14ac:dyDescent="0.25">
      <c r="A87" s="36">
        <v>1745.6724488684113</v>
      </c>
      <c r="E87"/>
    </row>
    <row r="88" spans="1:5" x14ac:dyDescent="0.25">
      <c r="A88" s="36">
        <v>1662.5451893984869</v>
      </c>
      <c r="E88"/>
    </row>
    <row r="89" spans="1:5" x14ac:dyDescent="0.25">
      <c r="A89" s="36">
        <v>1583.3763708557017</v>
      </c>
      <c r="E89"/>
    </row>
    <row r="90" spans="1:5" x14ac:dyDescent="0.25">
      <c r="A90" s="36">
        <v>1507.9774960530492</v>
      </c>
      <c r="E90"/>
    </row>
    <row r="91" spans="1:5" x14ac:dyDescent="0.25">
      <c r="A91" s="36">
        <v>1436.1690438600467</v>
      </c>
      <c r="E91"/>
    </row>
    <row r="92" spans="1:5" x14ac:dyDescent="0.25">
      <c r="A92" s="36">
        <v>1367.780041771473</v>
      </c>
      <c r="E92"/>
    </row>
    <row r="93" spans="1:5" x14ac:dyDescent="0.25">
      <c r="A93" s="36">
        <v>1302.6476588299743</v>
      </c>
      <c r="E93"/>
    </row>
    <row r="94" spans="1:5" x14ac:dyDescent="0.25">
      <c r="A94" s="36">
        <v>1240.6168179333088</v>
      </c>
      <c r="E94"/>
    </row>
    <row r="95" spans="1:5" x14ac:dyDescent="0.25">
      <c r="A95" s="36">
        <v>1181.5398266031511</v>
      </c>
      <c r="E95"/>
    </row>
    <row r="96" spans="1:5" x14ac:dyDescent="0.25">
      <c r="A96" s="36">
        <v>1125.2760253363344</v>
      </c>
      <c r="C96" s="1" t="s">
        <v>15</v>
      </c>
      <c r="E96"/>
    </row>
    <row r="97" spans="1:5" x14ac:dyDescent="0.25">
      <c r="A97" s="36">
        <v>1071.6914527012709</v>
      </c>
      <c r="C97" s="7">
        <v>0.11686133436193799</v>
      </c>
      <c r="D97"/>
      <c r="E97"/>
    </row>
    <row r="98" spans="1:5" x14ac:dyDescent="0.25">
      <c r="A98" s="36">
        <v>1020.6585263821628</v>
      </c>
      <c r="E98"/>
    </row>
    <row r="99" spans="1:5" x14ac:dyDescent="0.25">
      <c r="A99" s="36">
        <v>972.05573941158355</v>
      </c>
      <c r="C99" s="1" t="s">
        <v>11</v>
      </c>
      <c r="D99" s="1" t="s">
        <v>12</v>
      </c>
      <c r="E99"/>
    </row>
    <row r="100" spans="1:5" x14ac:dyDescent="0.25">
      <c r="A100" s="36">
        <v>925.76737086817479</v>
      </c>
      <c r="C100"/>
      <c r="D100"/>
      <c r="E100"/>
    </row>
    <row r="101" spans="1:5" x14ac:dyDescent="0.25">
      <c r="A101" s="36">
        <v>881.68321035064264</v>
      </c>
      <c r="E101"/>
    </row>
    <row r="102" spans="1:5" x14ac:dyDescent="0.25">
      <c r="A102" s="36">
        <v>839.69829557204059</v>
      </c>
      <c r="C102" s="1" t="s">
        <v>13</v>
      </c>
      <c r="E102"/>
    </row>
    <row r="103" spans="1:5" x14ac:dyDescent="0.25">
      <c r="A103" s="36">
        <v>799.71266244956246</v>
      </c>
      <c r="C103" s="1">
        <f>C92</f>
        <v>0</v>
      </c>
      <c r="E103"/>
    </row>
    <row r="104" spans="1:5" x14ac:dyDescent="0.25">
      <c r="A104" s="36">
        <v>761.63110709482135</v>
      </c>
      <c r="C104"/>
      <c r="E104"/>
    </row>
    <row r="105" spans="1:5" x14ac:dyDescent="0.25">
      <c r="A105" s="36">
        <v>725.36295913792503</v>
      </c>
      <c r="C105" s="1" t="s">
        <v>14</v>
      </c>
      <c r="E105"/>
    </row>
    <row r="106" spans="1:5" x14ac:dyDescent="0.25">
      <c r="A106" s="36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6">
        <v>657.92558651965976</v>
      </c>
      <c r="E107"/>
    </row>
    <row r="108" spans="1:5" x14ac:dyDescent="0.25">
      <c r="A108" s="36">
        <v>626.59579668539027</v>
      </c>
      <c r="E108"/>
    </row>
    <row r="109" spans="1:5" x14ac:dyDescent="0.25">
      <c r="A109" s="36">
        <v>596.75790160513361</v>
      </c>
      <c r="E109"/>
    </row>
    <row r="110" spans="1:5" x14ac:dyDescent="0.25">
      <c r="A110" s="36">
        <v>568.34085867155579</v>
      </c>
      <c r="E110"/>
    </row>
    <row r="111" spans="1:5" x14ac:dyDescent="0.25">
      <c r="A111" s="36">
        <v>541.27700825862451</v>
      </c>
      <c r="C111" s="1" t="str">
        <f>ADDRESS(C121-1,1,1,1)</f>
        <v>$A$454</v>
      </c>
      <c r="D111" s="1" t="str">
        <f>ADDRESS(C121-1,D121,1,1)</f>
        <v>$BS$454</v>
      </c>
      <c r="E111"/>
    </row>
    <row r="112" spans="1:5" x14ac:dyDescent="0.25">
      <c r="A112" s="36">
        <v>515.50191262726139</v>
      </c>
      <c r="C112" s="1" t="str">
        <f>ADDRESS(C121,1,1,1)</f>
        <v>$A$455</v>
      </c>
      <c r="D112" s="1" t="str">
        <f>ADDRESS(C121,D121-1,1,1)</f>
        <v>$BR$455</v>
      </c>
      <c r="E112"/>
    </row>
    <row r="113" spans="1:5" x14ac:dyDescent="0.25">
      <c r="A113" s="36">
        <v>490.95420250215363</v>
      </c>
      <c r="C113" s="1" t="str">
        <f>ADDRESS(C121+1,1,1,1)</f>
        <v>$A$456</v>
      </c>
      <c r="D113" s="1" t="str">
        <f>ADDRESS(C121-1,D121+1,1,1)</f>
        <v>$BT$454</v>
      </c>
    </row>
    <row r="114" spans="1:5" x14ac:dyDescent="0.25">
      <c r="A114" s="36">
        <v>467.57543095443202</v>
      </c>
      <c r="C114" s="1" t="str">
        <f>ADDRESS(C121,D121,1,1)</f>
        <v>$BS$455</v>
      </c>
      <c r="D114" s="1" t="str">
        <f>ADDRESS(C121+1,D121+1,1,1)</f>
        <v>$BT$456</v>
      </c>
    </row>
    <row r="115" spans="1:5" x14ac:dyDescent="0.25">
      <c r="A115" s="36">
        <v>445.30993424231622</v>
      </c>
      <c r="C115" s="1" t="str">
        <f>ADDRESS(C121+1,D121,1,1)</f>
        <v>$BS$456</v>
      </c>
    </row>
    <row r="116" spans="1:5" x14ac:dyDescent="0.25">
      <c r="A116" s="36">
        <v>424.10469927839637</v>
      </c>
      <c r="C116" s="1">
        <f>C117-1</f>
        <v>454</v>
      </c>
    </row>
    <row r="117" spans="1:5" x14ac:dyDescent="0.25">
      <c r="A117" s="36">
        <v>403.9092374079965</v>
      </c>
      <c r="C117" s="1">
        <f>C121</f>
        <v>455</v>
      </c>
      <c r="D117" s="1">
        <f>D121</f>
        <v>71</v>
      </c>
    </row>
    <row r="118" spans="1:5" x14ac:dyDescent="0.25">
      <c r="A118" s="36">
        <v>384.6754641980919</v>
      </c>
      <c r="C118" s="1">
        <f>C117+1</f>
        <v>456</v>
      </c>
      <c r="D118" s="1">
        <f>D117+1</f>
        <v>72</v>
      </c>
    </row>
    <row r="119" spans="1:5" x14ac:dyDescent="0.25">
      <c r="A119" s="36">
        <v>366.35758495056371</v>
      </c>
    </row>
    <row r="120" spans="1:5" x14ac:dyDescent="0.25">
      <c r="A120" s="36">
        <v>348.91198566720351</v>
      </c>
      <c r="C120" s="1" t="s">
        <v>9</v>
      </c>
    </row>
    <row r="121" spans="1:5" x14ac:dyDescent="0.25">
      <c r="A121" s="36">
        <v>332.29712920686046</v>
      </c>
      <c r="C121" s="18">
        <v>455</v>
      </c>
      <c r="D121" s="19">
        <v>71</v>
      </c>
      <c r="E121" s="19"/>
    </row>
    <row r="122" spans="1:5" x14ac:dyDescent="0.25">
      <c r="A122" s="36">
        <v>316.47345638748612</v>
      </c>
      <c r="C122" s="1" t="str">
        <f>INDEX(1:1048576,C117,D117)</f>
        <v>X</v>
      </c>
    </row>
    <row r="123" spans="1:5" x14ac:dyDescent="0.25">
      <c r="A123" s="36">
        <v>301.40329179760585</v>
      </c>
      <c r="C123" s="1" t="str">
        <f>"R"&amp;C121</f>
        <v>R455</v>
      </c>
      <c r="D123" s="1" t="str">
        <f>"C"&amp;D121</f>
        <v>C71</v>
      </c>
    </row>
    <row r="124" spans="1:5" x14ac:dyDescent="0.25">
      <c r="A124" s="36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6">
        <v>273.38167056472184</v>
      </c>
    </row>
    <row r="126" spans="1:5" x14ac:dyDescent="0.25">
      <c r="A126" s="36">
        <v>260.36349577592557</v>
      </c>
      <c r="C126" s="1" t="s">
        <v>10</v>
      </c>
    </row>
    <row r="127" spans="1:5" x14ac:dyDescent="0.25">
      <c r="A127" s="36">
        <v>247.96523407231004</v>
      </c>
      <c r="C127" s="36">
        <v>2.311296291755588E-5</v>
      </c>
      <c r="D127"/>
    </row>
    <row r="128" spans="1:5" x14ac:dyDescent="0.25">
      <c r="A128" s="36">
        <v>236.15736578315241</v>
      </c>
    </row>
    <row r="129" spans="1:5" x14ac:dyDescent="0.25">
      <c r="A129" s="36">
        <v>224.91177693633563</v>
      </c>
      <c r="C129" s="1" t="s">
        <v>11</v>
      </c>
      <c r="D129" s="1" t="s">
        <v>12</v>
      </c>
      <c r="E129"/>
    </row>
    <row r="130" spans="1:5" x14ac:dyDescent="0.25">
      <c r="A130" s="36">
        <v>214.20169232031964</v>
      </c>
      <c r="C130" s="6"/>
      <c r="D130" s="6"/>
      <c r="E130"/>
    </row>
    <row r="131" spans="1:5" x14ac:dyDescent="0.25">
      <c r="A131" s="36">
        <v>204.00161173363773</v>
      </c>
      <c r="E131"/>
    </row>
    <row r="132" spans="1:5" x14ac:dyDescent="0.25">
      <c r="A132" s="36">
        <v>194.28724927013116</v>
      </c>
      <c r="C132" s="1" t="s">
        <v>13</v>
      </c>
      <c r="E132"/>
    </row>
    <row r="133" spans="1:5" x14ac:dyDescent="0.25">
      <c r="A133" s="36">
        <v>185.03547549536299</v>
      </c>
      <c r="C133" s="1" t="str">
        <f>C122</f>
        <v>X</v>
      </c>
      <c r="E133"/>
    </row>
    <row r="134" spans="1:5" x14ac:dyDescent="0.25">
      <c r="A134" s="36">
        <v>176.22426237653616</v>
      </c>
      <c r="C134"/>
      <c r="E134"/>
    </row>
    <row r="135" spans="1:5" x14ac:dyDescent="0.25">
      <c r="A135" s="36">
        <v>167.83263083479633</v>
      </c>
      <c r="C135" s="1" t="s">
        <v>14</v>
      </c>
      <c r="E135"/>
    </row>
    <row r="136" spans="1:5" x14ac:dyDescent="0.25">
      <c r="A136" s="36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6">
        <v>152.22914361432771</v>
      </c>
      <c r="E137"/>
    </row>
    <row r="138" spans="1:5" x14ac:dyDescent="0.25">
      <c r="A138" s="36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6">
        <v>138.07632073861922</v>
      </c>
      <c r="E139"/>
    </row>
    <row r="140" spans="1:5" x14ac:dyDescent="0.25">
      <c r="A140" s="36">
        <v>131.50125784630401</v>
      </c>
      <c r="C140" s="1">
        <v>0</v>
      </c>
      <c r="E140"/>
    </row>
    <row r="141" spans="1:5" x14ac:dyDescent="0.25">
      <c r="A141" s="36">
        <v>125.23929318695619</v>
      </c>
      <c r="C141" s="1">
        <v>1</v>
      </c>
      <c r="E141"/>
    </row>
    <row r="142" spans="1:5" x14ac:dyDescent="0.25">
      <c r="A142" s="36">
        <v>119.27551732091065</v>
      </c>
      <c r="C142" s="1">
        <v>2</v>
      </c>
      <c r="E142"/>
    </row>
    <row r="143" spans="1:5" x14ac:dyDescent="0.25">
      <c r="A143" s="36">
        <v>113.59573078181967</v>
      </c>
      <c r="C143" s="1">
        <v>3</v>
      </c>
      <c r="E143"/>
    </row>
    <row r="144" spans="1:5" x14ac:dyDescent="0.25">
      <c r="A144" s="36">
        <v>108.18641026839968</v>
      </c>
      <c r="C144" s="1">
        <v>4</v>
      </c>
      <c r="E144"/>
    </row>
    <row r="145" spans="1:5" x14ac:dyDescent="0.25">
      <c r="A145" s="36">
        <v>103.03467644609493</v>
      </c>
      <c r="E145"/>
    </row>
    <row r="146" spans="1:5" x14ac:dyDescent="0.25">
      <c r="A146" s="36">
        <v>98.128263281995174</v>
      </c>
      <c r="E146"/>
    </row>
    <row r="147" spans="1:5" x14ac:dyDescent="0.25">
      <c r="A147" s="36">
        <v>93.455488839995397</v>
      </c>
      <c r="E147"/>
    </row>
    <row r="148" spans="1:5" x14ac:dyDescent="0.25">
      <c r="A148" s="36">
        <v>89.005227466662276</v>
      </c>
      <c r="E148"/>
    </row>
    <row r="149" spans="1:5" x14ac:dyDescent="0.25">
      <c r="A149" s="36">
        <v>84.766883301583121</v>
      </c>
      <c r="E149"/>
    </row>
    <row r="150" spans="1:5" x14ac:dyDescent="0.25">
      <c r="A150" s="36">
        <v>80.730365049126775</v>
      </c>
      <c r="E150"/>
    </row>
    <row r="151" spans="1:5" x14ac:dyDescent="0.25">
      <c r="A151" s="36">
        <v>76.886061951549308</v>
      </c>
      <c r="E151"/>
    </row>
    <row r="152" spans="1:5" x14ac:dyDescent="0.25">
      <c r="A152" s="36">
        <v>73.22482090623744</v>
      </c>
      <c r="E152"/>
    </row>
    <row r="153" spans="1:5" x14ac:dyDescent="0.25">
      <c r="A153" s="36">
        <v>69.737924672607079</v>
      </c>
      <c r="C153" s="7"/>
      <c r="D153"/>
      <c r="E153"/>
    </row>
    <row r="154" spans="1:5" x14ac:dyDescent="0.25">
      <c r="A154" s="36">
        <v>66.417071116768639</v>
      </c>
      <c r="E154"/>
    </row>
    <row r="155" spans="1:5" x14ac:dyDescent="0.25">
      <c r="A155" s="36">
        <v>63.254353444541557</v>
      </c>
      <c r="E155"/>
    </row>
    <row r="156" spans="1:5" x14ac:dyDescent="0.25">
      <c r="A156" s="36">
        <v>60.242241375753864</v>
      </c>
      <c r="C156"/>
      <c r="D156"/>
      <c r="E156"/>
    </row>
    <row r="157" spans="1:5" x14ac:dyDescent="0.25">
      <c r="A157" s="36">
        <v>57.373563215003678</v>
      </c>
      <c r="E157"/>
    </row>
    <row r="158" spans="1:5" x14ac:dyDescent="0.25">
      <c r="A158" s="36">
        <v>54.641488776193974</v>
      </c>
      <c r="E158"/>
    </row>
    <row r="159" spans="1:5" x14ac:dyDescent="0.25">
      <c r="A159" s="36">
        <v>52.039513120184736</v>
      </c>
      <c r="E159"/>
    </row>
    <row r="160" spans="1:5" x14ac:dyDescent="0.25">
      <c r="A160" s="36">
        <v>49.561441066842605</v>
      </c>
      <c r="C160"/>
      <c r="E160"/>
    </row>
    <row r="161" spans="1:5" x14ac:dyDescent="0.25">
      <c r="A161" s="36">
        <v>47.201372444612005</v>
      </c>
      <c r="E161"/>
    </row>
    <row r="162" spans="1:5" x14ac:dyDescent="0.25">
      <c r="A162" s="36">
        <v>44.95368804248762</v>
      </c>
      <c r="E162"/>
    </row>
    <row r="163" spans="1:5" x14ac:dyDescent="0.25">
      <c r="A163" s="36">
        <v>42.81303623094059</v>
      </c>
      <c r="E163"/>
    </row>
    <row r="164" spans="1:5" x14ac:dyDescent="0.25">
      <c r="A164" s="36">
        <v>40.774320219943419</v>
      </c>
      <c r="E164"/>
    </row>
    <row r="165" spans="1:5" x14ac:dyDescent="0.25">
      <c r="A165" s="36">
        <v>38.832685923755633</v>
      </c>
      <c r="E165"/>
    </row>
    <row r="166" spans="1:5" x14ac:dyDescent="0.25">
      <c r="A166" s="36">
        <v>36.983510403576794</v>
      </c>
      <c r="E166"/>
    </row>
    <row r="167" spans="1:5" x14ac:dyDescent="0.25">
      <c r="A167" s="36">
        <v>35.222390860549325</v>
      </c>
      <c r="E167"/>
    </row>
    <row r="168" spans="1:5" x14ac:dyDescent="0.25">
      <c r="A168" s="36">
        <v>33.545134152904119</v>
      </c>
      <c r="E168"/>
    </row>
    <row r="169" spans="1:5" x14ac:dyDescent="0.25">
      <c r="A169" s="36">
        <v>31.947746812289637</v>
      </c>
      <c r="E169"/>
    </row>
    <row r="170" spans="1:5" x14ac:dyDescent="0.25">
      <c r="A170" s="36">
        <v>30.426425535513939</v>
      </c>
      <c r="E170"/>
    </row>
    <row r="171" spans="1:5" x14ac:dyDescent="0.25">
      <c r="A171" s="36">
        <v>28.977548129060892</v>
      </c>
      <c r="E171"/>
    </row>
    <row r="172" spans="1:5" x14ac:dyDescent="0.25">
      <c r="A172" s="36">
        <v>27.597664884819896</v>
      </c>
      <c r="E172"/>
    </row>
    <row r="173" spans="1:5" x14ac:dyDescent="0.25">
      <c r="A173" s="36">
        <v>26.283490366495137</v>
      </c>
      <c r="E173"/>
    </row>
    <row r="174" spans="1:5" x14ac:dyDescent="0.25">
      <c r="A174" s="36">
        <v>25.031895587138223</v>
      </c>
      <c r="E174"/>
    </row>
    <row r="175" spans="1:5" x14ac:dyDescent="0.25">
      <c r="A175" s="36">
        <v>23.839900559179259</v>
      </c>
      <c r="E175"/>
    </row>
    <row r="176" spans="1:5" x14ac:dyDescent="0.25">
      <c r="A176" s="36">
        <v>22.704667199218342</v>
      </c>
      <c r="E176"/>
    </row>
    <row r="177" spans="1:5" x14ac:dyDescent="0.25">
      <c r="A177" s="36">
        <v>21.623492570684135</v>
      </c>
      <c r="E177"/>
    </row>
    <row r="178" spans="1:5" x14ac:dyDescent="0.25">
      <c r="A178" s="36">
        <v>20.593802448270605</v>
      </c>
      <c r="C178" s="7"/>
      <c r="D178"/>
      <c r="E178"/>
    </row>
    <row r="179" spans="1:5" x14ac:dyDescent="0.25">
      <c r="A179" s="36">
        <v>19.613145188829147</v>
      </c>
      <c r="E179"/>
    </row>
    <row r="180" spans="1:5" x14ac:dyDescent="0.25">
      <c r="A180" s="36">
        <v>18.679185894122998</v>
      </c>
      <c r="E180"/>
    </row>
    <row r="181" spans="1:5" x14ac:dyDescent="0.25">
      <c r="A181" s="36">
        <v>17.78970085154571</v>
      </c>
      <c r="C181"/>
      <c r="D181"/>
      <c r="E181"/>
    </row>
    <row r="182" spans="1:5" x14ac:dyDescent="0.25">
      <c r="A182" s="36">
        <v>16.942572239567344</v>
      </c>
      <c r="E182"/>
    </row>
    <row r="183" spans="1:5" x14ac:dyDescent="0.25">
      <c r="A183" s="36">
        <v>16.135783085302233</v>
      </c>
      <c r="E183"/>
    </row>
    <row r="184" spans="1:5" x14ac:dyDescent="0.25">
      <c r="A184" s="36">
        <v>15.367412462192602</v>
      </c>
      <c r="E184"/>
    </row>
    <row r="185" spans="1:5" x14ac:dyDescent="0.25">
      <c r="A185" s="36">
        <v>14.635630916373906</v>
      </c>
      <c r="C185"/>
      <c r="E185"/>
    </row>
    <row r="186" spans="1:5" x14ac:dyDescent="0.25">
      <c r="A186" s="36">
        <v>13.938696110832291</v>
      </c>
      <c r="E186"/>
    </row>
    <row r="187" spans="1:5" x14ac:dyDescent="0.25">
      <c r="A187" s="36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6">
        <v>12.64280826379346</v>
      </c>
      <c r="E188"/>
    </row>
    <row r="189" spans="1:5" x14ac:dyDescent="0.25">
      <c r="A189" s="36">
        <v>12.04076977504139</v>
      </c>
      <c r="E189"/>
    </row>
    <row r="190" spans="1:5" x14ac:dyDescent="0.25">
      <c r="A190" s="36">
        <v>11.467399785753704</v>
      </c>
      <c r="E190"/>
    </row>
    <row r="191" spans="1:5" x14ac:dyDescent="0.25">
      <c r="A191" s="36">
        <v>10.921333129289241</v>
      </c>
      <c r="E191"/>
    </row>
    <row r="192" spans="1:5" x14ac:dyDescent="0.25">
      <c r="A192" s="36">
        <v>10.401269646942135</v>
      </c>
      <c r="E192"/>
    </row>
    <row r="193" spans="1:5" x14ac:dyDescent="0.25">
      <c r="A193" s="36">
        <v>9.9059710923258422</v>
      </c>
      <c r="E193"/>
    </row>
    <row r="194" spans="1:5" x14ac:dyDescent="0.25">
      <c r="A194" s="36">
        <v>9.4342581831674686</v>
      </c>
      <c r="E194"/>
    </row>
    <row r="195" spans="1:5" x14ac:dyDescent="0.25">
      <c r="A195" s="36">
        <v>8.9850077934928265</v>
      </c>
      <c r="E195"/>
    </row>
    <row r="196" spans="1:5" x14ac:dyDescent="0.25">
      <c r="A196" s="36">
        <v>8.5571502795169767</v>
      </c>
      <c r="E196"/>
    </row>
    <row r="197" spans="1:5" x14ac:dyDescent="0.25">
      <c r="A197" s="36">
        <v>8.1496669328733109</v>
      </c>
      <c r="E197"/>
    </row>
    <row r="198" spans="1:5" x14ac:dyDescent="0.25">
      <c r="A198" s="36">
        <v>7.7615875551174378</v>
      </c>
      <c r="E198"/>
    </row>
    <row r="199" spans="1:5" x14ac:dyDescent="0.25">
      <c r="A199" s="36">
        <v>7.3919881477308929</v>
      </c>
      <c r="E199"/>
    </row>
    <row r="200" spans="1:5" x14ac:dyDescent="0.25">
      <c r="A200" s="36">
        <v>7.0399887121246598</v>
      </c>
      <c r="E200"/>
    </row>
    <row r="201" spans="1:5" x14ac:dyDescent="0.25">
      <c r="A201" s="36">
        <v>6.7047511544044376</v>
      </c>
      <c r="E201"/>
    </row>
    <row r="202" spans="1:5" x14ac:dyDescent="0.25">
      <c r="A202" s="36">
        <v>6.3854772899089882</v>
      </c>
      <c r="E202"/>
    </row>
    <row r="203" spans="1:5" x14ac:dyDescent="0.25">
      <c r="A203" s="36">
        <v>6.0814069427704647</v>
      </c>
      <c r="C203" s="7"/>
      <c r="D203"/>
      <c r="E203"/>
    </row>
    <row r="204" spans="1:5" x14ac:dyDescent="0.25">
      <c r="A204" s="36">
        <v>5.7918161359718709</v>
      </c>
      <c r="E204"/>
    </row>
    <row r="205" spans="1:5" x14ac:dyDescent="0.25">
      <c r="A205" s="36">
        <v>5.5160153675922574</v>
      </c>
      <c r="E205"/>
    </row>
    <row r="206" spans="1:5" x14ac:dyDescent="0.25">
      <c r="A206" s="36">
        <v>5.2533479691354827</v>
      </c>
      <c r="C206"/>
      <c r="D206"/>
      <c r="E206"/>
    </row>
    <row r="207" spans="1:5" x14ac:dyDescent="0.25">
      <c r="A207" s="36">
        <v>5.0031885420337927</v>
      </c>
      <c r="E207"/>
    </row>
    <row r="208" spans="1:5" x14ac:dyDescent="0.25">
      <c r="A208" s="36">
        <v>4.7649414686036122</v>
      </c>
      <c r="E208"/>
    </row>
    <row r="209" spans="1:5" x14ac:dyDescent="0.25">
      <c r="A209" s="36">
        <v>4.5380394939082018</v>
      </c>
      <c r="E209"/>
    </row>
    <row r="210" spans="1:5" x14ac:dyDescent="0.25">
      <c r="A210" s="36">
        <v>4.3219423751506678</v>
      </c>
      <c r="C210"/>
      <c r="E210"/>
    </row>
    <row r="211" spans="1:5" x14ac:dyDescent="0.25">
      <c r="A211" s="36">
        <v>4.1161355953815884</v>
      </c>
      <c r="E211"/>
    </row>
    <row r="212" spans="1:5" x14ac:dyDescent="0.25">
      <c r="A212" s="36">
        <v>3.9201291384586554</v>
      </c>
      <c r="E212"/>
    </row>
    <row r="213" spans="1:5" x14ac:dyDescent="0.25">
      <c r="A213" s="36">
        <v>3.7334563223415764</v>
      </c>
      <c r="E213"/>
    </row>
    <row r="214" spans="1:5" x14ac:dyDescent="0.25">
      <c r="A214" s="36">
        <v>3.5556726879443583</v>
      </c>
      <c r="E214"/>
    </row>
    <row r="215" spans="1:5" x14ac:dyDescent="0.25">
      <c r="A215" s="36">
        <v>3.3863549408993889</v>
      </c>
      <c r="E215"/>
    </row>
    <row r="216" spans="1:5" x14ac:dyDescent="0.25">
      <c r="A216" s="36">
        <v>3.2250999437137038</v>
      </c>
      <c r="E216"/>
    </row>
    <row r="217" spans="1:5" x14ac:dyDescent="0.25">
      <c r="A217" s="36">
        <v>3.0715237559178128</v>
      </c>
      <c r="E217"/>
    </row>
    <row r="218" spans="1:5" x14ac:dyDescent="0.25">
      <c r="A218" s="36">
        <v>2.9252607199217264</v>
      </c>
      <c r="E218"/>
    </row>
    <row r="219" spans="1:5" x14ac:dyDescent="0.25">
      <c r="A219" s="36">
        <v>2.7859625904016441</v>
      </c>
      <c r="E219"/>
    </row>
    <row r="220" spans="1:5" x14ac:dyDescent="0.25">
      <c r="A220" s="36">
        <v>2.6532977051444226</v>
      </c>
      <c r="E220"/>
    </row>
    <row r="221" spans="1:5" x14ac:dyDescent="0.25">
      <c r="A221" s="36">
        <v>2.5269501953756404</v>
      </c>
      <c r="E221"/>
    </row>
    <row r="222" spans="1:5" x14ac:dyDescent="0.25">
      <c r="A222" s="36">
        <v>2.4066192336910861</v>
      </c>
      <c r="E222"/>
    </row>
    <row r="223" spans="1:5" x14ac:dyDescent="0.25">
      <c r="A223" s="36">
        <v>2.2920183178010345</v>
      </c>
      <c r="E223"/>
    </row>
    <row r="224" spans="1:5" x14ac:dyDescent="0.25">
      <c r="A224" s="36">
        <v>2.1828745883819374</v>
      </c>
      <c r="E224"/>
    </row>
    <row r="225" spans="1:5" x14ac:dyDescent="0.25">
      <c r="A225" s="36">
        <v>2.0789281794113688</v>
      </c>
      <c r="E225"/>
    </row>
    <row r="226" spans="1:5" x14ac:dyDescent="0.25">
      <c r="A226" s="36">
        <v>1.9799315994393987</v>
      </c>
      <c r="E226"/>
    </row>
    <row r="227" spans="1:5" x14ac:dyDescent="0.25">
      <c r="A227" s="36">
        <v>1.8856491423232367</v>
      </c>
      <c r="E227"/>
    </row>
    <row r="228" spans="1:5" x14ac:dyDescent="0.25">
      <c r="A228" s="36">
        <v>1.7958563260221301</v>
      </c>
      <c r="C228" s="7"/>
      <c r="D228"/>
      <c r="E228"/>
    </row>
    <row r="229" spans="1:5" x14ac:dyDescent="0.25">
      <c r="A229" s="36">
        <v>1.7103393581163142</v>
      </c>
      <c r="E229"/>
    </row>
    <row r="230" spans="1:5" x14ac:dyDescent="0.25">
      <c r="A230" s="36">
        <v>1.628894626777442</v>
      </c>
      <c r="E230"/>
    </row>
    <row r="231" spans="1:5" x14ac:dyDescent="0.25">
      <c r="A231" s="36">
        <v>1.5513282159785162</v>
      </c>
      <c r="C231"/>
      <c r="D231"/>
      <c r="E231"/>
    </row>
    <row r="232" spans="1:5" x14ac:dyDescent="0.25">
      <c r="A232" s="36">
        <v>1.477455443789063</v>
      </c>
      <c r="E232"/>
    </row>
    <row r="233" spans="1:5" x14ac:dyDescent="0.25">
      <c r="A233" s="36">
        <v>1.4071004226562505</v>
      </c>
      <c r="E233"/>
    </row>
    <row r="234" spans="1:5" x14ac:dyDescent="0.25">
      <c r="A234" s="36">
        <v>1.3400956406250004</v>
      </c>
      <c r="E234"/>
    </row>
    <row r="235" spans="1:5" x14ac:dyDescent="0.25">
      <c r="A235" s="36">
        <v>1.2762815625000004</v>
      </c>
      <c r="C235"/>
      <c r="E235"/>
    </row>
    <row r="236" spans="1:5" x14ac:dyDescent="0.25">
      <c r="A236" s="36">
        <v>1.2155062500000002</v>
      </c>
      <c r="E236"/>
    </row>
    <row r="237" spans="1:5" x14ac:dyDescent="0.25">
      <c r="A237" s="36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6">
        <v>1.1025</v>
      </c>
      <c r="E238"/>
    </row>
    <row r="239" spans="1:5" x14ac:dyDescent="0.25">
      <c r="A239" s="36">
        <v>1.05</v>
      </c>
      <c r="E239"/>
    </row>
    <row r="240" spans="1:5" x14ac:dyDescent="0.25">
      <c r="A240" s="36">
        <v>1</v>
      </c>
      <c r="E240" s="29" t="s">
        <v>8</v>
      </c>
    </row>
    <row r="241" spans="1:6" x14ac:dyDescent="0.25">
      <c r="A241" s="36">
        <v>0.952380952380952</v>
      </c>
      <c r="B241"/>
      <c r="C241"/>
      <c r="D241"/>
      <c r="E241"/>
      <c r="F241" s="27" t="s">
        <v>7</v>
      </c>
    </row>
    <row r="242" spans="1:6" x14ac:dyDescent="0.25">
      <c r="A242" s="36">
        <v>0.90702947845804915</v>
      </c>
      <c r="B242"/>
      <c r="C242"/>
      <c r="D242"/>
      <c r="E242"/>
      <c r="F242" s="27" t="s">
        <v>7</v>
      </c>
    </row>
    <row r="243" spans="1:6" x14ac:dyDescent="0.25">
      <c r="A243" s="36">
        <v>0.86383759853147501</v>
      </c>
      <c r="B243"/>
      <c r="C243"/>
      <c r="D243"/>
      <c r="E243"/>
      <c r="F243" s="27" t="s">
        <v>7</v>
      </c>
    </row>
    <row r="244" spans="1:6" x14ac:dyDescent="0.25">
      <c r="A244" s="36">
        <v>0.82270247479188063</v>
      </c>
      <c r="B244"/>
      <c r="C244"/>
      <c r="D244"/>
      <c r="E244"/>
      <c r="F244" s="27" t="s">
        <v>7</v>
      </c>
    </row>
    <row r="245" spans="1:6" x14ac:dyDescent="0.25">
      <c r="A245" s="36">
        <v>0.78352616646845741</v>
      </c>
      <c r="B245"/>
      <c r="C245"/>
      <c r="D245"/>
      <c r="E245"/>
      <c r="F245" s="27" t="s">
        <v>7</v>
      </c>
    </row>
    <row r="246" spans="1:6" x14ac:dyDescent="0.25">
      <c r="A246" s="36">
        <v>0.74621539663662584</v>
      </c>
      <c r="B246"/>
      <c r="C246"/>
      <c r="D246"/>
      <c r="E246"/>
      <c r="F246" s="27" t="s">
        <v>7</v>
      </c>
    </row>
    <row r="247" spans="1:6" x14ac:dyDescent="0.25">
      <c r="A247" s="36">
        <v>0.71068133013011958</v>
      </c>
      <c r="B247"/>
      <c r="C247"/>
      <c r="D247"/>
      <c r="E247"/>
      <c r="F247" s="27" t="s">
        <v>7</v>
      </c>
    </row>
    <row r="248" spans="1:6" x14ac:dyDescent="0.25">
      <c r="A248" s="36">
        <v>0.676839362028685</v>
      </c>
      <c r="B248"/>
      <c r="C248"/>
      <c r="D248"/>
      <c r="E248"/>
      <c r="F248" s="27" t="s">
        <v>7</v>
      </c>
    </row>
    <row r="249" spans="1:6" x14ac:dyDescent="0.25">
      <c r="A249" s="36">
        <v>0.64460891621779492</v>
      </c>
      <c r="B249"/>
      <c r="C249"/>
      <c r="D249"/>
      <c r="E249"/>
      <c r="F249" s="27" t="s">
        <v>7</v>
      </c>
    </row>
    <row r="250" spans="1:6" x14ac:dyDescent="0.25">
      <c r="A250" s="36">
        <v>0.61391325354075688</v>
      </c>
      <c r="B250"/>
      <c r="C250"/>
      <c r="D250"/>
      <c r="E250"/>
      <c r="F250" s="27" t="s">
        <v>7</v>
      </c>
    </row>
    <row r="251" spans="1:6" x14ac:dyDescent="0.25">
      <c r="A251" s="36">
        <v>0.58467928908643485</v>
      </c>
      <c r="B251"/>
      <c r="C251"/>
      <c r="D251"/>
      <c r="E251"/>
      <c r="F251" s="27" t="s">
        <v>7</v>
      </c>
    </row>
    <row r="252" spans="1:6" x14ac:dyDescent="0.25">
      <c r="A252" s="36">
        <v>0.55683741817755672</v>
      </c>
      <c r="B252"/>
      <c r="C252"/>
      <c r="D252"/>
      <c r="E252"/>
      <c r="F252" s="27" t="s">
        <v>7</v>
      </c>
    </row>
    <row r="253" spans="1:6" x14ac:dyDescent="0.25">
      <c r="A253" s="36">
        <v>0.53032135064529184</v>
      </c>
      <c r="B253"/>
      <c r="C253"/>
      <c r="D253"/>
      <c r="E253"/>
      <c r="F253" s="27" t="s">
        <v>7</v>
      </c>
    </row>
    <row r="254" spans="1:6" x14ac:dyDescent="0.25">
      <c r="A254" s="36">
        <v>0.50506795299551588</v>
      </c>
      <c r="B254"/>
      <c r="C254"/>
      <c r="D254"/>
      <c r="E254"/>
      <c r="F254" s="27" t="s">
        <v>7</v>
      </c>
    </row>
    <row r="255" spans="1:6" x14ac:dyDescent="0.25">
      <c r="A255" s="36">
        <v>0.48101709809096732</v>
      </c>
      <c r="E255"/>
      <c r="F255" s="27" t="s">
        <v>7</v>
      </c>
    </row>
    <row r="256" spans="1:6" x14ac:dyDescent="0.25">
      <c r="A256" s="36">
        <v>0.45811152199139726</v>
      </c>
      <c r="E256"/>
      <c r="F256" s="27" t="s">
        <v>7</v>
      </c>
    </row>
    <row r="257" spans="1:6" x14ac:dyDescent="0.25">
      <c r="A257" s="36">
        <v>0.43629668761085438</v>
      </c>
      <c r="B257"/>
      <c r="C257"/>
      <c r="D257"/>
      <c r="E257"/>
      <c r="F257" s="27" t="s">
        <v>7</v>
      </c>
    </row>
    <row r="258" spans="1:6" x14ac:dyDescent="0.25">
      <c r="A258" s="36">
        <v>0.41552065486748019</v>
      </c>
      <c r="B258"/>
      <c r="C258"/>
      <c r="D258"/>
      <c r="E258"/>
      <c r="F258" s="27" t="s">
        <v>7</v>
      </c>
    </row>
    <row r="259" spans="1:6" x14ac:dyDescent="0.25">
      <c r="A259" s="36">
        <v>0.39573395701664765</v>
      </c>
      <c r="B259"/>
      <c r="C259"/>
      <c r="D259"/>
      <c r="E259"/>
      <c r="F259" s="27" t="s">
        <v>7</v>
      </c>
    </row>
    <row r="260" spans="1:6" x14ac:dyDescent="0.25">
      <c r="A260" s="36">
        <v>0.37688948287299762</v>
      </c>
      <c r="B260"/>
      <c r="C260"/>
      <c r="D260"/>
      <c r="E260"/>
      <c r="F260" s="27" t="s">
        <v>7</v>
      </c>
    </row>
    <row r="261" spans="1:6" x14ac:dyDescent="0.25">
      <c r="A261" s="36">
        <v>0.35894236464094997</v>
      </c>
      <c r="B261"/>
      <c r="C261"/>
      <c r="D261"/>
      <c r="E261"/>
      <c r="F261" s="27" t="s">
        <v>7</v>
      </c>
    </row>
    <row r="262" spans="1:6" x14ac:dyDescent="0.25">
      <c r="A262" s="36">
        <v>0.34184987108661891</v>
      </c>
      <c r="B262"/>
      <c r="C262"/>
      <c r="D262"/>
      <c r="E262"/>
      <c r="F262" s="27" t="s">
        <v>7</v>
      </c>
    </row>
    <row r="263" spans="1:6" x14ac:dyDescent="0.25">
      <c r="A263" s="36">
        <v>0.32557130579677979</v>
      </c>
      <c r="B263"/>
      <c r="C263"/>
      <c r="D263"/>
      <c r="E263"/>
      <c r="F263" s="27" t="s">
        <v>7</v>
      </c>
    </row>
    <row r="264" spans="1:6" x14ac:dyDescent="0.25">
      <c r="A264" s="36">
        <v>0.3100679102826473</v>
      </c>
      <c r="B264"/>
      <c r="C264"/>
      <c r="D264"/>
      <c r="E264"/>
      <c r="F264" s="27" t="s">
        <v>7</v>
      </c>
    </row>
    <row r="265" spans="1:6" x14ac:dyDescent="0.25">
      <c r="A265" s="36">
        <v>0.2953027716977592</v>
      </c>
      <c r="B265"/>
      <c r="C265"/>
      <c r="D265"/>
      <c r="E265"/>
      <c r="F265" s="27" t="s">
        <v>7</v>
      </c>
    </row>
    <row r="266" spans="1:6" x14ac:dyDescent="0.25">
      <c r="A266" s="36">
        <v>0.28124073495024676</v>
      </c>
      <c r="B266"/>
      <c r="C266"/>
      <c r="D266"/>
      <c r="E266"/>
      <c r="F266" s="27" t="s">
        <v>7</v>
      </c>
    </row>
    <row r="267" spans="1:6" x14ac:dyDescent="0.25">
      <c r="A267" s="36">
        <v>0.26784831900023492</v>
      </c>
      <c r="B267"/>
      <c r="C267"/>
      <c r="D267"/>
      <c r="E267"/>
      <c r="F267" s="27" t="s">
        <v>7</v>
      </c>
    </row>
    <row r="268" spans="1:6" x14ac:dyDescent="0.25">
      <c r="A268" s="36">
        <v>0.25509363714308075</v>
      </c>
      <c r="B268"/>
      <c r="C268"/>
      <c r="D268"/>
      <c r="E268"/>
      <c r="F268" s="27" t="s">
        <v>7</v>
      </c>
    </row>
    <row r="269" spans="1:6" x14ac:dyDescent="0.25">
      <c r="A269" s="36">
        <v>0.24294632108864825</v>
      </c>
      <c r="B269"/>
      <c r="C269"/>
      <c r="D269"/>
      <c r="E269"/>
      <c r="F269" s="27" t="s">
        <v>7</v>
      </c>
    </row>
    <row r="270" spans="1:6" x14ac:dyDescent="0.25">
      <c r="A270" s="36">
        <v>0.23137744865585538</v>
      </c>
      <c r="B270"/>
      <c r="C270"/>
      <c r="D270"/>
      <c r="E270"/>
      <c r="F270" s="27" t="s">
        <v>7</v>
      </c>
    </row>
    <row r="271" spans="1:6" x14ac:dyDescent="0.25">
      <c r="A271" s="36">
        <v>0.22035947491033836</v>
      </c>
      <c r="B271"/>
      <c r="C271"/>
      <c r="D271"/>
      <c r="E271"/>
      <c r="F271" s="27" t="s">
        <v>7</v>
      </c>
    </row>
    <row r="272" spans="1:6" x14ac:dyDescent="0.25">
      <c r="A272" s="36">
        <v>0.20986616658127455</v>
      </c>
      <c r="B272"/>
      <c r="C272"/>
      <c r="D272"/>
      <c r="E272"/>
      <c r="F272" s="27" t="s">
        <v>7</v>
      </c>
    </row>
    <row r="273" spans="1:6" x14ac:dyDescent="0.25">
      <c r="A273" s="36">
        <v>0.19987253960121379</v>
      </c>
      <c r="B273"/>
      <c r="C273"/>
      <c r="D273"/>
      <c r="E273"/>
      <c r="F273" s="27" t="s">
        <v>7</v>
      </c>
    </row>
    <row r="274" spans="1:6" x14ac:dyDescent="0.25">
      <c r="A274" s="36">
        <v>0.19035479962020352</v>
      </c>
      <c r="B274"/>
      <c r="C274"/>
      <c r="D274"/>
      <c r="E274"/>
      <c r="F274" s="27" t="s">
        <v>7</v>
      </c>
    </row>
    <row r="275" spans="1:6" x14ac:dyDescent="0.25">
      <c r="A275" s="36">
        <v>0.18129028535257471</v>
      </c>
      <c r="B275"/>
      <c r="C275"/>
      <c r="D275"/>
      <c r="E275"/>
      <c r="F275" s="27" t="s">
        <v>7</v>
      </c>
    </row>
    <row r="276" spans="1:6" x14ac:dyDescent="0.25">
      <c r="A276" s="36">
        <v>0.17265741462149967</v>
      </c>
      <c r="B276"/>
      <c r="C276"/>
      <c r="D276"/>
      <c r="E276"/>
      <c r="F276" s="27" t="s">
        <v>7</v>
      </c>
    </row>
    <row r="277" spans="1:6" x14ac:dyDescent="0.25">
      <c r="A277" s="36">
        <v>0.16443563297285677</v>
      </c>
      <c r="B277"/>
      <c r="C277"/>
      <c r="D277"/>
      <c r="E277"/>
      <c r="F277" s="27" t="s">
        <v>7</v>
      </c>
    </row>
    <row r="278" spans="1:6" x14ac:dyDescent="0.25">
      <c r="A278" s="36">
        <v>0.15660536473605399</v>
      </c>
      <c r="B278"/>
      <c r="C278"/>
      <c r="D278"/>
      <c r="E278"/>
      <c r="F278" s="27" t="s">
        <v>7</v>
      </c>
    </row>
    <row r="279" spans="1:6" x14ac:dyDescent="0.25">
      <c r="A279" s="36">
        <v>0.14914796641528946</v>
      </c>
      <c r="B279"/>
      <c r="C279"/>
      <c r="D279"/>
      <c r="E279"/>
      <c r="F279" s="27" t="s">
        <v>7</v>
      </c>
    </row>
    <row r="280" spans="1:6" x14ac:dyDescent="0.25">
      <c r="A280" s="36">
        <v>0.14204568230027562</v>
      </c>
      <c r="B280"/>
      <c r="C280"/>
      <c r="D280"/>
      <c r="E280"/>
      <c r="F280" s="27" t="s">
        <v>7</v>
      </c>
    </row>
    <row r="281" spans="1:6" x14ac:dyDescent="0.25">
      <c r="A281" s="36">
        <v>0.13528160219073862</v>
      </c>
      <c r="B281"/>
      <c r="C281"/>
      <c r="D281"/>
      <c r="E281"/>
      <c r="F281" s="27" t="s">
        <v>7</v>
      </c>
    </row>
    <row r="282" spans="1:6" x14ac:dyDescent="0.25">
      <c r="A282" s="36">
        <v>0.12883962113403674</v>
      </c>
      <c r="B282"/>
      <c r="C282"/>
      <c r="D282"/>
      <c r="E282"/>
      <c r="F282" s="27" t="s">
        <v>7</v>
      </c>
    </row>
    <row r="283" spans="1:6" x14ac:dyDescent="0.25">
      <c r="A283" s="36">
        <v>0.12270440108003494</v>
      </c>
      <c r="B283"/>
      <c r="C283"/>
      <c r="D283"/>
      <c r="E283"/>
      <c r="F283" s="27" t="s">
        <v>7</v>
      </c>
    </row>
    <row r="284" spans="1:6" x14ac:dyDescent="0.25">
      <c r="A284" s="36">
        <v>0.11686133436193799</v>
      </c>
      <c r="B284"/>
      <c r="C284"/>
      <c r="D284"/>
      <c r="E284"/>
      <c r="F284" s="27" t="s">
        <v>7</v>
      </c>
    </row>
    <row r="285" spans="1:6" x14ac:dyDescent="0.25">
      <c r="A285" s="36">
        <v>0.11129650891613138</v>
      </c>
      <c r="B285"/>
      <c r="C285"/>
      <c r="D285"/>
      <c r="E285"/>
      <c r="F285" s="27" t="s">
        <v>7</v>
      </c>
    </row>
    <row r="286" spans="1:6" x14ac:dyDescent="0.25">
      <c r="A286" s="36">
        <v>0.10599667515822032</v>
      </c>
      <c r="B286"/>
      <c r="C286"/>
      <c r="D286"/>
      <c r="E286"/>
      <c r="F286" s="27" t="s">
        <v>7</v>
      </c>
    </row>
    <row r="287" spans="1:6" x14ac:dyDescent="0.25">
      <c r="A287" s="36">
        <v>0.10094921443640027</v>
      </c>
      <c r="B287"/>
      <c r="C287"/>
      <c r="D287"/>
      <c r="E287"/>
      <c r="F287" s="27" t="s">
        <v>7</v>
      </c>
    </row>
    <row r="288" spans="1:6" x14ac:dyDescent="0.25">
      <c r="A288" s="36">
        <v>9.6142108987047836E-2</v>
      </c>
      <c r="B288"/>
      <c r="C288"/>
      <c r="D288"/>
      <c r="E288"/>
      <c r="F288" s="27" t="s">
        <v>7</v>
      </c>
    </row>
    <row r="289" spans="1:6" x14ac:dyDescent="0.25">
      <c r="A289" s="36">
        <v>9.1563913320997906E-2</v>
      </c>
      <c r="B289"/>
      <c r="C289"/>
      <c r="D289"/>
      <c r="E289"/>
      <c r="F289" s="27" t="s">
        <v>7</v>
      </c>
    </row>
    <row r="290" spans="1:6" x14ac:dyDescent="0.25">
      <c r="A290" s="36">
        <v>8.7203726972378923E-2</v>
      </c>
      <c r="B290"/>
      <c r="C290"/>
      <c r="D290"/>
      <c r="E290"/>
      <c r="F290" s="27" t="s">
        <v>7</v>
      </c>
    </row>
    <row r="291" spans="1:6" x14ac:dyDescent="0.25">
      <c r="A291" s="36">
        <v>8.3051168545122747E-2</v>
      </c>
      <c r="B291"/>
      <c r="C291"/>
      <c r="D291"/>
      <c r="E291"/>
      <c r="F291" s="27" t="s">
        <v>7</v>
      </c>
    </row>
    <row r="292" spans="1:6" x14ac:dyDescent="0.25">
      <c r="A292" s="36">
        <v>7.9096350995354961E-2</v>
      </c>
      <c r="B292"/>
      <c r="C292"/>
      <c r="D292"/>
      <c r="E292"/>
      <c r="F292" s="27" t="s">
        <v>7</v>
      </c>
    </row>
    <row r="293" spans="1:6" x14ac:dyDescent="0.25">
      <c r="A293" s="36">
        <v>7.5329858090814217E-2</v>
      </c>
      <c r="B293"/>
      <c r="C293"/>
      <c r="D293"/>
      <c r="E293"/>
      <c r="F293" s="27" t="s">
        <v>7</v>
      </c>
    </row>
    <row r="294" spans="1:6" x14ac:dyDescent="0.25">
      <c r="A294" s="36">
        <v>7.1742721991251604E-2</v>
      </c>
      <c r="B294"/>
      <c r="C294"/>
      <c r="D294"/>
      <c r="E294"/>
      <c r="F294" s="27" t="s">
        <v>7</v>
      </c>
    </row>
    <row r="295" spans="1:6" x14ac:dyDescent="0.25">
      <c r="A295" s="36">
        <v>6.8326401896430078E-2</v>
      </c>
      <c r="B295"/>
      <c r="C295"/>
      <c r="D295"/>
      <c r="E295"/>
      <c r="F295" s="27" t="s">
        <v>7</v>
      </c>
    </row>
    <row r="296" spans="1:6" x14ac:dyDescent="0.25">
      <c r="A296" s="36">
        <v>6.5072763710885759E-2</v>
      </c>
      <c r="B296"/>
      <c r="C296"/>
      <c r="D296"/>
      <c r="E296"/>
      <c r="F296" s="27" t="s">
        <v>7</v>
      </c>
    </row>
    <row r="297" spans="1:6" x14ac:dyDescent="0.25">
      <c r="A297" s="36">
        <v>6.197406067703403E-2</v>
      </c>
      <c r="B297"/>
      <c r="C297"/>
      <c r="D297"/>
      <c r="E297"/>
      <c r="F297" s="27" t="s">
        <v>7</v>
      </c>
    </row>
    <row r="298" spans="1:6" x14ac:dyDescent="0.25">
      <c r="A298" s="36">
        <v>5.9022914930508576E-2</v>
      </c>
      <c r="B298"/>
      <c r="C298"/>
      <c r="D298"/>
      <c r="E298"/>
      <c r="F298" s="27" t="s">
        <v>7</v>
      </c>
    </row>
    <row r="299" spans="1:6" x14ac:dyDescent="0.25">
      <c r="A299" s="36">
        <v>5.6212299933817669E-2</v>
      </c>
      <c r="B299"/>
      <c r="C299"/>
      <c r="D299"/>
      <c r="E299"/>
      <c r="F299" s="27" t="s">
        <v>7</v>
      </c>
    </row>
    <row r="300" spans="1:6" x14ac:dyDescent="0.25">
      <c r="A300" s="36">
        <v>5.3535523746492994E-2</v>
      </c>
      <c r="B300"/>
      <c r="C300"/>
      <c r="D300"/>
      <c r="E300"/>
      <c r="F300" s="27" t="s">
        <v>7</v>
      </c>
    </row>
    <row r="301" spans="1:6" x14ac:dyDescent="0.25">
      <c r="A301" s="36">
        <v>5.0986213091898068E-2</v>
      </c>
      <c r="B301"/>
      <c r="C301"/>
      <c r="D301"/>
      <c r="E301"/>
      <c r="F301" s="27" t="s">
        <v>7</v>
      </c>
    </row>
    <row r="302" spans="1:6" x14ac:dyDescent="0.25">
      <c r="A302" s="36">
        <v>4.8558298182760043E-2</v>
      </c>
      <c r="B302"/>
      <c r="C302"/>
      <c r="D302"/>
      <c r="E302"/>
      <c r="F302" s="27" t="s">
        <v>7</v>
      </c>
    </row>
    <row r="303" spans="1:6" x14ac:dyDescent="0.25">
      <c r="A303" s="36">
        <v>4.6245998269295263E-2</v>
      </c>
      <c r="B303"/>
      <c r="C303"/>
      <c r="D303"/>
      <c r="E303"/>
      <c r="F303" s="27" t="s">
        <v>7</v>
      </c>
    </row>
    <row r="304" spans="1:6" x14ac:dyDescent="0.25">
      <c r="A304" s="36">
        <v>4.4043807875519279E-2</v>
      </c>
      <c r="B304"/>
      <c r="C304"/>
      <c r="D304"/>
      <c r="E304"/>
      <c r="F304" s="27" t="s">
        <v>7</v>
      </c>
    </row>
    <row r="305" spans="1:6" x14ac:dyDescent="0.25">
      <c r="A305" s="36">
        <v>4.1946483690970725E-2</v>
      </c>
      <c r="B305"/>
      <c r="C305"/>
      <c r="D305"/>
      <c r="E305"/>
      <c r="F305" s="27" t="s">
        <v>7</v>
      </c>
    </row>
    <row r="306" spans="1:6" x14ac:dyDescent="0.25">
      <c r="A306" s="36">
        <v>3.9949032086638768E-2</v>
      </c>
      <c r="B306"/>
      <c r="C306"/>
      <c r="D306"/>
      <c r="E306"/>
      <c r="F306" s="27" t="s">
        <v>7</v>
      </c>
    </row>
    <row r="307" spans="1:6" x14ac:dyDescent="0.25">
      <c r="A307" s="36">
        <v>3.8046697225370241E-2</v>
      </c>
      <c r="B307"/>
      <c r="C307"/>
      <c r="D307"/>
      <c r="E307"/>
      <c r="F307" s="27" t="s">
        <v>7</v>
      </c>
    </row>
    <row r="308" spans="1:6" x14ac:dyDescent="0.25">
      <c r="A308" s="36">
        <v>3.6234949738447833E-2</v>
      </c>
      <c r="B308"/>
      <c r="C308"/>
      <c r="D308"/>
      <c r="E308"/>
      <c r="F308" s="27" t="s">
        <v>7</v>
      </c>
    </row>
    <row r="309" spans="1:6" x14ac:dyDescent="0.25">
      <c r="A309" s="36">
        <v>3.4509475941378875E-2</v>
      </c>
      <c r="B309"/>
      <c r="C309"/>
      <c r="D309"/>
      <c r="E309"/>
      <c r="F309" s="27" t="s">
        <v>7</v>
      </c>
    </row>
    <row r="310" spans="1:6" x14ac:dyDescent="0.25">
      <c r="A310" s="36">
        <v>3.286616756321796E-2</v>
      </c>
      <c r="B310"/>
      <c r="C310"/>
      <c r="D310"/>
      <c r="E310"/>
      <c r="F310" s="27" t="s">
        <v>7</v>
      </c>
    </row>
    <row r="311" spans="1:6" x14ac:dyDescent="0.25">
      <c r="A311" s="36">
        <v>3.1301111964969472E-2</v>
      </c>
      <c r="B311"/>
      <c r="C311"/>
      <c r="D311"/>
      <c r="E311"/>
      <c r="F311" s="27" t="s">
        <v>7</v>
      </c>
    </row>
    <row r="312" spans="1:6" x14ac:dyDescent="0.25">
      <c r="A312" s="36">
        <v>2.9810582823780438E-2</v>
      </c>
      <c r="B312"/>
      <c r="C312"/>
      <c r="D312"/>
      <c r="E312"/>
      <c r="F312" s="27" t="s">
        <v>7</v>
      </c>
    </row>
    <row r="313" spans="1:6" x14ac:dyDescent="0.25">
      <c r="A313" s="36">
        <v>2.8391031260743264E-2</v>
      </c>
      <c r="B313"/>
      <c r="C313"/>
      <c r="D313"/>
      <c r="E313"/>
      <c r="F313" s="27" t="s">
        <v>7</v>
      </c>
    </row>
    <row r="314" spans="1:6" x14ac:dyDescent="0.25">
      <c r="A314" s="36">
        <v>2.7039077391184052E-2</v>
      </c>
      <c r="B314"/>
      <c r="C314"/>
      <c r="D314"/>
      <c r="E314"/>
      <c r="F314" s="27" t="s">
        <v>7</v>
      </c>
    </row>
    <row r="315" spans="1:6" x14ac:dyDescent="0.25">
      <c r="A315" s="36">
        <v>2.5751502277318133E-2</v>
      </c>
      <c r="B315"/>
      <c r="C315"/>
      <c r="D315"/>
      <c r="E315"/>
      <c r="F315" s="27" t="s">
        <v>7</v>
      </c>
    </row>
    <row r="316" spans="1:6" x14ac:dyDescent="0.25">
      <c r="A316" s="36">
        <v>2.4525240264112496E-2</v>
      </c>
      <c r="B316"/>
      <c r="C316"/>
      <c r="D316"/>
      <c r="E316"/>
      <c r="F316" s="27" t="s">
        <v>7</v>
      </c>
    </row>
    <row r="317" spans="1:6" x14ac:dyDescent="0.25">
      <c r="A317" s="36">
        <v>2.3357371680107129E-2</v>
      </c>
      <c r="B317"/>
      <c r="C317"/>
      <c r="D317"/>
      <c r="E317"/>
      <c r="F317" s="27" t="s">
        <v>7</v>
      </c>
    </row>
    <row r="318" spans="1:6" x14ac:dyDescent="0.25">
      <c r="A318" s="36">
        <v>2.2245115885816305E-2</v>
      </c>
      <c r="B318"/>
      <c r="C318"/>
      <c r="D318"/>
      <c r="E318"/>
      <c r="F318" s="27" t="s">
        <v>7</v>
      </c>
    </row>
    <row r="319" spans="1:6" x14ac:dyDescent="0.25">
      <c r="A319" s="36">
        <v>2.1185824653158377E-2</v>
      </c>
      <c r="B319"/>
      <c r="C319"/>
      <c r="D319"/>
      <c r="E319"/>
      <c r="F319" s="27" t="s">
        <v>7</v>
      </c>
    </row>
    <row r="320" spans="1:6" x14ac:dyDescent="0.25">
      <c r="A320" s="36">
        <v>2.0176975860150829E-2</v>
      </c>
      <c r="B320"/>
      <c r="C320"/>
      <c r="D320"/>
      <c r="E320"/>
      <c r="F320" s="27" t="s">
        <v>7</v>
      </c>
    </row>
    <row r="321" spans="1:6" x14ac:dyDescent="0.25">
      <c r="A321" s="36">
        <v>1.9216167485857926E-2</v>
      </c>
      <c r="B321"/>
      <c r="C321"/>
      <c r="D321"/>
      <c r="E321"/>
      <c r="F321" s="27" t="s">
        <v>7</v>
      </c>
    </row>
    <row r="322" spans="1:6" x14ac:dyDescent="0.25">
      <c r="A322" s="36">
        <v>1.8301111891293256E-2</v>
      </c>
      <c r="B322"/>
      <c r="C322"/>
      <c r="D322"/>
      <c r="E322"/>
      <c r="F322" s="27" t="s">
        <v>7</v>
      </c>
    </row>
    <row r="323" spans="1:6" x14ac:dyDescent="0.25">
      <c r="A323" s="36">
        <v>1.7429630372660238E-2</v>
      </c>
      <c r="B323"/>
      <c r="C323"/>
      <c r="D323"/>
      <c r="E323"/>
      <c r="F323" s="27" t="s">
        <v>7</v>
      </c>
    </row>
    <row r="324" spans="1:6" x14ac:dyDescent="0.25">
      <c r="A324" s="36">
        <v>1.6599647973962125E-2</v>
      </c>
      <c r="B324"/>
      <c r="C324"/>
      <c r="D324"/>
      <c r="E324"/>
      <c r="F324" s="27" t="s">
        <v>7</v>
      </c>
    </row>
    <row r="325" spans="1:6" x14ac:dyDescent="0.25">
      <c r="A325" s="36">
        <v>1.580918854663059E-2</v>
      </c>
      <c r="B325"/>
      <c r="C325"/>
      <c r="D325"/>
      <c r="E325"/>
      <c r="F325" s="27" t="s">
        <v>7</v>
      </c>
    </row>
    <row r="326" spans="1:6" x14ac:dyDescent="0.25">
      <c r="A326" s="36">
        <v>1.5056370044410079E-2</v>
      </c>
      <c r="B326"/>
      <c r="C326"/>
      <c r="D326"/>
      <c r="E326"/>
      <c r="F326" s="27" t="s">
        <v>7</v>
      </c>
    </row>
    <row r="327" spans="1:6" x14ac:dyDescent="0.25">
      <c r="A327" s="36">
        <v>1.4339400042295308E-2</v>
      </c>
      <c r="B327"/>
      <c r="C327"/>
      <c r="D327"/>
      <c r="E327"/>
      <c r="F327" s="27" t="s">
        <v>7</v>
      </c>
    </row>
    <row r="328" spans="1:6" x14ac:dyDescent="0.25">
      <c r="A328" s="36">
        <v>1.365657146885267E-2</v>
      </c>
      <c r="B328"/>
      <c r="C328"/>
      <c r="D328"/>
      <c r="E328"/>
      <c r="F328" s="27" t="s">
        <v>7</v>
      </c>
    </row>
    <row r="329" spans="1:6" x14ac:dyDescent="0.25">
      <c r="A329" s="36">
        <v>1.3006258541764442E-2</v>
      </c>
      <c r="B329"/>
      <c r="C329"/>
      <c r="D329"/>
      <c r="E329"/>
      <c r="F329" s="27" t="s">
        <v>7</v>
      </c>
    </row>
    <row r="330" spans="1:6" x14ac:dyDescent="0.25">
      <c r="A330" s="36">
        <v>1.2386912896918512E-2</v>
      </c>
      <c r="B330"/>
      <c r="C330"/>
      <c r="D330"/>
      <c r="E330"/>
      <c r="F330" s="27" t="s">
        <v>7</v>
      </c>
    </row>
    <row r="331" spans="1:6" x14ac:dyDescent="0.25">
      <c r="A331" s="36">
        <v>1.179705990182715E-2</v>
      </c>
      <c r="B331"/>
      <c r="C331"/>
      <c r="D331"/>
      <c r="E331"/>
      <c r="F331" s="27" t="s">
        <v>7</v>
      </c>
    </row>
    <row r="332" spans="1:6" x14ac:dyDescent="0.25">
      <c r="A332" s="36">
        <v>1.1235295144597281E-2</v>
      </c>
      <c r="B332"/>
      <c r="C332"/>
      <c r="D332"/>
      <c r="E332"/>
      <c r="F332" s="27" t="s">
        <v>7</v>
      </c>
    </row>
    <row r="333" spans="1:6" x14ac:dyDescent="0.25">
      <c r="A333" s="36">
        <v>1.0700281090092644E-2</v>
      </c>
      <c r="B333"/>
      <c r="C333"/>
      <c r="D333"/>
      <c r="E333"/>
      <c r="F333" s="27" t="s">
        <v>7</v>
      </c>
    </row>
    <row r="334" spans="1:6" x14ac:dyDescent="0.25">
      <c r="A334" s="36">
        <v>1.0190743895326324E-2</v>
      </c>
      <c r="B334"/>
      <c r="C334"/>
      <c r="D334"/>
      <c r="E334"/>
      <c r="F334" s="27" t="s">
        <v>7</v>
      </c>
    </row>
    <row r="335" spans="1:6" x14ac:dyDescent="0.25">
      <c r="A335" s="36">
        <v>9.7054703765012563E-3</v>
      </c>
      <c r="B335"/>
      <c r="C335"/>
      <c r="D335"/>
      <c r="E335"/>
      <c r="F335" s="27" t="s">
        <v>7</v>
      </c>
    </row>
    <row r="336" spans="1:6" x14ac:dyDescent="0.25">
      <c r="A336" s="36">
        <v>9.2433051204773835E-3</v>
      </c>
      <c r="B336"/>
      <c r="C336"/>
      <c r="D336"/>
      <c r="E336"/>
      <c r="F336" s="27" t="s">
        <v>7</v>
      </c>
    </row>
    <row r="337" spans="1:6" x14ac:dyDescent="0.25">
      <c r="A337" s="36">
        <v>8.8031477337879808E-3</v>
      </c>
      <c r="B337"/>
      <c r="C337"/>
      <c r="D337"/>
      <c r="E337"/>
      <c r="F337" s="27" t="s">
        <v>7</v>
      </c>
    </row>
    <row r="338" spans="1:6" x14ac:dyDescent="0.25">
      <c r="A338" s="36">
        <v>8.3839502226552166E-3</v>
      </c>
      <c r="B338"/>
      <c r="C338"/>
      <c r="D338"/>
      <c r="E338"/>
      <c r="F338" s="27" t="s">
        <v>7</v>
      </c>
    </row>
    <row r="339" spans="1:6" x14ac:dyDescent="0.25">
      <c r="A339" s="36">
        <v>7.9847144977668698E-3</v>
      </c>
      <c r="B339"/>
      <c r="C339"/>
      <c r="D339"/>
      <c r="E339"/>
      <c r="F339" s="27" t="s">
        <v>7</v>
      </c>
    </row>
    <row r="340" spans="1:6" x14ac:dyDescent="0.25">
      <c r="A340" s="36">
        <v>7.6044899978732058E-3</v>
      </c>
      <c r="B340"/>
      <c r="C340"/>
      <c r="D340"/>
      <c r="E340"/>
      <c r="F340" s="27" t="s">
        <v>7</v>
      </c>
    </row>
    <row r="341" spans="1:6" x14ac:dyDescent="0.25">
      <c r="A341" s="36">
        <v>7.2423714265459072E-3</v>
      </c>
      <c r="B341"/>
      <c r="C341"/>
      <c r="D341"/>
      <c r="E341"/>
      <c r="F341" s="27" t="s">
        <v>7</v>
      </c>
    </row>
    <row r="342" spans="1:6" x14ac:dyDescent="0.25">
      <c r="A342" s="36">
        <v>6.8974965967103846E-3</v>
      </c>
      <c r="B342"/>
      <c r="C342"/>
      <c r="D342"/>
      <c r="E342"/>
      <c r="F342" s="27" t="s">
        <v>7</v>
      </c>
    </row>
    <row r="343" spans="1:6" x14ac:dyDescent="0.25">
      <c r="A343" s="36">
        <v>6.5690443778194116E-3</v>
      </c>
      <c r="B343"/>
      <c r="C343"/>
      <c r="D343"/>
      <c r="E343"/>
      <c r="F343" s="27" t="s">
        <v>7</v>
      </c>
    </row>
    <row r="344" spans="1:6" x14ac:dyDescent="0.25">
      <c r="A344" s="36">
        <v>6.2562327407803897E-3</v>
      </c>
      <c r="B344"/>
      <c r="C344"/>
      <c r="D344"/>
      <c r="E344"/>
      <c r="F344" s="27" t="s">
        <v>7</v>
      </c>
    </row>
    <row r="345" spans="1:6" x14ac:dyDescent="0.25">
      <c r="A345" s="36">
        <v>5.9583168959813212E-3</v>
      </c>
      <c r="B345"/>
      <c r="C345"/>
      <c r="D345"/>
      <c r="E345"/>
      <c r="F345" s="27" t="s">
        <v>7</v>
      </c>
    </row>
    <row r="346" spans="1:6" x14ac:dyDescent="0.25">
      <c r="A346" s="36">
        <v>5.6745875199822084E-3</v>
      </c>
      <c r="B346"/>
      <c r="C346"/>
      <c r="D346"/>
      <c r="E346"/>
      <c r="F346" s="27" t="s">
        <v>7</v>
      </c>
    </row>
    <row r="347" spans="1:6" x14ac:dyDescent="0.25">
      <c r="A347" s="36">
        <v>5.4043690666497205E-3</v>
      </c>
      <c r="B347"/>
      <c r="C347"/>
      <c r="D347"/>
      <c r="E347"/>
      <c r="F347" s="27" t="s">
        <v>7</v>
      </c>
    </row>
    <row r="348" spans="1:6" x14ac:dyDescent="0.25">
      <c r="A348" s="36">
        <v>5.1470181587140174E-3</v>
      </c>
      <c r="B348"/>
      <c r="C348"/>
      <c r="D348"/>
      <c r="E348"/>
      <c r="F348" s="27" t="s">
        <v>7</v>
      </c>
    </row>
    <row r="349" spans="1:6" x14ac:dyDescent="0.25">
      <c r="A349" s="36">
        <v>4.9019220559181099E-3</v>
      </c>
      <c r="B349"/>
      <c r="C349"/>
      <c r="D349"/>
      <c r="E349"/>
      <c r="F349" s="27" t="s">
        <v>7</v>
      </c>
    </row>
    <row r="350" spans="1:6" x14ac:dyDescent="0.25">
      <c r="A350" s="36">
        <v>4.6684971961124836E-3</v>
      </c>
      <c r="B350"/>
      <c r="C350"/>
      <c r="D350"/>
      <c r="E350"/>
      <c r="F350" s="27" t="s">
        <v>7</v>
      </c>
    </row>
    <row r="351" spans="1:6" x14ac:dyDescent="0.25">
      <c r="A351" s="36">
        <v>4.4461878058214112E-3</v>
      </c>
      <c r="B351"/>
      <c r="C351"/>
      <c r="D351"/>
      <c r="E351"/>
      <c r="F351" s="27" t="s">
        <v>7</v>
      </c>
    </row>
    <row r="352" spans="1:6" x14ac:dyDescent="0.25">
      <c r="A352" s="36">
        <v>4.2344645769727711E-3</v>
      </c>
      <c r="B352"/>
      <c r="C352"/>
      <c r="D352"/>
      <c r="E352"/>
      <c r="F352" s="27" t="s">
        <v>7</v>
      </c>
    </row>
    <row r="353" spans="1:6" x14ac:dyDescent="0.25">
      <c r="A353" s="36">
        <v>4.0328234066407329E-3</v>
      </c>
      <c r="B353"/>
      <c r="C353"/>
      <c r="D353"/>
      <c r="E353"/>
      <c r="F353" s="27" t="s">
        <v>7</v>
      </c>
    </row>
    <row r="354" spans="1:6" x14ac:dyDescent="0.25">
      <c r="A354" s="36">
        <v>3.8407841968006963E-3</v>
      </c>
      <c r="B354"/>
      <c r="C354"/>
      <c r="D354"/>
      <c r="E354"/>
      <c r="F354" s="27" t="s">
        <v>7</v>
      </c>
    </row>
    <row r="355" spans="1:6" x14ac:dyDescent="0.25">
      <c r="A355" s="36">
        <v>3.6578897112387568E-3</v>
      </c>
      <c r="B355"/>
      <c r="C355"/>
      <c r="D355"/>
      <c r="E355"/>
      <c r="F355" s="27" t="s">
        <v>7</v>
      </c>
    </row>
    <row r="356" spans="1:6" x14ac:dyDescent="0.25">
      <c r="A356" s="36">
        <v>3.4837044868940526E-3</v>
      </c>
      <c r="B356"/>
      <c r="C356"/>
      <c r="D356"/>
      <c r="E356"/>
      <c r="F356" s="27" t="s">
        <v>7</v>
      </c>
    </row>
    <row r="357" spans="1:6" x14ac:dyDescent="0.25">
      <c r="A357" s="36">
        <v>3.3178137970419535E-3</v>
      </c>
      <c r="B357"/>
      <c r="C357"/>
      <c r="D357"/>
      <c r="E357"/>
      <c r="F357" s="27" t="s">
        <v>7</v>
      </c>
    </row>
    <row r="358" spans="1:6" x14ac:dyDescent="0.25">
      <c r="A358" s="36">
        <v>3.1598226638494781E-3</v>
      </c>
      <c r="B358"/>
      <c r="C358"/>
      <c r="D358"/>
      <c r="E358"/>
      <c r="F358" s="27" t="s">
        <v>7</v>
      </c>
    </row>
    <row r="359" spans="1:6" x14ac:dyDescent="0.25">
      <c r="A359" s="36">
        <v>3.0093549179518826E-3</v>
      </c>
      <c r="B359"/>
      <c r="C359"/>
      <c r="D359"/>
      <c r="E359"/>
      <c r="F359" s="27" t="s">
        <v>7</v>
      </c>
    </row>
    <row r="360" spans="1:6" x14ac:dyDescent="0.25">
      <c r="A360" s="36">
        <v>2.8660523028113155E-3</v>
      </c>
      <c r="B360"/>
      <c r="C360"/>
      <c r="D360"/>
      <c r="E360"/>
      <c r="F360" s="27" t="s">
        <v>7</v>
      </c>
    </row>
    <row r="361" spans="1:6" x14ac:dyDescent="0.25">
      <c r="A361" s="36">
        <v>2.7295736217250611E-3</v>
      </c>
      <c r="B361"/>
      <c r="C361"/>
      <c r="D361"/>
      <c r="E361"/>
      <c r="F361" s="27" t="s">
        <v>7</v>
      </c>
    </row>
    <row r="362" spans="1:6" x14ac:dyDescent="0.25">
      <c r="A362" s="36">
        <v>2.5995939254524381E-3</v>
      </c>
      <c r="B362"/>
      <c r="C362"/>
      <c r="D362"/>
      <c r="E362"/>
      <c r="F362" s="27" t="s">
        <v>7</v>
      </c>
    </row>
    <row r="363" spans="1:6" x14ac:dyDescent="0.25">
      <c r="A363" s="36">
        <v>2.4758037385261304E-3</v>
      </c>
      <c r="B363"/>
      <c r="C363"/>
      <c r="D363"/>
      <c r="E363"/>
      <c r="F363" s="27" t="s">
        <v>7</v>
      </c>
    </row>
    <row r="364" spans="1:6" x14ac:dyDescent="0.25">
      <c r="A364" s="36">
        <v>2.3579083224058374E-3</v>
      </c>
      <c r="B364"/>
      <c r="C364"/>
      <c r="D364"/>
      <c r="E364"/>
      <c r="F364" s="27" t="s">
        <v>7</v>
      </c>
    </row>
    <row r="365" spans="1:6" x14ac:dyDescent="0.25">
      <c r="A365" s="36">
        <v>2.245626973719844E-3</v>
      </c>
      <c r="B365"/>
      <c r="C365"/>
      <c r="D365"/>
      <c r="E365"/>
      <c r="F365" s="27" t="s">
        <v>7</v>
      </c>
    </row>
    <row r="366" spans="1:6" x14ac:dyDescent="0.25">
      <c r="A366" s="36">
        <v>2.1386923559236601E-3</v>
      </c>
      <c r="B366"/>
      <c r="C366"/>
      <c r="D366"/>
      <c r="E366"/>
      <c r="F366" s="27" t="s">
        <v>7</v>
      </c>
    </row>
    <row r="367" spans="1:6" x14ac:dyDescent="0.25">
      <c r="A367" s="36">
        <v>2.0368498627844375E-3</v>
      </c>
      <c r="B367"/>
      <c r="C367"/>
      <c r="D367"/>
      <c r="E367"/>
      <c r="F367" s="27" t="s">
        <v>7</v>
      </c>
    </row>
    <row r="368" spans="1:6" x14ac:dyDescent="0.25">
      <c r="A368" s="36">
        <v>1.9398570121756541E-3</v>
      </c>
      <c r="B368"/>
      <c r="C368"/>
      <c r="D368"/>
      <c r="E368"/>
      <c r="F368" s="27" t="s">
        <v>7</v>
      </c>
    </row>
    <row r="369" spans="1:6" x14ac:dyDescent="0.25">
      <c r="A369" s="36">
        <v>1.8474828687387174E-3</v>
      </c>
      <c r="B369"/>
      <c r="C369"/>
      <c r="D369"/>
      <c r="E369"/>
      <c r="F369" s="27" t="s">
        <v>7</v>
      </c>
    </row>
    <row r="370" spans="1:6" x14ac:dyDescent="0.25">
      <c r="A370" s="36">
        <v>1.759507494036873E-3</v>
      </c>
      <c r="B370"/>
      <c r="C370"/>
      <c r="D370"/>
      <c r="E370"/>
      <c r="F370" s="27" t="s">
        <v>7</v>
      </c>
    </row>
    <row r="371" spans="1:6" x14ac:dyDescent="0.25">
      <c r="A371" s="36">
        <v>1.6757214228922594E-3</v>
      </c>
      <c r="B371"/>
      <c r="C371"/>
      <c r="D371"/>
      <c r="E371"/>
      <c r="F371" s="27" t="s">
        <v>7</v>
      </c>
    </row>
    <row r="372" spans="1:6" x14ac:dyDescent="0.25">
      <c r="A372" s="36">
        <v>1.595925164659294E-3</v>
      </c>
      <c r="B372"/>
      <c r="C372"/>
      <c r="D372"/>
      <c r="E372"/>
      <c r="F372" s="27" t="s">
        <v>7</v>
      </c>
    </row>
    <row r="373" spans="1:6" x14ac:dyDescent="0.25">
      <c r="A373" s="36">
        <v>1.5199287282469461E-3</v>
      </c>
      <c r="B373"/>
      <c r="C373"/>
      <c r="D373"/>
      <c r="E373"/>
      <c r="F373" s="27" t="s">
        <v>7</v>
      </c>
    </row>
    <row r="374" spans="1:6" x14ac:dyDescent="0.25">
      <c r="A374" s="36">
        <v>1.4475511697589958E-3</v>
      </c>
      <c r="B374"/>
      <c r="C374"/>
      <c r="D374"/>
      <c r="E374"/>
      <c r="F374" s="27" t="s">
        <v>7</v>
      </c>
    </row>
    <row r="375" spans="1:6" x14ac:dyDescent="0.25">
      <c r="A375" s="36">
        <v>1.3786201616752334E-3</v>
      </c>
      <c r="B375"/>
      <c r="C375"/>
      <c r="D375"/>
      <c r="E375"/>
      <c r="F375" s="27" t="s">
        <v>7</v>
      </c>
    </row>
    <row r="376" spans="1:6" x14ac:dyDescent="0.25">
      <c r="A376" s="36">
        <v>1.3129715825478407E-3</v>
      </c>
      <c r="B376"/>
      <c r="C376"/>
      <c r="D376"/>
      <c r="E376"/>
      <c r="F376" s="27" t="s">
        <v>7</v>
      </c>
    </row>
    <row r="377" spans="1:6" x14ac:dyDescent="0.25">
      <c r="A377" s="36">
        <v>1.2504491262360382E-3</v>
      </c>
      <c r="B377"/>
      <c r="C377"/>
      <c r="D377"/>
      <c r="E377"/>
      <c r="F377" s="27" t="s">
        <v>7</v>
      </c>
    </row>
    <row r="378" spans="1:6" x14ac:dyDescent="0.25">
      <c r="A378" s="36">
        <v>1.1909039297486072E-3</v>
      </c>
      <c r="B378"/>
      <c r="C378"/>
      <c r="D378"/>
      <c r="E378"/>
      <c r="F378" s="27" t="s">
        <v>7</v>
      </c>
    </row>
    <row r="379" spans="1:6" x14ac:dyDescent="0.25">
      <c r="A379" s="36">
        <v>1.1341942188081969E-3</v>
      </c>
      <c r="B379"/>
      <c r="C379"/>
      <c r="D379"/>
      <c r="E379"/>
      <c r="F379" s="27" t="s">
        <v>7</v>
      </c>
    </row>
    <row r="380" spans="1:6" x14ac:dyDescent="0.25">
      <c r="A380" s="36">
        <v>1.0801849702935203E-3</v>
      </c>
      <c r="B380"/>
      <c r="C380"/>
      <c r="D380"/>
      <c r="E380"/>
      <c r="F380" s="27" t="s">
        <v>7</v>
      </c>
    </row>
    <row r="381" spans="1:6" x14ac:dyDescent="0.25">
      <c r="A381" s="36">
        <v>1.0287475907557332E-3</v>
      </c>
      <c r="B381"/>
      <c r="C381"/>
      <c r="D381"/>
      <c r="E381"/>
      <c r="F381" s="27" t="s">
        <v>7</v>
      </c>
    </row>
    <row r="382" spans="1:6" x14ac:dyDescent="0.25">
      <c r="A382" s="36">
        <v>9.7731021121794646E-4</v>
      </c>
      <c r="F382" s="27" t="s">
        <v>7</v>
      </c>
    </row>
    <row r="383" spans="1:6" x14ac:dyDescent="0.25">
      <c r="A383" s="36">
        <v>9.2844470065704904E-4</v>
      </c>
      <c r="F383" s="27" t="s">
        <v>7</v>
      </c>
    </row>
    <row r="384" spans="1:6" x14ac:dyDescent="0.25">
      <c r="A384" s="36">
        <v>8.8202246562419653E-4</v>
      </c>
      <c r="F384" s="27" t="s">
        <v>7</v>
      </c>
    </row>
    <row r="385" spans="1:6" x14ac:dyDescent="0.25">
      <c r="A385" s="36">
        <v>8.3792134234298668E-4</v>
      </c>
      <c r="F385" s="27" t="s">
        <v>7</v>
      </c>
    </row>
    <row r="386" spans="1:6" x14ac:dyDescent="0.25">
      <c r="A386" s="36">
        <v>7.9602527522583736E-4</v>
      </c>
      <c r="F386" s="27" t="s">
        <v>7</v>
      </c>
    </row>
    <row r="387" spans="1:6" x14ac:dyDescent="0.25">
      <c r="A387" s="36">
        <v>7.5622401146454546E-4</v>
      </c>
      <c r="F387" s="27" t="s">
        <v>7</v>
      </c>
    </row>
    <row r="388" spans="1:6" x14ac:dyDescent="0.25">
      <c r="A388" s="36">
        <v>7.1841281089131816E-4</v>
      </c>
      <c r="F388" s="27" t="s">
        <v>7</v>
      </c>
    </row>
    <row r="389" spans="1:6" x14ac:dyDescent="0.25">
      <c r="A389" s="36">
        <v>6.8249217034675226E-4</v>
      </c>
      <c r="F389" s="27" t="s">
        <v>7</v>
      </c>
    </row>
    <row r="390" spans="1:6" x14ac:dyDescent="0.25">
      <c r="A390" s="36">
        <v>6.4836756182941465E-4</v>
      </c>
      <c r="F390" s="27" t="s">
        <v>7</v>
      </c>
    </row>
    <row r="391" spans="1:6" x14ac:dyDescent="0.25">
      <c r="A391" s="36">
        <v>6.1594918373794388E-4</v>
      </c>
      <c r="F391" s="27" t="s">
        <v>7</v>
      </c>
    </row>
    <row r="392" spans="1:6" x14ac:dyDescent="0.25">
      <c r="A392" s="36">
        <v>5.8515172455104666E-4</v>
      </c>
      <c r="F392" s="27" t="s">
        <v>7</v>
      </c>
    </row>
    <row r="393" spans="1:6" x14ac:dyDescent="0.25">
      <c r="A393" s="36">
        <v>5.5589413832349429E-4</v>
      </c>
      <c r="F393" s="27" t="s">
        <v>7</v>
      </c>
    </row>
    <row r="394" spans="1:6" x14ac:dyDescent="0.25">
      <c r="A394" s="36">
        <v>5.2809943140731956E-4</v>
      </c>
      <c r="F394" s="27" t="s">
        <v>7</v>
      </c>
    </row>
    <row r="395" spans="1:6" x14ac:dyDescent="0.25">
      <c r="A395" s="36">
        <v>5.0169445983695357E-4</v>
      </c>
      <c r="F395" s="27" t="s">
        <v>7</v>
      </c>
    </row>
    <row r="396" spans="1:6" x14ac:dyDescent="0.25">
      <c r="A396" s="36">
        <v>4.7660973684510589E-4</v>
      </c>
      <c r="F396" s="27" t="s">
        <v>7</v>
      </c>
    </row>
    <row r="397" spans="1:6" x14ac:dyDescent="0.25">
      <c r="A397" s="36">
        <v>4.5277925000285056E-4</v>
      </c>
      <c r="F397" s="27" t="s">
        <v>7</v>
      </c>
    </row>
    <row r="398" spans="1:6" x14ac:dyDescent="0.25">
      <c r="A398" s="36">
        <v>4.3014028750270803E-4</v>
      </c>
      <c r="F398" s="27" t="s">
        <v>7</v>
      </c>
    </row>
    <row r="399" spans="1:6" x14ac:dyDescent="0.25">
      <c r="A399" s="36">
        <v>4.0863327312757263E-4</v>
      </c>
      <c r="F399" s="27" t="s">
        <v>7</v>
      </c>
    </row>
    <row r="400" spans="1:6" x14ac:dyDescent="0.25">
      <c r="A400" s="36">
        <v>3.8820160947119396E-4</v>
      </c>
      <c r="F400" s="27" t="s">
        <v>7</v>
      </c>
    </row>
    <row r="401" spans="1:6" x14ac:dyDescent="0.25">
      <c r="A401" s="36">
        <v>3.6879152899763426E-4</v>
      </c>
      <c r="F401" s="27" t="s">
        <v>7</v>
      </c>
    </row>
    <row r="402" spans="1:6" x14ac:dyDescent="0.25">
      <c r="A402" s="36">
        <v>3.5035195254775253E-4</v>
      </c>
      <c r="F402" s="27" t="s">
        <v>7</v>
      </c>
    </row>
    <row r="403" spans="1:6" x14ac:dyDescent="0.25">
      <c r="A403" s="36">
        <v>3.3283435492036491E-4</v>
      </c>
      <c r="F403" s="27" t="s">
        <v>7</v>
      </c>
    </row>
    <row r="404" spans="1:6" x14ac:dyDescent="0.25">
      <c r="A404" s="36">
        <v>3.1619263717434668E-4</v>
      </c>
      <c r="F404" s="27" t="s">
        <v>7</v>
      </c>
    </row>
    <row r="405" spans="1:6" x14ac:dyDescent="0.25">
      <c r="A405" s="36">
        <v>3.0038300531562933E-4</v>
      </c>
      <c r="F405" s="27" t="s">
        <v>7</v>
      </c>
    </row>
    <row r="406" spans="1:6" x14ac:dyDescent="0.25">
      <c r="A406" s="36">
        <v>2.8536385504984783E-4</v>
      </c>
      <c r="F406" s="27" t="s">
        <v>7</v>
      </c>
    </row>
    <row r="407" spans="1:6" x14ac:dyDescent="0.25">
      <c r="A407" s="36">
        <v>2.7109566229735542E-4</v>
      </c>
      <c r="F407" s="27" t="s">
        <v>7</v>
      </c>
    </row>
    <row r="408" spans="1:6" x14ac:dyDescent="0.25">
      <c r="A408" s="36">
        <v>2.5754087918248761E-4</v>
      </c>
      <c r="F408" s="27" t="s">
        <v>7</v>
      </c>
    </row>
    <row r="409" spans="1:6" x14ac:dyDescent="0.25">
      <c r="A409" s="36">
        <v>2.4466383522336323E-4</v>
      </c>
      <c r="F409" s="27" t="s">
        <v>7</v>
      </c>
    </row>
    <row r="410" spans="1:6" x14ac:dyDescent="0.25">
      <c r="A410" s="36">
        <v>2.3243064346219506E-4</v>
      </c>
      <c r="F410" s="27" t="s">
        <v>7</v>
      </c>
    </row>
    <row r="411" spans="1:6" x14ac:dyDescent="0.25">
      <c r="A411" s="36">
        <v>2.2080911128908529E-4</v>
      </c>
      <c r="F411" s="27" t="s">
        <v>7</v>
      </c>
    </row>
    <row r="412" spans="1:6" x14ac:dyDescent="0.25">
      <c r="A412" s="36">
        <v>2.0976865572463102E-4</v>
      </c>
      <c r="F412" s="27" t="s">
        <v>7</v>
      </c>
    </row>
    <row r="413" spans="1:6" x14ac:dyDescent="0.25">
      <c r="A413" s="36">
        <v>1.9928022293839946E-4</v>
      </c>
      <c r="F413" s="27" t="s">
        <v>7</v>
      </c>
    </row>
    <row r="414" spans="1:6" x14ac:dyDescent="0.25">
      <c r="A414" s="36">
        <v>1.8931621179147948E-4</v>
      </c>
      <c r="F414" s="27" t="s">
        <v>7</v>
      </c>
    </row>
    <row r="415" spans="1:6" x14ac:dyDescent="0.25">
      <c r="A415" s="36">
        <v>1.798504012019055E-4</v>
      </c>
      <c r="F415" s="27" t="s">
        <v>7</v>
      </c>
    </row>
    <row r="416" spans="1:6" x14ac:dyDescent="0.25">
      <c r="A416" s="36">
        <v>1.7085788114181021E-4</v>
      </c>
      <c r="F416" s="27" t="s">
        <v>7</v>
      </c>
    </row>
    <row r="417" spans="1:49" x14ac:dyDescent="0.25">
      <c r="A417" s="36">
        <v>1.623149870847197E-4</v>
      </c>
      <c r="F417" s="27" t="s">
        <v>7</v>
      </c>
    </row>
    <row r="418" spans="1:49" x14ac:dyDescent="0.25">
      <c r="A418" s="36">
        <v>1.541992377304837E-4</v>
      </c>
      <c r="F418" s="27" t="s">
        <v>7</v>
      </c>
    </row>
    <row r="419" spans="1:49" x14ac:dyDescent="0.25">
      <c r="A419" s="36">
        <v>1.4648927584395952E-4</v>
      </c>
      <c r="F419" s="27" t="s">
        <v>7</v>
      </c>
    </row>
    <row r="420" spans="1:49" x14ac:dyDescent="0.25">
      <c r="A420" s="36">
        <v>1.3916481205176153E-4</v>
      </c>
      <c r="F420" s="27" t="s">
        <v>7</v>
      </c>
    </row>
    <row r="421" spans="1:49" x14ac:dyDescent="0.25">
      <c r="A421" s="36">
        <v>1.3220657144917344E-4</v>
      </c>
      <c r="F421" s="27" t="s">
        <v>7</v>
      </c>
    </row>
    <row r="422" spans="1:49" x14ac:dyDescent="0.25">
      <c r="A422" s="36">
        <v>1.2559624287671476E-4</v>
      </c>
      <c r="F422" s="27" t="s">
        <v>7</v>
      </c>
    </row>
    <row r="423" spans="1:49" x14ac:dyDescent="0.25">
      <c r="A423" s="36">
        <v>1.1931643073287902E-4</v>
      </c>
      <c r="F423" s="27" t="s">
        <v>7</v>
      </c>
    </row>
    <row r="424" spans="1:49" x14ac:dyDescent="0.25">
      <c r="A424" s="36">
        <v>1.1335060919623506E-4</v>
      </c>
      <c r="F424" s="27" t="s">
        <v>7</v>
      </c>
    </row>
    <row r="425" spans="1:49" x14ac:dyDescent="0.25">
      <c r="A425" s="36">
        <v>1.076830787364233E-4</v>
      </c>
      <c r="F425" s="27" t="s">
        <v>7</v>
      </c>
    </row>
    <row r="426" spans="1:49" x14ac:dyDescent="0.25">
      <c r="A426" s="36">
        <v>1.0229892479960213E-4</v>
      </c>
      <c r="F426" s="27" t="s">
        <v>7</v>
      </c>
    </row>
    <row r="427" spans="1:49" x14ac:dyDescent="0.25">
      <c r="A427" s="36">
        <v>9.7183978559622027E-5</v>
      </c>
      <c r="F427" s="27" t="s">
        <v>7</v>
      </c>
    </row>
    <row r="428" spans="1:49" x14ac:dyDescent="0.25">
      <c r="A428" s="36">
        <v>9.2324779631640922E-5</v>
      </c>
      <c r="F428" s="27" t="s">
        <v>7</v>
      </c>
    </row>
    <row r="429" spans="1:49" x14ac:dyDescent="0.25">
      <c r="A429" s="36">
        <v>8.7708540650058869E-5</v>
      </c>
      <c r="F429" s="27" t="s">
        <v>7</v>
      </c>
      <c r="AU429" s="27" t="s">
        <v>8</v>
      </c>
    </row>
    <row r="430" spans="1:49" x14ac:dyDescent="0.25">
      <c r="A430" s="36">
        <v>8.3323113617555917E-5</v>
      </c>
      <c r="F430" s="27" t="s">
        <v>7</v>
      </c>
      <c r="AU430" s="27" t="s">
        <v>8</v>
      </c>
      <c r="AV430" s="27" t="s">
        <v>7</v>
      </c>
    </row>
    <row r="431" spans="1:49" x14ac:dyDescent="0.25">
      <c r="A431" s="36">
        <v>7.9156957936678114E-5</v>
      </c>
      <c r="F431" s="27" t="s">
        <v>7</v>
      </c>
      <c r="AU431" s="27" t="s">
        <v>8</v>
      </c>
      <c r="AV431" s="27" t="s">
        <v>7</v>
      </c>
    </row>
    <row r="432" spans="1:49" x14ac:dyDescent="0.25">
      <c r="A432" s="36">
        <v>7.5199110039844203E-5</v>
      </c>
      <c r="F432" s="27" t="s">
        <v>7</v>
      </c>
      <c r="AU432" s="27" t="s">
        <v>8</v>
      </c>
      <c r="AV432" s="27" t="s">
        <v>7</v>
      </c>
      <c r="AW432" s="27" t="s">
        <v>8</v>
      </c>
    </row>
    <row r="433" spans="1:66" x14ac:dyDescent="0.25">
      <c r="A433" s="36">
        <v>7.1439154537851989E-5</v>
      </c>
      <c r="F433" s="27" t="s">
        <v>7</v>
      </c>
      <c r="AU433" s="27" t="s">
        <v>8</v>
      </c>
      <c r="AV433" s="27" t="s">
        <v>7</v>
      </c>
      <c r="AW433" s="27" t="s">
        <v>8</v>
      </c>
      <c r="AX433" s="27" t="s">
        <v>7</v>
      </c>
      <c r="AY433" s="27" t="s">
        <v>8</v>
      </c>
    </row>
    <row r="434" spans="1:66" x14ac:dyDescent="0.25">
      <c r="A434" s="36">
        <v>6.7867196810959381E-5</v>
      </c>
      <c r="F434" s="27" t="s">
        <v>7</v>
      </c>
      <c r="AU434" s="27" t="s">
        <v>8</v>
      </c>
      <c r="AV434" s="27" t="s">
        <v>7</v>
      </c>
      <c r="AW434" s="27" t="s">
        <v>8</v>
      </c>
      <c r="AX434" s="27" t="s">
        <v>7</v>
      </c>
      <c r="AY434" s="27" t="s">
        <v>8</v>
      </c>
      <c r="AZ434" s="27" t="s">
        <v>7</v>
      </c>
    </row>
    <row r="435" spans="1:66" x14ac:dyDescent="0.25">
      <c r="A435" s="36">
        <v>6.4473836970411412E-5</v>
      </c>
      <c r="F435" s="27" t="s">
        <v>7</v>
      </c>
      <c r="AU435" s="27" t="s">
        <v>8</v>
      </c>
      <c r="AV435" s="27" t="s">
        <v>7</v>
      </c>
      <c r="AW435" s="27" t="s">
        <v>8</v>
      </c>
      <c r="AX435" s="27" t="s">
        <v>7</v>
      </c>
      <c r="AY435" s="27" t="s">
        <v>8</v>
      </c>
      <c r="AZ435" s="27" t="s">
        <v>7</v>
      </c>
      <c r="BA435" s="27" t="s">
        <v>8</v>
      </c>
    </row>
    <row r="436" spans="1:66" x14ac:dyDescent="0.25">
      <c r="A436" s="36">
        <v>6.1250145121890834E-5</v>
      </c>
      <c r="F436" s="27" t="s">
        <v>7</v>
      </c>
      <c r="AU436" s="27" t="s">
        <v>8</v>
      </c>
      <c r="AV436" s="27" t="s">
        <v>7</v>
      </c>
      <c r="AW436" s="27" t="s">
        <v>8</v>
      </c>
      <c r="AX436" s="27" t="s">
        <v>7</v>
      </c>
      <c r="AY436" s="27" t="s">
        <v>8</v>
      </c>
      <c r="AZ436" s="27" t="s">
        <v>7</v>
      </c>
      <c r="BA436" s="27" t="s">
        <v>8</v>
      </c>
      <c r="BB436" s="27" t="s">
        <v>7</v>
      </c>
    </row>
    <row r="437" spans="1:66" x14ac:dyDescent="0.25">
      <c r="A437" s="36">
        <v>5.8187637865796292E-5</v>
      </c>
      <c r="F437" s="27" t="s">
        <v>7</v>
      </c>
      <c r="AU437" s="27" t="s">
        <v>8</v>
      </c>
      <c r="AV437" s="27" t="s">
        <v>7</v>
      </c>
      <c r="AX437" s="27" t="s">
        <v>7</v>
      </c>
      <c r="AZ437" s="27" t="s">
        <v>7</v>
      </c>
      <c r="BA437" s="27" t="s">
        <v>8</v>
      </c>
      <c r="BB437" s="27" t="s">
        <v>7</v>
      </c>
    </row>
    <row r="438" spans="1:66" x14ac:dyDescent="0.25">
      <c r="A438" s="36">
        <v>5.5278255972506478E-5</v>
      </c>
      <c r="F438" s="27" t="s">
        <v>7</v>
      </c>
      <c r="AU438" s="27" t="s">
        <v>8</v>
      </c>
      <c r="AZ438" s="27" t="s">
        <v>7</v>
      </c>
      <c r="BA438" s="27" t="s">
        <v>8</v>
      </c>
      <c r="BB438" s="27" t="s">
        <v>7</v>
      </c>
      <c r="BC438" s="27" t="s">
        <v>8</v>
      </c>
    </row>
    <row r="439" spans="1:66" x14ac:dyDescent="0.25">
      <c r="A439" s="36">
        <v>5.251434317388115E-5</v>
      </c>
      <c r="F439" s="27" t="s">
        <v>7</v>
      </c>
      <c r="AU439" s="27" t="s">
        <v>8</v>
      </c>
      <c r="AZ439" s="27" t="s">
        <v>7</v>
      </c>
      <c r="BA439" s="27" t="s">
        <v>8</v>
      </c>
      <c r="BB439" s="27" t="s">
        <v>7</v>
      </c>
      <c r="BC439" s="27" t="s">
        <v>8</v>
      </c>
      <c r="BD439" s="27" t="s">
        <v>7</v>
      </c>
      <c r="BI439" s="27" t="s">
        <v>8</v>
      </c>
    </row>
    <row r="440" spans="1:66" x14ac:dyDescent="0.25">
      <c r="A440" s="36">
        <v>4.9888626015187091E-5</v>
      </c>
      <c r="F440" s="27" t="s">
        <v>7</v>
      </c>
      <c r="AU440" s="27" t="s">
        <v>8</v>
      </c>
      <c r="AZ440" s="27" t="s">
        <v>7</v>
      </c>
      <c r="BA440" s="27" t="s">
        <v>8</v>
      </c>
      <c r="BB440" s="27" t="s">
        <v>7</v>
      </c>
      <c r="BC440" s="27" t="s">
        <v>8</v>
      </c>
      <c r="BD440" s="27" t="s">
        <v>7</v>
      </c>
      <c r="BE440" s="27" t="s">
        <v>8</v>
      </c>
      <c r="BI440" s="27" t="s">
        <v>8</v>
      </c>
      <c r="BJ440" s="27" t="s">
        <v>7</v>
      </c>
    </row>
    <row r="441" spans="1:66" x14ac:dyDescent="0.25">
      <c r="A441" s="36">
        <v>4.7394194714427735E-5</v>
      </c>
      <c r="F441" s="27" t="s">
        <v>7</v>
      </c>
      <c r="AU441" s="27" t="s">
        <v>8</v>
      </c>
      <c r="AZ441" s="27" t="s">
        <v>7</v>
      </c>
      <c r="BA441" s="27" t="s">
        <v>8</v>
      </c>
      <c r="BB441" s="27" t="s">
        <v>7</v>
      </c>
      <c r="BD441" s="27" t="s">
        <v>7</v>
      </c>
      <c r="BE441" s="27" t="s">
        <v>8</v>
      </c>
      <c r="BF441" s="27" t="s">
        <v>7</v>
      </c>
      <c r="BG441" s="27" t="s">
        <v>8</v>
      </c>
      <c r="BI441" s="27" t="s">
        <v>8</v>
      </c>
      <c r="BJ441" s="27" t="s">
        <v>7</v>
      </c>
    </row>
    <row r="442" spans="1:66" x14ac:dyDescent="0.25">
      <c r="A442" s="36">
        <v>4.5024484978706345E-5</v>
      </c>
      <c r="F442" s="27" t="s">
        <v>7</v>
      </c>
      <c r="AU442" s="27" t="s">
        <v>8</v>
      </c>
      <c r="AZ442" s="27" t="s">
        <v>7</v>
      </c>
      <c r="BD442" s="27" t="s">
        <v>7</v>
      </c>
      <c r="BE442" s="27" t="s">
        <v>8</v>
      </c>
      <c r="BF442" s="27" t="s">
        <v>7</v>
      </c>
      <c r="BG442" s="27" t="s">
        <v>8</v>
      </c>
      <c r="BH442" s="27" t="s">
        <v>7</v>
      </c>
      <c r="BI442" s="27" t="s">
        <v>8</v>
      </c>
      <c r="BJ442" s="27" t="s">
        <v>7</v>
      </c>
    </row>
    <row r="443" spans="1:66" x14ac:dyDescent="0.25">
      <c r="A443" s="36">
        <v>4.2773260729771024E-5</v>
      </c>
      <c r="F443" s="27" t="s">
        <v>7</v>
      </c>
      <c r="AS443" s="27" t="s">
        <v>8</v>
      </c>
      <c r="AU443" s="27" t="s">
        <v>8</v>
      </c>
      <c r="BD443" s="27" t="s">
        <v>7</v>
      </c>
      <c r="BE443" s="27" t="s">
        <v>8</v>
      </c>
      <c r="BF443" s="27" t="s">
        <v>7</v>
      </c>
      <c r="BG443" s="27" t="s">
        <v>8</v>
      </c>
      <c r="BH443" s="27" t="s">
        <v>7</v>
      </c>
      <c r="BI443" s="27" t="s">
        <v>8</v>
      </c>
      <c r="BJ443" s="27" t="s">
        <v>7</v>
      </c>
    </row>
    <row r="444" spans="1:66" x14ac:dyDescent="0.25">
      <c r="A444" s="36">
        <v>4.0634597693282472E-5</v>
      </c>
      <c r="F444" s="27" t="s">
        <v>7</v>
      </c>
      <c r="AS444" s="27" t="s">
        <v>8</v>
      </c>
      <c r="AT444" s="27" t="s">
        <v>7</v>
      </c>
      <c r="AU444" s="27" t="s">
        <v>8</v>
      </c>
      <c r="BD444" s="27" t="s">
        <v>7</v>
      </c>
      <c r="BF444" s="27" t="s">
        <v>7</v>
      </c>
      <c r="BG444" s="27" t="s">
        <v>8</v>
      </c>
      <c r="BH444" s="27" t="s">
        <v>7</v>
      </c>
      <c r="BI444" s="27" t="s">
        <v>8</v>
      </c>
      <c r="BJ444" s="27" t="s">
        <v>7</v>
      </c>
    </row>
    <row r="445" spans="1:66" x14ac:dyDescent="0.25">
      <c r="A445" s="36">
        <v>3.8602867808618349E-5</v>
      </c>
      <c r="F445" s="27" t="s">
        <v>7</v>
      </c>
      <c r="AS445" s="27" t="s">
        <v>8</v>
      </c>
      <c r="AT445" s="27" t="s">
        <v>7</v>
      </c>
      <c r="AU445" s="27" t="s">
        <v>8</v>
      </c>
      <c r="BF445" s="27" t="s">
        <v>7</v>
      </c>
      <c r="BH445" s="27" t="s">
        <v>7</v>
      </c>
      <c r="BI445" s="27" t="s">
        <v>8</v>
      </c>
      <c r="BJ445" s="27" t="s">
        <v>7</v>
      </c>
      <c r="BK445" s="27" t="s">
        <v>8</v>
      </c>
      <c r="BM445" s="27" t="s">
        <v>8</v>
      </c>
    </row>
    <row r="446" spans="1:66" x14ac:dyDescent="0.25">
      <c r="A446" s="36">
        <v>3.6672724418187428E-5</v>
      </c>
      <c r="F446" s="27" t="s">
        <v>7</v>
      </c>
      <c r="AS446" s="27" t="s">
        <v>8</v>
      </c>
      <c r="AT446" s="27" t="s">
        <v>7</v>
      </c>
      <c r="BH446" s="27" t="s">
        <v>7</v>
      </c>
      <c r="BJ446" s="27" t="s">
        <v>7</v>
      </c>
      <c r="BK446" s="27" t="s">
        <v>8</v>
      </c>
      <c r="BL446" s="27" t="s">
        <v>7</v>
      </c>
      <c r="BM446" s="27" t="s">
        <v>8</v>
      </c>
      <c r="BN446" s="27" t="s">
        <v>7</v>
      </c>
    </row>
    <row r="447" spans="1:66" x14ac:dyDescent="0.25">
      <c r="A447" s="36">
        <v>3.4839088197278057E-5</v>
      </c>
      <c r="F447" s="27" t="s">
        <v>7</v>
      </c>
      <c r="AM447" s="27" t="s">
        <v>8</v>
      </c>
      <c r="AS447" s="27" t="s">
        <v>8</v>
      </c>
      <c r="BJ447" s="27" t="s">
        <v>7</v>
      </c>
      <c r="BK447" s="27" t="s">
        <v>8</v>
      </c>
      <c r="BL447" s="27" t="s">
        <v>7</v>
      </c>
      <c r="BM447" s="27" t="s">
        <v>8</v>
      </c>
      <c r="BN447" s="27" t="s">
        <v>7</v>
      </c>
    </row>
    <row r="448" spans="1:66" x14ac:dyDescent="0.25">
      <c r="A448" s="36">
        <v>3.3097133787414149E-5</v>
      </c>
      <c r="F448" s="27" t="s">
        <v>7</v>
      </c>
      <c r="AM448" s="27" t="s">
        <v>8</v>
      </c>
      <c r="AN448" s="27" t="s">
        <v>7</v>
      </c>
      <c r="AS448" s="27" t="s">
        <v>8</v>
      </c>
      <c r="BJ448" s="27" t="s">
        <v>7</v>
      </c>
      <c r="BK448" s="27" t="s">
        <v>8</v>
      </c>
      <c r="BL448" s="27" t="s">
        <v>7</v>
      </c>
      <c r="BM448" s="27" t="s">
        <v>8</v>
      </c>
      <c r="BN448" s="27" t="s">
        <v>7</v>
      </c>
    </row>
    <row r="449" spans="1:71" x14ac:dyDescent="0.25">
      <c r="A449" s="36">
        <v>3.1442277098043439E-5</v>
      </c>
      <c r="F449" s="27" t="s">
        <v>7</v>
      </c>
      <c r="AM449" s="27" t="s">
        <v>8</v>
      </c>
      <c r="AN449" s="27" t="s">
        <v>7</v>
      </c>
      <c r="AQ449" s="27" t="s">
        <v>8</v>
      </c>
      <c r="AS449" s="27" t="s">
        <v>8</v>
      </c>
      <c r="BJ449" s="27" t="s">
        <v>7</v>
      </c>
      <c r="BK449" s="27" t="s">
        <v>8</v>
      </c>
      <c r="BL449" s="27" t="s">
        <v>7</v>
      </c>
      <c r="BM449" s="27" t="s">
        <v>8</v>
      </c>
      <c r="BN449" s="27" t="s">
        <v>7</v>
      </c>
      <c r="BO449" s="27" t="s">
        <v>8</v>
      </c>
    </row>
    <row r="450" spans="1:71" x14ac:dyDescent="0.25">
      <c r="A450" s="36">
        <v>2.9870163243141264E-5</v>
      </c>
      <c r="F450" s="27" t="s">
        <v>7</v>
      </c>
      <c r="AM450" s="27" t="s">
        <v>8</v>
      </c>
      <c r="AN450" s="27" t="s">
        <v>7</v>
      </c>
      <c r="AO450" s="27" t="s">
        <v>8</v>
      </c>
      <c r="AQ450" s="27" t="s">
        <v>8</v>
      </c>
      <c r="AR450" s="27" t="s">
        <v>7</v>
      </c>
      <c r="AS450" s="27" t="s">
        <v>8</v>
      </c>
      <c r="BJ450" s="27" t="s">
        <v>7</v>
      </c>
      <c r="BL450" s="27" t="s">
        <v>7</v>
      </c>
      <c r="BM450" s="27" t="s">
        <v>8</v>
      </c>
      <c r="BN450" s="27" t="s">
        <v>7</v>
      </c>
      <c r="BO450" s="27" t="s">
        <v>8</v>
      </c>
      <c r="BP450" s="27" t="s">
        <v>7</v>
      </c>
    </row>
    <row r="451" spans="1:71" x14ac:dyDescent="0.25">
      <c r="A451" s="36">
        <v>2.8376655080984199E-5</v>
      </c>
      <c r="F451" s="27" t="s">
        <v>7</v>
      </c>
      <c r="AM451" s="27" t="s">
        <v>8</v>
      </c>
      <c r="AN451" s="27" t="s">
        <v>7</v>
      </c>
      <c r="AO451" s="27" t="s">
        <v>8</v>
      </c>
      <c r="AP451" s="27" t="s">
        <v>7</v>
      </c>
      <c r="AQ451" s="27" t="s">
        <v>8</v>
      </c>
      <c r="AR451" s="27" t="s">
        <v>7</v>
      </c>
      <c r="AS451" s="27" t="s">
        <v>8</v>
      </c>
      <c r="BL451" s="27" t="s">
        <v>7</v>
      </c>
      <c r="BN451" s="27" t="s">
        <v>7</v>
      </c>
      <c r="BO451" s="27" t="s">
        <v>8</v>
      </c>
      <c r="BP451" s="27" t="s">
        <v>7</v>
      </c>
    </row>
    <row r="452" spans="1:71" x14ac:dyDescent="0.25">
      <c r="A452" s="36">
        <v>2.6957822326934987E-5</v>
      </c>
      <c r="F452" s="27" t="s">
        <v>7</v>
      </c>
      <c r="AM452" s="27" t="s">
        <v>8</v>
      </c>
      <c r="AN452" s="27" t="s">
        <v>7</v>
      </c>
      <c r="AO452" s="27" t="s">
        <v>8</v>
      </c>
      <c r="AP452" s="27" t="s">
        <v>7</v>
      </c>
      <c r="AQ452" s="27" t="s">
        <v>8</v>
      </c>
      <c r="AR452" s="27" t="s">
        <v>7</v>
      </c>
      <c r="AS452" s="27" t="s">
        <v>8</v>
      </c>
      <c r="BN452" s="27" t="s">
        <v>7</v>
      </c>
      <c r="BO452" s="27" t="s">
        <v>8</v>
      </c>
      <c r="BP452" s="27" t="s">
        <v>7</v>
      </c>
    </row>
    <row r="453" spans="1:71" x14ac:dyDescent="0.25">
      <c r="A453" s="36">
        <v>2.5609931210588235E-5</v>
      </c>
      <c r="F453" s="27" t="s">
        <v>7</v>
      </c>
      <c r="AM453" s="27" t="s">
        <v>8</v>
      </c>
      <c r="AN453" s="27" t="s">
        <v>7</v>
      </c>
      <c r="AO453" s="27" t="s">
        <v>8</v>
      </c>
      <c r="AP453" s="27" t="s">
        <v>7</v>
      </c>
      <c r="AR453" s="27" t="s">
        <v>7</v>
      </c>
      <c r="AS453" s="27" t="s">
        <v>8</v>
      </c>
      <c r="BN453" s="27" t="s">
        <v>7</v>
      </c>
      <c r="BP453" s="27" t="s">
        <v>7</v>
      </c>
    </row>
    <row r="454" spans="1:71" x14ac:dyDescent="0.25">
      <c r="A454" s="36">
        <v>2.4329434650058821E-5</v>
      </c>
      <c r="F454" s="27" t="s">
        <v>7</v>
      </c>
      <c r="AM454" s="27" t="s">
        <v>8</v>
      </c>
      <c r="AN454" s="27" t="s">
        <v>7</v>
      </c>
      <c r="AO454" s="27" t="s">
        <v>8</v>
      </c>
      <c r="AR454" s="27" t="s">
        <v>7</v>
      </c>
      <c r="BP454" s="27" t="s">
        <v>7</v>
      </c>
    </row>
    <row r="455" spans="1:71" x14ac:dyDescent="0.25">
      <c r="A455" s="36">
        <v>2.311296291755588E-5</v>
      </c>
      <c r="F455" s="27" t="s">
        <v>7</v>
      </c>
      <c r="AM455" s="27" t="s">
        <v>8</v>
      </c>
      <c r="AN455" s="27" t="s">
        <v>7</v>
      </c>
      <c r="AO455" s="27" t="s">
        <v>8</v>
      </c>
      <c r="BP455" s="27" t="s">
        <v>7</v>
      </c>
      <c r="BQ455" s="27" t="s">
        <v>8</v>
      </c>
      <c r="BS455" s="27" t="s">
        <v>8</v>
      </c>
    </row>
    <row r="456" spans="1:71" x14ac:dyDescent="0.25">
      <c r="A456" s="36">
        <v>2.1957314771678086E-5</v>
      </c>
      <c r="F456" s="27" t="s">
        <v>7</v>
      </c>
      <c r="G456" s="31" t="s">
        <v>8</v>
      </c>
      <c r="AM456" s="27" t="s">
        <v>8</v>
      </c>
      <c r="AN456" s="27" t="s">
        <v>7</v>
      </c>
      <c r="AO456" s="27" t="s">
        <v>8</v>
      </c>
      <c r="BP456" s="27" t="s">
        <v>7</v>
      </c>
      <c r="BQ456" s="27" t="s">
        <v>8</v>
      </c>
      <c r="BR456" s="27" t="s">
        <v>7</v>
      </c>
      <c r="BS456" s="27" t="s">
        <v>8</v>
      </c>
    </row>
    <row r="457" spans="1:71" x14ac:dyDescent="0.25">
      <c r="A457" s="36">
        <v>2.085944903309418E-5</v>
      </c>
      <c r="F457" s="27" t="s">
        <v>7</v>
      </c>
      <c r="G457" s="27" t="s">
        <v>8</v>
      </c>
      <c r="H457" s="31" t="s">
        <v>7</v>
      </c>
      <c r="AM457" s="27" t="s">
        <v>8</v>
      </c>
      <c r="AN457" s="27" t="s">
        <v>7</v>
      </c>
      <c r="BP457" s="27" t="s">
        <v>7</v>
      </c>
      <c r="BQ457" s="27" t="s">
        <v>8</v>
      </c>
      <c r="BR457" s="27" t="s">
        <v>7</v>
      </c>
      <c r="BS457" s="27" t="s">
        <v>8</v>
      </c>
    </row>
    <row r="458" spans="1:71" x14ac:dyDescent="0.25">
      <c r="A458" s="36">
        <v>1.9816476581439472E-5</v>
      </c>
      <c r="F458" s="27" t="s">
        <v>7</v>
      </c>
      <c r="G458" s="27" t="s">
        <v>8</v>
      </c>
      <c r="H458" s="27" t="s">
        <v>7</v>
      </c>
      <c r="I458" s="31"/>
      <c r="AM458" s="27" t="s">
        <v>8</v>
      </c>
      <c r="BP458" s="27" t="s">
        <v>7</v>
      </c>
      <c r="BQ458" s="27" t="s">
        <v>8</v>
      </c>
      <c r="BR458" s="27" t="s">
        <v>7</v>
      </c>
      <c r="BS458" s="27" t="s">
        <v>8</v>
      </c>
    </row>
    <row r="459" spans="1:71" x14ac:dyDescent="0.25">
      <c r="A459" s="36">
        <v>1.8825652752367499E-5</v>
      </c>
      <c r="F459" s="27" t="s">
        <v>7</v>
      </c>
      <c r="G459" s="27" t="s">
        <v>8</v>
      </c>
      <c r="H459" s="27" t="s">
        <v>7</v>
      </c>
      <c r="J459" s="31"/>
      <c r="AM459" s="27" t="s">
        <v>8</v>
      </c>
      <c r="BP459" s="27" t="s">
        <v>7</v>
      </c>
      <c r="BQ459" s="27" t="s">
        <v>8</v>
      </c>
      <c r="BR459" s="27" t="s">
        <v>7</v>
      </c>
    </row>
    <row r="460" spans="1:71" x14ac:dyDescent="0.25">
      <c r="A460" s="36">
        <v>1.7884370114749124E-5</v>
      </c>
      <c r="F460" s="27" t="s">
        <v>7</v>
      </c>
      <c r="G460" s="27" t="s">
        <v>8</v>
      </c>
      <c r="H460" s="27" t="s">
        <v>7</v>
      </c>
      <c r="I460" s="27" t="s">
        <v>8</v>
      </c>
      <c r="K460" s="31"/>
      <c r="AM460" s="27" t="s">
        <v>8</v>
      </c>
      <c r="BP460" s="27" t="s">
        <v>7</v>
      </c>
    </row>
    <row r="461" spans="1:71" x14ac:dyDescent="0.25">
      <c r="A461" s="36">
        <v>1.6990151609011666E-5</v>
      </c>
      <c r="F461" s="27" t="s">
        <v>7</v>
      </c>
      <c r="G461" s="27" t="s">
        <v>8</v>
      </c>
      <c r="H461" s="27" t="s">
        <v>7</v>
      </c>
      <c r="I461" s="27" t="s">
        <v>8</v>
      </c>
      <c r="J461" s="27" t="s">
        <v>7</v>
      </c>
      <c r="L461" s="31"/>
      <c r="AM461" s="27" t="s">
        <v>8</v>
      </c>
    </row>
    <row r="462" spans="1:71" x14ac:dyDescent="0.25">
      <c r="A462" s="36">
        <v>1.6140644028561083E-5</v>
      </c>
      <c r="F462" s="27" t="s">
        <v>7</v>
      </c>
      <c r="G462" s="27" t="s">
        <v>8</v>
      </c>
      <c r="H462" s="27" t="s">
        <v>7</v>
      </c>
      <c r="I462" s="27" t="s">
        <v>8</v>
      </c>
      <c r="J462" s="27" t="s">
        <v>7</v>
      </c>
      <c r="M462" s="31"/>
      <c r="AM462" s="27" t="s">
        <v>8</v>
      </c>
    </row>
    <row r="463" spans="1:71" x14ac:dyDescent="0.25">
      <c r="A463" s="36">
        <v>1.5333611827133028E-5</v>
      </c>
      <c r="F463" s="27" t="s">
        <v>7</v>
      </c>
      <c r="H463" s="27" t="s">
        <v>7</v>
      </c>
      <c r="I463" s="27" t="s">
        <v>8</v>
      </c>
      <c r="J463" s="27" t="s">
        <v>7</v>
      </c>
      <c r="N463" s="31"/>
      <c r="AM463" s="27" t="s">
        <v>8</v>
      </c>
    </row>
    <row r="464" spans="1:71" x14ac:dyDescent="0.25">
      <c r="A464" s="36">
        <v>1.4566931235776375E-5</v>
      </c>
      <c r="H464" s="27" t="s">
        <v>7</v>
      </c>
      <c r="I464" s="27" t="s">
        <v>8</v>
      </c>
      <c r="J464" s="27" t="s">
        <v>7</v>
      </c>
      <c r="O464" s="31"/>
      <c r="AM464" s="27" t="s">
        <v>8</v>
      </c>
    </row>
    <row r="465" spans="1:39" x14ac:dyDescent="0.25">
      <c r="A465" s="36">
        <v>1.3838584673987556E-5</v>
      </c>
      <c r="H465" s="27" t="s">
        <v>7</v>
      </c>
      <c r="I465" s="27" t="s">
        <v>8</v>
      </c>
      <c r="J465" s="27" t="s">
        <v>7</v>
      </c>
      <c r="P465" s="31"/>
      <c r="AM465" s="27" t="s">
        <v>8</v>
      </c>
    </row>
    <row r="466" spans="1:39" x14ac:dyDescent="0.25">
      <c r="A466" s="36">
        <v>1.3146655440288178E-5</v>
      </c>
      <c r="H466" s="27" t="s">
        <v>7</v>
      </c>
      <c r="I466" s="27" t="s">
        <v>8</v>
      </c>
      <c r="J466" s="27" t="s">
        <v>7</v>
      </c>
      <c r="Q466" s="31"/>
      <c r="AM466" s="27" t="s">
        <v>8</v>
      </c>
    </row>
    <row r="467" spans="1:39" x14ac:dyDescent="0.25">
      <c r="A467" s="36">
        <v>1.2489322668273768E-5</v>
      </c>
      <c r="H467" s="27" t="s">
        <v>7</v>
      </c>
      <c r="J467" s="27" t="s">
        <v>7</v>
      </c>
      <c r="R467" s="31"/>
      <c r="AM467" s="27" t="s">
        <v>8</v>
      </c>
    </row>
    <row r="468" spans="1:39" x14ac:dyDescent="0.25">
      <c r="A468" s="36">
        <v>1.186485653486008E-5</v>
      </c>
      <c r="J468" s="27" t="s">
        <v>7</v>
      </c>
      <c r="K468" s="27" t="s">
        <v>8</v>
      </c>
      <c r="O468" s="27" t="s">
        <v>8</v>
      </c>
      <c r="S468" s="31"/>
      <c r="AM468" s="27" t="s">
        <v>8</v>
      </c>
    </row>
    <row r="469" spans="1:39" x14ac:dyDescent="0.25">
      <c r="A469" s="36">
        <v>1.1271613708117075E-5</v>
      </c>
      <c r="J469" s="27" t="s">
        <v>7</v>
      </c>
      <c r="K469" s="27" t="s">
        <v>8</v>
      </c>
      <c r="L469" s="27" t="s">
        <v>7</v>
      </c>
      <c r="O469" s="27" t="s">
        <v>8</v>
      </c>
      <c r="P469" s="27" t="s">
        <v>7</v>
      </c>
      <c r="T469" s="31"/>
      <c r="AM469" s="27" t="s">
        <v>8</v>
      </c>
    </row>
    <row r="470" spans="1:39" x14ac:dyDescent="0.25">
      <c r="A470" s="36">
        <v>1.0708033022711222E-5</v>
      </c>
      <c r="J470" s="27" t="s">
        <v>7</v>
      </c>
      <c r="K470" s="27" t="s">
        <v>8</v>
      </c>
      <c r="L470" s="27" t="s">
        <v>7</v>
      </c>
      <c r="O470" s="27" t="s">
        <v>8</v>
      </c>
      <c r="P470" s="27" t="s">
        <v>7</v>
      </c>
      <c r="U470" s="31"/>
      <c r="AM470" s="27" t="s">
        <v>8</v>
      </c>
    </row>
    <row r="471" spans="1:39" x14ac:dyDescent="0.25">
      <c r="A471" s="36">
        <v>1.0172631371575661E-5</v>
      </c>
      <c r="J471" s="27" t="s">
        <v>7</v>
      </c>
      <c r="K471" s="27" t="s">
        <v>8</v>
      </c>
      <c r="L471" s="27" t="s">
        <v>7</v>
      </c>
      <c r="O471" s="27" t="s">
        <v>8</v>
      </c>
      <c r="P471" s="27" t="s">
        <v>7</v>
      </c>
      <c r="S471" s="27" t="s">
        <v>8</v>
      </c>
      <c r="V471" s="31"/>
      <c r="AM471" s="27" t="s">
        <v>8</v>
      </c>
    </row>
    <row r="472" spans="1:39" x14ac:dyDescent="0.25">
      <c r="A472" s="36">
        <v>9.6639998029968765E-6</v>
      </c>
      <c r="J472" s="27" t="s">
        <v>7</v>
      </c>
      <c r="K472" s="27" t="s">
        <v>8</v>
      </c>
      <c r="L472" s="27" t="s">
        <v>7</v>
      </c>
      <c r="M472" s="27" t="s">
        <v>8</v>
      </c>
      <c r="O472" s="27" t="s">
        <v>8</v>
      </c>
      <c r="P472" s="27" t="s">
        <v>7</v>
      </c>
      <c r="Q472" s="27" t="s">
        <v>8</v>
      </c>
      <c r="S472" s="27" t="s">
        <v>8</v>
      </c>
      <c r="T472" s="27" t="s">
        <v>7</v>
      </c>
      <c r="W472" s="31" t="s">
        <v>8</v>
      </c>
      <c r="AM472" s="27" t="s">
        <v>8</v>
      </c>
    </row>
    <row r="473" spans="1:39" x14ac:dyDescent="0.25">
      <c r="A473" s="36">
        <v>9.1807998128470321E-6</v>
      </c>
      <c r="J473" s="27" t="s">
        <v>7</v>
      </c>
      <c r="K473" s="27" t="s">
        <v>8</v>
      </c>
      <c r="L473" s="27" t="s">
        <v>7</v>
      </c>
      <c r="M473" s="27" t="s">
        <v>8</v>
      </c>
      <c r="N473" s="27" t="s">
        <v>7</v>
      </c>
      <c r="O473" s="27" t="s">
        <v>8</v>
      </c>
      <c r="P473" s="27" t="s">
        <v>7</v>
      </c>
      <c r="Q473" s="27" t="s">
        <v>8</v>
      </c>
      <c r="R473" s="27" t="s">
        <v>7</v>
      </c>
      <c r="S473" s="27" t="s">
        <v>8</v>
      </c>
      <c r="T473" s="27" t="s">
        <v>7</v>
      </c>
      <c r="W473" s="27" t="s">
        <v>8</v>
      </c>
      <c r="X473" s="31" t="s">
        <v>7</v>
      </c>
      <c r="AC473" s="27" t="s">
        <v>8</v>
      </c>
      <c r="AG473" s="34" t="s">
        <v>8</v>
      </c>
      <c r="AK473" s="27" t="s">
        <v>8</v>
      </c>
      <c r="AM473" s="27" t="s">
        <v>8</v>
      </c>
    </row>
    <row r="474" spans="1:39" x14ac:dyDescent="0.25">
      <c r="A474" s="36">
        <v>8.7217598222046798E-6</v>
      </c>
      <c r="J474" s="27" t="s">
        <v>7</v>
      </c>
      <c r="K474" s="27" t="s">
        <v>8</v>
      </c>
      <c r="L474" s="27" t="s">
        <v>7</v>
      </c>
      <c r="M474" s="27" t="s">
        <v>8</v>
      </c>
      <c r="N474" s="27" t="s">
        <v>7</v>
      </c>
      <c r="O474" s="27" t="s">
        <v>8</v>
      </c>
      <c r="P474" s="27" t="s">
        <v>7</v>
      </c>
      <c r="Q474" s="27" t="s">
        <v>8</v>
      </c>
      <c r="R474" s="27" t="s">
        <v>7</v>
      </c>
      <c r="S474" s="27" t="s">
        <v>8</v>
      </c>
      <c r="T474" s="27" t="s">
        <v>7</v>
      </c>
      <c r="W474" s="27" t="s">
        <v>8</v>
      </c>
      <c r="X474" s="27" t="s">
        <v>7</v>
      </c>
      <c r="Y474" s="31"/>
      <c r="AC474" s="27" t="s">
        <v>8</v>
      </c>
      <c r="AD474" s="27" t="s">
        <v>7</v>
      </c>
      <c r="AE474" s="27" t="s">
        <v>8</v>
      </c>
      <c r="AG474" s="27" t="s">
        <v>8</v>
      </c>
      <c r="AH474" s="27" t="s">
        <v>7</v>
      </c>
      <c r="AK474" s="27" t="s">
        <v>8</v>
      </c>
      <c r="AL474" s="27" t="s">
        <v>7</v>
      </c>
      <c r="AM474" s="27" t="s">
        <v>8</v>
      </c>
    </row>
    <row r="475" spans="1:39" x14ac:dyDescent="0.25">
      <c r="A475" s="36">
        <v>8.2856718310944451E-6</v>
      </c>
      <c r="J475" s="27" t="s">
        <v>7</v>
      </c>
      <c r="K475" s="27" t="s">
        <v>8</v>
      </c>
      <c r="L475" s="27" t="s">
        <v>7</v>
      </c>
      <c r="M475" s="27" t="s">
        <v>8</v>
      </c>
      <c r="N475" s="27" t="s">
        <v>7</v>
      </c>
      <c r="O475" s="27" t="s">
        <v>8</v>
      </c>
      <c r="P475" s="27" t="s">
        <v>7</v>
      </c>
      <c r="Q475" s="27" t="s">
        <v>8</v>
      </c>
      <c r="R475" s="27" t="s">
        <v>7</v>
      </c>
      <c r="T475" s="27" t="s">
        <v>7</v>
      </c>
      <c r="W475" s="27" t="s">
        <v>8</v>
      </c>
      <c r="X475" s="27" t="s">
        <v>7</v>
      </c>
      <c r="Y475" s="27" t="s">
        <v>8</v>
      </c>
      <c r="Z475" s="31"/>
      <c r="AA475" s="27" t="s">
        <v>8</v>
      </c>
      <c r="AC475" s="27" t="s">
        <v>8</v>
      </c>
      <c r="AD475" s="27" t="s">
        <v>7</v>
      </c>
      <c r="AE475" s="27" t="s">
        <v>8</v>
      </c>
      <c r="AF475" s="27" t="s">
        <v>7</v>
      </c>
      <c r="AG475" s="27" t="s">
        <v>8</v>
      </c>
      <c r="AH475" s="27" t="s">
        <v>7</v>
      </c>
      <c r="AK475" s="27" t="s">
        <v>8</v>
      </c>
      <c r="AL475" s="27" t="s">
        <v>7</v>
      </c>
      <c r="AM475" s="27" t="s">
        <v>8</v>
      </c>
    </row>
    <row r="476" spans="1:39" x14ac:dyDescent="0.25">
      <c r="A476" s="36">
        <v>7.8713882395397226E-6</v>
      </c>
      <c r="J476" s="27" t="s">
        <v>7</v>
      </c>
      <c r="K476" s="27" t="s">
        <v>8</v>
      </c>
      <c r="L476" s="27" t="s">
        <v>7</v>
      </c>
      <c r="M476" s="27" t="s">
        <v>8</v>
      </c>
      <c r="N476" s="27" t="s">
        <v>7</v>
      </c>
      <c r="O476" s="27" t="s">
        <v>8</v>
      </c>
      <c r="P476" s="27" t="s">
        <v>7</v>
      </c>
      <c r="Q476" s="27" t="s">
        <v>8</v>
      </c>
      <c r="T476" s="27" t="s">
        <v>7</v>
      </c>
      <c r="W476" s="27" t="s">
        <v>8</v>
      </c>
      <c r="X476" s="27" t="s">
        <v>7</v>
      </c>
      <c r="Y476" s="27" t="s">
        <v>8</v>
      </c>
      <c r="Z476" s="27" t="s">
        <v>7</v>
      </c>
      <c r="AA476" s="31" t="s">
        <v>8</v>
      </c>
      <c r="AB476" s="27" t="s">
        <v>7</v>
      </c>
      <c r="AC476" s="27" t="s">
        <v>8</v>
      </c>
      <c r="AD476" s="27" t="s">
        <v>7</v>
      </c>
      <c r="AE476" s="27" t="s">
        <v>8</v>
      </c>
      <c r="AF476" s="27" t="s">
        <v>7</v>
      </c>
      <c r="AG476" s="27" t="s">
        <v>8</v>
      </c>
      <c r="AH476" s="27" t="s">
        <v>7</v>
      </c>
      <c r="AI476" s="27" t="s">
        <v>8</v>
      </c>
      <c r="AK476" s="27" t="s">
        <v>8</v>
      </c>
      <c r="AL476" s="27" t="s">
        <v>7</v>
      </c>
      <c r="AM476" s="27" t="s">
        <v>8</v>
      </c>
    </row>
    <row r="477" spans="1:39" x14ac:dyDescent="0.25">
      <c r="A477" s="36">
        <v>7.4778188275627361E-6</v>
      </c>
      <c r="J477" s="27" t="s">
        <v>7</v>
      </c>
      <c r="K477" s="27" t="s">
        <v>8</v>
      </c>
      <c r="L477" s="27" t="s">
        <v>7</v>
      </c>
      <c r="M477" s="27" t="s">
        <v>8</v>
      </c>
      <c r="N477" s="27" t="s">
        <v>7</v>
      </c>
      <c r="O477" s="27" t="s">
        <v>8</v>
      </c>
      <c r="P477" s="27" t="s">
        <v>7</v>
      </c>
      <c r="T477" s="27" t="s">
        <v>7</v>
      </c>
      <c r="U477" s="27" t="s">
        <v>8</v>
      </c>
      <c r="W477" s="27" t="s">
        <v>8</v>
      </c>
      <c r="X477" s="27" t="s">
        <v>7</v>
      </c>
      <c r="Y477" s="27" t="s">
        <v>8</v>
      </c>
      <c r="Z477" s="27" t="s">
        <v>7</v>
      </c>
      <c r="AA477" s="27" t="s">
        <v>8</v>
      </c>
      <c r="AB477" s="27" t="s">
        <v>7</v>
      </c>
      <c r="AC477" s="27" t="s">
        <v>8</v>
      </c>
      <c r="AD477" s="27" t="s">
        <v>7</v>
      </c>
      <c r="AE477" s="27" t="s">
        <v>8</v>
      </c>
      <c r="AF477" s="27" t="s">
        <v>7</v>
      </c>
      <c r="AG477" s="27" t="s">
        <v>8</v>
      </c>
      <c r="AH477" s="27" t="s">
        <v>7</v>
      </c>
      <c r="AI477" s="27" t="s">
        <v>8</v>
      </c>
      <c r="AJ477" s="27" t="s">
        <v>7</v>
      </c>
      <c r="AK477" s="27" t="s">
        <v>8</v>
      </c>
      <c r="AL477" s="27" t="s">
        <v>7</v>
      </c>
      <c r="AM477" s="27" t="s">
        <v>8</v>
      </c>
    </row>
    <row r="478" spans="1:39" x14ac:dyDescent="0.25">
      <c r="A478" s="36">
        <v>7.1039278861845986E-6</v>
      </c>
      <c r="J478" s="27" t="s">
        <v>7</v>
      </c>
      <c r="K478" s="27" t="s">
        <v>8</v>
      </c>
      <c r="L478" s="27" t="s">
        <v>7</v>
      </c>
      <c r="M478" s="27" t="s">
        <v>8</v>
      </c>
      <c r="N478" s="27" t="s">
        <v>7</v>
      </c>
      <c r="T478" s="27" t="s">
        <v>7</v>
      </c>
      <c r="U478" s="27" t="s">
        <v>8</v>
      </c>
      <c r="V478" s="27" t="s">
        <v>7</v>
      </c>
      <c r="W478" s="27" t="s">
        <v>8</v>
      </c>
      <c r="X478" s="27" t="s">
        <v>7</v>
      </c>
      <c r="Z478" s="27" t="s">
        <v>7</v>
      </c>
      <c r="AA478" s="27" t="s">
        <v>8</v>
      </c>
      <c r="AB478" s="27" t="s">
        <v>7</v>
      </c>
      <c r="AD478" s="27" t="s">
        <v>7</v>
      </c>
      <c r="AE478" s="27" t="s">
        <v>8</v>
      </c>
      <c r="AF478" s="27" t="s">
        <v>7</v>
      </c>
      <c r="AH478" s="27" t="s">
        <v>7</v>
      </c>
      <c r="AI478" s="27" t="s">
        <v>8</v>
      </c>
      <c r="AJ478" s="27" t="s">
        <v>7</v>
      </c>
      <c r="AK478" s="27" t="s">
        <v>8</v>
      </c>
      <c r="AL478" s="27" t="s">
        <v>7</v>
      </c>
      <c r="AM478" s="27" t="s">
        <v>8</v>
      </c>
    </row>
    <row r="479" spans="1:39" x14ac:dyDescent="0.25">
      <c r="A479" s="36">
        <v>6.7487314918753682E-6</v>
      </c>
      <c r="J479" s="27" t="s">
        <v>7</v>
      </c>
      <c r="K479" s="27" t="s">
        <v>8</v>
      </c>
      <c r="L479" s="27" t="s">
        <v>7</v>
      </c>
      <c r="T479" s="27" t="s">
        <v>7</v>
      </c>
      <c r="U479" s="27" t="s">
        <v>8</v>
      </c>
      <c r="V479" s="27" t="s">
        <v>7</v>
      </c>
      <c r="W479" s="27" t="s">
        <v>8</v>
      </c>
      <c r="Z479" s="27" t="s">
        <v>7</v>
      </c>
      <c r="AA479" s="27" t="s">
        <v>8</v>
      </c>
      <c r="AD479" s="33" t="s">
        <v>7</v>
      </c>
      <c r="AE479" s="27" t="s">
        <v>8</v>
      </c>
      <c r="AH479" s="27" t="s">
        <v>7</v>
      </c>
      <c r="AI479" s="27" t="s">
        <v>8</v>
      </c>
      <c r="AJ479" s="27" t="s">
        <v>7</v>
      </c>
      <c r="AK479" s="27" t="s">
        <v>8</v>
      </c>
      <c r="AL479" s="27" t="s">
        <v>7</v>
      </c>
    </row>
    <row r="480" spans="1:39" x14ac:dyDescent="0.25">
      <c r="A480" s="36">
        <v>6.4112949172815995E-6</v>
      </c>
      <c r="J480" s="27" t="s">
        <v>7</v>
      </c>
      <c r="T480" s="27" t="s">
        <v>7</v>
      </c>
      <c r="V480" s="27" t="s">
        <v>7</v>
      </c>
      <c r="W480" s="27" t="s">
        <v>8</v>
      </c>
      <c r="Z480" s="27" t="s">
        <v>7</v>
      </c>
      <c r="AA480" s="27" t="s">
        <v>8</v>
      </c>
      <c r="AD480" s="27" t="s">
        <v>7</v>
      </c>
      <c r="AE480" s="27" t="s">
        <v>8</v>
      </c>
      <c r="AH480" s="27" t="s">
        <v>7</v>
      </c>
      <c r="AI480" s="27" t="s">
        <v>8</v>
      </c>
      <c r="AJ480" s="27" t="s">
        <v>7</v>
      </c>
    </row>
    <row r="481" spans="1:35" x14ac:dyDescent="0.25">
      <c r="A481" s="36">
        <v>6.0907301714175189E-6</v>
      </c>
      <c r="V481" s="27" t="s">
        <v>7</v>
      </c>
      <c r="W481" s="27" t="s">
        <v>8</v>
      </c>
      <c r="Z481" s="27" t="s">
        <v>7</v>
      </c>
      <c r="AA481" s="27" t="s">
        <v>8</v>
      </c>
      <c r="AD481" s="18" t="s">
        <v>7</v>
      </c>
      <c r="AE481" s="27" t="s">
        <v>8</v>
      </c>
      <c r="AH481" s="27" t="s">
        <v>7</v>
      </c>
      <c r="AI481" s="27" t="s">
        <v>8</v>
      </c>
    </row>
    <row r="482" spans="1:35" x14ac:dyDescent="0.25">
      <c r="A482" s="36">
        <v>5.7861936628466423E-6</v>
      </c>
      <c r="V482" s="27" t="s">
        <v>7</v>
      </c>
      <c r="W482" s="27" t="s">
        <v>8</v>
      </c>
      <c r="Z482" s="27" t="s">
        <v>7</v>
      </c>
      <c r="AD482" s="27" t="s">
        <v>7</v>
      </c>
      <c r="AH482" s="27" t="s">
        <v>7</v>
      </c>
      <c r="AI482" s="27" t="s">
        <v>8</v>
      </c>
    </row>
    <row r="483" spans="1:35" x14ac:dyDescent="0.25">
      <c r="A483" s="36">
        <v>5.4968839797043099E-6</v>
      </c>
      <c r="V483" s="27" t="s">
        <v>7</v>
      </c>
      <c r="AH483" s="27" t="s">
        <v>7</v>
      </c>
      <c r="AI483" s="27" t="s">
        <v>8</v>
      </c>
    </row>
    <row r="484" spans="1:35" x14ac:dyDescent="0.25">
      <c r="A484" s="36">
        <v>5.2220397807190937E-6</v>
      </c>
      <c r="AH484" s="27" t="s">
        <v>7</v>
      </c>
    </row>
    <row r="485" spans="1:35" x14ac:dyDescent="0.25">
      <c r="A485" s="36">
        <v>4.9609377916831386E-6</v>
      </c>
    </row>
    <row r="486" spans="1:35" x14ac:dyDescent="0.25">
      <c r="A486" s="36">
        <v>4.7128909020989814E-6</v>
      </c>
    </row>
    <row r="487" spans="1:35" x14ac:dyDescent="0.25">
      <c r="A487" s="36">
        <v>4.4772463569940322E-6</v>
      </c>
    </row>
    <row r="488" spans="1:35" x14ac:dyDescent="0.25">
      <c r="A488" s="36">
        <v>4.2533840391443302E-6</v>
      </c>
    </row>
    <row r="489" spans="1:35" x14ac:dyDescent="0.25">
      <c r="A489" s="36">
        <v>4.0407148371871134E-6</v>
      </c>
    </row>
    <row r="490" spans="1:35" x14ac:dyDescent="0.25">
      <c r="A490" s="36">
        <v>3.838679095327758E-6</v>
      </c>
    </row>
    <row r="491" spans="1:35" x14ac:dyDescent="0.25">
      <c r="A491" s="36">
        <v>3.6467451405613698E-6</v>
      </c>
    </row>
    <row r="492" spans="1:35" x14ac:dyDescent="0.25">
      <c r="A492" s="36">
        <v>3.464407883533301E-6</v>
      </c>
    </row>
    <row r="493" spans="1:35" x14ac:dyDescent="0.25">
      <c r="A493" s="36">
        <v>3.2911874893566358E-6</v>
      </c>
    </row>
    <row r="494" spans="1:35" x14ac:dyDescent="0.25">
      <c r="A494" s="36">
        <v>3.1266281148888039E-6</v>
      </c>
    </row>
    <row r="495" spans="1:35" x14ac:dyDescent="0.25">
      <c r="A495" s="36">
        <v>2.9702967091443636E-6</v>
      </c>
    </row>
    <row r="496" spans="1:35" x14ac:dyDescent="0.25">
      <c r="A496" s="36">
        <v>2.8217818736871453E-6</v>
      </c>
    </row>
    <row r="497" spans="1:1" x14ac:dyDescent="0.25">
      <c r="A497" s="36">
        <v>2.6806927800027881E-6</v>
      </c>
    </row>
    <row r="498" spans="1:1" x14ac:dyDescent="0.25">
      <c r="A498" s="36">
        <v>2.5466581410026485E-6</v>
      </c>
    </row>
    <row r="499" spans="1:1" x14ac:dyDescent="0.25">
      <c r="A499" s="36">
        <v>2.4193252339525159E-6</v>
      </c>
    </row>
    <row r="500" spans="1:1" x14ac:dyDescent="0.25">
      <c r="A500" s="36">
        <v>2.2983589722548901E-6</v>
      </c>
    </row>
    <row r="501" spans="1:1" x14ac:dyDescent="0.25">
      <c r="A501" s="36">
        <v>2.1834410236421454E-6</v>
      </c>
    </row>
    <row r="502" spans="1:1" x14ac:dyDescent="0.25">
      <c r="A502" s="36">
        <v>2.0742689724600379E-6</v>
      </c>
    </row>
    <row r="503" spans="1:1" x14ac:dyDescent="0.25">
      <c r="A503" s="36">
        <v>1.9705555238370358E-6</v>
      </c>
    </row>
    <row r="504" spans="1:1" x14ac:dyDescent="0.25">
      <c r="A504" s="36">
        <v>1.8720277476451839E-6</v>
      </c>
    </row>
    <row r="505" spans="1:1" x14ac:dyDescent="0.25">
      <c r="A505" s="36">
        <v>1.7784263602629246E-6</v>
      </c>
    </row>
    <row r="506" spans="1:1" x14ac:dyDescent="0.25">
      <c r="A506" s="36">
        <v>1.6895050422497783E-6</v>
      </c>
    </row>
    <row r="507" spans="1:1" x14ac:dyDescent="0.25">
      <c r="A507" s="36">
        <v>1.6050297901372894E-6</v>
      </c>
    </row>
    <row r="508" spans="1:1" x14ac:dyDescent="0.25">
      <c r="A508" s="36">
        <v>1.5247783006304249E-6</v>
      </c>
    </row>
    <row r="509" spans="1:1" x14ac:dyDescent="0.25">
      <c r="A509" s="36">
        <v>1.4485393855989036E-6</v>
      </c>
    </row>
    <row r="510" spans="1:1" x14ac:dyDescent="0.25">
      <c r="A510" s="36">
        <v>1.3761124163189583E-6</v>
      </c>
    </row>
    <row r="511" spans="1:1" x14ac:dyDescent="0.25">
      <c r="A511" s="36">
        <v>1.3073067955030102E-6</v>
      </c>
    </row>
    <row r="512" spans="1:1" x14ac:dyDescent="0.25">
      <c r="A512" s="36">
        <v>1.2419414557278597E-6</v>
      </c>
    </row>
    <row r="513" spans="1:1" x14ac:dyDescent="0.25">
      <c r="A513" s="36">
        <v>1.1798443829414667E-6</v>
      </c>
    </row>
    <row r="514" spans="1:1" x14ac:dyDescent="0.25">
      <c r="A514" s="36">
        <v>1.1208521637943934E-6</v>
      </c>
    </row>
    <row r="515" spans="1:1" x14ac:dyDescent="0.25">
      <c r="A515" s="36">
        <v>1.0648095556046737E-6</v>
      </c>
    </row>
    <row r="516" spans="1:1" x14ac:dyDescent="0.25">
      <c r="A516" s="36">
        <v>1.01156907782444E-6</v>
      </c>
    </row>
    <row r="517" spans="1:1" x14ac:dyDescent="0.25">
      <c r="A517" s="36">
        <v>9.6099062393321788E-7</v>
      </c>
    </row>
    <row r="518" spans="1:1" x14ac:dyDescent="0.25">
      <c r="A518" s="36">
        <v>9.1294109273655694E-7</v>
      </c>
    </row>
    <row r="519" spans="1:1" x14ac:dyDescent="0.25">
      <c r="A519" s="36">
        <v>8.6729403809972904E-7</v>
      </c>
    </row>
    <row r="520" spans="1:1" x14ac:dyDescent="0.25">
      <c r="A520" s="36">
        <v>8.2392933619474258E-7</v>
      </c>
    </row>
    <row r="521" spans="1:1" x14ac:dyDescent="0.25">
      <c r="A521" s="36">
        <v>7.8273286938500543E-7</v>
      </c>
    </row>
    <row r="522" spans="1:1" x14ac:dyDescent="0.25">
      <c r="A522" s="36">
        <v>7.4359622591575509E-7</v>
      </c>
    </row>
    <row r="523" spans="1:1" x14ac:dyDescent="0.25">
      <c r="A523" s="36">
        <v>7.064164146199673E-7</v>
      </c>
    </row>
    <row r="524" spans="1:1" x14ac:dyDescent="0.25">
      <c r="A524" s="36">
        <v>6.7109559388896894E-7</v>
      </c>
    </row>
    <row r="525" spans="1:1" x14ac:dyDescent="0.25">
      <c r="A525" s="36">
        <v>6.3754081419452045E-7</v>
      </c>
    </row>
    <row r="526" spans="1:1" x14ac:dyDescent="0.25">
      <c r="A526" s="36">
        <v>6.056637734847944E-7</v>
      </c>
    </row>
    <row r="527" spans="1:1" x14ac:dyDescent="0.25">
      <c r="A527" s="36">
        <v>5.7538058481055464E-7</v>
      </c>
    </row>
    <row r="528" spans="1:1" x14ac:dyDescent="0.25">
      <c r="A528" s="36">
        <v>5.4661155557002689E-7</v>
      </c>
    </row>
    <row r="529" spans="1:1" x14ac:dyDescent="0.25">
      <c r="A529" s="36">
        <v>5.1928097779152547E-7</v>
      </c>
    </row>
    <row r="530" spans="1:1" x14ac:dyDescent="0.25">
      <c r="A530" s="36">
        <v>4.9331692890194916E-7</v>
      </c>
    </row>
    <row r="531" spans="1:1" x14ac:dyDescent="0.25">
      <c r="A531" s="36">
        <v>4.6865108245685168E-7</v>
      </c>
    </row>
    <row r="532" spans="1:1" x14ac:dyDescent="0.25">
      <c r="A532" s="36">
        <v>4.4521852833400909E-7</v>
      </c>
    </row>
    <row r="533" spans="1:1" x14ac:dyDescent="0.25">
      <c r="A533" s="36">
        <v>4.2295760191730863E-7</v>
      </c>
    </row>
    <row r="534" spans="1:1" x14ac:dyDescent="0.25">
      <c r="A534" s="36">
        <v>4.018097218214432E-7</v>
      </c>
    </row>
    <row r="535" spans="1:1" x14ac:dyDescent="0.25">
      <c r="A535" s="36">
        <v>3.8171923573037103E-7</v>
      </c>
    </row>
    <row r="536" spans="1:1" x14ac:dyDescent="0.25">
      <c r="A536" s="36">
        <v>3.6263327394385244E-7</v>
      </c>
    </row>
    <row r="537" spans="1:1" x14ac:dyDescent="0.25">
      <c r="A537" s="36">
        <v>3.4450161024665982E-7</v>
      </c>
    </row>
    <row r="538" spans="1:1" x14ac:dyDescent="0.25">
      <c r="A538" s="36">
        <v>3.2727652973432681E-7</v>
      </c>
    </row>
    <row r="539" spans="1:1" x14ac:dyDescent="0.25">
      <c r="A539" s="36">
        <v>3.1091270324761048E-7</v>
      </c>
    </row>
    <row r="540" spans="1:1" x14ac:dyDescent="0.25">
      <c r="A540" s="36">
        <v>2.9536706808522992E-7</v>
      </c>
    </row>
    <row r="541" spans="1:1" x14ac:dyDescent="0.25">
      <c r="A541" s="36">
        <v>2.8059871468096844E-7</v>
      </c>
    </row>
    <row r="542" spans="1:1" x14ac:dyDescent="0.25">
      <c r="A542" s="36">
        <v>2.6656877894691999E-7</v>
      </c>
    </row>
    <row r="543" spans="1:1" x14ac:dyDescent="0.25">
      <c r="A543" s="36">
        <v>2.5324033999957397E-7</v>
      </c>
    </row>
    <row r="544" spans="1:1" x14ac:dyDescent="0.25">
      <c r="A544" s="36">
        <v>2.4057832299959528E-7</v>
      </c>
    </row>
    <row r="545" spans="1:1" x14ac:dyDescent="0.25">
      <c r="A545" s="36">
        <v>2.2854940684961551E-7</v>
      </c>
    </row>
    <row r="546" spans="1:1" x14ac:dyDescent="0.25">
      <c r="A546" s="36">
        <v>2.1712193650713473E-7</v>
      </c>
    </row>
    <row r="547" spans="1:1" x14ac:dyDescent="0.25">
      <c r="A547" s="36">
        <v>2.0626583968177798E-7</v>
      </c>
    </row>
    <row r="548" spans="1:1" x14ac:dyDescent="0.25">
      <c r="A548" s="36">
        <v>1.9595254769768908E-7</v>
      </c>
    </row>
    <row r="549" spans="1:1" x14ac:dyDescent="0.25">
      <c r="A549" s="36">
        <v>1.8615492031280462E-7</v>
      </c>
    </row>
    <row r="550" spans="1:1" x14ac:dyDescent="0.25">
      <c r="A550" s="36">
        <v>1.7684717429716437E-7</v>
      </c>
    </row>
    <row r="551" spans="1:1" x14ac:dyDescent="0.25">
      <c r="A551" s="36">
        <v>1.6800481558230616E-7</v>
      </c>
    </row>
    <row r="552" spans="1:1" x14ac:dyDescent="0.25">
      <c r="A552" s="36">
        <v>1.5960457480319083E-7</v>
      </c>
    </row>
    <row r="553" spans="1:1" x14ac:dyDescent="0.25">
      <c r="A553" s="36">
        <v>1.5162434606303129E-7</v>
      </c>
    </row>
    <row r="554" spans="1:1" x14ac:dyDescent="0.25">
      <c r="A554" s="36">
        <v>1.4404312875987972E-7</v>
      </c>
    </row>
    <row r="555" spans="1:1" x14ac:dyDescent="0.25">
      <c r="A555" s="36">
        <v>1.3684097232188573E-7</v>
      </c>
    </row>
    <row r="556" spans="1:1" x14ac:dyDescent="0.25">
      <c r="A556" s="36">
        <v>1.2999892370579143E-7</v>
      </c>
    </row>
    <row r="557" spans="1:1" x14ac:dyDescent="0.25">
      <c r="A557" s="36">
        <v>1.2349897752050186E-7</v>
      </c>
    </row>
    <row r="558" spans="1:1" x14ac:dyDescent="0.25">
      <c r="A558" s="36">
        <v>1.1732402864447677E-7</v>
      </c>
    </row>
    <row r="559" spans="1:1" x14ac:dyDescent="0.25">
      <c r="A559" s="36">
        <v>1.1145782721225292E-7</v>
      </c>
    </row>
    <row r="560" spans="1:1" x14ac:dyDescent="0.25">
      <c r="A560" s="36">
        <v>1.0588493585164026E-7</v>
      </c>
    </row>
    <row r="561" spans="1:1" x14ac:dyDescent="0.25">
      <c r="A561" s="36">
        <v>1.0059068905905825E-7</v>
      </c>
    </row>
    <row r="562" spans="1:1" x14ac:dyDescent="0.25">
      <c r="A562" s="36">
        <v>9.5561154606105325E-8</v>
      </c>
    </row>
    <row r="563" spans="1:1" x14ac:dyDescent="0.25">
      <c r="A563" s="36">
        <v>9.0783096875800056E-8</v>
      </c>
    </row>
    <row r="564" spans="1:1" x14ac:dyDescent="0.25">
      <c r="A564" s="36">
        <v>8.6243942032010053E-8</v>
      </c>
    </row>
    <row r="565" spans="1:1" x14ac:dyDescent="0.25">
      <c r="A565" s="36">
        <v>8.1931744930409543E-8</v>
      </c>
    </row>
    <row r="566" spans="1:1" x14ac:dyDescent="0.25">
      <c r="A566" s="36">
        <v>7.7835157683889064E-8</v>
      </c>
    </row>
    <row r="567" spans="1:1" x14ac:dyDescent="0.25">
      <c r="A567" s="36">
        <v>7.3943399799694612E-8</v>
      </c>
    </row>
    <row r="568" spans="1:1" x14ac:dyDescent="0.25">
      <c r="A568" s="36">
        <v>7.0246229809709872E-8</v>
      </c>
    </row>
    <row r="569" spans="1:1" x14ac:dyDescent="0.25">
      <c r="A569" s="36">
        <v>6.6733918319224378E-8</v>
      </c>
    </row>
    <row r="570" spans="1:1" x14ac:dyDescent="0.25">
      <c r="A570" s="36">
        <v>6.3397222403263155E-8</v>
      </c>
    </row>
    <row r="571" spans="1:1" x14ac:dyDescent="0.25">
      <c r="A571" s="36">
        <v>6.0227361283099997E-8</v>
      </c>
    </row>
    <row r="572" spans="1:1" x14ac:dyDescent="0.25">
      <c r="A572" s="36">
        <v>5.7215993218944996E-8</v>
      </c>
    </row>
    <row r="573" spans="1:1" x14ac:dyDescent="0.25">
      <c r="A573" s="36">
        <v>5.4355193557997742E-8</v>
      </c>
    </row>
    <row r="574" spans="1:1" x14ac:dyDescent="0.25">
      <c r="A574" s="36">
        <v>5.1637433880097855E-8</v>
      </c>
    </row>
    <row r="575" spans="1:1" x14ac:dyDescent="0.25">
      <c r="A575" s="36">
        <v>4.9055562186092959E-8</v>
      </c>
    </row>
    <row r="576" spans="1:1" x14ac:dyDescent="0.25">
      <c r="A576" s="36">
        <v>4.6602784076788309E-8</v>
      </c>
    </row>
    <row r="577" spans="1:1" x14ac:dyDescent="0.25">
      <c r="A577" s="36">
        <v>4.4272644872948894E-8</v>
      </c>
    </row>
    <row r="578" spans="1:1" x14ac:dyDescent="0.25">
      <c r="A578" s="36">
        <v>4.2059012629301451E-8</v>
      </c>
    </row>
    <row r="579" spans="1:1" x14ac:dyDescent="0.25">
      <c r="A579" s="36">
        <v>3.9956061997836377E-8</v>
      </c>
    </row>
    <row r="580" spans="1:1" x14ac:dyDescent="0.25">
      <c r="A580" s="36">
        <v>3.7958258897944555E-8</v>
      </c>
    </row>
    <row r="581" spans="1:1" x14ac:dyDescent="0.25">
      <c r="A581" s="36">
        <v>3.6060345953047327E-8</v>
      </c>
    </row>
    <row r="582" spans="1:1" x14ac:dyDescent="0.25">
      <c r="A582" s="36">
        <v>3.4257328655394958E-8</v>
      </c>
    </row>
    <row r="583" spans="1:1" x14ac:dyDescent="0.25">
      <c r="A583" s="36">
        <v>3.2544462222625211E-8</v>
      </c>
    </row>
    <row r="584" spans="1:1" x14ac:dyDescent="0.25">
      <c r="A584" s="36">
        <v>3.0917239111493953E-8</v>
      </c>
    </row>
    <row r="585" spans="1:1" x14ac:dyDescent="0.25">
      <c r="A585" s="36">
        <v>2.9371377155919254E-8</v>
      </c>
    </row>
    <row r="586" spans="1:1" x14ac:dyDescent="0.25">
      <c r="A586" s="36">
        <v>2.7902808298123291E-8</v>
      </c>
    </row>
    <row r="587" spans="1:1" x14ac:dyDescent="0.25">
      <c r="A587" s="36">
        <v>2.6507667883217124E-8</v>
      </c>
    </row>
    <row r="588" spans="1:1" x14ac:dyDescent="0.25">
      <c r="A588" s="36">
        <v>2.5182284489056268E-8</v>
      </c>
    </row>
    <row r="589" spans="1:1" x14ac:dyDescent="0.25">
      <c r="A589" s="36">
        <v>2.3923170264603454E-8</v>
      </c>
    </row>
    <row r="590" spans="1:1" x14ac:dyDescent="0.25">
      <c r="A590" s="36">
        <v>2.2727011751373281E-8</v>
      </c>
    </row>
    <row r="591" spans="1:1" x14ac:dyDescent="0.25">
      <c r="A591" s="36">
        <v>2.1590661163804617E-8</v>
      </c>
    </row>
    <row r="592" spans="1:1" x14ac:dyDescent="0.25">
      <c r="A592" s="36">
        <v>2.0511128105614386E-8</v>
      </c>
    </row>
    <row r="593" spans="1:1" x14ac:dyDescent="0.25">
      <c r="A593" s="36">
        <v>1.9485571700333666E-8</v>
      </c>
    </row>
    <row r="594" spans="1:1" x14ac:dyDescent="0.25">
      <c r="A594" s="36">
        <v>1.8511293115316981E-8</v>
      </c>
    </row>
    <row r="595" spans="1:1" x14ac:dyDescent="0.25">
      <c r="A595" s="36">
        <v>1.758572845955113E-8</v>
      </c>
    </row>
    <row r="596" spans="1:1" x14ac:dyDescent="0.25">
      <c r="A596" s="36">
        <v>1.6706442036573572E-8</v>
      </c>
    </row>
    <row r="597" spans="1:1" x14ac:dyDescent="0.25">
      <c r="A597" s="36">
        <v>1.5871119934744892E-8</v>
      </c>
    </row>
    <row r="598" spans="1:1" x14ac:dyDescent="0.25">
      <c r="A598" s="36">
        <v>1.5077563938007645E-8</v>
      </c>
    </row>
    <row r="599" spans="1:1" x14ac:dyDescent="0.25">
      <c r="A599" s="36">
        <v>1.4323685741107262E-8</v>
      </c>
    </row>
    <row r="600" spans="1:1" x14ac:dyDescent="0.25">
      <c r="A600" s="36">
        <v>1.3607501454051899E-8</v>
      </c>
    </row>
    <row r="601" spans="1:1" x14ac:dyDescent="0.25">
      <c r="A601" s="36">
        <v>1.2927126381349303E-8</v>
      </c>
    </row>
    <row r="602" spans="1:1" x14ac:dyDescent="0.25">
      <c r="A602" s="36">
        <v>1.2280770062281838E-8</v>
      </c>
    </row>
    <row r="603" spans="1:1" x14ac:dyDescent="0.25">
      <c r="A603" s="36">
        <v>1.1666731559167746E-8</v>
      </c>
    </row>
    <row r="604" spans="1:1" x14ac:dyDescent="0.25">
      <c r="A604" s="36">
        <v>1.1083394981209357E-8</v>
      </c>
    </row>
    <row r="605" spans="1:1" x14ac:dyDescent="0.25">
      <c r="A605" s="36">
        <v>1.0529225232148889E-8</v>
      </c>
    </row>
    <row r="606" spans="1:1" x14ac:dyDescent="0.25">
      <c r="A606" s="36">
        <v>1.0002763970541444E-8</v>
      </c>
    </row>
    <row r="607" spans="1:1" x14ac:dyDescent="0.25">
      <c r="A607" s="36">
        <v>9.5026257720143712E-9</v>
      </c>
    </row>
    <row r="608" spans="1:1" x14ac:dyDescent="0.25">
      <c r="A608" s="36">
        <v>9.0274944834136515E-9</v>
      </c>
    </row>
    <row r="609" spans="1:1" x14ac:dyDescent="0.25">
      <c r="A609" s="36">
        <v>8.5761197592429686E-9</v>
      </c>
    </row>
    <row r="610" spans="1:1" x14ac:dyDescent="0.25">
      <c r="A610" s="36">
        <v>8.1473137712808194E-9</v>
      </c>
    </row>
    <row r="611" spans="1:1" x14ac:dyDescent="0.25">
      <c r="A611" s="36">
        <v>7.7399480827167776E-9</v>
      </c>
    </row>
    <row r="612" spans="1:1" x14ac:dyDescent="0.25">
      <c r="A612" s="36">
        <v>7.3529506785809386E-9</v>
      </c>
    </row>
    <row r="613" spans="1:1" x14ac:dyDescent="0.25">
      <c r="A613" s="36">
        <v>6.9853031446518911E-9</v>
      </c>
    </row>
    <row r="614" spans="1:1" x14ac:dyDescent="0.25">
      <c r="A614" s="36">
        <v>6.6360379874192963E-9</v>
      </c>
    </row>
    <row r="615" spans="1:1" x14ac:dyDescent="0.25">
      <c r="A615" s="36">
        <v>6.3042360880483309E-9</v>
      </c>
    </row>
    <row r="616" spans="1:1" x14ac:dyDescent="0.25">
      <c r="A616" s="36">
        <v>5.989024283645914E-9</v>
      </c>
    </row>
    <row r="617" spans="1:1" x14ac:dyDescent="0.25">
      <c r="A617" s="36">
        <v>5.6895730694636181E-9</v>
      </c>
    </row>
    <row r="618" spans="1:1" x14ac:dyDescent="0.25">
      <c r="A618" s="36">
        <v>5.4050944159904366E-9</v>
      </c>
    </row>
    <row r="619" spans="1:1" x14ac:dyDescent="0.25">
      <c r="A619" s="36">
        <v>5.1348396951909145E-9</v>
      </c>
    </row>
    <row r="620" spans="1:1" x14ac:dyDescent="0.25">
      <c r="A620" s="36">
        <v>4.8780977104313684E-9</v>
      </c>
    </row>
    <row r="621" spans="1:1" x14ac:dyDescent="0.25">
      <c r="A621" s="36">
        <v>4.6341928249097994E-9</v>
      </c>
    </row>
    <row r="622" spans="1:1" x14ac:dyDescent="0.25">
      <c r="A622" s="36">
        <v>4.4024831836643092E-9</v>
      </c>
    </row>
    <row r="623" spans="1:1" x14ac:dyDescent="0.25">
      <c r="A623" s="36">
        <v>4.1823590244810936E-9</v>
      </c>
    </row>
    <row r="624" spans="1:1" x14ac:dyDescent="0.25">
      <c r="A624" s="36">
        <v>3.9732410732570384E-9</v>
      </c>
    </row>
    <row r="625" spans="1:1" x14ac:dyDescent="0.25">
      <c r="A625" s="36">
        <v>3.7745790195941862E-9</v>
      </c>
    </row>
    <row r="626" spans="1:1" x14ac:dyDescent="0.25">
      <c r="A626" s="36">
        <v>3.5858500686144767E-9</v>
      </c>
    </row>
    <row r="627" spans="1:1" x14ac:dyDescent="0.25">
      <c r="A627" s="36">
        <v>3.4065575651837529E-9</v>
      </c>
    </row>
    <row r="628" spans="1:1" x14ac:dyDescent="0.25">
      <c r="A628" s="36">
        <v>3.236229686924565E-9</v>
      </c>
    </row>
    <row r="629" spans="1:1" x14ac:dyDescent="0.25">
      <c r="A629" s="36">
        <v>3.0744182025783365E-9</v>
      </c>
    </row>
    <row r="630" spans="1:1" x14ac:dyDescent="0.25">
      <c r="A630" s="36">
        <v>2.9206972924494197E-9</v>
      </c>
    </row>
    <row r="631" spans="1:1" x14ac:dyDescent="0.25">
      <c r="A631" s="36">
        <v>2.7746624278269484E-9</v>
      </c>
    </row>
    <row r="632" spans="1:1" x14ac:dyDescent="0.25">
      <c r="A632" s="36">
        <v>2.635929306435601E-9</v>
      </c>
    </row>
    <row r="633" spans="1:1" x14ac:dyDescent="0.25">
      <c r="A633" s="36">
        <v>2.504132841113821E-9</v>
      </c>
    </row>
    <row r="634" spans="1:1" x14ac:dyDescent="0.25">
      <c r="A634" s="36">
        <v>2.3789261990581298E-9</v>
      </c>
    </row>
    <row r="635" spans="1:1" x14ac:dyDescent="0.25">
      <c r="A635" s="36">
        <v>2.259979889105223E-9</v>
      </c>
    </row>
    <row r="636" spans="1:1" x14ac:dyDescent="0.25">
      <c r="A636" s="36">
        <v>2.1469808946499619E-9</v>
      </c>
    </row>
    <row r="637" spans="1:1" x14ac:dyDescent="0.25">
      <c r="A637" s="36">
        <v>2.0396318499174636E-9</v>
      </c>
    </row>
    <row r="638" spans="1:1" x14ac:dyDescent="0.25">
      <c r="A638" s="36">
        <v>1.9376502574215905E-9</v>
      </c>
    </row>
    <row r="639" spans="1:1" x14ac:dyDescent="0.25">
      <c r="A639" s="36">
        <v>1.8407677445505109E-9</v>
      </c>
    </row>
    <row r="640" spans="1:1" x14ac:dyDescent="0.25">
      <c r="A640" s="36">
        <v>1.7487293573229853E-9</v>
      </c>
    </row>
    <row r="641" spans="1:1" x14ac:dyDescent="0.25">
      <c r="A641" s="36">
        <v>1.661292889456836E-9</v>
      </c>
    </row>
    <row r="642" spans="1:1" x14ac:dyDescent="0.25">
      <c r="A642" s="36">
        <v>1.578228244983994E-9</v>
      </c>
    </row>
    <row r="643" spans="1:1" x14ac:dyDescent="0.25">
      <c r="A643" s="36">
        <v>1.4993168327347942E-9</v>
      </c>
    </row>
    <row r="644" spans="1:1" x14ac:dyDescent="0.25">
      <c r="A644" s="36">
        <v>1.4243509910980544E-9</v>
      </c>
    </row>
    <row r="645" spans="1:1" x14ac:dyDescent="0.25">
      <c r="A645" s="36">
        <v>1.3531334415431516E-9</v>
      </c>
    </row>
    <row r="646" spans="1:1" x14ac:dyDescent="0.25">
      <c r="A646" s="36">
        <v>1.285476769465994E-9</v>
      </c>
    </row>
    <row r="647" spans="1:1" x14ac:dyDescent="0.25">
      <c r="A647" s="36">
        <v>1.2212029309926942E-9</v>
      </c>
    </row>
    <row r="648" spans="1:1" x14ac:dyDescent="0.25">
      <c r="A648" s="36">
        <v>1.1601427844430595E-9</v>
      </c>
    </row>
    <row r="649" spans="1:1" x14ac:dyDescent="0.25">
      <c r="A649" s="36">
        <v>1.1021356452209065E-9</v>
      </c>
    </row>
    <row r="650" spans="1:1" x14ac:dyDescent="0.25">
      <c r="A650" s="36">
        <v>1.047028862959861E-9</v>
      </c>
    </row>
    <row r="651" spans="1:1" x14ac:dyDescent="0.25">
      <c r="A651" s="36">
        <v>9.9467741981186791E-10</v>
      </c>
    </row>
    <row r="652" spans="1:1" x14ac:dyDescent="0.25">
      <c r="A652" s="36">
        <v>9.4494354882127439E-10</v>
      </c>
    </row>
    <row r="653" spans="1:1" x14ac:dyDescent="0.25">
      <c r="A653" s="36">
        <v>8.9769637138021059E-10</v>
      </c>
    </row>
    <row r="654" spans="1:1" x14ac:dyDescent="0.25">
      <c r="A654" s="36">
        <v>8.5281155281120004E-10</v>
      </c>
    </row>
    <row r="655" spans="1:1" x14ac:dyDescent="0.25">
      <c r="A655" s="36">
        <v>8.1017097517064003E-10</v>
      </c>
    </row>
    <row r="656" spans="1:1" x14ac:dyDescent="0.25">
      <c r="A656" s="36">
        <v>7.69662426412108E-10</v>
      </c>
    </row>
    <row r="657" spans="1:1" x14ac:dyDescent="0.25">
      <c r="A657" s="36">
        <v>7.3117930509150257E-10</v>
      </c>
    </row>
    <row r="658" spans="1:1" x14ac:dyDescent="0.25">
      <c r="A658" s="36">
        <v>6.9462033983692743E-10</v>
      </c>
    </row>
    <row r="659" spans="1:1" x14ac:dyDescent="0.25">
      <c r="A659" s="36">
        <v>6.5988932284508105E-10</v>
      </c>
    </row>
    <row r="660" spans="1:1" x14ac:dyDescent="0.25">
      <c r="A660" s="36">
        <v>6.2689485670282699E-10</v>
      </c>
    </row>
    <row r="661" spans="1:1" x14ac:dyDescent="0.25">
      <c r="A661" s="36">
        <v>5.9555011386768556E-10</v>
      </c>
    </row>
    <row r="662" spans="1:1" x14ac:dyDescent="0.25">
      <c r="A662" s="36">
        <v>5.6577260817430128E-10</v>
      </c>
    </row>
    <row r="663" spans="1:1" x14ac:dyDescent="0.25">
      <c r="A663" s="36">
        <v>5.3748397776558616E-10</v>
      </c>
    </row>
    <row r="664" spans="1:1" x14ac:dyDescent="0.25">
      <c r="A664" s="36">
        <v>5.1060977887730685E-10</v>
      </c>
    </row>
    <row r="665" spans="1:1" x14ac:dyDescent="0.25">
      <c r="A665" s="36">
        <v>4.8507928993344152E-10</v>
      </c>
    </row>
    <row r="666" spans="1:1" x14ac:dyDescent="0.25">
      <c r="A666" s="36">
        <v>4.6082532543676942E-10</v>
      </c>
    </row>
    <row r="667" spans="1:1" x14ac:dyDescent="0.25">
      <c r="A667" s="36">
        <v>4.3778405916493093E-10</v>
      </c>
    </row>
    <row r="668" spans="1:1" x14ac:dyDescent="0.25">
      <c r="A668" s="36">
        <v>4.1589485620668437E-10</v>
      </c>
    </row>
    <row r="669" spans="1:1" x14ac:dyDescent="0.25">
      <c r="A669" s="36">
        <v>3.9510011339635012E-10</v>
      </c>
    </row>
    <row r="670" spans="1:1" x14ac:dyDescent="0.25">
      <c r="A670" s="36">
        <v>3.7534510772653259E-10</v>
      </c>
    </row>
    <row r="671" spans="1:1" x14ac:dyDescent="0.25">
      <c r="A671" s="36">
        <v>3.5657785234020594E-10</v>
      </c>
    </row>
    <row r="672" spans="1:1" x14ac:dyDescent="0.25">
      <c r="A672" s="36">
        <v>3.3874895972319565E-10</v>
      </c>
    </row>
    <row r="673" spans="1:1" x14ac:dyDescent="0.25">
      <c r="A673" s="36">
        <v>3.2181151173703586E-10</v>
      </c>
    </row>
    <row r="674" spans="1:1" x14ac:dyDescent="0.25">
      <c r="A674" s="36">
        <v>3.0572093615018408E-10</v>
      </c>
    </row>
    <row r="675" spans="1:1" x14ac:dyDescent="0.25">
      <c r="A675" s="36">
        <v>2.9043488934267484E-10</v>
      </c>
    </row>
    <row r="676" spans="1:1" x14ac:dyDescent="0.25">
      <c r="A676" s="36">
        <v>2.7591314487554109E-10</v>
      </c>
    </row>
    <row r="677" spans="1:1" x14ac:dyDescent="0.25">
      <c r="A677" s="36">
        <v>2.6211748763176403E-10</v>
      </c>
    </row>
    <row r="678" spans="1:1" x14ac:dyDescent="0.25">
      <c r="A678" s="36">
        <v>2.4901161325017583E-10</v>
      </c>
    </row>
    <row r="679" spans="1:1" x14ac:dyDescent="0.25">
      <c r="A679" s="36">
        <v>2.3656103258766704E-10</v>
      </c>
    </row>
    <row r="680" spans="1:1" x14ac:dyDescent="0.25">
      <c r="A680" s="36">
        <v>2.2473298095828367E-10</v>
      </c>
    </row>
    <row r="681" spans="1:1" x14ac:dyDescent="0.25">
      <c r="A681" s="36">
        <v>2.1349633191036949E-10</v>
      </c>
    </row>
    <row r="682" spans="1:1" x14ac:dyDescent="0.25">
      <c r="A682" s="36">
        <v>2.02821515314851E-10</v>
      </c>
    </row>
    <row r="683" spans="1:1" x14ac:dyDescent="0.25">
      <c r="A683" s="36">
        <v>1.9268043954910845E-10</v>
      </c>
    </row>
    <row r="684" spans="1:1" x14ac:dyDescent="0.25">
      <c r="A684" s="36">
        <v>1.8304641757165302E-10</v>
      </c>
    </row>
    <row r="685" spans="1:1" x14ac:dyDescent="0.25">
      <c r="A685" s="36">
        <v>1.7389409669307036E-10</v>
      </c>
    </row>
    <row r="686" spans="1:1" x14ac:dyDescent="0.25">
      <c r="A686" s="36">
        <v>1.6519939185841684E-10</v>
      </c>
    </row>
    <row r="687" spans="1:1" x14ac:dyDescent="0.25">
      <c r="A687" s="36">
        <v>1.5693942226549599E-10</v>
      </c>
    </row>
    <row r="688" spans="1:1" x14ac:dyDescent="0.25">
      <c r="A688" s="36">
        <v>1.4909245115222119E-10</v>
      </c>
    </row>
    <row r="689" spans="1:1" x14ac:dyDescent="0.25">
      <c r="A689" s="36">
        <v>1.4163782859461013E-10</v>
      </c>
    </row>
    <row r="690" spans="1:1" x14ac:dyDescent="0.25">
      <c r="A690" s="36">
        <v>1.3455593716487961E-10</v>
      </c>
    </row>
    <row r="691" spans="1:1" x14ac:dyDescent="0.25">
      <c r="A691" s="36">
        <v>1.2782814030663562E-10</v>
      </c>
    </row>
    <row r="692" spans="1:1" x14ac:dyDescent="0.25">
      <c r="A692" s="36">
        <v>1.2143673329130384E-10</v>
      </c>
    </row>
    <row r="693" spans="1:1" x14ac:dyDescent="0.25">
      <c r="A693" s="36">
        <v>1.1536489662673864E-10</v>
      </c>
    </row>
    <row r="694" spans="1:1" x14ac:dyDescent="0.25">
      <c r="A694" s="36">
        <v>1.095966517954017E-10</v>
      </c>
    </row>
    <row r="695" spans="1:1" x14ac:dyDescent="0.25">
      <c r="A695" s="36">
        <v>1.0411681920563161E-10</v>
      </c>
    </row>
    <row r="696" spans="1:1" x14ac:dyDescent="0.25">
      <c r="A696" s="36">
        <v>9.8910978245350022E-11</v>
      </c>
    </row>
    <row r="697" spans="1:1" x14ac:dyDescent="0.25">
      <c r="A697" s="36">
        <v>9.3965429333082514E-11</v>
      </c>
    </row>
    <row r="698" spans="1:1" x14ac:dyDescent="0.25">
      <c r="A698" s="36">
        <v>8.926715786642838E-11</v>
      </c>
    </row>
    <row r="699" spans="1:1" x14ac:dyDescent="0.25">
      <c r="A699" s="36">
        <v>8.4803799973106953E-11</v>
      </c>
    </row>
    <row r="700" spans="1:1" x14ac:dyDescent="0.25">
      <c r="A700" s="36">
        <v>8.0563609974451603E-11</v>
      </c>
    </row>
    <row r="701" spans="1:1" x14ac:dyDescent="0.25">
      <c r="A701" s="36">
        <v>7.6535429475729024E-11</v>
      </c>
    </row>
    <row r="702" spans="1:1" x14ac:dyDescent="0.25">
      <c r="A702" s="36">
        <v>7.270865800194257E-11</v>
      </c>
    </row>
    <row r="703" spans="1:1" x14ac:dyDescent="0.25">
      <c r="A703" s="36">
        <v>6.9073225101845444E-11</v>
      </c>
    </row>
    <row r="704" spans="1:1" x14ac:dyDescent="0.25">
      <c r="A704" s="36">
        <v>6.5619563846753168E-11</v>
      </c>
    </row>
    <row r="705" spans="1:1" x14ac:dyDescent="0.25">
      <c r="A705" s="36">
        <v>6.2338585654415507E-11</v>
      </c>
    </row>
    <row r="706" spans="1:1" x14ac:dyDescent="0.25">
      <c r="A706" s="36">
        <v>5.9221656371694723E-11</v>
      </c>
    </row>
    <row r="707" spans="1:1" x14ac:dyDescent="0.25">
      <c r="A707" s="36">
        <v>5.6260573553109984E-11</v>
      </c>
    </row>
    <row r="708" spans="1:1" x14ac:dyDescent="0.25">
      <c r="A708" s="36">
        <v>5.3447544875454483E-11</v>
      </c>
    </row>
    <row r="709" spans="1:1" x14ac:dyDescent="0.25">
      <c r="A709" s="36">
        <v>5.0775167631681754E-11</v>
      </c>
    </row>
    <row r="710" spans="1:1" x14ac:dyDescent="0.25">
      <c r="A710" s="36">
        <v>4.8236409250097665E-11</v>
      </c>
    </row>
    <row r="711" spans="1:1" x14ac:dyDescent="0.25">
      <c r="A711" s="36">
        <v>4.5824588787592778E-11</v>
      </c>
    </row>
    <row r="712" spans="1:1" x14ac:dyDescent="0.25">
      <c r="A712" s="36">
        <v>4.3533359348213134E-11</v>
      </c>
    </row>
    <row r="713" spans="1:1" x14ac:dyDescent="0.25">
      <c r="A713" s="36">
        <v>4.1356691380802478E-11</v>
      </c>
    </row>
    <row r="714" spans="1:1" x14ac:dyDescent="0.25">
      <c r="A714" s="36">
        <v>3.9288856811762353E-11</v>
      </c>
    </row>
    <row r="715" spans="1:1" x14ac:dyDescent="0.25">
      <c r="A715" s="36">
        <v>3.7324413971174231E-11</v>
      </c>
    </row>
    <row r="716" spans="1:1" x14ac:dyDescent="0.25">
      <c r="A716" s="36">
        <v>3.545819327261552E-11</v>
      </c>
    </row>
    <row r="717" spans="1:1" x14ac:dyDescent="0.25">
      <c r="A717" s="36">
        <v>3.3685283608984745E-11</v>
      </c>
    </row>
    <row r="718" spans="1:1" x14ac:dyDescent="0.25">
      <c r="A718" s="36">
        <v>3.2001019428535508E-11</v>
      </c>
    </row>
    <row r="719" spans="1:1" x14ac:dyDescent="0.25">
      <c r="A719" s="36">
        <v>3.0400968457108733E-11</v>
      </c>
    </row>
    <row r="720" spans="1:1" x14ac:dyDescent="0.25">
      <c r="A720" s="36">
        <v>2.8880920034253296E-11</v>
      </c>
    </row>
    <row r="721" spans="1:1" x14ac:dyDescent="0.25">
      <c r="A721" s="36">
        <v>2.7436874032540629E-11</v>
      </c>
    </row>
    <row r="722" spans="1:1" x14ac:dyDescent="0.25">
      <c r="A722" s="36">
        <v>2.6065030330913595E-11</v>
      </c>
    </row>
    <row r="723" spans="1:1" x14ac:dyDescent="0.25">
      <c r="A723" s="36">
        <v>2.4761778814367914E-11</v>
      </c>
    </row>
    <row r="724" spans="1:1" x14ac:dyDescent="0.25">
      <c r="A724" s="36">
        <v>2.3523689873649516E-11</v>
      </c>
    </row>
    <row r="725" spans="1:1" x14ac:dyDescent="0.25">
      <c r="A725" s="36">
        <v>2.234750537996704E-11</v>
      </c>
    </row>
    <row r="726" spans="1:1" x14ac:dyDescent="0.25">
      <c r="A726" s="36">
        <v>2.1230130110968688E-11</v>
      </c>
    </row>
    <row r="727" spans="1:1" x14ac:dyDescent="0.25">
      <c r="A727" s="36">
        <v>2.0168623605420253E-11</v>
      </c>
    </row>
    <row r="728" spans="1:1" x14ac:dyDescent="0.25">
      <c r="A728" s="36">
        <v>1.916019242514924E-11</v>
      </c>
    </row>
    <row r="729" spans="1:1" x14ac:dyDescent="0.25">
      <c r="A729" s="36">
        <v>1.8202182803891777E-11</v>
      </c>
    </row>
    <row r="730" spans="1:1" x14ac:dyDescent="0.25">
      <c r="A730" s="36">
        <v>1.7292073663697186E-11</v>
      </c>
    </row>
    <row r="731" spans="1:1" x14ac:dyDescent="0.25">
      <c r="A731" s="36">
        <v>1.6427469980512324E-11</v>
      </c>
    </row>
    <row r="732" spans="1:1" x14ac:dyDescent="0.25">
      <c r="A732" s="36">
        <v>1.5606096481486706E-11</v>
      </c>
    </row>
    <row r="733" spans="1:1" x14ac:dyDescent="0.25">
      <c r="A733" s="36">
        <v>1.482579165741237E-11</v>
      </c>
    </row>
    <row r="734" spans="1:1" x14ac:dyDescent="0.25">
      <c r="A734" s="36">
        <v>1.408450207454175E-11</v>
      </c>
    </row>
    <row r="735" spans="1:1" x14ac:dyDescent="0.25">
      <c r="A735" s="36">
        <v>1.3380276970814662E-11</v>
      </c>
    </row>
    <row r="736" spans="1:1" x14ac:dyDescent="0.25">
      <c r="A736" s="36">
        <v>1.2711263122273928E-11</v>
      </c>
    </row>
    <row r="737" spans="1:1" x14ac:dyDescent="0.25">
      <c r="A737" s="36">
        <v>1.2075699966160231E-11</v>
      </c>
    </row>
    <row r="738" spans="1:1" x14ac:dyDescent="0.25">
      <c r="A738" s="36">
        <v>1.1471914967852219E-11</v>
      </c>
    </row>
    <row r="739" spans="1:1" x14ac:dyDescent="0.25">
      <c r="A739" s="36">
        <v>1.0898319219459608E-11</v>
      </c>
    </row>
    <row r="740" spans="1:1" x14ac:dyDescent="0.25">
      <c r="A740" s="36">
        <v>1.0353403258486628E-11</v>
      </c>
    </row>
    <row r="741" spans="1:1" x14ac:dyDescent="0.25">
      <c r="A741" s="36">
        <v>9.8357330955622963E-12</v>
      </c>
    </row>
    <row r="742" spans="1:1" x14ac:dyDescent="0.25">
      <c r="A742" s="36">
        <v>9.3439464407841808E-12</v>
      </c>
    </row>
    <row r="743" spans="1:1" x14ac:dyDescent="0.25">
      <c r="A743" s="36">
        <v>8.8767491187449709E-12</v>
      </c>
    </row>
    <row r="744" spans="1:1" x14ac:dyDescent="0.25">
      <c r="A744" s="36">
        <v>8.4329116628077213E-12</v>
      </c>
    </row>
    <row r="745" spans="1:1" x14ac:dyDescent="0.25">
      <c r="A745" s="36">
        <v>8.0112660796673341E-12</v>
      </c>
    </row>
    <row r="746" spans="1:1" x14ac:dyDescent="0.25">
      <c r="A746" s="36">
        <v>7.6107027756839663E-12</v>
      </c>
    </row>
    <row r="747" spans="1:1" x14ac:dyDescent="0.25">
      <c r="A747" s="36">
        <v>7.2301676368997673E-12</v>
      </c>
    </row>
    <row r="748" spans="1:1" x14ac:dyDescent="0.25">
      <c r="A748" s="36">
        <v>6.8686592550547782E-12</v>
      </c>
    </row>
    <row r="749" spans="1:1" x14ac:dyDescent="0.25">
      <c r="A749" s="36">
        <v>6.5252262923020387E-12</v>
      </c>
    </row>
    <row r="750" spans="1:1" x14ac:dyDescent="0.25">
      <c r="A750" s="36">
        <v>6.1989649776869368E-12</v>
      </c>
    </row>
    <row r="751" spans="1:1" x14ac:dyDescent="0.25">
      <c r="A751" s="36">
        <v>5.8890167288025901E-12</v>
      </c>
    </row>
    <row r="752" spans="1:1" x14ac:dyDescent="0.25">
      <c r="A752" s="36">
        <v>5.5945658923624606E-12</v>
      </c>
    </row>
    <row r="753" spans="1:1" x14ac:dyDescent="0.25">
      <c r="A753" s="36">
        <v>5.3148375977443373E-12</v>
      </c>
    </row>
    <row r="754" spans="1:1" x14ac:dyDescent="0.25">
      <c r="A754" s="36">
        <v>5.0490957178571204E-12</v>
      </c>
    </row>
    <row r="755" spans="1:1" x14ac:dyDescent="0.25">
      <c r="A755" s="36">
        <v>4.796640931964264E-12</v>
      </c>
    </row>
    <row r="756" spans="1:1" x14ac:dyDescent="0.25">
      <c r="A756" s="36">
        <v>4.5568088853660509E-12</v>
      </c>
    </row>
    <row r="757" spans="1:1" x14ac:dyDescent="0.25">
      <c r="A757" s="36">
        <v>4.3289684410977484E-12</v>
      </c>
    </row>
    <row r="758" spans="1:1" x14ac:dyDescent="0.25">
      <c r="A758" s="36">
        <v>4.1125200190428609E-12</v>
      </c>
    </row>
    <row r="759" spans="1:1" x14ac:dyDescent="0.25">
      <c r="A759" s="36">
        <v>3.9068940180907175E-12</v>
      </c>
    </row>
    <row r="760" spans="1:1" x14ac:dyDescent="0.25">
      <c r="A760" s="36">
        <v>3.7115493171861816E-12</v>
      </c>
    </row>
    <row r="761" spans="1:1" x14ac:dyDescent="0.25">
      <c r="A761" s="36">
        <v>3.5259718513268725E-12</v>
      </c>
    </row>
    <row r="762" spans="1:1" x14ac:dyDescent="0.25">
      <c r="A762" s="36">
        <v>3.3496732587605286E-12</v>
      </c>
    </row>
    <row r="763" spans="1:1" x14ac:dyDescent="0.25">
      <c r="A763" s="36">
        <v>3.182189595822502E-12</v>
      </c>
    </row>
    <row r="764" spans="1:1" x14ac:dyDescent="0.25">
      <c r="A764" s="36">
        <v>3.0230801160313768E-12</v>
      </c>
    </row>
    <row r="765" spans="1:1" x14ac:dyDescent="0.25">
      <c r="A765" s="36">
        <v>2.8719261102298077E-12</v>
      </c>
    </row>
    <row r="766" spans="1:1" x14ac:dyDescent="0.25">
      <c r="A766" s="36">
        <v>2.7283298047183172E-12</v>
      </c>
    </row>
    <row r="767" spans="1:1" x14ac:dyDescent="0.25">
      <c r="A767" s="36">
        <v>2.5919133144824012E-12</v>
      </c>
    </row>
    <row r="768" spans="1:1" x14ac:dyDescent="0.25">
      <c r="A768" s="36">
        <v>2.4623176487582809E-12</v>
      </c>
    </row>
    <row r="769" spans="1:1" x14ac:dyDescent="0.25">
      <c r="A769" s="36">
        <v>2.339201766320367E-12</v>
      </c>
    </row>
    <row r="770" spans="1:1" x14ac:dyDescent="0.25">
      <c r="A770" s="36">
        <v>2.2222416780043484E-12</v>
      </c>
    </row>
    <row r="771" spans="1:1" x14ac:dyDescent="0.25">
      <c r="A771" s="36">
        <v>2.1111295941041311E-12</v>
      </c>
    </row>
    <row r="772" spans="1:1" x14ac:dyDescent="0.25">
      <c r="A772" s="36">
        <v>2.0055731143989244E-12</v>
      </c>
    </row>
    <row r="773" spans="1:1" x14ac:dyDescent="0.25">
      <c r="A773" s="36">
        <v>1.9052944586789781E-12</v>
      </c>
    </row>
    <row r="774" spans="1:1" x14ac:dyDescent="0.25">
      <c r="A774" s="36">
        <v>1.8100297357450291E-12</v>
      </c>
    </row>
    <row r="775" spans="1:1" x14ac:dyDescent="0.25">
      <c r="A775" s="36">
        <v>1.7195282489577775E-12</v>
      </c>
    </row>
    <row r="776" spans="1:1" x14ac:dyDescent="0.25">
      <c r="A776" s="36">
        <v>1.6335518365098885E-12</v>
      </c>
    </row>
    <row r="777" spans="1:1" x14ac:dyDescent="0.25">
      <c r="A777" s="36">
        <v>1.551874244684394E-12</v>
      </c>
    </row>
    <row r="778" spans="1:1" x14ac:dyDescent="0.25">
      <c r="A778" s="36">
        <v>1.4742805324501742E-12</v>
      </c>
    </row>
    <row r="779" spans="1:1" x14ac:dyDescent="0.25">
      <c r="A779" s="36">
        <v>1.4005665058276655E-12</v>
      </c>
    </row>
    <row r="780" spans="1:1" x14ac:dyDescent="0.25">
      <c r="A780" s="36">
        <v>1.3305381805362821E-12</v>
      </c>
    </row>
    <row r="781" spans="1:1" x14ac:dyDescent="0.25">
      <c r="A781" s="36">
        <v>1.264011271509468E-12</v>
      </c>
    </row>
    <row r="782" spans="1:1" x14ac:dyDescent="0.25">
      <c r="A782" s="36">
        <v>1.2008107079339945E-12</v>
      </c>
    </row>
    <row r="783" spans="1:1" x14ac:dyDescent="0.25">
      <c r="A783" s="36">
        <v>1.1407701725372948E-12</v>
      </c>
    </row>
    <row r="784" spans="1:1" x14ac:dyDescent="0.25">
      <c r="A784" s="36">
        <v>1.08373166391043E-12</v>
      </c>
    </row>
    <row r="785" spans="1:1" x14ac:dyDescent="0.25">
      <c r="A785" s="36">
        <v>1.0295450807149084E-12</v>
      </c>
    </row>
    <row r="786" spans="1:1" x14ac:dyDescent="0.25">
      <c r="A786" s="36">
        <v>9.7806782667916296E-13</v>
      </c>
    </row>
    <row r="787" spans="1:1" x14ac:dyDescent="0.25">
      <c r="A787" s="36">
        <v>9.2916443534520479E-13</v>
      </c>
    </row>
    <row r="788" spans="1:1" x14ac:dyDescent="0.25">
      <c r="A788" s="36">
        <v>8.8270621357794449E-13</v>
      </c>
    </row>
    <row r="789" spans="1:1" x14ac:dyDescent="0.25">
      <c r="A789" s="36">
        <v>8.3857090289904726E-13</v>
      </c>
    </row>
    <row r="790" spans="1:1" x14ac:dyDescent="0.25">
      <c r="A790" s="36">
        <v>7.9664235775409483E-13</v>
      </c>
    </row>
    <row r="791" spans="1:1" x14ac:dyDescent="0.25">
      <c r="A791" s="36">
        <v>7.5681023986639008E-13</v>
      </c>
    </row>
    <row r="792" spans="1:1" x14ac:dyDescent="0.25">
      <c r="A792" s="36">
        <v>7.1896972787307055E-13</v>
      </c>
    </row>
    <row r="793" spans="1:1" x14ac:dyDescent="0.25">
      <c r="A793" s="36">
        <v>6.8302124147941695E-13</v>
      </c>
    </row>
    <row r="794" spans="1:1" x14ac:dyDescent="0.25">
      <c r="A794" s="36">
        <v>6.4887017940544605E-13</v>
      </c>
    </row>
    <row r="795" spans="1:1" x14ac:dyDescent="0.25">
      <c r="A795" s="36">
        <v>6.1642667043517373E-13</v>
      </c>
    </row>
    <row r="796" spans="1:1" x14ac:dyDescent="0.25">
      <c r="A796" s="36">
        <v>5.8560533691341505E-13</v>
      </c>
    </row>
    <row r="797" spans="1:1" x14ac:dyDescent="0.25">
      <c r="A797" s="36">
        <v>5.5632507006774425E-13</v>
      </c>
    </row>
    <row r="798" spans="1:1" x14ac:dyDescent="0.25">
      <c r="A798" s="36">
        <v>5.2850881656435705E-13</v>
      </c>
    </row>
    <row r="799" spans="1:1" x14ac:dyDescent="0.25">
      <c r="A799" s="36">
        <v>5.0208337573613919E-13</v>
      </c>
    </row>
    <row r="800" spans="1:1" x14ac:dyDescent="0.25">
      <c r="A800" s="36">
        <v>4.7697920694933223E-13</v>
      </c>
    </row>
    <row r="801" spans="1:1" x14ac:dyDescent="0.25">
      <c r="A801" s="36">
        <v>4.5313024660186561E-13</v>
      </c>
    </row>
    <row r="802" spans="1:1" x14ac:dyDescent="0.25">
      <c r="A802" s="36">
        <v>4.3047373427177233E-13</v>
      </c>
    </row>
    <row r="803" spans="1:1" x14ac:dyDescent="0.25">
      <c r="A803" s="36">
        <v>4.089500475581837E-13</v>
      </c>
    </row>
    <row r="804" spans="1:1" x14ac:dyDescent="0.25">
      <c r="A804" s="36">
        <v>3.8850254518027451E-13</v>
      </c>
    </row>
    <row r="805" spans="1:1" x14ac:dyDescent="0.25">
      <c r="A805" s="36">
        <v>3.6907741792126075E-13</v>
      </c>
    </row>
    <row r="806" spans="1:1" x14ac:dyDescent="0.25">
      <c r="A806" s="36">
        <v>3.506235470251977E-13</v>
      </c>
    </row>
    <row r="807" spans="1:1" x14ac:dyDescent="0.25">
      <c r="A807" s="36">
        <v>3.3309236967393782E-13</v>
      </c>
    </row>
  </sheetData>
  <conditionalFormatting sqref="C136">
    <cfRule type="cellIs" dxfId="68" priority="683" operator="equal">
      <formula>$U$1</formula>
    </cfRule>
    <cfRule type="cellIs" dxfId="67" priority="684" operator="equal">
      <formula>$S$1</formula>
    </cfRule>
  </conditionalFormatting>
  <conditionalFormatting sqref="D136">
    <cfRule type="cellIs" dxfId="66" priority="681" operator="equal">
      <formula>$S$1</formula>
    </cfRule>
    <cfRule type="cellIs" dxfId="65" priority="682" operator="equal">
      <formula>$U$1</formula>
    </cfRule>
  </conditionalFormatting>
  <conditionalFormatting sqref="C162">
    <cfRule type="cellIs" dxfId="64" priority="679" operator="equal">
      <formula>$U$1</formula>
    </cfRule>
    <cfRule type="cellIs" dxfId="63" priority="680" operator="equal">
      <formula>$S$1</formula>
    </cfRule>
  </conditionalFormatting>
  <conditionalFormatting sqref="D162">
    <cfRule type="cellIs" dxfId="62" priority="677" operator="equal">
      <formula>$S$1</formula>
    </cfRule>
    <cfRule type="cellIs" dxfId="61" priority="678" operator="equal">
      <formula>$U$1</formula>
    </cfRule>
  </conditionalFormatting>
  <conditionalFormatting sqref="C187">
    <cfRule type="cellIs" dxfId="60" priority="675" operator="equal">
      <formula>$U$1</formula>
    </cfRule>
    <cfRule type="cellIs" dxfId="59" priority="676" operator="equal">
      <formula>$S$1</formula>
    </cfRule>
  </conditionalFormatting>
  <conditionalFormatting sqref="D187">
    <cfRule type="cellIs" dxfId="58" priority="673" operator="equal">
      <formula>$S$1</formula>
    </cfRule>
    <cfRule type="cellIs" dxfId="57" priority="674" operator="equal">
      <formula>$U$1</formula>
    </cfRule>
  </conditionalFormatting>
  <conditionalFormatting sqref="C212">
    <cfRule type="cellIs" dxfId="56" priority="671" operator="equal">
      <formula>$U$1</formula>
    </cfRule>
    <cfRule type="cellIs" dxfId="55" priority="672" operator="equal">
      <formula>$S$1</formula>
    </cfRule>
  </conditionalFormatting>
  <conditionalFormatting sqref="D212">
    <cfRule type="cellIs" dxfId="54" priority="669" operator="equal">
      <formula>$S$1</formula>
    </cfRule>
    <cfRule type="cellIs" dxfId="53" priority="670" operator="equal">
      <formula>$U$1</formula>
    </cfRule>
  </conditionalFormatting>
  <conditionalFormatting sqref="C237">
    <cfRule type="cellIs" dxfId="52" priority="667" operator="equal">
      <formula>$U$1</formula>
    </cfRule>
    <cfRule type="cellIs" dxfId="51" priority="668" operator="equal">
      <formula>$S$1</formula>
    </cfRule>
  </conditionalFormatting>
  <conditionalFormatting sqref="D237">
    <cfRule type="cellIs" dxfId="50" priority="665" operator="equal">
      <formula>$S$1</formula>
    </cfRule>
    <cfRule type="cellIs" dxfId="49" priority="666" operator="equal">
      <formula>$U$1</formula>
    </cfRule>
  </conditionalFormatting>
  <conditionalFormatting sqref="C106">
    <cfRule type="cellIs" dxfId="48" priority="663" operator="equal">
      <formula>$U$1</formula>
    </cfRule>
    <cfRule type="cellIs" dxfId="47" priority="664" operator="equal">
      <formula>$S$1</formula>
    </cfRule>
  </conditionalFormatting>
  <conditionalFormatting sqref="D106">
    <cfRule type="cellIs" dxfId="46" priority="661" operator="equal">
      <formula>$S$1</formula>
    </cfRule>
    <cfRule type="cellIs" dxfId="45" priority="662" operator="equal">
      <formula>$U$1</formula>
    </cfRule>
  </conditionalFormatting>
  <conditionalFormatting sqref="C81">
    <cfRule type="cellIs" dxfId="44" priority="659" operator="equal">
      <formula>$U$1</formula>
    </cfRule>
    <cfRule type="cellIs" dxfId="43" priority="660" operator="equal">
      <formula>$S$1</formula>
    </cfRule>
  </conditionalFormatting>
  <conditionalFormatting sqref="D81">
    <cfRule type="cellIs" dxfId="42" priority="657" operator="equal">
      <formula>$S$1</formula>
    </cfRule>
    <cfRule type="cellIs" dxfId="41" priority="658" operator="equal">
      <formula>$U$1</formula>
    </cfRule>
  </conditionalFormatting>
  <conditionalFormatting sqref="C56">
    <cfRule type="cellIs" dxfId="40" priority="655" operator="equal">
      <formula>$U$1</formula>
    </cfRule>
    <cfRule type="cellIs" dxfId="39" priority="656" operator="equal">
      <formula>$S$1</formula>
    </cfRule>
  </conditionalFormatting>
  <conditionalFormatting sqref="D56">
    <cfRule type="cellIs" dxfId="38" priority="653" operator="equal">
      <formula>$S$1</formula>
    </cfRule>
    <cfRule type="cellIs" dxfId="37" priority="654" operator="equal">
      <formula>$U$1</formula>
    </cfRule>
  </conditionalFormatting>
  <conditionalFormatting sqref="C31">
    <cfRule type="cellIs" dxfId="36" priority="651" operator="equal">
      <formula>$U$1</formula>
    </cfRule>
    <cfRule type="cellIs" dxfId="35" priority="652" operator="equal">
      <formula>$S$1</formula>
    </cfRule>
  </conditionalFormatting>
  <conditionalFormatting sqref="D31">
    <cfRule type="cellIs" dxfId="34" priority="649" operator="equal">
      <formula>$S$1</formula>
    </cfRule>
    <cfRule type="cellIs" dxfId="33" priority="65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212" zoomScale="90" zoomScaleNormal="90" workbookViewId="0">
      <pane xSplit="4" topLeftCell="G1" activePane="topRight" state="frozen"/>
      <selection activeCell="A109" sqref="A109"/>
      <selection pane="topRight" activeCell="AK230" sqref="AK23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$A$229</v>
      </c>
      <c r="D111" s="1" t="str">
        <f>ADDRESS(C121-1,D121,1,1)</f>
        <v>$AK$229</v>
      </c>
      <c r="E111"/>
    </row>
    <row r="112" spans="1:5" x14ac:dyDescent="0.25">
      <c r="A112" s="30">
        <v>2.3579476910000019</v>
      </c>
      <c r="C112" s="1" t="str">
        <f>ADDRESS(C121,1,1,1)</f>
        <v>$A$230</v>
      </c>
      <c r="D112" s="1" t="str">
        <f>ADDRESS(C121,D121-1,1,1)</f>
        <v>$AJ$230</v>
      </c>
      <c r="E112"/>
    </row>
    <row r="113" spans="1:6" x14ac:dyDescent="0.25">
      <c r="A113" s="30">
        <v>2.1435888100000016</v>
      </c>
      <c r="C113" s="1" t="str">
        <f>ADDRESS(C121+1,1,1,1)</f>
        <v>$A$231</v>
      </c>
      <c r="D113" s="1" t="str">
        <f>ADDRESS(C121-1,D121+1,1,1)</f>
        <v>$AL$229</v>
      </c>
    </row>
    <row r="114" spans="1:6" x14ac:dyDescent="0.25">
      <c r="A114" s="30">
        <v>1.9487171000000014</v>
      </c>
      <c r="C114" s="1" t="str">
        <f>ADDRESS(C121,D121,1,1)</f>
        <v>$AK$230</v>
      </c>
      <c r="D114" s="1" t="str">
        <f>ADDRESS(C121+1,D121+1,1,1)</f>
        <v>$AL$231</v>
      </c>
    </row>
    <row r="115" spans="1:6" x14ac:dyDescent="0.25">
      <c r="A115" s="30">
        <v>1.7715610000000011</v>
      </c>
      <c r="C115" s="1" t="str">
        <f>ADDRESS(C121+1,D121,1,1)</f>
        <v>$AK$231</v>
      </c>
    </row>
    <row r="116" spans="1:6" x14ac:dyDescent="0.25">
      <c r="A116" s="30">
        <v>1.6105100000000008</v>
      </c>
      <c r="C116" s="1">
        <f>C117-1</f>
        <v>229</v>
      </c>
    </row>
    <row r="117" spans="1:6" x14ac:dyDescent="0.25">
      <c r="A117" s="30">
        <v>1.4641000000000006</v>
      </c>
      <c r="C117" s="1">
        <f>C121</f>
        <v>230</v>
      </c>
      <c r="D117" s="1">
        <f>D121</f>
        <v>37</v>
      </c>
    </row>
    <row r="118" spans="1:6" x14ac:dyDescent="0.25">
      <c r="A118" s="30">
        <v>1.3310000000000004</v>
      </c>
      <c r="C118" s="1">
        <f>C117+1</f>
        <v>231</v>
      </c>
      <c r="D118" s="1">
        <f>D117+1</f>
        <v>38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230</v>
      </c>
      <c r="D121" s="19">
        <v>37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X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R230</v>
      </c>
      <c r="D123" s="1" t="str">
        <f>"C"&amp;D121</f>
        <v>C37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2.1867238115555765E-5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X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6" x14ac:dyDescent="0.25">
      <c r="A145" s="30">
        <v>0.10152559799477026</v>
      </c>
      <c r="B145"/>
      <c r="C145"/>
      <c r="D145"/>
      <c r="E145"/>
      <c r="F145" s="27" t="s">
        <v>7</v>
      </c>
    </row>
    <row r="146" spans="1:6" x14ac:dyDescent="0.25">
      <c r="A146" s="30">
        <v>9.2295998177063854E-2</v>
      </c>
      <c r="B146"/>
      <c r="C146"/>
      <c r="D146"/>
      <c r="E146"/>
      <c r="F146" s="27" t="s">
        <v>7</v>
      </c>
    </row>
    <row r="147" spans="1:6" x14ac:dyDescent="0.25">
      <c r="A147" s="30">
        <v>8.3905452888239848E-2</v>
      </c>
      <c r="B147"/>
      <c r="C147"/>
      <c r="D147"/>
      <c r="E147"/>
      <c r="F147" s="27" t="s">
        <v>7</v>
      </c>
    </row>
    <row r="148" spans="1:6" x14ac:dyDescent="0.25">
      <c r="A148" s="30">
        <v>7.6277684443854396E-2</v>
      </c>
      <c r="B148"/>
      <c r="C148"/>
      <c r="D148"/>
      <c r="E148"/>
      <c r="F148" s="27" t="s">
        <v>7</v>
      </c>
    </row>
    <row r="149" spans="1:6" x14ac:dyDescent="0.25">
      <c r="A149" s="30">
        <v>6.9343349494413078E-2</v>
      </c>
      <c r="B149"/>
      <c r="C149"/>
      <c r="D149"/>
      <c r="E149"/>
      <c r="F149" s="27" t="s">
        <v>7</v>
      </c>
    </row>
    <row r="150" spans="1:6" x14ac:dyDescent="0.25">
      <c r="A150" s="30">
        <v>6.3039408631284613E-2</v>
      </c>
      <c r="B150"/>
      <c r="C150"/>
      <c r="D150"/>
      <c r="E150"/>
      <c r="F150" s="27" t="s">
        <v>7</v>
      </c>
    </row>
    <row r="151" spans="1:6" x14ac:dyDescent="0.25">
      <c r="A151" s="30">
        <v>5.7308553301167818E-2</v>
      </c>
      <c r="B151"/>
      <c r="C151"/>
      <c r="D151"/>
      <c r="E151"/>
      <c r="F151" s="27" t="s">
        <v>7</v>
      </c>
    </row>
    <row r="152" spans="1:6" x14ac:dyDescent="0.25">
      <c r="A152" s="30">
        <v>5.2098684819243464E-2</v>
      </c>
      <c r="B152"/>
      <c r="C152"/>
      <c r="D152"/>
      <c r="E152"/>
      <c r="F152" s="27" t="s">
        <v>7</v>
      </c>
    </row>
    <row r="153" spans="1:6" x14ac:dyDescent="0.25">
      <c r="A153" s="30">
        <v>4.7362440744766775E-2</v>
      </c>
      <c r="B153"/>
      <c r="C153"/>
      <c r="D153"/>
      <c r="E153"/>
      <c r="F153" s="27" t="s">
        <v>7</v>
      </c>
    </row>
    <row r="154" spans="1:6" x14ac:dyDescent="0.25">
      <c r="A154" s="30">
        <v>4.3056764313424332E-2</v>
      </c>
      <c r="B154"/>
      <c r="C154"/>
      <c r="D154"/>
      <c r="E154"/>
      <c r="F154" s="27" t="s">
        <v>7</v>
      </c>
    </row>
    <row r="155" spans="1:6" x14ac:dyDescent="0.25">
      <c r="A155" s="30">
        <v>3.9142513012203929E-2</v>
      </c>
      <c r="B155"/>
      <c r="C155"/>
      <c r="D155"/>
      <c r="E155"/>
      <c r="F155" s="27" t="s">
        <v>7</v>
      </c>
    </row>
    <row r="156" spans="1:6" x14ac:dyDescent="0.25">
      <c r="A156" s="30">
        <v>3.55841027383672E-2</v>
      </c>
      <c r="B156"/>
      <c r="C156"/>
      <c r="D156"/>
      <c r="E156"/>
      <c r="F156" s="27" t="s">
        <v>7</v>
      </c>
    </row>
    <row r="157" spans="1:6" x14ac:dyDescent="0.25">
      <c r="A157" s="30">
        <v>3.2349184307606541E-2</v>
      </c>
      <c r="B157"/>
      <c r="C157"/>
      <c r="D157"/>
      <c r="E157"/>
      <c r="F157" s="27" t="s">
        <v>7</v>
      </c>
    </row>
    <row r="158" spans="1:6" x14ac:dyDescent="0.25">
      <c r="A158" s="30">
        <v>2.9408349370551395E-2</v>
      </c>
      <c r="B158"/>
      <c r="C158"/>
      <c r="D158"/>
      <c r="E158"/>
      <c r="F158" s="27" t="s">
        <v>7</v>
      </c>
    </row>
    <row r="159" spans="1:6" x14ac:dyDescent="0.25">
      <c r="A159" s="30">
        <v>2.6734863064137627E-2</v>
      </c>
      <c r="B159"/>
      <c r="C159"/>
      <c r="D159"/>
      <c r="E159"/>
      <c r="F159" s="27" t="s">
        <v>7</v>
      </c>
    </row>
    <row r="160" spans="1:6" x14ac:dyDescent="0.25">
      <c r="A160" s="30">
        <v>2.4304420967397839E-2</v>
      </c>
      <c r="B160"/>
      <c r="C160"/>
      <c r="D160"/>
      <c r="E160"/>
      <c r="F160" s="27" t="s">
        <v>7</v>
      </c>
    </row>
    <row r="161" spans="1:6" x14ac:dyDescent="0.25">
      <c r="A161" s="30">
        <v>2.2094928152179852E-2</v>
      </c>
      <c r="B161"/>
      <c r="C161"/>
      <c r="D161"/>
      <c r="E161"/>
      <c r="F161" s="27" t="s">
        <v>7</v>
      </c>
    </row>
    <row r="162" spans="1:6" x14ac:dyDescent="0.25">
      <c r="A162" s="30">
        <v>2.0086298320163499E-2</v>
      </c>
      <c r="B162"/>
      <c r="C162"/>
      <c r="D162"/>
      <c r="E162"/>
      <c r="F162" s="27" t="s">
        <v>7</v>
      </c>
    </row>
    <row r="163" spans="1:6" x14ac:dyDescent="0.25">
      <c r="A163" s="30">
        <v>1.8260271200148632E-2</v>
      </c>
      <c r="B163"/>
      <c r="C163"/>
      <c r="D163"/>
      <c r="E163"/>
      <c r="F163" s="27" t="s">
        <v>7</v>
      </c>
    </row>
    <row r="164" spans="1:6" x14ac:dyDescent="0.25">
      <c r="A164" s="30">
        <v>1.6600246545589663E-2</v>
      </c>
      <c r="B164"/>
      <c r="C164"/>
      <c r="D164"/>
      <c r="E164"/>
      <c r="F164" s="27" t="s">
        <v>7</v>
      </c>
    </row>
    <row r="165" spans="1:6" x14ac:dyDescent="0.25">
      <c r="A165" s="30">
        <v>1.5091133223263328E-2</v>
      </c>
      <c r="B165"/>
      <c r="C165"/>
      <c r="D165"/>
      <c r="E165"/>
      <c r="F165" s="27" t="s">
        <v>7</v>
      </c>
    </row>
    <row r="166" spans="1:6" x14ac:dyDescent="0.25">
      <c r="A166" s="30">
        <v>1.3719212021148477E-2</v>
      </c>
      <c r="B166"/>
      <c r="C166"/>
      <c r="D166"/>
      <c r="E166"/>
      <c r="F166" s="27" t="s">
        <v>7</v>
      </c>
    </row>
    <row r="167" spans="1:6" x14ac:dyDescent="0.25">
      <c r="A167" s="30">
        <v>1.2472010928316795E-2</v>
      </c>
      <c r="B167"/>
      <c r="C167"/>
      <c r="D167"/>
      <c r="E167"/>
      <c r="F167" s="27" t="s">
        <v>7</v>
      </c>
    </row>
    <row r="168" spans="1:6" x14ac:dyDescent="0.25">
      <c r="A168" s="30">
        <v>1.1338191753015267E-2</v>
      </c>
      <c r="B168"/>
      <c r="C168"/>
      <c r="D168"/>
      <c r="E168"/>
      <c r="F168" s="27" t="s">
        <v>7</v>
      </c>
    </row>
    <row r="169" spans="1:6" x14ac:dyDescent="0.25">
      <c r="A169" s="30">
        <v>1.0307447048195697E-2</v>
      </c>
      <c r="B169"/>
      <c r="C169"/>
      <c r="D169"/>
      <c r="E169"/>
      <c r="F169" s="27" t="s">
        <v>7</v>
      </c>
    </row>
    <row r="170" spans="1:6" x14ac:dyDescent="0.25">
      <c r="A170" s="30">
        <v>9.3704064074506318E-3</v>
      </c>
      <c r="B170"/>
      <c r="C170"/>
      <c r="D170"/>
      <c r="E170"/>
      <c r="F170" s="27" t="s">
        <v>7</v>
      </c>
    </row>
    <row r="171" spans="1:6" x14ac:dyDescent="0.25">
      <c r="A171" s="30">
        <v>8.5185512795005747E-3</v>
      </c>
      <c r="F171" s="27" t="s">
        <v>7</v>
      </c>
    </row>
    <row r="172" spans="1:6" x14ac:dyDescent="0.25">
      <c r="A172" s="30">
        <v>7.744137526818704E-3</v>
      </c>
      <c r="F172" s="27" t="s">
        <v>7</v>
      </c>
    </row>
    <row r="173" spans="1:6" x14ac:dyDescent="0.25">
      <c r="A173" s="30">
        <v>7.0401250243806394E-3</v>
      </c>
      <c r="F173" s="27" t="s">
        <v>7</v>
      </c>
    </row>
    <row r="174" spans="1:6" x14ac:dyDescent="0.25">
      <c r="A174" s="30">
        <v>6.4001136585278536E-3</v>
      </c>
      <c r="F174" s="27" t="s">
        <v>7</v>
      </c>
    </row>
    <row r="175" spans="1:6" x14ac:dyDescent="0.25">
      <c r="A175" s="30">
        <v>5.8182851441162305E-3</v>
      </c>
      <c r="F175" s="27" t="s">
        <v>7</v>
      </c>
    </row>
    <row r="176" spans="1:6" x14ac:dyDescent="0.25">
      <c r="A176" s="30">
        <v>5.2893501310147546E-3</v>
      </c>
      <c r="F176" s="27" t="s">
        <v>7</v>
      </c>
    </row>
    <row r="177" spans="1:6" x14ac:dyDescent="0.25">
      <c r="A177" s="30">
        <v>4.8085001191043222E-3</v>
      </c>
      <c r="F177" s="27" t="s">
        <v>7</v>
      </c>
    </row>
    <row r="178" spans="1:6" x14ac:dyDescent="0.25">
      <c r="A178" s="30">
        <v>4.3713637446402926E-3</v>
      </c>
      <c r="F178" s="27" t="s">
        <v>7</v>
      </c>
    </row>
    <row r="179" spans="1:6" x14ac:dyDescent="0.25">
      <c r="A179" s="30">
        <v>3.9739670405820838E-3</v>
      </c>
      <c r="F179" s="27" t="s">
        <v>7</v>
      </c>
    </row>
    <row r="180" spans="1:6" x14ac:dyDescent="0.25">
      <c r="A180" s="30">
        <v>3.6126973096200759E-3</v>
      </c>
      <c r="F180" s="27" t="s">
        <v>7</v>
      </c>
    </row>
    <row r="181" spans="1:6" x14ac:dyDescent="0.25">
      <c r="A181" s="30">
        <v>3.2842702814727962E-3</v>
      </c>
      <c r="F181" s="27" t="s">
        <v>7</v>
      </c>
    </row>
    <row r="182" spans="1:6" x14ac:dyDescent="0.25">
      <c r="A182" s="30">
        <v>2.9857002558843601E-3</v>
      </c>
      <c r="F182" s="27" t="s">
        <v>7</v>
      </c>
    </row>
    <row r="183" spans="1:6" x14ac:dyDescent="0.25">
      <c r="A183" s="30">
        <v>2.7142729598948726E-3</v>
      </c>
      <c r="F183" s="27" t="s">
        <v>7</v>
      </c>
    </row>
    <row r="184" spans="1:6" x14ac:dyDescent="0.25">
      <c r="A184" s="30">
        <v>2.4675208726317021E-3</v>
      </c>
      <c r="F184" s="27" t="s">
        <v>7</v>
      </c>
    </row>
    <row r="185" spans="1:6" x14ac:dyDescent="0.25">
      <c r="A185" s="30">
        <v>2.2432007933015472E-3</v>
      </c>
      <c r="F185" s="27" t="s">
        <v>7</v>
      </c>
    </row>
    <row r="186" spans="1:6" x14ac:dyDescent="0.25">
      <c r="A186" s="30">
        <v>2.0392734484559519E-3</v>
      </c>
      <c r="F186" s="27" t="s">
        <v>7</v>
      </c>
    </row>
    <row r="187" spans="1:6" x14ac:dyDescent="0.25">
      <c r="A187" s="30">
        <v>1.8538849531417744E-3</v>
      </c>
      <c r="F187" s="27" t="s">
        <v>7</v>
      </c>
    </row>
    <row r="188" spans="1:6" x14ac:dyDescent="0.25">
      <c r="A188" s="30">
        <v>1.6853499574016129E-3</v>
      </c>
      <c r="F188" s="27" t="s">
        <v>7</v>
      </c>
    </row>
    <row r="189" spans="1:6" x14ac:dyDescent="0.25">
      <c r="A189" s="30">
        <v>1.5321363249105571E-3</v>
      </c>
      <c r="F189" s="27" t="s">
        <v>7</v>
      </c>
    </row>
    <row r="190" spans="1:6" x14ac:dyDescent="0.25">
      <c r="A190" s="30">
        <v>1.3928512044641427E-3</v>
      </c>
      <c r="F190" s="27" t="s">
        <v>7</v>
      </c>
    </row>
    <row r="191" spans="1:6" x14ac:dyDescent="0.25">
      <c r="A191" s="30">
        <v>1.2662283676946752E-3</v>
      </c>
      <c r="F191" s="27" t="s">
        <v>7</v>
      </c>
    </row>
    <row r="192" spans="1:6" x14ac:dyDescent="0.25">
      <c r="A192" s="30">
        <v>1.15111669790425E-3</v>
      </c>
      <c r="F192" s="27" t="s">
        <v>7</v>
      </c>
    </row>
    <row r="193" spans="1:6" x14ac:dyDescent="0.25">
      <c r="A193" s="30">
        <v>1.0464697253675E-3</v>
      </c>
      <c r="F193" s="27" t="s">
        <v>7</v>
      </c>
    </row>
    <row r="194" spans="1:6" x14ac:dyDescent="0.25">
      <c r="A194" s="30">
        <v>9.5133611397045449E-4</v>
      </c>
      <c r="F194" s="27" t="s">
        <v>7</v>
      </c>
    </row>
    <row r="195" spans="1:6" x14ac:dyDescent="0.25">
      <c r="A195" s="30">
        <v>8.6485101270041313E-4</v>
      </c>
      <c r="F195" s="27" t="s">
        <v>7</v>
      </c>
    </row>
    <row r="196" spans="1:6" x14ac:dyDescent="0.25">
      <c r="A196" s="30">
        <v>7.862281933640119E-4</v>
      </c>
      <c r="F196" s="27" t="s">
        <v>7</v>
      </c>
    </row>
    <row r="197" spans="1:6" x14ac:dyDescent="0.25">
      <c r="A197" s="30">
        <v>7.0760537402761068E-4</v>
      </c>
      <c r="F197" s="27" t="s">
        <v>7</v>
      </c>
    </row>
    <row r="198" spans="1:6" x14ac:dyDescent="0.25">
      <c r="A198" s="30">
        <v>6.368448366248496E-4</v>
      </c>
      <c r="F198" s="27" t="s">
        <v>7</v>
      </c>
    </row>
    <row r="199" spans="1:6" x14ac:dyDescent="0.25">
      <c r="A199" s="30">
        <v>5.7316035296236471E-4</v>
      </c>
      <c r="F199" s="27" t="s">
        <v>7</v>
      </c>
    </row>
    <row r="200" spans="1:6" x14ac:dyDescent="0.25">
      <c r="A200" s="30">
        <v>5.1584431766612821E-4</v>
      </c>
      <c r="F200" s="27" t="s">
        <v>7</v>
      </c>
    </row>
    <row r="201" spans="1:6" x14ac:dyDescent="0.25">
      <c r="A201" s="30">
        <v>4.6425988589951538E-4</v>
      </c>
      <c r="F201" s="27" t="s">
        <v>7</v>
      </c>
    </row>
    <row r="202" spans="1:6" x14ac:dyDescent="0.25">
      <c r="A202" s="30">
        <v>4.1783389730956383E-4</v>
      </c>
      <c r="F202" s="27" t="s">
        <v>7</v>
      </c>
    </row>
    <row r="203" spans="1:6" x14ac:dyDescent="0.25">
      <c r="A203" s="30">
        <v>3.7605050757860746E-4</v>
      </c>
      <c r="F203" s="27" t="s">
        <v>7</v>
      </c>
    </row>
    <row r="204" spans="1:6" x14ac:dyDescent="0.25">
      <c r="A204" s="30">
        <v>3.3844545682074675E-4</v>
      </c>
      <c r="F204" s="27" t="s">
        <v>7</v>
      </c>
    </row>
    <row r="205" spans="1:6" x14ac:dyDescent="0.25">
      <c r="A205" s="30">
        <v>3.0460091113867208E-4</v>
      </c>
      <c r="F205" s="27" t="s">
        <v>7</v>
      </c>
    </row>
    <row r="206" spans="1:6" x14ac:dyDescent="0.25">
      <c r="A206" s="30">
        <v>2.7414082002480487E-4</v>
      </c>
      <c r="F206" s="27" t="s">
        <v>7</v>
      </c>
    </row>
    <row r="207" spans="1:6" x14ac:dyDescent="0.25">
      <c r="A207" s="30">
        <v>2.4672673802232442E-4</v>
      </c>
      <c r="F207" s="27" t="s">
        <v>7</v>
      </c>
    </row>
    <row r="208" spans="1:6" x14ac:dyDescent="0.25">
      <c r="A208" s="30">
        <v>2.2205406422009198E-4</v>
      </c>
      <c r="F208" s="27" t="s">
        <v>7</v>
      </c>
    </row>
    <row r="209" spans="1:36" x14ac:dyDescent="0.25">
      <c r="A209" s="30">
        <v>1.998486577980828E-4</v>
      </c>
      <c r="F209" s="27" t="s">
        <v>7</v>
      </c>
    </row>
    <row r="210" spans="1:36" x14ac:dyDescent="0.25">
      <c r="A210" s="30">
        <v>1.7986379201827453E-4</v>
      </c>
      <c r="F210" s="27" t="s">
        <v>7</v>
      </c>
    </row>
    <row r="211" spans="1:36" x14ac:dyDescent="0.25">
      <c r="A211" s="30">
        <v>1.6187741281644709E-4</v>
      </c>
      <c r="F211" s="27" t="s">
        <v>7</v>
      </c>
    </row>
    <row r="212" spans="1:36" x14ac:dyDescent="0.25">
      <c r="A212" s="30">
        <v>1.4568967153480238E-4</v>
      </c>
      <c r="F212" s="27" t="s">
        <v>7</v>
      </c>
    </row>
    <row r="213" spans="1:36" x14ac:dyDescent="0.25">
      <c r="A213" s="30">
        <v>1.3112070438132215E-4</v>
      </c>
      <c r="F213" s="27" t="s">
        <v>7</v>
      </c>
    </row>
    <row r="214" spans="1:36" x14ac:dyDescent="0.25">
      <c r="A214" s="30">
        <v>1.1800863394318995E-4</v>
      </c>
      <c r="F214" s="27" t="s">
        <v>7</v>
      </c>
    </row>
    <row r="215" spans="1:36" x14ac:dyDescent="0.25">
      <c r="A215" s="30">
        <v>1.0620777054887096E-4</v>
      </c>
      <c r="F215" s="27" t="s">
        <v>7</v>
      </c>
    </row>
    <row r="216" spans="1:36" x14ac:dyDescent="0.25">
      <c r="A216" s="30">
        <v>9.5586993493983861E-5</v>
      </c>
      <c r="F216" s="27" t="s">
        <v>7</v>
      </c>
    </row>
    <row r="217" spans="1:36" x14ac:dyDescent="0.25">
      <c r="A217" s="30">
        <v>8.6028294144585476E-5</v>
      </c>
      <c r="F217" s="27" t="s">
        <v>7</v>
      </c>
      <c r="AC217" s="27" t="s">
        <v>8</v>
      </c>
    </row>
    <row r="218" spans="1:36" x14ac:dyDescent="0.25">
      <c r="A218" s="30">
        <v>7.7425464730126924E-5</v>
      </c>
      <c r="F218" s="27" t="s">
        <v>7</v>
      </c>
      <c r="AC218" s="27" t="s">
        <v>8</v>
      </c>
      <c r="AD218" s="27" t="s">
        <v>7</v>
      </c>
      <c r="AE218" s="27" t="s">
        <v>8</v>
      </c>
    </row>
    <row r="219" spans="1:36" x14ac:dyDescent="0.25">
      <c r="A219" s="30">
        <v>6.9682918257114228E-5</v>
      </c>
      <c r="F219" s="27" t="s">
        <v>7</v>
      </c>
      <c r="AC219" s="27" t="s">
        <v>8</v>
      </c>
      <c r="AD219" s="27" t="s">
        <v>7</v>
      </c>
      <c r="AE219" s="27" t="s">
        <v>8</v>
      </c>
      <c r="AF219" s="27" t="s">
        <v>7</v>
      </c>
    </row>
    <row r="220" spans="1:36" x14ac:dyDescent="0.25">
      <c r="A220" s="30">
        <v>6.2714626431402813E-5</v>
      </c>
      <c r="F220" s="27" t="s">
        <v>7</v>
      </c>
      <c r="AC220" s="27" t="s">
        <v>8</v>
      </c>
      <c r="AD220" s="27" t="s">
        <v>7</v>
      </c>
      <c r="AE220" s="27" t="s">
        <v>8</v>
      </c>
      <c r="AF220" s="27" t="s">
        <v>7</v>
      </c>
      <c r="AG220" s="27" t="s">
        <v>8</v>
      </c>
    </row>
    <row r="221" spans="1:36" x14ac:dyDescent="0.25">
      <c r="A221" s="30">
        <v>5.6443163788262536E-5</v>
      </c>
      <c r="F221" s="27" t="s">
        <v>7</v>
      </c>
      <c r="AC221" s="27" t="s">
        <v>8</v>
      </c>
      <c r="AD221" s="27" t="s">
        <v>7</v>
      </c>
      <c r="AF221" s="27" t="s">
        <v>7</v>
      </c>
      <c r="AG221" s="27" t="s">
        <v>8</v>
      </c>
      <c r="AH221" s="27" t="s">
        <v>7</v>
      </c>
    </row>
    <row r="222" spans="1:36" x14ac:dyDescent="0.25">
      <c r="A222" s="30">
        <v>5.0798847409436286E-5</v>
      </c>
      <c r="F222" s="27" t="s">
        <v>7</v>
      </c>
      <c r="AC222" s="27" t="s">
        <v>8</v>
      </c>
      <c r="AF222" s="27" t="s">
        <v>7</v>
      </c>
      <c r="AG222" s="27" t="s">
        <v>8</v>
      </c>
      <c r="AH222" s="27" t="s">
        <v>7</v>
      </c>
      <c r="AI222" s="27" t="s">
        <v>8</v>
      </c>
    </row>
    <row r="223" spans="1:36" x14ac:dyDescent="0.25">
      <c r="A223" s="30">
        <v>4.5718962668492656E-5</v>
      </c>
      <c r="F223" s="27" t="s">
        <v>7</v>
      </c>
      <c r="AC223" s="27" t="s">
        <v>8</v>
      </c>
      <c r="AF223" s="27" t="s">
        <v>7</v>
      </c>
      <c r="AH223" s="27" t="s">
        <v>7</v>
      </c>
      <c r="AI223" s="27" t="s">
        <v>8</v>
      </c>
      <c r="AJ223" s="27" t="s">
        <v>7</v>
      </c>
    </row>
    <row r="224" spans="1:36" x14ac:dyDescent="0.25">
      <c r="A224" s="30">
        <v>4.1147066401643391E-5</v>
      </c>
      <c r="F224" s="27" t="s">
        <v>7</v>
      </c>
      <c r="AC224" s="27" t="s">
        <v>8</v>
      </c>
      <c r="AH224" s="27" t="s">
        <v>7</v>
      </c>
      <c r="AI224" s="27" t="s">
        <v>8</v>
      </c>
      <c r="AJ224" s="27" t="s">
        <v>7</v>
      </c>
    </row>
    <row r="225" spans="1:37" x14ac:dyDescent="0.25">
      <c r="A225" s="30">
        <v>3.7032359761479051E-5</v>
      </c>
      <c r="F225" s="27" t="s">
        <v>7</v>
      </c>
      <c r="AC225" s="27" t="s">
        <v>8</v>
      </c>
      <c r="AH225" s="27" t="s">
        <v>7</v>
      </c>
      <c r="AJ225" s="27" t="s">
        <v>7</v>
      </c>
    </row>
    <row r="226" spans="1:37" x14ac:dyDescent="0.25">
      <c r="A226" s="30">
        <v>3.3329123785331146E-5</v>
      </c>
      <c r="F226" s="27" t="s">
        <v>7</v>
      </c>
      <c r="AA226" s="27" t="s">
        <v>8</v>
      </c>
      <c r="AC226" s="27" t="s">
        <v>8</v>
      </c>
      <c r="AJ226" s="27" t="s">
        <v>7</v>
      </c>
    </row>
    <row r="227" spans="1:37" x14ac:dyDescent="0.25">
      <c r="A227" s="30">
        <v>2.9996211406798031E-5</v>
      </c>
      <c r="F227" s="27" t="s">
        <v>7</v>
      </c>
      <c r="AA227" s="27" t="s">
        <v>8</v>
      </c>
      <c r="AB227" s="27" t="s">
        <v>7</v>
      </c>
      <c r="AC227" s="27" t="s">
        <v>8</v>
      </c>
      <c r="AJ227" s="27" t="s">
        <v>7</v>
      </c>
    </row>
    <row r="228" spans="1:37" x14ac:dyDescent="0.25">
      <c r="A228" s="30">
        <v>2.6996590266118227E-5</v>
      </c>
      <c r="F228" s="27" t="s">
        <v>7</v>
      </c>
      <c r="AA228" s="27" t="s">
        <v>8</v>
      </c>
      <c r="AB228" s="27" t="s">
        <v>7</v>
      </c>
      <c r="AC228" s="27" t="s">
        <v>8</v>
      </c>
      <c r="AJ228" s="27" t="s">
        <v>7</v>
      </c>
    </row>
    <row r="229" spans="1:37" x14ac:dyDescent="0.25">
      <c r="A229" s="30">
        <v>2.4296931239506405E-5</v>
      </c>
      <c r="F229" s="27" t="s">
        <v>7</v>
      </c>
      <c r="AA229" s="27" t="s">
        <v>8</v>
      </c>
      <c r="AB229" s="27" t="s">
        <v>7</v>
      </c>
      <c r="AC229" s="27" t="s">
        <v>8</v>
      </c>
      <c r="AJ229" s="27" t="s">
        <v>7</v>
      </c>
    </row>
    <row r="230" spans="1:37" x14ac:dyDescent="0.25">
      <c r="A230" s="30">
        <v>2.1867238115555765E-5</v>
      </c>
      <c r="F230" s="27" t="s">
        <v>7</v>
      </c>
      <c r="G230" s="31" t="s">
        <v>8</v>
      </c>
      <c r="AA230" s="27" t="s">
        <v>8</v>
      </c>
      <c r="AB230" s="27" t="s">
        <v>7</v>
      </c>
      <c r="AJ230" s="27" t="s">
        <v>7</v>
      </c>
      <c r="AK230" s="27" t="s">
        <v>8</v>
      </c>
    </row>
    <row r="231" spans="1:37" x14ac:dyDescent="0.25">
      <c r="A231" s="30">
        <v>1.968051430400019E-5</v>
      </c>
      <c r="F231" s="27" t="s">
        <v>7</v>
      </c>
      <c r="G231" s="27" t="s">
        <v>8</v>
      </c>
      <c r="H231" s="31" t="s">
        <v>7</v>
      </c>
      <c r="AA231" s="27" t="s">
        <v>8</v>
      </c>
      <c r="AJ231" s="27" t="s">
        <v>7</v>
      </c>
      <c r="AK231" s="27" t="s">
        <v>8</v>
      </c>
    </row>
    <row r="232" spans="1:37" x14ac:dyDescent="0.25">
      <c r="A232" s="30">
        <v>1.7712462873600173E-5</v>
      </c>
      <c r="F232" s="27" t="s">
        <v>7</v>
      </c>
      <c r="G232" s="27" t="s">
        <v>8</v>
      </c>
      <c r="H232" s="27" t="s">
        <v>7</v>
      </c>
      <c r="I232" s="31" t="s">
        <v>8</v>
      </c>
      <c r="AA232" s="27" t="s">
        <v>8</v>
      </c>
      <c r="AJ232" s="27" t="s">
        <v>7</v>
      </c>
    </row>
    <row r="233" spans="1:37" x14ac:dyDescent="0.25">
      <c r="A233" s="30">
        <v>1.5941216586240156E-5</v>
      </c>
      <c r="F233" s="27" t="s">
        <v>7</v>
      </c>
      <c r="H233" s="27" t="s">
        <v>7</v>
      </c>
      <c r="I233" s="27" t="s">
        <v>8</v>
      </c>
      <c r="J233" s="31" t="s">
        <v>7</v>
      </c>
      <c r="AA233" s="27" t="s">
        <v>8</v>
      </c>
    </row>
    <row r="234" spans="1:37" x14ac:dyDescent="0.25">
      <c r="A234" s="30">
        <v>1.434709492761614E-5</v>
      </c>
      <c r="H234" s="27" t="s">
        <v>7</v>
      </c>
      <c r="I234" s="27" t="s">
        <v>8</v>
      </c>
      <c r="J234" s="27" t="s">
        <v>7</v>
      </c>
      <c r="K234" s="31"/>
      <c r="AA234" s="27" t="s">
        <v>8</v>
      </c>
    </row>
    <row r="235" spans="1:37" x14ac:dyDescent="0.25">
      <c r="A235" s="30">
        <v>1.2912385434854527E-5</v>
      </c>
      <c r="H235" s="27" t="s">
        <v>7</v>
      </c>
      <c r="J235" s="27" t="s">
        <v>7</v>
      </c>
      <c r="L235" s="31"/>
      <c r="AA235" s="27" t="s">
        <v>8</v>
      </c>
    </row>
    <row r="236" spans="1:37" x14ac:dyDescent="0.25">
      <c r="A236" s="30">
        <v>1.1621146891369075E-5</v>
      </c>
      <c r="J236" s="27" t="s">
        <v>7</v>
      </c>
      <c r="K236" s="27" t="s">
        <v>8</v>
      </c>
      <c r="M236" s="31"/>
      <c r="O236" s="27" t="s">
        <v>8</v>
      </c>
      <c r="AA236" s="27" t="s">
        <v>8</v>
      </c>
    </row>
    <row r="237" spans="1:37" x14ac:dyDescent="0.25">
      <c r="A237" s="30">
        <v>1.0459032202232167E-5</v>
      </c>
      <c r="J237" s="27" t="s">
        <v>7</v>
      </c>
      <c r="K237" s="27" t="s">
        <v>8</v>
      </c>
      <c r="L237" s="27" t="s">
        <v>7</v>
      </c>
      <c r="N237" s="31"/>
      <c r="O237" s="27" t="s">
        <v>8</v>
      </c>
      <c r="P237" s="27" t="s">
        <v>7</v>
      </c>
      <c r="Q237" s="27" t="s">
        <v>8</v>
      </c>
      <c r="AA237" s="27" t="s">
        <v>8</v>
      </c>
    </row>
    <row r="238" spans="1:37" x14ac:dyDescent="0.25">
      <c r="A238" s="30">
        <v>9.4131289820089515E-6</v>
      </c>
      <c r="J238" s="27" t="s">
        <v>7</v>
      </c>
      <c r="K238" s="27" t="s">
        <v>8</v>
      </c>
      <c r="L238" s="27" t="s">
        <v>7</v>
      </c>
      <c r="M238" s="27" t="s">
        <v>8</v>
      </c>
      <c r="O238" s="31" t="s">
        <v>8</v>
      </c>
      <c r="P238" s="27" t="s">
        <v>7</v>
      </c>
      <c r="Q238" s="27" t="s">
        <v>8</v>
      </c>
      <c r="R238" s="27" t="s">
        <v>7</v>
      </c>
      <c r="S238" s="32" t="s">
        <v>8</v>
      </c>
      <c r="U238" s="32" t="s">
        <v>8</v>
      </c>
      <c r="W238" s="27" t="s">
        <v>8</v>
      </c>
      <c r="Y238" s="27" t="s">
        <v>8</v>
      </c>
      <c r="AA238" s="27" t="s">
        <v>8</v>
      </c>
    </row>
    <row r="239" spans="1:37" x14ac:dyDescent="0.25">
      <c r="A239" s="30">
        <v>8.4718160838080567E-6</v>
      </c>
      <c r="J239" s="27" t="s">
        <v>7</v>
      </c>
      <c r="K239" s="27" t="s">
        <v>8</v>
      </c>
      <c r="L239" s="27" t="s">
        <v>7</v>
      </c>
      <c r="M239" s="27" t="s">
        <v>8</v>
      </c>
      <c r="N239" s="27" t="s">
        <v>7</v>
      </c>
      <c r="O239" s="27" t="s">
        <v>8</v>
      </c>
      <c r="P239" s="27" t="s">
        <v>7</v>
      </c>
      <c r="Q239" s="27" t="s">
        <v>8</v>
      </c>
      <c r="R239" s="27" t="s">
        <v>7</v>
      </c>
      <c r="S239" s="27" t="s">
        <v>8</v>
      </c>
      <c r="T239" s="27" t="s">
        <v>7</v>
      </c>
      <c r="U239" s="27" t="s">
        <v>8</v>
      </c>
      <c r="V239" s="27" t="s">
        <v>7</v>
      </c>
      <c r="W239" s="27" t="s">
        <v>8</v>
      </c>
      <c r="X239" s="27" t="s">
        <v>7</v>
      </c>
      <c r="Y239" s="27" t="s">
        <v>8</v>
      </c>
      <c r="Z239" s="27" t="s">
        <v>7</v>
      </c>
      <c r="AA239" s="27" t="s">
        <v>8</v>
      </c>
    </row>
    <row r="240" spans="1:37" x14ac:dyDescent="0.25">
      <c r="A240" s="30">
        <v>7.6246344754272515E-6</v>
      </c>
      <c r="J240" s="27" t="s">
        <v>7</v>
      </c>
      <c r="K240" s="27" t="s">
        <v>8</v>
      </c>
      <c r="L240" s="27" t="s">
        <v>7</v>
      </c>
      <c r="M240" s="27" t="s">
        <v>8</v>
      </c>
      <c r="N240" s="32" t="s">
        <v>7</v>
      </c>
      <c r="P240" s="32" t="s">
        <v>7</v>
      </c>
      <c r="R240" s="27" t="s">
        <v>7</v>
      </c>
      <c r="S240" s="27" t="s">
        <v>8</v>
      </c>
      <c r="T240" s="27" t="s">
        <v>7</v>
      </c>
      <c r="U240" s="27" t="s">
        <v>8</v>
      </c>
      <c r="V240" s="27" t="s">
        <v>7</v>
      </c>
      <c r="W240" s="27" t="s">
        <v>8</v>
      </c>
      <c r="X240" s="27" t="s">
        <v>7</v>
      </c>
      <c r="Y240" s="27" t="s">
        <v>8</v>
      </c>
      <c r="Z240" s="27" t="s">
        <v>7</v>
      </c>
      <c r="AA240" s="27" t="s">
        <v>8</v>
      </c>
    </row>
    <row r="241" spans="1:26" x14ac:dyDescent="0.25">
      <c r="A241" s="30">
        <v>6.8621710278845262E-6</v>
      </c>
      <c r="J241" s="32" t="s">
        <v>7</v>
      </c>
      <c r="L241" s="32" t="s">
        <v>7</v>
      </c>
      <c r="R241" s="27" t="s">
        <v>7</v>
      </c>
      <c r="S241" s="27" t="s">
        <v>8</v>
      </c>
      <c r="T241" s="27" t="s">
        <v>7</v>
      </c>
      <c r="U241" s="27" t="s">
        <v>8</v>
      </c>
      <c r="V241" s="27" t="s">
        <v>7</v>
      </c>
      <c r="W241" s="27" t="s">
        <v>8</v>
      </c>
      <c r="X241" s="27" t="s">
        <v>7</v>
      </c>
      <c r="Y241" s="27" t="s">
        <v>8</v>
      </c>
      <c r="Z241" s="27" t="s">
        <v>7</v>
      </c>
    </row>
    <row r="242" spans="1:26" x14ac:dyDescent="0.25">
      <c r="A242" s="30">
        <v>6.1759539250960733E-6</v>
      </c>
      <c r="R242" s="27" t="s">
        <v>7</v>
      </c>
      <c r="S242" s="27" t="s">
        <v>8</v>
      </c>
      <c r="T242" s="27" t="s">
        <v>7</v>
      </c>
      <c r="U242" s="27" t="s">
        <v>8</v>
      </c>
      <c r="V242" s="18" t="s">
        <v>7</v>
      </c>
      <c r="X242" s="27" t="s">
        <v>7</v>
      </c>
      <c r="Y242" s="27" t="s">
        <v>8</v>
      </c>
    </row>
    <row r="243" spans="1:26" x14ac:dyDescent="0.25">
      <c r="A243" s="30">
        <v>5.5583585325864661E-6</v>
      </c>
      <c r="R243" s="32" t="s">
        <v>7</v>
      </c>
      <c r="T243" s="32" t="s">
        <v>7</v>
      </c>
      <c r="X243" s="27" t="s">
        <v>7</v>
      </c>
    </row>
    <row r="244" spans="1:26" x14ac:dyDescent="0.25">
      <c r="A244" s="30">
        <v>5.0025226793278193E-6</v>
      </c>
    </row>
    <row r="245" spans="1:26" x14ac:dyDescent="0.25">
      <c r="A245" s="30">
        <v>4.5022704113950371E-6</v>
      </c>
    </row>
    <row r="246" spans="1:26" x14ac:dyDescent="0.25">
      <c r="A246" s="30">
        <v>4.0520433702555336E-6</v>
      </c>
    </row>
    <row r="247" spans="1:26" x14ac:dyDescent="0.25">
      <c r="A247" s="30">
        <v>3.6468390332299805E-6</v>
      </c>
    </row>
    <row r="248" spans="1:26" x14ac:dyDescent="0.25">
      <c r="A248" s="30">
        <v>3.2821551299069824E-6</v>
      </c>
    </row>
    <row r="249" spans="1:26" x14ac:dyDescent="0.25">
      <c r="A249" s="30">
        <v>2.9539396169162842E-6</v>
      </c>
    </row>
    <row r="250" spans="1:26" x14ac:dyDescent="0.25">
      <c r="A250" s="30">
        <v>2.6585456552246558E-6</v>
      </c>
    </row>
    <row r="251" spans="1:26" x14ac:dyDescent="0.25">
      <c r="A251" s="30">
        <v>2.39269108970219E-6</v>
      </c>
    </row>
    <row r="252" spans="1:26" x14ac:dyDescent="0.25">
      <c r="A252" s="30">
        <v>2.1534219807319713E-6</v>
      </c>
    </row>
    <row r="253" spans="1:26" x14ac:dyDescent="0.25">
      <c r="A253" s="30">
        <v>1.9380797826587742E-6</v>
      </c>
    </row>
    <row r="254" spans="1:26" x14ac:dyDescent="0.25">
      <c r="A254" s="30">
        <v>1.7442718043928968E-6</v>
      </c>
    </row>
    <row r="255" spans="1:26" x14ac:dyDescent="0.25">
      <c r="A255" s="30">
        <v>1.5698446239536072E-6</v>
      </c>
    </row>
    <row r="256" spans="1:26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67" operator="equal">
      <formula>$U$1</formula>
    </cfRule>
    <cfRule type="cellIs" dxfId="30" priority="668" operator="equal">
      <formula>$S$1</formula>
    </cfRule>
  </conditionalFormatting>
  <conditionalFormatting sqref="D136">
    <cfRule type="cellIs" dxfId="29" priority="665" operator="equal">
      <formula>$S$1</formula>
    </cfRule>
    <cfRule type="cellIs" dxfId="28" priority="666" operator="equal">
      <formula>$U$1</formula>
    </cfRule>
  </conditionalFormatting>
  <conditionalFormatting sqref="C102">
    <cfRule type="cellIs" dxfId="27" priority="663" operator="equal">
      <formula>$U$1</formula>
    </cfRule>
    <cfRule type="cellIs" dxfId="26" priority="664" operator="equal">
      <formula>$S$1</formula>
    </cfRule>
  </conditionalFormatting>
  <conditionalFormatting sqref="D102">
    <cfRule type="cellIs" dxfId="25" priority="661" operator="equal">
      <formula>$S$1</formula>
    </cfRule>
    <cfRule type="cellIs" dxfId="24" priority="662" operator="equal">
      <formula>$U$1</formula>
    </cfRule>
  </conditionalFormatting>
  <conditionalFormatting sqref="C77">
    <cfRule type="cellIs" dxfId="23" priority="659" operator="equal">
      <formula>$U$1</formula>
    </cfRule>
    <cfRule type="cellIs" dxfId="22" priority="660" operator="equal">
      <formula>$S$1</formula>
    </cfRule>
  </conditionalFormatting>
  <conditionalFormatting sqref="D77">
    <cfRule type="cellIs" dxfId="21" priority="657" operator="equal">
      <formula>$S$1</formula>
    </cfRule>
    <cfRule type="cellIs" dxfId="20" priority="658" operator="equal">
      <formula>$U$1</formula>
    </cfRule>
  </conditionalFormatting>
  <conditionalFormatting sqref="C52">
    <cfRule type="cellIs" dxfId="19" priority="655" operator="equal">
      <formula>$U$1</formula>
    </cfRule>
    <cfRule type="cellIs" dxfId="18" priority="656" operator="equal">
      <formula>$S$1</formula>
    </cfRule>
  </conditionalFormatting>
  <conditionalFormatting sqref="D52">
    <cfRule type="cellIs" dxfId="17" priority="653" operator="equal">
      <formula>$S$1</formula>
    </cfRule>
    <cfRule type="cellIs" dxfId="16" priority="654" operator="equal">
      <formula>$U$1</formula>
    </cfRule>
  </conditionalFormatting>
  <conditionalFormatting sqref="C26">
    <cfRule type="cellIs" dxfId="15" priority="651" operator="equal">
      <formula>$U$1</formula>
    </cfRule>
    <cfRule type="cellIs" dxfId="14" priority="652" operator="equal">
      <formula>$S$1</formula>
    </cfRule>
  </conditionalFormatting>
  <conditionalFormatting sqref="D26">
    <cfRule type="cellIs" dxfId="13" priority="649" operator="equal">
      <formula>$S$1</formula>
    </cfRule>
    <cfRule type="cellIs" dxfId="12" priority="65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H3" sqref="H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7" width="8.7109375" style="1" customWidth="1"/>
    <col min="8" max="8" width="26.85546875" style="1" customWidth="1"/>
    <col min="9" max="35" width="8.7109375" style="1" customWidth="1"/>
  </cols>
  <sheetData>
    <row r="1" spans="1:35" x14ac:dyDescent="0.25">
      <c r="A1" s="1" t="s">
        <v>16</v>
      </c>
      <c r="B1" s="37" t="s">
        <v>17</v>
      </c>
      <c r="C1" s="37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5.7861936628466423E-6</v>
      </c>
      <c r="F3" s="30">
        <v>7.4778188275627361E-6</v>
      </c>
      <c r="G3" s="30">
        <v>9.1807998128470321E-6</v>
      </c>
      <c r="H3" s="35">
        <f>IF(G3="","",(3*(G3-F3))+E3)</f>
        <v>1.0895136618699531E-5</v>
      </c>
      <c r="I3" s="7"/>
      <c r="J3" s="7">
        <f>(E3+G3)/2</f>
        <v>7.4834967378468372E-6</v>
      </c>
      <c r="K3" s="7">
        <f>H3/2</f>
        <v>5.4475683093497656E-6</v>
      </c>
      <c r="M3" s="26">
        <f>IF(OR(J3="",H3=""),"",H3/J3)</f>
        <v>1.4558884703722468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2022-01-28T01:21:13Z</dcterms:modified>
</cp:coreProperties>
</file>