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E5185CD8-F069-4133-BD4A-9968830F388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16" i="5"/>
  <c r="C118" i="4"/>
  <c r="C116" i="4"/>
  <c r="R765" i="1"/>
  <c r="S765" i="1" s="1"/>
  <c r="T765" i="1" s="1"/>
  <c r="D136" i="5"/>
  <c r="C136" i="5"/>
  <c r="C136" i="4"/>
  <c r="D136" i="4"/>
  <c r="C116" i="3"/>
  <c r="C122" i="3"/>
  <c r="C133" i="3" s="1"/>
  <c r="C136" i="3" s="1"/>
  <c r="R764" i="1" l="1"/>
  <c r="C138" i="5"/>
  <c r="C138" i="4"/>
  <c r="D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S348" i="1" l="1"/>
  <c r="T348" i="1" s="1"/>
  <c r="R347" i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S343" i="1" l="1"/>
  <c r="T343" i="1" s="1"/>
  <c r="R342" i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S332" i="1" l="1"/>
  <c r="T332" i="1" s="1"/>
  <c r="R331" i="1"/>
  <c r="S331" i="1" l="1"/>
  <c r="T331" i="1" s="1"/>
  <c r="R330" i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S324" i="1" l="1"/>
  <c r="T324" i="1" s="1"/>
  <c r="R323" i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S319" i="1" l="1"/>
  <c r="T319" i="1" s="1"/>
  <c r="R318" i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S300" i="1" l="1"/>
  <c r="T300" i="1" s="1"/>
  <c r="R299" i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S295" i="1" l="1"/>
  <c r="T295" i="1" s="1"/>
  <c r="R294" i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<sst xmlns="http://schemas.openxmlformats.org/spreadsheetml/2006/main" count="2620" uniqueCount="34">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</sst>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0.43619999999999998</c:v>
                </c:pt>
                <c:pt idx="1">
                  <c:v>0.44629999999999997</c:v>
                </c:pt>
                <c:pt idx="2">
                  <c:v>0.4415</c:v>
                </c:pt>
                <c:pt idx="3">
                  <c:v>0.44769999999999999</c:v>
                </c:pt>
                <c:pt idx="4">
                  <c:v>0.46870000000000001</c:v>
                </c:pt>
                <c:pt idx="5">
                  <c:v>0.4577</c:v>
                </c:pt>
                <c:pt idx="6">
                  <c:v>0.50249999999999995</c:v>
                </c:pt>
                <c:pt idx="7">
                  <c:v>0.56820000000000004</c:v>
                </c:pt>
                <c:pt idx="8">
                  <c:v>0.58420000000000005</c:v>
                </c:pt>
                <c:pt idx="9">
                  <c:v>0.60570000000000002</c:v>
                </c:pt>
                <c:pt idx="10">
                  <c:v>0.61650000000000005</c:v>
                </c:pt>
                <c:pt idx="11">
                  <c:v>0.64349999999999996</c:v>
                </c:pt>
                <c:pt idx="12">
                  <c:v>0.64359999999999995</c:v>
                </c:pt>
                <c:pt idx="13">
                  <c:v>0.64459999999999995</c:v>
                </c:pt>
                <c:pt idx="14">
                  <c:v>0.64470000000000005</c:v>
                </c:pt>
                <c:pt idx="15">
                  <c:v>0.68240000000000001</c:v>
                </c:pt>
                <c:pt idx="16">
                  <c:v>0.6159</c:v>
                </c:pt>
                <c:pt idx="17">
                  <c:v>0.59660000000000002</c:v>
                </c:pt>
                <c:pt idx="18">
                  <c:v>0.63139999999999996</c:v>
                </c:pt>
                <c:pt idx="19">
                  <c:v>0.61829999999999996</c:v>
                </c:pt>
                <c:pt idx="20">
                  <c:v>0.64800000000000002</c:v>
                </c:pt>
                <c:pt idx="21">
                  <c:v>0.67610000000000003</c:v>
                </c:pt>
                <c:pt idx="22">
                  <c:v>0.6845</c:v>
                </c:pt>
                <c:pt idx="23">
                  <c:v>0.7349</c:v>
                </c:pt>
                <c:pt idx="24">
                  <c:v>0.74850000000000005</c:v>
                </c:pt>
                <c:pt idx="25">
                  <c:v>0.77159999999999995</c:v>
                </c:pt>
                <c:pt idx="26">
                  <c:v>0.75639999999999996</c:v>
                </c:pt>
                <c:pt idx="27">
                  <c:v>0.74099999999999999</c:v>
                </c:pt>
                <c:pt idx="28">
                  <c:v>0.75680000000000003</c:v>
                </c:pt>
                <c:pt idx="29">
                  <c:v>0.73660000000000003</c:v>
                </c:pt>
                <c:pt idx="30">
                  <c:v>0.74170000000000003</c:v>
                </c:pt>
                <c:pt idx="31">
                  <c:v>0.81569999999999998</c:v>
                </c:pt>
                <c:pt idx="32">
                  <c:v>0.82399999999999995</c:v>
                </c:pt>
                <c:pt idx="33">
                  <c:v>0.82230000000000003</c:v>
                </c:pt>
                <c:pt idx="34">
                  <c:v>0.7833</c:v>
                </c:pt>
                <c:pt idx="35">
                  <c:v>0.80149999999999999</c:v>
                </c:pt>
                <c:pt idx="36">
                  <c:v>0.74270000000000003</c:v>
                </c:pt>
                <c:pt idx="37">
                  <c:v>0.73939999999999995</c:v>
                </c:pt>
                <c:pt idx="38">
                  <c:v>0.71840000000000004</c:v>
                </c:pt>
                <c:pt idx="39">
                  <c:v>0.73309999999999997</c:v>
                </c:pt>
                <c:pt idx="40">
                  <c:v>0.7218</c:v>
                </c:pt>
                <c:pt idx="41">
                  <c:v>0.70709999999999995</c:v>
                </c:pt>
                <c:pt idx="42">
                  <c:v>0.72560000000000002</c:v>
                </c:pt>
                <c:pt idx="43">
                  <c:v>0.74319999999999997</c:v>
                </c:pt>
                <c:pt idx="44">
                  <c:v>0.73280000000000001</c:v>
                </c:pt>
                <c:pt idx="45">
                  <c:v>0.74939999999999996</c:v>
                </c:pt>
                <c:pt idx="46">
                  <c:v>0.75290000000000001</c:v>
                </c:pt>
                <c:pt idx="47">
                  <c:v>0.73939999999999995</c:v>
                </c:pt>
                <c:pt idx="48">
                  <c:v>0.73150000000000004</c:v>
                </c:pt>
                <c:pt idx="49">
                  <c:v>0.74619999999999997</c:v>
                </c:pt>
                <c:pt idx="50">
                  <c:v>0.80620000000000003</c:v>
                </c:pt>
                <c:pt idx="51">
                  <c:v>0.79659999999999997</c:v>
                </c:pt>
                <c:pt idx="52">
                  <c:v>0.77990000000000004</c:v>
                </c:pt>
                <c:pt idx="53">
                  <c:v>0.76759999999999995</c:v>
                </c:pt>
                <c:pt idx="54">
                  <c:v>0.7964</c:v>
                </c:pt>
                <c:pt idx="55">
                  <c:v>0.84819999999999995</c:v>
                </c:pt>
                <c:pt idx="56">
                  <c:v>0.88759999999999994</c:v>
                </c:pt>
                <c:pt idx="57">
                  <c:v>0.9486</c:v>
                </c:pt>
                <c:pt idx="58">
                  <c:v>0.90639999999999998</c:v>
                </c:pt>
                <c:pt idx="59">
                  <c:v>0.92510000000000003</c:v>
                </c:pt>
                <c:pt idx="60">
                  <c:v>0.92859999999999998</c:v>
                </c:pt>
                <c:pt idx="61">
                  <c:v>0.99209999999999998</c:v>
                </c:pt>
                <c:pt idx="62">
                  <c:v>0.79369999999999996</c:v>
                </c:pt>
                <c:pt idx="63">
                  <c:v>0.83309999999999995</c:v>
                </c:pt>
                <c:pt idx="64">
                  <c:v>0.82640000000000002</c:v>
                </c:pt>
                <c:pt idx="65">
                  <c:v>0.84689999999999999</c:v>
                </c:pt>
                <c:pt idx="66">
                  <c:v>0.83520000000000005</c:v>
                </c:pt>
                <c:pt idx="67">
                  <c:v>0.88819999999999999</c:v>
                </c:pt>
                <c:pt idx="68">
                  <c:v>0.89880000000000004</c:v>
                </c:pt>
                <c:pt idx="69">
                  <c:v>0.84609999999999996</c:v>
                </c:pt>
                <c:pt idx="70">
                  <c:v>0.81030000000000002</c:v>
                </c:pt>
                <c:pt idx="71">
                  <c:v>0.89780000000000004</c:v>
                </c:pt>
                <c:pt idx="72">
                  <c:v>0.88290000000000002</c:v>
                </c:pt>
                <c:pt idx="73">
                  <c:v>0.95989999999999998</c:v>
                </c:pt>
                <c:pt idx="74">
                  <c:v>1.0390999999999999</c:v>
                </c:pt>
                <c:pt idx="75">
                  <c:v>1.1200000000000001</c:v>
                </c:pt>
                <c:pt idx="76">
                  <c:v>0.85729999999999995</c:v>
                </c:pt>
                <c:pt idx="77">
                  <c:v>0.86950000000000005</c:v>
                </c:pt>
                <c:pt idx="78">
                  <c:v>0.85370000000000001</c:v>
                </c:pt>
                <c:pt idx="79">
                  <c:v>0.89680000000000004</c:v>
                </c:pt>
                <c:pt idx="80">
                  <c:v>0.91600000000000004</c:v>
                </c:pt>
                <c:pt idx="81">
                  <c:v>0.91910000000000003</c:v>
                </c:pt>
                <c:pt idx="82">
                  <c:v>0.93140000000000001</c:v>
                </c:pt>
                <c:pt idx="83">
                  <c:v>0.91669999999999996</c:v>
                </c:pt>
                <c:pt idx="84">
                  <c:v>0.94640000000000002</c:v>
                </c:pt>
                <c:pt idx="85">
                  <c:v>0.91300000000000003</c:v>
                </c:pt>
                <c:pt idx="86">
                  <c:v>0.93430000000000002</c:v>
                </c:pt>
                <c:pt idx="87">
                  <c:v>0.90900000000000003</c:v>
                </c:pt>
                <c:pt idx="88">
                  <c:v>0.93520000000000003</c:v>
                </c:pt>
                <c:pt idx="89">
                  <c:v>0.98309999999999997</c:v>
                </c:pt>
                <c:pt idx="90">
                  <c:v>0.94369999999999998</c:v>
                </c:pt>
                <c:pt idx="91">
                  <c:v>0.95760000000000001</c:v>
                </c:pt>
                <c:pt idx="92">
                  <c:v>0.93169999999999997</c:v>
                </c:pt>
                <c:pt idx="93">
                  <c:v>1.1091</c:v>
                </c:pt>
                <c:pt idx="94">
                  <c:v>1.1180000000000001</c:v>
                </c:pt>
                <c:pt idx="95">
                  <c:v>1.101</c:v>
                </c:pt>
                <c:pt idx="96">
                  <c:v>1.1527000000000001</c:v>
                </c:pt>
                <c:pt idx="97">
                  <c:v>1.1245000000000001</c:v>
                </c:pt>
                <c:pt idx="98">
                  <c:v>1.1478999999999999</c:v>
                </c:pt>
                <c:pt idx="99">
                  <c:v>1.1840999999999999</c:v>
                </c:pt>
                <c:pt idx="100">
                  <c:v>1.2199</c:v>
                </c:pt>
                <c:pt idx="101">
                  <c:v>1.3169</c:v>
                </c:pt>
                <c:pt idx="102">
                  <c:v>1.4845999999999999</c:v>
                </c:pt>
                <c:pt idx="103">
                  <c:v>1.5685</c:v>
                </c:pt>
                <c:pt idx="104">
                  <c:v>1.389</c:v>
                </c:pt>
                <c:pt idx="105">
                  <c:v>0.29449999999999998</c:v>
                </c:pt>
                <c:pt idx="106">
                  <c:v>0.29020000000000001</c:v>
                </c:pt>
                <c:pt idx="107">
                  <c:v>0.28599999999999998</c:v>
                </c:pt>
                <c:pt idx="108">
                  <c:v>0.29649999999999999</c:v>
                </c:pt>
                <c:pt idx="109">
                  <c:v>0.28799999999999998</c:v>
                </c:pt>
                <c:pt idx="110">
                  <c:v>0.3175</c:v>
                </c:pt>
                <c:pt idx="111">
                  <c:v>0.30959999999999999</c:v>
                </c:pt>
                <c:pt idx="112">
                  <c:v>0.30880000000000002</c:v>
                </c:pt>
                <c:pt idx="113">
                  <c:v>0.31440000000000001</c:v>
                </c:pt>
                <c:pt idx="114">
                  <c:v>0.31719999999999998</c:v>
                </c:pt>
                <c:pt idx="115">
                  <c:v>0.30740000000000001</c:v>
                </c:pt>
                <c:pt idx="116">
                  <c:v>0.29980000000000001</c:v>
                </c:pt>
                <c:pt idx="117">
                  <c:v>0.30309999999999998</c:v>
                </c:pt>
                <c:pt idx="118">
                  <c:v>0.29320000000000002</c:v>
                </c:pt>
                <c:pt idx="119">
                  <c:v>0.27200000000000002</c:v>
                </c:pt>
                <c:pt idx="120">
                  <c:v>0.26079999999999998</c:v>
                </c:pt>
                <c:pt idx="121">
                  <c:v>0.25919999999999999</c:v>
                </c:pt>
                <c:pt idx="122">
                  <c:v>0.26050000000000001</c:v>
                </c:pt>
                <c:pt idx="123">
                  <c:v>0.27460000000000001</c:v>
                </c:pt>
                <c:pt idx="124">
                  <c:v>0.29289999999999999</c:v>
                </c:pt>
                <c:pt idx="125">
                  <c:v>0.27750000000000002</c:v>
                </c:pt>
                <c:pt idx="126">
                  <c:v>0.29509999999999997</c:v>
                </c:pt>
                <c:pt idx="127">
                  <c:v>0.29099999999999998</c:v>
                </c:pt>
                <c:pt idx="128">
                  <c:v>0.25640000000000002</c:v>
                </c:pt>
                <c:pt idx="129">
                  <c:v>0.29220000000000002</c:v>
                </c:pt>
                <c:pt idx="130">
                  <c:v>0.3251</c:v>
                </c:pt>
                <c:pt idx="131">
                  <c:v>0.33229999999999998</c:v>
                </c:pt>
                <c:pt idx="132">
                  <c:v>0.32319999999999999</c:v>
                </c:pt>
                <c:pt idx="133">
                  <c:v>0.32790000000000002</c:v>
                </c:pt>
                <c:pt idx="134">
                  <c:v>0.3412</c:v>
                </c:pt>
                <c:pt idx="135">
                  <c:v>0.31540000000000001</c:v>
                </c:pt>
                <c:pt idx="136">
                  <c:v>0.313</c:v>
                </c:pt>
                <c:pt idx="137">
                  <c:v>0.32440000000000002</c:v>
                </c:pt>
                <c:pt idx="138">
                  <c:v>0.31690000000000002</c:v>
                </c:pt>
                <c:pt idx="139">
                  <c:v>0.30759999999999998</c:v>
                </c:pt>
                <c:pt idx="140">
                  <c:v>0.33579999999999999</c:v>
                </c:pt>
                <c:pt idx="141">
                  <c:v>0.33360000000000001</c:v>
                </c:pt>
                <c:pt idx="142">
                  <c:v>0.34970000000000001</c:v>
                </c:pt>
                <c:pt idx="143">
                  <c:v>0.47699999999999998</c:v>
                </c:pt>
                <c:pt idx="144">
                  <c:v>0.33910000000000001</c:v>
                </c:pt>
                <c:pt idx="145">
                  <c:v>0.33650000000000002</c:v>
                </c:pt>
                <c:pt idx="146">
                  <c:v>0.33260000000000001</c:v>
                </c:pt>
                <c:pt idx="147">
                  <c:v>0.32569999999999999</c:v>
                </c:pt>
                <c:pt idx="148">
                  <c:v>0.33160000000000001</c:v>
                </c:pt>
                <c:pt idx="149">
                  <c:v>0.32029999999999997</c:v>
                </c:pt>
                <c:pt idx="150">
                  <c:v>0.32700000000000001</c:v>
                </c:pt>
                <c:pt idx="151">
                  <c:v>0.31269999999999998</c:v>
                </c:pt>
                <c:pt idx="152">
                  <c:v>0.30080000000000001</c:v>
                </c:pt>
                <c:pt idx="153">
                  <c:v>0.30930000000000002</c:v>
                </c:pt>
                <c:pt idx="154">
                  <c:v>0.28489999999999999</c:v>
                </c:pt>
                <c:pt idx="155">
                  <c:v>0.30730000000000002</c:v>
                </c:pt>
                <c:pt idx="156">
                  <c:v>0.3004</c:v>
                </c:pt>
                <c:pt idx="157">
                  <c:v>0.32729999999999998</c:v>
                </c:pt>
                <c:pt idx="158">
                  <c:v>0.30320000000000003</c:v>
                </c:pt>
                <c:pt idx="159">
                  <c:v>0.30199999999999999</c:v>
                </c:pt>
                <c:pt idx="160">
                  <c:v>0.31240000000000001</c:v>
                </c:pt>
                <c:pt idx="161">
                  <c:v>0.29049999999999998</c:v>
                </c:pt>
                <c:pt idx="162">
                  <c:v>0.2823</c:v>
                </c:pt>
                <c:pt idx="163">
                  <c:v>0.2702</c:v>
                </c:pt>
                <c:pt idx="164">
                  <c:v>0.28539999999999999</c:v>
                </c:pt>
                <c:pt idx="165">
                  <c:v>0.30630000000000002</c:v>
                </c:pt>
                <c:pt idx="166">
                  <c:v>0.28839999999999999</c:v>
                </c:pt>
                <c:pt idx="167">
                  <c:v>0.29649999999999999</c:v>
                </c:pt>
                <c:pt idx="168">
                  <c:v>0.26219999999999999</c:v>
                </c:pt>
                <c:pt idx="169">
                  <c:v>0.27229999999999999</c:v>
                </c:pt>
                <c:pt idx="170">
                  <c:v>0.2717</c:v>
                </c:pt>
                <c:pt idx="171">
                  <c:v>0.27960000000000002</c:v>
                </c:pt>
                <c:pt idx="172">
                  <c:v>0.2356</c:v>
                </c:pt>
                <c:pt idx="173">
                  <c:v>0.25490000000000002</c:v>
                </c:pt>
                <c:pt idx="174">
                  <c:v>0.2414</c:v>
                </c:pt>
                <c:pt idx="175">
                  <c:v>0.2349</c:v>
                </c:pt>
                <c:pt idx="176">
                  <c:v>0.2208</c:v>
                </c:pt>
                <c:pt idx="177">
                  <c:v>0.21340000000000001</c:v>
                </c:pt>
                <c:pt idx="178">
                  <c:v>0.22020000000000001</c:v>
                </c:pt>
                <c:pt idx="179">
                  <c:v>0.21790000000000001</c:v>
                </c:pt>
                <c:pt idx="180">
                  <c:v>0.23269999999999999</c:v>
                </c:pt>
                <c:pt idx="181">
                  <c:v>0.2215</c:v>
                </c:pt>
                <c:pt idx="182">
                  <c:v>0.21160000000000001</c:v>
                </c:pt>
                <c:pt idx="183">
                  <c:v>0.2094</c:v>
                </c:pt>
                <c:pt idx="184">
                  <c:v>0.20799999999999999</c:v>
                </c:pt>
                <c:pt idx="185">
                  <c:v>0.20230000000000001</c:v>
                </c:pt>
                <c:pt idx="186">
                  <c:v>0.20469999999999999</c:v>
                </c:pt>
                <c:pt idx="187">
                  <c:v>0.20119999999999999</c:v>
                </c:pt>
                <c:pt idx="188">
                  <c:v>0.19489999999999999</c:v>
                </c:pt>
                <c:pt idx="189">
                  <c:v>0.192</c:v>
                </c:pt>
                <c:pt idx="190">
                  <c:v>0.19120000000000001</c:v>
                </c:pt>
                <c:pt idx="191">
                  <c:v>0.17680000000000001</c:v>
                </c:pt>
                <c:pt idx="192">
                  <c:v>0.19189999999999999</c:v>
                </c:pt>
                <c:pt idx="193">
                  <c:v>0.20319999999999999</c:v>
                </c:pt>
                <c:pt idx="194">
                  <c:v>0.20619999999999999</c:v>
                </c:pt>
                <c:pt idx="195">
                  <c:v>0.2054</c:v>
                </c:pt>
                <c:pt idx="196">
                  <c:v>0.21329999999999999</c:v>
                </c:pt>
                <c:pt idx="197">
                  <c:v>0.2228</c:v>
                </c:pt>
                <c:pt idx="198">
                  <c:v>0.22700000000000001</c:v>
                </c:pt>
                <c:pt idx="199">
                  <c:v>0.23069999999999999</c:v>
                </c:pt>
                <c:pt idx="200">
                  <c:v>0.2366</c:v>
                </c:pt>
                <c:pt idx="201">
                  <c:v>0.2316</c:v>
                </c:pt>
                <c:pt idx="202">
                  <c:v>0.23910000000000001</c:v>
                </c:pt>
                <c:pt idx="203">
                  <c:v>0.2402</c:v>
                </c:pt>
                <c:pt idx="204">
                  <c:v>0.25359999999999999</c:v>
                </c:pt>
                <c:pt idx="205">
                  <c:v>0.26090000000000002</c:v>
                </c:pt>
                <c:pt idx="206">
                  <c:v>0.23749999999999999</c:v>
                </c:pt>
                <c:pt idx="207">
                  <c:v>0.245</c:v>
                </c:pt>
                <c:pt idx="208">
                  <c:v>0.2336</c:v>
                </c:pt>
                <c:pt idx="209">
                  <c:v>0.23599999999999999</c:v>
                </c:pt>
                <c:pt idx="210">
                  <c:v>0.22789999999999999</c:v>
                </c:pt>
                <c:pt idx="211">
                  <c:v>0.2339</c:v>
                </c:pt>
                <c:pt idx="212">
                  <c:v>0.2389</c:v>
                </c:pt>
                <c:pt idx="213">
                  <c:v>0.2329</c:v>
                </c:pt>
                <c:pt idx="214">
                  <c:v>0.23250000000000001</c:v>
                </c:pt>
                <c:pt idx="215">
                  <c:v>0.2223</c:v>
                </c:pt>
                <c:pt idx="216">
                  <c:v>0.21179999999999999</c:v>
                </c:pt>
                <c:pt idx="217">
                  <c:v>0.2303</c:v>
                </c:pt>
                <c:pt idx="218">
                  <c:v>0.2331</c:v>
                </c:pt>
                <c:pt idx="219">
                  <c:v>0.2142</c:v>
                </c:pt>
                <c:pt idx="220">
                  <c:v>0.2296</c:v>
                </c:pt>
                <c:pt idx="221">
                  <c:v>0.28010000000000002</c:v>
                </c:pt>
                <c:pt idx="222">
                  <c:v>0.28349999999999997</c:v>
                </c:pt>
                <c:pt idx="223">
                  <c:v>0.29249999999999998</c:v>
                </c:pt>
                <c:pt idx="224">
                  <c:v>0.3327</c:v>
                </c:pt>
                <c:pt idx="225">
                  <c:v>0.27750000000000002</c:v>
                </c:pt>
                <c:pt idx="226">
                  <c:v>0.30009999999999998</c:v>
                </c:pt>
                <c:pt idx="227">
                  <c:v>0.312</c:v>
                </c:pt>
                <c:pt idx="228">
                  <c:v>0.30969999999999998</c:v>
                </c:pt>
                <c:pt idx="229">
                  <c:v>0.31069999999999998</c:v>
                </c:pt>
                <c:pt idx="230">
                  <c:v>0.27339999999999998</c:v>
                </c:pt>
                <c:pt idx="231">
                  <c:v>0.3014</c:v>
                </c:pt>
                <c:pt idx="232">
                  <c:v>0.33460000000000001</c:v>
                </c:pt>
                <c:pt idx="233">
                  <c:v>0.3614</c:v>
                </c:pt>
                <c:pt idx="234">
                  <c:v>0.31830000000000003</c:v>
                </c:pt>
                <c:pt idx="235">
                  <c:v>0.36409999999999998</c:v>
                </c:pt>
                <c:pt idx="236">
                  <c:v>0.3805</c:v>
                </c:pt>
                <c:pt idx="237">
                  <c:v>0.4546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B-4029-BF96-CB81BE00F09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-14.301933341568258</c:v>
                </c:pt>
                <c:pt idx="1">
                  <c:v>-14.299392067756102</c:v>
                </c:pt>
                <c:pt idx="2">
                  <c:v>-14.281575109258078</c:v>
                </c:pt>
                <c:pt idx="3">
                  <c:v>-14.3016645064803</c:v>
                </c:pt>
                <c:pt idx="4">
                  <c:v>-14.33664844720195</c:v>
                </c:pt>
                <c:pt idx="5">
                  <c:v>-14.367389648962515</c:v>
                </c:pt>
                <c:pt idx="6">
                  <c:v>-14.354457013283389</c:v>
                </c:pt>
                <c:pt idx="7">
                  <c:v>-14.286401103446748</c:v>
                </c:pt>
                <c:pt idx="8">
                  <c:v>-14.233951510134647</c:v>
                </c:pt>
                <c:pt idx="9">
                  <c:v>-14.21850000463006</c:v>
                </c:pt>
                <c:pt idx="10">
                  <c:v>-14.218566461934135</c:v>
                </c:pt>
                <c:pt idx="11">
                  <c:v>-14.200349703918048</c:v>
                </c:pt>
                <c:pt idx="12">
                  <c:v>-14.224580999227785</c:v>
                </c:pt>
                <c:pt idx="13">
                  <c:v>-14.226782462977784</c:v>
                </c:pt>
                <c:pt idx="14">
                  <c:v>-14.25472050581911</c:v>
                </c:pt>
                <c:pt idx="15">
                  <c:v>-14.210989816868363</c:v>
                </c:pt>
                <c:pt idx="16">
                  <c:v>-14.3105893058731</c:v>
                </c:pt>
                <c:pt idx="17">
                  <c:v>-14.331437900308247</c:v>
                </c:pt>
                <c:pt idx="18">
                  <c:v>-14.329809599449595</c:v>
                </c:pt>
                <c:pt idx="19">
                  <c:v>-14.341498644805631</c:v>
                </c:pt>
                <c:pt idx="20">
                  <c:v>-14.325196150068788</c:v>
                </c:pt>
                <c:pt idx="21">
                  <c:v>-14.321513905284617</c:v>
                </c:pt>
                <c:pt idx="22">
                  <c:v>-14.339699641994857</c:v>
                </c:pt>
                <c:pt idx="23">
                  <c:v>-14.310157633846709</c:v>
                </c:pt>
                <c:pt idx="24">
                  <c:v>-14.290131591555042</c:v>
                </c:pt>
                <c:pt idx="25">
                  <c:v>-14.236825621555043</c:v>
                </c:pt>
                <c:pt idx="26">
                  <c:v>-14.207302217367316</c:v>
                </c:pt>
                <c:pt idx="27">
                  <c:v>-14.23654238378592</c:v>
                </c:pt>
                <c:pt idx="28">
                  <c:v>-14.216564289668275</c:v>
                </c:pt>
                <c:pt idx="29">
                  <c:v>-14.247717511808013</c:v>
                </c:pt>
                <c:pt idx="30">
                  <c:v>-14.209592732982181</c:v>
                </c:pt>
                <c:pt idx="31">
                  <c:v>-14.144225781392938</c:v>
                </c:pt>
                <c:pt idx="32">
                  <c:v>-14.098972659945572</c:v>
                </c:pt>
                <c:pt idx="33">
                  <c:v>-14.137772551374143</c:v>
                </c:pt>
                <c:pt idx="34">
                  <c:v>-14.206891563474143</c:v>
                </c:pt>
                <c:pt idx="35">
                  <c:v>-14.156059765849143</c:v>
                </c:pt>
                <c:pt idx="36">
                  <c:v>-14.231963723645752</c:v>
                </c:pt>
                <c:pt idx="37">
                  <c:v>-14.22226737904575</c:v>
                </c:pt>
                <c:pt idx="38">
                  <c:v>-14.254767501902895</c:v>
                </c:pt>
                <c:pt idx="39">
                  <c:v>-14.246968654379264</c:v>
                </c:pt>
                <c:pt idx="40">
                  <c:v>-14.141250591576236</c:v>
                </c:pt>
                <c:pt idx="41">
                  <c:v>-14.155081622704639</c:v>
                </c:pt>
                <c:pt idx="42">
                  <c:v>-14.13032225415118</c:v>
                </c:pt>
                <c:pt idx="43">
                  <c:v>-14.09172005415118</c:v>
                </c:pt>
                <c:pt idx="44">
                  <c:v>-14.171558444658938</c:v>
                </c:pt>
                <c:pt idx="45">
                  <c:v>-14.170035494708689</c:v>
                </c:pt>
                <c:pt idx="46">
                  <c:v>-14.030608833030605</c:v>
                </c:pt>
                <c:pt idx="47">
                  <c:v>-14.061326051265899</c:v>
                </c:pt>
                <c:pt idx="48">
                  <c:v>-14.063368126804361</c:v>
                </c:pt>
                <c:pt idx="49">
                  <c:v>-14.020381614971416</c:v>
                </c:pt>
                <c:pt idx="50">
                  <c:v>-13.960357526623589</c:v>
                </c:pt>
                <c:pt idx="51">
                  <c:v>-14.065795726977573</c:v>
                </c:pt>
                <c:pt idx="52">
                  <c:v>-14.094754341092516</c:v>
                </c:pt>
                <c:pt idx="53">
                  <c:v>-14.226226123059041</c:v>
                </c:pt>
                <c:pt idx="54">
                  <c:v>-14.20821490152963</c:v>
                </c:pt>
                <c:pt idx="55">
                  <c:v>-14.282142366261015</c:v>
                </c:pt>
                <c:pt idx="56">
                  <c:v>-14.252698186280451</c:v>
                </c:pt>
                <c:pt idx="57">
                  <c:v>-14.229019331746885</c:v>
                </c:pt>
                <c:pt idx="58">
                  <c:v>-14.250132350434143</c:v>
                </c:pt>
                <c:pt idx="59">
                  <c:v>-14.290759335416006</c:v>
                </c:pt>
                <c:pt idx="60">
                  <c:v>-14.200547611224389</c:v>
                </c:pt>
                <c:pt idx="61">
                  <c:v>-13.599953009769703</c:v>
                </c:pt>
                <c:pt idx="62">
                  <c:v>-12.835680154561672</c:v>
                </c:pt>
                <c:pt idx="63">
                  <c:v>-12.734588606046966</c:v>
                </c:pt>
                <c:pt idx="64">
                  <c:v>-12.777228113818394</c:v>
                </c:pt>
                <c:pt idx="65">
                  <c:v>-12.755444242814674</c:v>
                </c:pt>
                <c:pt idx="66">
                  <c:v>-12.809304486118442</c:v>
                </c:pt>
                <c:pt idx="67">
                  <c:v>-12.757885429666828</c:v>
                </c:pt>
                <c:pt idx="68">
                  <c:v>-12.55548545299456</c:v>
                </c:pt>
                <c:pt idx="69">
                  <c:v>-12.492584238491299</c:v>
                </c:pt>
                <c:pt idx="70">
                  <c:v>-12.606776981659001</c:v>
                </c:pt>
                <c:pt idx="71">
                  <c:v>-12.477479781078447</c:v>
                </c:pt>
                <c:pt idx="72">
                  <c:v>-12.554167097675743</c:v>
                </c:pt>
                <c:pt idx="73">
                  <c:v>-12.524116221868377</c:v>
                </c:pt>
                <c:pt idx="74">
                  <c:v>-12.22135016699473</c:v>
                </c:pt>
                <c:pt idx="75">
                  <c:v>-10.780624831046485</c:v>
                </c:pt>
                <c:pt idx="76">
                  <c:v>-10.902312728564002</c:v>
                </c:pt>
                <c:pt idx="77">
                  <c:v>-10.911817379547609</c:v>
                </c:pt>
                <c:pt idx="78">
                  <c:v>-10.935608383519664</c:v>
                </c:pt>
                <c:pt idx="79">
                  <c:v>-10.906759468020773</c:v>
                </c:pt>
                <c:pt idx="80">
                  <c:v>-10.86084336028131</c:v>
                </c:pt>
                <c:pt idx="81">
                  <c:v>-10.884178202576392</c:v>
                </c:pt>
                <c:pt idx="82">
                  <c:v>-10.876137394216263</c:v>
                </c:pt>
                <c:pt idx="83">
                  <c:v>-10.908600114824372</c:v>
                </c:pt>
                <c:pt idx="84">
                  <c:v>-10.853900507197251</c:v>
                </c:pt>
                <c:pt idx="85">
                  <c:v>-10.889086025014064</c:v>
                </c:pt>
                <c:pt idx="86">
                  <c:v>-10.906269571968538</c:v>
                </c:pt>
                <c:pt idx="87">
                  <c:v>-11.002377524072099</c:v>
                </c:pt>
                <c:pt idx="88">
                  <c:v>-11.038454206611782</c:v>
                </c:pt>
                <c:pt idx="89">
                  <c:v>-10.96131416965984</c:v>
                </c:pt>
                <c:pt idx="90">
                  <c:v>-10.519873165431004</c:v>
                </c:pt>
                <c:pt idx="91">
                  <c:v>-10.490120379270667</c:v>
                </c:pt>
                <c:pt idx="92">
                  <c:v>-10.693148949245222</c:v>
                </c:pt>
                <c:pt idx="93">
                  <c:v>-10.437715850509367</c:v>
                </c:pt>
                <c:pt idx="94">
                  <c:v>-10.335029139680262</c:v>
                </c:pt>
                <c:pt idx="95">
                  <c:v>-10.40133956541486</c:v>
                </c:pt>
                <c:pt idx="96">
                  <c:v>-10.35477922172333</c:v>
                </c:pt>
                <c:pt idx="97">
                  <c:v>-10.400750228552599</c:v>
                </c:pt>
                <c:pt idx="98">
                  <c:v>-10.346814288871505</c:v>
                </c:pt>
                <c:pt idx="99">
                  <c:v>-10.105188886567545</c:v>
                </c:pt>
                <c:pt idx="100">
                  <c:v>-10.220600999678084</c:v>
                </c:pt>
                <c:pt idx="101">
                  <c:v>-9.9586619433199726</c:v>
                </c:pt>
                <c:pt idx="102">
                  <c:v>-9.7555756328692684</c:v>
                </c:pt>
                <c:pt idx="103">
                  <c:v>-9.1352980610502517</c:v>
                </c:pt>
                <c:pt idx="104">
                  <c:v>-8.3357183278746501</c:v>
                </c:pt>
                <c:pt idx="105">
                  <c:v>-7.0268471618187451</c:v>
                </c:pt>
                <c:pt idx="106">
                  <c:v>-7.0346793413589737</c:v>
                </c:pt>
                <c:pt idx="107">
                  <c:v>-7.0126252147632284</c:v>
                </c:pt>
                <c:pt idx="108">
                  <c:v>-6.9181661714796476</c:v>
                </c:pt>
                <c:pt idx="109">
                  <c:v>-6.987052627224327</c:v>
                </c:pt>
                <c:pt idx="110">
                  <c:v>-6.8969872008836326</c:v>
                </c:pt>
                <c:pt idx="111">
                  <c:v>-6.8776640648282692</c:v>
                </c:pt>
                <c:pt idx="112">
                  <c:v>-6.8362095994300391</c:v>
                </c:pt>
                <c:pt idx="113">
                  <c:v>-6.7341572882960188</c:v>
                </c:pt>
                <c:pt idx="114">
                  <c:v>-6.6545798727027989</c:v>
                </c:pt>
                <c:pt idx="115">
                  <c:v>-6.687135031708034</c:v>
                </c:pt>
                <c:pt idx="116">
                  <c:v>-6.7433543561524782</c:v>
                </c:pt>
                <c:pt idx="117">
                  <c:v>-6.7423196164821491</c:v>
                </c:pt>
                <c:pt idx="118">
                  <c:v>-6.8057901902019555</c:v>
                </c:pt>
                <c:pt idx="119">
                  <c:v>-6.9342758602019554</c:v>
                </c:pt>
                <c:pt idx="120">
                  <c:v>-6.9700345115533082</c:v>
                </c:pt>
                <c:pt idx="121">
                  <c:v>-6.8787069849959295</c:v>
                </c:pt>
                <c:pt idx="122">
                  <c:v>-6.6179924143417237</c:v>
                </c:pt>
                <c:pt idx="123">
                  <c:v>-6.4582650043417242</c:v>
                </c:pt>
                <c:pt idx="124">
                  <c:v>-6.4612484065092124</c:v>
                </c:pt>
                <c:pt idx="125">
                  <c:v>-6.4006998052633106</c:v>
                </c:pt>
                <c:pt idx="126">
                  <c:v>-6.3987919607686861</c:v>
                </c:pt>
                <c:pt idx="127">
                  <c:v>-6.4007077878520198</c:v>
                </c:pt>
                <c:pt idx="128">
                  <c:v>-6.5338330958728523</c:v>
                </c:pt>
                <c:pt idx="129">
                  <c:v>-6.4644258918979558</c:v>
                </c:pt>
                <c:pt idx="130">
                  <c:v>-6.4055319994478142</c:v>
                </c:pt>
                <c:pt idx="131">
                  <c:v>-6.3365426482596963</c:v>
                </c:pt>
                <c:pt idx="132">
                  <c:v>-6.3166132050066848</c:v>
                </c:pt>
                <c:pt idx="133">
                  <c:v>-6.1635315699756292</c:v>
                </c:pt>
                <c:pt idx="134">
                  <c:v>-6.0065444825233998</c:v>
                </c:pt>
                <c:pt idx="135">
                  <c:v>-5.9925337807520629</c:v>
                </c:pt>
                <c:pt idx="136">
                  <c:v>-5.9897090792747907</c:v>
                </c:pt>
                <c:pt idx="137">
                  <c:v>-5.9981217304547307</c:v>
                </c:pt>
                <c:pt idx="138">
                  <c:v>-6.0073038169045958</c:v>
                </c:pt>
                <c:pt idx="139">
                  <c:v>-6.0261881564167918</c:v>
                </c:pt>
                <c:pt idx="140">
                  <c:v>-5.8414936358789769</c:v>
                </c:pt>
                <c:pt idx="141">
                  <c:v>-5.7305463010590314</c:v>
                </c:pt>
                <c:pt idx="142">
                  <c:v>-5.6662570798345424</c:v>
                </c:pt>
                <c:pt idx="143">
                  <c:v>-5.2951533969148343</c:v>
                </c:pt>
                <c:pt idx="144">
                  <c:v>-5.6985441554333525</c:v>
                </c:pt>
                <c:pt idx="145">
                  <c:v>-5.6722517551027751</c:v>
                </c:pt>
                <c:pt idx="146">
                  <c:v>-5.7594841651027755</c:v>
                </c:pt>
                <c:pt idx="147">
                  <c:v>-5.7966471369337604</c:v>
                </c:pt>
                <c:pt idx="148">
                  <c:v>-5.704800545209622</c:v>
                </c:pt>
                <c:pt idx="149">
                  <c:v>-5.6880911474318445</c:v>
                </c:pt>
                <c:pt idx="150">
                  <c:v>-5.613220711332259</c:v>
                </c:pt>
                <c:pt idx="151">
                  <c:v>-5.316983652722544</c:v>
                </c:pt>
                <c:pt idx="152">
                  <c:v>-5.2941144310331705</c:v>
                </c:pt>
                <c:pt idx="153">
                  <c:v>-5.2264354336499927</c:v>
                </c:pt>
                <c:pt idx="154">
                  <c:v>-5.3408053055201226</c:v>
                </c:pt>
                <c:pt idx="155">
                  <c:v>-5.2375647411663806</c:v>
                </c:pt>
                <c:pt idx="156">
                  <c:v>-5.3246431561663803</c:v>
                </c:pt>
                <c:pt idx="157">
                  <c:v>-5.2482396605260542</c:v>
                </c:pt>
                <c:pt idx="158">
                  <c:v>-5.2465607801228273</c:v>
                </c:pt>
                <c:pt idx="159">
                  <c:v>-5.2444860829318163</c:v>
                </c:pt>
                <c:pt idx="160">
                  <c:v>-5.1263994079318165</c:v>
                </c:pt>
                <c:pt idx="161">
                  <c:v>-5.136119519947945</c:v>
                </c:pt>
                <c:pt idx="162">
                  <c:v>-5.2856178994828289</c:v>
                </c:pt>
                <c:pt idx="163">
                  <c:v>-5.302472734809931</c:v>
                </c:pt>
                <c:pt idx="164">
                  <c:v>-5.1146407335112309</c:v>
                </c:pt>
                <c:pt idx="165">
                  <c:v>-4.9790858295112299</c:v>
                </c:pt>
                <c:pt idx="166">
                  <c:v>-5.144408265408666</c:v>
                </c:pt>
                <c:pt idx="167">
                  <c:v>-5.1021854907173081</c:v>
                </c:pt>
                <c:pt idx="168">
                  <c:v>-5.1345713714153352</c:v>
                </c:pt>
                <c:pt idx="169">
                  <c:v>-5.0688982253602886</c:v>
                </c:pt>
                <c:pt idx="170">
                  <c:v>-4.916157260360289</c:v>
                </c:pt>
                <c:pt idx="171">
                  <c:v>-4.3942095993076569</c:v>
                </c:pt>
                <c:pt idx="172">
                  <c:v>-4.3282610317005155</c:v>
                </c:pt>
                <c:pt idx="173">
                  <c:v>-4.1762515054961362</c:v>
                </c:pt>
                <c:pt idx="174">
                  <c:v>-4.2626160397818502</c:v>
                </c:pt>
                <c:pt idx="175">
                  <c:v>-4.2202131051413279</c:v>
                </c:pt>
                <c:pt idx="176">
                  <c:v>-4.2945648557864891</c:v>
                </c:pt>
                <c:pt idx="177">
                  <c:v>-4.3740283645915206</c:v>
                </c:pt>
                <c:pt idx="178">
                  <c:v>-4.247903771258188</c:v>
                </c:pt>
                <c:pt idx="179">
                  <c:v>-4.2889873269833787</c:v>
                </c:pt>
                <c:pt idx="180">
                  <c:v>-4.1958179446963833</c:v>
                </c:pt>
                <c:pt idx="181">
                  <c:v>-4.2425021139271522</c:v>
                </c:pt>
                <c:pt idx="182">
                  <c:v>-4.3027106343271528</c:v>
                </c:pt>
                <c:pt idx="183">
                  <c:v>-4.3146725982512031</c:v>
                </c:pt>
                <c:pt idx="184">
                  <c:v>-4.2830133925933085</c:v>
                </c:pt>
                <c:pt idx="185">
                  <c:v>-4.3037130093097264</c:v>
                </c:pt>
                <c:pt idx="186">
                  <c:v>-4.2065677309340916</c:v>
                </c:pt>
                <c:pt idx="187">
                  <c:v>-4.2370770540590916</c:v>
                </c:pt>
                <c:pt idx="188">
                  <c:v>-4.2537983240590922</c:v>
                </c:pt>
                <c:pt idx="189">
                  <c:v>-4.2745776572943859</c:v>
                </c:pt>
                <c:pt idx="190">
                  <c:v>-4.278787716213305</c:v>
                </c:pt>
                <c:pt idx="191">
                  <c:v>-4.315005278681924</c:v>
                </c:pt>
                <c:pt idx="192">
                  <c:v>-4.2438663846819242</c:v>
                </c:pt>
                <c:pt idx="193">
                  <c:v>-4.2105181891646835</c:v>
                </c:pt>
                <c:pt idx="194">
                  <c:v>-4.1813800417287856</c:v>
                </c:pt>
                <c:pt idx="195">
                  <c:v>-4.198735385825171</c:v>
                </c:pt>
                <c:pt idx="196">
                  <c:v>-4.13893716645675</c:v>
                </c:pt>
                <c:pt idx="197">
                  <c:v>-4.0974619781808874</c:v>
                </c:pt>
                <c:pt idx="198">
                  <c:v>-4.1311244947400274</c:v>
                </c:pt>
                <c:pt idx="199">
                  <c:v>-4.1073896767579647</c:v>
                </c:pt>
                <c:pt idx="200">
                  <c:v>-4.0947484565644165</c:v>
                </c:pt>
                <c:pt idx="201">
                  <c:v>-4.0849827558344893</c:v>
                </c:pt>
                <c:pt idx="202">
                  <c:v>-4.060017066674825</c:v>
                </c:pt>
                <c:pt idx="203">
                  <c:v>-4.13048407983272</c:v>
                </c:pt>
                <c:pt idx="204">
                  <c:v>-4.0956514585519326</c:v>
                </c:pt>
                <c:pt idx="205">
                  <c:v>-3.9859904326695785</c:v>
                </c:pt>
                <c:pt idx="206">
                  <c:v>-4.0809044543737594</c:v>
                </c:pt>
                <c:pt idx="207">
                  <c:v>-4.0589822423737596</c:v>
                </c:pt>
                <c:pt idx="208">
                  <c:v>-4.0596088896220817</c:v>
                </c:pt>
                <c:pt idx="209">
                  <c:v>-4.0222474297629267</c:v>
                </c:pt>
                <c:pt idx="210">
                  <c:v>-4.0544576327041035</c:v>
                </c:pt>
                <c:pt idx="211">
                  <c:v>-3.9551345361241768</c:v>
                </c:pt>
                <c:pt idx="212">
                  <c:v>-3.9449810136241772</c:v>
                </c:pt>
                <c:pt idx="213">
                  <c:v>-3.8807388051893943</c:v>
                </c:pt>
                <c:pt idx="214">
                  <c:v>-3.8200455295796383</c:v>
                </c:pt>
                <c:pt idx="215">
                  <c:v>-3.804760533895184</c:v>
                </c:pt>
                <c:pt idx="216">
                  <c:v>-3.5859099441032276</c:v>
                </c:pt>
                <c:pt idx="217">
                  <c:v>-3.4895068778632274</c:v>
                </c:pt>
                <c:pt idx="218">
                  <c:v>-3.4916143854389854</c:v>
                </c:pt>
                <c:pt idx="219">
                  <c:v>-3.5232286882792221</c:v>
                </c:pt>
                <c:pt idx="220">
                  <c:v>-3.4507817421468179</c:v>
                </c:pt>
                <c:pt idx="221">
                  <c:v>-3.3416713887117035</c:v>
                </c:pt>
                <c:pt idx="222">
                  <c:v>-3.3617930987117033</c:v>
                </c:pt>
                <c:pt idx="223">
                  <c:v>-3.273938882614142</c:v>
                </c:pt>
                <c:pt idx="224">
                  <c:v>-3.0273365626915116</c:v>
                </c:pt>
                <c:pt idx="225">
                  <c:v>-2.9619543118258891</c:v>
                </c:pt>
                <c:pt idx="226">
                  <c:v>-2.91906636747105</c:v>
                </c:pt>
                <c:pt idx="227">
                  <c:v>-2.8652001997755763</c:v>
                </c:pt>
                <c:pt idx="228">
                  <c:v>-2.8430326574133717</c:v>
                </c:pt>
                <c:pt idx="229">
                  <c:v>-2.8177746245749433</c:v>
                </c:pt>
                <c:pt idx="230">
                  <c:v>-2.9357390722298642</c:v>
                </c:pt>
                <c:pt idx="231">
                  <c:v>-2.8469291962878347</c:v>
                </c:pt>
                <c:pt idx="232">
                  <c:v>-2.7695526029603394</c:v>
                </c:pt>
                <c:pt idx="233">
                  <c:v>-2.6639250665520215</c:v>
                </c:pt>
                <c:pt idx="234">
                  <c:v>-2.8556240952405458</c:v>
                </c:pt>
                <c:pt idx="235">
                  <c:v>-2.6282392788972619</c:v>
                </c:pt>
                <c:pt idx="236">
                  <c:v>-2.4245605609513161</c:v>
                </c:pt>
                <c:pt idx="237">
                  <c:v>-1.737394330432958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4B-4029-BF96-CB81BE00F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083728"/>
        <c:axId val="812088304"/>
      </c:lineChart>
      <c:dateAx>
        <c:axId val="81208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088304"/>
        <c:crosses val="autoZero"/>
        <c:auto val="1"/>
        <c:lblOffset val="100"/>
        <c:baseTimeUnit val="days"/>
      </c:dateAx>
      <c:valAx>
        <c:axId val="81208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08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505A625-262E-47A3-8080-D91FA22AB012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20D91B-D978-43ED-B5DC-4E36D3EE156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2.7646000000000002</v>
      </c>
      <c r="D2" s="4">
        <f>MIN(D3:D1912)</f>
        <v>0.1739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0.44640000000000002</v>
      </c>
      <c r="C5">
        <v>0.45329999999999998</v>
      </c>
      <c r="D5">
        <v>0.43519999999999998</v>
      </c>
      <c r="E5">
        <v>0.43619999999999998</v>
      </c>
      <c r="F5">
        <v>285696</v>
      </c>
      <c r="G5">
        <v>0.43619999999999998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-0.88950276243093918</v>
      </c>
      <c r="Q5">
        <f t="shared" ref="Q5" si="1">F5*P5</f>
        <v>-254127.38121546959</v>
      </c>
      <c r="R5">
        <f t="shared" ref="R5" si="2">R6+Q5</f>
        <v>-1430193334.1568258</v>
      </c>
      <c r="S5">
        <f t="shared" ref="S5" si="3">R5/100000</f>
        <v>-14301.933341568258</v>
      </c>
      <c r="T5">
        <f t="shared" ref="T5" si="4">S5/1000</f>
        <v>-14.301933341568258</v>
      </c>
    </row>
    <row r="6" spans="1:20" x14ac:dyDescent="0.25">
      <c r="A6" s="5">
        <v>44587</v>
      </c>
      <c r="B6">
        <v>0.44190000000000002</v>
      </c>
      <c r="C6">
        <v>0.48060000000000003</v>
      </c>
      <c r="D6">
        <v>0.43</v>
      </c>
      <c r="E6">
        <v>0.44629999999999997</v>
      </c>
      <c r="F6">
        <v>5008545</v>
      </c>
      <c r="G6">
        <v>0.44629999999999997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-0.35573122529644385</v>
      </c>
      <c r="Q6">
        <f t="shared" ref="Q6" si="6">F6*P6</f>
        <v>-1781695.8498023774</v>
      </c>
      <c r="R6">
        <f t="shared" ref="R6" si="7">R7+Q6</f>
        <v>-1429939206.7756102</v>
      </c>
      <c r="S6">
        <f t="shared" ref="S6" si="8">R6/100000</f>
        <v>-14299.392067756102</v>
      </c>
      <c r="T6">
        <f t="shared" ref="T6" si="9">S6/1000</f>
        <v>-14.299392067756102</v>
      </c>
    </row>
    <row r="7" spans="1:20" x14ac:dyDescent="0.25">
      <c r="A7" s="5">
        <v>44586</v>
      </c>
      <c r="B7">
        <v>0.44719999999999999</v>
      </c>
      <c r="C7">
        <v>0.44719999999999999</v>
      </c>
      <c r="D7">
        <v>0.4148</v>
      </c>
      <c r="E7">
        <v>0.4415</v>
      </c>
      <c r="F7">
        <v>3099507</v>
      </c>
      <c r="G7">
        <v>0.4415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0.64814814814814903</v>
      </c>
      <c r="Q7">
        <f t="shared" ref="Q7" si="11">F7*P7</f>
        <v>2008939.722222225</v>
      </c>
      <c r="R7">
        <f t="shared" ref="R7" si="12">R8+Q7</f>
        <v>-1428157510.9258077</v>
      </c>
      <c r="S7">
        <f t="shared" ref="S7" si="13">R7/100000</f>
        <v>-14281.575109258078</v>
      </c>
      <c r="T7">
        <f t="shared" ref="T7" si="14">S7/1000</f>
        <v>-14.281575109258078</v>
      </c>
    </row>
    <row r="8" spans="1:20" x14ac:dyDescent="0.25">
      <c r="A8" s="5">
        <v>44585</v>
      </c>
      <c r="B8">
        <v>0.46789999999999998</v>
      </c>
      <c r="C8">
        <v>0.46789999999999998</v>
      </c>
      <c r="D8">
        <v>0.4</v>
      </c>
      <c r="E8">
        <v>0.44769999999999999</v>
      </c>
      <c r="F8">
        <v>8637853</v>
      </c>
      <c r="G8">
        <v>0.44769999999999999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0.40500736377025015</v>
      </c>
      <c r="Q8">
        <f t="shared" ref="Q8" si="16">F8*P8</f>
        <v>3498394.0721649467</v>
      </c>
      <c r="R8">
        <f t="shared" ref="R8" si="17">R9+Q8</f>
        <v>-1430166450.64803</v>
      </c>
      <c r="S8">
        <f t="shared" ref="S8" si="18">R8/100000</f>
        <v>-14301.6645064803</v>
      </c>
      <c r="T8">
        <f t="shared" ref="T8" si="19">S8/1000</f>
        <v>-14.3016645064803</v>
      </c>
    </row>
    <row r="9" spans="1:20" x14ac:dyDescent="0.25">
      <c r="A9" s="5">
        <v>44584</v>
      </c>
      <c r="B9">
        <v>0.4592</v>
      </c>
      <c r="C9">
        <v>0.4869</v>
      </c>
      <c r="D9">
        <v>0.43009999999999998</v>
      </c>
      <c r="E9">
        <v>0.46870000000000001</v>
      </c>
      <c r="F9">
        <v>8559315</v>
      </c>
      <c r="G9">
        <v>0.46870000000000001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0.3591549295774652</v>
      </c>
      <c r="Q9">
        <f t="shared" ref="Q9" si="21">F9*P9</f>
        <v>3074120.1760563417</v>
      </c>
      <c r="R9">
        <f t="shared" ref="R9" si="22">R10+Q9</f>
        <v>-1433664844.7201951</v>
      </c>
      <c r="S9">
        <f t="shared" ref="S9" si="23">R9/100000</f>
        <v>-14336.648447201951</v>
      </c>
      <c r="T9">
        <f t="shared" ref="T9" si="24">S9/1000</f>
        <v>-14.33664844720195</v>
      </c>
    </row>
    <row r="10" spans="1:20" x14ac:dyDescent="0.25">
      <c r="A10" s="5">
        <v>44583</v>
      </c>
      <c r="B10">
        <v>0.50039999999999996</v>
      </c>
      <c r="C10">
        <v>0.51959999999999995</v>
      </c>
      <c r="D10">
        <v>0.40989999999999999</v>
      </c>
      <c r="E10">
        <v>0.4577</v>
      </c>
      <c r="F10">
        <v>10061774</v>
      </c>
      <c r="G10">
        <v>0.4577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-0.12853236098450274</v>
      </c>
      <c r="Q10">
        <f t="shared" ref="Q10" si="26">F10*P10</f>
        <v>-1293263.5679124841</v>
      </c>
      <c r="R10">
        <f t="shared" ref="R10" si="27">R11+Q10</f>
        <v>-1436738964.8962514</v>
      </c>
      <c r="S10">
        <f t="shared" ref="S10" si="28">R10/100000</f>
        <v>-14367.389648962515</v>
      </c>
      <c r="T10">
        <f t="shared" ref="T10" si="29">S10/1000</f>
        <v>-14.367389648962515</v>
      </c>
    </row>
    <row r="11" spans="1:20" x14ac:dyDescent="0.25">
      <c r="A11" s="5">
        <v>44582</v>
      </c>
      <c r="B11">
        <v>0.56799999999999995</v>
      </c>
      <c r="C11">
        <v>0.57550000000000001</v>
      </c>
      <c r="D11">
        <v>0.48980000000000001</v>
      </c>
      <c r="E11">
        <v>0.50249999999999995</v>
      </c>
      <c r="F11">
        <v>9672291</v>
      </c>
      <c r="G11">
        <v>0.50249999999999995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-0.70361726954492565</v>
      </c>
      <c r="Q11">
        <f t="shared" ref="Q11" si="31">F11*P11</f>
        <v>-6805590.9836639585</v>
      </c>
      <c r="R11">
        <f t="shared" ref="R11" si="32">R12+Q11</f>
        <v>-1435445701.3283389</v>
      </c>
      <c r="S11">
        <f t="shared" ref="S11" si="33">R11/100000</f>
        <v>-14354.457013283389</v>
      </c>
      <c r="T11">
        <f t="shared" ref="T11" si="34">S11/1000</f>
        <v>-14.354457013283389</v>
      </c>
    </row>
    <row r="12" spans="1:20" x14ac:dyDescent="0.25">
      <c r="A12" s="5">
        <v>44581</v>
      </c>
      <c r="B12">
        <v>0.58389999999999997</v>
      </c>
      <c r="C12">
        <v>0.61</v>
      </c>
      <c r="D12">
        <v>0.56289999999999996</v>
      </c>
      <c r="E12">
        <v>0.56820000000000004</v>
      </c>
      <c r="F12">
        <v>6768153</v>
      </c>
      <c r="G12">
        <v>0.56820000000000004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-0.77494692144373334</v>
      </c>
      <c r="Q12">
        <f t="shared" ref="Q12" si="36">F12*P12</f>
        <v>-5244959.3312101681</v>
      </c>
      <c r="R12">
        <f t="shared" ref="R12" si="37">R13+Q12</f>
        <v>-1428640110.3446748</v>
      </c>
      <c r="S12">
        <f t="shared" ref="S12" si="38">R12/100000</f>
        <v>-14286.401103446748</v>
      </c>
      <c r="T12">
        <f t="shared" ref="T12" si="39">S12/1000</f>
        <v>-14.286401103446748</v>
      </c>
    </row>
    <row r="13" spans="1:20" x14ac:dyDescent="0.25">
      <c r="A13" s="5">
        <v>44580</v>
      </c>
      <c r="B13">
        <v>0.60609999999999997</v>
      </c>
      <c r="C13">
        <v>0.60729999999999995</v>
      </c>
      <c r="D13">
        <v>0.5746</v>
      </c>
      <c r="E13">
        <v>0.58420000000000005</v>
      </c>
      <c r="F13">
        <v>3742698</v>
      </c>
      <c r="G13">
        <v>0.58420000000000005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-0.41284403669724362</v>
      </c>
      <c r="Q13">
        <f t="shared" ref="Q13" si="41">F13*P13</f>
        <v>-1545150.5504587004</v>
      </c>
      <c r="R13">
        <f t="shared" ref="R13" si="42">R14+Q13</f>
        <v>-1423395151.0134647</v>
      </c>
      <c r="S13">
        <f t="shared" ref="S13" si="43">R13/100000</f>
        <v>-14233.951510134646</v>
      </c>
      <c r="T13">
        <f t="shared" ref="T13" si="44">S13/1000</f>
        <v>-14.233951510134647</v>
      </c>
    </row>
    <row r="14" spans="1:20" x14ac:dyDescent="0.25">
      <c r="A14" s="5">
        <v>44579</v>
      </c>
      <c r="B14">
        <v>0.61680000000000001</v>
      </c>
      <c r="C14">
        <v>0.62160000000000004</v>
      </c>
      <c r="D14">
        <v>0.5897</v>
      </c>
      <c r="E14">
        <v>0.60570000000000002</v>
      </c>
      <c r="F14">
        <v>2119988</v>
      </c>
      <c r="G14">
        <v>0.60570000000000002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3.1347962382441649E-3</v>
      </c>
      <c r="Q14">
        <f t="shared" ref="Q14" si="46">F14*P14</f>
        <v>6645.7304075227703</v>
      </c>
      <c r="R14">
        <f t="shared" ref="R14" si="47">R15+Q14</f>
        <v>-1421850000.463006</v>
      </c>
      <c r="S14">
        <f t="shared" ref="S14" si="48">R14/100000</f>
        <v>-14218.500004630061</v>
      </c>
      <c r="T14">
        <f t="shared" ref="T14" si="49">S14/1000</f>
        <v>-14.21850000463006</v>
      </c>
    </row>
    <row r="15" spans="1:20" x14ac:dyDescent="0.25">
      <c r="A15" s="5">
        <v>44578</v>
      </c>
      <c r="B15">
        <v>0.64390000000000003</v>
      </c>
      <c r="C15">
        <v>0.64410000000000001</v>
      </c>
      <c r="D15">
        <v>0.60680000000000001</v>
      </c>
      <c r="E15">
        <v>0.61650000000000005</v>
      </c>
      <c r="F15">
        <v>3796006</v>
      </c>
      <c r="G15">
        <v>0.61650000000000005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-0.47989276139409964</v>
      </c>
      <c r="Q15">
        <f t="shared" ref="Q15" si="51">F15*P15</f>
        <v>-1821675.8016085706</v>
      </c>
      <c r="R15">
        <f t="shared" ref="R15" si="52">R16+Q15</f>
        <v>-1421856646.1934135</v>
      </c>
      <c r="S15">
        <f t="shared" ref="S15" si="53">R15/100000</f>
        <v>-14218.566461934135</v>
      </c>
      <c r="T15">
        <f t="shared" ref="T15" si="54">S15/1000</f>
        <v>-14.218566461934135</v>
      </c>
    </row>
    <row r="16" spans="1:20" x14ac:dyDescent="0.25">
      <c r="A16" s="5">
        <v>44577</v>
      </c>
      <c r="B16">
        <v>0.64329999999999998</v>
      </c>
      <c r="C16">
        <v>0.64510000000000001</v>
      </c>
      <c r="D16">
        <v>0.62250000000000005</v>
      </c>
      <c r="E16">
        <v>0.64349999999999996</v>
      </c>
      <c r="F16">
        <v>2822821</v>
      </c>
      <c r="G16">
        <v>0.64349999999999996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0.85840707964601337</v>
      </c>
      <c r="Q16">
        <f t="shared" ref="Q16" si="56">F16*P16</f>
        <v>2423129.5309734391</v>
      </c>
      <c r="R16">
        <f t="shared" ref="R16" si="57">R17+Q16</f>
        <v>-1420034970.3918049</v>
      </c>
      <c r="S16">
        <f t="shared" ref="S16" si="58">R16/100000</f>
        <v>-14200.349703918049</v>
      </c>
      <c r="T16">
        <f t="shared" ref="T16" si="59">S16/1000</f>
        <v>-14.200349703918048</v>
      </c>
    </row>
    <row r="17" spans="1:20" x14ac:dyDescent="0.25">
      <c r="A17" s="5">
        <v>44576</v>
      </c>
      <c r="B17">
        <v>0.64410000000000001</v>
      </c>
      <c r="C17">
        <v>0.65129999999999999</v>
      </c>
      <c r="D17">
        <v>0.63370000000000004</v>
      </c>
      <c r="E17">
        <v>0.64359999999999995</v>
      </c>
      <c r="F17">
        <v>1761171</v>
      </c>
      <c r="G17">
        <v>0.64359999999999995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0.12499999999999291</v>
      </c>
      <c r="Q17">
        <f t="shared" ref="Q17" si="61">F17*P17</f>
        <v>220146.37499998751</v>
      </c>
      <c r="R17">
        <f t="shared" ref="R17" si="62">R18+Q17</f>
        <v>-1422458099.9227784</v>
      </c>
      <c r="S17">
        <f t="shared" ref="S17" si="63">R17/100000</f>
        <v>-14224.580999227785</v>
      </c>
      <c r="T17">
        <f t="shared" ref="T17" si="64">S17/1000</f>
        <v>-14.224580999227785</v>
      </c>
    </row>
    <row r="18" spans="1:20" x14ac:dyDescent="0.25">
      <c r="A18" s="5">
        <v>44575</v>
      </c>
      <c r="B18">
        <v>0.64419999999999999</v>
      </c>
      <c r="C18">
        <v>0.64759999999999995</v>
      </c>
      <c r="D18">
        <v>0.62050000000000005</v>
      </c>
      <c r="E18">
        <v>0.64459999999999995</v>
      </c>
      <c r="F18">
        <v>3588251</v>
      </c>
      <c r="G18">
        <v>0.64459999999999995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0.77859778597785878</v>
      </c>
      <c r="Q18">
        <f t="shared" ref="Q18" si="66">F18*P18</f>
        <v>2793804.2841328378</v>
      </c>
      <c r="R18">
        <f t="shared" ref="R18" si="67">R19+Q18</f>
        <v>-1422678246.2977784</v>
      </c>
      <c r="S18">
        <f t="shared" ref="S18" si="68">R18/100000</f>
        <v>-14226.782462977784</v>
      </c>
      <c r="T18">
        <f t="shared" ref="T18" si="69">S18/1000</f>
        <v>-14.226782462977784</v>
      </c>
    </row>
    <row r="19" spans="1:20" x14ac:dyDescent="0.25">
      <c r="A19" s="5">
        <v>44574</v>
      </c>
      <c r="B19">
        <v>0.68230000000000002</v>
      </c>
      <c r="C19">
        <v>0.68359999999999999</v>
      </c>
      <c r="D19">
        <v>0.63690000000000002</v>
      </c>
      <c r="E19">
        <v>0.64470000000000005</v>
      </c>
      <c r="F19">
        <v>6566634</v>
      </c>
      <c r="G19">
        <v>0.64470000000000005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-0.6659528907922897</v>
      </c>
      <c r="Q19">
        <f t="shared" ref="Q19" si="71">F19*P19</f>
        <v>-4373068.8950749366</v>
      </c>
      <c r="R19">
        <f t="shared" ref="R19" si="72">R20+Q19</f>
        <v>-1425472050.5819111</v>
      </c>
      <c r="S19">
        <f t="shared" ref="S19" si="73">R19/100000</f>
        <v>-14254.72050581911</v>
      </c>
      <c r="T19">
        <f t="shared" ref="T19" si="74">S19/1000</f>
        <v>-14.25472050581911</v>
      </c>
    </row>
    <row r="20" spans="1:20" x14ac:dyDescent="0.25">
      <c r="A20" s="5">
        <v>44573</v>
      </c>
      <c r="B20">
        <v>0.61670000000000003</v>
      </c>
      <c r="C20">
        <v>0.7</v>
      </c>
      <c r="D20">
        <v>0.61560000000000004</v>
      </c>
      <c r="E20">
        <v>0.68240000000000001</v>
      </c>
      <c r="F20">
        <v>17085766</v>
      </c>
      <c r="G20">
        <v>0.68240000000000001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0.58293838862559322</v>
      </c>
      <c r="Q20">
        <f t="shared" ref="Q20" si="76">F20*P20</f>
        <v>9959948.9004739467</v>
      </c>
      <c r="R20">
        <f t="shared" ref="R20" si="77">R21+Q20</f>
        <v>-1421098981.6868362</v>
      </c>
      <c r="S20">
        <f t="shared" ref="S20" si="78">R20/100000</f>
        <v>-14210.989816868363</v>
      </c>
      <c r="T20">
        <f t="shared" ref="T20" si="79">S20/1000</f>
        <v>-14.210989816868363</v>
      </c>
    </row>
    <row r="21" spans="1:20" x14ac:dyDescent="0.25">
      <c r="A21" s="5">
        <v>44572</v>
      </c>
      <c r="B21">
        <v>0.59640000000000004</v>
      </c>
      <c r="C21">
        <v>0.62309999999999999</v>
      </c>
      <c r="D21">
        <v>0.57530000000000003</v>
      </c>
      <c r="E21">
        <v>0.6159</v>
      </c>
      <c r="F21">
        <v>2983721</v>
      </c>
      <c r="G21">
        <v>0.6159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0.69874476987447731</v>
      </c>
      <c r="Q21">
        <f t="shared" ref="Q21" si="81">F21*P21</f>
        <v>2084859.4435146453</v>
      </c>
      <c r="R21">
        <f t="shared" ref="R21" si="82">R22+Q21</f>
        <v>-1431058930.5873101</v>
      </c>
      <c r="S21">
        <f t="shared" ref="S21" si="83">R21/100000</f>
        <v>-14310.5893058731</v>
      </c>
      <c r="T21">
        <f t="shared" ref="T21" si="84">S21/1000</f>
        <v>-14.3105893058731</v>
      </c>
    </row>
    <row r="22" spans="1:20" x14ac:dyDescent="0.25">
      <c r="A22" s="5">
        <v>44571</v>
      </c>
      <c r="B22">
        <v>0.63080000000000003</v>
      </c>
      <c r="C22">
        <v>0.63570000000000004</v>
      </c>
      <c r="D22">
        <v>0.56000000000000005</v>
      </c>
      <c r="E22">
        <v>0.59660000000000002</v>
      </c>
      <c r="F22">
        <v>4930495</v>
      </c>
      <c r="G22">
        <v>0.59660000000000002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-3.3025099075297992E-2</v>
      </c>
      <c r="Q22">
        <f t="shared" ref="Q22" si="86">F22*P22</f>
        <v>-162830.08586526138</v>
      </c>
      <c r="R22">
        <f t="shared" ref="R22" si="87">R23+Q22</f>
        <v>-1433143790.0308247</v>
      </c>
      <c r="S22">
        <f t="shared" ref="S22" si="88">R22/100000</f>
        <v>-14331.437900308247</v>
      </c>
      <c r="T22">
        <f t="shared" ref="T22" si="89">S22/1000</f>
        <v>-14.331437900308247</v>
      </c>
    </row>
    <row r="23" spans="1:20" x14ac:dyDescent="0.25">
      <c r="A23" s="5">
        <v>44570</v>
      </c>
      <c r="B23">
        <v>0.61850000000000005</v>
      </c>
      <c r="C23">
        <v>0.64229999999999998</v>
      </c>
      <c r="D23">
        <v>0.61</v>
      </c>
      <c r="E23">
        <v>0.63139999999999996</v>
      </c>
      <c r="F23">
        <v>3595773</v>
      </c>
      <c r="G23">
        <v>0.63139999999999996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0.32507739938080354</v>
      </c>
      <c r="Q23">
        <f t="shared" ref="Q23" si="91">F23*P23</f>
        <v>1168904.5356037102</v>
      </c>
      <c r="R23">
        <f t="shared" ref="R23" si="92">R24+Q23</f>
        <v>-1432980959.9449594</v>
      </c>
      <c r="S23">
        <f t="shared" ref="S23" si="93">R23/100000</f>
        <v>-14329.809599449594</v>
      </c>
      <c r="T23">
        <f t="shared" ref="T23" si="94">S23/1000</f>
        <v>-14.329809599449595</v>
      </c>
    </row>
    <row r="24" spans="1:20" x14ac:dyDescent="0.25">
      <c r="A24" s="5">
        <v>44569</v>
      </c>
      <c r="B24">
        <v>0.64890000000000003</v>
      </c>
      <c r="C24">
        <v>0.6603</v>
      </c>
      <c r="D24">
        <v>0.59379999999999999</v>
      </c>
      <c r="E24">
        <v>0.61829999999999996</v>
      </c>
      <c r="F24">
        <v>6194948</v>
      </c>
      <c r="G24">
        <v>0.61829999999999996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-0.26315789473684315</v>
      </c>
      <c r="Q24">
        <f t="shared" ref="Q24" si="96">F24*P24</f>
        <v>-1630249.4736842171</v>
      </c>
      <c r="R24">
        <f t="shared" ref="R24" si="97">R25+Q24</f>
        <v>-1434149864.4805632</v>
      </c>
      <c r="S24">
        <f t="shared" ref="S24" si="98">R24/100000</f>
        <v>-14341.498644805632</v>
      </c>
      <c r="T24">
        <f t="shared" ref="T24" si="99">S24/1000</f>
        <v>-14.341498644805631</v>
      </c>
    </row>
    <row r="25" spans="1:20" x14ac:dyDescent="0.25">
      <c r="A25" s="5">
        <v>44568</v>
      </c>
      <c r="B25">
        <v>0.67700000000000005</v>
      </c>
      <c r="C25">
        <v>0.67730000000000001</v>
      </c>
      <c r="D25">
        <v>0.62170000000000003</v>
      </c>
      <c r="E25">
        <v>0.64800000000000002</v>
      </c>
      <c r="F25">
        <v>6824427</v>
      </c>
      <c r="G25">
        <v>0.64800000000000002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-5.3956834532374168E-2</v>
      </c>
      <c r="Q25">
        <f t="shared" ref="Q25" si="101">F25*P25</f>
        <v>-368224.47841726663</v>
      </c>
      <c r="R25">
        <f t="shared" ref="R25" si="102">R26+Q25</f>
        <v>-1432519615.0068789</v>
      </c>
      <c r="S25">
        <f t="shared" ref="S25" si="103">R25/100000</f>
        <v>-14325.196150068788</v>
      </c>
      <c r="T25">
        <f t="shared" ref="T25" si="104">S25/1000</f>
        <v>-14.325196150068788</v>
      </c>
    </row>
    <row r="26" spans="1:20" x14ac:dyDescent="0.25">
      <c r="A26" s="5">
        <v>44567</v>
      </c>
      <c r="B26">
        <v>0.68440000000000001</v>
      </c>
      <c r="C26">
        <v>0.69330000000000003</v>
      </c>
      <c r="D26">
        <v>0.64739999999999998</v>
      </c>
      <c r="E26">
        <v>0.67610000000000003</v>
      </c>
      <c r="F26">
        <v>7258481</v>
      </c>
      <c r="G26">
        <v>0.67610000000000003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0.25054466230936934</v>
      </c>
      <c r="Q26">
        <f t="shared" ref="Q26" si="106">F26*P26</f>
        <v>1818573.6710239735</v>
      </c>
      <c r="R26">
        <f t="shared" ref="R26" si="107">R27+Q26</f>
        <v>-1432151390.5284617</v>
      </c>
      <c r="S26">
        <f t="shared" ref="S26" si="108">R26/100000</f>
        <v>-14321.513905284617</v>
      </c>
      <c r="T26">
        <f t="shared" ref="T26" si="109">S26/1000</f>
        <v>-14.321513905284617</v>
      </c>
    </row>
    <row r="27" spans="1:20" x14ac:dyDescent="0.25">
      <c r="A27" s="5">
        <v>44566</v>
      </c>
      <c r="B27">
        <v>0.73529999999999995</v>
      </c>
      <c r="C27">
        <v>0.74839999999999995</v>
      </c>
      <c r="D27">
        <v>0.6512</v>
      </c>
      <c r="E27">
        <v>0.6845</v>
      </c>
      <c r="F27">
        <v>9383932</v>
      </c>
      <c r="G27">
        <v>0.6845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-0.31481481481481455</v>
      </c>
      <c r="Q27">
        <f t="shared" ref="Q27" si="111">F27*P27</f>
        <v>-2954200.8148148125</v>
      </c>
      <c r="R27">
        <f t="shared" ref="R27" si="112">R28+Q27</f>
        <v>-1433969964.1994858</v>
      </c>
      <c r="S27">
        <f t="shared" ref="S27" si="113">R27/100000</f>
        <v>-14339.699641994857</v>
      </c>
      <c r="T27">
        <f t="shared" ref="T27" si="114">S27/1000</f>
        <v>-14.339699641994857</v>
      </c>
    </row>
    <row r="28" spans="1:20" x14ac:dyDescent="0.25">
      <c r="A28" s="5">
        <v>44565</v>
      </c>
      <c r="B28">
        <v>0.74829999999999997</v>
      </c>
      <c r="C28">
        <v>0.75670000000000004</v>
      </c>
      <c r="D28">
        <v>0.71830000000000005</v>
      </c>
      <c r="E28">
        <v>0.7349</v>
      </c>
      <c r="F28">
        <v>14788462</v>
      </c>
      <c r="G28">
        <v>0.7349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-0.13541666666666913</v>
      </c>
      <c r="Q28">
        <f t="shared" ref="Q28" si="116">F28*P28</f>
        <v>-2002604.2291667031</v>
      </c>
      <c r="R28">
        <f t="shared" ref="R28" si="117">R29+Q28</f>
        <v>-1431015763.384671</v>
      </c>
      <c r="S28">
        <f t="shared" ref="S28" si="118">R28/100000</f>
        <v>-14310.157633846709</v>
      </c>
      <c r="T28">
        <f t="shared" ref="T28" si="119">S28/1000</f>
        <v>-14.310157633846709</v>
      </c>
    </row>
    <row r="29" spans="1:20" x14ac:dyDescent="0.25">
      <c r="A29" s="5">
        <v>44564</v>
      </c>
      <c r="B29">
        <v>0.77180000000000004</v>
      </c>
      <c r="C29">
        <v>0.77749999999999997</v>
      </c>
      <c r="D29">
        <v>0.73109999999999997</v>
      </c>
      <c r="E29">
        <v>0.74850000000000005</v>
      </c>
      <c r="F29">
        <v>21322388</v>
      </c>
      <c r="G29">
        <v>0.74850000000000005</v>
      </c>
      <c r="L29" t="s">
        <v>7</v>
      </c>
      <c r="M29" t="s">
        <v>8</v>
      </c>
      <c r="N29" t="s">
        <v>7</v>
      </c>
      <c r="P29">
        <f t="shared" ref="P29" si="120">IF(C29=D29,0,((E29-D29)-(C29-E29))/(C29-D29))</f>
        <v>-0.24999999999999642</v>
      </c>
      <c r="Q29">
        <f t="shared" ref="Q29" si="121">F29*P29</f>
        <v>-5330596.9999999236</v>
      </c>
      <c r="R29">
        <f t="shared" ref="R29" si="122">R30+Q29</f>
        <v>-1429013159.1555042</v>
      </c>
      <c r="S29">
        <f t="shared" ref="S29" si="123">R29/100000</f>
        <v>-14290.131591555042</v>
      </c>
      <c r="T29">
        <f t="shared" ref="T29" si="124">S29/1000</f>
        <v>-14.290131591555042</v>
      </c>
    </row>
    <row r="30" spans="1:20" x14ac:dyDescent="0.25">
      <c r="A30" s="5">
        <v>44563</v>
      </c>
      <c r="B30">
        <v>0.75600000000000001</v>
      </c>
      <c r="C30">
        <v>0.80489999999999995</v>
      </c>
      <c r="D30">
        <v>0.74950000000000006</v>
      </c>
      <c r="E30">
        <v>0.77159999999999995</v>
      </c>
      <c r="F30">
        <v>14603541</v>
      </c>
      <c r="G30">
        <v>0.77159999999999995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-0.20216606498195164</v>
      </c>
      <c r="Q30">
        <f t="shared" ref="Q30" si="126">F30*P30</f>
        <v>-2952340.418772595</v>
      </c>
      <c r="R30">
        <f t="shared" ref="R30" si="127">R31+Q30</f>
        <v>-1423682562.1555042</v>
      </c>
      <c r="S30">
        <f t="shared" ref="S30" si="128">R30/100000</f>
        <v>-14236.825621555043</v>
      </c>
      <c r="T30">
        <f t="shared" ref="T30" si="129">S30/1000</f>
        <v>-14.236825621555043</v>
      </c>
    </row>
    <row r="31" spans="1:20" x14ac:dyDescent="0.25">
      <c r="A31" s="5">
        <v>44562</v>
      </c>
      <c r="B31">
        <v>0.74170000000000003</v>
      </c>
      <c r="C31">
        <v>0.76100000000000001</v>
      </c>
      <c r="D31">
        <v>0.73950000000000005</v>
      </c>
      <c r="E31">
        <v>0.75639999999999996</v>
      </c>
      <c r="F31">
        <v>5111086</v>
      </c>
      <c r="G31">
        <v>0.75639999999999996</v>
      </c>
      <c r="L31" t="s">
        <v>8</v>
      </c>
      <c r="M31" t="s">
        <v>8</v>
      </c>
      <c r="N31" t="s">
        <v>7</v>
      </c>
      <c r="P31">
        <f t="shared" ref="P31" si="130">IF(C31=D31,0,((E31-D31)-(C31-E31))/(C31-D31))</f>
        <v>0.57209302325580869</v>
      </c>
      <c r="Q31">
        <f t="shared" ref="Q31" si="131">F31*P31</f>
        <v>2924016.641860438</v>
      </c>
      <c r="R31">
        <f t="shared" ref="R31" si="132">R32+Q31</f>
        <v>-1420730221.7367315</v>
      </c>
      <c r="S31">
        <f t="shared" ref="S31" si="133">R31/100000</f>
        <v>-14207.302217367316</v>
      </c>
      <c r="T31">
        <f t="shared" ref="T31" si="134">S31/1000</f>
        <v>-14.207302217367316</v>
      </c>
    </row>
    <row r="32" spans="1:20" x14ac:dyDescent="0.25">
      <c r="A32" s="5">
        <v>44561</v>
      </c>
      <c r="B32">
        <v>0.75560000000000005</v>
      </c>
      <c r="C32">
        <v>0.78300000000000003</v>
      </c>
      <c r="D32">
        <v>0.71499999999999997</v>
      </c>
      <c r="E32">
        <v>0.74099999999999999</v>
      </c>
      <c r="F32">
        <v>8490690</v>
      </c>
      <c r="G32">
        <v>0.74099999999999999</v>
      </c>
      <c r="L32" t="s">
        <v>8</v>
      </c>
      <c r="M32" t="s">
        <v>8</v>
      </c>
      <c r="N32" t="s">
        <v>7</v>
      </c>
      <c r="P32">
        <f t="shared" ref="P32" si="135">IF(C32=D32,0,((E32-D32)-(C32-E32))/(C32-D32))</f>
        <v>-0.23529411764705882</v>
      </c>
      <c r="Q32">
        <f t="shared" ref="Q32" si="136">F32*P32</f>
        <v>-1997809.4117647058</v>
      </c>
      <c r="R32">
        <f t="shared" ref="R32" si="137">R33+Q32</f>
        <v>-1423654238.378592</v>
      </c>
      <c r="S32">
        <f t="shared" ref="S32" si="138">R32/100000</f>
        <v>-14236.54238378592</v>
      </c>
      <c r="T32">
        <f t="shared" ref="T32" si="139">S32/1000</f>
        <v>-14.23654238378592</v>
      </c>
    </row>
    <row r="33" spans="1:20" x14ac:dyDescent="0.25">
      <c r="A33" s="5">
        <v>44560</v>
      </c>
      <c r="B33">
        <v>0.73719999999999997</v>
      </c>
      <c r="C33">
        <v>0.76800000000000002</v>
      </c>
      <c r="D33">
        <v>0.72219999999999995</v>
      </c>
      <c r="E33">
        <v>0.75680000000000003</v>
      </c>
      <c r="F33">
        <v>6097511</v>
      </c>
      <c r="G33">
        <v>0.75680000000000003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0.51091703056768678</v>
      </c>
      <c r="Q33">
        <f t="shared" ref="Q33" si="141">F33*P33</f>
        <v>3115322.2139738062</v>
      </c>
      <c r="R33">
        <f t="shared" ref="R33" si="142">R34+Q33</f>
        <v>-1421656428.9668274</v>
      </c>
      <c r="S33">
        <f t="shared" ref="S33" si="143">R33/100000</f>
        <v>-14216.564289668275</v>
      </c>
      <c r="T33">
        <f t="shared" ref="T33" si="144">S33/1000</f>
        <v>-14.216564289668275</v>
      </c>
    </row>
    <row r="34" spans="1:20" x14ac:dyDescent="0.25">
      <c r="A34" s="5">
        <v>44559</v>
      </c>
      <c r="B34">
        <v>0.74170000000000003</v>
      </c>
      <c r="C34">
        <v>0.77429999999999999</v>
      </c>
      <c r="D34">
        <v>0.72319999999999995</v>
      </c>
      <c r="E34">
        <v>0.73660000000000003</v>
      </c>
      <c r="F34">
        <v>8017186</v>
      </c>
      <c r="G34">
        <v>0.73660000000000003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-0.47553816046966457</v>
      </c>
      <c r="Q34">
        <f t="shared" ref="Q34" si="146">F34*P34</f>
        <v>-3812477.8825831483</v>
      </c>
      <c r="R34">
        <f t="shared" ref="R34" si="147">R35+Q34</f>
        <v>-1424771751.1808012</v>
      </c>
      <c r="S34">
        <f t="shared" ref="S34" si="148">R34/100000</f>
        <v>-14247.717511808012</v>
      </c>
      <c r="T34">
        <f t="shared" ref="T34" si="149">S34/1000</f>
        <v>-14.247717511808013</v>
      </c>
    </row>
    <row r="35" spans="1:20" x14ac:dyDescent="0.25">
      <c r="A35" s="5">
        <v>44558</v>
      </c>
      <c r="B35">
        <v>0.81530000000000002</v>
      </c>
      <c r="C35">
        <v>0.81620000000000004</v>
      </c>
      <c r="D35">
        <v>0.73440000000000005</v>
      </c>
      <c r="E35">
        <v>0.74170000000000003</v>
      </c>
      <c r="F35">
        <v>7956870</v>
      </c>
      <c r="G35">
        <v>0.74170000000000003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-0.82151589242053846</v>
      </c>
      <c r="Q35">
        <f t="shared" ref="Q35" si="151">F35*P35</f>
        <v>-6536695.1589242099</v>
      </c>
      <c r="R35">
        <f t="shared" ref="R35" si="152">R36+Q35</f>
        <v>-1420959273.298218</v>
      </c>
      <c r="S35">
        <f t="shared" ref="S35" si="153">R35/100000</f>
        <v>-14209.592732982181</v>
      </c>
      <c r="T35">
        <f t="shared" ref="T35" si="154">S35/1000</f>
        <v>-14.209592732982181</v>
      </c>
    </row>
    <row r="36" spans="1:20" x14ac:dyDescent="0.25">
      <c r="A36" s="5">
        <v>44557</v>
      </c>
      <c r="B36">
        <v>0.82499999999999996</v>
      </c>
      <c r="C36">
        <v>0.84260000000000002</v>
      </c>
      <c r="D36">
        <v>0.81220000000000003</v>
      </c>
      <c r="E36">
        <v>0.81569999999999998</v>
      </c>
      <c r="F36">
        <v>5879038</v>
      </c>
      <c r="G36">
        <v>0.81569999999999998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-0.76973684210526649</v>
      </c>
      <c r="Q36">
        <f t="shared" ref="Q36" si="156">F36*P36</f>
        <v>-4525312.1447368618</v>
      </c>
      <c r="R36">
        <f t="shared" ref="R36" si="157">R37+Q36</f>
        <v>-1414422578.1392939</v>
      </c>
      <c r="S36">
        <f t="shared" ref="S36" si="158">R36/100000</f>
        <v>-14144.225781392939</v>
      </c>
      <c r="T36">
        <f t="shared" ref="T36" si="159">S36/1000</f>
        <v>-14.144225781392938</v>
      </c>
    </row>
    <row r="37" spans="1:20" x14ac:dyDescent="0.25">
      <c r="A37" s="5">
        <v>44556</v>
      </c>
      <c r="B37">
        <v>0.82350000000000001</v>
      </c>
      <c r="C37">
        <v>0.83089999999999997</v>
      </c>
      <c r="D37">
        <v>0.7903</v>
      </c>
      <c r="E37">
        <v>0.82399999999999995</v>
      </c>
      <c r="F37">
        <v>5877894</v>
      </c>
      <c r="G37">
        <v>0.82399999999999995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0.66009852216748655</v>
      </c>
      <c r="Q37">
        <f t="shared" ref="Q37" si="161">F37*P37</f>
        <v>3879989.1428571362</v>
      </c>
      <c r="R37">
        <f t="shared" ref="R37" si="162">R38+Q37</f>
        <v>-1409897265.9945571</v>
      </c>
      <c r="S37">
        <f t="shared" ref="S37" si="163">R37/100000</f>
        <v>-14098.972659945572</v>
      </c>
      <c r="T37">
        <f t="shared" ref="T37" si="164">S37/1000</f>
        <v>-14.098972659945572</v>
      </c>
    </row>
    <row r="38" spans="1:20" x14ac:dyDescent="0.25">
      <c r="A38" s="5">
        <v>44555</v>
      </c>
      <c r="B38">
        <v>0.7833</v>
      </c>
      <c r="C38">
        <v>0.83560000000000001</v>
      </c>
      <c r="D38">
        <v>0.77559999999999996</v>
      </c>
      <c r="E38">
        <v>0.82230000000000003</v>
      </c>
      <c r="F38">
        <v>12416589</v>
      </c>
      <c r="G38">
        <v>0.82230000000000003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0.55666666666666775</v>
      </c>
      <c r="Q38">
        <f t="shared" ref="Q38" si="166">F38*P38</f>
        <v>6911901.2100000139</v>
      </c>
      <c r="R38">
        <f t="shared" ref="R38" si="167">R39+Q38</f>
        <v>-1413777255.1374142</v>
      </c>
      <c r="S38">
        <f t="shared" ref="S38" si="168">R38/100000</f>
        <v>-14137.772551374142</v>
      </c>
      <c r="T38">
        <f t="shared" ref="T38" si="169">S38/1000</f>
        <v>-14.137772551374143</v>
      </c>
    </row>
    <row r="39" spans="1:20" x14ac:dyDescent="0.25">
      <c r="A39" s="5">
        <v>44554</v>
      </c>
      <c r="B39">
        <v>0.80059999999999998</v>
      </c>
      <c r="C39">
        <v>0.82</v>
      </c>
      <c r="D39">
        <v>0.77200000000000002</v>
      </c>
      <c r="E39">
        <v>0.7833</v>
      </c>
      <c r="F39">
        <v>9606009</v>
      </c>
      <c r="G39">
        <v>0.7833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-0.52916666666666701</v>
      </c>
      <c r="Q39">
        <f t="shared" ref="Q39" si="171">F39*P39</f>
        <v>-5083179.762500003</v>
      </c>
      <c r="R39">
        <f t="shared" ref="R39" si="172">R40+Q39</f>
        <v>-1420689156.3474143</v>
      </c>
      <c r="S39">
        <f t="shared" ref="S39" si="173">R39/100000</f>
        <v>-14206.891563474142</v>
      </c>
      <c r="T39">
        <f t="shared" ref="T39" si="174">S39/1000</f>
        <v>-14.206891563474143</v>
      </c>
    </row>
    <row r="40" spans="1:20" x14ac:dyDescent="0.25">
      <c r="A40" s="5">
        <v>44553</v>
      </c>
      <c r="B40">
        <v>0.7419</v>
      </c>
      <c r="C40">
        <v>0.80300000000000005</v>
      </c>
      <c r="D40">
        <v>0.73219999999999996</v>
      </c>
      <c r="E40">
        <v>0.80149999999999999</v>
      </c>
      <c r="F40">
        <v>7926254</v>
      </c>
      <c r="G40">
        <v>0.80149999999999999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0.95762711864406624</v>
      </c>
      <c r="Q40">
        <f t="shared" ref="Q40" si="176">F40*P40</f>
        <v>7590395.7796610044</v>
      </c>
      <c r="R40">
        <f t="shared" ref="R40" si="177">R41+Q40</f>
        <v>-1415605976.5849142</v>
      </c>
      <c r="S40">
        <f t="shared" ref="S40" si="178">R40/100000</f>
        <v>-14156.059765849142</v>
      </c>
      <c r="T40">
        <f t="shared" ref="T40" si="179">S40/1000</f>
        <v>-14.156059765849143</v>
      </c>
    </row>
    <row r="41" spans="1:20" x14ac:dyDescent="0.25">
      <c r="A41" s="5">
        <v>44552</v>
      </c>
      <c r="B41">
        <v>0.73970000000000002</v>
      </c>
      <c r="C41">
        <v>0.76</v>
      </c>
      <c r="D41">
        <v>0.73</v>
      </c>
      <c r="E41">
        <v>0.74270000000000003</v>
      </c>
      <c r="F41">
        <v>6323703</v>
      </c>
      <c r="G41">
        <v>0.74270000000000003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-0.1533333333333311</v>
      </c>
      <c r="Q41">
        <f t="shared" ref="Q41" si="181">F41*P41</f>
        <v>-969634.45999998588</v>
      </c>
      <c r="R41">
        <f t="shared" ref="R41" si="182">R42+Q41</f>
        <v>-1423196372.3645751</v>
      </c>
      <c r="S41">
        <f t="shared" ref="S41" si="183">R41/100000</f>
        <v>-14231.963723645751</v>
      </c>
      <c r="T41">
        <f t="shared" ref="T41" si="184">S41/1000</f>
        <v>-14.231963723645752</v>
      </c>
    </row>
    <row r="42" spans="1:20" x14ac:dyDescent="0.25">
      <c r="A42" s="5">
        <v>44551</v>
      </c>
      <c r="B42">
        <v>0.71860000000000002</v>
      </c>
      <c r="C42">
        <v>0.7419</v>
      </c>
      <c r="D42">
        <v>0.70689999999999997</v>
      </c>
      <c r="E42">
        <v>0.73939999999999995</v>
      </c>
      <c r="F42">
        <v>3791681</v>
      </c>
      <c r="G42">
        <v>0.73939999999999995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0.85714285714285399</v>
      </c>
      <c r="Q42">
        <f t="shared" ref="Q42" si="186">F42*P42</f>
        <v>3250012.2857142738</v>
      </c>
      <c r="R42">
        <f t="shared" ref="R42" si="187">R43+Q42</f>
        <v>-1422226737.9045751</v>
      </c>
      <c r="S42">
        <f t="shared" ref="S42" si="188">R42/100000</f>
        <v>-14222.26737904575</v>
      </c>
      <c r="T42">
        <f t="shared" ref="T42" si="189">S42/1000</f>
        <v>-14.22226737904575</v>
      </c>
    </row>
    <row r="43" spans="1:20" x14ac:dyDescent="0.25">
      <c r="A43" s="5">
        <v>44550</v>
      </c>
      <c r="B43">
        <v>0.73319999999999996</v>
      </c>
      <c r="C43">
        <v>0.74780000000000002</v>
      </c>
      <c r="D43">
        <v>0.69489999999999996</v>
      </c>
      <c r="E43">
        <v>0.71840000000000004</v>
      </c>
      <c r="F43">
        <v>6992526</v>
      </c>
      <c r="G43">
        <v>0.71840000000000004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-0.11153119092627407</v>
      </c>
      <c r="Q43">
        <f t="shared" ref="Q43" si="191">F43*P43</f>
        <v>-779884.75236293557</v>
      </c>
      <c r="R43">
        <f t="shared" ref="R43" si="192">R44+Q43</f>
        <v>-1425476750.1902895</v>
      </c>
      <c r="S43">
        <f t="shared" ref="S43" si="193">R43/100000</f>
        <v>-14254.767501902896</v>
      </c>
      <c r="T43">
        <f t="shared" ref="T43" si="194">S43/1000</f>
        <v>-14.254767501902895</v>
      </c>
    </row>
    <row r="44" spans="1:20" x14ac:dyDescent="0.25">
      <c r="A44" s="5">
        <v>44549</v>
      </c>
      <c r="B44">
        <v>0.7218</v>
      </c>
      <c r="C44">
        <v>0.77459999999999996</v>
      </c>
      <c r="D44">
        <v>0.7218</v>
      </c>
      <c r="E44">
        <v>0.73309999999999997</v>
      </c>
      <c r="F44">
        <v>18483158</v>
      </c>
      <c r="G44">
        <v>0.73309999999999997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-0.57196969696969746</v>
      </c>
      <c r="Q44">
        <f t="shared" ref="Q44" si="196">F44*P44</f>
        <v>-10571806.280303039</v>
      </c>
      <c r="R44">
        <f t="shared" ref="R44" si="197">R45+Q44</f>
        <v>-1424696865.4379265</v>
      </c>
      <c r="S44">
        <f t="shared" ref="S44" si="198">R44/100000</f>
        <v>-14246.968654379265</v>
      </c>
      <c r="T44">
        <f t="shared" ref="T44" si="199">S44/1000</f>
        <v>-14.246968654379264</v>
      </c>
    </row>
    <row r="45" spans="1:20" x14ac:dyDescent="0.25">
      <c r="A45" s="5">
        <v>44548</v>
      </c>
      <c r="B45">
        <v>0.70979999999999999</v>
      </c>
      <c r="C45">
        <v>0.72840000000000005</v>
      </c>
      <c r="D45">
        <v>0.70269999999999999</v>
      </c>
      <c r="E45">
        <v>0.7218</v>
      </c>
      <c r="F45">
        <v>2843660</v>
      </c>
      <c r="G45">
        <v>0.7218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0.48638132295719566</v>
      </c>
      <c r="Q45">
        <f t="shared" ref="Q45" si="201">F45*P45</f>
        <v>1383103.112840459</v>
      </c>
      <c r="R45">
        <f t="shared" ref="R45" si="202">R46+Q45</f>
        <v>-1414125059.1576235</v>
      </c>
      <c r="S45">
        <f t="shared" ref="S45" si="203">R45/100000</f>
        <v>-14141.250591576236</v>
      </c>
      <c r="T45">
        <f t="shared" ref="T45" si="204">S45/1000</f>
        <v>-14.141250591576236</v>
      </c>
    </row>
    <row r="46" spans="1:20" x14ac:dyDescent="0.25">
      <c r="A46" s="5">
        <v>44547</v>
      </c>
      <c r="B46">
        <v>0.72519999999999996</v>
      </c>
      <c r="C46">
        <v>0.73980000000000001</v>
      </c>
      <c r="D46">
        <v>0.69210000000000005</v>
      </c>
      <c r="E46">
        <v>0.70709999999999995</v>
      </c>
      <c r="F46">
        <v>6672440</v>
      </c>
      <c r="G46">
        <v>0.70709999999999995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-0.37106918238994074</v>
      </c>
      <c r="Q46">
        <f t="shared" ref="Q46" si="206">F46*P46</f>
        <v>-2475936.855345936</v>
      </c>
      <c r="R46">
        <f t="shared" ref="R46" si="207">R47+Q46</f>
        <v>-1415508162.2704639</v>
      </c>
      <c r="S46">
        <f t="shared" ref="S46" si="208">R46/100000</f>
        <v>-14155.08162270464</v>
      </c>
      <c r="T46">
        <f t="shared" ref="T46" si="209">S46/1000</f>
        <v>-14.155081622704639</v>
      </c>
    </row>
    <row r="47" spans="1:20" x14ac:dyDescent="0.25">
      <c r="A47" s="5">
        <v>44546</v>
      </c>
      <c r="B47">
        <v>0.74309999999999998</v>
      </c>
      <c r="C47">
        <v>0.75190000000000001</v>
      </c>
      <c r="D47">
        <v>0.71750000000000003</v>
      </c>
      <c r="E47">
        <v>0.72560000000000002</v>
      </c>
      <c r="F47">
        <v>7296240</v>
      </c>
      <c r="G47">
        <v>0.72560000000000002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-0.52906976744186052</v>
      </c>
      <c r="Q47">
        <f t="shared" ref="Q47" si="211">F47*P47</f>
        <v>-3860220.0000000005</v>
      </c>
      <c r="R47">
        <f t="shared" ref="R47" si="212">R48+Q47</f>
        <v>-1413032225.415118</v>
      </c>
      <c r="S47">
        <f t="shared" ref="S47" si="213">R47/100000</f>
        <v>-14130.32225415118</v>
      </c>
      <c r="T47">
        <f t="shared" ref="T47" si="214">S47/1000</f>
        <v>-14.13032225415118</v>
      </c>
    </row>
    <row r="48" spans="1:20" x14ac:dyDescent="0.25">
      <c r="A48" s="5">
        <v>44545</v>
      </c>
      <c r="B48">
        <v>0.73170000000000002</v>
      </c>
      <c r="C48">
        <v>0.75170000000000003</v>
      </c>
      <c r="D48">
        <v>0.68079999999999996</v>
      </c>
      <c r="E48">
        <v>0.74319999999999997</v>
      </c>
      <c r="F48">
        <v>10501933</v>
      </c>
      <c r="G48">
        <v>0.74319999999999997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0.76022566995768537</v>
      </c>
      <c r="Q48">
        <f t="shared" ref="Q48" si="216">F48*P48</f>
        <v>7983839.0507757245</v>
      </c>
      <c r="R48">
        <f t="shared" ref="R48" si="217">R49+Q48</f>
        <v>-1409172005.415118</v>
      </c>
      <c r="S48">
        <f t="shared" ref="S48" si="218">R48/100000</f>
        <v>-14091.720054151179</v>
      </c>
      <c r="T48">
        <f t="shared" ref="T48" si="219">S48/1000</f>
        <v>-14.09172005415118</v>
      </c>
    </row>
    <row r="49" spans="1:20" x14ac:dyDescent="0.25">
      <c r="A49" s="5">
        <v>44544</v>
      </c>
      <c r="B49">
        <v>0.75</v>
      </c>
      <c r="C49">
        <v>0.76329999999999998</v>
      </c>
      <c r="D49">
        <v>0.70299999999999996</v>
      </c>
      <c r="E49">
        <v>0.73280000000000001</v>
      </c>
      <c r="F49">
        <v>13119126</v>
      </c>
      <c r="G49">
        <v>0.73280000000000001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-1.1608623548920774E-2</v>
      </c>
      <c r="Q49">
        <f t="shared" ref="Q49" si="221">F49*P49</f>
        <v>-152294.9950248588</v>
      </c>
      <c r="R49">
        <f t="shared" ref="R49" si="222">R50+Q49</f>
        <v>-1417155844.4658937</v>
      </c>
      <c r="S49">
        <f t="shared" ref="S49" si="223">R49/100000</f>
        <v>-14171.558444658938</v>
      </c>
      <c r="T49">
        <f t="shared" ref="T49" si="224">S49/1000</f>
        <v>-14.171558444658938</v>
      </c>
    </row>
    <row r="50" spans="1:20" x14ac:dyDescent="0.25">
      <c r="A50" s="5">
        <v>44543</v>
      </c>
      <c r="B50">
        <v>0.75260000000000005</v>
      </c>
      <c r="C50">
        <v>0.82589999999999997</v>
      </c>
      <c r="D50">
        <v>0.70909999999999995</v>
      </c>
      <c r="E50">
        <v>0.74939999999999996</v>
      </c>
      <c r="F50">
        <v>44986282</v>
      </c>
      <c r="G50">
        <v>0.74939999999999996</v>
      </c>
      <c r="L50" t="s">
        <v>7</v>
      </c>
      <c r="M50" t="s">
        <v>8</v>
      </c>
      <c r="N50" t="s">
        <v>7</v>
      </c>
      <c r="P50">
        <f t="shared" ref="P50" si="225">IF(C50=D50,0,((E50-D50)-(C50-E50))/(C50-D50))</f>
        <v>-0.30993150684931514</v>
      </c>
      <c r="Q50">
        <f t="shared" ref="Q50" si="226">F50*P50</f>
        <v>-13942666.167808222</v>
      </c>
      <c r="R50">
        <f t="shared" ref="R50" si="227">R51+Q50</f>
        <v>-1417003549.4708688</v>
      </c>
      <c r="S50">
        <f t="shared" ref="S50" si="228">R50/100000</f>
        <v>-14170.035494708689</v>
      </c>
      <c r="T50">
        <f t="shared" ref="T50" si="229">S50/1000</f>
        <v>-14.170035494708689</v>
      </c>
    </row>
    <row r="51" spans="1:20" x14ac:dyDescent="0.25">
      <c r="A51" s="5">
        <v>44542</v>
      </c>
      <c r="B51">
        <v>0.752</v>
      </c>
      <c r="C51">
        <v>0.75849999999999995</v>
      </c>
      <c r="D51">
        <v>0.72789999999999999</v>
      </c>
      <c r="E51">
        <v>0.75290000000000001</v>
      </c>
      <c r="F51">
        <v>4845087</v>
      </c>
      <c r="G51">
        <v>0.75290000000000001</v>
      </c>
      <c r="L51" t="s">
        <v>7</v>
      </c>
      <c r="M51" t="s">
        <v>8</v>
      </c>
      <c r="N51" t="s">
        <v>7</v>
      </c>
      <c r="P51">
        <f t="shared" ref="P51" si="230">IF(C51=D51,0,((E51-D51)-(C51-E51))/(C51-D51))</f>
        <v>0.63398692810457868</v>
      </c>
      <c r="Q51">
        <f t="shared" ref="Q51" si="231">F51*P51</f>
        <v>3071721.8235294288</v>
      </c>
      <c r="R51">
        <f t="shared" ref="R51" si="232">R52+Q51</f>
        <v>-1403060883.3030605</v>
      </c>
      <c r="S51">
        <f t="shared" ref="S51" si="233">R51/100000</f>
        <v>-14030.608833030605</v>
      </c>
      <c r="T51">
        <f t="shared" ref="T51" si="234">S51/1000</f>
        <v>-14.030608833030605</v>
      </c>
    </row>
    <row r="52" spans="1:20" x14ac:dyDescent="0.25">
      <c r="A52" s="5">
        <v>44541</v>
      </c>
      <c r="B52">
        <v>0.73080000000000001</v>
      </c>
      <c r="C52">
        <v>0.74360000000000004</v>
      </c>
      <c r="D52">
        <v>0.72409999999999997</v>
      </c>
      <c r="E52">
        <v>0.73939999999999995</v>
      </c>
      <c r="F52">
        <v>358743</v>
      </c>
      <c r="G52">
        <v>0.73939999999999995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0.56923076923076132</v>
      </c>
      <c r="Q52">
        <f t="shared" ref="Q52" si="236">F52*P52</f>
        <v>204207.55384615102</v>
      </c>
      <c r="R52">
        <f t="shared" ref="R52" si="237">R53+Q52</f>
        <v>-1406132605.12659</v>
      </c>
      <c r="S52">
        <f t="shared" ref="S52" si="238">R52/100000</f>
        <v>-14061.3260512659</v>
      </c>
      <c r="T52">
        <f t="shared" ref="T52" si="239">S52/1000</f>
        <v>-14.061326051265899</v>
      </c>
    </row>
    <row r="53" spans="1:20" x14ac:dyDescent="0.25">
      <c r="A53" s="5">
        <v>44540</v>
      </c>
      <c r="B53">
        <v>0.74650000000000005</v>
      </c>
      <c r="C53">
        <v>0.76329999999999998</v>
      </c>
      <c r="D53">
        <v>0.72019999999999995</v>
      </c>
      <c r="E53">
        <v>0.73150000000000004</v>
      </c>
      <c r="F53">
        <v>9037652</v>
      </c>
      <c r="G53">
        <v>0.73150000000000004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-0.4756380510440798</v>
      </c>
      <c r="Q53">
        <f t="shared" ref="Q53" si="241">F53*P53</f>
        <v>-4298651.1832946297</v>
      </c>
      <c r="R53">
        <f t="shared" ref="R53" si="242">R54+Q53</f>
        <v>-1406336812.6804361</v>
      </c>
      <c r="S53">
        <f t="shared" ref="S53" si="243">R53/100000</f>
        <v>-14063.368126804362</v>
      </c>
      <c r="T53">
        <f t="shared" ref="T53" si="244">S53/1000</f>
        <v>-14.063368126804361</v>
      </c>
    </row>
    <row r="54" spans="1:20" x14ac:dyDescent="0.25">
      <c r="A54" s="5">
        <v>44539</v>
      </c>
      <c r="B54">
        <v>0.80649999999999999</v>
      </c>
      <c r="C54">
        <v>0.80710000000000004</v>
      </c>
      <c r="D54">
        <v>0.73809999999999998</v>
      </c>
      <c r="E54">
        <v>0.74619999999999997</v>
      </c>
      <c r="F54">
        <v>7844057</v>
      </c>
      <c r="G54">
        <v>0.74619999999999997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-0.76521739130434818</v>
      </c>
      <c r="Q54">
        <f t="shared" ref="Q54" si="246">F54*P54</f>
        <v>-6002408.8347826116</v>
      </c>
      <c r="R54">
        <f t="shared" ref="R54" si="247">R55+Q54</f>
        <v>-1402038161.4971416</v>
      </c>
      <c r="S54">
        <f t="shared" ref="S54" si="248">R54/100000</f>
        <v>-14020.381614971417</v>
      </c>
      <c r="T54">
        <f t="shared" ref="T54" si="249">S54/1000</f>
        <v>-14.020381614971416</v>
      </c>
    </row>
    <row r="55" spans="1:20" x14ac:dyDescent="0.25">
      <c r="A55" s="5">
        <v>44538</v>
      </c>
      <c r="B55">
        <v>0.79730000000000001</v>
      </c>
      <c r="C55">
        <v>0.81289999999999996</v>
      </c>
      <c r="D55">
        <v>0.74509999999999998</v>
      </c>
      <c r="E55">
        <v>0.80620000000000003</v>
      </c>
      <c r="F55">
        <v>13141011</v>
      </c>
      <c r="G55">
        <v>0.80620000000000003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0.80235988200590169</v>
      </c>
      <c r="Q55">
        <f t="shared" ref="Q55" si="251">F55*P55</f>
        <v>10543820.035398256</v>
      </c>
      <c r="R55">
        <f t="shared" ref="R55" si="252">R56+Q55</f>
        <v>-1396035752.662359</v>
      </c>
      <c r="S55">
        <f t="shared" ref="S55" si="253">R55/100000</f>
        <v>-13960.357526623589</v>
      </c>
      <c r="T55">
        <f t="shared" ref="T55" si="254">S55/1000</f>
        <v>-13.960357526623589</v>
      </c>
    </row>
    <row r="56" spans="1:20" x14ac:dyDescent="0.25">
      <c r="A56" s="5">
        <v>44537</v>
      </c>
      <c r="B56">
        <v>0.77939999999999998</v>
      </c>
      <c r="C56">
        <v>0.81440000000000001</v>
      </c>
      <c r="D56">
        <v>0.77090000000000003</v>
      </c>
      <c r="E56">
        <v>0.79659999999999997</v>
      </c>
      <c r="F56">
        <v>15945566</v>
      </c>
      <c r="G56">
        <v>0.79659999999999997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0.18160919540229678</v>
      </c>
      <c r="Q56">
        <f t="shared" ref="Q56" si="256">F56*P56</f>
        <v>2895861.4114942197</v>
      </c>
      <c r="R56">
        <f t="shared" ref="R56" si="257">R57+Q56</f>
        <v>-1406579572.6977572</v>
      </c>
      <c r="S56">
        <f t="shared" ref="S56" si="258">R56/100000</f>
        <v>-14065.795726977572</v>
      </c>
      <c r="T56">
        <f t="shared" ref="T56" si="259">S56/1000</f>
        <v>-14.065795726977573</v>
      </c>
    </row>
    <row r="57" spans="1:20" x14ac:dyDescent="0.25">
      <c r="A57" s="5">
        <v>44536</v>
      </c>
      <c r="B57">
        <v>0.76680000000000004</v>
      </c>
      <c r="C57">
        <v>0.79559999999999997</v>
      </c>
      <c r="D57">
        <v>0.7</v>
      </c>
      <c r="E57">
        <v>0.77990000000000004</v>
      </c>
      <c r="F57">
        <v>19577418</v>
      </c>
      <c r="G57">
        <v>0.77990000000000004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0.67154811715481311</v>
      </c>
      <c r="Q57">
        <f t="shared" ref="Q57" si="261">F57*P57</f>
        <v>13147178.196652748</v>
      </c>
      <c r="R57">
        <f t="shared" ref="R57" si="262">R58+Q57</f>
        <v>-1409475434.1092515</v>
      </c>
      <c r="S57">
        <f t="shared" ref="S57" si="263">R57/100000</f>
        <v>-14094.754341092515</v>
      </c>
      <c r="T57">
        <f t="shared" ref="T57" si="264">S57/1000</f>
        <v>-14.094754341092516</v>
      </c>
    </row>
    <row r="58" spans="1:20" x14ac:dyDescent="0.25">
      <c r="A58" s="5">
        <v>44535</v>
      </c>
      <c r="B58">
        <v>0.79549999999999998</v>
      </c>
      <c r="C58">
        <v>0.80930000000000002</v>
      </c>
      <c r="D58">
        <v>0.73280000000000001</v>
      </c>
      <c r="E58">
        <v>0.76759999999999995</v>
      </c>
      <c r="F58">
        <v>19968963</v>
      </c>
      <c r="G58">
        <v>0.76759999999999995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-9.0196078431374213E-2</v>
      </c>
      <c r="Q58">
        <f t="shared" ref="Q58" si="266">F58*P58</f>
        <v>-1801122.1529412097</v>
      </c>
      <c r="R58">
        <f t="shared" ref="R58" si="267">R59+Q58</f>
        <v>-1422622612.3059042</v>
      </c>
      <c r="S58">
        <f t="shared" ref="S58" si="268">R58/100000</f>
        <v>-14226.226123059041</v>
      </c>
      <c r="T58">
        <f t="shared" ref="T58" si="269">S58/1000</f>
        <v>-14.226226123059041</v>
      </c>
    </row>
    <row r="59" spans="1:20" x14ac:dyDescent="0.25">
      <c r="A59" s="5">
        <v>44534</v>
      </c>
      <c r="B59">
        <v>0.84689999999999999</v>
      </c>
      <c r="C59">
        <v>0.88219999999999998</v>
      </c>
      <c r="D59">
        <v>0.67</v>
      </c>
      <c r="E59">
        <v>0.7964</v>
      </c>
      <c r="F59">
        <v>38638936</v>
      </c>
      <c r="G59">
        <v>0.7964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0.19132893496701217</v>
      </c>
      <c r="Q59">
        <f t="shared" ref="Q59" si="271">F59*P59</f>
        <v>7392746.4731385456</v>
      </c>
      <c r="R59">
        <f t="shared" ref="R59" si="272">R60+Q59</f>
        <v>-1420821490.1529629</v>
      </c>
      <c r="S59">
        <f t="shared" ref="S59" si="273">R59/100000</f>
        <v>-14208.214901529629</v>
      </c>
      <c r="T59">
        <f t="shared" ref="T59" si="274">S59/1000</f>
        <v>-14.20821490152963</v>
      </c>
    </row>
    <row r="60" spans="1:20" x14ac:dyDescent="0.25">
      <c r="A60" s="5">
        <v>44533</v>
      </c>
      <c r="B60">
        <v>0.88759999999999994</v>
      </c>
      <c r="C60">
        <v>0.90569999999999995</v>
      </c>
      <c r="D60">
        <v>0.80279999999999996</v>
      </c>
      <c r="E60">
        <v>0.84819999999999995</v>
      </c>
      <c r="F60">
        <v>25039720</v>
      </c>
      <c r="G60">
        <v>0.84819999999999995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-0.11758989310009718</v>
      </c>
      <c r="Q60">
        <f t="shared" ref="Q60" si="276">F60*P60</f>
        <v>-2944417.9980563652</v>
      </c>
      <c r="R60">
        <f t="shared" ref="R60" si="277">R61+Q60</f>
        <v>-1428214236.6261015</v>
      </c>
      <c r="S60">
        <f t="shared" ref="S60" si="278">R60/100000</f>
        <v>-14282.142366261014</v>
      </c>
      <c r="T60">
        <f t="shared" ref="T60" si="279">S60/1000</f>
        <v>-14.282142366261015</v>
      </c>
    </row>
    <row r="61" spans="1:20" x14ac:dyDescent="0.25">
      <c r="A61" s="5">
        <v>44532</v>
      </c>
      <c r="B61">
        <v>0.94879999999999998</v>
      </c>
      <c r="C61">
        <v>0.94950000000000001</v>
      </c>
      <c r="D61">
        <v>0.83479999999999999</v>
      </c>
      <c r="E61">
        <v>0.88759999999999994</v>
      </c>
      <c r="F61">
        <v>29845765</v>
      </c>
      <c r="G61">
        <v>0.88759999999999994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-7.9337401918048001E-2</v>
      </c>
      <c r="Q61">
        <f t="shared" ref="Q61" si="281">F61*P61</f>
        <v>-2367885.4533566097</v>
      </c>
      <c r="R61">
        <f t="shared" ref="R61" si="282">R62+Q61</f>
        <v>-1425269818.6280451</v>
      </c>
      <c r="S61">
        <f t="shared" ref="S61" si="283">R61/100000</f>
        <v>-14252.698186280451</v>
      </c>
      <c r="T61">
        <f t="shared" ref="T61" si="284">S61/1000</f>
        <v>-14.252698186280451</v>
      </c>
    </row>
    <row r="62" spans="1:20" x14ac:dyDescent="0.25">
      <c r="A62" s="5">
        <v>44531</v>
      </c>
      <c r="B62">
        <v>0.9073</v>
      </c>
      <c r="C62">
        <v>0.998</v>
      </c>
      <c r="D62">
        <v>0.89439999999999997</v>
      </c>
      <c r="E62">
        <v>0.9486</v>
      </c>
      <c r="F62">
        <v>45568932</v>
      </c>
      <c r="G62">
        <v>0.9486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4.6332046332046579E-2</v>
      </c>
      <c r="Q62">
        <f t="shared" ref="Q62" si="286">F62*P62</f>
        <v>2111301.86872588</v>
      </c>
      <c r="R62">
        <f t="shared" ref="R62" si="287">R63+Q62</f>
        <v>-1422901933.1746886</v>
      </c>
      <c r="S62">
        <f t="shared" ref="S62" si="288">R62/100000</f>
        <v>-14229.019331746886</v>
      </c>
      <c r="T62">
        <f t="shared" ref="T62" si="289">S62/1000</f>
        <v>-14.229019331746885</v>
      </c>
    </row>
    <row r="63" spans="1:20" x14ac:dyDescent="0.25">
      <c r="A63" s="5">
        <v>44530</v>
      </c>
      <c r="B63">
        <v>0.92559999999999998</v>
      </c>
      <c r="C63">
        <v>0.94269999999999998</v>
      </c>
      <c r="D63">
        <v>0.86</v>
      </c>
      <c r="E63">
        <v>0.90639999999999998</v>
      </c>
      <c r="F63">
        <v>33265858</v>
      </c>
      <c r="G63">
        <v>0.90639999999999998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0.12212817412333735</v>
      </c>
      <c r="Q63">
        <f t="shared" ref="Q63" si="291">F63*P63</f>
        <v>4062698.4981862148</v>
      </c>
      <c r="R63">
        <f t="shared" ref="R63" si="292">R64+Q63</f>
        <v>-1425013235.0434144</v>
      </c>
      <c r="S63">
        <f t="shared" ref="S63" si="293">R63/100000</f>
        <v>-14250.132350434144</v>
      </c>
      <c r="T63">
        <f t="shared" ref="T63" si="294">S63/1000</f>
        <v>-14.250132350434143</v>
      </c>
    </row>
    <row r="64" spans="1:20" x14ac:dyDescent="0.25">
      <c r="A64" s="5">
        <v>44529</v>
      </c>
      <c r="B64">
        <v>0.92910000000000004</v>
      </c>
      <c r="C64">
        <v>0.97750000000000004</v>
      </c>
      <c r="D64">
        <v>0.89400000000000002</v>
      </c>
      <c r="E64">
        <v>0.92510000000000003</v>
      </c>
      <c r="F64">
        <v>35364690</v>
      </c>
      <c r="G64">
        <v>0.92510000000000003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-0.25508982035928118</v>
      </c>
      <c r="Q64">
        <f t="shared" ref="Q64" si="296">F64*P64</f>
        <v>-9021172.419161668</v>
      </c>
      <c r="R64">
        <f t="shared" ref="R64" si="297">R65+Q64</f>
        <v>-1429075933.5416005</v>
      </c>
      <c r="S64">
        <f t="shared" ref="S64" si="298">R64/100000</f>
        <v>-14290.759335416005</v>
      </c>
      <c r="T64">
        <f t="shared" ref="T64" si="299">S64/1000</f>
        <v>-14.290759335416006</v>
      </c>
    </row>
    <row r="65" spans="1:20" x14ac:dyDescent="0.25">
      <c r="A65" s="5">
        <v>44528</v>
      </c>
      <c r="B65">
        <v>0.99170000000000003</v>
      </c>
      <c r="C65">
        <v>1.1222000000000001</v>
      </c>
      <c r="D65">
        <v>0.86509999999999998</v>
      </c>
      <c r="E65">
        <v>0.92859999999999998</v>
      </c>
      <c r="F65">
        <v>118687834</v>
      </c>
      <c r="G65">
        <v>0.92859999999999998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-0.50602878257487383</v>
      </c>
      <c r="Q65">
        <f t="shared" ref="Q65" si="301">F65*P65</f>
        <v>-60059460.145468719</v>
      </c>
      <c r="R65">
        <f t="shared" ref="R65" si="302">R66+Q65</f>
        <v>-1420054761.1224389</v>
      </c>
      <c r="S65">
        <f t="shared" ref="S65" si="303">R65/100000</f>
        <v>-14200.547611224389</v>
      </c>
      <c r="T65">
        <f t="shared" ref="T65" si="304">S65/1000</f>
        <v>-14.200547611224389</v>
      </c>
    </row>
    <row r="66" spans="1:20" x14ac:dyDescent="0.25">
      <c r="A66" s="5">
        <v>44527</v>
      </c>
      <c r="B66">
        <v>0.79330000000000001</v>
      </c>
      <c r="C66">
        <v>1.335</v>
      </c>
      <c r="D66">
        <v>0.78700000000000003</v>
      </c>
      <c r="E66">
        <v>0.99209999999999998</v>
      </c>
      <c r="F66">
        <v>303934343</v>
      </c>
      <c r="G66">
        <v>0.99209999999999998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-0.25145985401459864</v>
      </c>
      <c r="Q66">
        <f t="shared" ref="Q66" si="306">F66*P66</f>
        <v>-76427285.520802945</v>
      </c>
      <c r="R66">
        <f t="shared" ref="R66" si="307">R67+Q66</f>
        <v>-1359995300.9769702</v>
      </c>
      <c r="S66">
        <f t="shared" ref="S66" si="308">R66/100000</f>
        <v>-13599.953009769702</v>
      </c>
      <c r="T66">
        <f t="shared" ref="T66" si="309">S66/1000</f>
        <v>-13.599953009769703</v>
      </c>
    </row>
    <row r="67" spans="1:20" x14ac:dyDescent="0.25">
      <c r="A67" s="5">
        <v>44526</v>
      </c>
      <c r="B67">
        <v>0.83289999999999997</v>
      </c>
      <c r="C67">
        <v>0.88600000000000001</v>
      </c>
      <c r="D67">
        <v>0.75</v>
      </c>
      <c r="E67">
        <v>0.79369999999999996</v>
      </c>
      <c r="F67">
        <v>28288993</v>
      </c>
      <c r="G67">
        <v>0.79369999999999996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-0.35735294117647121</v>
      </c>
      <c r="Q67">
        <f t="shared" ref="Q67" si="311">F67*P67</f>
        <v>-10109154.851470606</v>
      </c>
      <c r="R67">
        <f t="shared" ref="R67" si="312">R68+Q67</f>
        <v>-1283568015.4561672</v>
      </c>
      <c r="S67">
        <f t="shared" ref="S67" si="313">R67/100000</f>
        <v>-12835.680154561673</v>
      </c>
      <c r="T67">
        <f t="shared" ref="T67" si="314">S67/1000</f>
        <v>-12.835680154561672</v>
      </c>
    </row>
    <row r="68" spans="1:20" x14ac:dyDescent="0.25">
      <c r="A68" s="5">
        <v>44525</v>
      </c>
      <c r="B68">
        <v>0.82279999999999998</v>
      </c>
      <c r="C68">
        <v>0.84519999999999995</v>
      </c>
      <c r="D68">
        <v>0.81020000000000003</v>
      </c>
      <c r="E68">
        <v>0.83309999999999995</v>
      </c>
      <c r="F68">
        <v>13818359</v>
      </c>
      <c r="G68">
        <v>0.83309999999999995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0.308571428571427</v>
      </c>
      <c r="Q68">
        <f t="shared" ref="Q68" si="316">F68*P68</f>
        <v>4263950.7771428358</v>
      </c>
      <c r="R68">
        <f t="shared" ref="R68" si="317">R69+Q68</f>
        <v>-1273458860.6046965</v>
      </c>
      <c r="S68">
        <f t="shared" ref="S68" si="318">R68/100000</f>
        <v>-12734.588606046966</v>
      </c>
      <c r="T68">
        <f t="shared" ref="T68" si="319">S68/1000</f>
        <v>-12.734588606046966</v>
      </c>
    </row>
    <row r="69" spans="1:20" x14ac:dyDescent="0.25">
      <c r="A69" s="5">
        <v>44524</v>
      </c>
      <c r="B69">
        <v>0.84740000000000004</v>
      </c>
      <c r="C69">
        <v>0.84899999999999998</v>
      </c>
      <c r="D69">
        <v>0.82210000000000005</v>
      </c>
      <c r="E69">
        <v>0.82640000000000002</v>
      </c>
      <c r="F69">
        <v>3202110</v>
      </c>
      <c r="G69">
        <v>0.82640000000000002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-0.68029739776951803</v>
      </c>
      <c r="Q69">
        <f t="shared" ref="Q69" si="321">F69*P69</f>
        <v>-2178387.1003717515</v>
      </c>
      <c r="R69">
        <f t="shared" ref="R69" si="322">R70+Q69</f>
        <v>-1277722811.3818393</v>
      </c>
      <c r="S69">
        <f t="shared" ref="S69" si="323">R69/100000</f>
        <v>-12777.228113818393</v>
      </c>
      <c r="T69">
        <f t="shared" ref="T69" si="324">S69/1000</f>
        <v>-12.777228113818394</v>
      </c>
    </row>
    <row r="70" spans="1:20" x14ac:dyDescent="0.25">
      <c r="A70" s="5">
        <v>44523</v>
      </c>
      <c r="B70">
        <v>0.8357</v>
      </c>
      <c r="C70">
        <v>0.85850000000000004</v>
      </c>
      <c r="D70">
        <v>0.81340000000000001</v>
      </c>
      <c r="E70">
        <v>0.84689999999999999</v>
      </c>
      <c r="F70">
        <v>11091767</v>
      </c>
      <c r="G70">
        <v>0.84689999999999999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0.48558758314855666</v>
      </c>
      <c r="Q70">
        <f t="shared" ref="Q70" si="326">F70*P70</f>
        <v>5386024.3303769166</v>
      </c>
      <c r="R70">
        <f t="shared" ref="R70" si="327">R71+Q70</f>
        <v>-1275544424.2814674</v>
      </c>
      <c r="S70">
        <f t="shared" ref="S70" si="328">R70/100000</f>
        <v>-12755.444242814674</v>
      </c>
      <c r="T70">
        <f t="shared" ref="T70" si="329">S70/1000</f>
        <v>-12.755444242814674</v>
      </c>
    </row>
    <row r="71" spans="1:20" x14ac:dyDescent="0.25">
      <c r="A71" s="5">
        <v>44522</v>
      </c>
      <c r="B71">
        <v>0.88919999999999999</v>
      </c>
      <c r="C71">
        <v>0.8952</v>
      </c>
      <c r="D71">
        <v>0.82079999999999997</v>
      </c>
      <c r="E71">
        <v>0.83520000000000005</v>
      </c>
      <c r="F71">
        <v>8389425</v>
      </c>
      <c r="G71">
        <v>0.83520000000000005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-0.61290322580644963</v>
      </c>
      <c r="Q71">
        <f t="shared" ref="Q71" si="331">F71*P71</f>
        <v>-5141905.6451612739</v>
      </c>
      <c r="R71">
        <f t="shared" ref="R71" si="332">R72+Q71</f>
        <v>-1280930448.6118443</v>
      </c>
      <c r="S71">
        <f t="shared" ref="S71" si="333">R71/100000</f>
        <v>-12809.304486118443</v>
      </c>
      <c r="T71">
        <f t="shared" ref="T71" si="334">S71/1000</f>
        <v>-12.809304486118442</v>
      </c>
    </row>
    <row r="72" spans="1:20" x14ac:dyDescent="0.25">
      <c r="A72" s="5">
        <v>44521</v>
      </c>
      <c r="B72">
        <v>0.89890000000000003</v>
      </c>
      <c r="C72">
        <v>0.94589999999999996</v>
      </c>
      <c r="D72">
        <v>0.88639999999999997</v>
      </c>
      <c r="E72">
        <v>0.88819999999999999</v>
      </c>
      <c r="F72">
        <v>21543468</v>
      </c>
      <c r="G72">
        <v>0.88819999999999999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-0.93949579831932695</v>
      </c>
      <c r="Q72">
        <f t="shared" ref="Q72" si="336">F72*P72</f>
        <v>-20239997.667226873</v>
      </c>
      <c r="R72">
        <f t="shared" ref="R72" si="337">R73+Q72</f>
        <v>-1275788542.9666829</v>
      </c>
      <c r="S72">
        <f t="shared" ref="S72" si="338">R72/100000</f>
        <v>-12757.885429666829</v>
      </c>
      <c r="T72">
        <f t="shared" ref="T72" si="339">S72/1000</f>
        <v>-12.757885429666828</v>
      </c>
    </row>
    <row r="73" spans="1:20" x14ac:dyDescent="0.25">
      <c r="A73" s="5">
        <v>44520</v>
      </c>
      <c r="B73">
        <v>0.84609999999999996</v>
      </c>
      <c r="C73">
        <v>0.97499999999999998</v>
      </c>
      <c r="D73">
        <v>0.83709999999999996</v>
      </c>
      <c r="E73">
        <v>0.89880000000000004</v>
      </c>
      <c r="F73">
        <v>59821224</v>
      </c>
      <c r="G73">
        <v>0.89880000000000004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-0.1051486584481497</v>
      </c>
      <c r="Q73">
        <f t="shared" ref="Q73" si="341">F73*P73</f>
        <v>-6290121.4503262555</v>
      </c>
      <c r="R73">
        <f t="shared" ref="R73" si="342">R74+Q73</f>
        <v>-1255548545.2994561</v>
      </c>
      <c r="S73">
        <f t="shared" ref="S73" si="343">R73/100000</f>
        <v>-12555.485452994561</v>
      </c>
      <c r="T73">
        <f t="shared" ref="T73" si="344">S73/1000</f>
        <v>-12.55548545299456</v>
      </c>
    </row>
    <row r="74" spans="1:20" x14ac:dyDescent="0.25">
      <c r="A74" s="5">
        <v>44519</v>
      </c>
      <c r="B74">
        <v>0.81079999999999997</v>
      </c>
      <c r="C74">
        <v>0.86509999999999998</v>
      </c>
      <c r="D74">
        <v>0.78459999999999996</v>
      </c>
      <c r="E74">
        <v>0.84609999999999996</v>
      </c>
      <c r="F74">
        <v>21629449</v>
      </c>
      <c r="G74">
        <v>0.84609999999999996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0.52795031055900588</v>
      </c>
      <c r="Q74">
        <f t="shared" ref="Q74" si="346">F74*P74</f>
        <v>11419274.316770179</v>
      </c>
      <c r="R74">
        <f t="shared" ref="R74" si="347">R75+Q74</f>
        <v>-1249258423.8491299</v>
      </c>
      <c r="S74">
        <f t="shared" ref="S74" si="348">R74/100000</f>
        <v>-12492.584238491299</v>
      </c>
      <c r="T74">
        <f t="shared" ref="T74" si="349">S74/1000</f>
        <v>-12.492584238491299</v>
      </c>
    </row>
    <row r="75" spans="1:20" x14ac:dyDescent="0.25">
      <c r="A75" s="5">
        <v>44518</v>
      </c>
      <c r="B75">
        <v>0.89680000000000004</v>
      </c>
      <c r="C75">
        <v>0.92290000000000005</v>
      </c>
      <c r="D75">
        <v>0.78510000000000002</v>
      </c>
      <c r="E75">
        <v>0.81030000000000002</v>
      </c>
      <c r="F75">
        <v>20385760</v>
      </c>
      <c r="G75">
        <v>0.81030000000000002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-0.63425253991291741</v>
      </c>
      <c r="Q75">
        <f t="shared" ref="Q75" si="351">F75*P75</f>
        <v>-12929720.058055155</v>
      </c>
      <c r="R75">
        <f t="shared" ref="R75" si="352">R76+Q75</f>
        <v>-1260677698.1659</v>
      </c>
      <c r="S75">
        <f t="shared" ref="S75" si="353">R75/100000</f>
        <v>-12606.776981659001</v>
      </c>
      <c r="T75">
        <f t="shared" ref="T75" si="354">S75/1000</f>
        <v>-12.606776981659001</v>
      </c>
    </row>
    <row r="76" spans="1:20" x14ac:dyDescent="0.25">
      <c r="A76" s="5">
        <v>44517</v>
      </c>
      <c r="B76">
        <v>0.88139999999999996</v>
      </c>
      <c r="C76">
        <v>0.92759999999999998</v>
      </c>
      <c r="D76">
        <v>0.83150000000000002</v>
      </c>
      <c r="E76">
        <v>0.89780000000000004</v>
      </c>
      <c r="F76">
        <v>20190825</v>
      </c>
      <c r="G76">
        <v>0.89780000000000004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0.37981269510926224</v>
      </c>
      <c r="Q76">
        <f t="shared" ref="Q76" si="356">F76*P76</f>
        <v>7668731.6597294696</v>
      </c>
      <c r="R76">
        <f t="shared" ref="R76" si="357">R77+Q76</f>
        <v>-1247747978.1078448</v>
      </c>
      <c r="S76">
        <f t="shared" ref="S76" si="358">R76/100000</f>
        <v>-12477.479781078448</v>
      </c>
      <c r="T76">
        <f t="shared" ref="T76" si="359">S76/1000</f>
        <v>-12.477479781078447</v>
      </c>
    </row>
    <row r="77" spans="1:20" x14ac:dyDescent="0.25">
      <c r="A77" s="5">
        <v>44516</v>
      </c>
      <c r="B77">
        <v>0.95989999999999998</v>
      </c>
      <c r="C77">
        <v>0.96109999999999995</v>
      </c>
      <c r="D77">
        <v>0.81989999999999996</v>
      </c>
      <c r="E77">
        <v>0.88290000000000002</v>
      </c>
      <c r="F77">
        <v>27915682</v>
      </c>
      <c r="G77">
        <v>0.88290000000000002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-0.10764872521246374</v>
      </c>
      <c r="Q77">
        <f t="shared" ref="Q77" si="361">F77*P77</f>
        <v>-3005087.5807365202</v>
      </c>
      <c r="R77">
        <f t="shared" ref="R77" si="362">R78+Q77</f>
        <v>-1255416709.7675743</v>
      </c>
      <c r="S77">
        <f t="shared" ref="S77" si="363">R77/100000</f>
        <v>-12554.167097675743</v>
      </c>
      <c r="T77">
        <f t="shared" ref="T77" si="364">S77/1000</f>
        <v>-12.554167097675743</v>
      </c>
    </row>
    <row r="78" spans="1:20" x14ac:dyDescent="0.25">
      <c r="A78" s="5">
        <v>44515</v>
      </c>
      <c r="B78">
        <v>1.0390999999999999</v>
      </c>
      <c r="C78">
        <v>1.0612999999999999</v>
      </c>
      <c r="D78">
        <v>0.95050000000000001</v>
      </c>
      <c r="E78">
        <v>0.95989999999999998</v>
      </c>
      <c r="F78">
        <v>36463564</v>
      </c>
      <c r="G78">
        <v>0.95989999999999998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-0.83032490974729289</v>
      </c>
      <c r="Q78">
        <f t="shared" ref="Q78" si="366">F78*P78</f>
        <v>-30276605.487364639</v>
      </c>
      <c r="R78">
        <f t="shared" ref="R78" si="367">R79+Q78</f>
        <v>-1252411622.1868377</v>
      </c>
      <c r="S78">
        <f t="shared" ref="S78" si="368">R78/100000</f>
        <v>-12524.116221868377</v>
      </c>
      <c r="T78">
        <f t="shared" ref="T78" si="369">S78/1000</f>
        <v>-12.524116221868377</v>
      </c>
    </row>
    <row r="79" spans="1:20" x14ac:dyDescent="0.25">
      <c r="A79" s="5">
        <v>44514</v>
      </c>
      <c r="B79">
        <v>1.1200000000000001</v>
      </c>
      <c r="C79">
        <v>1.2681</v>
      </c>
      <c r="D79">
        <v>1.0092000000000001</v>
      </c>
      <c r="E79">
        <v>1.0390999999999999</v>
      </c>
      <c r="F79">
        <v>187344947</v>
      </c>
      <c r="G79">
        <v>1.0390999999999999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-0.76902278872151542</v>
      </c>
      <c r="Q79">
        <f t="shared" ref="Q79" si="371">F79*P79</f>
        <v>-144072533.59482449</v>
      </c>
      <c r="R79">
        <f t="shared" ref="R79" si="372">R80+Q79</f>
        <v>-1222135016.6994731</v>
      </c>
      <c r="S79">
        <f t="shared" ref="S79" si="373">R79/100000</f>
        <v>-12221.350166994731</v>
      </c>
      <c r="T79">
        <f t="shared" ref="T79" si="374">S79/1000</f>
        <v>-12.22135016699473</v>
      </c>
    </row>
    <row r="80" spans="1:20" x14ac:dyDescent="0.25">
      <c r="A80" s="5">
        <v>44513</v>
      </c>
      <c r="B80">
        <v>0.85699999999999998</v>
      </c>
      <c r="C80">
        <v>1.35</v>
      </c>
      <c r="D80">
        <v>0.85050000000000003</v>
      </c>
      <c r="E80">
        <v>1.1200000000000001</v>
      </c>
      <c r="F80">
        <v>153881278</v>
      </c>
      <c r="G80">
        <v>1.1200000000000001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7.9079079079079254E-2</v>
      </c>
      <c r="Q80">
        <f t="shared" ref="Q80" si="376">F80*P80</f>
        <v>12168789.751751779</v>
      </c>
      <c r="R80">
        <f t="shared" ref="R80" si="377">R81+Q80</f>
        <v>-1078062483.1046486</v>
      </c>
      <c r="S80">
        <f t="shared" ref="S80" si="378">R80/100000</f>
        <v>-10780.624831046485</v>
      </c>
      <c r="T80">
        <f t="shared" ref="T80" si="379">S80/1000</f>
        <v>-10.780624831046485</v>
      </c>
    </row>
    <row r="81" spans="1:20" x14ac:dyDescent="0.25">
      <c r="A81" s="5">
        <v>44512</v>
      </c>
      <c r="B81">
        <v>0.87050000000000005</v>
      </c>
      <c r="C81">
        <v>0.87480000000000002</v>
      </c>
      <c r="D81">
        <v>0.83209999999999995</v>
      </c>
      <c r="E81">
        <v>0.85729999999999995</v>
      </c>
      <c r="F81">
        <v>5270761</v>
      </c>
      <c r="G81">
        <v>0.85729999999999995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0.18032786885245705</v>
      </c>
      <c r="Q81">
        <f t="shared" ref="Q81" si="381">F81*P81</f>
        <v>950465.09836064535</v>
      </c>
      <c r="R81">
        <f t="shared" ref="R81" si="382">R82+Q81</f>
        <v>-1090231272.8564003</v>
      </c>
      <c r="S81">
        <f t="shared" ref="S81" si="383">R81/100000</f>
        <v>-10902.312728564002</v>
      </c>
      <c r="T81">
        <f t="shared" ref="T81" si="384">S81/1000</f>
        <v>-10.902312728564002</v>
      </c>
    </row>
    <row r="82" spans="1:20" x14ac:dyDescent="0.25">
      <c r="A82" s="5">
        <v>44511</v>
      </c>
      <c r="B82">
        <v>0.85340000000000005</v>
      </c>
      <c r="C82">
        <v>0.8841</v>
      </c>
      <c r="D82">
        <v>0.83399999999999996</v>
      </c>
      <c r="E82">
        <v>0.86950000000000005</v>
      </c>
      <c r="F82">
        <v>5703011</v>
      </c>
      <c r="G82">
        <v>0.86950000000000005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0.41716566866267718</v>
      </c>
      <c r="Q82">
        <f t="shared" ref="Q82" si="386">F82*P82</f>
        <v>2379100.3972056033</v>
      </c>
      <c r="R82">
        <f t="shared" ref="R82" si="387">R83+Q82</f>
        <v>-1091181737.9547608</v>
      </c>
      <c r="S82">
        <f t="shared" ref="S82" si="388">R82/100000</f>
        <v>-10911.817379547609</v>
      </c>
      <c r="T82">
        <f t="shared" ref="T82" si="389">S82/1000</f>
        <v>-10.911817379547609</v>
      </c>
    </row>
    <row r="83" spans="1:20" x14ac:dyDescent="0.25">
      <c r="A83" s="5">
        <v>44510</v>
      </c>
      <c r="B83">
        <v>0.89680000000000004</v>
      </c>
      <c r="C83">
        <v>0.93530000000000002</v>
      </c>
      <c r="D83">
        <v>0.8</v>
      </c>
      <c r="E83">
        <v>0.85370000000000001</v>
      </c>
      <c r="F83">
        <v>13990173</v>
      </c>
      <c r="G83">
        <v>0.85370000000000001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-0.20620842572062115</v>
      </c>
      <c r="Q83">
        <f t="shared" ref="Q83" si="391">F83*P83</f>
        <v>-2884891.5498891394</v>
      </c>
      <c r="R83">
        <f t="shared" ref="R83" si="392">R84+Q83</f>
        <v>-1093560838.3519664</v>
      </c>
      <c r="S83">
        <f t="shared" ref="S83" si="393">R83/100000</f>
        <v>-10935.608383519664</v>
      </c>
      <c r="T83">
        <f t="shared" ref="T83" si="394">S83/1000</f>
        <v>-10.935608383519664</v>
      </c>
    </row>
    <row r="84" spans="1:20" x14ac:dyDescent="0.25">
      <c r="A84" s="5">
        <v>44509</v>
      </c>
      <c r="B84">
        <v>0.91510000000000002</v>
      </c>
      <c r="C84">
        <v>0.91890000000000005</v>
      </c>
      <c r="D84">
        <v>0.89280000000000004</v>
      </c>
      <c r="E84">
        <v>0.89680000000000004</v>
      </c>
      <c r="F84">
        <v>6621052</v>
      </c>
      <c r="G84">
        <v>0.89680000000000004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-0.69348659003831403</v>
      </c>
      <c r="Q84">
        <f t="shared" ref="Q84" si="396">F84*P84</f>
        <v>-4591610.7739463588</v>
      </c>
      <c r="R84">
        <f t="shared" ref="R84" si="397">R85+Q84</f>
        <v>-1090675946.8020773</v>
      </c>
      <c r="S84">
        <f t="shared" ref="S84" si="398">R84/100000</f>
        <v>-10906.759468020773</v>
      </c>
      <c r="T84">
        <f t="shared" ref="T84" si="399">S84/1000</f>
        <v>-10.906759468020773</v>
      </c>
    </row>
    <row r="85" spans="1:20" x14ac:dyDescent="0.25">
      <c r="A85" s="5">
        <v>44508</v>
      </c>
      <c r="B85">
        <v>0.92</v>
      </c>
      <c r="C85">
        <v>0.92300000000000004</v>
      </c>
      <c r="D85">
        <v>0.89859999999999995</v>
      </c>
      <c r="E85">
        <v>0.91600000000000004</v>
      </c>
      <c r="F85">
        <v>5474713</v>
      </c>
      <c r="G85">
        <v>0.91600000000000004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0.42622950819672289</v>
      </c>
      <c r="Q85">
        <f t="shared" ref="Q85" si="401">F85*P85</f>
        <v>2333484.2295082053</v>
      </c>
      <c r="R85">
        <f t="shared" ref="R85" si="402">R86+Q85</f>
        <v>-1086084336.028131</v>
      </c>
      <c r="S85">
        <f t="shared" ref="S85" si="403">R85/100000</f>
        <v>-10860.843360281309</v>
      </c>
      <c r="T85">
        <f t="shared" ref="T85" si="404">S85/1000</f>
        <v>-10.86084336028131</v>
      </c>
    </row>
    <row r="86" spans="1:20" x14ac:dyDescent="0.25">
      <c r="A86" s="5">
        <v>44507</v>
      </c>
      <c r="B86">
        <v>0.93049999999999999</v>
      </c>
      <c r="C86">
        <v>0.93689999999999996</v>
      </c>
      <c r="D86">
        <v>0.90580000000000005</v>
      </c>
      <c r="E86">
        <v>0.91910000000000003</v>
      </c>
      <c r="F86">
        <v>5557092</v>
      </c>
      <c r="G86">
        <v>0.91910000000000003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-0.14469453376205665</v>
      </c>
      <c r="Q86">
        <f t="shared" ref="Q86" si="406">F86*P86</f>
        <v>-804080.83601285494</v>
      </c>
      <c r="R86">
        <f t="shared" ref="R86" si="407">R87+Q86</f>
        <v>-1088417820.2576392</v>
      </c>
      <c r="S86">
        <f t="shared" ref="S86" si="408">R86/100000</f>
        <v>-10884.178202576391</v>
      </c>
      <c r="T86">
        <f t="shared" ref="T86" si="409">S86/1000</f>
        <v>-10.884178202576392</v>
      </c>
    </row>
    <row r="87" spans="1:20" x14ac:dyDescent="0.25">
      <c r="A87" s="5">
        <v>44506</v>
      </c>
      <c r="B87">
        <v>0.9163</v>
      </c>
      <c r="C87">
        <v>0.95</v>
      </c>
      <c r="D87">
        <v>0.89080000000000004</v>
      </c>
      <c r="E87">
        <v>0.93140000000000001</v>
      </c>
      <c r="F87">
        <v>8735423</v>
      </c>
      <c r="G87">
        <v>0.93140000000000001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0.37162162162162243</v>
      </c>
      <c r="Q87">
        <f t="shared" ref="Q87" si="411">F87*P87</f>
        <v>3246272.0608108179</v>
      </c>
      <c r="R87">
        <f t="shared" ref="R87" si="412">R88+Q87</f>
        <v>-1087613739.4216263</v>
      </c>
      <c r="S87">
        <f t="shared" ref="S87" si="413">R87/100000</f>
        <v>-10876.137394216263</v>
      </c>
      <c r="T87">
        <f t="shared" ref="T87" si="414">S87/1000</f>
        <v>-10.876137394216263</v>
      </c>
    </row>
    <row r="88" spans="1:20" x14ac:dyDescent="0.25">
      <c r="A88" s="5">
        <v>44505</v>
      </c>
      <c r="B88">
        <v>0.94689999999999996</v>
      </c>
      <c r="C88">
        <v>0.94810000000000005</v>
      </c>
      <c r="D88">
        <v>0.90680000000000005</v>
      </c>
      <c r="E88">
        <v>0.91669999999999996</v>
      </c>
      <c r="F88">
        <v>10507413</v>
      </c>
      <c r="G88">
        <v>0.91669999999999996</v>
      </c>
      <c r="L88" t="s">
        <v>8</v>
      </c>
      <c r="M88" t="s">
        <v>7</v>
      </c>
      <c r="N88" t="s">
        <v>7</v>
      </c>
      <c r="P88">
        <f t="shared" ref="P88" si="415">IF(C88=D88,0,((E88-D88)-(C88-E88))/(C88-D88))</f>
        <v>-0.52058111380145722</v>
      </c>
      <c r="Q88">
        <f t="shared" ref="Q88" si="416">F88*P88</f>
        <v>-5469960.7627119105</v>
      </c>
      <c r="R88">
        <f t="shared" ref="R88" si="417">R89+Q88</f>
        <v>-1090860011.4824371</v>
      </c>
      <c r="S88">
        <f t="shared" ref="S88" si="418">R88/100000</f>
        <v>-10908.600114824372</v>
      </c>
      <c r="T88">
        <f t="shared" ref="T88" si="419">S88/1000</f>
        <v>-10.908600114824372</v>
      </c>
    </row>
    <row r="89" spans="1:20" x14ac:dyDescent="0.25">
      <c r="A89" s="5">
        <v>44504</v>
      </c>
      <c r="B89">
        <v>0.91320000000000001</v>
      </c>
      <c r="C89">
        <v>0.97909999999999997</v>
      </c>
      <c r="D89">
        <v>0.89939999999999998</v>
      </c>
      <c r="E89">
        <v>0.94640000000000002</v>
      </c>
      <c r="F89">
        <v>19610390</v>
      </c>
      <c r="G89">
        <v>0.94640000000000002</v>
      </c>
      <c r="L89" t="s">
        <v>8</v>
      </c>
      <c r="M89" t="s">
        <v>7</v>
      </c>
      <c r="N89" t="s">
        <v>7</v>
      </c>
      <c r="P89">
        <f t="shared" ref="P89" si="420">IF(C89=D89,0,((E89-D89)-(C89-E89))/(C89-D89))</f>
        <v>0.17942283563362724</v>
      </c>
      <c r="Q89">
        <f t="shared" ref="Q89" si="421">F89*P89</f>
        <v>3518551.7816813271</v>
      </c>
      <c r="R89">
        <f t="shared" ref="R89" si="422">R90+Q89</f>
        <v>-1085390050.7197251</v>
      </c>
      <c r="S89">
        <f t="shared" ref="S89" si="423">R89/100000</f>
        <v>-10853.900507197251</v>
      </c>
      <c r="T89">
        <f t="shared" ref="T89" si="424">S89/1000</f>
        <v>-10.853900507197251</v>
      </c>
    </row>
    <row r="90" spans="1:20" x14ac:dyDescent="0.25">
      <c r="A90" s="5">
        <v>44503</v>
      </c>
      <c r="B90">
        <v>0.9335</v>
      </c>
      <c r="C90">
        <v>0.94</v>
      </c>
      <c r="D90">
        <v>0.87629999999999997</v>
      </c>
      <c r="E90">
        <v>0.91300000000000003</v>
      </c>
      <c r="F90">
        <v>11284453</v>
      </c>
      <c r="G90">
        <v>0.91300000000000003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0.15227629513344043</v>
      </c>
      <c r="Q90">
        <f t="shared" ref="Q90" si="426">F90*P90</f>
        <v>1718354.6954474372</v>
      </c>
      <c r="R90">
        <f t="shared" ref="R90" si="427">R91+Q90</f>
        <v>-1088908602.5014064</v>
      </c>
      <c r="S90">
        <f t="shared" ref="S90" si="428">R90/100000</f>
        <v>-10889.086025014065</v>
      </c>
      <c r="T90">
        <f t="shared" ref="T90" si="429">S90/1000</f>
        <v>-10.889086025014064</v>
      </c>
    </row>
    <row r="91" spans="1:20" x14ac:dyDescent="0.25">
      <c r="A91" s="5">
        <v>44502</v>
      </c>
      <c r="B91">
        <v>0.90810000000000002</v>
      </c>
      <c r="C91">
        <v>0.95</v>
      </c>
      <c r="D91">
        <v>0.88819999999999999</v>
      </c>
      <c r="E91">
        <v>0.93430000000000002</v>
      </c>
      <c r="F91">
        <v>19537735</v>
      </c>
      <c r="G91">
        <v>0.93430000000000002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0.49190938511327037</v>
      </c>
      <c r="Q91">
        <f t="shared" ref="Q91" si="431">F91*P91</f>
        <v>9610795.2103560213</v>
      </c>
      <c r="R91">
        <f t="shared" ref="R91" si="432">R92+Q91</f>
        <v>-1090626957.1968539</v>
      </c>
      <c r="S91">
        <f t="shared" ref="S91" si="433">R91/100000</f>
        <v>-10906.269571968538</v>
      </c>
      <c r="T91">
        <f t="shared" ref="T91" si="434">S91/1000</f>
        <v>-10.906269571968538</v>
      </c>
    </row>
    <row r="92" spans="1:20" x14ac:dyDescent="0.25">
      <c r="A92" s="5">
        <v>44501</v>
      </c>
      <c r="B92">
        <v>0.93520000000000003</v>
      </c>
      <c r="C92">
        <v>0.93579999999999997</v>
      </c>
      <c r="D92">
        <v>0.86019999999999996</v>
      </c>
      <c r="E92">
        <v>0.90900000000000003</v>
      </c>
      <c r="F92">
        <v>12397260</v>
      </c>
      <c r="G92">
        <v>0.90900000000000003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0.29100529100529271</v>
      </c>
      <c r="Q92">
        <f t="shared" ref="Q92" si="436">F92*P92</f>
        <v>3607668.2539682752</v>
      </c>
      <c r="R92">
        <f t="shared" ref="R92" si="437">R93+Q92</f>
        <v>-1100237752.4072099</v>
      </c>
      <c r="S92">
        <f t="shared" ref="S92" si="438">R92/100000</f>
        <v>-11002.377524072099</v>
      </c>
      <c r="T92">
        <f t="shared" ref="T92" si="439">S92/1000</f>
        <v>-11.002377524072099</v>
      </c>
    </row>
    <row r="93" spans="1:20" x14ac:dyDescent="0.25">
      <c r="A93" s="5">
        <v>44500</v>
      </c>
      <c r="B93">
        <v>0.98309999999999997</v>
      </c>
      <c r="C93">
        <v>1.0363</v>
      </c>
      <c r="D93">
        <v>0.88439999999999996</v>
      </c>
      <c r="E93">
        <v>0.93520000000000003</v>
      </c>
      <c r="F93">
        <v>23295371</v>
      </c>
      <c r="G93">
        <v>0.93520000000000003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-0.33113890717577282</v>
      </c>
      <c r="Q93">
        <f t="shared" ref="Q93" si="441">F93*P93</f>
        <v>-7714003.6951941904</v>
      </c>
      <c r="R93">
        <f t="shared" ref="R93" si="442">R94+Q93</f>
        <v>-1103845420.6611781</v>
      </c>
      <c r="S93">
        <f t="shared" ref="S93" si="443">R93/100000</f>
        <v>-11038.454206611781</v>
      </c>
      <c r="T93">
        <f t="shared" ref="T93" si="444">S93/1000</f>
        <v>-11.038454206611782</v>
      </c>
    </row>
    <row r="94" spans="1:20" x14ac:dyDescent="0.25">
      <c r="A94" s="5">
        <v>44499</v>
      </c>
      <c r="B94">
        <v>0.94330000000000003</v>
      </c>
      <c r="C94">
        <v>1.1568000000000001</v>
      </c>
      <c r="D94">
        <v>0.93830000000000002</v>
      </c>
      <c r="E94">
        <v>0.98309999999999997</v>
      </c>
      <c r="F94">
        <v>74829216</v>
      </c>
      <c r="G94">
        <v>0.98309999999999997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-0.589931350114417</v>
      </c>
      <c r="Q94">
        <f t="shared" ref="Q94" si="446">F94*P94</f>
        <v>-44144100.422883332</v>
      </c>
      <c r="R94">
        <f t="shared" ref="R94" si="447">R95+Q94</f>
        <v>-1096131416.9659839</v>
      </c>
      <c r="S94">
        <f t="shared" ref="S94" si="448">R94/100000</f>
        <v>-10961.31416965984</v>
      </c>
      <c r="T94">
        <f t="shared" ref="T94" si="449">S94/1000</f>
        <v>-10.96131416965984</v>
      </c>
    </row>
    <row r="95" spans="1:20" x14ac:dyDescent="0.25">
      <c r="A95" s="5">
        <v>44498</v>
      </c>
      <c r="B95">
        <v>0.95760000000000001</v>
      </c>
      <c r="C95">
        <v>0.97319999999999995</v>
      </c>
      <c r="D95">
        <v>0.92579999999999996</v>
      </c>
      <c r="E95">
        <v>0.94369999999999998</v>
      </c>
      <c r="F95">
        <v>12157604</v>
      </c>
      <c r="G95">
        <v>0.94369999999999998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-0.24472573839662329</v>
      </c>
      <c r="Q95">
        <f t="shared" ref="Q95" si="451">F95*P95</f>
        <v>-2975278.6160337408</v>
      </c>
      <c r="R95">
        <f t="shared" ref="R95" si="452">R96+Q95</f>
        <v>-1051987316.5431005</v>
      </c>
      <c r="S95">
        <f t="shared" ref="S95" si="453">R95/100000</f>
        <v>-10519.873165431005</v>
      </c>
      <c r="T95">
        <f t="shared" ref="T95" si="454">S95/1000</f>
        <v>-10.519873165431004</v>
      </c>
    </row>
    <row r="96" spans="1:20" x14ac:dyDescent="0.25">
      <c r="A96" s="5">
        <v>44497</v>
      </c>
      <c r="B96">
        <v>0.93230000000000002</v>
      </c>
      <c r="C96">
        <v>0.95979999999999999</v>
      </c>
      <c r="D96">
        <v>0.88119999999999998</v>
      </c>
      <c r="E96">
        <v>0.95760000000000001</v>
      </c>
      <c r="F96">
        <v>21506800</v>
      </c>
      <c r="G96">
        <v>0.95760000000000001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0.94402035623409719</v>
      </c>
      <c r="Q96">
        <f t="shared" ref="Q96" si="456">F96*P96</f>
        <v>20302856.997455481</v>
      </c>
      <c r="R96">
        <f t="shared" ref="R96" si="457">R97+Q96</f>
        <v>-1049012037.9270667</v>
      </c>
      <c r="S96">
        <f t="shared" ref="S96" si="458">R96/100000</f>
        <v>-10490.120379270667</v>
      </c>
      <c r="T96">
        <f t="shared" ref="T96" si="459">S96/1000</f>
        <v>-10.490120379270667</v>
      </c>
    </row>
    <row r="97" spans="1:20" x14ac:dyDescent="0.25">
      <c r="A97" s="5">
        <v>44496</v>
      </c>
      <c r="B97">
        <v>1.1088</v>
      </c>
      <c r="C97">
        <v>1.1476999999999999</v>
      </c>
      <c r="D97">
        <v>0.89139999999999997</v>
      </c>
      <c r="E97">
        <v>0.93169999999999997</v>
      </c>
      <c r="F97">
        <v>37260958</v>
      </c>
      <c r="G97">
        <v>0.93169999999999997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-0.68552477565353098</v>
      </c>
      <c r="Q97">
        <f t="shared" ref="Q97" si="461">F97*P97</f>
        <v>-25543309.873585641</v>
      </c>
      <c r="R97">
        <f t="shared" ref="R97" si="462">R98+Q97</f>
        <v>-1069314894.9245222</v>
      </c>
      <c r="S97">
        <f t="shared" ref="S97" si="463">R97/100000</f>
        <v>-10693.148949245222</v>
      </c>
      <c r="T97">
        <f t="shared" ref="T97" si="464">S97/1000</f>
        <v>-10.693148949245222</v>
      </c>
    </row>
    <row r="98" spans="1:20" x14ac:dyDescent="0.25">
      <c r="A98" s="5">
        <v>44495</v>
      </c>
      <c r="B98">
        <v>1.1189</v>
      </c>
      <c r="C98">
        <v>1.1518999999999999</v>
      </c>
      <c r="D98">
        <v>1.0928</v>
      </c>
      <c r="E98">
        <v>1.1091</v>
      </c>
      <c r="F98">
        <v>22901074</v>
      </c>
      <c r="G98">
        <v>1.1091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-0.44839255499153974</v>
      </c>
      <c r="Q98">
        <f t="shared" ref="Q98" si="466">F98*P98</f>
        <v>-10268671.082910322</v>
      </c>
      <c r="R98">
        <f t="shared" ref="R98" si="467">R99+Q98</f>
        <v>-1043771585.0509366</v>
      </c>
      <c r="S98">
        <f t="shared" ref="S98" si="468">R98/100000</f>
        <v>-10437.715850509367</v>
      </c>
      <c r="T98">
        <f t="shared" ref="T98" si="469">S98/1000</f>
        <v>-10.437715850509367</v>
      </c>
    </row>
    <row r="99" spans="1:20" x14ac:dyDescent="0.25">
      <c r="A99" s="5">
        <v>44494</v>
      </c>
      <c r="B99">
        <v>1.101</v>
      </c>
      <c r="C99">
        <v>1.127</v>
      </c>
      <c r="D99">
        <v>1.0848</v>
      </c>
      <c r="E99">
        <v>1.1180000000000001</v>
      </c>
      <c r="F99">
        <v>11563223</v>
      </c>
      <c r="G99">
        <v>1.1180000000000001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0.57345971563981546</v>
      </c>
      <c r="Q99">
        <f t="shared" ref="Q99" si="471">F99*P99</f>
        <v>6631042.5734597743</v>
      </c>
      <c r="R99">
        <f t="shared" ref="R99" si="472">R100+Q99</f>
        <v>-1033502913.9680263</v>
      </c>
      <c r="S99">
        <f t="shared" ref="S99" si="473">R99/100000</f>
        <v>-10335.029139680262</v>
      </c>
      <c r="T99">
        <f t="shared" ref="T99" si="474">S99/1000</f>
        <v>-10.335029139680262</v>
      </c>
    </row>
    <row r="100" spans="1:20" x14ac:dyDescent="0.25">
      <c r="A100" s="5">
        <v>44493</v>
      </c>
      <c r="B100">
        <v>1.1529</v>
      </c>
      <c r="C100">
        <v>1.1556999999999999</v>
      </c>
      <c r="D100">
        <v>1.0766</v>
      </c>
      <c r="E100">
        <v>1.101</v>
      </c>
      <c r="F100">
        <v>12154862</v>
      </c>
      <c r="G100">
        <v>1.101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-0.38305941845764874</v>
      </c>
      <c r="Q100">
        <f t="shared" ref="Q100" si="476">F100*P100</f>
        <v>-4656034.3691529734</v>
      </c>
      <c r="R100">
        <f t="shared" ref="R100" si="477">R101+Q100</f>
        <v>-1040133956.541486</v>
      </c>
      <c r="S100">
        <f t="shared" ref="S100" si="478">R100/100000</f>
        <v>-10401.339565414861</v>
      </c>
      <c r="T100">
        <f t="shared" ref="T100" si="479">S100/1000</f>
        <v>-10.40133956541486</v>
      </c>
    </row>
    <row r="101" spans="1:20" x14ac:dyDescent="0.25">
      <c r="A101" s="5">
        <v>44492</v>
      </c>
      <c r="B101">
        <v>1.1242000000000001</v>
      </c>
      <c r="C101">
        <v>1.1808000000000001</v>
      </c>
      <c r="D101">
        <v>1.107</v>
      </c>
      <c r="E101">
        <v>1.1527000000000001</v>
      </c>
      <c r="F101">
        <v>19276479</v>
      </c>
      <c r="G101">
        <v>1.1527000000000001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0.23848238482384876</v>
      </c>
      <c r="Q101">
        <f t="shared" ref="Q101" si="481">F101*P101</f>
        <v>4597100.6829268392</v>
      </c>
      <c r="R101">
        <f t="shared" ref="R101" si="482">R102+Q101</f>
        <v>-1035477922.172333</v>
      </c>
      <c r="S101">
        <f t="shared" ref="S101" si="483">R101/100000</f>
        <v>-10354.779221723331</v>
      </c>
      <c r="T101">
        <f t="shared" ref="T101" si="484">S101/1000</f>
        <v>-10.35477922172333</v>
      </c>
    </row>
    <row r="102" spans="1:20" x14ac:dyDescent="0.25">
      <c r="A102" s="5">
        <v>44491</v>
      </c>
      <c r="B102">
        <v>1.1478999999999999</v>
      </c>
      <c r="C102">
        <v>1.1798</v>
      </c>
      <c r="D102">
        <v>1.0920000000000001</v>
      </c>
      <c r="E102">
        <v>1.1245000000000001</v>
      </c>
      <c r="F102">
        <v>20770068</v>
      </c>
      <c r="G102">
        <v>1.1245000000000001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-0.25968109339407702</v>
      </c>
      <c r="Q102">
        <f t="shared" ref="Q102" si="486">F102*P102</f>
        <v>-5393593.9681093302</v>
      </c>
      <c r="R102">
        <f t="shared" ref="R102" si="487">R103+Q102</f>
        <v>-1040075022.8552599</v>
      </c>
      <c r="S102">
        <f t="shared" ref="S102" si="488">R102/100000</f>
        <v>-10400.750228552599</v>
      </c>
      <c r="T102">
        <f t="shared" ref="T102" si="489">S102/1000</f>
        <v>-10.400750228552599</v>
      </c>
    </row>
    <row r="103" spans="1:20" x14ac:dyDescent="0.25">
      <c r="A103" s="5">
        <v>44490</v>
      </c>
      <c r="B103">
        <v>1.1846000000000001</v>
      </c>
      <c r="C103">
        <v>1.2450000000000001</v>
      </c>
      <c r="D103">
        <v>1.1213</v>
      </c>
      <c r="E103">
        <v>1.1478999999999999</v>
      </c>
      <c r="F103">
        <v>42395833</v>
      </c>
      <c r="G103">
        <v>1.1478999999999999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-0.56992724333063982</v>
      </c>
      <c r="Q103">
        <f t="shared" ref="Q103" si="491">F103*P103</f>
        <v>-24162540.23039617</v>
      </c>
      <c r="R103">
        <f t="shared" ref="R103" si="492">R104+Q103</f>
        <v>-1034681428.8871505</v>
      </c>
      <c r="S103">
        <f t="shared" ref="S103" si="493">R103/100000</f>
        <v>-10346.814288871505</v>
      </c>
      <c r="T103">
        <f t="shared" ref="T103" si="494">S103/1000</f>
        <v>-10.346814288871505</v>
      </c>
    </row>
    <row r="104" spans="1:20" x14ac:dyDescent="0.25">
      <c r="A104" s="5">
        <v>44489</v>
      </c>
      <c r="B104">
        <v>1.2198</v>
      </c>
      <c r="C104">
        <v>1.2395</v>
      </c>
      <c r="D104">
        <v>1.0839000000000001</v>
      </c>
      <c r="E104">
        <v>1.1840999999999999</v>
      </c>
      <c r="F104">
        <v>40085100</v>
      </c>
      <c r="G104">
        <v>1.1840999999999999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0.28791773778920143</v>
      </c>
      <c r="Q104">
        <f t="shared" ref="Q104" si="496">F104*P104</f>
        <v>11541211.311053919</v>
      </c>
      <c r="R104">
        <f t="shared" ref="R104" si="497">R105+Q104</f>
        <v>-1010518888.6567544</v>
      </c>
      <c r="S104">
        <f t="shared" ref="S104" si="498">R104/100000</f>
        <v>-10105.188886567545</v>
      </c>
      <c r="T104">
        <f t="shared" ref="T104" si="499">S104/1000</f>
        <v>-10.105188886567545</v>
      </c>
    </row>
    <row r="105" spans="1:20" x14ac:dyDescent="0.25">
      <c r="A105" s="5">
        <v>44488</v>
      </c>
      <c r="B105">
        <v>1.3146</v>
      </c>
      <c r="C105">
        <v>1.4091</v>
      </c>
      <c r="D105">
        <v>1.1952</v>
      </c>
      <c r="E105">
        <v>1.2199</v>
      </c>
      <c r="F105">
        <v>34060039</v>
      </c>
      <c r="G105">
        <v>1.2199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-0.7690509583917724</v>
      </c>
      <c r="Q105">
        <f t="shared" ref="Q105" si="501">F105*P105</f>
        <v>-26193905.635811146</v>
      </c>
      <c r="R105">
        <f t="shared" ref="R105" si="502">R106+Q105</f>
        <v>-1022060099.9678082</v>
      </c>
      <c r="S105">
        <f t="shared" ref="S105" si="503">R105/100000</f>
        <v>-10220.600999678083</v>
      </c>
      <c r="T105">
        <f t="shared" ref="T105" si="504">S105/1000</f>
        <v>-10.220600999678084</v>
      </c>
    </row>
    <row r="106" spans="1:20" x14ac:dyDescent="0.25">
      <c r="A106" s="5">
        <v>44487</v>
      </c>
      <c r="B106">
        <v>1.4845999999999999</v>
      </c>
      <c r="C106">
        <v>1.5</v>
      </c>
      <c r="D106">
        <v>1.2515000000000001</v>
      </c>
      <c r="E106">
        <v>1.3169</v>
      </c>
      <c r="F106">
        <v>42877611</v>
      </c>
      <c r="G106">
        <v>1.3169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-0.47364185110664048</v>
      </c>
      <c r="Q106">
        <f t="shared" ref="Q106" si="506">F106*P106</f>
        <v>-20308631.045070451</v>
      </c>
      <c r="R106">
        <f t="shared" ref="R106" si="507">R107+Q106</f>
        <v>-995866194.33199716</v>
      </c>
      <c r="S106">
        <f t="shared" ref="S106" si="508">R106/100000</f>
        <v>-9958.6619433199721</v>
      </c>
      <c r="T106">
        <f t="shared" ref="T106" si="509">S106/1000</f>
        <v>-9.9586619433199726</v>
      </c>
    </row>
    <row r="107" spans="1:20" x14ac:dyDescent="0.25">
      <c r="A107" s="5">
        <v>44486</v>
      </c>
      <c r="B107">
        <v>1.5669999999999999</v>
      </c>
      <c r="C107">
        <v>1.8153999999999999</v>
      </c>
      <c r="D107">
        <v>1.38</v>
      </c>
      <c r="E107">
        <v>1.4845999999999999</v>
      </c>
      <c r="F107">
        <v>119393835</v>
      </c>
      <c r="G107">
        <v>1.4845999999999999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-0.51952227836472198</v>
      </c>
      <c r="Q107">
        <f t="shared" ref="Q107" si="511">F107*P107</f>
        <v>-62027757.181901686</v>
      </c>
      <c r="R107">
        <f t="shared" ref="R107" si="512">R108+Q107</f>
        <v>-975557563.28692675</v>
      </c>
      <c r="S107">
        <f t="shared" ref="S107" si="513">R107/100000</f>
        <v>-9755.5756328692678</v>
      </c>
      <c r="T107">
        <f t="shared" ref="T107" si="514">S107/1000</f>
        <v>-9.7555756328692684</v>
      </c>
    </row>
    <row r="108" spans="1:20" x14ac:dyDescent="0.25">
      <c r="A108" s="5">
        <v>44485</v>
      </c>
      <c r="B108">
        <v>1.3891</v>
      </c>
      <c r="C108">
        <v>2.0512000000000001</v>
      </c>
      <c r="D108">
        <v>1.2544999999999999</v>
      </c>
      <c r="E108">
        <v>1.5685</v>
      </c>
      <c r="F108">
        <v>377608283</v>
      </c>
      <c r="G108">
        <v>1.5685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-0.2117484624074307</v>
      </c>
      <c r="Q108">
        <f t="shared" ref="Q108" si="516">F108*P108</f>
        <v>-79957973.317559958</v>
      </c>
      <c r="R108">
        <f t="shared" ref="R108" si="517">R109+Q108</f>
        <v>-913529806.10502505</v>
      </c>
      <c r="S108">
        <f t="shared" ref="S108" si="518">R108/100000</f>
        <v>-9135.2980610502509</v>
      </c>
      <c r="T108">
        <f t="shared" ref="T108" si="519">S108/1000</f>
        <v>-9.1352980610502517</v>
      </c>
    </row>
    <row r="109" spans="1:20" x14ac:dyDescent="0.25">
      <c r="A109" s="5">
        <v>44484</v>
      </c>
      <c r="B109">
        <v>0.29480000000000001</v>
      </c>
      <c r="C109">
        <v>2.7646000000000002</v>
      </c>
      <c r="D109">
        <v>0.28899999999999998</v>
      </c>
      <c r="E109">
        <v>1.389</v>
      </c>
      <c r="F109">
        <v>1175704448</v>
      </c>
      <c r="G109">
        <v>1.389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-0.11132654709969303</v>
      </c>
      <c r="Q109">
        <f t="shared" ref="Q109" si="521">F109*P109</f>
        <v>-130887116.6055906</v>
      </c>
      <c r="R109">
        <f t="shared" ref="R109" si="522">R110+Q109</f>
        <v>-833571832.7874651</v>
      </c>
      <c r="S109">
        <f t="shared" ref="S109" si="523">R109/100000</f>
        <v>-8335.7183278746506</v>
      </c>
      <c r="T109">
        <f t="shared" ref="T109" si="524">S109/1000</f>
        <v>-8.3357183278746501</v>
      </c>
    </row>
    <row r="110" spans="1:20" x14ac:dyDescent="0.25">
      <c r="A110" s="5">
        <v>44483</v>
      </c>
      <c r="B110">
        <v>0.2908</v>
      </c>
      <c r="C110">
        <v>0.29830000000000001</v>
      </c>
      <c r="D110">
        <v>0.28960000000000002</v>
      </c>
      <c r="E110">
        <v>0.29449999999999998</v>
      </c>
      <c r="F110">
        <v>6194542</v>
      </c>
      <c r="G110">
        <v>0.29449999999999998</v>
      </c>
      <c r="L110" t="s">
        <v>7</v>
      </c>
      <c r="M110" t="s">
        <v>7</v>
      </c>
      <c r="N110" t="s">
        <v>7</v>
      </c>
      <c r="P110">
        <f t="shared" ref="P110" si="525">IF(C110=D110,0,((E110-D110)-(C110-E110))/(C110-D110))</f>
        <v>0.12643678160918806</v>
      </c>
      <c r="Q110">
        <f t="shared" ref="Q110" si="526">F110*P110</f>
        <v>783217.95402294304</v>
      </c>
      <c r="R110">
        <f t="shared" ref="R110" si="527">R111+Q110</f>
        <v>-702684716.18187451</v>
      </c>
      <c r="S110">
        <f t="shared" ref="S110" si="528">R110/100000</f>
        <v>-7026.847161818745</v>
      </c>
      <c r="T110">
        <f t="shared" ref="T110" si="529">S110/1000</f>
        <v>-7.0268471618187451</v>
      </c>
    </row>
    <row r="111" spans="1:20" x14ac:dyDescent="0.25">
      <c r="A111" s="5">
        <v>44482</v>
      </c>
      <c r="B111">
        <v>0.28660000000000002</v>
      </c>
      <c r="C111">
        <v>0.30819999999999997</v>
      </c>
      <c r="D111">
        <v>0.28000000000000003</v>
      </c>
      <c r="E111">
        <v>0.29020000000000001</v>
      </c>
      <c r="F111">
        <v>7973415</v>
      </c>
      <c r="G111">
        <v>0.29020000000000001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-0.27659574468085063</v>
      </c>
      <c r="Q111">
        <f t="shared" ref="Q111" si="531">F111*P111</f>
        <v>-2205412.6595744644</v>
      </c>
      <c r="R111">
        <f t="shared" ref="R111" si="532">R112+Q111</f>
        <v>-703467934.1358974</v>
      </c>
      <c r="S111">
        <f t="shared" ref="S111" si="533">R111/100000</f>
        <v>-7034.6793413589739</v>
      </c>
      <c r="T111">
        <f t="shared" ref="T111" si="534">S111/1000</f>
        <v>-7.0346793413589737</v>
      </c>
    </row>
    <row r="112" spans="1:20" x14ac:dyDescent="0.25">
      <c r="A112" s="5">
        <v>44481</v>
      </c>
      <c r="B112">
        <v>0.29649999999999999</v>
      </c>
      <c r="C112">
        <v>0.30859999999999999</v>
      </c>
      <c r="D112">
        <v>0.28179999999999999</v>
      </c>
      <c r="E112">
        <v>0.28599999999999998</v>
      </c>
      <c r="F112">
        <v>13758165</v>
      </c>
      <c r="G112">
        <v>0.28599999999999998</v>
      </c>
      <c r="L112" t="s">
        <v>8</v>
      </c>
      <c r="M112" t="s">
        <v>7</v>
      </c>
      <c r="N112" t="s">
        <v>7</v>
      </c>
      <c r="P112">
        <f t="shared" ref="P112" si="535">IF(C112=D112,0,((E112-D112)-(C112-E112))/(C112-D112))</f>
        <v>-0.68656716417910579</v>
      </c>
      <c r="Q112">
        <f t="shared" ref="Q112" si="536">F112*P112</f>
        <v>-9445904.3283582274</v>
      </c>
      <c r="R112">
        <f t="shared" ref="R112" si="537">R113+Q112</f>
        <v>-701262521.47632289</v>
      </c>
      <c r="S112">
        <f t="shared" ref="S112" si="538">R112/100000</f>
        <v>-7012.6252147632285</v>
      </c>
      <c r="T112">
        <f t="shared" ref="T112" si="539">S112/1000</f>
        <v>-7.0126252147632284</v>
      </c>
    </row>
    <row r="113" spans="1:20" x14ac:dyDescent="0.25">
      <c r="A113" s="5">
        <v>44480</v>
      </c>
      <c r="B113">
        <v>0.28810000000000002</v>
      </c>
      <c r="C113">
        <v>0.30520000000000003</v>
      </c>
      <c r="D113">
        <v>0.27700000000000002</v>
      </c>
      <c r="E113">
        <v>0.29649999999999999</v>
      </c>
      <c r="F113">
        <v>17987019</v>
      </c>
      <c r="G113">
        <v>0.29649999999999999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0.38297872340425249</v>
      </c>
      <c r="Q113">
        <f t="shared" ref="Q113" si="541">F113*P113</f>
        <v>6888645.5744680343</v>
      </c>
      <c r="R113">
        <f t="shared" ref="R113" si="542">R114+Q113</f>
        <v>-691816617.14796472</v>
      </c>
      <c r="S113">
        <f t="shared" ref="S113" si="543">R113/100000</f>
        <v>-6918.1661714796473</v>
      </c>
      <c r="T113">
        <f t="shared" ref="T113" si="544">S113/1000</f>
        <v>-6.9181661714796476</v>
      </c>
    </row>
    <row r="114" spans="1:20" x14ac:dyDescent="0.25">
      <c r="A114" s="5">
        <v>44479</v>
      </c>
      <c r="B114">
        <v>0.318</v>
      </c>
      <c r="C114">
        <v>0.31859999999999999</v>
      </c>
      <c r="D114">
        <v>0.28689999999999999</v>
      </c>
      <c r="E114">
        <v>0.28799999999999998</v>
      </c>
      <c r="F114">
        <v>9678217</v>
      </c>
      <c r="G114">
        <v>0.28799999999999998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-0.93059936908517416</v>
      </c>
      <c r="Q114">
        <f t="shared" ref="Q114" si="546">F114*P114</f>
        <v>-9006542.6340694074</v>
      </c>
      <c r="R114">
        <f t="shared" ref="R114" si="547">R115+Q114</f>
        <v>-698705262.72243273</v>
      </c>
      <c r="S114">
        <f t="shared" ref="S114" si="548">R114/100000</f>
        <v>-6987.0526272243269</v>
      </c>
      <c r="T114">
        <f t="shared" ref="T114" si="549">S114/1000</f>
        <v>-6.987052627224327</v>
      </c>
    </row>
    <row r="115" spans="1:20" x14ac:dyDescent="0.25">
      <c r="A115" s="5">
        <v>44478</v>
      </c>
      <c r="B115">
        <v>0.30980000000000002</v>
      </c>
      <c r="C115">
        <v>0.33379999999999999</v>
      </c>
      <c r="D115">
        <v>0.3049</v>
      </c>
      <c r="E115">
        <v>0.3175</v>
      </c>
      <c r="F115">
        <v>15092936</v>
      </c>
      <c r="G115">
        <v>0.3175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-0.12802768166089909</v>
      </c>
      <c r="Q115">
        <f t="shared" ref="Q115" si="551">F115*P115</f>
        <v>-1932313.6055363237</v>
      </c>
      <c r="R115">
        <f t="shared" ref="R115" si="552">R116+Q115</f>
        <v>-689698720.08836329</v>
      </c>
      <c r="S115">
        <f t="shared" ref="S115" si="553">R115/100000</f>
        <v>-6896.9872008836328</v>
      </c>
      <c r="T115">
        <f t="shared" ref="T115" si="554">S115/1000</f>
        <v>-6.8969872008836326</v>
      </c>
    </row>
    <row r="116" spans="1:20" x14ac:dyDescent="0.25">
      <c r="A116" s="5">
        <v>44477</v>
      </c>
      <c r="B116">
        <v>0.30919999999999997</v>
      </c>
      <c r="C116">
        <v>0.32600000000000001</v>
      </c>
      <c r="D116">
        <v>0.3034</v>
      </c>
      <c r="E116">
        <v>0.30959999999999999</v>
      </c>
      <c r="F116">
        <v>9185009</v>
      </c>
      <c r="G116">
        <v>0.30959999999999999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-0.45132743362832028</v>
      </c>
      <c r="Q116">
        <f t="shared" ref="Q116" si="556">F116*P116</f>
        <v>-4145446.5398230245</v>
      </c>
      <c r="R116">
        <f t="shared" ref="R116" si="557">R117+Q116</f>
        <v>-687766406.48282695</v>
      </c>
      <c r="S116">
        <f t="shared" ref="S116" si="558">R116/100000</f>
        <v>-6877.6640648282691</v>
      </c>
      <c r="T116">
        <f t="shared" ref="T116" si="559">S116/1000</f>
        <v>-6.8776640648282692</v>
      </c>
    </row>
    <row r="117" spans="1:20" x14ac:dyDescent="0.25">
      <c r="A117" s="5">
        <v>44476</v>
      </c>
      <c r="B117">
        <v>0.31440000000000001</v>
      </c>
      <c r="C117">
        <v>0.33400000000000002</v>
      </c>
      <c r="D117">
        <v>0.3049</v>
      </c>
      <c r="E117">
        <v>0.30880000000000002</v>
      </c>
      <c r="F117">
        <v>13942358</v>
      </c>
      <c r="G117">
        <v>0.30880000000000002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-0.73195876288659711</v>
      </c>
      <c r="Q117">
        <f t="shared" ref="Q117" si="561">F117*P117</f>
        <v>-10205231.11340205</v>
      </c>
      <c r="R117">
        <f t="shared" ref="R117" si="562">R118+Q117</f>
        <v>-683620959.94300389</v>
      </c>
      <c r="S117">
        <f t="shared" ref="S117" si="563">R117/100000</f>
        <v>-6836.2095994300389</v>
      </c>
      <c r="T117">
        <f t="shared" ref="T117" si="564">S117/1000</f>
        <v>-6.8362095994300391</v>
      </c>
    </row>
    <row r="118" spans="1:20" x14ac:dyDescent="0.25">
      <c r="A118" s="5">
        <v>44475</v>
      </c>
      <c r="B118">
        <v>0.31809999999999999</v>
      </c>
      <c r="C118">
        <v>0.33500000000000002</v>
      </c>
      <c r="D118">
        <v>0.31140000000000001</v>
      </c>
      <c r="E118">
        <v>0.31440000000000001</v>
      </c>
      <c r="F118">
        <v>10670608</v>
      </c>
      <c r="G118">
        <v>0.31440000000000001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-0.74576271186440668</v>
      </c>
      <c r="Q118">
        <f t="shared" ref="Q118" si="566">F118*P118</f>
        <v>-7957741.5593220331</v>
      </c>
      <c r="R118">
        <f t="shared" ref="R118" si="567">R119+Q118</f>
        <v>-673415728.82960188</v>
      </c>
      <c r="S118">
        <f t="shared" ref="S118" si="568">R118/100000</f>
        <v>-6734.157288296019</v>
      </c>
      <c r="T118">
        <f t="shared" ref="T118" si="569">S118/1000</f>
        <v>-6.7341572882960188</v>
      </c>
    </row>
    <row r="119" spans="1:20" x14ac:dyDescent="0.25">
      <c r="A119" s="5">
        <v>44474</v>
      </c>
      <c r="B119">
        <v>0.30709999999999998</v>
      </c>
      <c r="C119">
        <v>0.32379999999999998</v>
      </c>
      <c r="D119">
        <v>0.30470000000000003</v>
      </c>
      <c r="E119">
        <v>0.31719999999999998</v>
      </c>
      <c r="F119">
        <v>10539043</v>
      </c>
      <c r="G119">
        <v>0.31719999999999998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0.3089005235602082</v>
      </c>
      <c r="Q119">
        <f t="shared" ref="Q119" si="571">F119*P119</f>
        <v>3255515.9005235471</v>
      </c>
      <c r="R119">
        <f t="shared" ref="R119" si="572">R120+Q119</f>
        <v>-665457987.27027988</v>
      </c>
      <c r="S119">
        <f t="shared" ref="S119" si="573">R119/100000</f>
        <v>-6654.5798727027986</v>
      </c>
      <c r="T119">
        <f t="shared" ref="T119" si="574">S119/1000</f>
        <v>-6.6545798727027989</v>
      </c>
    </row>
    <row r="120" spans="1:20" x14ac:dyDescent="0.25">
      <c r="A120" s="5">
        <v>44473</v>
      </c>
      <c r="B120">
        <v>0.3</v>
      </c>
      <c r="C120">
        <v>0.30859999999999999</v>
      </c>
      <c r="D120">
        <v>0.28699999999999998</v>
      </c>
      <c r="E120">
        <v>0.30740000000000001</v>
      </c>
      <c r="F120">
        <v>6324674</v>
      </c>
      <c r="G120">
        <v>0.30740000000000001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0.88888888888889084</v>
      </c>
      <c r="Q120">
        <f t="shared" ref="Q120" si="576">F120*P120</f>
        <v>5621932.4444444571</v>
      </c>
      <c r="R120">
        <f t="shared" ref="R120" si="577">R121+Q120</f>
        <v>-668713503.17080343</v>
      </c>
      <c r="S120">
        <f t="shared" ref="S120" si="578">R120/100000</f>
        <v>-6687.1350317080341</v>
      </c>
      <c r="T120">
        <f t="shared" ref="T120" si="579">S120/1000</f>
        <v>-6.687135031708034</v>
      </c>
    </row>
    <row r="121" spans="1:20" x14ac:dyDescent="0.25">
      <c r="A121" s="5">
        <v>44472</v>
      </c>
      <c r="B121">
        <v>0.30309999999999998</v>
      </c>
      <c r="C121">
        <v>0.309</v>
      </c>
      <c r="D121">
        <v>0.2908</v>
      </c>
      <c r="E121">
        <v>0.29980000000000001</v>
      </c>
      <c r="F121">
        <v>9416131</v>
      </c>
      <c r="G121">
        <v>0.29980000000000001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-1.0989010989009783E-2</v>
      </c>
      <c r="Q121">
        <f t="shared" ref="Q121" si="581">F121*P121</f>
        <v>-103473.96703295567</v>
      </c>
      <c r="R121">
        <f t="shared" ref="R121" si="582">R122+Q121</f>
        <v>-674335435.61524785</v>
      </c>
      <c r="S121">
        <f t="shared" ref="S121" si="583">R121/100000</f>
        <v>-6743.3543561524784</v>
      </c>
      <c r="T121">
        <f t="shared" ref="T121" si="584">S121/1000</f>
        <v>-6.7433543561524782</v>
      </c>
    </row>
    <row r="122" spans="1:20" x14ac:dyDescent="0.25">
      <c r="A122" s="5">
        <v>44471</v>
      </c>
      <c r="B122">
        <v>0.2928</v>
      </c>
      <c r="C122">
        <v>0.30599999999999999</v>
      </c>
      <c r="D122">
        <v>0.2853</v>
      </c>
      <c r="E122">
        <v>0.30309999999999998</v>
      </c>
      <c r="F122">
        <v>8817724</v>
      </c>
      <c r="G122">
        <v>0.30309999999999998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0.7198067632850228</v>
      </c>
      <c r="Q122">
        <f t="shared" ref="Q122" si="586">F122*P122</f>
        <v>6347057.3719806643</v>
      </c>
      <c r="R122">
        <f t="shared" ref="R122" si="587">R123+Q122</f>
        <v>-674231961.64821494</v>
      </c>
      <c r="S122">
        <f t="shared" ref="S122" si="588">R122/100000</f>
        <v>-6742.3196164821493</v>
      </c>
      <c r="T122">
        <f t="shared" ref="T122" si="589">S122/1000</f>
        <v>-6.7423196164821491</v>
      </c>
    </row>
    <row r="123" spans="1:20" x14ac:dyDescent="0.25">
      <c r="A123" s="5">
        <v>44470</v>
      </c>
      <c r="B123">
        <v>0.27179999999999999</v>
      </c>
      <c r="C123">
        <v>0.29320000000000002</v>
      </c>
      <c r="D123">
        <v>0.27</v>
      </c>
      <c r="E123">
        <v>0.29320000000000002</v>
      </c>
      <c r="F123">
        <v>12848567</v>
      </c>
      <c r="G123">
        <v>0.29320000000000002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1</v>
      </c>
      <c r="Q123">
        <f t="shared" ref="Q123" si="591">F123*P123</f>
        <v>12848567</v>
      </c>
      <c r="R123">
        <f t="shared" ref="R123" si="592">R124+Q123</f>
        <v>-680579019.0201956</v>
      </c>
      <c r="S123">
        <f t="shared" ref="S123" si="593">R123/100000</f>
        <v>-6805.7901902019557</v>
      </c>
      <c r="T123">
        <f t="shared" ref="T123" si="594">S123/1000</f>
        <v>-6.8057901902019555</v>
      </c>
    </row>
    <row r="124" spans="1:20" x14ac:dyDescent="0.25">
      <c r="A124" s="5">
        <v>44469</v>
      </c>
      <c r="B124">
        <v>0.26069999999999999</v>
      </c>
      <c r="C124">
        <v>0.27500000000000002</v>
      </c>
      <c r="D124">
        <v>0.26019999999999999</v>
      </c>
      <c r="E124">
        <v>0.27200000000000002</v>
      </c>
      <c r="F124">
        <v>6013955</v>
      </c>
      <c r="G124">
        <v>0.27200000000000002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0.59459459459459518</v>
      </c>
      <c r="Q124">
        <f t="shared" ref="Q124" si="596">F124*P124</f>
        <v>3575865.1351351389</v>
      </c>
      <c r="R124">
        <f t="shared" ref="R124" si="597">R125+Q124</f>
        <v>-693427586.0201956</v>
      </c>
      <c r="S124">
        <f t="shared" ref="S124" si="598">R124/100000</f>
        <v>-6934.2758602019558</v>
      </c>
      <c r="T124">
        <f t="shared" ref="T124" si="599">S124/1000</f>
        <v>-6.9342758602019554</v>
      </c>
    </row>
    <row r="125" spans="1:20" x14ac:dyDescent="0.25">
      <c r="A125" s="5">
        <v>44468</v>
      </c>
      <c r="B125">
        <v>0.25879999999999997</v>
      </c>
      <c r="C125">
        <v>0.28139999999999998</v>
      </c>
      <c r="D125">
        <v>0.25700000000000001</v>
      </c>
      <c r="E125">
        <v>0.26079999999999998</v>
      </c>
      <c r="F125">
        <v>13264236</v>
      </c>
      <c r="G125">
        <v>0.26079999999999998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-0.68852459016393663</v>
      </c>
      <c r="Q125">
        <f t="shared" ref="Q125" si="601">F125*P125</f>
        <v>-9132752.6557377335</v>
      </c>
      <c r="R125">
        <f t="shared" ref="R125" si="602">R126+Q125</f>
        <v>-697003451.15533078</v>
      </c>
      <c r="S125">
        <f t="shared" ref="S125" si="603">R125/100000</f>
        <v>-6970.0345115533082</v>
      </c>
      <c r="T125">
        <f t="shared" ref="T125" si="604">S125/1000</f>
        <v>-6.9700345115533082</v>
      </c>
    </row>
    <row r="126" spans="1:20" x14ac:dyDescent="0.25">
      <c r="A126" s="5">
        <v>44467</v>
      </c>
      <c r="B126">
        <v>0.26090000000000002</v>
      </c>
      <c r="C126">
        <v>0.28970000000000001</v>
      </c>
      <c r="D126">
        <v>0.2576</v>
      </c>
      <c r="E126">
        <v>0.25919999999999999</v>
      </c>
      <c r="F126">
        <v>28958262</v>
      </c>
      <c r="G126">
        <v>0.25919999999999999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-0.90031152647975143</v>
      </c>
      <c r="Q126">
        <f t="shared" ref="Q126" si="606">F126*P126</f>
        <v>-26071457.065420579</v>
      </c>
      <c r="R126">
        <f t="shared" ref="R126" si="607">R127+Q126</f>
        <v>-687870698.49959302</v>
      </c>
      <c r="S126">
        <f t="shared" ref="S126" si="608">R126/100000</f>
        <v>-6878.7069849959298</v>
      </c>
      <c r="T126">
        <f t="shared" ref="T126" si="609">S126/1000</f>
        <v>-6.8787069849959295</v>
      </c>
    </row>
    <row r="127" spans="1:20" x14ac:dyDescent="0.25">
      <c r="A127" s="5">
        <v>44466</v>
      </c>
      <c r="B127">
        <v>0.2737</v>
      </c>
      <c r="C127">
        <v>0.29120000000000001</v>
      </c>
      <c r="D127">
        <v>0.26050000000000001</v>
      </c>
      <c r="E127">
        <v>0.26050000000000001</v>
      </c>
      <c r="F127">
        <v>15972741</v>
      </c>
      <c r="G127">
        <v>0.26050000000000001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-1</v>
      </c>
      <c r="Q127">
        <f t="shared" ref="Q127" si="611">F127*P127</f>
        <v>-15972741</v>
      </c>
      <c r="R127">
        <f t="shared" ref="R127" si="612">R128+Q127</f>
        <v>-661799241.43417239</v>
      </c>
      <c r="S127">
        <f t="shared" ref="S127" si="613">R127/100000</f>
        <v>-6617.9924143417238</v>
      </c>
      <c r="T127">
        <f t="shared" ref="T127" si="614">S127/1000</f>
        <v>-6.6179924143417237</v>
      </c>
    </row>
    <row r="128" spans="1:20" x14ac:dyDescent="0.25">
      <c r="A128" s="5">
        <v>44465</v>
      </c>
      <c r="B128">
        <v>0.29249999999999998</v>
      </c>
      <c r="C128">
        <v>0.29449999999999998</v>
      </c>
      <c r="D128">
        <v>0.25390000000000001</v>
      </c>
      <c r="E128">
        <v>0.27460000000000001</v>
      </c>
      <c r="F128">
        <v>15140766</v>
      </c>
      <c r="G128">
        <v>0.27460000000000001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1.9704433497537525E-2</v>
      </c>
      <c r="Q128">
        <f t="shared" ref="Q128" si="616">F128*P128</f>
        <v>298340.21674877725</v>
      </c>
      <c r="R128">
        <f t="shared" ref="R128" si="617">R129+Q128</f>
        <v>-645826500.43417239</v>
      </c>
      <c r="S128">
        <f t="shared" ref="S128" si="618">R128/100000</f>
        <v>-6458.2650043417243</v>
      </c>
      <c r="T128">
        <f t="shared" ref="T128" si="619">S128/1000</f>
        <v>-6.4582650043417242</v>
      </c>
    </row>
    <row r="129" spans="1:20" x14ac:dyDescent="0.25">
      <c r="A129" s="5">
        <v>44464</v>
      </c>
      <c r="B129">
        <v>0.27750000000000002</v>
      </c>
      <c r="C129">
        <v>0.33</v>
      </c>
      <c r="D129">
        <v>0.26900000000000002</v>
      </c>
      <c r="E129">
        <v>0.29289999999999999</v>
      </c>
      <c r="F129">
        <v>27980793</v>
      </c>
      <c r="G129">
        <v>0.29289999999999999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-0.21639344262295157</v>
      </c>
      <c r="Q129">
        <f t="shared" ref="Q129" si="621">F129*P129</f>
        <v>-6054860.1245901845</v>
      </c>
      <c r="R129">
        <f t="shared" ref="R129" si="622">R130+Q129</f>
        <v>-646124840.65092123</v>
      </c>
      <c r="S129">
        <f t="shared" ref="S129" si="623">R129/100000</f>
        <v>-6461.2484065092121</v>
      </c>
      <c r="T129">
        <f t="shared" ref="T129" si="624">S129/1000</f>
        <v>-6.4612484065092124</v>
      </c>
    </row>
    <row r="130" spans="1:20" x14ac:dyDescent="0.25">
      <c r="A130" s="5">
        <v>44463</v>
      </c>
      <c r="B130">
        <v>0.29570000000000002</v>
      </c>
      <c r="C130">
        <v>0.30130000000000001</v>
      </c>
      <c r="D130">
        <v>0.25480000000000003</v>
      </c>
      <c r="E130">
        <v>0.27750000000000002</v>
      </c>
      <c r="F130">
        <v>8064979</v>
      </c>
      <c r="G130">
        <v>0.27750000000000002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-2.3655913978494415E-2</v>
      </c>
      <c r="Q130">
        <f t="shared" ref="Q130" si="626">F130*P130</f>
        <v>-190784.4494623639</v>
      </c>
      <c r="R130">
        <f t="shared" ref="R130" si="627">R131+Q130</f>
        <v>-640069980.52633107</v>
      </c>
      <c r="S130">
        <f t="shared" ref="S130" si="628">R130/100000</f>
        <v>-6400.6998052633107</v>
      </c>
      <c r="T130">
        <f t="shared" ref="T130" si="629">S130/1000</f>
        <v>-6.4006998052633106</v>
      </c>
    </row>
    <row r="131" spans="1:20" x14ac:dyDescent="0.25">
      <c r="A131" s="5">
        <v>44462</v>
      </c>
      <c r="B131">
        <v>0.29099999999999998</v>
      </c>
      <c r="C131">
        <v>0.30449999999999999</v>
      </c>
      <c r="D131">
        <v>0.2853</v>
      </c>
      <c r="E131">
        <v>0.29509999999999997</v>
      </c>
      <c r="F131">
        <v>9195970</v>
      </c>
      <c r="G131">
        <v>0.29509999999999997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2.0833333333331046E-2</v>
      </c>
      <c r="Q131">
        <f t="shared" ref="Q131" si="631">F131*P131</f>
        <v>191582.7083333123</v>
      </c>
      <c r="R131">
        <f t="shared" ref="R131" si="632">R132+Q131</f>
        <v>-639879196.07686865</v>
      </c>
      <c r="S131">
        <f t="shared" ref="S131" si="633">R131/100000</f>
        <v>-6398.7919607686863</v>
      </c>
      <c r="T131">
        <f t="shared" ref="T131" si="634">S131/1000</f>
        <v>-6.3987919607686861</v>
      </c>
    </row>
    <row r="132" spans="1:20" x14ac:dyDescent="0.25">
      <c r="A132" s="5">
        <v>44461</v>
      </c>
      <c r="B132">
        <v>0.25640000000000002</v>
      </c>
      <c r="C132">
        <v>0.29480000000000001</v>
      </c>
      <c r="D132">
        <v>0.25640000000000002</v>
      </c>
      <c r="E132">
        <v>0.29099999999999998</v>
      </c>
      <c r="F132">
        <v>16597441</v>
      </c>
      <c r="G132">
        <v>0.29099999999999998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0.80208333333333193</v>
      </c>
      <c r="Q132">
        <f t="shared" ref="Q132" si="636">F132*P132</f>
        <v>13312530.80208331</v>
      </c>
      <c r="R132">
        <f t="shared" ref="R132" si="637">R133+Q132</f>
        <v>-640070778.78520191</v>
      </c>
      <c r="S132">
        <f t="shared" ref="S132" si="638">R132/100000</f>
        <v>-6400.7077878520195</v>
      </c>
      <c r="T132">
        <f t="shared" ref="T132" si="639">S132/1000</f>
        <v>-6.4007077878520198</v>
      </c>
    </row>
    <row r="133" spans="1:20" x14ac:dyDescent="0.25">
      <c r="A133" s="5">
        <v>44460</v>
      </c>
      <c r="B133">
        <v>0.27500000000000002</v>
      </c>
      <c r="C133">
        <v>0.29780000000000001</v>
      </c>
      <c r="D133">
        <v>0.25</v>
      </c>
      <c r="E133">
        <v>0.25640000000000002</v>
      </c>
      <c r="F133">
        <v>9479041</v>
      </c>
      <c r="G133">
        <v>0.25640000000000002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-0.73221757322175662</v>
      </c>
      <c r="Q133">
        <f t="shared" ref="Q133" si="641">F133*P133</f>
        <v>-6940720.3974895328</v>
      </c>
      <c r="R133">
        <f t="shared" ref="R133" si="642">R134+Q133</f>
        <v>-653383309.58728516</v>
      </c>
      <c r="S133">
        <f t="shared" ref="S133" si="643">R133/100000</f>
        <v>-6533.833095872852</v>
      </c>
      <c r="T133">
        <f t="shared" ref="T133" si="644">S133/1000</f>
        <v>-6.5338330958728523</v>
      </c>
    </row>
    <row r="134" spans="1:20" x14ac:dyDescent="0.25">
      <c r="A134" s="5">
        <v>44459</v>
      </c>
      <c r="B134">
        <v>0.32350000000000001</v>
      </c>
      <c r="C134">
        <v>0.32500000000000001</v>
      </c>
      <c r="D134">
        <v>0.28989999999999999</v>
      </c>
      <c r="E134">
        <v>0.29220000000000002</v>
      </c>
      <c r="F134">
        <v>6777625</v>
      </c>
      <c r="G134">
        <v>0.29220000000000002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-0.86894586894586767</v>
      </c>
      <c r="Q134">
        <f t="shared" ref="Q134" si="646">F134*P134</f>
        <v>-5889389.2450142363</v>
      </c>
      <c r="R134">
        <f t="shared" ref="R134" si="647">R135+Q134</f>
        <v>-646442589.18979561</v>
      </c>
      <c r="S134">
        <f t="shared" ref="S134" si="648">R134/100000</f>
        <v>-6464.4258918979558</v>
      </c>
      <c r="T134">
        <f t="shared" ref="T134" si="649">S134/1000</f>
        <v>-6.4644258918979558</v>
      </c>
    </row>
    <row r="135" spans="1:20" x14ac:dyDescent="0.25">
      <c r="A135" s="5">
        <v>44458</v>
      </c>
      <c r="B135">
        <v>0.33260000000000001</v>
      </c>
      <c r="C135">
        <v>0.34129999999999999</v>
      </c>
      <c r="D135">
        <v>0.3211</v>
      </c>
      <c r="E135">
        <v>0.3251</v>
      </c>
      <c r="F135">
        <v>11422827</v>
      </c>
      <c r="G135">
        <v>0.3251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-0.6039603960396035</v>
      </c>
      <c r="Q135">
        <f t="shared" ref="Q135" si="651">F135*P135</f>
        <v>-6898935.1188118756</v>
      </c>
      <c r="R135">
        <f t="shared" ref="R135" si="652">R136+Q135</f>
        <v>-640553199.94478142</v>
      </c>
      <c r="S135">
        <f t="shared" ref="S135" si="653">R135/100000</f>
        <v>-6405.5319994478141</v>
      </c>
      <c r="T135">
        <f t="shared" ref="T135" si="654">S135/1000</f>
        <v>-6.4055319994478142</v>
      </c>
    </row>
    <row r="136" spans="1:20" x14ac:dyDescent="0.25">
      <c r="A136" s="5">
        <v>44457</v>
      </c>
      <c r="B136">
        <v>0.32369999999999999</v>
      </c>
      <c r="C136">
        <v>0.35149999999999998</v>
      </c>
      <c r="D136">
        <v>0.31830000000000003</v>
      </c>
      <c r="E136">
        <v>0.33229999999999998</v>
      </c>
      <c r="F136">
        <v>12724183</v>
      </c>
      <c r="G136">
        <v>0.33229999999999998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-0.15662650602409775</v>
      </c>
      <c r="Q136">
        <f t="shared" ref="Q136" si="656">F136*P136</f>
        <v>-1992944.3253012223</v>
      </c>
      <c r="R136">
        <f t="shared" ref="R136" si="657">R137+Q136</f>
        <v>-633654264.82596958</v>
      </c>
      <c r="S136">
        <f t="shared" ref="S136" si="658">R136/100000</f>
        <v>-6336.5426482596959</v>
      </c>
      <c r="T136">
        <f t="shared" ref="T136" si="659">S136/1000</f>
        <v>-6.3365426482596963</v>
      </c>
    </row>
    <row r="137" spans="1:20" x14ac:dyDescent="0.25">
      <c r="A137" s="5">
        <v>44456</v>
      </c>
      <c r="B137">
        <v>0.32790000000000002</v>
      </c>
      <c r="C137">
        <v>0.35199999999999998</v>
      </c>
      <c r="D137">
        <v>0.31979999999999997</v>
      </c>
      <c r="E137">
        <v>0.32319999999999999</v>
      </c>
      <c r="F137">
        <v>19406412</v>
      </c>
      <c r="G137">
        <v>0.32319999999999999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-0.78881987577639667</v>
      </c>
      <c r="Q137">
        <f t="shared" ref="Q137" si="661">F137*P137</f>
        <v>-15308163.503105573</v>
      </c>
      <c r="R137">
        <f t="shared" ref="R137" si="662">R138+Q137</f>
        <v>-631661320.50066841</v>
      </c>
      <c r="S137">
        <f t="shared" ref="S137" si="663">R137/100000</f>
        <v>-6316.6132050066844</v>
      </c>
      <c r="T137">
        <f t="shared" ref="T137" si="664">S137/1000</f>
        <v>-6.3166132050066848</v>
      </c>
    </row>
    <row r="138" spans="1:20" x14ac:dyDescent="0.25">
      <c r="A138" s="5">
        <v>44455</v>
      </c>
      <c r="B138">
        <v>0.34100000000000003</v>
      </c>
      <c r="C138">
        <v>0.39989999999999998</v>
      </c>
      <c r="D138">
        <v>0.32140000000000002</v>
      </c>
      <c r="E138">
        <v>0.32790000000000002</v>
      </c>
      <c r="F138">
        <v>18814483</v>
      </c>
      <c r="G138">
        <v>0.32790000000000002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-0.83439490445859854</v>
      </c>
      <c r="Q138">
        <f t="shared" ref="Q138" si="666">F138*P138</f>
        <v>-15698708.745222926</v>
      </c>
      <c r="R138">
        <f t="shared" ref="R138" si="667">R139+Q138</f>
        <v>-616353156.99756289</v>
      </c>
      <c r="S138">
        <f t="shared" ref="S138" si="668">R138/100000</f>
        <v>-6163.5315699756293</v>
      </c>
      <c r="T138">
        <f t="shared" ref="T138" si="669">S138/1000</f>
        <v>-6.1635315699756292</v>
      </c>
    </row>
    <row r="139" spans="1:20" x14ac:dyDescent="0.25">
      <c r="A139" s="5">
        <v>44454</v>
      </c>
      <c r="B139">
        <v>0.31459999999999999</v>
      </c>
      <c r="C139">
        <v>0.375</v>
      </c>
      <c r="D139">
        <v>0.31290000000000001</v>
      </c>
      <c r="E139">
        <v>0.3412</v>
      </c>
      <c r="F139">
        <v>15819356</v>
      </c>
      <c r="G139">
        <v>0.3412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-8.8566827697262582E-2</v>
      </c>
      <c r="Q139">
        <f t="shared" ref="Q139" si="671">F139*P139</f>
        <v>-1401070.177133657</v>
      </c>
      <c r="R139">
        <f t="shared" ref="R139" si="672">R140+Q139</f>
        <v>-600654448.25233996</v>
      </c>
      <c r="S139">
        <f t="shared" ref="S139" si="673">R139/100000</f>
        <v>-6006.5444825233999</v>
      </c>
      <c r="T139">
        <f t="shared" ref="T139" si="674">S139/1000</f>
        <v>-6.0065444825233998</v>
      </c>
    </row>
    <row r="140" spans="1:20" x14ac:dyDescent="0.25">
      <c r="A140" s="5">
        <v>44453</v>
      </c>
      <c r="B140">
        <v>0.313</v>
      </c>
      <c r="C140">
        <v>0.32450000000000001</v>
      </c>
      <c r="D140">
        <v>0.30690000000000001</v>
      </c>
      <c r="E140">
        <v>0.31540000000000001</v>
      </c>
      <c r="F140">
        <v>8285791</v>
      </c>
      <c r="G140">
        <v>0.31540000000000001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-3.4090909090908485E-2</v>
      </c>
      <c r="Q140">
        <f t="shared" ref="Q140" si="676">F140*P140</f>
        <v>-282470.1477272677</v>
      </c>
      <c r="R140">
        <f t="shared" ref="R140" si="677">R141+Q140</f>
        <v>-599253378.07520628</v>
      </c>
      <c r="S140">
        <f t="shared" ref="S140" si="678">R140/100000</f>
        <v>-5992.5337807520627</v>
      </c>
      <c r="T140">
        <f t="shared" ref="T140" si="679">S140/1000</f>
        <v>-5.9925337807520629</v>
      </c>
    </row>
    <row r="141" spans="1:20" x14ac:dyDescent="0.25">
      <c r="A141" s="5">
        <v>44452</v>
      </c>
      <c r="B141">
        <v>0.32440000000000002</v>
      </c>
      <c r="C141">
        <v>0.32869999999999999</v>
      </c>
      <c r="D141">
        <v>0.29480000000000001</v>
      </c>
      <c r="E141">
        <v>0.313</v>
      </c>
      <c r="F141">
        <v>11407555</v>
      </c>
      <c r="G141">
        <v>0.313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7.3746312684365878E-2</v>
      </c>
      <c r="Q141">
        <f t="shared" ref="Q141" si="681">F141*P141</f>
        <v>841265.11799410137</v>
      </c>
      <c r="R141">
        <f t="shared" ref="R141" si="682">R142+Q141</f>
        <v>-598970907.92747903</v>
      </c>
      <c r="S141">
        <f t="shared" ref="S141" si="683">R141/100000</f>
        <v>-5989.7090792747904</v>
      </c>
      <c r="T141">
        <f t="shared" ref="T141" si="684">S141/1000</f>
        <v>-5.9897090792747907</v>
      </c>
    </row>
    <row r="142" spans="1:20" x14ac:dyDescent="0.25">
      <c r="A142" s="5">
        <v>44451</v>
      </c>
      <c r="B142">
        <v>0.3165</v>
      </c>
      <c r="C142">
        <v>0.34100000000000003</v>
      </c>
      <c r="D142">
        <v>0.30409999999999998</v>
      </c>
      <c r="E142">
        <v>0.32440000000000002</v>
      </c>
      <c r="F142">
        <v>9157270</v>
      </c>
      <c r="G142">
        <v>0.32440000000000002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0.10027100271002798</v>
      </c>
      <c r="Q142">
        <f t="shared" ref="Q142" si="686">F142*P142</f>
        <v>918208.64498645789</v>
      </c>
      <c r="R142">
        <f t="shared" ref="R142" si="687">R143+Q142</f>
        <v>-599812173.0454731</v>
      </c>
      <c r="S142">
        <f t="shared" ref="S142" si="688">R142/100000</f>
        <v>-5998.1217304547308</v>
      </c>
      <c r="T142">
        <f t="shared" ref="T142" si="689">S142/1000</f>
        <v>-5.9981217304547307</v>
      </c>
    </row>
    <row r="143" spans="1:20" x14ac:dyDescent="0.25">
      <c r="A143" s="5">
        <v>44450</v>
      </c>
      <c r="B143">
        <v>0.30730000000000002</v>
      </c>
      <c r="C143">
        <v>0.32450000000000001</v>
      </c>
      <c r="D143">
        <v>0.30399999999999999</v>
      </c>
      <c r="E143">
        <v>0.31690000000000002</v>
      </c>
      <c r="F143">
        <v>7304320</v>
      </c>
      <c r="G143">
        <v>0.31690000000000002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0.25853658536585472</v>
      </c>
      <c r="Q143">
        <f t="shared" ref="Q143" si="691">F143*P143</f>
        <v>1888433.9512195201</v>
      </c>
      <c r="R143">
        <f t="shared" ref="R143" si="692">R144+Q143</f>
        <v>-600730381.69045961</v>
      </c>
      <c r="S143">
        <f t="shared" ref="S143" si="693">R143/100000</f>
        <v>-6007.3038169045958</v>
      </c>
      <c r="T143">
        <f t="shared" ref="T143" si="694">S143/1000</f>
        <v>-6.0073038169045958</v>
      </c>
    </row>
    <row r="144" spans="1:20" x14ac:dyDescent="0.25">
      <c r="A144" s="5">
        <v>44449</v>
      </c>
      <c r="B144">
        <v>0.33579999999999999</v>
      </c>
      <c r="C144">
        <v>0.3599</v>
      </c>
      <c r="D144">
        <v>0.3004</v>
      </c>
      <c r="E144">
        <v>0.30759999999999998</v>
      </c>
      <c r="F144">
        <v>24366572</v>
      </c>
      <c r="G144">
        <v>0.30759999999999998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-0.75798319327731145</v>
      </c>
      <c r="Q144">
        <f t="shared" ref="Q144" si="696">F144*P144</f>
        <v>-18469452.053781524</v>
      </c>
      <c r="R144">
        <f t="shared" ref="R144" si="697">R145+Q144</f>
        <v>-602618815.64167917</v>
      </c>
      <c r="S144">
        <f t="shared" ref="S144" si="698">R144/100000</f>
        <v>-6026.1881564167916</v>
      </c>
      <c r="T144">
        <f t="shared" ref="T144" si="699">S144/1000</f>
        <v>-6.0261881564167918</v>
      </c>
    </row>
    <row r="145" spans="1:20" x14ac:dyDescent="0.25">
      <c r="A145" s="5">
        <v>44448</v>
      </c>
      <c r="B145">
        <v>0.33360000000000001</v>
      </c>
      <c r="C145">
        <v>0.35930000000000001</v>
      </c>
      <c r="D145">
        <v>0.32319999999999999</v>
      </c>
      <c r="E145">
        <v>0.33579999999999999</v>
      </c>
      <c r="F145">
        <v>36744943</v>
      </c>
      <c r="G145">
        <v>0.33579999999999999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-0.30193905817174554</v>
      </c>
      <c r="Q145">
        <f t="shared" ref="Q145" si="701">F145*P145</f>
        <v>-11094733.481994474</v>
      </c>
      <c r="R145">
        <f t="shared" ref="R145" si="702">R146+Q145</f>
        <v>-584149363.58789766</v>
      </c>
      <c r="S145">
        <f t="shared" ref="S145" si="703">R145/100000</f>
        <v>-5841.4936358789764</v>
      </c>
      <c r="T145">
        <f t="shared" ref="T145" si="704">S145/1000</f>
        <v>-5.8414936358789769</v>
      </c>
    </row>
    <row r="146" spans="1:20" x14ac:dyDescent="0.25">
      <c r="A146" s="5">
        <v>44447</v>
      </c>
      <c r="B146">
        <v>0.3498</v>
      </c>
      <c r="C146">
        <v>0.37019999999999997</v>
      </c>
      <c r="D146">
        <v>0.31140000000000001</v>
      </c>
      <c r="E146">
        <v>0.33360000000000001</v>
      </c>
      <c r="F146">
        <v>26251432</v>
      </c>
      <c r="G146">
        <v>0.33360000000000001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-0.24489795918367308</v>
      </c>
      <c r="Q146">
        <f t="shared" ref="Q146" si="706">F146*P146</f>
        <v>-6428922.1224489696</v>
      </c>
      <c r="R146">
        <f t="shared" ref="R146" si="707">R147+Q146</f>
        <v>-573054630.10590315</v>
      </c>
      <c r="S146">
        <f t="shared" ref="S146" si="708">R146/100000</f>
        <v>-5730.5463010590311</v>
      </c>
      <c r="T146">
        <f t="shared" ref="T146" si="709">S146/1000</f>
        <v>-5.7305463010590314</v>
      </c>
    </row>
    <row r="147" spans="1:20" x14ac:dyDescent="0.25">
      <c r="A147" s="5">
        <v>44446</v>
      </c>
      <c r="B147">
        <v>0.47749999999999998</v>
      </c>
      <c r="C147">
        <v>0.4854</v>
      </c>
      <c r="D147">
        <v>0.29360000000000003</v>
      </c>
      <c r="E147">
        <v>0.34970000000000001</v>
      </c>
      <c r="F147">
        <v>89419204</v>
      </c>
      <c r="G147">
        <v>0.34970000000000001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-0.41501564129301366</v>
      </c>
      <c r="Q147">
        <f t="shared" ref="Q147" si="711">F147*P147</f>
        <v>-37110368.291970812</v>
      </c>
      <c r="R147">
        <f t="shared" ref="R147" si="712">R148+Q147</f>
        <v>-566625707.98345423</v>
      </c>
      <c r="S147">
        <f t="shared" ref="S147" si="713">R147/100000</f>
        <v>-5666.2570798345423</v>
      </c>
      <c r="T147">
        <f t="shared" ref="T147" si="714">S147/1000</f>
        <v>-5.6662570798345424</v>
      </c>
    </row>
    <row r="148" spans="1:20" x14ac:dyDescent="0.25">
      <c r="A148" s="5">
        <v>44445</v>
      </c>
      <c r="B148">
        <v>0.33950000000000002</v>
      </c>
      <c r="C148">
        <v>0.50949999999999995</v>
      </c>
      <c r="D148">
        <v>0.33400000000000002</v>
      </c>
      <c r="E148">
        <v>0.47699999999999998</v>
      </c>
      <c r="F148">
        <v>64067944</v>
      </c>
      <c r="G148">
        <v>0.47699999999999998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0.62962962962962976</v>
      </c>
      <c r="Q148">
        <f t="shared" ref="Q148" si="716">F148*P148</f>
        <v>40339075.851851858</v>
      </c>
      <c r="R148">
        <f t="shared" ref="R148" si="717">R149+Q148</f>
        <v>-529515339.69148344</v>
      </c>
      <c r="S148">
        <f t="shared" ref="S148" si="718">R148/100000</f>
        <v>-5295.153396914834</v>
      </c>
      <c r="T148">
        <f t="shared" ref="T148" si="719">S148/1000</f>
        <v>-5.2951533969148343</v>
      </c>
    </row>
    <row r="149" spans="1:20" x14ac:dyDescent="0.25">
      <c r="A149" s="5">
        <v>44444</v>
      </c>
      <c r="B149">
        <v>0.33650000000000002</v>
      </c>
      <c r="C149">
        <v>0.35399999999999998</v>
      </c>
      <c r="D149">
        <v>0.32979999999999998</v>
      </c>
      <c r="E149">
        <v>0.33910000000000001</v>
      </c>
      <c r="F149">
        <v>11362073</v>
      </c>
      <c r="G149">
        <v>0.33910000000000001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-0.2314049586776834</v>
      </c>
      <c r="Q149">
        <f t="shared" ref="Q149" si="721">F149*P149</f>
        <v>-2629240.0330578224</v>
      </c>
      <c r="R149">
        <f t="shared" ref="R149" si="722">R150+Q149</f>
        <v>-569854415.54333532</v>
      </c>
      <c r="S149">
        <f t="shared" ref="S149" si="723">R149/100000</f>
        <v>-5698.5441554333529</v>
      </c>
      <c r="T149">
        <f t="shared" ref="T149" si="724">S149/1000</f>
        <v>-5.6985441554333525</v>
      </c>
    </row>
    <row r="150" spans="1:20" x14ac:dyDescent="0.25">
      <c r="A150" s="5">
        <v>44443</v>
      </c>
      <c r="B150">
        <v>0.33260000000000001</v>
      </c>
      <c r="C150">
        <v>0.33650000000000002</v>
      </c>
      <c r="D150">
        <v>0.32500000000000001</v>
      </c>
      <c r="E150">
        <v>0.33650000000000002</v>
      </c>
      <c r="F150">
        <v>8723241</v>
      </c>
      <c r="G150">
        <v>0.33650000000000002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1</v>
      </c>
      <c r="Q150">
        <f t="shared" ref="Q150" si="726">F150*P150</f>
        <v>8723241</v>
      </c>
      <c r="R150">
        <f t="shared" ref="R150" si="727">R151+Q150</f>
        <v>-567225175.51027751</v>
      </c>
      <c r="S150">
        <f t="shared" ref="S150" si="728">R150/100000</f>
        <v>-5672.251755102775</v>
      </c>
      <c r="T150">
        <f t="shared" ref="T150" si="729">S150/1000</f>
        <v>-5.6722517551027751</v>
      </c>
    </row>
    <row r="151" spans="1:20" x14ac:dyDescent="0.25">
      <c r="A151" s="5">
        <v>44442</v>
      </c>
      <c r="B151">
        <v>0.32579999999999998</v>
      </c>
      <c r="C151">
        <v>0.34</v>
      </c>
      <c r="D151">
        <v>0.31869999999999998</v>
      </c>
      <c r="E151">
        <v>0.33260000000000001</v>
      </c>
      <c r="F151">
        <v>12178020</v>
      </c>
      <c r="G151">
        <v>0.33260000000000001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0.30516431924882598</v>
      </c>
      <c r="Q151">
        <f t="shared" ref="Q151" si="731">F151*P151</f>
        <v>3716297.1830985877</v>
      </c>
      <c r="R151">
        <f t="shared" ref="R151" si="732">R152+Q151</f>
        <v>-575948416.51027751</v>
      </c>
      <c r="S151">
        <f t="shared" ref="S151" si="733">R151/100000</f>
        <v>-5759.4841651027755</v>
      </c>
      <c r="T151">
        <f t="shared" ref="T151" si="734">S151/1000</f>
        <v>-5.7594841651027755</v>
      </c>
    </row>
    <row r="152" spans="1:20" x14ac:dyDescent="0.25">
      <c r="A152" s="5">
        <v>44441</v>
      </c>
      <c r="B152">
        <v>0.33169999999999999</v>
      </c>
      <c r="C152">
        <v>0.3412</v>
      </c>
      <c r="D152">
        <v>0.32379999999999998</v>
      </c>
      <c r="E152">
        <v>0.32569999999999999</v>
      </c>
      <c r="F152">
        <v>11750961</v>
      </c>
      <c r="G152">
        <v>0.32569999999999999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-0.78160919540229767</v>
      </c>
      <c r="Q152">
        <f t="shared" ref="Q152" si="736">F152*P152</f>
        <v>-9184659.1724137794</v>
      </c>
      <c r="R152">
        <f t="shared" ref="R152" si="737">R153+Q152</f>
        <v>-579664713.69337606</v>
      </c>
      <c r="S152">
        <f t="shared" ref="S152" si="738">R152/100000</f>
        <v>-5796.6471369337605</v>
      </c>
      <c r="T152">
        <f t="shared" ref="T152" si="739">S152/1000</f>
        <v>-5.7966471369337604</v>
      </c>
    </row>
    <row r="153" spans="1:20" x14ac:dyDescent="0.25">
      <c r="A153" s="5">
        <v>44440</v>
      </c>
      <c r="B153">
        <v>0.32050000000000001</v>
      </c>
      <c r="C153">
        <v>0.35110000000000002</v>
      </c>
      <c r="D153">
        <v>0.316</v>
      </c>
      <c r="E153">
        <v>0.33160000000000001</v>
      </c>
      <c r="F153">
        <v>15038458</v>
      </c>
      <c r="G153">
        <v>0.33160000000000001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-0.11111111111111147</v>
      </c>
      <c r="Q153">
        <f t="shared" ref="Q153" si="741">F153*P153</f>
        <v>-1670939.7777777831</v>
      </c>
      <c r="R153">
        <f t="shared" ref="R153" si="742">R154+Q153</f>
        <v>-570480054.52096224</v>
      </c>
      <c r="S153">
        <f t="shared" ref="S153" si="743">R153/100000</f>
        <v>-5704.8005452096222</v>
      </c>
      <c r="T153">
        <f t="shared" ref="T153" si="744">S153/1000</f>
        <v>-5.704800545209622</v>
      </c>
    </row>
    <row r="154" spans="1:20" x14ac:dyDescent="0.25">
      <c r="A154" s="5">
        <v>44439</v>
      </c>
      <c r="B154">
        <v>0.32679999999999998</v>
      </c>
      <c r="C154">
        <v>0.3372</v>
      </c>
      <c r="D154">
        <v>0.31309999999999999</v>
      </c>
      <c r="E154">
        <v>0.32029999999999997</v>
      </c>
      <c r="F154">
        <v>18601830</v>
      </c>
      <c r="G154">
        <v>0.32029999999999997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-0.40248962655601817</v>
      </c>
      <c r="Q154">
        <f t="shared" ref="Q154" si="746">F154*P154</f>
        <v>-7487043.6099585351</v>
      </c>
      <c r="R154">
        <f t="shared" ref="R154" si="747">R155+Q154</f>
        <v>-568809114.74318445</v>
      </c>
      <c r="S154">
        <f t="shared" ref="S154" si="748">R154/100000</f>
        <v>-5688.0911474318445</v>
      </c>
      <c r="T154">
        <f t="shared" ref="T154" si="749">S154/1000</f>
        <v>-5.6880911474318445</v>
      </c>
    </row>
    <row r="155" spans="1:20" x14ac:dyDescent="0.25">
      <c r="A155" s="5">
        <v>44438</v>
      </c>
      <c r="B155">
        <v>0.31269999999999998</v>
      </c>
      <c r="C155">
        <v>0.36919999999999997</v>
      </c>
      <c r="D155">
        <v>0.3095</v>
      </c>
      <c r="E155">
        <v>0.32700000000000001</v>
      </c>
      <c r="F155">
        <v>71600617</v>
      </c>
      <c r="G155">
        <v>0.32700000000000001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-0.41373534338358381</v>
      </c>
      <c r="Q155">
        <f t="shared" ref="Q155" si="751">F155*P155</f>
        <v>-29623705.860971469</v>
      </c>
      <c r="R155">
        <f t="shared" ref="R155" si="752">R156+Q155</f>
        <v>-561322071.13322592</v>
      </c>
      <c r="S155">
        <f t="shared" ref="S155" si="753">R155/100000</f>
        <v>-5613.2207113322593</v>
      </c>
      <c r="T155">
        <f t="shared" ref="T155" si="754">S155/1000</f>
        <v>-5.613220711332259</v>
      </c>
    </row>
    <row r="156" spans="1:20" x14ac:dyDescent="0.25">
      <c r="A156" s="5">
        <v>44437</v>
      </c>
      <c r="B156">
        <v>0.30180000000000001</v>
      </c>
      <c r="C156">
        <v>0.33300000000000002</v>
      </c>
      <c r="D156">
        <v>0.29630000000000001</v>
      </c>
      <c r="E156">
        <v>0.31269999999999998</v>
      </c>
      <c r="F156">
        <v>21520524</v>
      </c>
      <c r="G156">
        <v>0.31269999999999998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-0.10626702997275392</v>
      </c>
      <c r="Q156">
        <f t="shared" ref="Q156" si="756">F156*P156</f>
        <v>-2286922.1689373702</v>
      </c>
      <c r="R156">
        <f t="shared" ref="R156" si="757">R157+Q156</f>
        <v>-531698365.27225441</v>
      </c>
      <c r="S156">
        <f t="shared" ref="S156" si="758">R156/100000</f>
        <v>-5316.9836527225443</v>
      </c>
      <c r="T156">
        <f t="shared" ref="T156" si="759">S156/1000</f>
        <v>-5.316983652722544</v>
      </c>
    </row>
    <row r="157" spans="1:20" x14ac:dyDescent="0.25">
      <c r="A157" s="5">
        <v>44436</v>
      </c>
      <c r="B157">
        <v>0.30959999999999999</v>
      </c>
      <c r="C157">
        <v>0.31019999999999998</v>
      </c>
      <c r="D157">
        <v>0.29949999999999999</v>
      </c>
      <c r="E157">
        <v>0.30080000000000001</v>
      </c>
      <c r="F157">
        <v>8940312</v>
      </c>
      <c r="G157">
        <v>0.30080000000000001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-0.75700934579438783</v>
      </c>
      <c r="Q157">
        <f t="shared" ref="Q157" si="761">F157*P157</f>
        <v>-6767899.738317715</v>
      </c>
      <c r="R157">
        <f t="shared" ref="R157" si="762">R158+Q157</f>
        <v>-529411443.10331702</v>
      </c>
      <c r="S157">
        <f t="shared" ref="S157" si="763">R157/100000</f>
        <v>-5294.1144310331701</v>
      </c>
      <c r="T157">
        <f t="shared" ref="T157" si="764">S157/1000</f>
        <v>-5.2941144310331705</v>
      </c>
    </row>
    <row r="158" spans="1:20" x14ac:dyDescent="0.25">
      <c r="A158" s="5">
        <v>44435</v>
      </c>
      <c r="B158">
        <v>0.28510000000000002</v>
      </c>
      <c r="C158">
        <v>0.31850000000000001</v>
      </c>
      <c r="D158">
        <v>0.28000000000000003</v>
      </c>
      <c r="E158">
        <v>0.30930000000000002</v>
      </c>
      <c r="F158">
        <v>21906667</v>
      </c>
      <c r="G158">
        <v>0.30930000000000002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0.52207792207792258</v>
      </c>
      <c r="Q158">
        <f t="shared" ref="Q158" si="766">F158*P158</f>
        <v>11436987.187012998</v>
      </c>
      <c r="R158">
        <f t="shared" ref="R158" si="767">R159+Q158</f>
        <v>-522643543.36499929</v>
      </c>
      <c r="S158">
        <f t="shared" ref="S158" si="768">R158/100000</f>
        <v>-5226.4354336499928</v>
      </c>
      <c r="T158">
        <f t="shared" ref="T158" si="769">S158/1000</f>
        <v>-5.2264354336499927</v>
      </c>
    </row>
    <row r="159" spans="1:20" x14ac:dyDescent="0.25">
      <c r="A159" s="5">
        <v>44434</v>
      </c>
      <c r="B159">
        <v>0.30769999999999997</v>
      </c>
      <c r="C159">
        <v>0.313</v>
      </c>
      <c r="D159">
        <v>0.28360000000000002</v>
      </c>
      <c r="E159">
        <v>0.28489999999999999</v>
      </c>
      <c r="F159">
        <v>11325644</v>
      </c>
      <c r="G159">
        <v>0.28489999999999999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-0.91156462585034226</v>
      </c>
      <c r="Q159">
        <f t="shared" ref="Q159" si="771">F159*P159</f>
        <v>-10324056.435374174</v>
      </c>
      <c r="R159">
        <f t="shared" ref="R159" si="772">R160+Q159</f>
        <v>-534080530.55201226</v>
      </c>
      <c r="S159">
        <f t="shared" ref="S159" si="773">R159/100000</f>
        <v>-5340.8053055201226</v>
      </c>
      <c r="T159">
        <f t="shared" ref="T159" si="774">S159/1000</f>
        <v>-5.3408053055201226</v>
      </c>
    </row>
    <row r="160" spans="1:20" x14ac:dyDescent="0.25">
      <c r="A160" s="5">
        <v>44433</v>
      </c>
      <c r="B160">
        <v>0.30009999999999998</v>
      </c>
      <c r="C160">
        <v>0.31180000000000002</v>
      </c>
      <c r="D160">
        <v>0.28820000000000001</v>
      </c>
      <c r="E160">
        <v>0.30730000000000002</v>
      </c>
      <c r="F160">
        <v>14075689</v>
      </c>
      <c r="G160">
        <v>0.30730000000000002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0.61864406779660996</v>
      </c>
      <c r="Q160">
        <f t="shared" ref="Q160" si="776">F160*P160</f>
        <v>8707841.4999999963</v>
      </c>
      <c r="R160">
        <f t="shared" ref="R160" si="777">R161+Q160</f>
        <v>-523756474.11663806</v>
      </c>
      <c r="S160">
        <f t="shared" ref="S160" si="778">R160/100000</f>
        <v>-5237.5647411663804</v>
      </c>
      <c r="T160">
        <f t="shared" ref="T160" si="779">S160/1000</f>
        <v>-5.2375647411663806</v>
      </c>
    </row>
    <row r="161" spans="1:20" x14ac:dyDescent="0.25">
      <c r="A161" s="5">
        <v>44432</v>
      </c>
      <c r="B161">
        <v>0.32769999999999999</v>
      </c>
      <c r="C161">
        <v>0.32879999999999998</v>
      </c>
      <c r="D161">
        <v>0.29210000000000003</v>
      </c>
      <c r="E161">
        <v>0.3004</v>
      </c>
      <c r="F161">
        <v>13950290</v>
      </c>
      <c r="G161">
        <v>0.3004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-0.54768392370572294</v>
      </c>
      <c r="Q161">
        <f t="shared" ref="Q161" si="781">F161*P161</f>
        <v>-7640349.5640327102</v>
      </c>
      <c r="R161">
        <f t="shared" ref="R161" si="782">R162+Q161</f>
        <v>-532464315.61663806</v>
      </c>
      <c r="S161">
        <f t="shared" ref="S161" si="783">R161/100000</f>
        <v>-5324.6431561663803</v>
      </c>
      <c r="T161">
        <f t="shared" ref="T161" si="784">S161/1000</f>
        <v>-5.3246431561663803</v>
      </c>
    </row>
    <row r="162" spans="1:20" x14ac:dyDescent="0.25">
      <c r="A162" s="5">
        <v>44431</v>
      </c>
      <c r="B162">
        <v>0.31580000000000003</v>
      </c>
      <c r="C162">
        <v>0.33979999999999999</v>
      </c>
      <c r="D162">
        <v>0.315</v>
      </c>
      <c r="E162">
        <v>0.32729999999999998</v>
      </c>
      <c r="F162">
        <v>20818117</v>
      </c>
      <c r="G162">
        <v>0.32729999999999998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-8.0645161290336127E-3</v>
      </c>
      <c r="Q162">
        <f t="shared" ref="Q162" si="786">F162*P162</f>
        <v>-167888.04032260884</v>
      </c>
      <c r="R162">
        <f t="shared" ref="R162" si="787">R163+Q162</f>
        <v>-524823966.05260533</v>
      </c>
      <c r="S162">
        <f t="shared" ref="S162" si="788">R162/100000</f>
        <v>-5248.2396605260537</v>
      </c>
      <c r="T162">
        <f t="shared" ref="T162" si="789">S162/1000</f>
        <v>-5.2482396605260542</v>
      </c>
    </row>
    <row r="163" spans="1:20" x14ac:dyDescent="0.25">
      <c r="A163" s="5">
        <v>44430</v>
      </c>
      <c r="B163">
        <v>0.3024</v>
      </c>
      <c r="C163">
        <v>0.30809999999999998</v>
      </c>
      <c r="D163">
        <v>0.29920000000000002</v>
      </c>
      <c r="E163">
        <v>0.30320000000000003</v>
      </c>
      <c r="F163">
        <v>2051645</v>
      </c>
      <c r="G163">
        <v>0.30320000000000003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-0.10112359550561349</v>
      </c>
      <c r="Q163">
        <f t="shared" ref="Q163" si="791">F163*P163</f>
        <v>-207469.7191011144</v>
      </c>
      <c r="R163">
        <f t="shared" ref="R163" si="792">R164+Q163</f>
        <v>-524656078.01228273</v>
      </c>
      <c r="S163">
        <f t="shared" ref="S163" si="793">R163/100000</f>
        <v>-5246.5607801228271</v>
      </c>
      <c r="T163">
        <f t="shared" ref="T163" si="794">S163/1000</f>
        <v>-5.2465607801228273</v>
      </c>
    </row>
    <row r="164" spans="1:20" x14ac:dyDescent="0.25">
      <c r="A164" s="5">
        <v>44429</v>
      </c>
      <c r="B164">
        <v>0.31240000000000001</v>
      </c>
      <c r="C164">
        <v>0.32100000000000001</v>
      </c>
      <c r="D164">
        <v>0.29699999999999999</v>
      </c>
      <c r="E164">
        <v>0.30199999999999999</v>
      </c>
      <c r="F164">
        <v>20243430</v>
      </c>
      <c r="G164">
        <v>0.30199999999999999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-0.58333333333333337</v>
      </c>
      <c r="Q164">
        <f t="shared" ref="Q164" si="796">F164*P164</f>
        <v>-11808667.5</v>
      </c>
      <c r="R164">
        <f t="shared" ref="R164" si="797">R165+Q164</f>
        <v>-524448608.2931816</v>
      </c>
      <c r="S164">
        <f t="shared" ref="S164" si="798">R164/100000</f>
        <v>-5244.4860829318159</v>
      </c>
      <c r="T164">
        <f t="shared" ref="T164" si="799">S164/1000</f>
        <v>-5.2444860829318163</v>
      </c>
    </row>
    <row r="165" spans="1:20" x14ac:dyDescent="0.25">
      <c r="A165" s="5">
        <v>44428</v>
      </c>
      <c r="B165">
        <v>0.29049999999999998</v>
      </c>
      <c r="C165">
        <v>0.33660000000000001</v>
      </c>
      <c r="D165">
        <v>0.28699999999999998</v>
      </c>
      <c r="E165">
        <v>0.31240000000000001</v>
      </c>
      <c r="F165">
        <v>40176463</v>
      </c>
      <c r="G165">
        <v>0.31240000000000001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2.419354838709745E-2</v>
      </c>
      <c r="Q165">
        <f t="shared" ref="Q165" si="801">F165*P165</f>
        <v>972011.2016129304</v>
      </c>
      <c r="R165">
        <f t="shared" ref="R165" si="802">R166+Q165</f>
        <v>-512639940.7931816</v>
      </c>
      <c r="S165">
        <f t="shared" ref="S165" si="803">R165/100000</f>
        <v>-5126.3994079318163</v>
      </c>
      <c r="T165">
        <f t="shared" ref="T165" si="804">S165/1000</f>
        <v>-5.1263994079318165</v>
      </c>
    </row>
    <row r="166" spans="1:20" x14ac:dyDescent="0.25">
      <c r="A166" s="5">
        <v>44427</v>
      </c>
      <c r="B166">
        <v>0.28239999999999998</v>
      </c>
      <c r="C166">
        <v>0.29099999999999998</v>
      </c>
      <c r="D166">
        <v>0.26519999999999999</v>
      </c>
      <c r="E166">
        <v>0.29049999999999998</v>
      </c>
      <c r="F166">
        <v>15552654</v>
      </c>
      <c r="G166">
        <v>0.29049999999999998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0.96124031007751931</v>
      </c>
      <c r="Q166">
        <f t="shared" ref="Q166" si="806">F166*P166</f>
        <v>14949837.95348837</v>
      </c>
      <c r="R166">
        <f t="shared" ref="R166" si="807">R167+Q166</f>
        <v>-513611951.99479455</v>
      </c>
      <c r="S166">
        <f t="shared" ref="S166" si="808">R166/100000</f>
        <v>-5136.1195199479453</v>
      </c>
      <c r="T166">
        <f t="shared" ref="T166" si="809">S166/1000</f>
        <v>-5.136119519947945</v>
      </c>
    </row>
    <row r="167" spans="1:20" x14ac:dyDescent="0.25">
      <c r="A167" s="5">
        <v>44426</v>
      </c>
      <c r="B167">
        <v>0.27060000000000001</v>
      </c>
      <c r="C167">
        <v>0.29670000000000002</v>
      </c>
      <c r="D167">
        <v>0.2646</v>
      </c>
      <c r="E167">
        <v>0.2823</v>
      </c>
      <c r="F167">
        <v>16395158</v>
      </c>
      <c r="G167">
        <v>0.2823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0.10280373831775601</v>
      </c>
      <c r="Q167">
        <f t="shared" ref="Q167" si="811">F167*P167</f>
        <v>1685483.532710264</v>
      </c>
      <c r="R167">
        <f t="shared" ref="R167" si="812">R168+Q167</f>
        <v>-528561789.9482829</v>
      </c>
      <c r="S167">
        <f t="shared" ref="S167" si="813">R167/100000</f>
        <v>-5285.6178994828288</v>
      </c>
      <c r="T167">
        <f t="shared" ref="T167" si="814">S167/1000</f>
        <v>-5.2856178994828289</v>
      </c>
    </row>
    <row r="168" spans="1:20" x14ac:dyDescent="0.25">
      <c r="A168" s="5">
        <v>44425</v>
      </c>
      <c r="B168">
        <v>0.2853</v>
      </c>
      <c r="C168">
        <v>0.30680000000000002</v>
      </c>
      <c r="D168">
        <v>0.26829999999999998</v>
      </c>
      <c r="E168">
        <v>0.2702</v>
      </c>
      <c r="F168">
        <v>20840150</v>
      </c>
      <c r="G168">
        <v>0.2702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-0.90129870129870071</v>
      </c>
      <c r="Q168">
        <f t="shared" ref="Q168" si="816">F168*P168</f>
        <v>-18783200.129870117</v>
      </c>
      <c r="R168">
        <f t="shared" ref="R168" si="817">R169+Q168</f>
        <v>-530247273.48099315</v>
      </c>
      <c r="S168">
        <f t="shared" ref="S168" si="818">R168/100000</f>
        <v>-5302.4727348099314</v>
      </c>
      <c r="T168">
        <f t="shared" ref="T168" si="819">S168/1000</f>
        <v>-5.302472734809931</v>
      </c>
    </row>
    <row r="169" spans="1:20" x14ac:dyDescent="0.25">
      <c r="A169" s="5">
        <v>44424</v>
      </c>
      <c r="B169">
        <v>0.30669999999999997</v>
      </c>
      <c r="C169">
        <v>0.30969999999999998</v>
      </c>
      <c r="D169">
        <v>0.28270000000000001</v>
      </c>
      <c r="E169">
        <v>0.28539999999999999</v>
      </c>
      <c r="F169">
        <v>16944363</v>
      </c>
      <c r="G169">
        <v>0.28539999999999999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-0.80000000000000127</v>
      </c>
      <c r="Q169">
        <f t="shared" ref="Q169" si="821">F169*P169</f>
        <v>-13555490.400000021</v>
      </c>
      <c r="R169">
        <f t="shared" ref="R169" si="822">R170+Q169</f>
        <v>-511464073.35112303</v>
      </c>
      <c r="S169">
        <f t="shared" ref="S169" si="823">R169/100000</f>
        <v>-5114.6407335112308</v>
      </c>
      <c r="T169">
        <f t="shared" ref="T169" si="824">S169/1000</f>
        <v>-5.1146407335112309</v>
      </c>
    </row>
    <row r="170" spans="1:20" x14ac:dyDescent="0.25">
      <c r="A170" s="5">
        <v>44423</v>
      </c>
      <c r="B170">
        <v>0.28860000000000002</v>
      </c>
      <c r="C170">
        <v>0.308</v>
      </c>
      <c r="D170">
        <v>0.28460000000000002</v>
      </c>
      <c r="E170">
        <v>0.30630000000000002</v>
      </c>
      <c r="F170">
        <v>19342725</v>
      </c>
      <c r="G170">
        <v>0.30630000000000002</v>
      </c>
      <c r="L170" t="s">
        <v>8</v>
      </c>
      <c r="M170" t="s">
        <v>7</v>
      </c>
      <c r="N170" t="s">
        <v>8</v>
      </c>
      <c r="P170">
        <f t="shared" ref="P170" si="825">IF(C170=D170,0,((E170-D170)-(C170-E170))/(C170-D170))</f>
        <v>0.85470085470085633</v>
      </c>
      <c r="Q170">
        <f t="shared" ref="Q170" si="826">F170*P170</f>
        <v>16532243.589743622</v>
      </c>
      <c r="R170">
        <f t="shared" ref="R170" si="827">R171+Q170</f>
        <v>-497908582.951123</v>
      </c>
      <c r="S170">
        <f t="shared" ref="S170" si="828">R170/100000</f>
        <v>-4979.0858295112303</v>
      </c>
      <c r="T170">
        <f t="shared" ref="T170" si="829">S170/1000</f>
        <v>-4.9790858295112299</v>
      </c>
    </row>
    <row r="171" spans="1:20" x14ac:dyDescent="0.25">
      <c r="A171" s="5">
        <v>44422</v>
      </c>
      <c r="B171">
        <v>0.29649999999999999</v>
      </c>
      <c r="C171">
        <v>0.30430000000000001</v>
      </c>
      <c r="D171">
        <v>0.28000000000000003</v>
      </c>
      <c r="E171">
        <v>0.28839999999999999</v>
      </c>
      <c r="F171">
        <v>13680179</v>
      </c>
      <c r="G171">
        <v>0.28839999999999999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-0.30864197530864468</v>
      </c>
      <c r="Q171">
        <f t="shared" ref="Q171" si="831">F171*P171</f>
        <v>-4222277.4691358395</v>
      </c>
      <c r="R171">
        <f t="shared" ref="R171" si="832">R172+Q171</f>
        <v>-514440826.54086661</v>
      </c>
      <c r="S171">
        <f t="shared" ref="S171" si="833">R171/100000</f>
        <v>-5144.408265408666</v>
      </c>
      <c r="T171">
        <f t="shared" ref="T171" si="834">S171/1000</f>
        <v>-5.144408265408666</v>
      </c>
    </row>
    <row r="172" spans="1:20" x14ac:dyDescent="0.25">
      <c r="A172" s="5">
        <v>44421</v>
      </c>
      <c r="B172">
        <v>0.26200000000000001</v>
      </c>
      <c r="C172">
        <v>0.32690000000000002</v>
      </c>
      <c r="D172">
        <v>0.26100000000000001</v>
      </c>
      <c r="E172">
        <v>0.29649999999999999</v>
      </c>
      <c r="F172">
        <v>41847638</v>
      </c>
      <c r="G172">
        <v>0.29649999999999999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7.7389984825492211E-2</v>
      </c>
      <c r="Q172">
        <f t="shared" ref="Q172" si="836">F172*P172</f>
        <v>3238588.0698026912</v>
      </c>
      <c r="R172">
        <f t="shared" ref="R172" si="837">R173+Q172</f>
        <v>-510218549.07173079</v>
      </c>
      <c r="S172">
        <f t="shared" ref="S172" si="838">R172/100000</f>
        <v>-5102.1854907173083</v>
      </c>
      <c r="T172">
        <f t="shared" ref="T172" si="839">S172/1000</f>
        <v>-5.1021854907173081</v>
      </c>
    </row>
    <row r="173" spans="1:20" x14ac:dyDescent="0.25">
      <c r="A173" s="5">
        <v>44420</v>
      </c>
      <c r="B173">
        <v>0.27229999999999999</v>
      </c>
      <c r="C173">
        <v>0.27989999999999998</v>
      </c>
      <c r="D173">
        <v>0.2581</v>
      </c>
      <c r="E173">
        <v>0.26219999999999999</v>
      </c>
      <c r="F173">
        <v>10527019</v>
      </c>
      <c r="G173">
        <v>0.26219999999999999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-0.62385321100917479</v>
      </c>
      <c r="Q173">
        <f t="shared" ref="Q173" si="841">F173*P173</f>
        <v>-6567314.6055045919</v>
      </c>
      <c r="R173">
        <f t="shared" ref="R173" si="842">R174+Q173</f>
        <v>-513457137.14153349</v>
      </c>
      <c r="S173">
        <f t="shared" ref="S173" si="843">R173/100000</f>
        <v>-5134.5713714153353</v>
      </c>
      <c r="T173">
        <f t="shared" ref="T173" si="844">S173/1000</f>
        <v>-5.1345713714153352</v>
      </c>
    </row>
    <row r="174" spans="1:20" x14ac:dyDescent="0.25">
      <c r="A174" s="5">
        <v>44419</v>
      </c>
      <c r="B174">
        <v>0.27189999999999998</v>
      </c>
      <c r="C174">
        <v>0.29330000000000001</v>
      </c>
      <c r="D174">
        <v>0.26929999999999998</v>
      </c>
      <c r="E174">
        <v>0.27229999999999999</v>
      </c>
      <c r="F174">
        <v>20365462</v>
      </c>
      <c r="G174">
        <v>0.27229999999999999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-0.75</v>
      </c>
      <c r="Q174">
        <f t="shared" ref="Q174" si="846">F174*P174</f>
        <v>-15274096.5</v>
      </c>
      <c r="R174">
        <f t="shared" ref="R174" si="847">R175+Q174</f>
        <v>-506889822.53602892</v>
      </c>
      <c r="S174">
        <f t="shared" ref="S174" si="848">R174/100000</f>
        <v>-5068.898225360289</v>
      </c>
      <c r="T174">
        <f t="shared" ref="T174" si="849">S174/1000</f>
        <v>-5.0688982253602886</v>
      </c>
    </row>
    <row r="175" spans="1:20" x14ac:dyDescent="0.25">
      <c r="A175" s="5">
        <v>44418</v>
      </c>
      <c r="B175">
        <v>0.2792</v>
      </c>
      <c r="C175">
        <v>0.32900000000000001</v>
      </c>
      <c r="D175">
        <v>0.2606</v>
      </c>
      <c r="E175">
        <v>0.2717</v>
      </c>
      <c r="F175">
        <v>77275368</v>
      </c>
      <c r="G175">
        <v>0.2717</v>
      </c>
      <c r="L175" t="s">
        <v>7</v>
      </c>
      <c r="M175" t="s">
        <v>7</v>
      </c>
      <c r="N175" t="s">
        <v>8</v>
      </c>
      <c r="P175">
        <f t="shared" ref="P175" si="850">IF(C175=D175,0,((E175-D175)-(C175-E175))/(C175-D175))</f>
        <v>-0.67543859649122817</v>
      </c>
      <c r="Q175">
        <f t="shared" ref="Q175" si="851">F175*P175</f>
        <v>-52194766.105263166</v>
      </c>
      <c r="R175">
        <f t="shared" ref="R175" si="852">R176+Q175</f>
        <v>-491615726.03602892</v>
      </c>
      <c r="S175">
        <f t="shared" ref="S175" si="853">R175/100000</f>
        <v>-4916.157260360289</v>
      </c>
      <c r="T175">
        <f t="shared" ref="T175" si="854">S175/1000</f>
        <v>-4.916157260360289</v>
      </c>
    </row>
    <row r="176" spans="1:20" x14ac:dyDescent="0.25">
      <c r="A176" s="5">
        <v>44417</v>
      </c>
      <c r="B176">
        <v>0.2356</v>
      </c>
      <c r="C176">
        <v>0.34289999999999998</v>
      </c>
      <c r="D176">
        <v>0.23089999999999999</v>
      </c>
      <c r="E176">
        <v>0.27960000000000002</v>
      </c>
      <c r="F176">
        <v>50590682</v>
      </c>
      <c r="G176">
        <v>0.27960000000000002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-0.13035714285714239</v>
      </c>
      <c r="Q176">
        <f t="shared" ref="Q176" si="856">F176*P176</f>
        <v>-6594856.7607142627</v>
      </c>
      <c r="R176">
        <f t="shared" ref="R176" si="857">R177+Q176</f>
        <v>-439420959.93076575</v>
      </c>
      <c r="S176">
        <f t="shared" ref="S176" si="858">R176/100000</f>
        <v>-4394.2095993076573</v>
      </c>
      <c r="T176">
        <f t="shared" ref="T176" si="859">S176/1000</f>
        <v>-4.3942095993076569</v>
      </c>
    </row>
    <row r="177" spans="1:20" x14ac:dyDescent="0.25">
      <c r="A177" s="5">
        <v>44416</v>
      </c>
      <c r="B177">
        <v>0.25480000000000003</v>
      </c>
      <c r="C177">
        <v>0.27150000000000002</v>
      </c>
      <c r="D177">
        <v>0.23039999999999999</v>
      </c>
      <c r="E177">
        <v>0.2356</v>
      </c>
      <c r="F177">
        <v>20350461</v>
      </c>
      <c r="G177">
        <v>0.2356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-0.74695863746958602</v>
      </c>
      <c r="Q177">
        <f t="shared" ref="Q177" si="861">F177*P177</f>
        <v>-15200952.620437948</v>
      </c>
      <c r="R177">
        <f t="shared" ref="R177" si="862">R178+Q177</f>
        <v>-432826103.17005152</v>
      </c>
      <c r="S177">
        <f t="shared" ref="S177" si="863">R177/100000</f>
        <v>-4328.2610317005156</v>
      </c>
      <c r="T177">
        <f t="shared" ref="T177" si="864">S177/1000</f>
        <v>-4.3282610317005155</v>
      </c>
    </row>
    <row r="178" spans="1:20" x14ac:dyDescent="0.25">
      <c r="A178" s="5">
        <v>44415</v>
      </c>
      <c r="B178">
        <v>0.24199999999999999</v>
      </c>
      <c r="C178">
        <v>0.26369999999999999</v>
      </c>
      <c r="D178">
        <v>0.23569999999999999</v>
      </c>
      <c r="E178">
        <v>0.25490000000000002</v>
      </c>
      <c r="F178">
        <v>23251990</v>
      </c>
      <c r="G178">
        <v>0.25490000000000002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0.37142857142857316</v>
      </c>
      <c r="Q178">
        <f t="shared" ref="Q178" si="866">F178*P178</f>
        <v>8636453.4285714682</v>
      </c>
      <c r="R178">
        <f t="shared" ref="R178" si="867">R179+Q178</f>
        <v>-417625150.5496136</v>
      </c>
      <c r="S178">
        <f t="shared" ref="S178" si="868">R178/100000</f>
        <v>-4176.2515054961359</v>
      </c>
      <c r="T178">
        <f t="shared" ref="T178" si="869">S178/1000</f>
        <v>-4.1762515054961362</v>
      </c>
    </row>
    <row r="179" spans="1:20" x14ac:dyDescent="0.25">
      <c r="A179" s="5">
        <v>44414</v>
      </c>
      <c r="B179">
        <v>0.2349</v>
      </c>
      <c r="C179">
        <v>0.25979999999999998</v>
      </c>
      <c r="D179">
        <v>0.22919999999999999</v>
      </c>
      <c r="E179">
        <v>0.2414</v>
      </c>
      <c r="F179">
        <v>20927900</v>
      </c>
      <c r="G179">
        <v>0.2414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-0.20261437908496593</v>
      </c>
      <c r="Q179">
        <f t="shared" ref="Q179" si="871">F179*P179</f>
        <v>-4240293.464052259</v>
      </c>
      <c r="R179">
        <f t="shared" ref="R179" si="872">R180+Q179</f>
        <v>-426261603.97818506</v>
      </c>
      <c r="S179">
        <f t="shared" ref="S179" si="873">R179/100000</f>
        <v>-4262.6160397818503</v>
      </c>
      <c r="T179">
        <f t="shared" ref="T179" si="874">S179/1000</f>
        <v>-4.2626160397818502</v>
      </c>
    </row>
    <row r="180" spans="1:20" x14ac:dyDescent="0.25">
      <c r="A180" s="5">
        <v>44413</v>
      </c>
      <c r="B180">
        <v>0.22070000000000001</v>
      </c>
      <c r="C180">
        <v>0.2399</v>
      </c>
      <c r="D180">
        <v>0.21510000000000001</v>
      </c>
      <c r="E180">
        <v>0.2349</v>
      </c>
      <c r="F180">
        <v>12458942</v>
      </c>
      <c r="G180">
        <v>0.2349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0.59677419354838657</v>
      </c>
      <c r="Q180">
        <f t="shared" ref="Q180" si="876">F180*P180</f>
        <v>7435175.0645161225</v>
      </c>
      <c r="R180">
        <f t="shared" ref="R180" si="877">R181+Q180</f>
        <v>-422021310.5141328</v>
      </c>
      <c r="S180">
        <f t="shared" ref="S180" si="878">R180/100000</f>
        <v>-4220.213105141328</v>
      </c>
      <c r="T180">
        <f t="shared" ref="T180" si="879">S180/1000</f>
        <v>-4.2202131051413279</v>
      </c>
    </row>
    <row r="181" spans="1:20" x14ac:dyDescent="0.25">
      <c r="A181" s="5">
        <v>44412</v>
      </c>
      <c r="B181">
        <v>0.21340000000000001</v>
      </c>
      <c r="C181">
        <v>0.224</v>
      </c>
      <c r="D181">
        <v>0.20810000000000001</v>
      </c>
      <c r="E181">
        <v>0.2208</v>
      </c>
      <c r="F181">
        <v>13299682</v>
      </c>
      <c r="G181">
        <v>0.2208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0.59748427672955862</v>
      </c>
      <c r="Q181">
        <f t="shared" ref="Q181" si="881">F181*P181</f>
        <v>7946350.8805031292</v>
      </c>
      <c r="R181">
        <f t="shared" ref="R181" si="882">R182+Q181</f>
        <v>-429456485.57864892</v>
      </c>
      <c r="S181">
        <f t="shared" ref="S181" si="883">R181/100000</f>
        <v>-4294.5648557864888</v>
      </c>
      <c r="T181">
        <f t="shared" ref="T181" si="884">S181/1000</f>
        <v>-4.2945648557864891</v>
      </c>
    </row>
    <row r="182" spans="1:20" x14ac:dyDescent="0.25">
      <c r="A182" s="5">
        <v>44411</v>
      </c>
      <c r="B182">
        <v>0.22020000000000001</v>
      </c>
      <c r="C182">
        <v>0.22739999999999999</v>
      </c>
      <c r="D182">
        <v>0.21060000000000001</v>
      </c>
      <c r="E182">
        <v>0.21340000000000001</v>
      </c>
      <c r="F182">
        <v>18918689</v>
      </c>
      <c r="G182">
        <v>0.21340000000000001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-0.66666666666666663</v>
      </c>
      <c r="Q182">
        <f t="shared" ref="Q182" si="886">F182*P182</f>
        <v>-12612459.333333332</v>
      </c>
      <c r="R182">
        <f t="shared" ref="R182" si="887">R183+Q182</f>
        <v>-437402836.45915204</v>
      </c>
      <c r="S182">
        <f t="shared" ref="S182" si="888">R182/100000</f>
        <v>-4374.0283645915206</v>
      </c>
      <c r="T182">
        <f t="shared" ref="T182" si="889">S182/1000</f>
        <v>-4.3740283645915206</v>
      </c>
    </row>
    <row r="183" spans="1:20" x14ac:dyDescent="0.25">
      <c r="A183" s="5">
        <v>44410</v>
      </c>
      <c r="B183">
        <v>0.2177</v>
      </c>
      <c r="C183">
        <v>0.22289999999999999</v>
      </c>
      <c r="D183">
        <v>0.20979999999999999</v>
      </c>
      <c r="E183">
        <v>0.22020000000000001</v>
      </c>
      <c r="F183">
        <v>6989540</v>
      </c>
      <c r="G183">
        <v>0.22020000000000001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0.58778625954198782</v>
      </c>
      <c r="Q183">
        <f t="shared" ref="Q183" si="891">F183*P183</f>
        <v>4108355.5725191054</v>
      </c>
      <c r="R183">
        <f t="shared" ref="R183" si="892">R184+Q183</f>
        <v>-424790377.12581873</v>
      </c>
      <c r="S183">
        <f t="shared" ref="S183" si="893">R183/100000</f>
        <v>-4247.9037712581876</v>
      </c>
      <c r="T183">
        <f t="shared" ref="T183" si="894">S183/1000</f>
        <v>-4.247903771258188</v>
      </c>
    </row>
    <row r="184" spans="1:20" x14ac:dyDescent="0.25">
      <c r="A184" s="5">
        <v>44409</v>
      </c>
      <c r="B184">
        <v>0.2331</v>
      </c>
      <c r="C184">
        <v>0.23980000000000001</v>
      </c>
      <c r="D184">
        <v>0.2175</v>
      </c>
      <c r="E184">
        <v>0.21790000000000001</v>
      </c>
      <c r="F184">
        <v>9663615</v>
      </c>
      <c r="G184">
        <v>0.21790000000000001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-0.9641255605381156</v>
      </c>
      <c r="Q184">
        <f t="shared" ref="Q184" si="896">F184*P184</f>
        <v>-9316938.2286995426</v>
      </c>
      <c r="R184">
        <f t="shared" ref="R184" si="897">R185+Q184</f>
        <v>-428898732.69833785</v>
      </c>
      <c r="S184">
        <f t="shared" ref="S184" si="898">R184/100000</f>
        <v>-4288.9873269833788</v>
      </c>
      <c r="T184">
        <f t="shared" ref="T184" si="899">S184/1000</f>
        <v>-4.2889873269833787</v>
      </c>
    </row>
    <row r="185" spans="1:20" x14ac:dyDescent="0.25">
      <c r="A185" s="5">
        <v>44408</v>
      </c>
      <c r="B185">
        <v>0.2218</v>
      </c>
      <c r="C185">
        <v>0.24260000000000001</v>
      </c>
      <c r="D185">
        <v>0.214</v>
      </c>
      <c r="E185">
        <v>0.23269999999999999</v>
      </c>
      <c r="F185">
        <v>15172355</v>
      </c>
      <c r="G185">
        <v>0.23269999999999999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0.30769230769230665</v>
      </c>
      <c r="Q185">
        <f t="shared" ref="Q185" si="901">F185*P185</f>
        <v>4668416.9230769072</v>
      </c>
      <c r="R185">
        <f t="shared" ref="R185" si="902">R186+Q185</f>
        <v>-419581794.46963829</v>
      </c>
      <c r="S185">
        <f t="shared" ref="S185" si="903">R185/100000</f>
        <v>-4195.8179446963832</v>
      </c>
      <c r="T185">
        <f t="shared" ref="T185" si="904">S185/1000</f>
        <v>-4.1958179446963833</v>
      </c>
    </row>
    <row r="186" spans="1:20" x14ac:dyDescent="0.25">
      <c r="A186" s="5">
        <v>44407</v>
      </c>
      <c r="B186">
        <v>0.21190000000000001</v>
      </c>
      <c r="C186">
        <v>0.22270000000000001</v>
      </c>
      <c r="D186">
        <v>0.2077</v>
      </c>
      <c r="E186">
        <v>0.2215</v>
      </c>
      <c r="F186">
        <v>7167681</v>
      </c>
      <c r="G186">
        <v>0.2215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0.8399999999999993</v>
      </c>
      <c r="Q186">
        <f t="shared" ref="Q186" si="906">F186*P186</f>
        <v>6020852.0399999954</v>
      </c>
      <c r="R186">
        <f t="shared" ref="R186" si="907">R187+Q186</f>
        <v>-424250211.39271522</v>
      </c>
      <c r="S186">
        <f t="shared" ref="S186" si="908">R186/100000</f>
        <v>-4242.5021139271521</v>
      </c>
      <c r="T186">
        <f t="shared" ref="T186" si="909">S186/1000</f>
        <v>-4.2425021139271522</v>
      </c>
    </row>
    <row r="187" spans="1:20" x14ac:dyDescent="0.25">
      <c r="A187" s="5">
        <v>44406</v>
      </c>
      <c r="B187">
        <v>0.20899999999999999</v>
      </c>
      <c r="C187">
        <v>0.2147</v>
      </c>
      <c r="D187">
        <v>0.20680000000000001</v>
      </c>
      <c r="E187">
        <v>0.21160000000000001</v>
      </c>
      <c r="F187">
        <v>5558795</v>
      </c>
      <c r="G187">
        <v>0.21160000000000001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0.21518987341772267</v>
      </c>
      <c r="Q187">
        <f t="shared" ref="Q187" si="911">F187*P187</f>
        <v>1196196.3924050697</v>
      </c>
      <c r="R187">
        <f t="shared" ref="R187" si="912">R188+Q187</f>
        <v>-430271063.43271524</v>
      </c>
      <c r="S187">
        <f t="shared" ref="S187" si="913">R187/100000</f>
        <v>-4302.7106343271525</v>
      </c>
      <c r="T187">
        <f t="shared" ref="T187" si="914">S187/1000</f>
        <v>-4.3027106343271528</v>
      </c>
    </row>
    <row r="188" spans="1:20" x14ac:dyDescent="0.25">
      <c r="A188" s="5">
        <v>44405</v>
      </c>
      <c r="B188">
        <v>0.20799999999999999</v>
      </c>
      <c r="C188">
        <v>0.2203</v>
      </c>
      <c r="D188">
        <v>0.2051</v>
      </c>
      <c r="E188">
        <v>0.2094</v>
      </c>
      <c r="F188">
        <v>7291211</v>
      </c>
      <c r="G188">
        <v>0.2094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-0.43421052631578938</v>
      </c>
      <c r="Q188">
        <f t="shared" ref="Q188" si="916">F188*P188</f>
        <v>-3165920.5657894728</v>
      </c>
      <c r="R188">
        <f t="shared" ref="R188" si="917">R189+Q188</f>
        <v>-431467259.82512033</v>
      </c>
      <c r="S188">
        <f t="shared" ref="S188" si="918">R188/100000</f>
        <v>-4314.6725982512035</v>
      </c>
      <c r="T188">
        <f t="shared" ref="T188" si="919">S188/1000</f>
        <v>-4.3146725982512031</v>
      </c>
    </row>
    <row r="189" spans="1:20" x14ac:dyDescent="0.25">
      <c r="A189" s="5">
        <v>44404</v>
      </c>
      <c r="B189">
        <v>0.20200000000000001</v>
      </c>
      <c r="C189">
        <v>0.21540000000000001</v>
      </c>
      <c r="D189">
        <v>0.1953</v>
      </c>
      <c r="E189">
        <v>0.20799999999999999</v>
      </c>
      <c r="F189">
        <v>7850232</v>
      </c>
      <c r="G189">
        <v>0.20799999999999999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0.26368159203979946</v>
      </c>
      <c r="Q189">
        <f t="shared" ref="Q189" si="921">F189*P189</f>
        <v>2069961.6716417789</v>
      </c>
      <c r="R189">
        <f t="shared" ref="R189" si="922">R190+Q189</f>
        <v>-428301339.25933087</v>
      </c>
      <c r="S189">
        <f t="shared" ref="S189" si="923">R189/100000</f>
        <v>-4283.0133925933087</v>
      </c>
      <c r="T189">
        <f t="shared" ref="T189" si="924">S189/1000</f>
        <v>-4.2830133925933085</v>
      </c>
    </row>
    <row r="190" spans="1:20" x14ac:dyDescent="0.25">
      <c r="A190" s="5">
        <v>44403</v>
      </c>
      <c r="B190">
        <v>0.20499999999999999</v>
      </c>
      <c r="C190">
        <v>0.2208</v>
      </c>
      <c r="D190">
        <v>0.2011</v>
      </c>
      <c r="E190">
        <v>0.20230000000000001</v>
      </c>
      <c r="F190">
        <v>11062208</v>
      </c>
      <c r="G190">
        <v>0.20230000000000001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-0.87817258883248661</v>
      </c>
      <c r="Q190">
        <f t="shared" ref="Q190" si="926">F190*P190</f>
        <v>-9714527.8375634439</v>
      </c>
      <c r="R190">
        <f t="shared" ref="R190" si="927">R191+Q190</f>
        <v>-430371300.93097264</v>
      </c>
      <c r="S190">
        <f t="shared" ref="S190" si="928">R190/100000</f>
        <v>-4303.7130093097267</v>
      </c>
      <c r="T190">
        <f t="shared" ref="T190" si="929">S190/1000</f>
        <v>-4.3037130093097264</v>
      </c>
    </row>
    <row r="191" spans="1:20" x14ac:dyDescent="0.25">
      <c r="A191" s="5">
        <v>44402</v>
      </c>
      <c r="B191">
        <v>0.20100000000000001</v>
      </c>
      <c r="C191">
        <v>0.2082</v>
      </c>
      <c r="D191">
        <v>0.19539999999999999</v>
      </c>
      <c r="E191">
        <v>0.20469999999999999</v>
      </c>
      <c r="F191">
        <v>6733092</v>
      </c>
      <c r="G191">
        <v>0.20469999999999999</v>
      </c>
      <c r="L191" t="s">
        <v>8</v>
      </c>
      <c r="M191" t="s">
        <v>7</v>
      </c>
      <c r="N191" t="s">
        <v>7</v>
      </c>
      <c r="P191">
        <f t="shared" ref="P191" si="930">IF(C191=D191,0,((E191-D191)-(C191-E191))/(C191-D191))</f>
        <v>0.45312499999999978</v>
      </c>
      <c r="Q191">
        <f t="shared" ref="Q191" si="931">F191*P191</f>
        <v>3050932.3124999986</v>
      </c>
      <c r="R191">
        <f t="shared" ref="R191" si="932">R192+Q191</f>
        <v>-420656773.09340918</v>
      </c>
      <c r="S191">
        <f t="shared" ref="S191" si="933">R191/100000</f>
        <v>-4206.5677309340917</v>
      </c>
      <c r="T191">
        <f t="shared" ref="T191:T197" si="934">S191/1000</f>
        <v>-4.2065677309340916</v>
      </c>
    </row>
    <row r="192" spans="1:20" x14ac:dyDescent="0.25">
      <c r="A192" s="5">
        <v>44401</v>
      </c>
      <c r="B192">
        <v>0.19489999999999999</v>
      </c>
      <c r="C192">
        <v>0.20749999999999999</v>
      </c>
      <c r="D192">
        <v>0.1928</v>
      </c>
      <c r="E192">
        <v>0.20119999999999999</v>
      </c>
      <c r="F192">
        <v>11704889</v>
      </c>
      <c r="G192">
        <v>0.20119999999999999</v>
      </c>
      <c r="L192" t="s">
        <v>8</v>
      </c>
      <c r="M192" t="s">
        <v>7</v>
      </c>
      <c r="N192" t="s">
        <v>7</v>
      </c>
      <c r="P192">
        <f t="shared" ref="P192" si="935">IF(C192=D192,0,((E192-D192)-(C192-E192))/(C192-D192))</f>
        <v>0.14285714285714232</v>
      </c>
      <c r="Q192">
        <f t="shared" ref="Q192" si="936">F192*P192</f>
        <v>1672126.9999999937</v>
      </c>
      <c r="R192">
        <f t="shared" ref="R192" si="937">R193+Q192</f>
        <v>-423707705.40590918</v>
      </c>
      <c r="S192">
        <f t="shared" ref="S192" si="938">R192/100000</f>
        <v>-4237.077054059092</v>
      </c>
      <c r="T192">
        <f t="shared" si="934"/>
        <v>-4.2370770540590916</v>
      </c>
    </row>
    <row r="193" spans="1:20" x14ac:dyDescent="0.25">
      <c r="A193" s="5">
        <v>44400</v>
      </c>
      <c r="B193">
        <v>0.19220000000000001</v>
      </c>
      <c r="C193">
        <v>0.19950000000000001</v>
      </c>
      <c r="D193">
        <v>0.18590000000000001</v>
      </c>
      <c r="E193">
        <v>0.19489999999999999</v>
      </c>
      <c r="F193">
        <v>6422703</v>
      </c>
      <c r="G193">
        <v>0.19489999999999999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0.3235294117647029</v>
      </c>
      <c r="Q193">
        <f t="shared" ref="Q193" si="940">F193*P193</f>
        <v>2077933.3235293927</v>
      </c>
      <c r="R193">
        <f t="shared" ref="R193" si="941">R194+Q193</f>
        <v>-425379832.40590918</v>
      </c>
      <c r="S193">
        <f t="shared" ref="S193" si="942">R193/100000</f>
        <v>-4253.798324059092</v>
      </c>
      <c r="T193">
        <f t="shared" si="934"/>
        <v>-4.2537983240590922</v>
      </c>
    </row>
    <row r="194" spans="1:20" x14ac:dyDescent="0.25">
      <c r="A194" s="5">
        <v>44399</v>
      </c>
      <c r="B194">
        <v>0.19120000000000001</v>
      </c>
      <c r="C194">
        <v>0.1991</v>
      </c>
      <c r="D194">
        <v>0.18429999999999999</v>
      </c>
      <c r="E194">
        <v>0.192</v>
      </c>
      <c r="F194">
        <v>10384812</v>
      </c>
      <c r="G194">
        <v>0.192</v>
      </c>
      <c r="L194" t="s">
        <v>7</v>
      </c>
      <c r="M194" t="s">
        <v>7</v>
      </c>
      <c r="N194" t="s">
        <v>7</v>
      </c>
      <c r="P194">
        <f t="shared" ref="P194" si="943">IF(C194=D194,0,((E194-D194)-(C194-E194))/(C194-D194))</f>
        <v>4.0540540540541681E-2</v>
      </c>
      <c r="Q194">
        <f t="shared" ref="Q194" si="944">F194*P194</f>
        <v>421005.89189190371</v>
      </c>
      <c r="R194">
        <f t="shared" ref="R194" si="945">R195+Q194</f>
        <v>-427457765.7294386</v>
      </c>
      <c r="S194">
        <f t="shared" ref="S194" si="946">R194/100000</f>
        <v>-4274.577657294386</v>
      </c>
      <c r="T194">
        <f t="shared" si="934"/>
        <v>-4.2745776572943859</v>
      </c>
    </row>
    <row r="195" spans="1:20" x14ac:dyDescent="0.25">
      <c r="A195" s="5">
        <v>44398</v>
      </c>
      <c r="B195">
        <v>0.17730000000000001</v>
      </c>
      <c r="C195">
        <v>0.19800000000000001</v>
      </c>
      <c r="D195">
        <v>0.1741</v>
      </c>
      <c r="E195">
        <v>0.19120000000000001</v>
      </c>
      <c r="F195">
        <v>8403881</v>
      </c>
      <c r="G195">
        <v>0.19120000000000001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0.43096234309623438</v>
      </c>
      <c r="Q195">
        <f t="shared" ref="Q195" si="948">F195*P195</f>
        <v>3621756.2468619253</v>
      </c>
      <c r="R195">
        <f t="shared" ref="R195" si="949">R196+Q195</f>
        <v>-427878771.6213305</v>
      </c>
      <c r="S195">
        <f t="shared" ref="S195" si="950">R195/100000</f>
        <v>-4278.7877162133054</v>
      </c>
      <c r="T195">
        <f t="shared" si="934"/>
        <v>-4.278787716213305</v>
      </c>
    </row>
    <row r="196" spans="1:20" x14ac:dyDescent="0.25">
      <c r="A196" s="5">
        <v>44397</v>
      </c>
      <c r="B196">
        <v>0.1923</v>
      </c>
      <c r="C196">
        <v>0.19339999999999999</v>
      </c>
      <c r="D196">
        <v>0.1739</v>
      </c>
      <c r="E196">
        <v>0.17680000000000001</v>
      </c>
      <c r="F196">
        <v>10125609</v>
      </c>
      <c r="G196">
        <v>0.17680000000000001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-0.70256410256410096</v>
      </c>
      <c r="Q196">
        <f t="shared" ref="Q196" si="952">F196*P196</f>
        <v>-7113889.3999999836</v>
      </c>
      <c r="R196">
        <f t="shared" ref="R196" si="953">R197+Q196</f>
        <v>-431500527.86819243</v>
      </c>
      <c r="S196">
        <f t="shared" ref="S196" si="954">R196/100000</f>
        <v>-4315.0052786819242</v>
      </c>
      <c r="T196">
        <f t="shared" si="934"/>
        <v>-4.315005278681924</v>
      </c>
    </row>
    <row r="197" spans="1:20" x14ac:dyDescent="0.25">
      <c r="A197" s="5">
        <v>44396</v>
      </c>
      <c r="B197">
        <v>0.20280000000000001</v>
      </c>
      <c r="C197">
        <v>0.2094</v>
      </c>
      <c r="D197">
        <v>0.18909999999999999</v>
      </c>
      <c r="E197">
        <v>0.19189999999999999</v>
      </c>
      <c r="F197">
        <v>4605227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-0.72413793103448321</v>
      </c>
      <c r="Q197">
        <f t="shared" ref="Q197" si="956">F197*P197</f>
        <v>-3334819.5517241401</v>
      </c>
      <c r="R197">
        <f t="shared" ref="R197" si="957">R198+Q197</f>
        <v>-424386638.46819246</v>
      </c>
      <c r="S197">
        <f t="shared" ref="S197" si="958">R197/100000</f>
        <v>-4243.8663846819245</v>
      </c>
      <c r="T197">
        <f t="shared" si="934"/>
        <v>-4.2438663846819242</v>
      </c>
    </row>
    <row r="198" spans="1:20" x14ac:dyDescent="0.25">
      <c r="A198" s="5">
        <v>44395</v>
      </c>
      <c r="B198">
        <v>0.20580000000000001</v>
      </c>
      <c r="C198">
        <v>0.21279999999999999</v>
      </c>
      <c r="D198">
        <v>0.2011</v>
      </c>
      <c r="E198">
        <v>0.20319999999999999</v>
      </c>
      <c r="F198">
        <v>4545551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-0.64102564102564219</v>
      </c>
      <c r="Q198">
        <f t="shared" ref="Q198:Q261" si="960">F198*P198</f>
        <v>-2913814.7435897491</v>
      </c>
      <c r="R198">
        <f t="shared" ref="R198:R261" si="961">R199+Q198</f>
        <v>-421051818.91646832</v>
      </c>
      <c r="S198">
        <f t="shared" ref="S198:S261" si="962">R198/100000</f>
        <v>-4210.5181891646835</v>
      </c>
      <c r="T198">
        <f t="shared" ref="T198:T261" si="963">S198/1000</f>
        <v>-4.2105181891646835</v>
      </c>
    </row>
    <row r="199" spans="1:20" x14ac:dyDescent="0.25">
      <c r="A199" s="5">
        <v>44394</v>
      </c>
      <c r="B199">
        <v>0.2049</v>
      </c>
      <c r="C199">
        <v>0.2087</v>
      </c>
      <c r="D199">
        <v>0.20039999999999999</v>
      </c>
      <c r="E199">
        <v>0.20619999999999999</v>
      </c>
      <c r="F199">
        <v>4365132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0.39759036144578275</v>
      </c>
      <c r="Q199">
        <f t="shared" si="960"/>
        <v>1735534.4096385525</v>
      </c>
      <c r="R199">
        <f t="shared" si="961"/>
        <v>-418138004.17287856</v>
      </c>
      <c r="S199">
        <f t="shared" si="962"/>
        <v>-4181.3800417287857</v>
      </c>
      <c r="T199">
        <f t="shared" si="963"/>
        <v>-4.1813800417287856</v>
      </c>
    </row>
    <row r="200" spans="1:20" x14ac:dyDescent="0.25">
      <c r="A200" s="5">
        <v>44393</v>
      </c>
      <c r="B200">
        <v>0.21329999999999999</v>
      </c>
      <c r="C200">
        <v>0.2238</v>
      </c>
      <c r="D200">
        <v>0.20480000000000001</v>
      </c>
      <c r="E200">
        <v>0.2054</v>
      </c>
      <c r="F200">
        <v>6382956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-0.93684210526315892</v>
      </c>
      <c r="Q200">
        <f t="shared" si="960"/>
        <v>-5979821.9368421119</v>
      </c>
      <c r="R200">
        <f t="shared" si="961"/>
        <v>-419873538.58251709</v>
      </c>
      <c r="S200">
        <f t="shared" si="962"/>
        <v>-4198.7353858251709</v>
      </c>
      <c r="T200">
        <f t="shared" si="963"/>
        <v>-4.198735385825171</v>
      </c>
    </row>
    <row r="201" spans="1:20" x14ac:dyDescent="0.25">
      <c r="A201" s="5">
        <v>44392</v>
      </c>
      <c r="B201">
        <v>0.223</v>
      </c>
      <c r="C201">
        <v>0.2233</v>
      </c>
      <c r="D201">
        <v>0.2117</v>
      </c>
      <c r="E201">
        <v>0.21329999999999999</v>
      </c>
      <c r="F201">
        <v>5727526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-0.72413793103448443</v>
      </c>
      <c r="Q201">
        <f t="shared" si="960"/>
        <v>-4147518.8275862164</v>
      </c>
      <c r="R201">
        <f t="shared" si="961"/>
        <v>-413893716.645675</v>
      </c>
      <c r="S201">
        <f t="shared" si="962"/>
        <v>-4138.9371664567498</v>
      </c>
      <c r="T201">
        <f t="shared" si="963"/>
        <v>-4.13893716645675</v>
      </c>
    </row>
    <row r="202" spans="1:20" x14ac:dyDescent="0.25">
      <c r="A202" s="5">
        <v>44391</v>
      </c>
      <c r="B202">
        <v>0.22720000000000001</v>
      </c>
      <c r="C202">
        <v>0.22800000000000001</v>
      </c>
      <c r="D202">
        <v>0.2094</v>
      </c>
      <c r="E202">
        <v>0.2228</v>
      </c>
      <c r="F202">
        <v>7635644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0.44086021505376249</v>
      </c>
      <c r="Q202">
        <f t="shared" si="960"/>
        <v>3366251.6559139714</v>
      </c>
      <c r="R202">
        <f t="shared" si="961"/>
        <v>-409746197.81808877</v>
      </c>
      <c r="S202">
        <f t="shared" si="962"/>
        <v>-4097.4619781808879</v>
      </c>
      <c r="T202">
        <f t="shared" si="963"/>
        <v>-4.0974619781808874</v>
      </c>
    </row>
    <row r="203" spans="1:20" x14ac:dyDescent="0.25">
      <c r="A203" s="5">
        <v>44390</v>
      </c>
      <c r="B203">
        <v>0.23</v>
      </c>
      <c r="C203">
        <v>0.24030000000000001</v>
      </c>
      <c r="D203">
        <v>0.218</v>
      </c>
      <c r="E203">
        <v>0.22700000000000001</v>
      </c>
      <c r="F203">
        <v>12308987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-0.19282511210762313</v>
      </c>
      <c r="Q203">
        <f t="shared" si="960"/>
        <v>-2373481.7982062758</v>
      </c>
      <c r="R203">
        <f t="shared" si="961"/>
        <v>-413112449.47400272</v>
      </c>
      <c r="S203">
        <f t="shared" si="962"/>
        <v>-4131.1244947400273</v>
      </c>
      <c r="T203">
        <f t="shared" si="963"/>
        <v>-4.1311244947400274</v>
      </c>
    </row>
    <row r="204" spans="1:20" x14ac:dyDescent="0.25">
      <c r="A204" s="5">
        <v>44389</v>
      </c>
      <c r="B204">
        <v>0.2366</v>
      </c>
      <c r="C204">
        <v>0.24199999999999999</v>
      </c>
      <c r="D204">
        <v>0.22650000000000001</v>
      </c>
      <c r="E204">
        <v>0.23069999999999999</v>
      </c>
      <c r="F204">
        <v>2759703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-0.45806451612903415</v>
      </c>
      <c r="Q204">
        <f t="shared" si="960"/>
        <v>-1264122.019354844</v>
      </c>
      <c r="R204">
        <f t="shared" si="961"/>
        <v>-410738967.67579645</v>
      </c>
      <c r="S204">
        <f t="shared" si="962"/>
        <v>-4107.3896767579645</v>
      </c>
      <c r="T204">
        <f t="shared" si="963"/>
        <v>-4.1073896767579647</v>
      </c>
    </row>
    <row r="205" spans="1:20" x14ac:dyDescent="0.25">
      <c r="A205" s="5">
        <v>44388</v>
      </c>
      <c r="B205">
        <v>0.23130000000000001</v>
      </c>
      <c r="C205">
        <v>0.2447</v>
      </c>
      <c r="D205">
        <v>0.23100000000000001</v>
      </c>
      <c r="E205">
        <v>0.2366</v>
      </c>
      <c r="F205">
        <v>5351604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-0.18248175182481782</v>
      </c>
      <c r="Q205">
        <f t="shared" si="960"/>
        <v>-976570.07299270236</v>
      </c>
      <c r="R205">
        <f t="shared" si="961"/>
        <v>-409474845.65644163</v>
      </c>
      <c r="S205">
        <f t="shared" si="962"/>
        <v>-4094.7484565644163</v>
      </c>
      <c r="T205">
        <f t="shared" si="963"/>
        <v>-4.0947484565644165</v>
      </c>
    </row>
    <row r="206" spans="1:20" x14ac:dyDescent="0.25">
      <c r="A206" s="5">
        <v>44387</v>
      </c>
      <c r="B206">
        <v>0.23899999999999999</v>
      </c>
      <c r="C206">
        <v>0.24199999999999999</v>
      </c>
      <c r="D206">
        <v>0.2301</v>
      </c>
      <c r="E206">
        <v>0.2316</v>
      </c>
      <c r="F206">
        <v>3338109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-0.74789915966386522</v>
      </c>
      <c r="Q206">
        <f t="shared" si="960"/>
        <v>-2496568.9159663855</v>
      </c>
      <c r="R206">
        <f t="shared" si="961"/>
        <v>-408498275.58344895</v>
      </c>
      <c r="S206">
        <f t="shared" si="962"/>
        <v>-4084.9827558344896</v>
      </c>
      <c r="T206">
        <f t="shared" si="963"/>
        <v>-4.0849827558344893</v>
      </c>
    </row>
    <row r="207" spans="1:20" x14ac:dyDescent="0.25">
      <c r="A207" s="5">
        <v>44386</v>
      </c>
      <c r="B207">
        <v>0.2399</v>
      </c>
      <c r="C207">
        <v>0.2447</v>
      </c>
      <c r="D207">
        <v>0.22950000000000001</v>
      </c>
      <c r="E207">
        <v>0.23910000000000001</v>
      </c>
      <c r="F207">
        <v>26777465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0.26315789473684248</v>
      </c>
      <c r="Q207">
        <f t="shared" si="960"/>
        <v>7046701.3157894835</v>
      </c>
      <c r="R207">
        <f t="shared" si="961"/>
        <v>-406001706.66748255</v>
      </c>
      <c r="S207">
        <f t="shared" si="962"/>
        <v>-4060.0170666748254</v>
      </c>
      <c r="T207">
        <f t="shared" si="963"/>
        <v>-4.060017066674825</v>
      </c>
    </row>
    <row r="208" spans="1:20" x14ac:dyDescent="0.25">
      <c r="A208" s="5">
        <v>44385</v>
      </c>
      <c r="B208">
        <v>0.25409999999999999</v>
      </c>
      <c r="C208">
        <v>0.25540000000000002</v>
      </c>
      <c r="D208">
        <v>0.2351</v>
      </c>
      <c r="E208">
        <v>0.2402</v>
      </c>
      <c r="F208">
        <v>7001012</v>
      </c>
      <c r="G208">
        <v>0</v>
      </c>
      <c r="L208" t="s">
        <v>7</v>
      </c>
      <c r="M208" t="s">
        <v>8</v>
      </c>
      <c r="N208" t="s">
        <v>7</v>
      </c>
      <c r="P208">
        <f t="shared" si="959"/>
        <v>-0.49753694581280883</v>
      </c>
      <c r="Q208">
        <f t="shared" si="960"/>
        <v>-3483262.1280788244</v>
      </c>
      <c r="R208">
        <f t="shared" si="961"/>
        <v>-413048407.98327202</v>
      </c>
      <c r="S208">
        <f t="shared" si="962"/>
        <v>-4130.4840798327205</v>
      </c>
      <c r="T208">
        <f t="shared" si="963"/>
        <v>-4.13048407983272</v>
      </c>
    </row>
    <row r="209" spans="1:20" x14ac:dyDescent="0.25">
      <c r="A209" s="5">
        <v>44384</v>
      </c>
      <c r="B209">
        <v>0.26</v>
      </c>
      <c r="C209">
        <v>0.28100000000000003</v>
      </c>
      <c r="D209">
        <v>0.247</v>
      </c>
      <c r="E209">
        <v>0.25359999999999999</v>
      </c>
      <c r="F209">
        <v>17925360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-0.61176470588235354</v>
      </c>
      <c r="Q209">
        <f t="shared" si="960"/>
        <v>-10966102.588235306</v>
      </c>
      <c r="R209">
        <f t="shared" si="961"/>
        <v>-409565145.8551932</v>
      </c>
      <c r="S209">
        <f t="shared" si="962"/>
        <v>-4095.6514585519321</v>
      </c>
      <c r="T209">
        <f t="shared" si="963"/>
        <v>-4.0956514585519326</v>
      </c>
    </row>
    <row r="210" spans="1:20" x14ac:dyDescent="0.25">
      <c r="A210" s="5">
        <v>44383</v>
      </c>
      <c r="B210">
        <v>0.23749999999999999</v>
      </c>
      <c r="C210">
        <v>0.26519999999999999</v>
      </c>
      <c r="D210">
        <v>0.2341</v>
      </c>
      <c r="E210">
        <v>0.26090000000000002</v>
      </c>
      <c r="F210">
        <v>13119227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0.72347266881029115</v>
      </c>
      <c r="Q210">
        <f t="shared" si="960"/>
        <v>9491402.1704180297</v>
      </c>
      <c r="R210">
        <f t="shared" si="961"/>
        <v>-398599043.26695788</v>
      </c>
      <c r="S210">
        <f t="shared" si="962"/>
        <v>-3985.9904326695787</v>
      </c>
      <c r="T210">
        <f t="shared" si="963"/>
        <v>-3.9859904326695785</v>
      </c>
    </row>
    <row r="211" spans="1:20" x14ac:dyDescent="0.25">
      <c r="A211" s="5">
        <v>44382</v>
      </c>
      <c r="B211">
        <v>0.24429999999999999</v>
      </c>
      <c r="C211">
        <v>0.2487</v>
      </c>
      <c r="D211">
        <v>0.23019999999999999</v>
      </c>
      <c r="E211">
        <v>0.23749999999999999</v>
      </c>
      <c r="F211">
        <v>10398998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-0.21081081081081141</v>
      </c>
      <c r="Q211">
        <f t="shared" si="960"/>
        <v>-2192221.2000000062</v>
      </c>
      <c r="R211">
        <f t="shared" si="961"/>
        <v>-408090445.4373759</v>
      </c>
      <c r="S211">
        <f t="shared" si="962"/>
        <v>-4080.9044543737591</v>
      </c>
      <c r="T211">
        <f t="shared" si="963"/>
        <v>-4.0809044543737594</v>
      </c>
    </row>
    <row r="212" spans="1:20" x14ac:dyDescent="0.25">
      <c r="A212" s="5">
        <v>44381</v>
      </c>
      <c r="B212">
        <v>0.23400000000000001</v>
      </c>
      <c r="C212">
        <v>0.25979999999999998</v>
      </c>
      <c r="D212">
        <v>0.23</v>
      </c>
      <c r="E212">
        <v>0.245</v>
      </c>
      <c r="F212">
        <v>9337044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6.7114093959733546E-3</v>
      </c>
      <c r="Q212">
        <f t="shared" si="960"/>
        <v>62664.724832216634</v>
      </c>
      <c r="R212">
        <f t="shared" si="961"/>
        <v>-405898224.23737592</v>
      </c>
      <c r="S212">
        <f t="shared" si="962"/>
        <v>-4058.9822423737592</v>
      </c>
      <c r="T212">
        <f t="shared" si="963"/>
        <v>-4.0589822423737596</v>
      </c>
    </row>
    <row r="213" spans="1:20" x14ac:dyDescent="0.25">
      <c r="A213" s="5">
        <v>44380</v>
      </c>
      <c r="B213">
        <v>0.23580000000000001</v>
      </c>
      <c r="C213">
        <v>0.2442</v>
      </c>
      <c r="D213">
        <v>0.23</v>
      </c>
      <c r="E213">
        <v>0.2336</v>
      </c>
      <c r="F213">
        <v>7579039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-0.49295774647887403</v>
      </c>
      <c r="Q213">
        <f t="shared" si="960"/>
        <v>-3736145.9859154988</v>
      </c>
      <c r="R213">
        <f t="shared" si="961"/>
        <v>-405960888.96220815</v>
      </c>
      <c r="S213">
        <f t="shared" si="962"/>
        <v>-4059.6088896220817</v>
      </c>
      <c r="T213">
        <f t="shared" si="963"/>
        <v>-4.0596088896220817</v>
      </c>
    </row>
    <row r="214" spans="1:20" x14ac:dyDescent="0.25">
      <c r="A214" s="5">
        <v>44379</v>
      </c>
      <c r="B214">
        <v>0.22770000000000001</v>
      </c>
      <c r="C214">
        <v>0.24199999999999999</v>
      </c>
      <c r="D214">
        <v>0.22500000000000001</v>
      </c>
      <c r="E214">
        <v>0.23599999999999999</v>
      </c>
      <c r="F214">
        <v>10951469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0.29411764705882237</v>
      </c>
      <c r="Q214">
        <f t="shared" si="960"/>
        <v>3221020.2941176342</v>
      </c>
      <c r="R214">
        <f t="shared" si="961"/>
        <v>-402224742.97629267</v>
      </c>
      <c r="S214">
        <f t="shared" si="962"/>
        <v>-4022.2474297629269</v>
      </c>
      <c r="T214">
        <f t="shared" si="963"/>
        <v>-4.0222474297629267</v>
      </c>
    </row>
    <row r="215" spans="1:20" x14ac:dyDescent="0.25">
      <c r="A215" s="5">
        <v>44378</v>
      </c>
      <c r="B215">
        <v>0.23369999999999999</v>
      </c>
      <c r="C215">
        <v>0.25190000000000001</v>
      </c>
      <c r="D215">
        <v>0.22500000000000001</v>
      </c>
      <c r="E215">
        <v>0.22789999999999999</v>
      </c>
      <c r="F215">
        <v>12662518</v>
      </c>
      <c r="G215">
        <v>0</v>
      </c>
      <c r="L215" t="s">
        <v>8</v>
      </c>
      <c r="M215" t="s">
        <v>8</v>
      </c>
      <c r="N215" t="s">
        <v>7</v>
      </c>
      <c r="P215">
        <f t="shared" si="959"/>
        <v>-0.78438661710037283</v>
      </c>
      <c r="Q215">
        <f t="shared" si="960"/>
        <v>-9932309.657992579</v>
      </c>
      <c r="R215">
        <f t="shared" si="961"/>
        <v>-405445763.2704103</v>
      </c>
      <c r="S215">
        <f t="shared" si="962"/>
        <v>-4054.4576327041032</v>
      </c>
      <c r="T215">
        <f t="shared" si="963"/>
        <v>-4.0544576327041035</v>
      </c>
    </row>
    <row r="216" spans="1:20" x14ac:dyDescent="0.25">
      <c r="A216" s="5">
        <v>44377</v>
      </c>
      <c r="B216">
        <v>0.2394</v>
      </c>
      <c r="C216">
        <v>0.2447</v>
      </c>
      <c r="D216">
        <v>0.22550000000000001</v>
      </c>
      <c r="E216">
        <v>0.2339</v>
      </c>
      <c r="F216">
        <v>8122818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-0.12500000000000072</v>
      </c>
      <c r="Q216">
        <f t="shared" si="960"/>
        <v>-1015352.2500000058</v>
      </c>
      <c r="R216">
        <f t="shared" si="961"/>
        <v>-395513453.6124177</v>
      </c>
      <c r="S216">
        <f t="shared" si="962"/>
        <v>-3955.134536124177</v>
      </c>
      <c r="T216">
        <f t="shared" si="963"/>
        <v>-3.9551345361241768</v>
      </c>
    </row>
    <row r="217" spans="1:20" x14ac:dyDescent="0.25">
      <c r="A217" s="5">
        <v>44376</v>
      </c>
      <c r="B217">
        <v>0.23280000000000001</v>
      </c>
      <c r="C217">
        <v>0.25530000000000003</v>
      </c>
      <c r="D217">
        <v>0.23230000000000001</v>
      </c>
      <c r="E217">
        <v>0.2389</v>
      </c>
      <c r="F217">
        <v>15077253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-0.42608695652174011</v>
      </c>
      <c r="Q217">
        <f t="shared" si="960"/>
        <v>-6424220.8434782755</v>
      </c>
      <c r="R217">
        <f t="shared" si="961"/>
        <v>-394498101.3624177</v>
      </c>
      <c r="S217">
        <f t="shared" si="962"/>
        <v>-3944.9810136241772</v>
      </c>
      <c r="T217">
        <f t="shared" si="963"/>
        <v>-3.9449810136241772</v>
      </c>
    </row>
    <row r="218" spans="1:20" x14ac:dyDescent="0.25">
      <c r="A218" s="5">
        <v>44375</v>
      </c>
      <c r="B218">
        <v>0.23250000000000001</v>
      </c>
      <c r="C218">
        <v>0.24790000000000001</v>
      </c>
      <c r="D218">
        <v>0.22739999999999999</v>
      </c>
      <c r="E218">
        <v>0.2329</v>
      </c>
      <c r="F218">
        <v>13096970</v>
      </c>
      <c r="G218">
        <v>0</v>
      </c>
      <c r="L218" t="s">
        <v>7</v>
      </c>
      <c r="M218" t="s">
        <v>7</v>
      </c>
      <c r="N218" t="s">
        <v>7</v>
      </c>
      <c r="P218">
        <f t="shared" si="959"/>
        <v>-0.46341463414634149</v>
      </c>
      <c r="Q218">
        <f t="shared" si="960"/>
        <v>-6069327.5609756103</v>
      </c>
      <c r="R218">
        <f t="shared" si="961"/>
        <v>-388073880.51893944</v>
      </c>
      <c r="S218">
        <f t="shared" si="962"/>
        <v>-3880.7388051893945</v>
      </c>
      <c r="T218">
        <f t="shared" si="963"/>
        <v>-3.8807388051893943</v>
      </c>
    </row>
    <row r="219" spans="1:20" x14ac:dyDescent="0.25">
      <c r="A219" s="5">
        <v>44374</v>
      </c>
      <c r="B219">
        <v>0.2223</v>
      </c>
      <c r="C219">
        <v>0.25509999999999999</v>
      </c>
      <c r="D219">
        <v>0.21199999999999999</v>
      </c>
      <c r="E219">
        <v>0.23250000000000001</v>
      </c>
      <c r="F219">
        <v>31370634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-4.8723897911832091E-2</v>
      </c>
      <c r="Q219">
        <f t="shared" si="960"/>
        <v>-1528499.5684454488</v>
      </c>
      <c r="R219">
        <f t="shared" si="961"/>
        <v>-382004552.95796382</v>
      </c>
      <c r="S219">
        <f t="shared" si="962"/>
        <v>-3820.0455295796382</v>
      </c>
      <c r="T219">
        <f t="shared" si="963"/>
        <v>-3.8200455295796383</v>
      </c>
    </row>
    <row r="220" spans="1:20" x14ac:dyDescent="0.25">
      <c r="A220" s="5">
        <v>44373</v>
      </c>
      <c r="B220">
        <v>0.21229999999999999</v>
      </c>
      <c r="C220">
        <v>0.27450000000000002</v>
      </c>
      <c r="D220">
        <v>0.2024</v>
      </c>
      <c r="E220">
        <v>0.2223</v>
      </c>
      <c r="F220">
        <v>48851788</v>
      </c>
      <c r="G220">
        <v>0</v>
      </c>
      <c r="L220" t="s">
        <v>7</v>
      </c>
      <c r="M220" t="s">
        <v>8</v>
      </c>
      <c r="N220" t="s">
        <v>7</v>
      </c>
      <c r="P220">
        <f t="shared" si="959"/>
        <v>-0.4479889042995841</v>
      </c>
      <c r="Q220">
        <f t="shared" si="960"/>
        <v>-21885058.979195572</v>
      </c>
      <c r="R220">
        <f t="shared" si="961"/>
        <v>-380476053.38951838</v>
      </c>
      <c r="S220">
        <f t="shared" si="962"/>
        <v>-3804.7605338951839</v>
      </c>
      <c r="T220">
        <f t="shared" si="963"/>
        <v>-3.804760533895184</v>
      </c>
    </row>
    <row r="221" spans="1:20" x14ac:dyDescent="0.25">
      <c r="A221" s="5">
        <v>44372</v>
      </c>
      <c r="B221">
        <v>0.2306</v>
      </c>
      <c r="C221">
        <v>0.2356</v>
      </c>
      <c r="D221">
        <v>0.21060000000000001</v>
      </c>
      <c r="E221">
        <v>0.21179999999999999</v>
      </c>
      <c r="F221">
        <v>10664056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-0.90400000000000169</v>
      </c>
      <c r="Q221">
        <f t="shared" si="960"/>
        <v>-9640306.6240000185</v>
      </c>
      <c r="R221">
        <f t="shared" si="961"/>
        <v>-358590994.41032279</v>
      </c>
      <c r="S221">
        <f t="shared" si="962"/>
        <v>-3585.9099441032276</v>
      </c>
      <c r="T221">
        <f t="shared" si="963"/>
        <v>-3.5859099441032276</v>
      </c>
    </row>
    <row r="222" spans="1:20" x14ac:dyDescent="0.25">
      <c r="A222" s="5">
        <v>44371</v>
      </c>
      <c r="B222">
        <v>0.2329</v>
      </c>
      <c r="C222">
        <v>0.2399</v>
      </c>
      <c r="D222">
        <v>0.22009999999999999</v>
      </c>
      <c r="E222">
        <v>0.2303</v>
      </c>
      <c r="F222">
        <v>6954775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3.0303030303031154E-2</v>
      </c>
      <c r="Q222">
        <f t="shared" si="960"/>
        <v>210750.75757576351</v>
      </c>
      <c r="R222">
        <f t="shared" si="961"/>
        <v>-348950687.78632277</v>
      </c>
      <c r="S222">
        <f t="shared" si="962"/>
        <v>-3489.5068778632276</v>
      </c>
      <c r="T222">
        <f t="shared" si="963"/>
        <v>-3.4895068778632274</v>
      </c>
    </row>
    <row r="223" spans="1:20" x14ac:dyDescent="0.25">
      <c r="A223" s="5">
        <v>44370</v>
      </c>
      <c r="B223">
        <v>0.215</v>
      </c>
      <c r="C223">
        <v>0.24329999999999999</v>
      </c>
      <c r="D223">
        <v>0.20949999999999999</v>
      </c>
      <c r="E223">
        <v>0.2331</v>
      </c>
      <c r="F223">
        <v>7974354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0.39644970414201253</v>
      </c>
      <c r="Q223">
        <f t="shared" si="960"/>
        <v>3161430.2840236742</v>
      </c>
      <c r="R223">
        <f t="shared" si="961"/>
        <v>-349161438.54389852</v>
      </c>
      <c r="S223">
        <f t="shared" si="962"/>
        <v>-3491.6143854389852</v>
      </c>
      <c r="T223">
        <f t="shared" si="963"/>
        <v>-3.4916143854389854</v>
      </c>
    </row>
    <row r="224" spans="1:20" x14ac:dyDescent="0.25">
      <c r="A224" s="5">
        <v>44369</v>
      </c>
      <c r="B224">
        <v>0.22969999999999999</v>
      </c>
      <c r="C224">
        <v>0.25659999999999999</v>
      </c>
      <c r="D224">
        <v>0.19919999999999999</v>
      </c>
      <c r="E224">
        <v>0.2142</v>
      </c>
      <c r="F224">
        <v>15176842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-0.4773519163763062</v>
      </c>
      <c r="Q224">
        <f t="shared" si="960"/>
        <v>-7244694.6132404115</v>
      </c>
      <c r="R224">
        <f t="shared" si="961"/>
        <v>-352322868.82792222</v>
      </c>
      <c r="S224">
        <f t="shared" si="962"/>
        <v>-3523.2286882792223</v>
      </c>
      <c r="T224">
        <f t="shared" si="963"/>
        <v>-3.5232286882792221</v>
      </c>
    </row>
    <row r="225" spans="1:20" x14ac:dyDescent="0.25">
      <c r="A225" s="5">
        <v>44368</v>
      </c>
      <c r="B225">
        <v>0.28010000000000002</v>
      </c>
      <c r="C225">
        <v>0.28120000000000001</v>
      </c>
      <c r="D225">
        <v>0.2288</v>
      </c>
      <c r="E225">
        <v>0.2296</v>
      </c>
      <c r="F225">
        <v>11254690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-0.969465648854962</v>
      </c>
      <c r="Q225">
        <f t="shared" si="960"/>
        <v>-10911035.343511453</v>
      </c>
      <c r="R225">
        <f t="shared" si="961"/>
        <v>-345078174.2146818</v>
      </c>
      <c r="S225">
        <f t="shared" si="962"/>
        <v>-3450.781742146818</v>
      </c>
      <c r="T225">
        <f t="shared" si="963"/>
        <v>-3.4507817421468179</v>
      </c>
    </row>
    <row r="226" spans="1:20" x14ac:dyDescent="0.25">
      <c r="A226" s="5">
        <v>44367</v>
      </c>
      <c r="B226">
        <v>0.28310000000000002</v>
      </c>
      <c r="C226">
        <v>0.28849999999999998</v>
      </c>
      <c r="D226">
        <v>0.26150000000000001</v>
      </c>
      <c r="E226">
        <v>0.28010000000000002</v>
      </c>
      <c r="F226">
        <v>5326335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0.37777777777777977</v>
      </c>
      <c r="Q226">
        <f t="shared" si="960"/>
        <v>2012171.0000000105</v>
      </c>
      <c r="R226">
        <f t="shared" si="961"/>
        <v>-334167138.87117034</v>
      </c>
      <c r="S226">
        <f t="shared" si="962"/>
        <v>-3341.6713887117035</v>
      </c>
      <c r="T226">
        <f t="shared" si="963"/>
        <v>-3.3416713887117035</v>
      </c>
    </row>
    <row r="227" spans="1:20" x14ac:dyDescent="0.25">
      <c r="A227" s="5">
        <v>44366</v>
      </c>
      <c r="B227">
        <v>0.2923</v>
      </c>
      <c r="C227">
        <v>0.30359999999999998</v>
      </c>
      <c r="D227">
        <v>0.28310000000000002</v>
      </c>
      <c r="E227">
        <v>0.28349999999999997</v>
      </c>
      <c r="F227">
        <v>9142190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-0.96097560975610175</v>
      </c>
      <c r="Q227">
        <f t="shared" si="960"/>
        <v>-8785421.6097561363</v>
      </c>
      <c r="R227">
        <f t="shared" si="961"/>
        <v>-336179309.87117034</v>
      </c>
      <c r="S227">
        <f t="shared" si="962"/>
        <v>-3361.7930987117034</v>
      </c>
      <c r="T227">
        <f t="shared" si="963"/>
        <v>-3.3617930987117033</v>
      </c>
    </row>
    <row r="228" spans="1:20" x14ac:dyDescent="0.25">
      <c r="A228" s="5">
        <v>44365</v>
      </c>
      <c r="B228">
        <v>0.33279999999999998</v>
      </c>
      <c r="C228">
        <v>0.33579999999999999</v>
      </c>
      <c r="D228">
        <v>0.28410000000000002</v>
      </c>
      <c r="E228">
        <v>0.29249999999999998</v>
      </c>
      <c r="F228">
        <v>36531060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-0.67504835589942092</v>
      </c>
      <c r="Q228">
        <f t="shared" si="960"/>
        <v>-24660231.992263101</v>
      </c>
      <c r="R228">
        <f t="shared" si="961"/>
        <v>-327393888.26141423</v>
      </c>
      <c r="S228">
        <f t="shared" si="962"/>
        <v>-3273.9388826141421</v>
      </c>
      <c r="T228">
        <f t="shared" si="963"/>
        <v>-3.273938882614142</v>
      </c>
    </row>
    <row r="229" spans="1:20" x14ac:dyDescent="0.25">
      <c r="A229" s="5">
        <v>44364</v>
      </c>
      <c r="B229">
        <v>0.27700000000000002</v>
      </c>
      <c r="C229">
        <v>0.39760000000000001</v>
      </c>
      <c r="D229">
        <v>0.27629999999999999</v>
      </c>
      <c r="E229">
        <v>0.3327</v>
      </c>
      <c r="F229">
        <v>93304318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-7.0074196207749434E-2</v>
      </c>
      <c r="Q229">
        <f t="shared" si="960"/>
        <v>-6538225.086562247</v>
      </c>
      <c r="R229">
        <f t="shared" si="961"/>
        <v>-302733656.26915115</v>
      </c>
      <c r="S229">
        <f t="shared" si="962"/>
        <v>-3027.3365626915115</v>
      </c>
      <c r="T229">
        <f t="shared" si="963"/>
        <v>-3.0273365626915116</v>
      </c>
    </row>
    <row r="230" spans="1:20" x14ac:dyDescent="0.25">
      <c r="A230" s="5">
        <v>44363</v>
      </c>
      <c r="B230">
        <v>0.29930000000000001</v>
      </c>
      <c r="C230">
        <v>0.3009</v>
      </c>
      <c r="D230">
        <v>0.27610000000000001</v>
      </c>
      <c r="E230">
        <v>0.27750000000000002</v>
      </c>
      <c r="F230">
        <v>4834641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-0.88709677419354738</v>
      </c>
      <c r="Q230">
        <f t="shared" si="960"/>
        <v>-4288794.4354838664</v>
      </c>
      <c r="R230">
        <f t="shared" si="961"/>
        <v>-296195431.18258888</v>
      </c>
      <c r="S230">
        <f t="shared" si="962"/>
        <v>-2961.9543118258889</v>
      </c>
      <c r="T230">
        <f t="shared" si="963"/>
        <v>-2.9619543118258891</v>
      </c>
    </row>
    <row r="231" spans="1:20" x14ac:dyDescent="0.25">
      <c r="A231" s="5">
        <v>44362</v>
      </c>
      <c r="B231">
        <v>0.31230000000000002</v>
      </c>
      <c r="C231">
        <v>0.32</v>
      </c>
      <c r="D231">
        <v>0.29570000000000002</v>
      </c>
      <c r="E231">
        <v>0.30009999999999998</v>
      </c>
      <c r="F231">
        <v>8444825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-0.63786008230452995</v>
      </c>
      <c r="Q231">
        <f t="shared" si="960"/>
        <v>-5386616.7695473526</v>
      </c>
      <c r="R231">
        <f t="shared" si="961"/>
        <v>-291906636.747105</v>
      </c>
      <c r="S231">
        <f t="shared" si="962"/>
        <v>-2919.0663674710499</v>
      </c>
      <c r="T231">
        <f t="shared" si="963"/>
        <v>-2.91906636747105</v>
      </c>
    </row>
    <row r="232" spans="1:20" x14ac:dyDescent="0.25">
      <c r="A232" s="5">
        <v>44361</v>
      </c>
      <c r="B232">
        <v>0.30990000000000001</v>
      </c>
      <c r="C232">
        <v>0.32850000000000001</v>
      </c>
      <c r="D232">
        <v>0.30309999999999998</v>
      </c>
      <c r="E232">
        <v>0.312</v>
      </c>
      <c r="F232">
        <v>7408626</v>
      </c>
      <c r="G232">
        <v>0</v>
      </c>
      <c r="L232" t="s">
        <v>7</v>
      </c>
      <c r="M232" t="s">
        <v>8</v>
      </c>
      <c r="N232" t="s">
        <v>7</v>
      </c>
      <c r="P232">
        <f t="shared" si="959"/>
        <v>-0.29921259842519626</v>
      </c>
      <c r="Q232">
        <f t="shared" si="960"/>
        <v>-2216754.2362204683</v>
      </c>
      <c r="R232">
        <f t="shared" si="961"/>
        <v>-286520019.97755766</v>
      </c>
      <c r="S232">
        <f t="shared" si="962"/>
        <v>-2865.2001997755765</v>
      </c>
      <c r="T232">
        <f t="shared" si="963"/>
        <v>-2.8652001997755763</v>
      </c>
    </row>
    <row r="233" spans="1:20" x14ac:dyDescent="0.25">
      <c r="A233" s="5">
        <v>44360</v>
      </c>
      <c r="B233">
        <v>0.31069999999999998</v>
      </c>
      <c r="C233">
        <v>0.33500000000000002</v>
      </c>
      <c r="D233">
        <v>0.28920000000000001</v>
      </c>
      <c r="E233">
        <v>0.30969999999999998</v>
      </c>
      <c r="F233">
        <v>24100373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-0.10480349344978343</v>
      </c>
      <c r="Q233">
        <f t="shared" si="960"/>
        <v>-2525803.2838428374</v>
      </c>
      <c r="R233">
        <f t="shared" si="961"/>
        <v>-284303265.74133718</v>
      </c>
      <c r="S233">
        <f t="shared" si="962"/>
        <v>-2843.0326574133719</v>
      </c>
      <c r="T233">
        <f t="shared" si="963"/>
        <v>-2.8430326574133717</v>
      </c>
    </row>
    <row r="234" spans="1:20" x14ac:dyDescent="0.25">
      <c r="A234" s="5">
        <v>44359</v>
      </c>
      <c r="B234">
        <v>0.27360000000000001</v>
      </c>
      <c r="C234">
        <v>0.33789999999999998</v>
      </c>
      <c r="D234">
        <v>0.25559999999999999</v>
      </c>
      <c r="E234">
        <v>0.31069999999999998</v>
      </c>
      <c r="F234">
        <v>34797398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0.33900364520048587</v>
      </c>
      <c r="Q234">
        <f t="shared" si="960"/>
        <v>11796444.765492097</v>
      </c>
      <c r="R234">
        <f t="shared" si="961"/>
        <v>-281777462.45749432</v>
      </c>
      <c r="S234">
        <f t="shared" si="962"/>
        <v>-2817.7746245749431</v>
      </c>
      <c r="T234">
        <f t="shared" si="963"/>
        <v>-2.8177746245749433</v>
      </c>
    </row>
    <row r="235" spans="1:20" x14ac:dyDescent="0.25">
      <c r="A235" s="5">
        <v>44358</v>
      </c>
      <c r="B235">
        <v>0.30180000000000001</v>
      </c>
      <c r="C235">
        <v>0.31140000000000001</v>
      </c>
      <c r="D235">
        <v>0.27</v>
      </c>
      <c r="E235">
        <v>0.27339999999999998</v>
      </c>
      <c r="F235">
        <v>10626384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-0.83574879227053334</v>
      </c>
      <c r="Q235">
        <f t="shared" si="960"/>
        <v>-8880987.5942029189</v>
      </c>
      <c r="R235">
        <f t="shared" si="961"/>
        <v>-293573907.2229864</v>
      </c>
      <c r="S235">
        <f t="shared" si="962"/>
        <v>-2935.7390722298642</v>
      </c>
      <c r="T235">
        <f t="shared" si="963"/>
        <v>-2.9357390722298642</v>
      </c>
    </row>
    <row r="236" spans="1:20" x14ac:dyDescent="0.25">
      <c r="A236" s="5">
        <v>44357</v>
      </c>
      <c r="B236">
        <v>0.33529999999999999</v>
      </c>
      <c r="C236">
        <v>0.35680000000000001</v>
      </c>
      <c r="D236">
        <v>0.29970000000000002</v>
      </c>
      <c r="E236">
        <v>0.3014</v>
      </c>
      <c r="F236">
        <v>8227567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-0.9404553415061303</v>
      </c>
      <c r="Q236">
        <f t="shared" si="960"/>
        <v>-7737659.3327495679</v>
      </c>
      <c r="R236">
        <f t="shared" si="961"/>
        <v>-284692919.62878346</v>
      </c>
      <c r="S236">
        <f t="shared" si="962"/>
        <v>-2846.9291962878347</v>
      </c>
      <c r="T236">
        <f t="shared" si="963"/>
        <v>-2.8469291962878347</v>
      </c>
    </row>
    <row r="237" spans="1:20" x14ac:dyDescent="0.25">
      <c r="A237" s="5">
        <v>44356</v>
      </c>
      <c r="B237">
        <v>0.3614</v>
      </c>
      <c r="C237">
        <v>0.373</v>
      </c>
      <c r="D237">
        <v>0.3201</v>
      </c>
      <c r="E237">
        <v>0.33460000000000001</v>
      </c>
      <c r="F237">
        <v>23379484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-0.45179584120982941</v>
      </c>
      <c r="Q237">
        <f t="shared" si="960"/>
        <v>-10562753.640831748</v>
      </c>
      <c r="R237">
        <f t="shared" si="961"/>
        <v>-276955260.29603392</v>
      </c>
      <c r="S237">
        <f t="shared" si="962"/>
        <v>-2769.5526029603393</v>
      </c>
      <c r="T237">
        <f t="shared" si="963"/>
        <v>-2.7695526029603394</v>
      </c>
    </row>
    <row r="238" spans="1:20" x14ac:dyDescent="0.25">
      <c r="A238" s="5">
        <v>44355</v>
      </c>
      <c r="B238">
        <v>0.31830000000000003</v>
      </c>
      <c r="C238">
        <v>0.37640000000000001</v>
      </c>
      <c r="D238">
        <v>0.28489999999999999</v>
      </c>
      <c r="E238">
        <v>0.3614</v>
      </c>
      <c r="F238">
        <v>28521075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0.67213114754098335</v>
      </c>
      <c r="Q238">
        <f t="shared" si="960"/>
        <v>19169902.868852451</v>
      </c>
      <c r="R238">
        <f t="shared" si="961"/>
        <v>-266392506.65520215</v>
      </c>
      <c r="S238">
        <f t="shared" si="962"/>
        <v>-2663.9250665520217</v>
      </c>
      <c r="T238">
        <f t="shared" si="963"/>
        <v>-2.6639250665520215</v>
      </c>
    </row>
    <row r="239" spans="1:20" x14ac:dyDescent="0.25">
      <c r="A239" s="5">
        <v>44354</v>
      </c>
      <c r="B239">
        <v>0.36470000000000002</v>
      </c>
      <c r="C239">
        <v>0.39479999999999998</v>
      </c>
      <c r="D239">
        <v>0.31440000000000001</v>
      </c>
      <c r="E239">
        <v>0.31830000000000003</v>
      </c>
      <c r="F239">
        <v>25181459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-0.90298507462686528</v>
      </c>
      <c r="Q239">
        <f t="shared" si="960"/>
        <v>-22738481.634328347</v>
      </c>
      <c r="R239">
        <f t="shared" si="961"/>
        <v>-285562409.52405459</v>
      </c>
      <c r="S239">
        <f t="shared" si="962"/>
        <v>-2855.624095240546</v>
      </c>
      <c r="T239">
        <f t="shared" si="963"/>
        <v>-2.8556240952405458</v>
      </c>
    </row>
    <row r="240" spans="1:20" x14ac:dyDescent="0.25">
      <c r="A240" s="5">
        <v>44353</v>
      </c>
      <c r="B240">
        <v>0.38080000000000003</v>
      </c>
      <c r="C240">
        <v>0.39600000000000002</v>
      </c>
      <c r="D240">
        <v>0.35899999999999999</v>
      </c>
      <c r="E240">
        <v>0.36409999999999998</v>
      </c>
      <c r="F240">
        <v>28119823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-0.72432432432432492</v>
      </c>
      <c r="Q240">
        <f t="shared" si="960"/>
        <v>-20367871.794594612</v>
      </c>
      <c r="R240">
        <f t="shared" si="961"/>
        <v>-262823927.88972622</v>
      </c>
      <c r="S240">
        <f t="shared" si="962"/>
        <v>-2628.239278897262</v>
      </c>
      <c r="T240">
        <f t="shared" si="963"/>
        <v>-2.6282392788972619</v>
      </c>
    </row>
    <row r="241" spans="1:20" x14ac:dyDescent="0.25">
      <c r="A241" s="5">
        <v>44352</v>
      </c>
      <c r="B241">
        <v>0.45579999999999998</v>
      </c>
      <c r="C241">
        <v>0.4607</v>
      </c>
      <c r="D241">
        <v>0.36809999999999998</v>
      </c>
      <c r="E241">
        <v>0.3805</v>
      </c>
      <c r="F241">
        <v>93851907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-0.73218142548596066</v>
      </c>
      <c r="Q241">
        <f t="shared" si="960"/>
        <v>-68716623.051835805</v>
      </c>
      <c r="R241">
        <f t="shared" si="961"/>
        <v>-242456056.09513161</v>
      </c>
      <c r="S241">
        <f t="shared" si="962"/>
        <v>-2424.5605609513159</v>
      </c>
      <c r="T241">
        <f t="shared" si="963"/>
        <v>-2.4245605609513161</v>
      </c>
    </row>
    <row r="242" spans="1:20" x14ac:dyDescent="0.25">
      <c r="A242" s="5">
        <v>44351</v>
      </c>
      <c r="B242">
        <v>0.3473</v>
      </c>
      <c r="C242">
        <v>0.8</v>
      </c>
      <c r="D242">
        <v>0.3473</v>
      </c>
      <c r="E242">
        <v>0.4546</v>
      </c>
      <c r="F242">
        <v>330331127</v>
      </c>
      <c r="G242">
        <v>0</v>
      </c>
      <c r="P242">
        <f t="shared" si="959"/>
        <v>-0.52595537883808263</v>
      </c>
      <c r="Q242">
        <f t="shared" si="960"/>
        <v>-173739433.0432958</v>
      </c>
      <c r="R242">
        <f t="shared" si="961"/>
        <v>-173739433.0432958</v>
      </c>
      <c r="S242">
        <f t="shared" si="962"/>
        <v>-1737.394330432958</v>
      </c>
      <c r="T242">
        <f t="shared" si="963"/>
        <v>-1.737394330432958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959"/>
        <v>0</v>
      </c>
      <c r="Q243">
        <f t="shared" si="960"/>
        <v>0</v>
      </c>
      <c r="R243">
        <f t="shared" si="961"/>
        <v>0</v>
      </c>
      <c r="S243">
        <f t="shared" si="962"/>
        <v>0</v>
      </c>
      <c r="T243">
        <f t="shared" si="963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959"/>
        <v>0</v>
      </c>
      <c r="Q244">
        <f t="shared" si="960"/>
        <v>0</v>
      </c>
      <c r="R244">
        <f t="shared" si="961"/>
        <v>0</v>
      </c>
      <c r="S244">
        <f t="shared" si="962"/>
        <v>0</v>
      </c>
      <c r="T244">
        <f t="shared" si="963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959"/>
        <v>0</v>
      </c>
      <c r="Q245">
        <f t="shared" si="960"/>
        <v>0</v>
      </c>
      <c r="R245">
        <f t="shared" si="961"/>
        <v>0</v>
      </c>
      <c r="S245">
        <f t="shared" si="962"/>
        <v>0</v>
      </c>
      <c r="T245">
        <f t="shared" si="963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959"/>
        <v>0</v>
      </c>
      <c r="Q246">
        <f t="shared" si="960"/>
        <v>0</v>
      </c>
      <c r="R246">
        <f t="shared" si="961"/>
        <v>0</v>
      </c>
      <c r="S246">
        <f t="shared" si="962"/>
        <v>0</v>
      </c>
      <c r="T246">
        <f t="shared" si="963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959"/>
        <v>0</v>
      </c>
      <c r="Q247">
        <f t="shared" si="960"/>
        <v>0</v>
      </c>
      <c r="R247">
        <f t="shared" si="961"/>
        <v>0</v>
      </c>
      <c r="S247">
        <f t="shared" si="962"/>
        <v>0</v>
      </c>
      <c r="T247">
        <f t="shared" si="963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959"/>
        <v>0</v>
      </c>
      <c r="Q248">
        <f t="shared" si="960"/>
        <v>0</v>
      </c>
      <c r="R248">
        <f t="shared" si="961"/>
        <v>0</v>
      </c>
      <c r="S248">
        <f t="shared" si="962"/>
        <v>0</v>
      </c>
      <c r="T248">
        <f t="shared" si="963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959"/>
        <v>0</v>
      </c>
      <c r="Q249">
        <f t="shared" si="960"/>
        <v>0</v>
      </c>
      <c r="R249">
        <f t="shared" si="961"/>
        <v>0</v>
      </c>
      <c r="S249">
        <f t="shared" si="962"/>
        <v>0</v>
      </c>
      <c r="T249">
        <f t="shared" si="963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959"/>
        <v>0</v>
      </c>
      <c r="Q250">
        <f t="shared" si="960"/>
        <v>0</v>
      </c>
      <c r="R250">
        <f t="shared" si="961"/>
        <v>0</v>
      </c>
      <c r="S250">
        <f t="shared" si="962"/>
        <v>0</v>
      </c>
      <c r="T250">
        <f t="shared" si="963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959"/>
        <v>0</v>
      </c>
      <c r="Q251">
        <f t="shared" si="960"/>
        <v>0</v>
      </c>
      <c r="R251">
        <f t="shared" si="961"/>
        <v>0</v>
      </c>
      <c r="S251">
        <f t="shared" si="962"/>
        <v>0</v>
      </c>
      <c r="T251">
        <f t="shared" si="963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959"/>
        <v>0</v>
      </c>
      <c r="Q252">
        <f t="shared" si="960"/>
        <v>0</v>
      </c>
      <c r="R252">
        <f t="shared" si="961"/>
        <v>0</v>
      </c>
      <c r="S252">
        <f t="shared" si="962"/>
        <v>0</v>
      </c>
      <c r="T252">
        <f t="shared" si="963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959"/>
        <v>0</v>
      </c>
      <c r="Q253">
        <f t="shared" si="960"/>
        <v>0</v>
      </c>
      <c r="R253">
        <f t="shared" si="961"/>
        <v>0</v>
      </c>
      <c r="S253">
        <f t="shared" si="962"/>
        <v>0</v>
      </c>
      <c r="T253">
        <f t="shared" si="963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959"/>
        <v>0</v>
      </c>
      <c r="Q254">
        <f t="shared" si="960"/>
        <v>0</v>
      </c>
      <c r="R254">
        <f t="shared" si="961"/>
        <v>0</v>
      </c>
      <c r="S254">
        <f t="shared" si="962"/>
        <v>0</v>
      </c>
      <c r="T254">
        <f t="shared" si="963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959"/>
        <v>0</v>
      </c>
      <c r="Q255">
        <f t="shared" si="960"/>
        <v>0</v>
      </c>
      <c r="R255">
        <f t="shared" si="961"/>
        <v>0</v>
      </c>
      <c r="S255">
        <f t="shared" si="962"/>
        <v>0</v>
      </c>
      <c r="T255">
        <f t="shared" si="963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959"/>
        <v>0</v>
      </c>
      <c r="Q256">
        <f t="shared" si="960"/>
        <v>0</v>
      </c>
      <c r="R256">
        <f t="shared" si="961"/>
        <v>0</v>
      </c>
      <c r="S256">
        <f t="shared" si="962"/>
        <v>0</v>
      </c>
      <c r="T256">
        <f t="shared" si="963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959"/>
        <v>0</v>
      </c>
      <c r="Q257">
        <f t="shared" si="960"/>
        <v>0</v>
      </c>
      <c r="R257">
        <f t="shared" si="961"/>
        <v>0</v>
      </c>
      <c r="S257">
        <f t="shared" si="962"/>
        <v>0</v>
      </c>
      <c r="T257">
        <f t="shared" si="963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959"/>
        <v>0</v>
      </c>
      <c r="Q258">
        <f t="shared" si="960"/>
        <v>0</v>
      </c>
      <c r="R258">
        <f t="shared" si="961"/>
        <v>0</v>
      </c>
      <c r="S258">
        <f t="shared" si="962"/>
        <v>0</v>
      </c>
      <c r="T258">
        <f t="shared" si="963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DT629" sqref="DT62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$A$628</v>
      </c>
      <c r="D111" s="1" t="str">
        <f>ADDRESS(C121-1,D121,1,1)</f>
        <v>$DT$628</v>
      </c>
      <c r="E111"/>
    </row>
    <row r="112" spans="1:5" x14ac:dyDescent="0.25">
      <c r="A112" s="7">
        <v>12164.144957890772</v>
      </c>
      <c r="C112" s="1" t="str">
        <f>ADDRESS(C121,1,1,1)</f>
        <v>$A$629</v>
      </c>
      <c r="D112" s="1" t="str">
        <f>ADDRESS(C121,D121-1,1,1)</f>
        <v>$DS$629</v>
      </c>
      <c r="E112"/>
    </row>
    <row r="113" spans="1:5" x14ac:dyDescent="0.25">
      <c r="A113" s="7">
        <v>11925.63231165762</v>
      </c>
      <c r="C113" s="1" t="str">
        <f>ADDRESS(C121+1,1,1,1)</f>
        <v>$A$630</v>
      </c>
      <c r="D113" s="1" t="str">
        <f>ADDRESS(C121-1,D121+1,1,1)</f>
        <v>$DU$628</v>
      </c>
    </row>
    <row r="114" spans="1:5" x14ac:dyDescent="0.25">
      <c r="A114" s="7">
        <v>11691.796383978059</v>
      </c>
      <c r="C114" s="1" t="str">
        <f>ADDRESS(C121,D121,1,1)</f>
        <v>$DT$629</v>
      </c>
      <c r="D114" s="1" t="str">
        <f>ADDRESS(C121+1,D121+1,1,1)</f>
        <v>$DU$630</v>
      </c>
    </row>
    <row r="115" spans="1:5" x14ac:dyDescent="0.25">
      <c r="A115" s="7">
        <v>11462.545474488292</v>
      </c>
      <c r="C115" s="1" t="str">
        <f>ADDRESS(C121+1,D121,1,1)</f>
        <v>$DT$630</v>
      </c>
    </row>
    <row r="116" spans="1:5" x14ac:dyDescent="0.25">
      <c r="A116" s="7">
        <v>11237.789680870874</v>
      </c>
      <c r="C116" s="1">
        <f>C117-1</f>
        <v>628</v>
      </c>
    </row>
    <row r="117" spans="1:5" x14ac:dyDescent="0.25">
      <c r="A117" s="7">
        <v>11017.440863598895</v>
      </c>
      <c r="C117" s="1">
        <f>C121</f>
        <v>629</v>
      </c>
      <c r="D117" s="1">
        <f>D121</f>
        <v>124</v>
      </c>
    </row>
    <row r="118" spans="1:5" x14ac:dyDescent="0.25">
      <c r="A118" s="7">
        <v>10801.412611371465</v>
      </c>
      <c r="C118" s="1">
        <f>C117+1</f>
        <v>630</v>
      </c>
      <c r="D118" s="1">
        <f>D117+1</f>
        <v>125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629</v>
      </c>
      <c r="D121" s="19">
        <v>124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R629</v>
      </c>
      <c r="D123" s="1" t="str">
        <f>"C"&amp;D121</f>
        <v>C124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0.4353041283979589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76" x14ac:dyDescent="0.25">
      <c r="A529" s="7">
        <v>3.1536243640574906</v>
      </c>
      <c r="B529"/>
      <c r="C529"/>
      <c r="D529"/>
      <c r="E529"/>
    </row>
    <row r="530" spans="1:76" x14ac:dyDescent="0.25">
      <c r="A530" s="7">
        <v>3.0917885922132262</v>
      </c>
      <c r="B530"/>
      <c r="C530"/>
      <c r="D530"/>
      <c r="E530"/>
    </row>
    <row r="531" spans="1:76" x14ac:dyDescent="0.25">
      <c r="A531" s="7">
        <v>3.0311652864835552</v>
      </c>
      <c r="B531"/>
      <c r="C531"/>
      <c r="D531"/>
      <c r="E531"/>
    </row>
    <row r="532" spans="1:76" x14ac:dyDescent="0.25">
      <c r="A532" s="7">
        <v>2.9717306730230932</v>
      </c>
      <c r="B532"/>
      <c r="C532"/>
      <c r="D532"/>
      <c r="E532"/>
    </row>
    <row r="533" spans="1:76" x14ac:dyDescent="0.25">
      <c r="A533" s="7">
        <v>2.9134614441402875</v>
      </c>
      <c r="B533"/>
      <c r="C533"/>
      <c r="D533"/>
      <c r="E533"/>
    </row>
    <row r="534" spans="1:76" x14ac:dyDescent="0.25">
      <c r="A534" s="7">
        <v>2.8563347491571447</v>
      </c>
      <c r="B534"/>
      <c r="C534"/>
      <c r="D534"/>
      <c r="E534"/>
    </row>
    <row r="535" spans="1:76" x14ac:dyDescent="0.25">
      <c r="A535" s="7">
        <v>2.8003281854481812</v>
      </c>
      <c r="B535"/>
      <c r="C535"/>
      <c r="D535"/>
      <c r="E535"/>
    </row>
    <row r="536" spans="1:76" x14ac:dyDescent="0.25">
      <c r="A536" s="7">
        <v>2.7454197896550796</v>
      </c>
      <c r="B536"/>
      <c r="C536"/>
      <c r="D536"/>
      <c r="E536"/>
      <c r="BW536" s="27" t="s">
        <v>8</v>
      </c>
    </row>
    <row r="537" spans="1:76" x14ac:dyDescent="0.25">
      <c r="A537" s="7">
        <v>2.6915880290736074</v>
      </c>
      <c r="B537"/>
      <c r="C537"/>
      <c r="D537"/>
      <c r="E537"/>
      <c r="BW537" s="27" t="s">
        <v>8</v>
      </c>
      <c r="BX537" s="27" t="s">
        <v>7</v>
      </c>
    </row>
    <row r="538" spans="1:76" x14ac:dyDescent="0.25">
      <c r="A538" s="7">
        <v>2.6388117932094191</v>
      </c>
      <c r="B538"/>
      <c r="C538"/>
      <c r="D538"/>
      <c r="E538"/>
      <c r="BW538" s="27" t="s">
        <v>8</v>
      </c>
      <c r="BX538" s="27" t="s">
        <v>7</v>
      </c>
    </row>
    <row r="539" spans="1:76" x14ac:dyDescent="0.25">
      <c r="A539" s="7">
        <v>2.5870703854994304</v>
      </c>
      <c r="B539"/>
      <c r="C539"/>
      <c r="D539"/>
      <c r="E539"/>
      <c r="BW539" s="27" t="s">
        <v>8</v>
      </c>
      <c r="BX539" s="27" t="s">
        <v>7</v>
      </c>
    </row>
    <row r="540" spans="1:76" x14ac:dyDescent="0.25">
      <c r="A540" s="7">
        <v>2.53634351519552</v>
      </c>
      <c r="B540"/>
      <c r="C540"/>
      <c r="D540"/>
      <c r="E540"/>
      <c r="BW540" s="27" t="s">
        <v>8</v>
      </c>
      <c r="BX540" s="27" t="s">
        <v>7</v>
      </c>
    </row>
    <row r="541" spans="1:76" x14ac:dyDescent="0.25">
      <c r="A541" s="7">
        <v>2.4866112894073726</v>
      </c>
      <c r="B541"/>
      <c r="C541"/>
      <c r="D541"/>
      <c r="E541"/>
      <c r="BW541" s="27" t="s">
        <v>8</v>
      </c>
      <c r="BX541" s="27" t="s">
        <v>7</v>
      </c>
    </row>
    <row r="542" spans="1:76" x14ac:dyDescent="0.25">
      <c r="A542" s="7">
        <v>2.4378542053013459</v>
      </c>
      <c r="B542"/>
      <c r="C542"/>
      <c r="D542"/>
      <c r="E542"/>
      <c r="BW542" s="27" t="s">
        <v>8</v>
      </c>
      <c r="BX542" s="27" t="s">
        <v>7</v>
      </c>
    </row>
    <row r="543" spans="1:76" x14ac:dyDescent="0.25">
      <c r="A543" s="7">
        <v>2.3900531424522997</v>
      </c>
      <c r="B543"/>
      <c r="C543"/>
      <c r="D543"/>
      <c r="E543"/>
      <c r="BW543" s="27" t="s">
        <v>8</v>
      </c>
      <c r="BX543" s="27" t="s">
        <v>7</v>
      </c>
    </row>
    <row r="544" spans="1:76" x14ac:dyDescent="0.25">
      <c r="A544" s="7">
        <v>2.343189355345392</v>
      </c>
      <c r="B544"/>
      <c r="C544"/>
      <c r="D544"/>
      <c r="E544"/>
      <c r="BW544" s="27" t="s">
        <v>8</v>
      </c>
      <c r="BX544" s="27" t="s">
        <v>7</v>
      </c>
    </row>
    <row r="545" spans="1:78" x14ac:dyDescent="0.25">
      <c r="A545" s="7">
        <v>2.2972444660248938</v>
      </c>
      <c r="B545"/>
      <c r="C545"/>
      <c r="D545"/>
      <c r="E545"/>
      <c r="BW545" s="27" t="s">
        <v>8</v>
      </c>
      <c r="BX545" s="27" t="s">
        <v>7</v>
      </c>
    </row>
    <row r="546" spans="1:78" x14ac:dyDescent="0.25">
      <c r="A546" s="7">
        <v>2.252200456887151</v>
      </c>
      <c r="B546"/>
      <c r="C546"/>
      <c r="D546"/>
      <c r="E546"/>
      <c r="BW546" s="27" t="s">
        <v>8</v>
      </c>
      <c r="BX546" s="27" t="s">
        <v>7</v>
      </c>
    </row>
    <row r="547" spans="1:78" x14ac:dyDescent="0.25">
      <c r="A547" s="7">
        <v>2.208039663614854</v>
      </c>
      <c r="B547"/>
      <c r="C547"/>
      <c r="D547"/>
      <c r="E547"/>
      <c r="BW547" s="27" t="s">
        <v>8</v>
      </c>
      <c r="BX547" s="27" t="s">
        <v>7</v>
      </c>
    </row>
    <row r="548" spans="1:78" x14ac:dyDescent="0.25">
      <c r="A548" s="7">
        <v>2.1647447682498568</v>
      </c>
      <c r="B548"/>
      <c r="C548"/>
      <c r="D548"/>
      <c r="E548"/>
      <c r="BW548" s="27" t="s">
        <v>8</v>
      </c>
      <c r="BX548" s="27" t="s">
        <v>7</v>
      </c>
    </row>
    <row r="549" spans="1:78" x14ac:dyDescent="0.25">
      <c r="A549" s="7">
        <v>2.1222987924018204</v>
      </c>
      <c r="B549"/>
      <c r="C549"/>
      <c r="D549"/>
      <c r="E549"/>
      <c r="BW549" s="27" t="s">
        <v>8</v>
      </c>
      <c r="BX549" s="27" t="s">
        <v>7</v>
      </c>
    </row>
    <row r="550" spans="1:78" x14ac:dyDescent="0.25">
      <c r="A550" s="7">
        <v>2.0806850905900198</v>
      </c>
      <c r="B550"/>
      <c r="C550"/>
      <c r="D550"/>
      <c r="E550"/>
      <c r="BW550" s="27" t="s">
        <v>8</v>
      </c>
      <c r="BX550" s="27" t="s">
        <v>7</v>
      </c>
    </row>
    <row r="551" spans="1:78" x14ac:dyDescent="0.25">
      <c r="A551" s="7">
        <v>2.0398873437157055</v>
      </c>
      <c r="B551"/>
      <c r="C551"/>
      <c r="D551"/>
      <c r="E551"/>
      <c r="BW551" s="27" t="s">
        <v>8</v>
      </c>
      <c r="BX551" s="27" t="s">
        <v>7</v>
      </c>
    </row>
    <row r="552" spans="1:78" x14ac:dyDescent="0.25">
      <c r="A552" s="7">
        <v>1.9998895526624565</v>
      </c>
      <c r="B552"/>
      <c r="C552"/>
      <c r="D552"/>
      <c r="E552"/>
      <c r="BW552" s="27" t="s">
        <v>8</v>
      </c>
      <c r="BX552" s="27" t="s">
        <v>7</v>
      </c>
    </row>
    <row r="553" spans="1:78" x14ac:dyDescent="0.25">
      <c r="A553" s="7">
        <v>1.9606760320220162</v>
      </c>
      <c r="B553"/>
      <c r="C553"/>
      <c r="D553"/>
      <c r="E553"/>
      <c r="BW553" s="27" t="s">
        <v>8</v>
      </c>
      <c r="BX553" s="27" t="s">
        <v>7</v>
      </c>
    </row>
    <row r="554" spans="1:78" x14ac:dyDescent="0.25">
      <c r="A554" s="7">
        <v>1.9222314039431532</v>
      </c>
      <c r="B554"/>
      <c r="C554"/>
      <c r="D554"/>
      <c r="E554"/>
      <c r="BW554" s="27" t="s">
        <v>8</v>
      </c>
      <c r="BX554" s="27" t="s">
        <v>7</v>
      </c>
    </row>
    <row r="555" spans="1:78" x14ac:dyDescent="0.25">
      <c r="A555" s="7">
        <v>1.8845405921011305</v>
      </c>
      <c r="B555"/>
      <c r="C555"/>
      <c r="D555"/>
      <c r="E555"/>
      <c r="BW555" s="27" t="s">
        <v>8</v>
      </c>
      <c r="BX555" s="27" t="s">
        <v>7</v>
      </c>
    </row>
    <row r="556" spans="1:78" x14ac:dyDescent="0.25">
      <c r="A556" s="7">
        <v>1.8475888157854219</v>
      </c>
      <c r="B556"/>
      <c r="C556"/>
      <c r="D556"/>
      <c r="E556"/>
      <c r="BW556" s="27" t="s">
        <v>8</v>
      </c>
      <c r="BX556" s="27" t="s">
        <v>7</v>
      </c>
    </row>
    <row r="557" spans="1:78" x14ac:dyDescent="0.25">
      <c r="A557" s="7">
        <v>1.8113615841033548</v>
      </c>
      <c r="B557"/>
      <c r="C557"/>
      <c r="D557"/>
      <c r="E557"/>
      <c r="BW557" s="27" t="s">
        <v>8</v>
      </c>
      <c r="BX557" s="27" t="s">
        <v>7</v>
      </c>
      <c r="BY557" s="27" t="s">
        <v>8</v>
      </c>
    </row>
    <row r="558" spans="1:78" x14ac:dyDescent="0.25">
      <c r="A558" s="7">
        <v>1.7758446902974065</v>
      </c>
      <c r="B558"/>
      <c r="C558"/>
      <c r="D558"/>
      <c r="E558"/>
      <c r="BW558" s="27" t="s">
        <v>8</v>
      </c>
      <c r="BX558" s="27" t="s">
        <v>7</v>
      </c>
      <c r="BY558" s="27" t="s">
        <v>8</v>
      </c>
      <c r="BZ558" s="27" t="s">
        <v>7</v>
      </c>
    </row>
    <row r="559" spans="1:78" x14ac:dyDescent="0.25">
      <c r="A559" s="7">
        <v>1.7410242061739281</v>
      </c>
      <c r="B559"/>
      <c r="C559"/>
      <c r="D559"/>
      <c r="E559"/>
      <c r="BW559" s="27" t="s">
        <v>8</v>
      </c>
      <c r="BX559" s="27" t="s">
        <v>7</v>
      </c>
      <c r="BY559" s="27" t="s">
        <v>8</v>
      </c>
      <c r="BZ559" s="27" t="s">
        <v>7</v>
      </c>
    </row>
    <row r="560" spans="1:78" x14ac:dyDescent="0.25">
      <c r="A560" s="7">
        <v>1.7068864766411058</v>
      </c>
      <c r="B560"/>
      <c r="C560"/>
      <c r="D560"/>
      <c r="E560"/>
      <c r="BW560" s="27" t="s">
        <v>8</v>
      </c>
      <c r="BX560" s="27" t="s">
        <v>7</v>
      </c>
      <c r="BY560" s="27" t="s">
        <v>8</v>
      </c>
      <c r="BZ560" s="27" t="s">
        <v>7</v>
      </c>
    </row>
    <row r="561" spans="1:98" x14ac:dyDescent="0.25">
      <c r="A561" s="7">
        <v>1.6734181143540252</v>
      </c>
      <c r="B561"/>
      <c r="C561"/>
      <c r="D561"/>
      <c r="E561"/>
      <c r="BW561" s="27" t="s">
        <v>8</v>
      </c>
      <c r="BX561" s="27" t="s">
        <v>7</v>
      </c>
      <c r="BY561" s="27" t="s">
        <v>8</v>
      </c>
      <c r="BZ561" s="27" t="s">
        <v>7</v>
      </c>
    </row>
    <row r="562" spans="1:98" x14ac:dyDescent="0.25">
      <c r="A562" s="7">
        <v>1.6406059944647307</v>
      </c>
      <c r="B562"/>
      <c r="C562"/>
      <c r="D562"/>
      <c r="E562"/>
      <c r="BW562" s="27" t="s">
        <v>8</v>
      </c>
      <c r="BX562" s="27" t="s">
        <v>7</v>
      </c>
      <c r="BY562" s="27" t="s">
        <v>8</v>
      </c>
      <c r="BZ562" s="27" t="s">
        <v>7</v>
      </c>
    </row>
    <row r="563" spans="1:98" x14ac:dyDescent="0.25">
      <c r="A563" s="7">
        <v>1.6084372494752261</v>
      </c>
      <c r="B563"/>
      <c r="C563"/>
      <c r="D563"/>
      <c r="E563"/>
      <c r="BW563" s="27" t="s">
        <v>8</v>
      </c>
      <c r="BX563" s="27" t="s">
        <v>7</v>
      </c>
      <c r="BY563" s="27" t="s">
        <v>8</v>
      </c>
      <c r="BZ563" s="27" t="s">
        <v>7</v>
      </c>
    </row>
    <row r="564" spans="1:98" x14ac:dyDescent="0.25">
      <c r="A564" s="7">
        <v>1.5768992641913981</v>
      </c>
      <c r="B564"/>
      <c r="C564"/>
      <c r="D564"/>
      <c r="E564"/>
      <c r="BW564" s="27" t="s">
        <v>8</v>
      </c>
      <c r="BX564" s="27" t="s">
        <v>7</v>
      </c>
      <c r="BY564" s="27" t="s">
        <v>8</v>
      </c>
      <c r="BZ564" s="27" t="s">
        <v>7</v>
      </c>
    </row>
    <row r="565" spans="1:98" x14ac:dyDescent="0.25">
      <c r="A565" s="7">
        <v>1.5459796707758806</v>
      </c>
      <c r="B565"/>
      <c r="C565"/>
      <c r="D565"/>
      <c r="E565"/>
      <c r="BW565" s="27" t="s">
        <v>8</v>
      </c>
      <c r="BX565" s="27" t="s">
        <v>7</v>
      </c>
      <c r="BY565" s="27" t="s">
        <v>8</v>
      </c>
      <c r="BZ565" s="27" t="s">
        <v>7</v>
      </c>
    </row>
    <row r="566" spans="1:98" x14ac:dyDescent="0.25">
      <c r="A566" s="7">
        <v>1.5156663438979221</v>
      </c>
      <c r="B566"/>
      <c r="C566"/>
      <c r="D566"/>
      <c r="E566"/>
      <c r="BW566" s="27" t="s">
        <v>8</v>
      </c>
      <c r="BX566" s="27" t="s">
        <v>7</v>
      </c>
      <c r="BY566" s="27" t="s">
        <v>8</v>
      </c>
      <c r="BZ566" s="27" t="s">
        <v>7</v>
      </c>
    </row>
    <row r="567" spans="1:98" x14ac:dyDescent="0.25">
      <c r="A567" s="7">
        <v>1.4859473959783549</v>
      </c>
      <c r="B567"/>
      <c r="C567"/>
      <c r="D567"/>
      <c r="E567"/>
      <c r="BW567" s="27" t="s">
        <v>8</v>
      </c>
      <c r="BX567" s="27" t="s">
        <v>7</v>
      </c>
      <c r="BY567" s="27" t="s">
        <v>8</v>
      </c>
      <c r="BZ567" s="27" t="s">
        <v>7</v>
      </c>
    </row>
    <row r="568" spans="1:98" x14ac:dyDescent="0.25">
      <c r="A568" s="7">
        <v>1.4568111725277988</v>
      </c>
      <c r="B568"/>
      <c r="C568"/>
      <c r="D568"/>
      <c r="E568"/>
      <c r="BW568" s="27" t="s">
        <v>8</v>
      </c>
      <c r="BX568" s="27" t="s">
        <v>7</v>
      </c>
      <c r="BY568" s="27" t="s">
        <v>8</v>
      </c>
      <c r="BZ568" s="27" t="s">
        <v>7</v>
      </c>
    </row>
    <row r="569" spans="1:98" x14ac:dyDescent="0.25">
      <c r="A569" s="7">
        <v>1.4282462475762734</v>
      </c>
      <c r="B569"/>
      <c r="C569"/>
      <c r="D569"/>
      <c r="E569"/>
      <c r="BW569" s="27" t="s">
        <v>8</v>
      </c>
      <c r="BX569" s="27" t="s">
        <v>7</v>
      </c>
      <c r="BY569" s="27" t="s">
        <v>8</v>
      </c>
      <c r="BZ569" s="27" t="s">
        <v>7</v>
      </c>
    </row>
    <row r="570" spans="1:98" x14ac:dyDescent="0.25">
      <c r="A570" s="7">
        <v>1.4002414191924248</v>
      </c>
      <c r="B570"/>
      <c r="C570"/>
      <c r="D570"/>
      <c r="E570"/>
      <c r="BW570" s="27" t="s">
        <v>8</v>
      </c>
      <c r="BX570" s="27" t="s">
        <v>7</v>
      </c>
      <c r="BY570" s="27" t="s">
        <v>8</v>
      </c>
      <c r="BZ570" s="27" t="s">
        <v>7</v>
      </c>
    </row>
    <row r="571" spans="1:98" x14ac:dyDescent="0.25">
      <c r="A571" s="7">
        <v>1.3727857050906125</v>
      </c>
      <c r="B571"/>
      <c r="C571"/>
      <c r="D571"/>
      <c r="E571"/>
      <c r="BW571" s="27" t="s">
        <v>8</v>
      </c>
      <c r="BX571" s="27" t="s">
        <v>7</v>
      </c>
      <c r="BY571" s="27" t="s">
        <v>8</v>
      </c>
      <c r="BZ571" s="27" t="s">
        <v>7</v>
      </c>
    </row>
    <row r="572" spans="1:98" x14ac:dyDescent="0.25">
      <c r="A572" s="7">
        <v>1.3458683383241299</v>
      </c>
      <c r="B572"/>
      <c r="C572"/>
      <c r="D572"/>
      <c r="E572"/>
      <c r="BW572" s="27" t="s">
        <v>8</v>
      </c>
      <c r="BX572" s="27" t="s">
        <v>7</v>
      </c>
      <c r="BY572" s="27" t="s">
        <v>8</v>
      </c>
      <c r="BZ572" s="27" t="s">
        <v>7</v>
      </c>
      <c r="CM572" s="27" t="s">
        <v>8</v>
      </c>
    </row>
    <row r="573" spans="1:98" x14ac:dyDescent="0.25">
      <c r="A573" s="7">
        <v>1.3194787630628724</v>
      </c>
      <c r="B573"/>
      <c r="C573"/>
      <c r="D573"/>
      <c r="E573"/>
      <c r="BW573" s="27" t="s">
        <v>8</v>
      </c>
      <c r="BX573" s="27" t="s">
        <v>7</v>
      </c>
      <c r="BY573" s="27" t="s">
        <v>8</v>
      </c>
      <c r="BZ573" s="27" t="s">
        <v>7</v>
      </c>
      <c r="CM573" s="27" t="s">
        <v>8</v>
      </c>
      <c r="CN573" s="27" t="s">
        <v>7</v>
      </c>
      <c r="CS573" s="27" t="s">
        <v>8</v>
      </c>
    </row>
    <row r="574" spans="1:98" x14ac:dyDescent="0.25">
      <c r="A574" s="7">
        <v>1.2936066304537963</v>
      </c>
      <c r="B574"/>
      <c r="C574"/>
      <c r="D574"/>
      <c r="E574"/>
      <c r="BW574" s="27" t="s">
        <v>8</v>
      </c>
      <c r="BX574" s="27" t="s">
        <v>7</v>
      </c>
      <c r="BY574" s="27" t="s">
        <v>8</v>
      </c>
      <c r="BZ574" s="27" t="s">
        <v>7</v>
      </c>
      <c r="CM574" s="27" t="s">
        <v>8</v>
      </c>
      <c r="CN574" s="27" t="s">
        <v>7</v>
      </c>
      <c r="CS574" s="27" t="s">
        <v>8</v>
      </c>
      <c r="CT574" s="27" t="s">
        <v>7</v>
      </c>
    </row>
    <row r="575" spans="1:98" x14ac:dyDescent="0.25">
      <c r="A575" s="7">
        <v>1.2682417945625455</v>
      </c>
      <c r="B575"/>
      <c r="C575"/>
      <c r="D575"/>
      <c r="E575"/>
      <c r="BW575" s="27" t="s">
        <v>8</v>
      </c>
      <c r="BX575" s="27" t="s">
        <v>7</v>
      </c>
      <c r="BZ575" s="27" t="s">
        <v>7</v>
      </c>
      <c r="CM575" s="27" t="s">
        <v>8</v>
      </c>
      <c r="CN575" s="27" t="s">
        <v>7</v>
      </c>
      <c r="CS575" s="27" t="s">
        <v>8</v>
      </c>
      <c r="CT575" s="27" t="s">
        <v>7</v>
      </c>
    </row>
    <row r="576" spans="1:98" x14ac:dyDescent="0.25">
      <c r="A576" s="7">
        <v>1.2433743083946525</v>
      </c>
      <c r="B576"/>
      <c r="C576"/>
      <c r="D576"/>
      <c r="E576"/>
      <c r="BW576" s="27" t="s">
        <v>8</v>
      </c>
      <c r="BZ576" s="27" t="s">
        <v>7</v>
      </c>
      <c r="CA576" s="27" t="s">
        <v>8</v>
      </c>
      <c r="CM576" s="27" t="s">
        <v>8</v>
      </c>
      <c r="CN576" s="27" t="s">
        <v>7</v>
      </c>
      <c r="CS576" s="27" t="s">
        <v>8</v>
      </c>
      <c r="CT576" s="27" t="s">
        <v>7</v>
      </c>
    </row>
    <row r="577" spans="1:102" x14ac:dyDescent="0.25">
      <c r="A577" s="7">
        <v>1.2189944199947573</v>
      </c>
      <c r="B577"/>
      <c r="C577"/>
      <c r="D577"/>
      <c r="E577"/>
      <c r="BW577" s="27" t="s">
        <v>8</v>
      </c>
      <c r="BZ577" s="27" t="s">
        <v>7</v>
      </c>
      <c r="CA577" s="27" t="s">
        <v>8</v>
      </c>
      <c r="CB577" s="27" t="s">
        <v>7</v>
      </c>
      <c r="CM577" s="27" t="s">
        <v>8</v>
      </c>
      <c r="CN577" s="27" t="s">
        <v>7</v>
      </c>
      <c r="CS577" s="27" t="s">
        <v>8</v>
      </c>
      <c r="CT577" s="27" t="s">
        <v>7</v>
      </c>
    </row>
    <row r="578" spans="1:102" x14ac:dyDescent="0.25">
      <c r="A578" s="7">
        <v>1.1950925686223111</v>
      </c>
      <c r="B578"/>
      <c r="C578"/>
      <c r="D578"/>
      <c r="E578"/>
      <c r="BW578" s="27" t="s">
        <v>8</v>
      </c>
      <c r="BZ578" s="27" t="s">
        <v>7</v>
      </c>
      <c r="CA578" s="27" t="s">
        <v>8</v>
      </c>
      <c r="CB578" s="27" t="s">
        <v>7</v>
      </c>
      <c r="CM578" s="27" t="s">
        <v>8</v>
      </c>
      <c r="CN578" s="27" t="s">
        <v>7</v>
      </c>
      <c r="CS578" s="27" t="s">
        <v>8</v>
      </c>
      <c r="CT578" s="27" t="s">
        <v>7</v>
      </c>
    </row>
    <row r="579" spans="1:102" x14ac:dyDescent="0.25">
      <c r="A579" s="7">
        <v>1.1716593810022657</v>
      </c>
      <c r="B579"/>
      <c r="C579"/>
      <c r="D579"/>
      <c r="E579"/>
      <c r="BW579" s="27" t="s">
        <v>8</v>
      </c>
      <c r="BZ579" s="27" t="s">
        <v>7</v>
      </c>
      <c r="CA579" s="27" t="s">
        <v>8</v>
      </c>
      <c r="CB579" s="27" t="s">
        <v>7</v>
      </c>
      <c r="CC579" s="27" t="s">
        <v>8</v>
      </c>
      <c r="CM579" s="27" t="s">
        <v>8</v>
      </c>
      <c r="CN579" s="27" t="s">
        <v>7</v>
      </c>
      <c r="CS579" s="27" t="s">
        <v>8</v>
      </c>
      <c r="CT579" s="27" t="s">
        <v>7</v>
      </c>
    </row>
    <row r="580" spans="1:102" x14ac:dyDescent="0.25">
      <c r="A580" s="7">
        <v>1.14868566764928</v>
      </c>
      <c r="B580"/>
      <c r="C580"/>
      <c r="D580"/>
      <c r="E580"/>
      <c r="BW580" s="27" t="s">
        <v>8</v>
      </c>
      <c r="BZ580" s="27" t="s">
        <v>7</v>
      </c>
      <c r="CA580" s="27" t="s">
        <v>8</v>
      </c>
      <c r="CB580" s="27" t="s">
        <v>7</v>
      </c>
      <c r="CC580" s="27" t="s">
        <v>8</v>
      </c>
      <c r="CD580" s="27" t="s">
        <v>7</v>
      </c>
      <c r="CE580" s="27" t="s">
        <v>8</v>
      </c>
      <c r="CG580" s="27" t="s">
        <v>8</v>
      </c>
      <c r="CM580" s="27" t="s">
        <v>8</v>
      </c>
      <c r="CN580" s="27" t="s">
        <v>7</v>
      </c>
      <c r="CS580" s="27" t="s">
        <v>8</v>
      </c>
      <c r="CT580" s="27" t="s">
        <v>7</v>
      </c>
    </row>
    <row r="581" spans="1:102" x14ac:dyDescent="0.25">
      <c r="A581" s="7">
        <v>1.1261624192640001</v>
      </c>
      <c r="B581"/>
      <c r="C581"/>
      <c r="D581"/>
      <c r="E581"/>
      <c r="BW581" s="27" t="s">
        <v>8</v>
      </c>
      <c r="BZ581" s="27" t="s">
        <v>7</v>
      </c>
      <c r="CA581" s="27" t="s">
        <v>8</v>
      </c>
      <c r="CB581" s="27" t="s">
        <v>7</v>
      </c>
      <c r="CC581" s="27" t="s">
        <v>8</v>
      </c>
      <c r="CD581" s="27" t="s">
        <v>7</v>
      </c>
      <c r="CE581" s="27" t="s">
        <v>8</v>
      </c>
      <c r="CF581" s="27" t="s">
        <v>7</v>
      </c>
      <c r="CG581" s="27" t="s">
        <v>8</v>
      </c>
      <c r="CH581" s="27" t="s">
        <v>7</v>
      </c>
      <c r="CM581" s="27" t="s">
        <v>8</v>
      </c>
      <c r="CN581" s="27" t="s">
        <v>7</v>
      </c>
      <c r="CS581" s="27" t="s">
        <v>8</v>
      </c>
      <c r="CT581" s="27" t="s">
        <v>7</v>
      </c>
    </row>
    <row r="582" spans="1:102" x14ac:dyDescent="0.25">
      <c r="A582" s="7">
        <v>1.1040808032</v>
      </c>
      <c r="B582"/>
      <c r="C582"/>
      <c r="D582"/>
      <c r="E582"/>
      <c r="BW582" s="27" t="s">
        <v>8</v>
      </c>
      <c r="BZ582" s="27" t="s">
        <v>7</v>
      </c>
      <c r="CB582" s="27" t="s">
        <v>7</v>
      </c>
      <c r="CD582" s="27" t="s">
        <v>7</v>
      </c>
      <c r="CE582" s="27" t="s">
        <v>8</v>
      </c>
      <c r="CF582" s="27" t="s">
        <v>7</v>
      </c>
      <c r="CG582" s="27" t="s">
        <v>8</v>
      </c>
      <c r="CH582" s="27" t="s">
        <v>7</v>
      </c>
      <c r="CM582" s="27" t="s">
        <v>8</v>
      </c>
      <c r="CN582" s="27" t="s">
        <v>7</v>
      </c>
      <c r="CS582" s="27" t="s">
        <v>8</v>
      </c>
      <c r="CT582" s="27" t="s">
        <v>7</v>
      </c>
    </row>
    <row r="583" spans="1:102" x14ac:dyDescent="0.25">
      <c r="A583" s="7">
        <v>1.08243216</v>
      </c>
      <c r="B583"/>
      <c r="C583"/>
      <c r="D583"/>
      <c r="E583"/>
      <c r="BW583" s="27" t="s">
        <v>8</v>
      </c>
      <c r="CD583" s="27" t="s">
        <v>7</v>
      </c>
      <c r="CF583" s="27" t="s">
        <v>7</v>
      </c>
      <c r="CG583" s="27" t="s">
        <v>8</v>
      </c>
      <c r="CH583" s="27" t="s">
        <v>7</v>
      </c>
      <c r="CM583" s="27" t="s">
        <v>8</v>
      </c>
      <c r="CN583" s="27" t="s">
        <v>7</v>
      </c>
      <c r="CS583" s="27" t="s">
        <v>8</v>
      </c>
      <c r="CT583" s="27" t="s">
        <v>7</v>
      </c>
    </row>
    <row r="584" spans="1:102" x14ac:dyDescent="0.25">
      <c r="A584" s="7">
        <v>1.0612079999999999</v>
      </c>
      <c r="B584"/>
      <c r="C584"/>
      <c r="D584"/>
      <c r="E584"/>
      <c r="BW584" s="27" t="s">
        <v>8</v>
      </c>
      <c r="CF584" s="27" t="s">
        <v>7</v>
      </c>
      <c r="CG584" s="27" t="s">
        <v>8</v>
      </c>
      <c r="CH584" s="27" t="s">
        <v>7</v>
      </c>
      <c r="CM584" s="27" t="s">
        <v>8</v>
      </c>
      <c r="CN584" s="27" t="s">
        <v>7</v>
      </c>
      <c r="CS584" s="27" t="s">
        <v>8</v>
      </c>
      <c r="CT584" s="27" t="s">
        <v>7</v>
      </c>
    </row>
    <row r="585" spans="1:102" x14ac:dyDescent="0.25">
      <c r="A585" s="7">
        <v>1.0404</v>
      </c>
      <c r="B585"/>
      <c r="C585"/>
      <c r="D585"/>
      <c r="E585"/>
      <c r="BW585" s="27" t="s">
        <v>8</v>
      </c>
      <c r="CF585" s="27" t="s">
        <v>7</v>
      </c>
      <c r="CG585" s="27" t="s">
        <v>8</v>
      </c>
      <c r="CH585" s="27" t="s">
        <v>7</v>
      </c>
      <c r="CM585" s="27" t="s">
        <v>8</v>
      </c>
      <c r="CN585" s="27" t="s">
        <v>7</v>
      </c>
      <c r="CS585" s="27" t="s">
        <v>8</v>
      </c>
      <c r="CT585" s="27" t="s">
        <v>7</v>
      </c>
    </row>
    <row r="586" spans="1:102" x14ac:dyDescent="0.25">
      <c r="A586" s="7">
        <v>1.02</v>
      </c>
      <c r="B586"/>
      <c r="C586"/>
      <c r="D586"/>
      <c r="E586"/>
      <c r="BW586" s="27" t="s">
        <v>8</v>
      </c>
      <c r="CF586" s="27" t="s">
        <v>7</v>
      </c>
      <c r="CG586" s="27" t="s">
        <v>8</v>
      </c>
      <c r="CH586" s="27" t="s">
        <v>7</v>
      </c>
      <c r="CM586" s="27" t="s">
        <v>8</v>
      </c>
      <c r="CN586" s="27" t="s">
        <v>7</v>
      </c>
      <c r="CS586" s="27" t="s">
        <v>8</v>
      </c>
      <c r="CT586" s="27" t="s">
        <v>7</v>
      </c>
    </row>
    <row r="587" spans="1:102" x14ac:dyDescent="0.25">
      <c r="A587" s="7">
        <v>1</v>
      </c>
      <c r="B587"/>
      <c r="C587"/>
      <c r="D587"/>
      <c r="E587" s="29" t="s">
        <v>8</v>
      </c>
      <c r="BW587" s="27" t="s">
        <v>8</v>
      </c>
      <c r="CF587" s="27" t="s">
        <v>7</v>
      </c>
      <c r="CG587" s="27" t="s">
        <v>8</v>
      </c>
      <c r="CH587" s="27" t="s">
        <v>7</v>
      </c>
      <c r="CM587" s="27" t="s">
        <v>8</v>
      </c>
      <c r="CN587" s="27" t="s">
        <v>7</v>
      </c>
      <c r="CS587" s="27" t="s">
        <v>8</v>
      </c>
      <c r="CT587" s="27" t="s">
        <v>7</v>
      </c>
    </row>
    <row r="588" spans="1:102" x14ac:dyDescent="0.25">
      <c r="A588" s="7">
        <v>0.98039215686274506</v>
      </c>
      <c r="B588"/>
      <c r="C588"/>
      <c r="D588"/>
      <c r="E588"/>
      <c r="F588" s="27" t="s">
        <v>7</v>
      </c>
      <c r="BW588" s="27" t="s">
        <v>8</v>
      </c>
      <c r="CF588" s="27" t="s">
        <v>7</v>
      </c>
      <c r="CG588" s="27" t="s">
        <v>8</v>
      </c>
      <c r="CH588" s="27" t="s">
        <v>7</v>
      </c>
      <c r="CM588" s="27" t="s">
        <v>8</v>
      </c>
      <c r="CN588" s="27" t="s">
        <v>7</v>
      </c>
      <c r="CS588" s="27" t="s">
        <v>8</v>
      </c>
      <c r="CT588" s="27" t="s">
        <v>7</v>
      </c>
      <c r="CW588" s="27" t="s">
        <v>8</v>
      </c>
    </row>
    <row r="589" spans="1:102" x14ac:dyDescent="0.25">
      <c r="A589" s="7">
        <v>0.96116878123798544</v>
      </c>
      <c r="B589"/>
      <c r="C589"/>
      <c r="D589"/>
      <c r="E589"/>
      <c r="F589" s="27" t="s">
        <v>7</v>
      </c>
      <c r="BW589" s="27" t="s">
        <v>8</v>
      </c>
      <c r="CF589" s="27" t="s">
        <v>7</v>
      </c>
      <c r="CG589" s="27" t="s">
        <v>8</v>
      </c>
      <c r="CH589" s="27" t="s">
        <v>7</v>
      </c>
      <c r="CK589" s="27" t="s">
        <v>8</v>
      </c>
      <c r="CM589" s="27" t="s">
        <v>8</v>
      </c>
      <c r="CN589" s="27" t="s">
        <v>7</v>
      </c>
      <c r="CQ589" s="27" t="s">
        <v>8</v>
      </c>
      <c r="CS589" s="27" t="s">
        <v>8</v>
      </c>
      <c r="CT589" s="27" t="s">
        <v>7</v>
      </c>
      <c r="CU589" s="27" t="s">
        <v>8</v>
      </c>
      <c r="CW589" s="27" t="s">
        <v>8</v>
      </c>
      <c r="CX589" s="27" t="s">
        <v>7</v>
      </c>
    </row>
    <row r="590" spans="1:102" x14ac:dyDescent="0.25">
      <c r="A590" s="7">
        <v>0.94232233454704462</v>
      </c>
      <c r="B590"/>
      <c r="C590"/>
      <c r="D590"/>
      <c r="E590"/>
      <c r="F590" s="27" t="s">
        <v>7</v>
      </c>
      <c r="BW590" s="27" t="s">
        <v>8</v>
      </c>
      <c r="CF590" s="27" t="s">
        <v>7</v>
      </c>
      <c r="CG590" s="27" t="s">
        <v>8</v>
      </c>
      <c r="CH590" s="27" t="s">
        <v>7</v>
      </c>
      <c r="CI590" s="27" t="s">
        <v>8</v>
      </c>
      <c r="CK590" s="27" t="s">
        <v>8</v>
      </c>
      <c r="CL590" s="27" t="s">
        <v>7</v>
      </c>
      <c r="CM590" s="27" t="s">
        <v>8</v>
      </c>
      <c r="CN590" s="27" t="s">
        <v>7</v>
      </c>
      <c r="CQ590" s="27" t="s">
        <v>8</v>
      </c>
      <c r="CR590" s="27" t="s">
        <v>7</v>
      </c>
      <c r="CS590" s="27" t="s">
        <v>8</v>
      </c>
      <c r="CT590" s="27" t="s">
        <v>7</v>
      </c>
      <c r="CU590" s="27" t="s">
        <v>8</v>
      </c>
      <c r="CV590" s="27" t="s">
        <v>7</v>
      </c>
      <c r="CW590" s="27" t="s">
        <v>8</v>
      </c>
      <c r="CX590" s="27" t="s">
        <v>7</v>
      </c>
    </row>
    <row r="591" spans="1:102" x14ac:dyDescent="0.25">
      <c r="A591" s="7">
        <v>0.92384542602651432</v>
      </c>
      <c r="B591"/>
      <c r="C591"/>
      <c r="D591"/>
      <c r="E591"/>
      <c r="F591" s="27" t="s">
        <v>7</v>
      </c>
      <c r="BW591" s="27" t="s">
        <v>8</v>
      </c>
      <c r="CF591" s="27" t="s">
        <v>7</v>
      </c>
      <c r="CG591" s="27" t="s">
        <v>8</v>
      </c>
      <c r="CH591" s="27" t="s">
        <v>7</v>
      </c>
      <c r="CI591" s="27" t="s">
        <v>8</v>
      </c>
      <c r="CJ591" s="27" t="s">
        <v>7</v>
      </c>
      <c r="CK591" s="27" t="s">
        <v>8</v>
      </c>
      <c r="CL591" s="27" t="s">
        <v>7</v>
      </c>
      <c r="CM591" s="27" t="s">
        <v>8</v>
      </c>
      <c r="CN591" s="27" t="s">
        <v>7</v>
      </c>
      <c r="CO591" s="27" t="s">
        <v>8</v>
      </c>
      <c r="CQ591" s="27" t="s">
        <v>8</v>
      </c>
      <c r="CR591" s="27" t="s">
        <v>7</v>
      </c>
      <c r="CS591" s="27" t="s">
        <v>8</v>
      </c>
      <c r="CT591" s="27" t="s">
        <v>7</v>
      </c>
      <c r="CU591" s="27" t="s">
        <v>8</v>
      </c>
      <c r="CV591" s="27" t="s">
        <v>7</v>
      </c>
      <c r="CW591" s="27" t="s">
        <v>8</v>
      </c>
      <c r="CX591" s="27" t="s">
        <v>7</v>
      </c>
    </row>
    <row r="592" spans="1:102" x14ac:dyDescent="0.25">
      <c r="A592" s="7">
        <v>0.90573080982991594</v>
      </c>
      <c r="B592"/>
      <c r="C592"/>
      <c r="D592"/>
      <c r="E592"/>
      <c r="F592" s="27" t="s">
        <v>7</v>
      </c>
      <c r="BW592" s="27" t="s">
        <v>8</v>
      </c>
      <c r="CF592" s="27" t="s">
        <v>7</v>
      </c>
      <c r="CG592" s="27" t="s">
        <v>8</v>
      </c>
      <c r="CH592" s="27" t="s">
        <v>7</v>
      </c>
      <c r="CI592" s="27" t="s">
        <v>8</v>
      </c>
      <c r="CJ592" s="27" t="s">
        <v>7</v>
      </c>
      <c r="CK592" s="27" t="s">
        <v>8</v>
      </c>
      <c r="CL592" s="27" t="s">
        <v>7</v>
      </c>
      <c r="CM592" s="27" t="s">
        <v>8</v>
      </c>
      <c r="CN592" s="27" t="s">
        <v>7</v>
      </c>
      <c r="CO592" s="27" t="s">
        <v>8</v>
      </c>
      <c r="CP592" s="27" t="s">
        <v>7</v>
      </c>
      <c r="CQ592" s="27" t="s">
        <v>8</v>
      </c>
      <c r="CR592" s="27" t="s">
        <v>7</v>
      </c>
      <c r="CS592" s="27" t="s">
        <v>8</v>
      </c>
      <c r="CT592" s="27" t="s">
        <v>7</v>
      </c>
      <c r="CU592" s="27" t="s">
        <v>8</v>
      </c>
      <c r="CV592" s="27" t="s">
        <v>7</v>
      </c>
      <c r="CW592" s="27" t="s">
        <v>8</v>
      </c>
      <c r="CX592" s="27" t="s">
        <v>7</v>
      </c>
    </row>
    <row r="593" spans="1:120" x14ac:dyDescent="0.25">
      <c r="A593" s="7">
        <v>0.8879713821861922</v>
      </c>
      <c r="B593"/>
      <c r="C593"/>
      <c r="D593"/>
      <c r="E593"/>
      <c r="F593" s="27" t="s">
        <v>7</v>
      </c>
      <c r="BW593" s="27" t="s">
        <v>8</v>
      </c>
      <c r="CF593" s="27" t="s">
        <v>7</v>
      </c>
      <c r="CH593" s="27" t="s">
        <v>7</v>
      </c>
      <c r="CI593" s="27" t="s">
        <v>8</v>
      </c>
      <c r="CJ593" s="27" t="s">
        <v>7</v>
      </c>
      <c r="CL593" s="27" t="s">
        <v>7</v>
      </c>
      <c r="CM593" s="27" t="s">
        <v>8</v>
      </c>
      <c r="CN593" s="27" t="s">
        <v>7</v>
      </c>
      <c r="CO593" s="27" t="s">
        <v>8</v>
      </c>
      <c r="CP593" s="27" t="s">
        <v>7</v>
      </c>
      <c r="CQ593" s="27" t="s">
        <v>8</v>
      </c>
      <c r="CR593" s="27" t="s">
        <v>7</v>
      </c>
      <c r="CS593" s="27" t="s">
        <v>8</v>
      </c>
      <c r="CT593" s="27" t="s">
        <v>7</v>
      </c>
      <c r="CU593" s="27" t="s">
        <v>8</v>
      </c>
      <c r="CV593" s="27" t="s">
        <v>7</v>
      </c>
      <c r="CW593" s="27" t="s">
        <v>8</v>
      </c>
      <c r="CX593" s="27" t="s">
        <v>7</v>
      </c>
    </row>
    <row r="594" spans="1:120" x14ac:dyDescent="0.25">
      <c r="A594" s="7">
        <v>0.87056017861391399</v>
      </c>
      <c r="B594"/>
      <c r="C594"/>
      <c r="D594"/>
      <c r="E594"/>
      <c r="F594" s="27" t="s">
        <v>7</v>
      </c>
      <c r="BW594" s="27" t="s">
        <v>8</v>
      </c>
      <c r="CH594" s="27" t="s">
        <v>7</v>
      </c>
      <c r="CL594" s="27" t="s">
        <v>7</v>
      </c>
      <c r="CM594" s="27" t="s">
        <v>8</v>
      </c>
      <c r="CN594" s="27" t="s">
        <v>7</v>
      </c>
      <c r="CO594" s="27" t="s">
        <v>8</v>
      </c>
      <c r="CP594" s="27" t="s">
        <v>7</v>
      </c>
      <c r="CQ594" s="27" t="s">
        <v>8</v>
      </c>
      <c r="CR594" s="27" t="s">
        <v>7</v>
      </c>
      <c r="CS594" s="27" t="s">
        <v>8</v>
      </c>
      <c r="CT594" s="27" t="s">
        <v>7</v>
      </c>
      <c r="CV594" s="27" t="s">
        <v>7</v>
      </c>
      <c r="CX594" s="27" t="s">
        <v>7</v>
      </c>
    </row>
    <row r="595" spans="1:120" x14ac:dyDescent="0.25">
      <c r="A595" s="7">
        <v>0.85349037119011173</v>
      </c>
      <c r="B595"/>
      <c r="C595"/>
      <c r="D595"/>
      <c r="E595"/>
      <c r="F595" s="27" t="s">
        <v>7</v>
      </c>
      <c r="BW595" s="27" t="s">
        <v>8</v>
      </c>
      <c r="CL595" s="27" t="s">
        <v>7</v>
      </c>
      <c r="CM595" s="27" t="s">
        <v>8</v>
      </c>
      <c r="CN595" s="27" t="s">
        <v>7</v>
      </c>
      <c r="CO595" s="27" t="s">
        <v>8</v>
      </c>
      <c r="CP595" s="27" t="s">
        <v>7</v>
      </c>
      <c r="CQ595" s="27" t="s">
        <v>8</v>
      </c>
      <c r="CR595" s="27" t="s">
        <v>7</v>
      </c>
      <c r="CS595" s="27" t="s">
        <v>8</v>
      </c>
      <c r="CX595" s="27" t="s">
        <v>7</v>
      </c>
    </row>
    <row r="596" spans="1:120" x14ac:dyDescent="0.25">
      <c r="A596" s="7">
        <v>0.83675526587265858</v>
      </c>
      <c r="B596"/>
      <c r="C596"/>
      <c r="D596"/>
      <c r="E596"/>
      <c r="F596" s="27" t="s">
        <v>7</v>
      </c>
      <c r="BW596" s="27" t="s">
        <v>8</v>
      </c>
      <c r="CL596" s="27" t="s">
        <v>7</v>
      </c>
      <c r="CM596" s="27" t="s">
        <v>8</v>
      </c>
      <c r="CN596" s="27" t="s">
        <v>7</v>
      </c>
      <c r="CO596" s="27" t="s">
        <v>8</v>
      </c>
      <c r="CP596" s="27" t="s">
        <v>7</v>
      </c>
      <c r="CQ596" s="27" t="s">
        <v>8</v>
      </c>
      <c r="CR596" s="27" t="s">
        <v>7</v>
      </c>
      <c r="CS596" s="27" t="s">
        <v>8</v>
      </c>
      <c r="CX596" s="27" t="s">
        <v>7</v>
      </c>
      <c r="DI596" s="27" t="s">
        <v>8</v>
      </c>
    </row>
    <row r="597" spans="1:120" x14ac:dyDescent="0.25">
      <c r="A597" s="7">
        <v>0.82034829987515545</v>
      </c>
      <c r="B597"/>
      <c r="C597"/>
      <c r="D597"/>
      <c r="E597"/>
      <c r="F597" s="27" t="s">
        <v>7</v>
      </c>
      <c r="BW597" s="27" t="s">
        <v>8</v>
      </c>
      <c r="CL597" s="27" t="s">
        <v>7</v>
      </c>
      <c r="CM597" s="27" t="s">
        <v>8</v>
      </c>
      <c r="CN597" s="27" t="s">
        <v>7</v>
      </c>
      <c r="CP597" s="27" t="s">
        <v>7</v>
      </c>
      <c r="CQ597" s="27" t="s">
        <v>8</v>
      </c>
      <c r="CR597" s="27" t="s">
        <v>7</v>
      </c>
      <c r="CS597" s="27" t="s">
        <v>8</v>
      </c>
      <c r="CX597" s="27" t="s">
        <v>7</v>
      </c>
      <c r="DI597" s="27" t="s">
        <v>8</v>
      </c>
      <c r="DJ597" s="27" t="s">
        <v>7</v>
      </c>
    </row>
    <row r="598" spans="1:120" x14ac:dyDescent="0.25">
      <c r="A598" s="7">
        <v>0.80426303909328967</v>
      </c>
      <c r="B598"/>
      <c r="C598"/>
      <c r="D598"/>
      <c r="E598"/>
      <c r="F598" s="27" t="s">
        <v>7</v>
      </c>
      <c r="BW598" s="27" t="s">
        <v>8</v>
      </c>
      <c r="CL598" s="27" t="s">
        <v>7</v>
      </c>
      <c r="CP598" s="27" t="s">
        <v>7</v>
      </c>
      <c r="CQ598" s="27" t="s">
        <v>8</v>
      </c>
      <c r="CR598" s="27" t="s">
        <v>7</v>
      </c>
      <c r="CS598" s="27" t="s">
        <v>8</v>
      </c>
      <c r="CX598" s="27" t="s">
        <v>7</v>
      </c>
      <c r="CY598" s="27" t="s">
        <v>8</v>
      </c>
      <c r="DA598" s="27" t="s">
        <v>8</v>
      </c>
      <c r="DI598" s="27" t="s">
        <v>8</v>
      </c>
      <c r="DJ598" s="27" t="s">
        <v>7</v>
      </c>
      <c r="DK598" s="27" t="s">
        <v>8</v>
      </c>
    </row>
    <row r="599" spans="1:120" x14ac:dyDescent="0.25">
      <c r="A599" s="7">
        <v>0.78849317558165644</v>
      </c>
      <c r="B599"/>
      <c r="C599"/>
      <c r="D599"/>
      <c r="E599"/>
      <c r="F599" s="27" t="s">
        <v>7</v>
      </c>
      <c r="BW599" s="27" t="s">
        <v>8</v>
      </c>
      <c r="CP599" s="27" t="s">
        <v>7</v>
      </c>
      <c r="CR599" s="27" t="s">
        <v>7</v>
      </c>
      <c r="CS599" s="27" t="s">
        <v>8</v>
      </c>
      <c r="CX599" s="27" t="s">
        <v>7</v>
      </c>
      <c r="CY599" s="27" t="s">
        <v>8</v>
      </c>
      <c r="CZ599" s="27" t="s">
        <v>7</v>
      </c>
      <c r="DA599" s="27" t="s">
        <v>8</v>
      </c>
      <c r="DB599" s="27" t="s">
        <v>7</v>
      </c>
      <c r="DI599" s="27" t="s">
        <v>8</v>
      </c>
      <c r="DJ599" s="27" t="s">
        <v>7</v>
      </c>
      <c r="DK599" s="27" t="s">
        <v>8</v>
      </c>
      <c r="DL599" s="27" t="s">
        <v>7</v>
      </c>
    </row>
    <row r="600" spans="1:120" x14ac:dyDescent="0.25">
      <c r="A600" s="7">
        <v>0.77303252508005538</v>
      </c>
      <c r="B600"/>
      <c r="C600"/>
      <c r="D600"/>
      <c r="E600"/>
      <c r="F600" s="27" t="s">
        <v>7</v>
      </c>
      <c r="BW600" s="27" t="s">
        <v>8</v>
      </c>
      <c r="CR600" s="27" t="s">
        <v>7</v>
      </c>
      <c r="CS600" s="27" t="s">
        <v>8</v>
      </c>
      <c r="CX600" s="27" t="s">
        <v>7</v>
      </c>
      <c r="CY600" s="27" t="s">
        <v>8</v>
      </c>
      <c r="CZ600" s="27" t="s">
        <v>7</v>
      </c>
      <c r="DA600" s="27" t="s">
        <v>8</v>
      </c>
      <c r="DB600" s="27" t="s">
        <v>7</v>
      </c>
      <c r="DG600" s="27" t="s">
        <v>8</v>
      </c>
      <c r="DI600" s="27" t="s">
        <v>8</v>
      </c>
      <c r="DJ600" s="27" t="s">
        <v>7</v>
      </c>
      <c r="DK600" s="27" t="s">
        <v>8</v>
      </c>
      <c r="DL600" s="27" t="s">
        <v>7</v>
      </c>
    </row>
    <row r="601" spans="1:120" x14ac:dyDescent="0.25">
      <c r="A601" s="7">
        <v>0.75787502458828959</v>
      </c>
      <c r="B601"/>
      <c r="C601"/>
      <c r="D601"/>
      <c r="E601"/>
      <c r="F601" s="27" t="s">
        <v>7</v>
      </c>
      <c r="BW601" s="27" t="s">
        <v>8</v>
      </c>
      <c r="CR601" s="27" t="s">
        <v>7</v>
      </c>
      <c r="CX601" s="27" t="s">
        <v>7</v>
      </c>
      <c r="CY601" s="27" t="s">
        <v>8</v>
      </c>
      <c r="CZ601" s="27" t="s">
        <v>7</v>
      </c>
      <c r="DA601" s="27" t="s">
        <v>8</v>
      </c>
      <c r="DB601" s="27" t="s">
        <v>7</v>
      </c>
      <c r="DC601" s="27" t="s">
        <v>8</v>
      </c>
      <c r="DG601" s="27" t="s">
        <v>8</v>
      </c>
      <c r="DH601" s="27" t="s">
        <v>7</v>
      </c>
      <c r="DI601" s="27" t="s">
        <v>8</v>
      </c>
      <c r="DJ601" s="27" t="s">
        <v>7</v>
      </c>
      <c r="DK601" s="27" t="s">
        <v>8</v>
      </c>
      <c r="DL601" s="27" t="s">
        <v>7</v>
      </c>
    </row>
    <row r="602" spans="1:120" x14ac:dyDescent="0.25">
      <c r="A602" s="7">
        <v>0.74301472998851925</v>
      </c>
      <c r="B602"/>
      <c r="C602"/>
      <c r="D602"/>
      <c r="E602"/>
      <c r="F602" s="27" t="s">
        <v>7</v>
      </c>
      <c r="BW602" s="27" t="s">
        <v>8</v>
      </c>
      <c r="CX602" s="27" t="s">
        <v>7</v>
      </c>
      <c r="CY602" s="27" t="s">
        <v>8</v>
      </c>
      <c r="CZ602" s="27" t="s">
        <v>7</v>
      </c>
      <c r="DA602" s="27" t="s">
        <v>8</v>
      </c>
      <c r="DB602" s="27" t="s">
        <v>7</v>
      </c>
      <c r="DC602" s="27" t="s">
        <v>8</v>
      </c>
      <c r="DD602" s="27" t="s">
        <v>7</v>
      </c>
      <c r="DE602" s="27" t="s">
        <v>8</v>
      </c>
      <c r="DG602" s="27" t="s">
        <v>8</v>
      </c>
      <c r="DH602" s="27" t="s">
        <v>7</v>
      </c>
      <c r="DI602" s="27" t="s">
        <v>8</v>
      </c>
      <c r="DJ602" s="27" t="s">
        <v>7</v>
      </c>
      <c r="DK602" s="27" t="s">
        <v>8</v>
      </c>
      <c r="DL602" s="27" t="s">
        <v>7</v>
      </c>
    </row>
    <row r="603" spans="1:120" x14ac:dyDescent="0.25">
      <c r="A603" s="7">
        <v>0.72844581371423456</v>
      </c>
      <c r="B603"/>
      <c r="C603"/>
      <c r="D603"/>
      <c r="E603"/>
      <c r="F603" s="27" t="s">
        <v>7</v>
      </c>
      <c r="BW603" s="27" t="s">
        <v>8</v>
      </c>
      <c r="CX603" s="27" t="s">
        <v>7</v>
      </c>
      <c r="CY603" s="27" t="s">
        <v>8</v>
      </c>
      <c r="CZ603" s="27" t="s">
        <v>7</v>
      </c>
      <c r="DA603" s="27" t="s">
        <v>8</v>
      </c>
      <c r="DB603" s="27" t="s">
        <v>7</v>
      </c>
      <c r="DC603" s="27" t="s">
        <v>8</v>
      </c>
      <c r="DD603" s="27" t="s">
        <v>7</v>
      </c>
      <c r="DE603" s="27" t="s">
        <v>8</v>
      </c>
      <c r="DF603" s="27" t="s">
        <v>7</v>
      </c>
      <c r="DG603" s="27" t="s">
        <v>8</v>
      </c>
      <c r="DH603" s="27" t="s">
        <v>7</v>
      </c>
      <c r="DI603" s="27" t="s">
        <v>8</v>
      </c>
      <c r="DJ603" s="27" t="s">
        <v>7</v>
      </c>
      <c r="DL603" s="27" t="s">
        <v>7</v>
      </c>
    </row>
    <row r="604" spans="1:120" x14ac:dyDescent="0.25">
      <c r="A604" s="7">
        <v>0.71416256246493581</v>
      </c>
      <c r="B604"/>
      <c r="C604"/>
      <c r="D604"/>
      <c r="E604"/>
      <c r="F604" s="27" t="s">
        <v>7</v>
      </c>
      <c r="BW604" s="27" t="s">
        <v>8</v>
      </c>
      <c r="CX604" s="27" t="s">
        <v>7</v>
      </c>
      <c r="CY604" s="27" t="s">
        <v>8</v>
      </c>
      <c r="CZ604" s="27" t="s">
        <v>7</v>
      </c>
      <c r="DA604" s="27" t="s">
        <v>8</v>
      </c>
      <c r="DB604" s="27" t="s">
        <v>7</v>
      </c>
      <c r="DD604" s="27" t="s">
        <v>7</v>
      </c>
      <c r="DE604" s="27" t="s">
        <v>8</v>
      </c>
      <c r="DF604" s="27" t="s">
        <v>7</v>
      </c>
      <c r="DG604" s="27" t="s">
        <v>8</v>
      </c>
      <c r="DH604" s="27" t="s">
        <v>7</v>
      </c>
      <c r="DI604" s="27" t="s">
        <v>8</v>
      </c>
      <c r="DL604" s="27" t="s">
        <v>7</v>
      </c>
    </row>
    <row r="605" spans="1:120" x14ac:dyDescent="0.25">
      <c r="A605" s="7">
        <v>0.7001593749656233</v>
      </c>
      <c r="B605"/>
      <c r="C605"/>
      <c r="D605"/>
      <c r="E605"/>
      <c r="F605" s="27" t="s">
        <v>7</v>
      </c>
      <c r="BW605" s="27" t="s">
        <v>8</v>
      </c>
      <c r="CX605" s="27" t="s">
        <v>7</v>
      </c>
      <c r="CY605" s="27" t="s">
        <v>8</v>
      </c>
      <c r="CZ605" s="27" t="s">
        <v>7</v>
      </c>
      <c r="DD605" s="27" t="s">
        <v>7</v>
      </c>
      <c r="DE605" s="27" t="s">
        <v>8</v>
      </c>
      <c r="DF605" s="27" t="s">
        <v>7</v>
      </c>
      <c r="DH605" s="27" t="s">
        <v>7</v>
      </c>
      <c r="DL605" s="27" t="s">
        <v>7</v>
      </c>
    </row>
    <row r="606" spans="1:120" x14ac:dyDescent="0.25">
      <c r="A606" s="7">
        <v>0.68643075977021883</v>
      </c>
      <c r="B606"/>
      <c r="C606"/>
      <c r="D606"/>
      <c r="E606"/>
      <c r="F606" s="27" t="s">
        <v>7</v>
      </c>
      <c r="BW606" s="27" t="s">
        <v>8</v>
      </c>
      <c r="CX606" s="27" t="s">
        <v>7</v>
      </c>
      <c r="CY606" s="27" t="s">
        <v>8</v>
      </c>
      <c r="DD606" s="27" t="s">
        <v>7</v>
      </c>
      <c r="DL606" s="27" t="s">
        <v>7</v>
      </c>
      <c r="DO606" s="27" t="s">
        <v>8</v>
      </c>
    </row>
    <row r="607" spans="1:120" x14ac:dyDescent="0.25">
      <c r="A607" s="7">
        <v>0.67297133310805768</v>
      </c>
      <c r="B607"/>
      <c r="C607"/>
      <c r="D607"/>
      <c r="E607"/>
      <c r="F607" s="27" t="s">
        <v>7</v>
      </c>
      <c r="BW607" s="27" t="s">
        <v>8</v>
      </c>
      <c r="CX607" s="27" t="s">
        <v>7</v>
      </c>
      <c r="DL607" s="27" t="s">
        <v>7</v>
      </c>
      <c r="DO607" s="27" t="s">
        <v>8</v>
      </c>
      <c r="DP607" s="27" t="s">
        <v>7</v>
      </c>
    </row>
    <row r="608" spans="1:120" x14ac:dyDescent="0.25">
      <c r="A608" s="7">
        <v>0.65977581677260566</v>
      </c>
      <c r="B608"/>
      <c r="C608"/>
      <c r="D608"/>
      <c r="E608"/>
      <c r="F608" s="27" t="s">
        <v>7</v>
      </c>
      <c r="BW608" s="27" t="s">
        <v>8</v>
      </c>
      <c r="DL608" s="27" t="s">
        <v>7</v>
      </c>
      <c r="DO608" s="27" t="s">
        <v>8</v>
      </c>
      <c r="DP608" s="27" t="s">
        <v>7</v>
      </c>
    </row>
    <row r="609" spans="1:121" x14ac:dyDescent="0.25">
      <c r="A609" s="7">
        <v>0.64683903605157422</v>
      </c>
      <c r="B609"/>
      <c r="C609"/>
      <c r="D609"/>
      <c r="E609"/>
      <c r="F609" s="27" t="s">
        <v>7</v>
      </c>
      <c r="BW609" s="27" t="s">
        <v>8</v>
      </c>
      <c r="DL609" s="27" t="s">
        <v>7</v>
      </c>
      <c r="DO609" s="27" t="s">
        <v>8</v>
      </c>
      <c r="DP609" s="27" t="s">
        <v>7</v>
      </c>
    </row>
    <row r="610" spans="1:121" x14ac:dyDescent="0.25">
      <c r="A610" s="7">
        <v>0.63415591769762181</v>
      </c>
      <c r="B610"/>
      <c r="C610"/>
      <c r="D610"/>
      <c r="E610"/>
      <c r="F610" s="27" t="s">
        <v>7</v>
      </c>
      <c r="BW610" s="27" t="s">
        <v>8</v>
      </c>
      <c r="DL610" s="27" t="s">
        <v>7</v>
      </c>
      <c r="DM610" s="27" t="s">
        <v>8</v>
      </c>
      <c r="DO610" s="27" t="s">
        <v>8</v>
      </c>
      <c r="DP610" s="27" t="s">
        <v>7</v>
      </c>
    </row>
    <row r="611" spans="1:121" x14ac:dyDescent="0.25">
      <c r="A611" s="7">
        <v>0.62172148793884496</v>
      </c>
      <c r="B611"/>
      <c r="C611"/>
      <c r="D611"/>
      <c r="E611"/>
      <c r="F611" s="27" t="s">
        <v>7</v>
      </c>
      <c r="BW611" s="27" t="s">
        <v>8</v>
      </c>
      <c r="DL611" s="27" t="s">
        <v>7</v>
      </c>
      <c r="DM611" s="27" t="s">
        <v>8</v>
      </c>
      <c r="DN611" s="27" t="s">
        <v>7</v>
      </c>
      <c r="DO611" s="27" t="s">
        <v>8</v>
      </c>
      <c r="DP611" s="27" t="s">
        <v>7</v>
      </c>
    </row>
    <row r="612" spans="1:121" x14ac:dyDescent="0.25">
      <c r="A612" s="7">
        <v>0.60953087052827937</v>
      </c>
      <c r="B612"/>
      <c r="C612"/>
      <c r="D612"/>
      <c r="E612"/>
      <c r="F612" s="27" t="s">
        <v>7</v>
      </c>
      <c r="BW612" s="27" t="s">
        <v>8</v>
      </c>
      <c r="DL612" s="27" t="s">
        <v>7</v>
      </c>
      <c r="DM612" s="27" t="s">
        <v>8</v>
      </c>
      <c r="DN612" s="27" t="s">
        <v>7</v>
      </c>
      <c r="DO612" s="27" t="s">
        <v>8</v>
      </c>
      <c r="DP612" s="27" t="s">
        <v>7</v>
      </c>
    </row>
    <row r="613" spans="1:121" x14ac:dyDescent="0.25">
      <c r="A613" s="7">
        <v>0.59757928483164646</v>
      </c>
      <c r="B613"/>
      <c r="C613"/>
      <c r="D613"/>
      <c r="E613"/>
      <c r="F613" s="27" t="s">
        <v>7</v>
      </c>
      <c r="BW613" s="27" t="s">
        <v>8</v>
      </c>
      <c r="DL613" s="27" t="s">
        <v>7</v>
      </c>
      <c r="DN613" s="27" t="s">
        <v>7</v>
      </c>
      <c r="DO613" s="27" t="s">
        <v>8</v>
      </c>
      <c r="DP613" s="27" t="s">
        <v>7</v>
      </c>
    </row>
    <row r="614" spans="1:121" x14ac:dyDescent="0.25">
      <c r="A614" s="7">
        <v>0.58586204395259456</v>
      </c>
      <c r="B614"/>
      <c r="C614"/>
      <c r="D614"/>
      <c r="E614"/>
      <c r="F614" s="27" t="s">
        <v>7</v>
      </c>
      <c r="BW614" s="27" t="s">
        <v>8</v>
      </c>
      <c r="DN614" s="27" t="s">
        <v>7</v>
      </c>
      <c r="DO614" s="27" t="s">
        <v>8</v>
      </c>
      <c r="DP614" s="27" t="s">
        <v>7</v>
      </c>
    </row>
    <row r="615" spans="1:121" x14ac:dyDescent="0.25">
      <c r="A615" s="7">
        <v>0.57437455289470052</v>
      </c>
      <c r="B615"/>
      <c r="C615"/>
      <c r="D615"/>
      <c r="E615"/>
      <c r="F615" s="27" t="s">
        <v>7</v>
      </c>
      <c r="BW615" s="27" t="s">
        <v>8</v>
      </c>
      <c r="DN615" s="27" t="s">
        <v>7</v>
      </c>
      <c r="DO615" s="27" t="s">
        <v>8</v>
      </c>
      <c r="DP615" s="27" t="s">
        <v>7</v>
      </c>
    </row>
    <row r="616" spans="1:121" x14ac:dyDescent="0.25">
      <c r="A616" s="7">
        <v>0.56311230675951029</v>
      </c>
      <c r="B616"/>
      <c r="C616"/>
      <c r="D616"/>
      <c r="E616"/>
      <c r="F616" s="27" t="s">
        <v>7</v>
      </c>
      <c r="BW616" s="27" t="s">
        <v>8</v>
      </c>
      <c r="DN616" s="27" t="s">
        <v>7</v>
      </c>
      <c r="DP616" s="27" t="s">
        <v>7</v>
      </c>
    </row>
    <row r="617" spans="1:121" x14ac:dyDescent="0.25">
      <c r="A617" s="7">
        <v>0.55207088897991208</v>
      </c>
      <c r="B617"/>
      <c r="C617"/>
      <c r="D617"/>
      <c r="E617"/>
      <c r="F617" s="27" t="s">
        <v>7</v>
      </c>
      <c r="BW617" s="27" t="s">
        <v>8</v>
      </c>
      <c r="DP617" s="27" t="s">
        <v>7</v>
      </c>
    </row>
    <row r="618" spans="1:121" x14ac:dyDescent="0.25">
      <c r="A618" s="7">
        <v>0.54124596958814908</v>
      </c>
      <c r="B618"/>
      <c r="C618"/>
      <c r="D618"/>
      <c r="E618"/>
      <c r="F618" s="27" t="s">
        <v>7</v>
      </c>
      <c r="BW618" s="27" t="s">
        <v>8</v>
      </c>
      <c r="DP618" s="27" t="s">
        <v>7</v>
      </c>
    </row>
    <row r="619" spans="1:121" x14ac:dyDescent="0.25">
      <c r="A619" s="7">
        <v>0.53063330351779314</v>
      </c>
      <c r="B619"/>
      <c r="C619"/>
      <c r="D619"/>
      <c r="E619"/>
      <c r="F619" s="27" t="s">
        <v>7</v>
      </c>
      <c r="BW619" s="27" t="s">
        <v>8</v>
      </c>
      <c r="DP619" s="27" t="s">
        <v>7</v>
      </c>
    </row>
    <row r="620" spans="1:121" x14ac:dyDescent="0.25">
      <c r="A620" s="7">
        <v>0.52022872893901284</v>
      </c>
      <c r="B620"/>
      <c r="C620"/>
      <c r="D620"/>
      <c r="E620"/>
      <c r="F620" s="27" t="s">
        <v>7</v>
      </c>
      <c r="BW620" s="27" t="s">
        <v>8</v>
      </c>
      <c r="DP620" s="27" t="s">
        <v>7</v>
      </c>
    </row>
    <row r="621" spans="1:121" x14ac:dyDescent="0.25">
      <c r="A621" s="7">
        <v>0.51002816562648323</v>
      </c>
      <c r="B621"/>
      <c r="C621"/>
      <c r="D621"/>
      <c r="E621"/>
      <c r="F621" s="27" t="s">
        <v>7</v>
      </c>
      <c r="BW621" s="27" t="s">
        <v>8</v>
      </c>
      <c r="DP621" s="27" t="s">
        <v>7</v>
      </c>
    </row>
    <row r="622" spans="1:121" x14ac:dyDescent="0.25">
      <c r="A622" s="7">
        <v>0.50002761335929735</v>
      </c>
      <c r="B622"/>
      <c r="C622"/>
      <c r="D622"/>
      <c r="E622"/>
      <c r="F622" s="27" t="s">
        <v>7</v>
      </c>
      <c r="AY622" s="27" t="s">
        <v>8</v>
      </c>
      <c r="BW622" s="27" t="s">
        <v>8</v>
      </c>
      <c r="DP622" s="27" t="s">
        <v>7</v>
      </c>
    </row>
    <row r="623" spans="1:121" x14ac:dyDescent="0.25">
      <c r="A623" s="7">
        <v>0.49022315035225228</v>
      </c>
      <c r="B623"/>
      <c r="C623"/>
      <c r="D623"/>
      <c r="E623"/>
      <c r="F623" s="27" t="s">
        <v>7</v>
      </c>
      <c r="AY623" s="27" t="s">
        <v>8</v>
      </c>
      <c r="AZ623" s="27" t="s">
        <v>7</v>
      </c>
      <c r="BW623" s="27" t="s">
        <v>8</v>
      </c>
      <c r="DP623" s="27" t="s">
        <v>7</v>
      </c>
    </row>
    <row r="624" spans="1:121" x14ac:dyDescent="0.25">
      <c r="A624" s="7">
        <v>0.48061093171789437</v>
      </c>
      <c r="B624"/>
      <c r="C624"/>
      <c r="D624"/>
      <c r="E624"/>
      <c r="F624" s="27" t="s">
        <v>7</v>
      </c>
      <c r="AY624" s="27" t="s">
        <v>8</v>
      </c>
      <c r="AZ624" s="27" t="s">
        <v>7</v>
      </c>
      <c r="BW624" s="27" t="s">
        <v>8</v>
      </c>
      <c r="DP624" s="27" t="s">
        <v>7</v>
      </c>
      <c r="DQ624" s="27" t="s">
        <v>8</v>
      </c>
    </row>
    <row r="625" spans="1:124" x14ac:dyDescent="0.25">
      <c r="A625" s="7">
        <v>0.47118718795871994</v>
      </c>
      <c r="B625"/>
      <c r="C625"/>
      <c r="D625"/>
      <c r="E625"/>
      <c r="F625" s="27" t="s">
        <v>7</v>
      </c>
      <c r="AY625" s="27" t="s">
        <v>8</v>
      </c>
      <c r="AZ625" s="27" t="s">
        <v>7</v>
      </c>
      <c r="BW625" s="27" t="s">
        <v>8</v>
      </c>
      <c r="DP625" s="27" t="s">
        <v>7</v>
      </c>
      <c r="DQ625" s="27" t="s">
        <v>8</v>
      </c>
      <c r="DR625" s="27" t="s">
        <v>7</v>
      </c>
      <c r="DS625" s="27" t="s">
        <v>8</v>
      </c>
    </row>
    <row r="626" spans="1:124" x14ac:dyDescent="0.25">
      <c r="A626" s="7">
        <v>0.46194822348894116</v>
      </c>
      <c r="B626"/>
      <c r="C626"/>
      <c r="D626"/>
      <c r="E626"/>
      <c r="F626" s="27" t="s">
        <v>7</v>
      </c>
      <c r="AY626" s="27" t="s">
        <v>8</v>
      </c>
      <c r="AZ626" s="27" t="s">
        <v>7</v>
      </c>
      <c r="BW626" s="27" t="s">
        <v>8</v>
      </c>
      <c r="DP626" s="27" t="s">
        <v>7</v>
      </c>
      <c r="DQ626" s="27" t="s">
        <v>8</v>
      </c>
      <c r="DR626" s="27" t="s">
        <v>7</v>
      </c>
      <c r="DS626" s="27" t="s">
        <v>8</v>
      </c>
      <c r="DT626" s="27" t="s">
        <v>7</v>
      </c>
    </row>
    <row r="627" spans="1:124" x14ac:dyDescent="0.25">
      <c r="A627" s="7">
        <v>0.45289041518523643</v>
      </c>
      <c r="B627"/>
      <c r="C627"/>
      <c r="D627"/>
      <c r="E627"/>
      <c r="F627" s="27" t="s">
        <v>7</v>
      </c>
      <c r="AY627" s="27" t="s">
        <v>8</v>
      </c>
      <c r="AZ627" s="27" t="s">
        <v>7</v>
      </c>
      <c r="BW627" s="27" t="s">
        <v>8</v>
      </c>
      <c r="DP627" s="27" t="s">
        <v>7</v>
      </c>
      <c r="DQ627" s="27" t="s">
        <v>8</v>
      </c>
      <c r="DR627" s="27" t="s">
        <v>7</v>
      </c>
      <c r="DS627" s="27" t="s">
        <v>8</v>
      </c>
      <c r="DT627" s="27" t="s">
        <v>7</v>
      </c>
    </row>
    <row r="628" spans="1:124" x14ac:dyDescent="0.25">
      <c r="A628" s="7">
        <v>0.44401021096591808</v>
      </c>
      <c r="B628"/>
      <c r="C628"/>
      <c r="D628"/>
      <c r="E628"/>
      <c r="F628" s="27" t="s">
        <v>7</v>
      </c>
      <c r="AY628" s="27" t="s">
        <v>8</v>
      </c>
      <c r="AZ628" s="27" t="s">
        <v>7</v>
      </c>
      <c r="BW628" s="27" t="s">
        <v>8</v>
      </c>
      <c r="DP628" s="27" t="s">
        <v>7</v>
      </c>
      <c r="DQ628" s="27" t="s">
        <v>8</v>
      </c>
      <c r="DR628" s="27" t="s">
        <v>7</v>
      </c>
      <c r="DS628" s="27" t="s">
        <v>8</v>
      </c>
      <c r="DT628" s="27" t="s">
        <v>7</v>
      </c>
    </row>
    <row r="629" spans="1:124" x14ac:dyDescent="0.25">
      <c r="A629" s="7">
        <v>0.4353041283979589</v>
      </c>
      <c r="B629"/>
      <c r="C629"/>
      <c r="D629"/>
      <c r="E629"/>
      <c r="F629" s="27" t="s">
        <v>7</v>
      </c>
      <c r="AY629" s="27" t="s">
        <v>8</v>
      </c>
      <c r="AZ629" s="27" t="s">
        <v>7</v>
      </c>
      <c r="BW629" s="27" t="s">
        <v>8</v>
      </c>
      <c r="DP629" s="27" t="s">
        <v>7</v>
      </c>
      <c r="DQ629" s="27" t="s">
        <v>8</v>
      </c>
      <c r="DR629" s="27" t="s">
        <v>7</v>
      </c>
      <c r="DS629" s="27" t="s">
        <v>8</v>
      </c>
      <c r="DT629" s="27" t="s">
        <v>7</v>
      </c>
    </row>
    <row r="630" spans="1:124" x14ac:dyDescent="0.25">
      <c r="A630" s="7">
        <v>0.4267687533313323</v>
      </c>
      <c r="B630"/>
      <c r="C630"/>
      <c r="D630"/>
      <c r="E630"/>
      <c r="F630" s="27" t="s">
        <v>7</v>
      </c>
      <c r="AY630" s="27" t="s">
        <v>8</v>
      </c>
      <c r="AZ630" s="27" t="s">
        <v>7</v>
      </c>
      <c r="BW630" s="27" t="s">
        <v>8</v>
      </c>
      <c r="DP630" s="27" t="s">
        <v>7</v>
      </c>
      <c r="DQ630" s="27" t="s">
        <v>8</v>
      </c>
      <c r="DR630" s="27" t="s">
        <v>7</v>
      </c>
      <c r="DS630" s="27" t="s">
        <v>8</v>
      </c>
    </row>
    <row r="631" spans="1:124" x14ac:dyDescent="0.25">
      <c r="A631" s="7">
        <v>0.41840073856012971</v>
      </c>
      <c r="B631"/>
      <c r="C631"/>
      <c r="D631"/>
      <c r="E631"/>
      <c r="F631" s="27" t="s">
        <v>7</v>
      </c>
      <c r="AY631" s="27" t="s">
        <v>8</v>
      </c>
      <c r="AZ631" s="27" t="s">
        <v>7</v>
      </c>
      <c r="BW631" s="27" t="s">
        <v>8</v>
      </c>
      <c r="DP631" s="27" t="s">
        <v>7</v>
      </c>
      <c r="DQ631" s="27" t="s">
        <v>8</v>
      </c>
      <c r="DR631" s="27" t="s">
        <v>7</v>
      </c>
      <c r="DS631" s="27" t="s">
        <v>8</v>
      </c>
    </row>
    <row r="632" spans="1:124" x14ac:dyDescent="0.25">
      <c r="A632" s="7">
        <v>0.41019680250993112</v>
      </c>
      <c r="B632"/>
      <c r="C632"/>
      <c r="D632"/>
      <c r="E632"/>
      <c r="F632" s="27" t="s">
        <v>7</v>
      </c>
      <c r="AY632" s="27" t="s">
        <v>8</v>
      </c>
      <c r="AZ632" s="27" t="s">
        <v>7</v>
      </c>
      <c r="BW632" s="27" t="s">
        <v>8</v>
      </c>
      <c r="DP632" s="27" t="s">
        <v>7</v>
      </c>
      <c r="DR632" s="27" t="s">
        <v>7</v>
      </c>
      <c r="DS632" s="27" t="s">
        <v>8</v>
      </c>
    </row>
    <row r="633" spans="1:124" x14ac:dyDescent="0.25">
      <c r="A633" s="7">
        <v>0.40215372795091286</v>
      </c>
      <c r="B633"/>
      <c r="C633"/>
      <c r="D633"/>
      <c r="E633"/>
      <c r="F633" s="27" t="s">
        <v>7</v>
      </c>
      <c r="AY633" s="27" t="s">
        <v>8</v>
      </c>
      <c r="AZ633" s="27" t="s">
        <v>7</v>
      </c>
      <c r="BW633" s="27" t="s">
        <v>8</v>
      </c>
      <c r="DR633" s="27" t="s">
        <v>7</v>
      </c>
    </row>
    <row r="634" spans="1:124" x14ac:dyDescent="0.25">
      <c r="A634" s="7">
        <v>0.39426836073618904</v>
      </c>
      <c r="B634"/>
      <c r="C634"/>
      <c r="D634"/>
      <c r="E634"/>
      <c r="F634" s="27" t="s">
        <v>7</v>
      </c>
      <c r="K634" s="27" t="s">
        <v>8</v>
      </c>
      <c r="AY634" s="27" t="s">
        <v>8</v>
      </c>
      <c r="AZ634" s="27" t="s">
        <v>7</v>
      </c>
      <c r="BE634" s="27" t="s">
        <v>8</v>
      </c>
      <c r="BW634" s="27" t="s">
        <v>8</v>
      </c>
    </row>
    <row r="635" spans="1:124" x14ac:dyDescent="0.25">
      <c r="A635" s="7">
        <v>0.38653760856489122</v>
      </c>
      <c r="B635"/>
      <c r="C635"/>
      <c r="D635"/>
      <c r="E635"/>
      <c r="F635" s="27" t="s">
        <v>7</v>
      </c>
      <c r="K635" s="27" t="s">
        <v>8</v>
      </c>
      <c r="L635" s="27" t="s">
        <v>7</v>
      </c>
      <c r="AY635" s="27" t="s">
        <v>8</v>
      </c>
      <c r="AZ635" s="27" t="s">
        <v>7</v>
      </c>
      <c r="BE635" s="27" t="s">
        <v>8</v>
      </c>
      <c r="BF635" s="27" t="s">
        <v>7</v>
      </c>
      <c r="BW635" s="27" t="s">
        <v>8</v>
      </c>
    </row>
    <row r="636" spans="1:124" x14ac:dyDescent="0.25">
      <c r="A636" s="7">
        <v>0.37895843976950117</v>
      </c>
      <c r="B636"/>
      <c r="C636"/>
      <c r="D636"/>
      <c r="E636"/>
      <c r="F636" s="27" t="s">
        <v>7</v>
      </c>
      <c r="K636" s="27" t="s">
        <v>8</v>
      </c>
      <c r="L636" s="27" t="s">
        <v>7</v>
      </c>
      <c r="AY636" s="27" t="s">
        <v>8</v>
      </c>
      <c r="AZ636" s="27" t="s">
        <v>7</v>
      </c>
      <c r="BE636" s="27" t="s">
        <v>8</v>
      </c>
      <c r="BF636" s="27" t="s">
        <v>7</v>
      </c>
      <c r="BW636" s="27" t="s">
        <v>8</v>
      </c>
    </row>
    <row r="637" spans="1:124" x14ac:dyDescent="0.25">
      <c r="A637" s="7">
        <v>0.37152788212696197</v>
      </c>
      <c r="B637"/>
      <c r="C637"/>
      <c r="D637"/>
      <c r="E637"/>
      <c r="F637" s="27" t="s">
        <v>7</v>
      </c>
      <c r="G637" s="27" t="s">
        <v>8</v>
      </c>
      <c r="K637" s="27" t="s">
        <v>8</v>
      </c>
      <c r="L637" s="27" t="s">
        <v>7</v>
      </c>
      <c r="AY637" s="27" t="s">
        <v>8</v>
      </c>
      <c r="AZ637" s="27" t="s">
        <v>7</v>
      </c>
      <c r="BE637" s="27" t="s">
        <v>8</v>
      </c>
      <c r="BF637" s="27" t="s">
        <v>7</v>
      </c>
      <c r="BW637" s="27" t="s">
        <v>8</v>
      </c>
    </row>
    <row r="638" spans="1:124" x14ac:dyDescent="0.25">
      <c r="A638" s="7">
        <v>0.36424302169310002</v>
      </c>
      <c r="B638"/>
      <c r="C638"/>
      <c r="D638"/>
      <c r="E638"/>
      <c r="F638" s="27" t="s">
        <v>7</v>
      </c>
      <c r="G638" s="27" t="s">
        <v>8</v>
      </c>
      <c r="H638" s="27" t="s">
        <v>7</v>
      </c>
      <c r="K638" s="27" t="s">
        <v>8</v>
      </c>
      <c r="L638" s="27" t="s">
        <v>7</v>
      </c>
      <c r="AU638" s="27" t="s">
        <v>8</v>
      </c>
      <c r="AY638" s="27" t="s">
        <v>8</v>
      </c>
      <c r="AZ638" s="27" t="s">
        <v>7</v>
      </c>
      <c r="BA638" s="27" t="s">
        <v>8</v>
      </c>
      <c r="BE638" s="27" t="s">
        <v>8</v>
      </c>
      <c r="BF638" s="27" t="s">
        <v>7</v>
      </c>
      <c r="BW638" s="27" t="s">
        <v>8</v>
      </c>
    </row>
    <row r="639" spans="1:124" x14ac:dyDescent="0.25">
      <c r="A639" s="7">
        <v>0.35710100165990194</v>
      </c>
      <c r="B639"/>
      <c r="C639"/>
      <c r="D639"/>
      <c r="E639"/>
      <c r="F639" s="27" t="s">
        <v>7</v>
      </c>
      <c r="G639" s="27" t="s">
        <v>8</v>
      </c>
      <c r="H639" s="27" t="s">
        <v>7</v>
      </c>
      <c r="K639" s="27" t="s">
        <v>8</v>
      </c>
      <c r="L639" s="27" t="s">
        <v>7</v>
      </c>
      <c r="AU639" s="27" t="s">
        <v>8</v>
      </c>
      <c r="AV639" s="27" t="s">
        <v>7</v>
      </c>
      <c r="AY639" s="27" t="s">
        <v>8</v>
      </c>
      <c r="AZ639" s="27" t="s">
        <v>7</v>
      </c>
      <c r="BA639" s="27" t="s">
        <v>8</v>
      </c>
      <c r="BB639" s="27" t="s">
        <v>7</v>
      </c>
      <c r="BE639" s="27" t="s">
        <v>8</v>
      </c>
      <c r="BF639" s="27" t="s">
        <v>7</v>
      </c>
      <c r="BW639" s="27" t="s">
        <v>8</v>
      </c>
    </row>
    <row r="640" spans="1:124" x14ac:dyDescent="0.25">
      <c r="A640" s="7">
        <v>0.35009902123519804</v>
      </c>
      <c r="B640"/>
      <c r="C640"/>
      <c r="D640"/>
      <c r="E640"/>
      <c r="F640" s="27" t="s">
        <v>7</v>
      </c>
      <c r="G640" s="27" t="s">
        <v>8</v>
      </c>
      <c r="H640" s="27" t="s">
        <v>7</v>
      </c>
      <c r="K640" s="27" t="s">
        <v>8</v>
      </c>
      <c r="L640" s="27" t="s">
        <v>7</v>
      </c>
      <c r="AU640" s="27" t="s">
        <v>8</v>
      </c>
      <c r="AV640" s="27" t="s">
        <v>7</v>
      </c>
      <c r="AW640" s="27" t="s">
        <v>8</v>
      </c>
      <c r="AY640" s="27" t="s">
        <v>8</v>
      </c>
      <c r="AZ640" s="27" t="s">
        <v>7</v>
      </c>
      <c r="BA640" s="27" t="s">
        <v>8</v>
      </c>
      <c r="BB640" s="27" t="s">
        <v>7</v>
      </c>
      <c r="BE640" s="27" t="s">
        <v>8</v>
      </c>
      <c r="BF640" s="27" t="s">
        <v>7</v>
      </c>
      <c r="BG640" s="27" t="s">
        <v>8</v>
      </c>
      <c r="BW640" s="27" t="s">
        <v>8</v>
      </c>
    </row>
    <row r="641" spans="1:75" x14ac:dyDescent="0.25">
      <c r="A641" s="7">
        <v>0.34323433454431179</v>
      </c>
      <c r="B641"/>
      <c r="C641"/>
      <c r="D641"/>
      <c r="E641"/>
      <c r="F641" s="27" t="s">
        <v>7</v>
      </c>
      <c r="G641" s="27" t="s">
        <v>8</v>
      </c>
      <c r="H641" s="27" t="s">
        <v>7</v>
      </c>
      <c r="K641" s="27" t="s">
        <v>8</v>
      </c>
      <c r="L641" s="27" t="s">
        <v>7</v>
      </c>
      <c r="AU641" s="27" t="s">
        <v>8</v>
      </c>
      <c r="AV641" s="27" t="s">
        <v>7</v>
      </c>
      <c r="AW641" s="27" t="s">
        <v>8</v>
      </c>
      <c r="AX641" s="27" t="s">
        <v>7</v>
      </c>
      <c r="AY641" s="27" t="s">
        <v>8</v>
      </c>
      <c r="AZ641" s="27" t="s">
        <v>7</v>
      </c>
      <c r="BA641" s="27" t="s">
        <v>8</v>
      </c>
      <c r="BB641" s="27" t="s">
        <v>7</v>
      </c>
      <c r="BE641" s="27" t="s">
        <v>8</v>
      </c>
      <c r="BF641" s="27" t="s">
        <v>7</v>
      </c>
      <c r="BG641" s="27" t="s">
        <v>8</v>
      </c>
      <c r="BH641" s="27" t="s">
        <v>7</v>
      </c>
      <c r="BW641" s="27" t="s">
        <v>8</v>
      </c>
    </row>
    <row r="642" spans="1:75" x14ac:dyDescent="0.25">
      <c r="A642" s="7">
        <v>0.33650424955324681</v>
      </c>
      <c r="B642"/>
      <c r="C642"/>
      <c r="D642"/>
      <c r="E642"/>
      <c r="F642" s="27" t="s">
        <v>7</v>
      </c>
      <c r="G642" s="27" t="s">
        <v>8</v>
      </c>
      <c r="H642" s="27" t="s">
        <v>7</v>
      </c>
      <c r="K642" s="27" t="s">
        <v>8</v>
      </c>
      <c r="L642" s="27" t="s">
        <v>7</v>
      </c>
      <c r="AG642" s="27" t="s">
        <v>8</v>
      </c>
      <c r="AO642" s="27" t="s">
        <v>8</v>
      </c>
      <c r="AQ642" s="27" t="s">
        <v>8</v>
      </c>
      <c r="AU642" s="27" t="s">
        <v>8</v>
      </c>
      <c r="AV642" s="27" t="s">
        <v>7</v>
      </c>
      <c r="AW642" s="27" t="s">
        <v>8</v>
      </c>
      <c r="AX642" s="27" t="s">
        <v>7</v>
      </c>
      <c r="AY642" s="27" t="s">
        <v>8</v>
      </c>
      <c r="AZ642" s="27" t="s">
        <v>7</v>
      </c>
      <c r="BA642" s="27" t="s">
        <v>8</v>
      </c>
      <c r="BB642" s="27" t="s">
        <v>7</v>
      </c>
      <c r="BC642" s="27" t="s">
        <v>8</v>
      </c>
      <c r="BE642" s="27" t="s">
        <v>8</v>
      </c>
      <c r="BF642" s="27" t="s">
        <v>7</v>
      </c>
      <c r="BG642" s="27" t="s">
        <v>8</v>
      </c>
      <c r="BH642" s="27" t="s">
        <v>7</v>
      </c>
      <c r="BW642" s="27" t="s">
        <v>8</v>
      </c>
    </row>
    <row r="643" spans="1:75" x14ac:dyDescent="0.25">
      <c r="A643" s="7">
        <v>0.3299061270129871</v>
      </c>
      <c r="B643"/>
      <c r="C643"/>
      <c r="D643"/>
      <c r="E643"/>
      <c r="F643" s="27" t="s">
        <v>7</v>
      </c>
      <c r="G643" s="27" t="s">
        <v>8</v>
      </c>
      <c r="H643" s="27" t="s">
        <v>7</v>
      </c>
      <c r="I643" s="27" t="s">
        <v>8</v>
      </c>
      <c r="K643" s="27" t="s">
        <v>8</v>
      </c>
      <c r="L643" s="27" t="s">
        <v>7</v>
      </c>
      <c r="AG643" s="27" t="s">
        <v>8</v>
      </c>
      <c r="AH643" s="27" t="s">
        <v>7</v>
      </c>
      <c r="AO643" s="27" t="s">
        <v>8</v>
      </c>
      <c r="AP643" s="27" t="s">
        <v>7</v>
      </c>
      <c r="AQ643" s="27" t="s">
        <v>8</v>
      </c>
      <c r="AR643" s="27" t="s">
        <v>7</v>
      </c>
      <c r="AU643" s="27" t="s">
        <v>8</v>
      </c>
      <c r="AV643" s="27" t="s">
        <v>7</v>
      </c>
      <c r="AW643" s="27" t="s">
        <v>8</v>
      </c>
      <c r="AX643" s="27" t="s">
        <v>7</v>
      </c>
      <c r="AY643" s="27" t="s">
        <v>8</v>
      </c>
      <c r="AZ643" s="27" t="s">
        <v>7</v>
      </c>
      <c r="BA643" s="27" t="s">
        <v>8</v>
      </c>
      <c r="BB643" s="27" t="s">
        <v>7</v>
      </c>
      <c r="BC643" s="27" t="s">
        <v>8</v>
      </c>
      <c r="BD643" s="27" t="s">
        <v>7</v>
      </c>
      <c r="BE643" s="27" t="s">
        <v>8</v>
      </c>
      <c r="BF643" s="27" t="s">
        <v>7</v>
      </c>
      <c r="BG643" s="27" t="s">
        <v>8</v>
      </c>
      <c r="BH643" s="27" t="s">
        <v>7</v>
      </c>
      <c r="BK643" s="27" t="s">
        <v>8</v>
      </c>
      <c r="BQ643" s="27" t="s">
        <v>8</v>
      </c>
      <c r="BS643" s="27" t="s">
        <v>8</v>
      </c>
      <c r="BW643" s="27" t="s">
        <v>8</v>
      </c>
    </row>
    <row r="644" spans="1:75" x14ac:dyDescent="0.25">
      <c r="A644" s="7">
        <v>0.32343737942449713</v>
      </c>
      <c r="B644"/>
      <c r="C644"/>
      <c r="D644"/>
      <c r="E644"/>
      <c r="F644" s="27" t="s">
        <v>7</v>
      </c>
      <c r="G644" s="27" t="s">
        <v>8</v>
      </c>
      <c r="H644" s="27" t="s">
        <v>7</v>
      </c>
      <c r="I644" s="27" t="s">
        <v>8</v>
      </c>
      <c r="J644" s="27" t="s">
        <v>7</v>
      </c>
      <c r="K644" s="27" t="s">
        <v>8</v>
      </c>
      <c r="L644" s="27" t="s">
        <v>7</v>
      </c>
      <c r="AG644" s="27" t="s">
        <v>8</v>
      </c>
      <c r="AH644" s="27" t="s">
        <v>7</v>
      </c>
      <c r="AK644" s="27" t="s">
        <v>8</v>
      </c>
      <c r="AO644" s="27" t="s">
        <v>8</v>
      </c>
      <c r="AP644" s="27" t="s">
        <v>7</v>
      </c>
      <c r="AQ644" s="27" t="s">
        <v>8</v>
      </c>
      <c r="AR644" s="27" t="s">
        <v>7</v>
      </c>
      <c r="AU644" s="27" t="s">
        <v>8</v>
      </c>
      <c r="AV644" s="27" t="s">
        <v>7</v>
      </c>
      <c r="AW644" s="27" t="s">
        <v>8</v>
      </c>
      <c r="AX644" s="27" t="s">
        <v>7</v>
      </c>
      <c r="AZ644" s="27" t="s">
        <v>7</v>
      </c>
      <c r="BA644" s="27" t="s">
        <v>8</v>
      </c>
      <c r="BB644" s="27" t="s">
        <v>7</v>
      </c>
      <c r="BC644" s="27" t="s">
        <v>8</v>
      </c>
      <c r="BD644" s="27" t="s">
        <v>7</v>
      </c>
      <c r="BE644" s="27" t="s">
        <v>8</v>
      </c>
      <c r="BF644" s="27" t="s">
        <v>7</v>
      </c>
      <c r="BH644" s="27" t="s">
        <v>7</v>
      </c>
      <c r="BK644" s="27" t="s">
        <v>8</v>
      </c>
      <c r="BL644" s="27" t="s">
        <v>7</v>
      </c>
      <c r="BQ644" s="27" t="s">
        <v>8</v>
      </c>
      <c r="BR644" s="27" t="s">
        <v>7</v>
      </c>
      <c r="BS644" s="27" t="s">
        <v>8</v>
      </c>
      <c r="BT644" s="27" t="s">
        <v>7</v>
      </c>
      <c r="BW644" s="27" t="s">
        <v>8</v>
      </c>
    </row>
    <row r="645" spans="1:75" x14ac:dyDescent="0.25">
      <c r="A645" s="7">
        <v>0.31709547002401678</v>
      </c>
      <c r="B645"/>
      <c r="C645"/>
      <c r="D645"/>
      <c r="E645"/>
      <c r="F645" s="27" t="s">
        <v>7</v>
      </c>
      <c r="G645" s="27" t="s">
        <v>8</v>
      </c>
      <c r="H645" s="27" t="s">
        <v>7</v>
      </c>
      <c r="I645" s="27" t="s">
        <v>8</v>
      </c>
      <c r="J645" s="27" t="s">
        <v>7</v>
      </c>
      <c r="K645" s="27" t="s">
        <v>8</v>
      </c>
      <c r="L645" s="27" t="s">
        <v>7</v>
      </c>
      <c r="AG645" s="27" t="s">
        <v>8</v>
      </c>
      <c r="AH645" s="27" t="s">
        <v>7</v>
      </c>
      <c r="AK645" s="27" t="s">
        <v>8</v>
      </c>
      <c r="AL645" s="27" t="s">
        <v>7</v>
      </c>
      <c r="AO645" s="27" t="s">
        <v>8</v>
      </c>
      <c r="AP645" s="27" t="s">
        <v>7</v>
      </c>
      <c r="AQ645" s="27" t="s">
        <v>8</v>
      </c>
      <c r="AR645" s="27" t="s">
        <v>7</v>
      </c>
      <c r="AU645" s="27" t="s">
        <v>8</v>
      </c>
      <c r="AV645" s="27" t="s">
        <v>7</v>
      </c>
      <c r="AZ645" s="27" t="s">
        <v>7</v>
      </c>
      <c r="BA645" s="27" t="s">
        <v>8</v>
      </c>
      <c r="BB645" s="27" t="s">
        <v>7</v>
      </c>
      <c r="BC645" s="27" t="s">
        <v>8</v>
      </c>
      <c r="BD645" s="27" t="s">
        <v>7</v>
      </c>
      <c r="BE645" s="27" t="s">
        <v>8</v>
      </c>
      <c r="BH645" s="27" t="s">
        <v>7</v>
      </c>
      <c r="BK645" s="27" t="s">
        <v>8</v>
      </c>
      <c r="BL645" s="27" t="s">
        <v>7</v>
      </c>
      <c r="BQ645" s="27" t="s">
        <v>8</v>
      </c>
      <c r="BR645" s="27" t="s">
        <v>7</v>
      </c>
      <c r="BS645" s="27" t="s">
        <v>8</v>
      </c>
      <c r="BT645" s="27" t="s">
        <v>7</v>
      </c>
      <c r="BW645" s="27" t="s">
        <v>8</v>
      </c>
    </row>
    <row r="646" spans="1:75" x14ac:dyDescent="0.25">
      <c r="A646" s="7">
        <v>0.31087791178825175</v>
      </c>
      <c r="B646"/>
      <c r="C646"/>
      <c r="D646"/>
      <c r="E646"/>
      <c r="F646" s="27" t="s">
        <v>7</v>
      </c>
      <c r="G646" s="27" t="s">
        <v>8</v>
      </c>
      <c r="H646" s="27" t="s">
        <v>7</v>
      </c>
      <c r="I646" s="27" t="s">
        <v>8</v>
      </c>
      <c r="J646" s="27" t="s">
        <v>7</v>
      </c>
      <c r="K646" s="27" t="s">
        <v>8</v>
      </c>
      <c r="L646" s="27" t="s">
        <v>7</v>
      </c>
      <c r="AG646" s="27" t="s">
        <v>8</v>
      </c>
      <c r="AH646" s="27" t="s">
        <v>7</v>
      </c>
      <c r="AK646" s="27" t="s">
        <v>8</v>
      </c>
      <c r="AL646" s="27" t="s">
        <v>7</v>
      </c>
      <c r="AO646" s="27" t="s">
        <v>8</v>
      </c>
      <c r="AP646" s="27" t="s">
        <v>7</v>
      </c>
      <c r="AQ646" s="27" t="s">
        <v>8</v>
      </c>
      <c r="AR646" s="27" t="s">
        <v>7</v>
      </c>
      <c r="AS646" s="27" t="s">
        <v>8</v>
      </c>
      <c r="AU646" s="27" t="s">
        <v>8</v>
      </c>
      <c r="AZ646" s="27" t="s">
        <v>7</v>
      </c>
      <c r="BA646" s="27" t="s">
        <v>8</v>
      </c>
      <c r="BB646" s="27" t="s">
        <v>7</v>
      </c>
      <c r="BC646" s="27" t="s">
        <v>8</v>
      </c>
      <c r="BD646" s="27" t="s">
        <v>7</v>
      </c>
      <c r="BE646" s="27" t="s">
        <v>8</v>
      </c>
      <c r="BH646" s="27" t="s">
        <v>7</v>
      </c>
      <c r="BK646" s="27" t="s">
        <v>8</v>
      </c>
      <c r="BL646" s="27" t="s">
        <v>7</v>
      </c>
      <c r="BQ646" s="27" t="s">
        <v>8</v>
      </c>
      <c r="BR646" s="27" t="s">
        <v>7</v>
      </c>
      <c r="BS646" s="27" t="s">
        <v>8</v>
      </c>
      <c r="BT646" s="27" t="s">
        <v>7</v>
      </c>
      <c r="BW646" s="27" t="s">
        <v>8</v>
      </c>
    </row>
    <row r="647" spans="1:75" x14ac:dyDescent="0.25">
      <c r="A647" s="7">
        <v>0.30478226645907036</v>
      </c>
      <c r="B647"/>
      <c r="C647"/>
      <c r="D647"/>
      <c r="E647"/>
      <c r="F647" s="27" t="s">
        <v>7</v>
      </c>
      <c r="G647" s="27" t="s">
        <v>8</v>
      </c>
      <c r="H647" s="27" t="s">
        <v>7</v>
      </c>
      <c r="I647" s="27" t="s">
        <v>8</v>
      </c>
      <c r="J647" s="27" t="s">
        <v>7</v>
      </c>
      <c r="K647" s="27" t="s">
        <v>8</v>
      </c>
      <c r="L647" s="27" t="s">
        <v>7</v>
      </c>
      <c r="AG647" s="27" t="s">
        <v>8</v>
      </c>
      <c r="AH647" s="27" t="s">
        <v>7</v>
      </c>
      <c r="AK647" s="27" t="s">
        <v>8</v>
      </c>
      <c r="AL647" s="27" t="s">
        <v>7</v>
      </c>
      <c r="AM647" s="27" t="s">
        <v>8</v>
      </c>
      <c r="AO647" s="27" t="s">
        <v>8</v>
      </c>
      <c r="AP647" s="27" t="s">
        <v>7</v>
      </c>
      <c r="AQ647" s="27" t="s">
        <v>8</v>
      </c>
      <c r="AR647" s="27" t="s">
        <v>7</v>
      </c>
      <c r="AS647" s="27" t="s">
        <v>8</v>
      </c>
      <c r="AT647" s="27" t="s">
        <v>7</v>
      </c>
      <c r="AU647" s="27" t="s">
        <v>8</v>
      </c>
      <c r="AZ647" s="27" t="s">
        <v>7</v>
      </c>
      <c r="BA647" s="27" t="s">
        <v>8</v>
      </c>
      <c r="BB647" s="27" t="s">
        <v>7</v>
      </c>
      <c r="BD647" s="27" t="s">
        <v>7</v>
      </c>
      <c r="BE647" s="27" t="s">
        <v>8</v>
      </c>
      <c r="BH647" s="27" t="s">
        <v>7</v>
      </c>
      <c r="BK647" s="27" t="s">
        <v>8</v>
      </c>
      <c r="BL647" s="27" t="s">
        <v>7</v>
      </c>
      <c r="BO647" s="27" t="s">
        <v>8</v>
      </c>
      <c r="BQ647" s="27" t="s">
        <v>8</v>
      </c>
      <c r="BR647" s="27" t="s">
        <v>7</v>
      </c>
      <c r="BT647" s="27" t="s">
        <v>7</v>
      </c>
      <c r="BU647" s="27" t="s">
        <v>8</v>
      </c>
      <c r="BW647" s="27" t="s">
        <v>8</v>
      </c>
    </row>
    <row r="648" spans="1:75" x14ac:dyDescent="0.25">
      <c r="A648" s="7">
        <v>0.29880614358732388</v>
      </c>
      <c r="B648"/>
      <c r="C648"/>
      <c r="D648"/>
      <c r="E648"/>
      <c r="F648" s="27" t="s">
        <v>7</v>
      </c>
      <c r="G648" s="27" t="s">
        <v>8</v>
      </c>
      <c r="H648" s="27" t="s">
        <v>7</v>
      </c>
      <c r="I648" s="27" t="s">
        <v>8</v>
      </c>
      <c r="J648" s="27" t="s">
        <v>7</v>
      </c>
      <c r="K648" s="27" t="s">
        <v>8</v>
      </c>
      <c r="L648" s="27" t="s">
        <v>7</v>
      </c>
      <c r="AG648" s="27" t="s">
        <v>8</v>
      </c>
      <c r="AH648" s="27" t="s">
        <v>7</v>
      </c>
      <c r="AK648" s="27" t="s">
        <v>8</v>
      </c>
      <c r="AL648" s="27" t="s">
        <v>7</v>
      </c>
      <c r="AM648" s="27" t="s">
        <v>8</v>
      </c>
      <c r="AN648" s="27" t="s">
        <v>7</v>
      </c>
      <c r="AO648" s="27" t="s">
        <v>8</v>
      </c>
      <c r="AP648" s="27" t="s">
        <v>7</v>
      </c>
      <c r="AR648" s="27" t="s">
        <v>7</v>
      </c>
      <c r="AS648" s="27" t="s">
        <v>8</v>
      </c>
      <c r="AT648" s="27" t="s">
        <v>7</v>
      </c>
      <c r="AU648" s="27" t="s">
        <v>8</v>
      </c>
      <c r="AZ648" s="27" t="s">
        <v>7</v>
      </c>
      <c r="BD648" s="27" t="s">
        <v>7</v>
      </c>
      <c r="BH648" s="27" t="s">
        <v>7</v>
      </c>
      <c r="BI648" s="27" t="s">
        <v>8</v>
      </c>
      <c r="BK648" s="27" t="s">
        <v>8</v>
      </c>
      <c r="BL648" s="27" t="s">
        <v>7</v>
      </c>
      <c r="BO648" s="27" t="s">
        <v>8</v>
      </c>
      <c r="BP648" s="27" t="s">
        <v>7</v>
      </c>
      <c r="BQ648" s="27" t="s">
        <v>8</v>
      </c>
      <c r="BT648" s="27" t="s">
        <v>7</v>
      </c>
      <c r="BU648" s="27" t="s">
        <v>8</v>
      </c>
      <c r="BV648" s="27" t="s">
        <v>7</v>
      </c>
      <c r="BW648" s="27" t="s">
        <v>8</v>
      </c>
    </row>
    <row r="649" spans="1:75" x14ac:dyDescent="0.25">
      <c r="A649" s="7">
        <v>0.2929471995954156</v>
      </c>
      <c r="B649"/>
      <c r="C649"/>
      <c r="D649"/>
      <c r="E649"/>
      <c r="F649" s="27" t="s">
        <v>7</v>
      </c>
      <c r="G649" s="27" t="s">
        <v>8</v>
      </c>
      <c r="H649" s="27" t="s">
        <v>7</v>
      </c>
      <c r="I649" s="27" t="s">
        <v>8</v>
      </c>
      <c r="J649" s="27" t="s">
        <v>7</v>
      </c>
      <c r="K649" s="27" t="s">
        <v>8</v>
      </c>
      <c r="L649" s="27" t="s">
        <v>7</v>
      </c>
      <c r="AG649" s="27" t="s">
        <v>8</v>
      </c>
      <c r="AH649" s="27" t="s">
        <v>7</v>
      </c>
      <c r="AI649" s="27" t="s">
        <v>8</v>
      </c>
      <c r="AK649" s="27" t="s">
        <v>8</v>
      </c>
      <c r="AL649" s="27" t="s">
        <v>7</v>
      </c>
      <c r="AM649" s="27" t="s">
        <v>8</v>
      </c>
      <c r="AN649" s="27" t="s">
        <v>7</v>
      </c>
      <c r="AO649" s="27" t="s">
        <v>8</v>
      </c>
      <c r="AR649" s="27" t="s">
        <v>7</v>
      </c>
      <c r="AT649" s="27" t="s">
        <v>7</v>
      </c>
      <c r="AU649" s="27" t="s">
        <v>8</v>
      </c>
      <c r="BH649" s="27" t="s">
        <v>7</v>
      </c>
      <c r="BI649" s="27" t="s">
        <v>8</v>
      </c>
      <c r="BJ649" s="27" t="s">
        <v>7</v>
      </c>
      <c r="BK649" s="27" t="s">
        <v>8</v>
      </c>
      <c r="BL649" s="27" t="s">
        <v>7</v>
      </c>
      <c r="BO649" s="27" t="s">
        <v>8</v>
      </c>
      <c r="BP649" s="27" t="s">
        <v>7</v>
      </c>
      <c r="BQ649" s="27" t="s">
        <v>8</v>
      </c>
      <c r="BT649" s="27" t="s">
        <v>7</v>
      </c>
      <c r="BU649" s="27" t="s">
        <v>8</v>
      </c>
      <c r="BV649" s="27" t="s">
        <v>7</v>
      </c>
      <c r="BW649" s="27" t="s">
        <v>8</v>
      </c>
    </row>
    <row r="650" spans="1:75" x14ac:dyDescent="0.25">
      <c r="A650" s="7">
        <v>0.28720313685825055</v>
      </c>
      <c r="B650"/>
      <c r="C650"/>
      <c r="D650"/>
      <c r="E650"/>
      <c r="F650" s="27" t="s">
        <v>7</v>
      </c>
      <c r="H650" s="27" t="s">
        <v>7</v>
      </c>
      <c r="I650" s="27" t="s">
        <v>8</v>
      </c>
      <c r="J650" s="27" t="s">
        <v>7</v>
      </c>
      <c r="K650" s="27" t="s">
        <v>8</v>
      </c>
      <c r="L650" s="27" t="s">
        <v>7</v>
      </c>
      <c r="AG650" s="27" t="s">
        <v>8</v>
      </c>
      <c r="AH650" s="27" t="s">
        <v>7</v>
      </c>
      <c r="AI650" s="27" t="s">
        <v>8</v>
      </c>
      <c r="AJ650" s="27" t="s">
        <v>7</v>
      </c>
      <c r="AK650" s="27" t="s">
        <v>8</v>
      </c>
      <c r="AL650" s="27" t="s">
        <v>7</v>
      </c>
      <c r="AM650" s="27" t="s">
        <v>8</v>
      </c>
      <c r="AN650" s="27" t="s">
        <v>7</v>
      </c>
      <c r="AO650" s="27" t="s">
        <v>8</v>
      </c>
      <c r="AT650" s="27" t="s">
        <v>7</v>
      </c>
      <c r="AU650" s="27" t="s">
        <v>8</v>
      </c>
      <c r="BH650" s="27" t="s">
        <v>7</v>
      </c>
      <c r="BI650" s="27" t="s">
        <v>8</v>
      </c>
      <c r="BJ650" s="27" t="s">
        <v>7</v>
      </c>
      <c r="BK650" s="27" t="s">
        <v>8</v>
      </c>
      <c r="BL650" s="27" t="s">
        <v>7</v>
      </c>
      <c r="BM650" s="27" t="s">
        <v>8</v>
      </c>
      <c r="BO650" s="27" t="s">
        <v>8</v>
      </c>
      <c r="BP650" s="27" t="s">
        <v>7</v>
      </c>
      <c r="BT650" s="27" t="s">
        <v>7</v>
      </c>
      <c r="BU650" s="27" t="s">
        <v>8</v>
      </c>
      <c r="BV650" s="27" t="s">
        <v>7</v>
      </c>
      <c r="BW650" s="27" t="s">
        <v>8</v>
      </c>
    </row>
    <row r="651" spans="1:75" x14ac:dyDescent="0.25">
      <c r="A651" s="7">
        <v>0.28157170280220645</v>
      </c>
      <c r="B651"/>
      <c r="C651"/>
      <c r="D651"/>
      <c r="E651"/>
      <c r="H651" s="27" t="s">
        <v>7</v>
      </c>
      <c r="I651" s="27" t="s">
        <v>8</v>
      </c>
      <c r="J651" s="27" t="s">
        <v>7</v>
      </c>
      <c r="L651" s="27" t="s">
        <v>7</v>
      </c>
      <c r="AG651" s="27" t="s">
        <v>8</v>
      </c>
      <c r="AH651" s="27" t="s">
        <v>7</v>
      </c>
      <c r="AI651" s="27" t="s">
        <v>8</v>
      </c>
      <c r="AJ651" s="27" t="s">
        <v>7</v>
      </c>
      <c r="AK651" s="27" t="s">
        <v>8</v>
      </c>
      <c r="AL651" s="27" t="s">
        <v>7</v>
      </c>
      <c r="AN651" s="27" t="s">
        <v>7</v>
      </c>
      <c r="AO651" s="27" t="s">
        <v>8</v>
      </c>
      <c r="AT651" s="27" t="s">
        <v>7</v>
      </c>
      <c r="BH651" s="27" t="s">
        <v>7</v>
      </c>
      <c r="BI651" s="27" t="s">
        <v>8</v>
      </c>
      <c r="BJ651" s="27" t="s">
        <v>7</v>
      </c>
      <c r="BK651" s="27" t="s">
        <v>8</v>
      </c>
      <c r="BL651" s="27" t="s">
        <v>7</v>
      </c>
      <c r="BM651" s="27" t="s">
        <v>8</v>
      </c>
      <c r="BN651" s="27" t="s">
        <v>7</v>
      </c>
      <c r="BO651" s="27" t="s">
        <v>8</v>
      </c>
      <c r="BT651" s="27" t="s">
        <v>7</v>
      </c>
      <c r="BV651" s="27" t="s">
        <v>7</v>
      </c>
    </row>
    <row r="652" spans="1:75" x14ac:dyDescent="0.25">
      <c r="A652" s="7">
        <v>0.27605068902177105</v>
      </c>
      <c r="B652"/>
      <c r="C652"/>
      <c r="D652"/>
      <c r="E652"/>
      <c r="H652" s="27" t="s">
        <v>7</v>
      </c>
      <c r="I652" s="27" t="s">
        <v>8</v>
      </c>
      <c r="L652" s="27" t="s">
        <v>7</v>
      </c>
      <c r="W652" s="27" t="s">
        <v>8</v>
      </c>
      <c r="AG652" s="27" t="s">
        <v>8</v>
      </c>
      <c r="AH652" s="27" t="s">
        <v>7</v>
      </c>
      <c r="AI652" s="27" t="s">
        <v>8</v>
      </c>
      <c r="AJ652" s="27" t="s">
        <v>7</v>
      </c>
      <c r="AK652" s="27" t="s">
        <v>8</v>
      </c>
      <c r="AN652" s="27" t="s">
        <v>7</v>
      </c>
      <c r="AO652" s="27" t="s">
        <v>8</v>
      </c>
      <c r="BH652" s="27" t="s">
        <v>7</v>
      </c>
      <c r="BI652" s="27" t="s">
        <v>8</v>
      </c>
      <c r="BJ652" s="27" t="s">
        <v>7</v>
      </c>
      <c r="BK652" s="27" t="s">
        <v>8</v>
      </c>
      <c r="BL652" s="27" t="s">
        <v>7</v>
      </c>
      <c r="BM652" s="27" t="s">
        <v>8</v>
      </c>
      <c r="BN652" s="27" t="s">
        <v>7</v>
      </c>
      <c r="BO652" s="27" t="s">
        <v>8</v>
      </c>
    </row>
    <row r="653" spans="1:75" x14ac:dyDescent="0.25">
      <c r="A653" s="7">
        <v>0.27063793041350104</v>
      </c>
      <c r="B653"/>
      <c r="C653"/>
      <c r="D653"/>
      <c r="E653"/>
      <c r="H653" s="27" t="s">
        <v>7</v>
      </c>
      <c r="I653" s="27" t="s">
        <v>8</v>
      </c>
      <c r="L653" s="27" t="s">
        <v>7</v>
      </c>
      <c r="W653" s="27" t="s">
        <v>8</v>
      </c>
      <c r="X653" s="27" t="s">
        <v>7</v>
      </c>
      <c r="AG653" s="27" t="s">
        <v>8</v>
      </c>
      <c r="AH653" s="27" t="s">
        <v>7</v>
      </c>
      <c r="AI653" s="27" t="s">
        <v>8</v>
      </c>
      <c r="AJ653" s="27" t="s">
        <v>7</v>
      </c>
      <c r="AK653" s="27" t="s">
        <v>8</v>
      </c>
      <c r="AN653" s="27" t="s">
        <v>7</v>
      </c>
      <c r="AO653" s="27" t="s">
        <v>8</v>
      </c>
      <c r="BH653" s="27" t="s">
        <v>7</v>
      </c>
      <c r="BI653" s="27" t="s">
        <v>8</v>
      </c>
      <c r="BJ653" s="27" t="s">
        <v>7</v>
      </c>
      <c r="BK653" s="27" t="s">
        <v>8</v>
      </c>
      <c r="BL653" s="27" t="s">
        <v>7</v>
      </c>
      <c r="BM653" s="27" t="s">
        <v>8</v>
      </c>
      <c r="BN653" s="27" t="s">
        <v>7</v>
      </c>
      <c r="BO653" s="27" t="s">
        <v>8</v>
      </c>
    </row>
    <row r="654" spans="1:75" x14ac:dyDescent="0.25">
      <c r="A654" s="7">
        <v>0.26533130432696184</v>
      </c>
      <c r="B654"/>
      <c r="C654"/>
      <c r="D654"/>
      <c r="E654"/>
      <c r="H654" s="27" t="s">
        <v>7</v>
      </c>
      <c r="I654" s="27" t="s">
        <v>8</v>
      </c>
      <c r="L654" s="27" t="s">
        <v>7</v>
      </c>
      <c r="W654" s="27" t="s">
        <v>8</v>
      </c>
      <c r="X654" s="27" t="s">
        <v>7</v>
      </c>
      <c r="AG654" s="27" t="s">
        <v>8</v>
      </c>
      <c r="AH654" s="27" t="s">
        <v>7</v>
      </c>
      <c r="AJ654" s="27" t="s">
        <v>7</v>
      </c>
      <c r="AK654" s="27" t="s">
        <v>8</v>
      </c>
      <c r="AN654" s="27" t="s">
        <v>7</v>
      </c>
      <c r="BH654" s="27" t="s">
        <v>7</v>
      </c>
      <c r="BI654" s="27" t="s">
        <v>8</v>
      </c>
      <c r="BJ654" s="27" t="s">
        <v>7</v>
      </c>
      <c r="BK654" s="27" t="s">
        <v>8</v>
      </c>
      <c r="BL654" s="27" t="s">
        <v>7</v>
      </c>
      <c r="BM654" s="27" t="s">
        <v>8</v>
      </c>
      <c r="BN654" s="27" t="s">
        <v>7</v>
      </c>
      <c r="BO654" s="27" t="s">
        <v>8</v>
      </c>
    </row>
    <row r="655" spans="1:75" x14ac:dyDescent="0.25">
      <c r="A655" s="7">
        <v>0.26012872973231554</v>
      </c>
      <c r="B655"/>
      <c r="C655"/>
      <c r="D655"/>
      <c r="E655"/>
      <c r="H655" s="27" t="s">
        <v>7</v>
      </c>
      <c r="L655" s="27" t="s">
        <v>7</v>
      </c>
      <c r="W655" s="27" t="s">
        <v>8</v>
      </c>
      <c r="X655" s="27" t="s">
        <v>7</v>
      </c>
      <c r="AG655" s="27" t="s">
        <v>8</v>
      </c>
      <c r="AJ655" s="27" t="s">
        <v>7</v>
      </c>
      <c r="BH655" s="27" t="s">
        <v>7</v>
      </c>
      <c r="BI655" s="27" t="s">
        <v>8</v>
      </c>
      <c r="BJ655" s="27" t="s">
        <v>7</v>
      </c>
      <c r="BK655" s="27" t="s">
        <v>8</v>
      </c>
      <c r="BL655" s="27" t="s">
        <v>7</v>
      </c>
      <c r="BM655" s="27" t="s">
        <v>8</v>
      </c>
      <c r="BN655" s="27" t="s">
        <v>7</v>
      </c>
    </row>
    <row r="656" spans="1:75" x14ac:dyDescent="0.25">
      <c r="A656" s="7">
        <v>0.25502816640423093</v>
      </c>
      <c r="B656"/>
      <c r="C656"/>
      <c r="D656"/>
      <c r="E656"/>
      <c r="L656" s="27" t="s">
        <v>7</v>
      </c>
      <c r="O656" s="27" t="s">
        <v>8</v>
      </c>
      <c r="Q656" s="27" t="s">
        <v>8</v>
      </c>
      <c r="U656" s="27" t="s">
        <v>8</v>
      </c>
      <c r="W656" s="27" t="s">
        <v>8</v>
      </c>
      <c r="X656" s="27" t="s">
        <v>7</v>
      </c>
      <c r="AG656" s="27" t="s">
        <v>8</v>
      </c>
      <c r="BH656" s="27" t="s">
        <v>7</v>
      </c>
      <c r="BI656" s="27" t="s">
        <v>8</v>
      </c>
      <c r="BJ656" s="27" t="s">
        <v>7</v>
      </c>
      <c r="BL656" s="27" t="s">
        <v>7</v>
      </c>
    </row>
    <row r="657" spans="1:60" x14ac:dyDescent="0.25">
      <c r="A657" s="7">
        <v>0.25002761412179503</v>
      </c>
      <c r="B657"/>
      <c r="C657"/>
      <c r="D657"/>
      <c r="E657"/>
      <c r="L657" s="27" t="s">
        <v>7</v>
      </c>
      <c r="O657" s="27" t="s">
        <v>8</v>
      </c>
      <c r="P657" s="27" t="s">
        <v>7</v>
      </c>
      <c r="Q657" s="27" t="s">
        <v>8</v>
      </c>
      <c r="R657" s="27" t="s">
        <v>7</v>
      </c>
      <c r="S657" s="27" t="s">
        <v>8</v>
      </c>
      <c r="U657" s="27" t="s">
        <v>8</v>
      </c>
      <c r="V657" s="27" t="s">
        <v>7</v>
      </c>
      <c r="W657" s="27" t="s">
        <v>8</v>
      </c>
      <c r="X657" s="27" t="s">
        <v>7</v>
      </c>
      <c r="AG657" s="27" t="s">
        <v>8</v>
      </c>
      <c r="BH657" s="27" t="s">
        <v>7</v>
      </c>
    </row>
    <row r="658" spans="1:60" x14ac:dyDescent="0.25">
      <c r="A658" s="7">
        <v>0.24512511188411276</v>
      </c>
      <c r="B658"/>
      <c r="C658"/>
      <c r="D658"/>
      <c r="E658"/>
      <c r="L658" s="27" t="s">
        <v>7</v>
      </c>
      <c r="O658" s="27" t="s">
        <v>8</v>
      </c>
      <c r="P658" s="27" t="s">
        <v>7</v>
      </c>
      <c r="Q658" s="27" t="s">
        <v>8</v>
      </c>
      <c r="R658" s="27" t="s">
        <v>7</v>
      </c>
      <c r="S658" s="27" t="s">
        <v>8</v>
      </c>
      <c r="T658" s="27" t="s">
        <v>7</v>
      </c>
      <c r="U658" s="27" t="s">
        <v>8</v>
      </c>
      <c r="V658" s="27" t="s">
        <v>7</v>
      </c>
      <c r="W658" s="27" t="s">
        <v>8</v>
      </c>
      <c r="X658" s="27" t="s">
        <v>7</v>
      </c>
      <c r="AG658" s="27" t="s">
        <v>8</v>
      </c>
    </row>
    <row r="659" spans="1:60" x14ac:dyDescent="0.25">
      <c r="A659" s="7">
        <v>0.24031873714128701</v>
      </c>
      <c r="B659"/>
      <c r="C659"/>
      <c r="D659"/>
      <c r="E659"/>
      <c r="L659" s="27" t="s">
        <v>7</v>
      </c>
      <c r="M659" s="27" t="s">
        <v>8</v>
      </c>
      <c r="O659" s="27" t="s">
        <v>8</v>
      </c>
      <c r="P659" s="27" t="s">
        <v>7</v>
      </c>
      <c r="Q659" s="27" t="s">
        <v>8</v>
      </c>
      <c r="R659" s="27" t="s">
        <v>7</v>
      </c>
      <c r="S659" s="27" t="s">
        <v>8</v>
      </c>
      <c r="T659" s="27" t="s">
        <v>7</v>
      </c>
      <c r="U659" s="27" t="s">
        <v>8</v>
      </c>
      <c r="V659" s="27" t="s">
        <v>7</v>
      </c>
      <c r="W659" s="27" t="s">
        <v>8</v>
      </c>
      <c r="X659" s="27" t="s">
        <v>7</v>
      </c>
      <c r="AC659" s="27" t="s">
        <v>8</v>
      </c>
      <c r="AG659" s="27" t="s">
        <v>8</v>
      </c>
    </row>
    <row r="660" spans="1:60" x14ac:dyDescent="0.25">
      <c r="A660" s="7">
        <v>0.23560660504047748</v>
      </c>
      <c r="B660"/>
      <c r="C660"/>
      <c r="D660"/>
      <c r="E660"/>
      <c r="L660" s="27" t="s">
        <v>7</v>
      </c>
      <c r="M660" s="27" t="s">
        <v>8</v>
      </c>
      <c r="N660" s="27" t="s">
        <v>7</v>
      </c>
      <c r="O660" s="27" t="s">
        <v>8</v>
      </c>
      <c r="P660" s="27" t="s">
        <v>7</v>
      </c>
      <c r="Q660" s="27" t="s">
        <v>8</v>
      </c>
      <c r="R660" s="27" t="s">
        <v>7</v>
      </c>
      <c r="S660" s="27" t="s">
        <v>8</v>
      </c>
      <c r="T660" s="27" t="s">
        <v>7</v>
      </c>
      <c r="U660" s="27" t="s">
        <v>8</v>
      </c>
      <c r="V660" s="27" t="s">
        <v>7</v>
      </c>
      <c r="W660" s="27" t="s">
        <v>8</v>
      </c>
      <c r="X660" s="27" t="s">
        <v>7</v>
      </c>
      <c r="AC660" s="27" t="s">
        <v>8</v>
      </c>
      <c r="AD660" s="27" t="s">
        <v>7</v>
      </c>
      <c r="AG660" s="27" t="s">
        <v>8</v>
      </c>
    </row>
    <row r="661" spans="1:60" x14ac:dyDescent="0.25">
      <c r="A661" s="7">
        <v>0.23098686768674265</v>
      </c>
      <c r="B661"/>
      <c r="C661"/>
      <c r="D661"/>
      <c r="E661"/>
      <c r="L661" s="27" t="s">
        <v>7</v>
      </c>
      <c r="M661" s="27" t="s">
        <v>8</v>
      </c>
      <c r="N661" s="27" t="s">
        <v>7</v>
      </c>
      <c r="O661" s="27" t="s">
        <v>8</v>
      </c>
      <c r="P661" s="27" t="s">
        <v>7</v>
      </c>
      <c r="R661" s="27" t="s">
        <v>7</v>
      </c>
      <c r="S661" s="27" t="s">
        <v>8</v>
      </c>
      <c r="T661" s="27" t="s">
        <v>7</v>
      </c>
      <c r="U661" s="27" t="s">
        <v>8</v>
      </c>
      <c r="V661" s="27" t="s">
        <v>7</v>
      </c>
      <c r="X661" s="27" t="s">
        <v>7</v>
      </c>
      <c r="AC661" s="27" t="s">
        <v>8</v>
      </c>
      <c r="AD661" s="27" t="s">
        <v>7</v>
      </c>
      <c r="AG661" s="27" t="s">
        <v>8</v>
      </c>
    </row>
    <row r="662" spans="1:60" x14ac:dyDescent="0.25">
      <c r="A662" s="7">
        <v>0.22645771341837515</v>
      </c>
      <c r="B662"/>
      <c r="C662"/>
      <c r="D662"/>
      <c r="E662"/>
      <c r="L662" s="27" t="s">
        <v>7</v>
      </c>
      <c r="M662" s="27" t="s">
        <v>8</v>
      </c>
      <c r="N662" s="27" t="s">
        <v>7</v>
      </c>
      <c r="O662" s="27" t="s">
        <v>8</v>
      </c>
      <c r="R662" s="27" t="s">
        <v>7</v>
      </c>
      <c r="T662" s="27" t="s">
        <v>7</v>
      </c>
      <c r="X662" s="27" t="s">
        <v>7</v>
      </c>
      <c r="AC662" s="27" t="s">
        <v>8</v>
      </c>
      <c r="AD662" s="27" t="s">
        <v>7</v>
      </c>
      <c r="AE662" s="27" t="s">
        <v>8</v>
      </c>
      <c r="AG662" s="27" t="s">
        <v>8</v>
      </c>
    </row>
    <row r="663" spans="1:60" x14ac:dyDescent="0.25">
      <c r="A663" s="7">
        <v>0.22201736609644623</v>
      </c>
      <c r="B663"/>
      <c r="C663"/>
      <c r="D663"/>
      <c r="E663"/>
      <c r="L663" s="27" t="s">
        <v>7</v>
      </c>
      <c r="M663" s="27" t="s">
        <v>8</v>
      </c>
      <c r="N663" s="27" t="s">
        <v>7</v>
      </c>
      <c r="O663" s="27" t="s">
        <v>8</v>
      </c>
      <c r="X663" s="27" t="s">
        <v>7</v>
      </c>
      <c r="AC663" s="27" t="s">
        <v>8</v>
      </c>
      <c r="AD663" s="27" t="s">
        <v>7</v>
      </c>
      <c r="AE663" s="27" t="s">
        <v>8</v>
      </c>
      <c r="AF663" s="27" t="s">
        <v>7</v>
      </c>
      <c r="AG663" s="27" t="s">
        <v>8</v>
      </c>
    </row>
    <row r="664" spans="1:60" x14ac:dyDescent="0.25">
      <c r="A664" s="7">
        <v>0.21766408440828061</v>
      </c>
      <c r="B664"/>
      <c r="C664"/>
      <c r="D664"/>
      <c r="E664"/>
      <c r="L664" s="27" t="s">
        <v>7</v>
      </c>
      <c r="M664" s="27" t="s">
        <v>8</v>
      </c>
      <c r="N664" s="27" t="s">
        <v>7</v>
      </c>
      <c r="O664" s="27" t="s">
        <v>8</v>
      </c>
      <c r="X664" s="27" t="s">
        <v>7</v>
      </c>
      <c r="AA664" s="27" t="s">
        <v>8</v>
      </c>
      <c r="AC664" s="27" t="s">
        <v>8</v>
      </c>
      <c r="AD664" s="27" t="s">
        <v>7</v>
      </c>
      <c r="AE664" s="27" t="s">
        <v>8</v>
      </c>
      <c r="AF664" s="27" t="s">
        <v>7</v>
      </c>
      <c r="AG664" s="27" t="s">
        <v>8</v>
      </c>
    </row>
    <row r="665" spans="1:60" x14ac:dyDescent="0.25">
      <c r="A665" s="7">
        <v>0.21339616118458882</v>
      </c>
      <c r="B665"/>
      <c r="C665"/>
      <c r="D665"/>
      <c r="E665"/>
      <c r="L665" s="27" t="s">
        <v>7</v>
      </c>
      <c r="M665" s="27" t="s">
        <v>8</v>
      </c>
      <c r="N665" s="27" t="s">
        <v>7</v>
      </c>
      <c r="O665" s="27" t="s">
        <v>8</v>
      </c>
      <c r="X665" s="27" t="s">
        <v>7</v>
      </c>
      <c r="AA665" s="27" t="s">
        <v>8</v>
      </c>
      <c r="AB665" s="27" t="s">
        <v>7</v>
      </c>
      <c r="AC665" s="27" t="s">
        <v>8</v>
      </c>
      <c r="AD665" s="27" t="s">
        <v>7</v>
      </c>
      <c r="AF665" s="27" t="s">
        <v>7</v>
      </c>
      <c r="AG665" s="27" t="s">
        <v>8</v>
      </c>
    </row>
    <row r="666" spans="1:60" x14ac:dyDescent="0.25">
      <c r="A666" s="7">
        <v>0.20921192272998904</v>
      </c>
      <c r="B666"/>
      <c r="C666"/>
      <c r="D666"/>
      <c r="E666"/>
      <c r="L666" s="27" t="s">
        <v>7</v>
      </c>
      <c r="M666" s="27" t="s">
        <v>8</v>
      </c>
      <c r="N666" s="27" t="s">
        <v>7</v>
      </c>
      <c r="O666" s="27" t="s">
        <v>8</v>
      </c>
      <c r="X666" s="27" t="s">
        <v>7</v>
      </c>
      <c r="AA666" s="27" t="s">
        <v>8</v>
      </c>
      <c r="AB666" s="27" t="s">
        <v>7</v>
      </c>
      <c r="AC666" s="27" t="s">
        <v>8</v>
      </c>
      <c r="AF666" s="27" t="s">
        <v>7</v>
      </c>
    </row>
    <row r="667" spans="1:60" x14ac:dyDescent="0.25">
      <c r="A667" s="7">
        <v>0.20510972816665593</v>
      </c>
      <c r="B667"/>
      <c r="C667"/>
      <c r="D667"/>
      <c r="E667"/>
      <c r="L667" s="27" t="s">
        <v>7</v>
      </c>
      <c r="M667" s="27" t="s">
        <v>8</v>
      </c>
      <c r="N667" s="27" t="s">
        <v>7</v>
      </c>
      <c r="X667" s="27" t="s">
        <v>7</v>
      </c>
      <c r="AA667" s="27" t="s">
        <v>8</v>
      </c>
      <c r="AB667" s="27" t="s">
        <v>7</v>
      </c>
      <c r="AC667" s="27" t="s">
        <v>8</v>
      </c>
    </row>
    <row r="668" spans="1:60" x14ac:dyDescent="0.25">
      <c r="A668" s="7">
        <v>0.20108796879083912</v>
      </c>
      <c r="B668"/>
      <c r="C668"/>
      <c r="D668"/>
      <c r="E668"/>
      <c r="L668" s="27" t="s">
        <v>7</v>
      </c>
      <c r="X668" s="27" t="s">
        <v>7</v>
      </c>
      <c r="AA668" s="27" t="s">
        <v>8</v>
      </c>
      <c r="AB668" s="27" t="s">
        <v>7</v>
      </c>
      <c r="AC668" s="27" t="s">
        <v>8</v>
      </c>
    </row>
    <row r="669" spans="1:60" x14ac:dyDescent="0.25">
      <c r="A669" s="7">
        <v>0.19714506744199917</v>
      </c>
      <c r="B669"/>
      <c r="C669"/>
      <c r="D669"/>
      <c r="E669"/>
      <c r="X669" s="27" t="s">
        <v>7</v>
      </c>
      <c r="Y669" s="27" t="s">
        <v>8</v>
      </c>
      <c r="AA669" s="27" t="s">
        <v>8</v>
      </c>
      <c r="AB669" s="27" t="s">
        <v>7</v>
      </c>
    </row>
    <row r="670" spans="1:60" x14ac:dyDescent="0.25">
      <c r="A670" s="7">
        <v>0.19327947788431293</v>
      </c>
      <c r="B670"/>
      <c r="C670"/>
      <c r="D670"/>
      <c r="E670"/>
      <c r="X670" s="27" t="s">
        <v>7</v>
      </c>
      <c r="Y670" s="27" t="s">
        <v>8</v>
      </c>
      <c r="Z670" s="27" t="s">
        <v>7</v>
      </c>
      <c r="AA670" s="27" t="s">
        <v>8</v>
      </c>
    </row>
    <row r="671" spans="1:60" x14ac:dyDescent="0.25">
      <c r="A671" s="7">
        <v>0.18948968420030682</v>
      </c>
      <c r="B671"/>
      <c r="C671"/>
      <c r="D671"/>
      <c r="E671"/>
      <c r="X671" s="18" t="s">
        <v>7</v>
      </c>
      <c r="Y671" s="27" t="s">
        <v>8</v>
      </c>
      <c r="Z671" s="27" t="s">
        <v>7</v>
      </c>
      <c r="AA671" s="27" t="s">
        <v>8</v>
      </c>
    </row>
    <row r="672" spans="1:60" x14ac:dyDescent="0.25">
      <c r="A672" s="7">
        <v>0.18577420019637925</v>
      </c>
      <c r="B672"/>
      <c r="C672"/>
      <c r="D672"/>
      <c r="E672"/>
      <c r="X672" s="27" t="s">
        <v>7</v>
      </c>
      <c r="Y672" s="27" t="s">
        <v>8</v>
      </c>
      <c r="Z672" s="27" t="s">
        <v>7</v>
      </c>
    </row>
    <row r="673" spans="1:25" x14ac:dyDescent="0.25">
      <c r="A673" s="7">
        <v>0.18213156881997963</v>
      </c>
      <c r="B673"/>
      <c r="C673"/>
      <c r="D673"/>
      <c r="E673"/>
      <c r="X673" s="27" t="s">
        <v>7</v>
      </c>
      <c r="Y673" s="27" t="s">
        <v>8</v>
      </c>
    </row>
    <row r="674" spans="1:25" x14ac:dyDescent="0.25">
      <c r="A674" s="7">
        <v>0.17856036158821534</v>
      </c>
      <c r="B674"/>
      <c r="C674"/>
      <c r="D674"/>
      <c r="E674"/>
      <c r="X674" s="27" t="s">
        <v>7</v>
      </c>
      <c r="Y674" s="27" t="s">
        <v>8</v>
      </c>
    </row>
    <row r="675" spans="1:25" x14ac:dyDescent="0.25">
      <c r="A675" s="7">
        <v>0.17505917802766208</v>
      </c>
      <c r="B675"/>
      <c r="C675"/>
      <c r="D675"/>
      <c r="E675"/>
      <c r="X675" s="27" t="s">
        <v>7</v>
      </c>
    </row>
    <row r="676" spans="1:25" x14ac:dyDescent="0.25">
      <c r="A676" s="7">
        <v>0.17162664512515888</v>
      </c>
      <c r="B676"/>
      <c r="C676"/>
      <c r="D676"/>
      <c r="E676"/>
    </row>
    <row r="677" spans="1:25" x14ac:dyDescent="0.25">
      <c r="A677" s="7">
        <v>0.16826141678937145</v>
      </c>
      <c r="B677"/>
      <c r="C677"/>
      <c r="D677"/>
      <c r="E677"/>
    </row>
    <row r="678" spans="1:25" x14ac:dyDescent="0.25">
      <c r="A678" s="7">
        <v>0.16496217332291319</v>
      </c>
      <c r="B678"/>
      <c r="C678"/>
      <c r="D678"/>
      <c r="E678"/>
    </row>
    <row r="679" spans="1:25" x14ac:dyDescent="0.25">
      <c r="A679" s="7">
        <v>0.16172762090481685</v>
      </c>
      <c r="B679"/>
      <c r="C679"/>
      <c r="D679"/>
      <c r="E679"/>
    </row>
    <row r="680" spans="1:25" x14ac:dyDescent="0.25">
      <c r="A680" s="7">
        <v>0.15855649108315376</v>
      </c>
      <c r="B680"/>
      <c r="C680"/>
      <c r="D680"/>
      <c r="E680"/>
    </row>
    <row r="681" spans="1:25" x14ac:dyDescent="0.25">
      <c r="A681" s="7">
        <v>0.15544754027760171</v>
      </c>
      <c r="B681"/>
      <c r="C681"/>
      <c r="D681"/>
      <c r="E681"/>
    </row>
    <row r="682" spans="1:25" x14ac:dyDescent="0.25">
      <c r="A682" s="7">
        <v>0.15239954929176638</v>
      </c>
      <c r="B682"/>
      <c r="C682"/>
      <c r="D682"/>
      <c r="E682"/>
    </row>
    <row r="683" spans="1:25" x14ac:dyDescent="0.25">
      <c r="A683" s="7">
        <v>0.14941132283506509</v>
      </c>
      <c r="B683"/>
      <c r="C683"/>
      <c r="D683"/>
      <c r="E683"/>
    </row>
    <row r="684" spans="1:25" x14ac:dyDescent="0.25">
      <c r="A684" s="7">
        <v>0.14648168905398537</v>
      </c>
      <c r="B684"/>
      <c r="C684"/>
      <c r="D684"/>
      <c r="E684"/>
    </row>
    <row r="685" spans="1:25" x14ac:dyDescent="0.25">
      <c r="A685" s="7">
        <v>0.14360949907253467</v>
      </c>
      <c r="B685"/>
      <c r="C685"/>
      <c r="D685"/>
      <c r="E685"/>
    </row>
    <row r="686" spans="1:25" x14ac:dyDescent="0.25">
      <c r="A686" s="7">
        <v>0.14079362654170066</v>
      </c>
      <c r="B686"/>
      <c r="C686"/>
      <c r="D686"/>
      <c r="E686"/>
    </row>
    <row r="687" spans="1:25" x14ac:dyDescent="0.25">
      <c r="A687" s="7">
        <v>0.13803296719774574</v>
      </c>
      <c r="B687"/>
      <c r="C687"/>
      <c r="D687"/>
      <c r="E687"/>
    </row>
    <row r="688" spans="1:2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43" operator="equal">
      <formula>$U$1</formula>
    </cfRule>
    <cfRule type="cellIs" dxfId="89" priority="644" operator="equal">
      <formula>$S$1</formula>
    </cfRule>
  </conditionalFormatting>
  <conditionalFormatting sqref="D27">
    <cfRule type="cellIs" dxfId="88" priority="641" operator="equal">
      <formula>$S$1</formula>
    </cfRule>
    <cfRule type="cellIs" dxfId="87" priority="642" operator="equal">
      <formula>$U$1</formula>
    </cfRule>
  </conditionalFormatting>
  <conditionalFormatting sqref="C164">
    <cfRule type="cellIs" dxfId="86" priority="639" operator="equal">
      <formula>$U$1</formula>
    </cfRule>
    <cfRule type="cellIs" dxfId="85" priority="640" operator="equal">
      <formula>$S$1</formula>
    </cfRule>
  </conditionalFormatting>
  <conditionalFormatting sqref="D164">
    <cfRule type="cellIs" dxfId="84" priority="637" operator="equal">
      <formula>$S$1</formula>
    </cfRule>
    <cfRule type="cellIs" dxfId="83" priority="638" operator="equal">
      <formula>$U$1</formula>
    </cfRule>
  </conditionalFormatting>
  <conditionalFormatting sqref="C55">
    <cfRule type="cellIs" dxfId="82" priority="635" operator="equal">
      <formula>$U$1</formula>
    </cfRule>
    <cfRule type="cellIs" dxfId="81" priority="636" operator="equal">
      <formula>$S$1</formula>
    </cfRule>
  </conditionalFormatting>
  <conditionalFormatting sqref="D55">
    <cfRule type="cellIs" dxfId="80" priority="633" operator="equal">
      <formula>$S$1</formula>
    </cfRule>
    <cfRule type="cellIs" dxfId="79" priority="634" operator="equal">
      <formula>$U$1</formula>
    </cfRule>
  </conditionalFormatting>
  <conditionalFormatting sqref="C89">
    <cfRule type="cellIs" dxfId="78" priority="631" operator="equal">
      <formula>$U$1</formula>
    </cfRule>
    <cfRule type="cellIs" dxfId="77" priority="632" operator="equal">
      <formula>$S$1</formula>
    </cfRule>
  </conditionalFormatting>
  <conditionalFormatting sqref="D89">
    <cfRule type="cellIs" dxfId="76" priority="629" operator="equal">
      <formula>$S$1</formula>
    </cfRule>
    <cfRule type="cellIs" dxfId="75" priority="630" operator="equal">
      <formula>$U$1</formula>
    </cfRule>
  </conditionalFormatting>
  <conditionalFormatting sqref="C136">
    <cfRule type="cellIs" dxfId="74" priority="627" operator="equal">
      <formula>$U$1</formula>
    </cfRule>
    <cfRule type="cellIs" dxfId="73" priority="628" operator="equal">
      <formula>$S$1</formula>
    </cfRule>
  </conditionalFormatting>
  <conditionalFormatting sqref="D136">
    <cfRule type="cellIs" dxfId="72" priority="625" operator="equal">
      <formula>$S$1</formula>
    </cfRule>
    <cfRule type="cellIs" dxfId="71" priority="626" operator="equal">
      <formula>$U$1</formula>
    </cfRule>
  </conditionalFormatting>
  <conditionalFormatting sqref="C1">
    <cfRule type="cellIs" dxfId="70" priority="62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BB258" sqref="BB25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$A$257</v>
      </c>
      <c r="D111" s="1" t="str">
        <f>ADDRESS(C121-1,D121,1,1)</f>
        <v>$BB$257</v>
      </c>
      <c r="E111"/>
    </row>
    <row r="112" spans="1:5" x14ac:dyDescent="0.25">
      <c r="A112" s="30">
        <v>515.50191262726139</v>
      </c>
      <c r="C112" s="1" t="str">
        <f>ADDRESS(C121,1,1,1)</f>
        <v>$A$258</v>
      </c>
      <c r="D112" s="1" t="str">
        <f>ADDRESS(C121,D121-1,1,1)</f>
        <v>$BA$258</v>
      </c>
      <c r="E112"/>
    </row>
    <row r="113" spans="1:5" x14ac:dyDescent="0.25">
      <c r="A113" s="30">
        <v>490.95420250215363</v>
      </c>
      <c r="C113" s="1" t="str">
        <f>ADDRESS(C121+1,1,1,1)</f>
        <v>$A$259</v>
      </c>
      <c r="D113" s="1" t="str">
        <f>ADDRESS(C121-1,D121+1,1,1)</f>
        <v>$BC$257</v>
      </c>
    </row>
    <row r="114" spans="1:5" x14ac:dyDescent="0.25">
      <c r="A114" s="30">
        <v>467.57543095443202</v>
      </c>
      <c r="C114" s="1" t="str">
        <f>ADDRESS(C121,D121,1,1)</f>
        <v>$BB$258</v>
      </c>
      <c r="D114" s="1" t="str">
        <f>ADDRESS(C121+1,D121+1,1,1)</f>
        <v>$BC$259</v>
      </c>
    </row>
    <row r="115" spans="1:5" x14ac:dyDescent="0.25">
      <c r="A115" s="30">
        <v>445.30993424231622</v>
      </c>
      <c r="C115" s="1" t="str">
        <f>ADDRESS(C121+1,D121,1,1)</f>
        <v>$BB$259</v>
      </c>
    </row>
    <row r="116" spans="1:5" x14ac:dyDescent="0.25">
      <c r="A116" s="30">
        <v>424.10469927839637</v>
      </c>
      <c r="C116" s="1">
        <f>C117-1</f>
        <v>257</v>
      </c>
    </row>
    <row r="117" spans="1:5" x14ac:dyDescent="0.25">
      <c r="A117" s="30">
        <v>403.9092374079965</v>
      </c>
      <c r="C117" s="1">
        <f>C121</f>
        <v>258</v>
      </c>
      <c r="D117" s="1">
        <f>D121</f>
        <v>54</v>
      </c>
    </row>
    <row r="118" spans="1:5" x14ac:dyDescent="0.25">
      <c r="A118" s="30">
        <v>384.6754641980919</v>
      </c>
      <c r="C118" s="1">
        <f>C117+1</f>
        <v>259</v>
      </c>
      <c r="D118" s="1">
        <f>D117+1</f>
        <v>55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258</v>
      </c>
      <c r="D121" s="19">
        <v>54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R258</v>
      </c>
      <c r="D123" s="1" t="str">
        <f>"C"&amp;D121</f>
        <v>C54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0.41552065486748019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36" x14ac:dyDescent="0.25">
      <c r="A209" s="30">
        <v>4.5380394939082018</v>
      </c>
      <c r="E209"/>
    </row>
    <row r="210" spans="1:36" x14ac:dyDescent="0.25">
      <c r="A210" s="30">
        <v>4.3219423751506678</v>
      </c>
      <c r="C210"/>
      <c r="E210"/>
    </row>
    <row r="211" spans="1:36" x14ac:dyDescent="0.25">
      <c r="A211" s="30">
        <v>4.1161355953815884</v>
      </c>
      <c r="E211"/>
    </row>
    <row r="212" spans="1:36" x14ac:dyDescent="0.25">
      <c r="A212" s="30">
        <v>3.9201291384586554</v>
      </c>
      <c r="E212"/>
    </row>
    <row r="213" spans="1:36" x14ac:dyDescent="0.25">
      <c r="A213" s="30">
        <v>3.7334563223415764</v>
      </c>
      <c r="E213"/>
    </row>
    <row r="214" spans="1:36" x14ac:dyDescent="0.25">
      <c r="A214" s="30">
        <v>3.5556726879443583</v>
      </c>
      <c r="E214"/>
    </row>
    <row r="215" spans="1:36" x14ac:dyDescent="0.25">
      <c r="A215" s="30">
        <v>3.3863549408993889</v>
      </c>
      <c r="E215"/>
    </row>
    <row r="216" spans="1:36" x14ac:dyDescent="0.25">
      <c r="A216" s="30">
        <v>3.2250999437137038</v>
      </c>
      <c r="E216"/>
    </row>
    <row r="217" spans="1:36" x14ac:dyDescent="0.25">
      <c r="A217" s="30">
        <v>3.0715237559178128</v>
      </c>
      <c r="E217"/>
    </row>
    <row r="218" spans="1:36" x14ac:dyDescent="0.25">
      <c r="A218" s="30">
        <v>2.9252607199217264</v>
      </c>
      <c r="E218"/>
    </row>
    <row r="219" spans="1:36" x14ac:dyDescent="0.25">
      <c r="A219" s="30">
        <v>2.7859625904016441</v>
      </c>
      <c r="E219"/>
    </row>
    <row r="220" spans="1:36" x14ac:dyDescent="0.25">
      <c r="A220" s="30">
        <v>2.6532977051444226</v>
      </c>
      <c r="E220"/>
      <c r="AI220" s="27" t="s">
        <v>8</v>
      </c>
    </row>
    <row r="221" spans="1:36" x14ac:dyDescent="0.25">
      <c r="A221" s="30">
        <v>2.5269501953756404</v>
      </c>
      <c r="E221"/>
      <c r="AI221" s="27" t="s">
        <v>8</v>
      </c>
      <c r="AJ221" s="27" t="s">
        <v>7</v>
      </c>
    </row>
    <row r="222" spans="1:36" x14ac:dyDescent="0.25">
      <c r="A222" s="30">
        <v>2.4066192336910861</v>
      </c>
      <c r="E222"/>
      <c r="AI222" s="27" t="s">
        <v>8</v>
      </c>
      <c r="AJ222" s="27" t="s">
        <v>7</v>
      </c>
    </row>
    <row r="223" spans="1:36" x14ac:dyDescent="0.25">
      <c r="A223" s="30">
        <v>2.2920183178010345</v>
      </c>
      <c r="E223"/>
      <c r="AI223" s="27" t="s">
        <v>8</v>
      </c>
      <c r="AJ223" s="27" t="s">
        <v>7</v>
      </c>
    </row>
    <row r="224" spans="1:36" x14ac:dyDescent="0.25">
      <c r="A224" s="30">
        <v>2.1828745883819374</v>
      </c>
      <c r="E224"/>
      <c r="AI224" s="27" t="s">
        <v>8</v>
      </c>
      <c r="AJ224" s="27" t="s">
        <v>7</v>
      </c>
    </row>
    <row r="225" spans="1:46" x14ac:dyDescent="0.25">
      <c r="A225" s="30">
        <v>2.0789281794113688</v>
      </c>
      <c r="E225"/>
      <c r="AI225" s="27" t="s">
        <v>8</v>
      </c>
      <c r="AJ225" s="27" t="s">
        <v>7</v>
      </c>
    </row>
    <row r="226" spans="1:46" x14ac:dyDescent="0.25">
      <c r="A226" s="30">
        <v>1.9799315994393987</v>
      </c>
      <c r="E226"/>
      <c r="AI226" s="27" t="s">
        <v>8</v>
      </c>
      <c r="AJ226" s="27" t="s">
        <v>7</v>
      </c>
    </row>
    <row r="227" spans="1:46" x14ac:dyDescent="0.25">
      <c r="A227" s="30">
        <v>1.8856491423232367</v>
      </c>
      <c r="E227"/>
      <c r="AI227" s="27" t="s">
        <v>8</v>
      </c>
      <c r="AJ227" s="27" t="s">
        <v>7</v>
      </c>
    </row>
    <row r="228" spans="1:46" x14ac:dyDescent="0.25">
      <c r="A228" s="30">
        <v>1.7958563260221301</v>
      </c>
      <c r="C228" s="7"/>
      <c r="D228"/>
      <c r="E228"/>
      <c r="AI228" s="27" t="s">
        <v>8</v>
      </c>
      <c r="AJ228" s="27" t="s">
        <v>7</v>
      </c>
      <c r="AK228" s="27" t="s">
        <v>8</v>
      </c>
    </row>
    <row r="229" spans="1:46" x14ac:dyDescent="0.25">
      <c r="A229" s="30">
        <v>1.7103393581163142</v>
      </c>
      <c r="E229"/>
      <c r="AI229" s="27" t="s">
        <v>8</v>
      </c>
      <c r="AJ229" s="27" t="s">
        <v>7</v>
      </c>
      <c r="AK229" s="27" t="s">
        <v>8</v>
      </c>
      <c r="AL229" s="27" t="s">
        <v>7</v>
      </c>
    </row>
    <row r="230" spans="1:46" x14ac:dyDescent="0.25">
      <c r="A230" s="30">
        <v>1.628894626777442</v>
      </c>
      <c r="E230"/>
      <c r="AI230" s="27" t="s">
        <v>8</v>
      </c>
      <c r="AJ230" s="27" t="s">
        <v>7</v>
      </c>
      <c r="AK230" s="27" t="s">
        <v>8</v>
      </c>
      <c r="AL230" s="27" t="s">
        <v>7</v>
      </c>
    </row>
    <row r="231" spans="1:46" x14ac:dyDescent="0.25">
      <c r="A231" s="30">
        <v>1.5513282159785162</v>
      </c>
      <c r="C231"/>
      <c r="D231"/>
      <c r="E231"/>
      <c r="AI231" s="27" t="s">
        <v>8</v>
      </c>
      <c r="AJ231" s="27" t="s">
        <v>7</v>
      </c>
      <c r="AK231" s="27" t="s">
        <v>8</v>
      </c>
      <c r="AL231" s="27" t="s">
        <v>7</v>
      </c>
    </row>
    <row r="232" spans="1:46" x14ac:dyDescent="0.25">
      <c r="A232" s="30">
        <v>1.477455443789063</v>
      </c>
      <c r="E232"/>
      <c r="AI232" s="27" t="s">
        <v>8</v>
      </c>
      <c r="AJ232" s="27" t="s">
        <v>7</v>
      </c>
      <c r="AK232" s="27" t="s">
        <v>8</v>
      </c>
      <c r="AL232" s="27" t="s">
        <v>7</v>
      </c>
    </row>
    <row r="233" spans="1:46" x14ac:dyDescent="0.25">
      <c r="A233" s="30">
        <v>1.4071004226562505</v>
      </c>
      <c r="E233"/>
      <c r="AI233" s="27" t="s">
        <v>8</v>
      </c>
      <c r="AJ233" s="27" t="s">
        <v>7</v>
      </c>
      <c r="AK233" s="27" t="s">
        <v>8</v>
      </c>
      <c r="AL233" s="27" t="s">
        <v>7</v>
      </c>
    </row>
    <row r="234" spans="1:46" x14ac:dyDescent="0.25">
      <c r="A234" s="30">
        <v>1.3400956406250004</v>
      </c>
      <c r="E234"/>
      <c r="AI234" s="27" t="s">
        <v>8</v>
      </c>
      <c r="AJ234" s="27" t="s">
        <v>7</v>
      </c>
      <c r="AK234" s="27" t="s">
        <v>8</v>
      </c>
      <c r="AL234" s="27" t="s">
        <v>7</v>
      </c>
      <c r="AO234" s="27" t="s">
        <v>8</v>
      </c>
    </row>
    <row r="235" spans="1:46" x14ac:dyDescent="0.25">
      <c r="A235" s="30">
        <v>1.2762815625000004</v>
      </c>
      <c r="C235"/>
      <c r="E235"/>
      <c r="AI235" s="27" t="s">
        <v>8</v>
      </c>
      <c r="AJ235" s="27" t="s">
        <v>7</v>
      </c>
      <c r="AL235" s="27" t="s">
        <v>7</v>
      </c>
      <c r="AO235" s="27" t="s">
        <v>8</v>
      </c>
      <c r="AP235" s="27" t="s">
        <v>7</v>
      </c>
      <c r="AS235" s="27" t="s">
        <v>8</v>
      </c>
    </row>
    <row r="236" spans="1:46" x14ac:dyDescent="0.25">
      <c r="A236" s="30">
        <v>1.2155062500000002</v>
      </c>
      <c r="E236"/>
      <c r="AI236" s="27" t="s">
        <v>8</v>
      </c>
      <c r="AL236" s="27" t="s">
        <v>7</v>
      </c>
      <c r="AO236" s="27" t="s">
        <v>8</v>
      </c>
      <c r="AP236" s="27" t="s">
        <v>7</v>
      </c>
      <c r="AS236" s="27" t="s">
        <v>8</v>
      </c>
      <c r="AT236" s="27" t="s">
        <v>7</v>
      </c>
    </row>
    <row r="237" spans="1:46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I237" s="27" t="s">
        <v>8</v>
      </c>
      <c r="AL237" s="27" t="s">
        <v>7</v>
      </c>
      <c r="AO237" s="27" t="s">
        <v>8</v>
      </c>
      <c r="AP237" s="27" t="s">
        <v>7</v>
      </c>
      <c r="AS237" s="27" t="s">
        <v>8</v>
      </c>
      <c r="AT237" s="27" t="s">
        <v>7</v>
      </c>
    </row>
    <row r="238" spans="1:46" x14ac:dyDescent="0.25">
      <c r="A238" s="30">
        <v>1.1025</v>
      </c>
      <c r="E238"/>
      <c r="AI238" s="27" t="s">
        <v>8</v>
      </c>
      <c r="AL238" s="27" t="s">
        <v>7</v>
      </c>
      <c r="AM238" s="27" t="s">
        <v>8</v>
      </c>
      <c r="AO238" s="27" t="s">
        <v>8</v>
      </c>
      <c r="AP238" s="27" t="s">
        <v>7</v>
      </c>
      <c r="AS238" s="27" t="s">
        <v>8</v>
      </c>
      <c r="AT238" s="27" t="s">
        <v>7</v>
      </c>
    </row>
    <row r="239" spans="1:46" x14ac:dyDescent="0.25">
      <c r="A239" s="30">
        <v>1.05</v>
      </c>
      <c r="E239"/>
      <c r="AI239" s="27" t="s">
        <v>8</v>
      </c>
      <c r="AL239" s="27" t="s">
        <v>7</v>
      </c>
      <c r="AM239" s="27" t="s">
        <v>8</v>
      </c>
      <c r="AN239" s="27" t="s">
        <v>7</v>
      </c>
      <c r="AO239" s="27" t="s">
        <v>8</v>
      </c>
      <c r="AP239" s="27" t="s">
        <v>7</v>
      </c>
      <c r="AS239" s="27" t="s">
        <v>8</v>
      </c>
      <c r="AT239" s="27" t="s">
        <v>7</v>
      </c>
    </row>
    <row r="240" spans="1:46" x14ac:dyDescent="0.25">
      <c r="A240" s="30">
        <v>1</v>
      </c>
      <c r="E240" s="29" t="s">
        <v>8</v>
      </c>
      <c r="AI240" s="27" t="s">
        <v>8</v>
      </c>
      <c r="AL240" s="27" t="s">
        <v>7</v>
      </c>
      <c r="AM240" s="27" t="s">
        <v>8</v>
      </c>
      <c r="AN240" s="27" t="s">
        <v>7</v>
      </c>
      <c r="AO240" s="27" t="s">
        <v>8</v>
      </c>
      <c r="AP240" s="27" t="s">
        <v>7</v>
      </c>
      <c r="AS240" s="27" t="s">
        <v>8</v>
      </c>
      <c r="AT240" s="27" t="s">
        <v>7</v>
      </c>
    </row>
    <row r="241" spans="1:54" x14ac:dyDescent="0.25">
      <c r="A241" s="30">
        <v>0.952380952380952</v>
      </c>
      <c r="B241"/>
      <c r="C241"/>
      <c r="D241"/>
      <c r="E241"/>
      <c r="F241" s="27" t="s">
        <v>7</v>
      </c>
      <c r="AI241" s="27" t="s">
        <v>8</v>
      </c>
      <c r="AL241" s="27" t="s">
        <v>7</v>
      </c>
      <c r="AM241" s="27" t="s">
        <v>8</v>
      </c>
      <c r="AN241" s="27" t="s">
        <v>7</v>
      </c>
      <c r="AO241" s="27" t="s">
        <v>8</v>
      </c>
      <c r="AP241" s="27" t="s">
        <v>7</v>
      </c>
      <c r="AQ241" s="27" t="s">
        <v>8</v>
      </c>
      <c r="AS241" s="27" t="s">
        <v>8</v>
      </c>
      <c r="AT241" s="27" t="s">
        <v>7</v>
      </c>
    </row>
    <row r="242" spans="1:54" x14ac:dyDescent="0.25">
      <c r="A242" s="30">
        <v>0.90702947845804915</v>
      </c>
      <c r="B242"/>
      <c r="C242"/>
      <c r="D242"/>
      <c r="E242"/>
      <c r="F242" s="27" t="s">
        <v>7</v>
      </c>
      <c r="AI242" s="27" t="s">
        <v>8</v>
      </c>
      <c r="AL242" s="27" t="s">
        <v>7</v>
      </c>
      <c r="AN242" s="27" t="s">
        <v>7</v>
      </c>
      <c r="AO242" s="27" t="s">
        <v>8</v>
      </c>
      <c r="AP242" s="27" t="s">
        <v>7</v>
      </c>
      <c r="AQ242" s="27" t="s">
        <v>8</v>
      </c>
      <c r="AR242" s="27" t="s">
        <v>7</v>
      </c>
      <c r="AS242" s="27" t="s">
        <v>8</v>
      </c>
      <c r="AT242" s="27" t="s">
        <v>7</v>
      </c>
    </row>
    <row r="243" spans="1:54" x14ac:dyDescent="0.25">
      <c r="A243" s="30">
        <v>0.86383759853147501</v>
      </c>
      <c r="B243"/>
      <c r="C243"/>
      <c r="D243"/>
      <c r="E243"/>
      <c r="F243" s="27" t="s">
        <v>7</v>
      </c>
      <c r="AI243" s="27" t="s">
        <v>8</v>
      </c>
      <c r="AN243" s="27" t="s">
        <v>7</v>
      </c>
      <c r="AO243" s="27" t="s">
        <v>8</v>
      </c>
      <c r="AP243" s="27" t="s">
        <v>7</v>
      </c>
      <c r="AQ243" s="27" t="s">
        <v>8</v>
      </c>
      <c r="AR243" s="27" t="s">
        <v>7</v>
      </c>
      <c r="AS243" s="27" t="s">
        <v>8</v>
      </c>
      <c r="AT243" s="27" t="s">
        <v>7</v>
      </c>
    </row>
    <row r="244" spans="1:54" x14ac:dyDescent="0.25">
      <c r="A244" s="30">
        <v>0.82270247479188063</v>
      </c>
      <c r="B244"/>
      <c r="C244"/>
      <c r="D244"/>
      <c r="E244"/>
      <c r="F244" s="27" t="s">
        <v>7</v>
      </c>
      <c r="AI244" s="27" t="s">
        <v>8</v>
      </c>
      <c r="AN244" s="27" t="s">
        <v>7</v>
      </c>
      <c r="AP244" s="27" t="s">
        <v>7</v>
      </c>
      <c r="AR244" s="27" t="s">
        <v>7</v>
      </c>
      <c r="AS244" s="27" t="s">
        <v>8</v>
      </c>
      <c r="AT244" s="27" t="s">
        <v>7</v>
      </c>
      <c r="AU244" s="27" t="s">
        <v>8</v>
      </c>
      <c r="AW244" s="27" t="s">
        <v>8</v>
      </c>
    </row>
    <row r="245" spans="1:54" x14ac:dyDescent="0.25">
      <c r="A245" s="30">
        <v>0.78352616646845741</v>
      </c>
      <c r="B245"/>
      <c r="C245"/>
      <c r="D245"/>
      <c r="E245"/>
      <c r="F245" s="27" t="s">
        <v>7</v>
      </c>
      <c r="AI245" s="27" t="s">
        <v>8</v>
      </c>
      <c r="AR245" s="27" t="s">
        <v>7</v>
      </c>
      <c r="AT245" s="27" t="s">
        <v>7</v>
      </c>
      <c r="AU245" s="27" t="s">
        <v>8</v>
      </c>
      <c r="AV245" s="27" t="s">
        <v>7</v>
      </c>
      <c r="AW245" s="27" t="s">
        <v>8</v>
      </c>
      <c r="AX245" s="27" t="s">
        <v>7</v>
      </c>
    </row>
    <row r="246" spans="1:54" x14ac:dyDescent="0.25">
      <c r="A246" s="30">
        <v>0.74621539663662584</v>
      </c>
      <c r="B246"/>
      <c r="C246"/>
      <c r="D246"/>
      <c r="E246"/>
      <c r="F246" s="27" t="s">
        <v>7</v>
      </c>
      <c r="AI246" s="27" t="s">
        <v>8</v>
      </c>
      <c r="AT246" s="27" t="s">
        <v>7</v>
      </c>
      <c r="AU246" s="27" t="s">
        <v>8</v>
      </c>
      <c r="AV246" s="27" t="s">
        <v>7</v>
      </c>
      <c r="AW246" s="27" t="s">
        <v>8</v>
      </c>
      <c r="AX246" s="27" t="s">
        <v>7</v>
      </c>
    </row>
    <row r="247" spans="1:54" x14ac:dyDescent="0.25">
      <c r="A247" s="30">
        <v>0.71068133013011958</v>
      </c>
      <c r="B247"/>
      <c r="C247"/>
      <c r="D247"/>
      <c r="E247"/>
      <c r="F247" s="27" t="s">
        <v>7</v>
      </c>
      <c r="AI247" s="27" t="s">
        <v>8</v>
      </c>
      <c r="AT247" s="27" t="s">
        <v>7</v>
      </c>
      <c r="AU247" s="27" t="s">
        <v>8</v>
      </c>
      <c r="AV247" s="27" t="s">
        <v>7</v>
      </c>
      <c r="AX247" s="27" t="s">
        <v>7</v>
      </c>
    </row>
    <row r="248" spans="1:54" x14ac:dyDescent="0.25">
      <c r="A248" s="30">
        <v>0.676839362028685</v>
      </c>
      <c r="B248"/>
      <c r="C248"/>
      <c r="D248"/>
      <c r="E248"/>
      <c r="F248" s="27" t="s">
        <v>7</v>
      </c>
      <c r="AI248" s="27" t="s">
        <v>8</v>
      </c>
      <c r="AT248" s="27" t="s">
        <v>7</v>
      </c>
      <c r="AX248" s="27" t="s">
        <v>7</v>
      </c>
      <c r="AY248" s="27" t="s">
        <v>8</v>
      </c>
    </row>
    <row r="249" spans="1:54" x14ac:dyDescent="0.25">
      <c r="A249" s="30">
        <v>0.64460891621779492</v>
      </c>
      <c r="B249"/>
      <c r="C249"/>
      <c r="D249"/>
      <c r="E249"/>
      <c r="F249" s="27" t="s">
        <v>7</v>
      </c>
      <c r="AI249" s="27" t="s">
        <v>8</v>
      </c>
      <c r="AX249" s="27" t="s">
        <v>7</v>
      </c>
      <c r="AY249" s="27" t="s">
        <v>8</v>
      </c>
      <c r="AZ249" s="27" t="s">
        <v>7</v>
      </c>
    </row>
    <row r="250" spans="1:54" x14ac:dyDescent="0.25">
      <c r="A250" s="30">
        <v>0.61391325354075688</v>
      </c>
      <c r="B250"/>
      <c r="C250"/>
      <c r="D250"/>
      <c r="E250"/>
      <c r="F250" s="27" t="s">
        <v>7</v>
      </c>
      <c r="AI250" s="27" t="s">
        <v>8</v>
      </c>
      <c r="AX250" s="27" t="s">
        <v>7</v>
      </c>
      <c r="AY250" s="27" t="s">
        <v>8</v>
      </c>
      <c r="AZ250" s="27" t="s">
        <v>7</v>
      </c>
    </row>
    <row r="251" spans="1:54" x14ac:dyDescent="0.25">
      <c r="A251" s="30">
        <v>0.58467928908643485</v>
      </c>
      <c r="B251"/>
      <c r="C251"/>
      <c r="D251"/>
      <c r="E251"/>
      <c r="F251" s="27" t="s">
        <v>7</v>
      </c>
      <c r="AI251" s="27" t="s">
        <v>8</v>
      </c>
      <c r="AX251" s="27" t="s">
        <v>7</v>
      </c>
      <c r="AZ251" s="27" t="s">
        <v>7</v>
      </c>
    </row>
    <row r="252" spans="1:54" x14ac:dyDescent="0.25">
      <c r="A252" s="30">
        <v>0.55683741817755672</v>
      </c>
      <c r="B252"/>
      <c r="C252"/>
      <c r="D252"/>
      <c r="E252"/>
      <c r="F252" s="27" t="s">
        <v>7</v>
      </c>
      <c r="AI252" s="27" t="s">
        <v>8</v>
      </c>
      <c r="AZ252" s="27" t="s">
        <v>7</v>
      </c>
    </row>
    <row r="253" spans="1:54" x14ac:dyDescent="0.25">
      <c r="A253" s="30">
        <v>0.53032135064529184</v>
      </c>
      <c r="B253"/>
      <c r="C253"/>
      <c r="D253"/>
      <c r="E253"/>
      <c r="F253" s="27" t="s">
        <v>7</v>
      </c>
      <c r="AI253" s="27" t="s">
        <v>8</v>
      </c>
      <c r="AZ253" s="27" t="s">
        <v>7</v>
      </c>
    </row>
    <row r="254" spans="1:54" x14ac:dyDescent="0.25">
      <c r="A254" s="30">
        <v>0.50506795299551588</v>
      </c>
      <c r="B254"/>
      <c r="C254"/>
      <c r="D254"/>
      <c r="E254"/>
      <c r="F254" s="27" t="s">
        <v>7</v>
      </c>
      <c r="W254" s="27" t="s">
        <v>8</v>
      </c>
      <c r="AI254" s="27" t="s">
        <v>8</v>
      </c>
      <c r="AZ254" s="27" t="s">
        <v>7</v>
      </c>
    </row>
    <row r="255" spans="1:54" x14ac:dyDescent="0.25">
      <c r="A255" s="30">
        <v>0.48101709809096732</v>
      </c>
      <c r="E255"/>
      <c r="F255" s="27" t="s">
        <v>7</v>
      </c>
      <c r="W255" s="27" t="s">
        <v>8</v>
      </c>
      <c r="X255" s="27" t="s">
        <v>7</v>
      </c>
      <c r="AI255" s="27" t="s">
        <v>8</v>
      </c>
      <c r="AZ255" s="27" t="s">
        <v>7</v>
      </c>
      <c r="BA255" s="27" t="s">
        <v>8</v>
      </c>
    </row>
    <row r="256" spans="1:54" x14ac:dyDescent="0.25">
      <c r="A256" s="30">
        <v>0.45811152199139726</v>
      </c>
      <c r="E256"/>
      <c r="F256" s="27" t="s">
        <v>7</v>
      </c>
      <c r="W256" s="27" t="s">
        <v>8</v>
      </c>
      <c r="X256" s="27" t="s">
        <v>7</v>
      </c>
      <c r="AI256" s="27" t="s">
        <v>8</v>
      </c>
      <c r="AZ256" s="27" t="s">
        <v>7</v>
      </c>
      <c r="BA256" s="27" t="s">
        <v>8</v>
      </c>
      <c r="BB256" s="27" t="s">
        <v>7</v>
      </c>
    </row>
    <row r="257" spans="1:54" x14ac:dyDescent="0.25">
      <c r="A257" s="30">
        <v>0.43629668761085438</v>
      </c>
      <c r="B257"/>
      <c r="C257"/>
      <c r="D257"/>
      <c r="E257"/>
      <c r="F257" s="27" t="s">
        <v>7</v>
      </c>
      <c r="W257" s="27" t="s">
        <v>8</v>
      </c>
      <c r="X257" s="27" t="s">
        <v>7</v>
      </c>
      <c r="AI257" s="27" t="s">
        <v>8</v>
      </c>
      <c r="AZ257" s="27" t="s">
        <v>7</v>
      </c>
      <c r="BA257" s="27" t="s">
        <v>8</v>
      </c>
      <c r="BB257" s="27" t="s">
        <v>7</v>
      </c>
    </row>
    <row r="258" spans="1:54" x14ac:dyDescent="0.25">
      <c r="A258" s="30">
        <v>0.41552065486748019</v>
      </c>
      <c r="B258"/>
      <c r="C258"/>
      <c r="D258"/>
      <c r="E258"/>
      <c r="F258" s="27" t="s">
        <v>7</v>
      </c>
      <c r="W258" s="27" t="s">
        <v>8</v>
      </c>
      <c r="X258" s="27" t="s">
        <v>7</v>
      </c>
      <c r="AI258" s="27" t="s">
        <v>8</v>
      </c>
      <c r="AZ258" s="27" t="s">
        <v>7</v>
      </c>
      <c r="BB258" s="27" t="s">
        <v>7</v>
      </c>
    </row>
    <row r="259" spans="1:54" x14ac:dyDescent="0.25">
      <c r="A259" s="30">
        <v>0.39573395701664765</v>
      </c>
      <c r="B259"/>
      <c r="C259"/>
      <c r="D259"/>
      <c r="E259"/>
      <c r="F259" s="27" t="s">
        <v>7</v>
      </c>
      <c r="K259" s="27" t="s">
        <v>8</v>
      </c>
      <c r="W259" s="27" t="s">
        <v>8</v>
      </c>
      <c r="X259" s="27" t="s">
        <v>7</v>
      </c>
      <c r="AA259" s="27" t="s">
        <v>8</v>
      </c>
      <c r="AI259" s="27" t="s">
        <v>8</v>
      </c>
    </row>
    <row r="260" spans="1:54" x14ac:dyDescent="0.25">
      <c r="A260" s="30">
        <v>0.37688948287299762</v>
      </c>
      <c r="B260"/>
      <c r="C260"/>
      <c r="D260"/>
      <c r="E260"/>
      <c r="F260" s="27" t="s">
        <v>7</v>
      </c>
      <c r="K260" s="27" t="s">
        <v>8</v>
      </c>
      <c r="L260" s="27" t="s">
        <v>7</v>
      </c>
      <c r="W260" s="27" t="s">
        <v>8</v>
      </c>
      <c r="X260" s="27" t="s">
        <v>7</v>
      </c>
      <c r="AA260" s="27" t="s">
        <v>8</v>
      </c>
      <c r="AB260" s="27" t="s">
        <v>7</v>
      </c>
      <c r="AI260" s="27" t="s">
        <v>8</v>
      </c>
    </row>
    <row r="261" spans="1:54" x14ac:dyDescent="0.25">
      <c r="A261" s="30">
        <v>0.35894236464094997</v>
      </c>
      <c r="B261"/>
      <c r="C261"/>
      <c r="D261"/>
      <c r="E261"/>
      <c r="F261" s="27" t="s">
        <v>7</v>
      </c>
      <c r="G261" s="27" t="s">
        <v>8</v>
      </c>
      <c r="K261" s="27" t="s">
        <v>8</v>
      </c>
      <c r="L261" s="27" t="s">
        <v>7</v>
      </c>
      <c r="W261" s="27" t="s">
        <v>8</v>
      </c>
      <c r="X261" s="27" t="s">
        <v>7</v>
      </c>
      <c r="Y261" s="27" t="s">
        <v>8</v>
      </c>
      <c r="AA261" s="27" t="s">
        <v>8</v>
      </c>
      <c r="AB261" s="27" t="s">
        <v>7</v>
      </c>
      <c r="AI261" s="27" t="s">
        <v>8</v>
      </c>
    </row>
    <row r="262" spans="1:54" x14ac:dyDescent="0.25">
      <c r="A262" s="30">
        <v>0.34184987108661891</v>
      </c>
      <c r="B262"/>
      <c r="C262"/>
      <c r="D262"/>
      <c r="E262"/>
      <c r="F262" s="27" t="s">
        <v>7</v>
      </c>
      <c r="G262" s="27" t="s">
        <v>8</v>
      </c>
      <c r="H262" s="27" t="s">
        <v>7</v>
      </c>
      <c r="K262" s="27" t="s">
        <v>8</v>
      </c>
      <c r="L262" s="27" t="s">
        <v>7</v>
      </c>
      <c r="Q262" s="27" t="s">
        <v>8</v>
      </c>
      <c r="W262" s="27" t="s">
        <v>8</v>
      </c>
      <c r="X262" s="27" t="s">
        <v>7</v>
      </c>
      <c r="Y262" s="27" t="s">
        <v>8</v>
      </c>
      <c r="Z262" s="27" t="s">
        <v>7</v>
      </c>
      <c r="AA262" s="27" t="s">
        <v>8</v>
      </c>
      <c r="AB262" s="27" t="s">
        <v>7</v>
      </c>
      <c r="AI262" s="27" t="s">
        <v>8</v>
      </c>
    </row>
    <row r="263" spans="1:54" x14ac:dyDescent="0.25">
      <c r="A263" s="30">
        <v>0.32557130579677979</v>
      </c>
      <c r="B263"/>
      <c r="C263"/>
      <c r="D263"/>
      <c r="E263"/>
      <c r="F263" s="27" t="s">
        <v>7</v>
      </c>
      <c r="G263" s="27" t="s">
        <v>8</v>
      </c>
      <c r="H263" s="27" t="s">
        <v>7</v>
      </c>
      <c r="I263" s="27" t="s">
        <v>8</v>
      </c>
      <c r="K263" s="27" t="s">
        <v>8</v>
      </c>
      <c r="L263" s="27" t="s">
        <v>7</v>
      </c>
      <c r="Q263" s="27" t="s">
        <v>8</v>
      </c>
      <c r="R263" s="27" t="s">
        <v>7</v>
      </c>
      <c r="S263" s="27" t="s">
        <v>8</v>
      </c>
      <c r="U263" s="27" t="s">
        <v>8</v>
      </c>
      <c r="W263" s="27" t="s">
        <v>8</v>
      </c>
      <c r="X263" s="27" t="s">
        <v>7</v>
      </c>
      <c r="Y263" s="27" t="s">
        <v>8</v>
      </c>
      <c r="Z263" s="27" t="s">
        <v>7</v>
      </c>
      <c r="AA263" s="27" t="s">
        <v>8</v>
      </c>
      <c r="AB263" s="27" t="s">
        <v>7</v>
      </c>
      <c r="AE263" s="27" t="s">
        <v>8</v>
      </c>
      <c r="AG263" s="27" t="s">
        <v>8</v>
      </c>
      <c r="AI263" s="27" t="s">
        <v>8</v>
      </c>
    </row>
    <row r="264" spans="1:54" x14ac:dyDescent="0.25">
      <c r="A264" s="30">
        <v>0.3100679102826473</v>
      </c>
      <c r="B264"/>
      <c r="C264"/>
      <c r="D264"/>
      <c r="E264"/>
      <c r="F264" s="27" t="s">
        <v>7</v>
      </c>
      <c r="G264" s="27" t="s">
        <v>8</v>
      </c>
      <c r="H264" s="27" t="s">
        <v>7</v>
      </c>
      <c r="I264" s="27" t="s">
        <v>8</v>
      </c>
      <c r="J264" s="27" t="s">
        <v>7</v>
      </c>
      <c r="K264" s="27" t="s">
        <v>8</v>
      </c>
      <c r="L264" s="27" t="s">
        <v>7</v>
      </c>
      <c r="Q264" s="27" t="s">
        <v>8</v>
      </c>
      <c r="R264" s="27" t="s">
        <v>7</v>
      </c>
      <c r="S264" s="27" t="s">
        <v>8</v>
      </c>
      <c r="T264" s="27" t="s">
        <v>7</v>
      </c>
      <c r="U264" s="27" t="s">
        <v>8</v>
      </c>
      <c r="V264" s="27" t="s">
        <v>7</v>
      </c>
      <c r="W264" s="27" t="s">
        <v>8</v>
      </c>
      <c r="X264" s="27" t="s">
        <v>7</v>
      </c>
      <c r="Y264" s="27" t="s">
        <v>8</v>
      </c>
      <c r="Z264" s="27" t="s">
        <v>7</v>
      </c>
      <c r="AA264" s="27" t="s">
        <v>8</v>
      </c>
      <c r="AB264" s="27" t="s">
        <v>7</v>
      </c>
      <c r="AE264" s="27" t="s">
        <v>8</v>
      </c>
      <c r="AF264" s="27" t="s">
        <v>7</v>
      </c>
      <c r="AG264" s="27" t="s">
        <v>8</v>
      </c>
      <c r="AH264" s="27" t="s">
        <v>7</v>
      </c>
      <c r="AI264" s="27" t="s">
        <v>8</v>
      </c>
    </row>
    <row r="265" spans="1:54" x14ac:dyDescent="0.25">
      <c r="A265" s="30">
        <v>0.2953027716977592</v>
      </c>
      <c r="B265"/>
      <c r="C265"/>
      <c r="D265"/>
      <c r="E265"/>
      <c r="F265" s="27" t="s">
        <v>7</v>
      </c>
      <c r="H265" s="27" t="s">
        <v>7</v>
      </c>
      <c r="I265" s="27" t="s">
        <v>8</v>
      </c>
      <c r="J265" s="27" t="s">
        <v>7</v>
      </c>
      <c r="K265" s="27" t="s">
        <v>8</v>
      </c>
      <c r="L265" s="27" t="s">
        <v>7</v>
      </c>
      <c r="Q265" s="27" t="s">
        <v>8</v>
      </c>
      <c r="R265" s="27" t="s">
        <v>7</v>
      </c>
      <c r="S265" s="27" t="s">
        <v>8</v>
      </c>
      <c r="T265" s="27" t="s">
        <v>7</v>
      </c>
      <c r="U265" s="27" t="s">
        <v>8</v>
      </c>
      <c r="V265" s="27" t="s">
        <v>7</v>
      </c>
      <c r="W265" s="27" t="s">
        <v>8</v>
      </c>
      <c r="X265" s="27" t="s">
        <v>7</v>
      </c>
      <c r="Z265" s="27" t="s">
        <v>7</v>
      </c>
      <c r="AB265" s="27" t="s">
        <v>7</v>
      </c>
      <c r="AC265" s="27" t="s">
        <v>8</v>
      </c>
      <c r="AE265" s="27" t="s">
        <v>8</v>
      </c>
      <c r="AF265" s="27" t="s">
        <v>7</v>
      </c>
      <c r="AG265" s="27" t="s">
        <v>8</v>
      </c>
      <c r="AH265" s="27" t="s">
        <v>7</v>
      </c>
      <c r="AI265" s="27" t="s">
        <v>8</v>
      </c>
    </row>
    <row r="266" spans="1:54" x14ac:dyDescent="0.25">
      <c r="A266" s="30">
        <v>0.28124073495024676</v>
      </c>
      <c r="B266"/>
      <c r="C266"/>
      <c r="D266"/>
      <c r="E266"/>
      <c r="H266" s="27" t="s">
        <v>7</v>
      </c>
      <c r="I266" s="27" t="s">
        <v>8</v>
      </c>
      <c r="J266" s="27" t="s">
        <v>7</v>
      </c>
      <c r="L266" s="27" t="s">
        <v>7</v>
      </c>
      <c r="Q266" s="27" t="s">
        <v>8</v>
      </c>
      <c r="R266" s="27" t="s">
        <v>7</v>
      </c>
      <c r="S266" s="27" t="s">
        <v>8</v>
      </c>
      <c r="T266" s="27" t="s">
        <v>7</v>
      </c>
      <c r="U266" s="27" t="s">
        <v>8</v>
      </c>
      <c r="V266" s="27" t="s">
        <v>7</v>
      </c>
      <c r="AB266" s="27" t="s">
        <v>7</v>
      </c>
      <c r="AC266" s="27" t="s">
        <v>8</v>
      </c>
      <c r="AD266" s="27" t="s">
        <v>7</v>
      </c>
      <c r="AE266" s="27" t="s">
        <v>8</v>
      </c>
      <c r="AF266" s="27" t="s">
        <v>7</v>
      </c>
      <c r="AG266" s="27" t="s">
        <v>8</v>
      </c>
      <c r="AH266" s="27" t="s">
        <v>7</v>
      </c>
    </row>
    <row r="267" spans="1:54" x14ac:dyDescent="0.25">
      <c r="A267" s="30">
        <v>0.26784831900023492</v>
      </c>
      <c r="B267"/>
      <c r="C267"/>
      <c r="D267"/>
      <c r="E267"/>
      <c r="H267" s="27" t="s">
        <v>7</v>
      </c>
      <c r="L267" s="27" t="s">
        <v>7</v>
      </c>
      <c r="M267" s="27" t="s">
        <v>8</v>
      </c>
      <c r="O267" s="27" t="s">
        <v>8</v>
      </c>
      <c r="Q267" s="27" t="s">
        <v>8</v>
      </c>
      <c r="R267" s="27" t="s">
        <v>7</v>
      </c>
      <c r="T267" s="27" t="s">
        <v>7</v>
      </c>
      <c r="AB267" s="27" t="s">
        <v>7</v>
      </c>
      <c r="AC267" s="27" t="s">
        <v>8</v>
      </c>
      <c r="AD267" s="27" t="s">
        <v>7</v>
      </c>
      <c r="AE267" s="27" t="s">
        <v>8</v>
      </c>
      <c r="AF267" s="27" t="s">
        <v>7</v>
      </c>
      <c r="AG267" s="27" t="s">
        <v>8</v>
      </c>
    </row>
    <row r="268" spans="1:54" x14ac:dyDescent="0.25">
      <c r="A268" s="30">
        <v>0.25509363714308075</v>
      </c>
      <c r="B268"/>
      <c r="C268"/>
      <c r="D268"/>
      <c r="E268"/>
      <c r="L268" s="27" t="s">
        <v>7</v>
      </c>
      <c r="M268" s="27" t="s">
        <v>8</v>
      </c>
      <c r="N268" s="27" t="s">
        <v>7</v>
      </c>
      <c r="O268" s="27" t="s">
        <v>8</v>
      </c>
      <c r="P268" s="27" t="s">
        <v>7</v>
      </c>
      <c r="Q268" s="27" t="s">
        <v>8</v>
      </c>
      <c r="AB268" s="27" t="s">
        <v>7</v>
      </c>
      <c r="AD268" s="27" t="s">
        <v>7</v>
      </c>
      <c r="AF268" s="27" t="s">
        <v>7</v>
      </c>
    </row>
    <row r="269" spans="1:54" x14ac:dyDescent="0.25">
      <c r="A269" s="30">
        <v>0.24294632108864825</v>
      </c>
      <c r="B269"/>
      <c r="C269"/>
      <c r="D269"/>
      <c r="E269"/>
      <c r="L269" s="27" t="s">
        <v>7</v>
      </c>
      <c r="M269" s="27" t="s">
        <v>8</v>
      </c>
      <c r="N269" s="27" t="s">
        <v>7</v>
      </c>
      <c r="O269" s="27" t="s">
        <v>8</v>
      </c>
      <c r="P269" s="27" t="s">
        <v>7</v>
      </c>
      <c r="Q269" s="27" t="s">
        <v>8</v>
      </c>
    </row>
    <row r="270" spans="1:54" x14ac:dyDescent="0.25">
      <c r="A270" s="30">
        <v>0.23137744865585538</v>
      </c>
      <c r="B270"/>
      <c r="C270"/>
      <c r="D270"/>
      <c r="E270"/>
      <c r="L270" s="27" t="s">
        <v>7</v>
      </c>
      <c r="M270" s="27" t="s">
        <v>8</v>
      </c>
      <c r="N270" s="27" t="s">
        <v>7</v>
      </c>
      <c r="O270" s="27" t="s">
        <v>8</v>
      </c>
      <c r="P270" s="27" t="s">
        <v>7</v>
      </c>
      <c r="Q270" s="27" t="s">
        <v>8</v>
      </c>
    </row>
    <row r="271" spans="1:54" x14ac:dyDescent="0.25">
      <c r="A271" s="30">
        <v>0.22035947491033836</v>
      </c>
      <c r="B271"/>
      <c r="C271"/>
      <c r="D271"/>
      <c r="E271"/>
      <c r="L271" s="27" t="s">
        <v>7</v>
      </c>
      <c r="M271" s="27" t="s">
        <v>8</v>
      </c>
      <c r="N271" s="27" t="s">
        <v>7</v>
      </c>
      <c r="P271" s="27" t="s">
        <v>7</v>
      </c>
      <c r="Q271" s="27" t="s">
        <v>8</v>
      </c>
    </row>
    <row r="272" spans="1:54" x14ac:dyDescent="0.25">
      <c r="A272" s="30">
        <v>0.20986616658127455</v>
      </c>
      <c r="B272"/>
      <c r="C272"/>
      <c r="D272"/>
      <c r="E272"/>
      <c r="L272" s="27" t="s">
        <v>7</v>
      </c>
      <c r="M272" s="27" t="s">
        <v>8</v>
      </c>
      <c r="P272" s="27" t="s">
        <v>7</v>
      </c>
      <c r="Q272" s="27" t="s">
        <v>8</v>
      </c>
    </row>
    <row r="273" spans="1:17" x14ac:dyDescent="0.25">
      <c r="A273" s="30">
        <v>0.19987253960121379</v>
      </c>
      <c r="B273"/>
      <c r="C273"/>
      <c r="D273"/>
      <c r="E273"/>
      <c r="L273" s="27" t="s">
        <v>7</v>
      </c>
      <c r="P273" s="27" t="s">
        <v>7</v>
      </c>
      <c r="Q273" s="27" t="s">
        <v>8</v>
      </c>
    </row>
    <row r="274" spans="1:17" x14ac:dyDescent="0.25">
      <c r="A274" s="30">
        <v>0.19035479962020352</v>
      </c>
      <c r="B274"/>
      <c r="C274"/>
      <c r="D274"/>
      <c r="E274"/>
      <c r="P274" s="18" t="s">
        <v>7</v>
      </c>
      <c r="Q274" s="27" t="s">
        <v>8</v>
      </c>
    </row>
    <row r="275" spans="1:17" x14ac:dyDescent="0.25">
      <c r="A275" s="30">
        <v>0.18129028535257471</v>
      </c>
      <c r="B275"/>
      <c r="C275"/>
      <c r="D275"/>
      <c r="E275"/>
      <c r="P275" s="27" t="s">
        <v>7</v>
      </c>
    </row>
    <row r="276" spans="1:17" x14ac:dyDescent="0.25">
      <c r="A276" s="30">
        <v>0.17265741462149967</v>
      </c>
      <c r="B276"/>
      <c r="C276"/>
      <c r="D276"/>
      <c r="E276"/>
    </row>
    <row r="277" spans="1:17" x14ac:dyDescent="0.25">
      <c r="A277" s="30">
        <v>0.16443563297285677</v>
      </c>
      <c r="B277"/>
      <c r="C277"/>
      <c r="D277"/>
      <c r="E277"/>
    </row>
    <row r="278" spans="1:17" x14ac:dyDescent="0.25">
      <c r="A278" s="30">
        <v>0.15660536473605399</v>
      </c>
      <c r="B278"/>
      <c r="C278"/>
      <c r="D278"/>
      <c r="E278"/>
    </row>
    <row r="279" spans="1:17" x14ac:dyDescent="0.25">
      <c r="A279" s="30">
        <v>0.14914796641528946</v>
      </c>
      <c r="B279"/>
      <c r="C279"/>
      <c r="D279"/>
      <c r="E279"/>
    </row>
    <row r="280" spans="1:17" x14ac:dyDescent="0.25">
      <c r="A280" s="30">
        <v>0.14204568230027562</v>
      </c>
      <c r="B280"/>
      <c r="C280"/>
      <c r="D280"/>
      <c r="E280"/>
    </row>
    <row r="281" spans="1:17" x14ac:dyDescent="0.25">
      <c r="A281" s="30">
        <v>0.13528160219073862</v>
      </c>
      <c r="B281"/>
      <c r="C281"/>
      <c r="D281"/>
      <c r="E281"/>
    </row>
    <row r="282" spans="1:17" x14ac:dyDescent="0.25">
      <c r="A282" s="30">
        <v>0.12883962113403674</v>
      </c>
      <c r="B282"/>
      <c r="C282"/>
      <c r="D282"/>
      <c r="E282"/>
    </row>
    <row r="283" spans="1:17" x14ac:dyDescent="0.25">
      <c r="A283" s="30">
        <v>0.12270440108003494</v>
      </c>
      <c r="B283"/>
      <c r="C283"/>
      <c r="D283"/>
      <c r="E283"/>
    </row>
    <row r="284" spans="1:17" x14ac:dyDescent="0.25">
      <c r="A284" s="30">
        <v>0.11686133436193799</v>
      </c>
      <c r="B284"/>
      <c r="C284"/>
      <c r="D284"/>
      <c r="E284"/>
    </row>
    <row r="285" spans="1:17" x14ac:dyDescent="0.25">
      <c r="A285" s="30">
        <v>0.11129650891613138</v>
      </c>
      <c r="B285"/>
      <c r="C285"/>
      <c r="D285"/>
      <c r="E285"/>
    </row>
    <row r="286" spans="1:17" x14ac:dyDescent="0.25">
      <c r="A286" s="30">
        <v>0.10599667515822032</v>
      </c>
      <c r="B286"/>
      <c r="C286"/>
      <c r="D286"/>
      <c r="E286"/>
    </row>
    <row r="287" spans="1:17" x14ac:dyDescent="0.25">
      <c r="A287" s="30">
        <v>0.10094921443640027</v>
      </c>
      <c r="B287"/>
      <c r="C287"/>
      <c r="D287"/>
      <c r="E287"/>
    </row>
    <row r="288" spans="1:17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58" operator="equal">
      <formula>$U$1</formula>
    </cfRule>
    <cfRule type="cellIs" dxfId="67" priority="659" operator="equal">
      <formula>$S$1</formula>
    </cfRule>
  </conditionalFormatting>
  <conditionalFormatting sqref="D136">
    <cfRule type="cellIs" dxfId="66" priority="656" operator="equal">
      <formula>$S$1</formula>
    </cfRule>
    <cfRule type="cellIs" dxfId="65" priority="657" operator="equal">
      <formula>$U$1</formula>
    </cfRule>
  </conditionalFormatting>
  <conditionalFormatting sqref="C162">
    <cfRule type="cellIs" dxfId="64" priority="654" operator="equal">
      <formula>$U$1</formula>
    </cfRule>
    <cfRule type="cellIs" dxfId="63" priority="655" operator="equal">
      <formula>$S$1</formula>
    </cfRule>
  </conditionalFormatting>
  <conditionalFormatting sqref="D162">
    <cfRule type="cellIs" dxfId="62" priority="652" operator="equal">
      <formula>$S$1</formula>
    </cfRule>
    <cfRule type="cellIs" dxfId="61" priority="653" operator="equal">
      <formula>$U$1</formula>
    </cfRule>
  </conditionalFormatting>
  <conditionalFormatting sqref="C187">
    <cfRule type="cellIs" dxfId="60" priority="650" operator="equal">
      <formula>$U$1</formula>
    </cfRule>
    <cfRule type="cellIs" dxfId="59" priority="651" operator="equal">
      <formula>$S$1</formula>
    </cfRule>
  </conditionalFormatting>
  <conditionalFormatting sqref="D187">
    <cfRule type="cellIs" dxfId="58" priority="648" operator="equal">
      <formula>$S$1</formula>
    </cfRule>
    <cfRule type="cellIs" dxfId="57" priority="649" operator="equal">
      <formula>$U$1</formula>
    </cfRule>
  </conditionalFormatting>
  <conditionalFormatting sqref="C212">
    <cfRule type="cellIs" dxfId="56" priority="646" operator="equal">
      <formula>$U$1</formula>
    </cfRule>
    <cfRule type="cellIs" dxfId="55" priority="647" operator="equal">
      <formula>$S$1</formula>
    </cfRule>
  </conditionalFormatting>
  <conditionalFormatting sqref="D212">
    <cfRule type="cellIs" dxfId="54" priority="644" operator="equal">
      <formula>$S$1</formula>
    </cfRule>
    <cfRule type="cellIs" dxfId="53" priority="645" operator="equal">
      <formula>$U$1</formula>
    </cfRule>
  </conditionalFormatting>
  <conditionalFormatting sqref="C237">
    <cfRule type="cellIs" dxfId="52" priority="642" operator="equal">
      <formula>$U$1</formula>
    </cfRule>
    <cfRule type="cellIs" dxfId="51" priority="643" operator="equal">
      <formula>$S$1</formula>
    </cfRule>
  </conditionalFormatting>
  <conditionalFormatting sqref="D237">
    <cfRule type="cellIs" dxfId="50" priority="640" operator="equal">
      <formula>$S$1</formula>
    </cfRule>
    <cfRule type="cellIs" dxfId="49" priority="641" operator="equal">
      <formula>$U$1</formula>
    </cfRule>
  </conditionalFormatting>
  <conditionalFormatting sqref="C106">
    <cfRule type="cellIs" dxfId="48" priority="638" operator="equal">
      <formula>$U$1</formula>
    </cfRule>
    <cfRule type="cellIs" dxfId="47" priority="639" operator="equal">
      <formula>$S$1</formula>
    </cfRule>
  </conditionalFormatting>
  <conditionalFormatting sqref="D106">
    <cfRule type="cellIs" dxfId="46" priority="636" operator="equal">
      <formula>$S$1</formula>
    </cfRule>
    <cfRule type="cellIs" dxfId="45" priority="637" operator="equal">
      <formula>$U$1</formula>
    </cfRule>
  </conditionalFormatting>
  <conditionalFormatting sqref="C81">
    <cfRule type="cellIs" dxfId="44" priority="634" operator="equal">
      <formula>$U$1</formula>
    </cfRule>
    <cfRule type="cellIs" dxfId="43" priority="635" operator="equal">
      <formula>$S$1</formula>
    </cfRule>
  </conditionalFormatting>
  <conditionalFormatting sqref="D81">
    <cfRule type="cellIs" dxfId="42" priority="632" operator="equal">
      <formula>$S$1</formula>
    </cfRule>
    <cfRule type="cellIs" dxfId="41" priority="633" operator="equal">
      <formula>$U$1</formula>
    </cfRule>
  </conditionalFormatting>
  <conditionalFormatting sqref="C56">
    <cfRule type="cellIs" dxfId="40" priority="630" operator="equal">
      <formula>$U$1</formula>
    </cfRule>
    <cfRule type="cellIs" dxfId="39" priority="631" operator="equal">
      <formula>$S$1</formula>
    </cfRule>
  </conditionalFormatting>
  <conditionalFormatting sqref="D56">
    <cfRule type="cellIs" dxfId="38" priority="628" operator="equal">
      <formula>$S$1</formula>
    </cfRule>
    <cfRule type="cellIs" dxfId="37" priority="629" operator="equal">
      <formula>$U$1</formula>
    </cfRule>
  </conditionalFormatting>
  <conditionalFormatting sqref="C31">
    <cfRule type="cellIs" dxfId="36" priority="626" operator="equal">
      <formula>$U$1</formula>
    </cfRule>
    <cfRule type="cellIs" dxfId="35" priority="627" operator="equal">
      <formula>$S$1</formula>
    </cfRule>
  </conditionalFormatting>
  <conditionalFormatting sqref="D31">
    <cfRule type="cellIs" dxfId="34" priority="624" operator="equal">
      <formula>$S$1</formula>
    </cfRule>
    <cfRule type="cellIs" dxfId="33" priority="62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R130" sqref="R13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12" x14ac:dyDescent="0.25">
      <c r="A97" s="30">
        <v>9.849732675807628</v>
      </c>
      <c r="E97"/>
    </row>
    <row r="98" spans="1:12" x14ac:dyDescent="0.25">
      <c r="A98" s="30">
        <v>8.9543024325523888</v>
      </c>
      <c r="C98" s="1" t="s">
        <v>13</v>
      </c>
      <c r="E98"/>
    </row>
    <row r="99" spans="1:12" x14ac:dyDescent="0.25">
      <c r="A99" s="30">
        <v>8.140274938683989</v>
      </c>
      <c r="C99" s="1">
        <f>C88</f>
        <v>0</v>
      </c>
      <c r="E99"/>
    </row>
    <row r="100" spans="1:12" x14ac:dyDescent="0.25">
      <c r="A100" s="30">
        <v>7.4002499442581717</v>
      </c>
      <c r="C100"/>
      <c r="D100"/>
      <c r="E100"/>
    </row>
    <row r="101" spans="1:12" x14ac:dyDescent="0.25">
      <c r="A101" s="30">
        <v>6.72749994932561</v>
      </c>
      <c r="C101" s="1" t="s">
        <v>14</v>
      </c>
      <c r="E101"/>
    </row>
    <row r="102" spans="1:1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12" x14ac:dyDescent="0.25">
      <c r="A103" s="30">
        <v>5.5599173134922388</v>
      </c>
      <c r="E103"/>
    </row>
    <row r="104" spans="1:12" x14ac:dyDescent="0.25">
      <c r="A104" s="30">
        <v>5.0544702849929442</v>
      </c>
      <c r="E104"/>
    </row>
    <row r="105" spans="1:12" x14ac:dyDescent="0.25">
      <c r="A105" s="30">
        <v>4.594972986357222</v>
      </c>
      <c r="E105"/>
    </row>
    <row r="106" spans="1:12" x14ac:dyDescent="0.25">
      <c r="A106" s="30">
        <v>4.1772481694156562</v>
      </c>
      <c r="E106"/>
    </row>
    <row r="107" spans="1:12" x14ac:dyDescent="0.25">
      <c r="A107" s="30">
        <v>3.7974983358324148</v>
      </c>
      <c r="E107"/>
    </row>
    <row r="108" spans="1:12" x14ac:dyDescent="0.25">
      <c r="A108" s="30">
        <v>3.4522712143931042</v>
      </c>
      <c r="E108"/>
    </row>
    <row r="109" spans="1:12" x14ac:dyDescent="0.25">
      <c r="A109" s="30">
        <v>3.1384283767210035</v>
      </c>
      <c r="E109"/>
    </row>
    <row r="110" spans="1:12" x14ac:dyDescent="0.25">
      <c r="A110" s="30">
        <v>2.8531167061100029</v>
      </c>
      <c r="E110"/>
    </row>
    <row r="111" spans="1:12" x14ac:dyDescent="0.25">
      <c r="A111" s="30">
        <v>2.5937424601000023</v>
      </c>
      <c r="C111" s="1" t="str">
        <f>ADDRESS(C121-1,1,1,1)</f>
        <v>$A$129</v>
      </c>
      <c r="D111" s="1" t="str">
        <f>ADDRESS(C121-1,D121,1,1)</f>
        <v>$R$129</v>
      </c>
      <c r="E111"/>
      <c r="K111" s="27" t="s">
        <v>8</v>
      </c>
    </row>
    <row r="112" spans="1:12" x14ac:dyDescent="0.25">
      <c r="A112" s="30">
        <v>2.3579476910000019</v>
      </c>
      <c r="C112" s="1" t="str">
        <f>ADDRESS(C121,1,1,1)</f>
        <v>$A$130</v>
      </c>
      <c r="D112" s="1" t="str">
        <f>ADDRESS(C121,D121-1,1,1)</f>
        <v>$Q$130</v>
      </c>
      <c r="E112"/>
      <c r="K112" s="27" t="s">
        <v>8</v>
      </c>
      <c r="L112" s="27" t="s">
        <v>7</v>
      </c>
    </row>
    <row r="113" spans="1:18" x14ac:dyDescent="0.25">
      <c r="A113" s="30">
        <v>2.1435888100000016</v>
      </c>
      <c r="C113" s="1" t="str">
        <f>ADDRESS(C121+1,1,1,1)</f>
        <v>$A$131</v>
      </c>
      <c r="D113" s="1" t="str">
        <f>ADDRESS(C121-1,D121+1,1,1)</f>
        <v>$S$129</v>
      </c>
      <c r="K113" s="27" t="s">
        <v>8</v>
      </c>
      <c r="L113" s="27" t="s">
        <v>7</v>
      </c>
    </row>
    <row r="114" spans="1:18" x14ac:dyDescent="0.25">
      <c r="A114" s="30">
        <v>1.9487171000000014</v>
      </c>
      <c r="C114" s="1" t="str">
        <f>ADDRESS(C121,D121,1,1)</f>
        <v>$R$130</v>
      </c>
      <c r="D114" s="1" t="str">
        <f>ADDRESS(C121+1,D121+1,1,1)</f>
        <v>$S$131</v>
      </c>
      <c r="K114" s="27" t="s">
        <v>8</v>
      </c>
      <c r="L114" s="27" t="s">
        <v>7</v>
      </c>
    </row>
    <row r="115" spans="1:18" x14ac:dyDescent="0.25">
      <c r="A115" s="30">
        <v>1.7715610000000011</v>
      </c>
      <c r="C115" s="1" t="str">
        <f>ADDRESS(C121+1,D121,1,1)</f>
        <v>$R$131</v>
      </c>
      <c r="K115" s="27" t="s">
        <v>8</v>
      </c>
      <c r="L115" s="27" t="s">
        <v>7</v>
      </c>
      <c r="M115" s="27" t="s">
        <v>8</v>
      </c>
    </row>
    <row r="116" spans="1:18" x14ac:dyDescent="0.25">
      <c r="A116" s="30">
        <v>1.6105100000000008</v>
      </c>
      <c r="C116" s="1">
        <f>C117-1</f>
        <v>129</v>
      </c>
      <c r="K116" s="27" t="s">
        <v>8</v>
      </c>
      <c r="L116" s="27" t="s">
        <v>7</v>
      </c>
      <c r="M116" s="27" t="s">
        <v>8</v>
      </c>
      <c r="N116" s="27" t="s">
        <v>7</v>
      </c>
    </row>
    <row r="117" spans="1:18" x14ac:dyDescent="0.25">
      <c r="A117" s="30">
        <v>1.4641000000000006</v>
      </c>
      <c r="C117" s="1">
        <f>C121</f>
        <v>130</v>
      </c>
      <c r="D117" s="1">
        <f>D121</f>
        <v>18</v>
      </c>
      <c r="K117" s="27" t="s">
        <v>8</v>
      </c>
      <c r="L117" s="27" t="s">
        <v>7</v>
      </c>
      <c r="M117" s="27" t="s">
        <v>8</v>
      </c>
      <c r="N117" s="27" t="s">
        <v>7</v>
      </c>
    </row>
    <row r="118" spans="1:18" x14ac:dyDescent="0.25">
      <c r="A118" s="30">
        <v>1.3310000000000004</v>
      </c>
      <c r="C118" s="1">
        <f>C117+1</f>
        <v>131</v>
      </c>
      <c r="D118" s="1">
        <f>D117+1</f>
        <v>19</v>
      </c>
      <c r="K118" s="27" t="s">
        <v>8</v>
      </c>
      <c r="L118" s="27" t="s">
        <v>7</v>
      </c>
      <c r="N118" s="27" t="s">
        <v>7</v>
      </c>
      <c r="O118" s="27" t="s">
        <v>8</v>
      </c>
      <c r="Q118" s="27" t="s">
        <v>8</v>
      </c>
    </row>
    <row r="119" spans="1:18" x14ac:dyDescent="0.25">
      <c r="A119" s="30">
        <v>1.2100000000000002</v>
      </c>
      <c r="K119" s="27" t="s">
        <v>8</v>
      </c>
      <c r="N119" s="27" t="s">
        <v>7</v>
      </c>
      <c r="O119" s="27" t="s">
        <v>8</v>
      </c>
      <c r="P119" s="27" t="s">
        <v>7</v>
      </c>
      <c r="Q119" s="27" t="s">
        <v>8</v>
      </c>
      <c r="R119" s="27" t="s">
        <v>7</v>
      </c>
    </row>
    <row r="120" spans="1:18" x14ac:dyDescent="0.25">
      <c r="A120" s="30">
        <v>1.1000000000000001</v>
      </c>
      <c r="C120" s="1" t="s">
        <v>9</v>
      </c>
      <c r="K120" s="27" t="s">
        <v>8</v>
      </c>
      <c r="N120" s="27" t="s">
        <v>7</v>
      </c>
      <c r="O120" s="27" t="s">
        <v>8</v>
      </c>
      <c r="P120" s="27" t="s">
        <v>7</v>
      </c>
      <c r="Q120" s="27" t="s">
        <v>8</v>
      </c>
      <c r="R120" s="27" t="s">
        <v>7</v>
      </c>
    </row>
    <row r="121" spans="1:18" x14ac:dyDescent="0.25">
      <c r="A121" s="30">
        <v>1</v>
      </c>
      <c r="C121" s="18">
        <v>130</v>
      </c>
      <c r="D121" s="19">
        <v>18</v>
      </c>
      <c r="E121" s="18" t="s">
        <v>8</v>
      </c>
      <c r="K121" s="27" t="s">
        <v>8</v>
      </c>
      <c r="N121" s="27" t="s">
        <v>7</v>
      </c>
      <c r="O121" s="27" t="s">
        <v>8</v>
      </c>
      <c r="P121" s="27" t="s">
        <v>7</v>
      </c>
      <c r="Q121" s="27" t="s">
        <v>8</v>
      </c>
      <c r="R121" s="27" t="s">
        <v>7</v>
      </c>
    </row>
    <row r="122" spans="1:18" x14ac:dyDescent="0.25">
      <c r="A122" s="30">
        <v>0.90909090909090895</v>
      </c>
      <c r="C122" s="1" t="str">
        <f>INDEX(1:1048576,C117,D117)</f>
        <v>O</v>
      </c>
      <c r="F122" s="27" t="s">
        <v>7</v>
      </c>
      <c r="K122" s="27" t="s">
        <v>8</v>
      </c>
      <c r="N122" s="27" t="s">
        <v>7</v>
      </c>
      <c r="O122" s="27" t="s">
        <v>8</v>
      </c>
      <c r="P122" s="27" t="s">
        <v>7</v>
      </c>
      <c r="Q122" s="27" t="s">
        <v>8</v>
      </c>
      <c r="R122" s="27" t="s">
        <v>7</v>
      </c>
    </row>
    <row r="123" spans="1:18" x14ac:dyDescent="0.25">
      <c r="A123" s="30">
        <v>0.82644628099173523</v>
      </c>
      <c r="C123" s="1" t="str">
        <f>"R"&amp;C121</f>
        <v>R130</v>
      </c>
      <c r="D123" s="1" t="str">
        <f>"C"&amp;D121</f>
        <v>C18</v>
      </c>
      <c r="F123" s="27" t="s">
        <v>7</v>
      </c>
      <c r="K123" s="27" t="s">
        <v>8</v>
      </c>
      <c r="N123" s="27" t="s">
        <v>7</v>
      </c>
      <c r="P123" s="27" t="s">
        <v>7</v>
      </c>
      <c r="Q123" s="27" t="s">
        <v>8</v>
      </c>
      <c r="R123" s="27" t="s">
        <v>7</v>
      </c>
    </row>
    <row r="124" spans="1:1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K124" s="27" t="s">
        <v>8</v>
      </c>
      <c r="P124" s="27" t="s">
        <v>7</v>
      </c>
      <c r="R124" s="27" t="s">
        <v>7</v>
      </c>
    </row>
    <row r="125" spans="1:18" x14ac:dyDescent="0.25">
      <c r="A125" s="30">
        <v>0.68301345536507019</v>
      </c>
      <c r="F125" s="27" t="s">
        <v>7</v>
      </c>
      <c r="K125" s="27" t="s">
        <v>8</v>
      </c>
      <c r="R125" s="27" t="s">
        <v>7</v>
      </c>
    </row>
    <row r="126" spans="1:18" x14ac:dyDescent="0.25">
      <c r="A126" s="30">
        <v>0.6209213230591546</v>
      </c>
      <c r="C126" s="1" t="s">
        <v>10</v>
      </c>
      <c r="F126" s="27" t="s">
        <v>7</v>
      </c>
      <c r="K126" s="27" t="s">
        <v>8</v>
      </c>
      <c r="R126" s="27" t="s">
        <v>7</v>
      </c>
    </row>
    <row r="127" spans="1:18" x14ac:dyDescent="0.25">
      <c r="A127" s="30">
        <v>0.56447393005377677</v>
      </c>
      <c r="C127" s="30">
        <v>0.42409761837248428</v>
      </c>
      <c r="D127"/>
      <c r="F127" s="27" t="s">
        <v>7</v>
      </c>
      <c r="K127" s="27" t="s">
        <v>8</v>
      </c>
      <c r="R127" s="27" t="s">
        <v>7</v>
      </c>
    </row>
    <row r="128" spans="1:18" x14ac:dyDescent="0.25">
      <c r="A128" s="30">
        <v>0.51315811823070612</v>
      </c>
      <c r="F128" s="27" t="s">
        <v>7</v>
      </c>
      <c r="K128" s="27" t="s">
        <v>8</v>
      </c>
      <c r="R128" s="27" t="s">
        <v>7</v>
      </c>
    </row>
    <row r="129" spans="1:1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I129" s="27" t="s">
        <v>8</v>
      </c>
      <c r="K129" s="27" t="s">
        <v>8</v>
      </c>
      <c r="R129" s="27" t="s">
        <v>7</v>
      </c>
    </row>
    <row r="130" spans="1:18" x14ac:dyDescent="0.25">
      <c r="A130" s="30">
        <v>0.42409761837248428</v>
      </c>
      <c r="C130" s="6"/>
      <c r="D130" s="6"/>
      <c r="E130"/>
      <c r="F130" s="27" t="s">
        <v>7</v>
      </c>
      <c r="I130" s="27" t="s">
        <v>8</v>
      </c>
      <c r="J130" s="27" t="s">
        <v>7</v>
      </c>
      <c r="K130" s="27" t="s">
        <v>8</v>
      </c>
      <c r="R130" s="27" t="s">
        <v>7</v>
      </c>
    </row>
    <row r="131" spans="1:18" x14ac:dyDescent="0.25">
      <c r="A131" s="30">
        <v>0.38554328942953109</v>
      </c>
      <c r="E131"/>
      <c r="F131" s="27" t="s">
        <v>7</v>
      </c>
      <c r="G131" s="27" t="s">
        <v>8</v>
      </c>
      <c r="I131" s="27" t="s">
        <v>8</v>
      </c>
      <c r="J131" s="27" t="s">
        <v>7</v>
      </c>
      <c r="K131" s="27" t="s">
        <v>8</v>
      </c>
    </row>
    <row r="132" spans="1:18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H132" s="27" t="s">
        <v>7</v>
      </c>
      <c r="I132" s="27" t="s">
        <v>8</v>
      </c>
      <c r="J132" s="27" t="s">
        <v>7</v>
      </c>
      <c r="K132" s="27" t="s">
        <v>8</v>
      </c>
    </row>
    <row r="133" spans="1:18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H133" s="27" t="s">
        <v>7</v>
      </c>
      <c r="I133" s="27" t="s">
        <v>8</v>
      </c>
      <c r="J133" s="27" t="s">
        <v>7</v>
      </c>
      <c r="K133" s="27" t="s">
        <v>8</v>
      </c>
    </row>
    <row r="134" spans="1:18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H134" s="27" t="s">
        <v>7</v>
      </c>
      <c r="I134" s="27" t="s">
        <v>8</v>
      </c>
      <c r="J134" s="27" t="s">
        <v>7</v>
      </c>
      <c r="K134" s="27" t="s">
        <v>8</v>
      </c>
    </row>
    <row r="135" spans="1:18" x14ac:dyDescent="0.25">
      <c r="A135" s="30">
        <v>0.2633312543060794</v>
      </c>
      <c r="C135" s="1" t="s">
        <v>14</v>
      </c>
      <c r="E135"/>
      <c r="F135" s="27" t="s">
        <v>7</v>
      </c>
      <c r="H135" s="27" t="s">
        <v>7</v>
      </c>
      <c r="I135" s="27" t="s">
        <v>8</v>
      </c>
      <c r="J135" s="27" t="s">
        <v>7</v>
      </c>
    </row>
    <row r="136" spans="1:1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H136" s="27" t="s">
        <v>7</v>
      </c>
      <c r="I136" s="27" t="s">
        <v>8</v>
      </c>
    </row>
    <row r="137" spans="1:18" x14ac:dyDescent="0.25">
      <c r="A137" s="30">
        <v>0.2176291357901482</v>
      </c>
      <c r="E137"/>
      <c r="H137" s="27" t="s">
        <v>7</v>
      </c>
      <c r="I137" s="27" t="s">
        <v>8</v>
      </c>
    </row>
    <row r="138" spans="1:1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H138" s="18" t="s">
        <v>7</v>
      </c>
      <c r="I138" s="27" t="s">
        <v>8</v>
      </c>
    </row>
    <row r="139" spans="1:18" x14ac:dyDescent="0.25">
      <c r="A139" s="30">
        <v>0.17985878990921333</v>
      </c>
      <c r="E139"/>
      <c r="H139" s="27" t="s">
        <v>7</v>
      </c>
    </row>
    <row r="140" spans="1:18" x14ac:dyDescent="0.25">
      <c r="A140" s="30">
        <v>0.16350799082655756</v>
      </c>
      <c r="C140" s="1">
        <v>0</v>
      </c>
      <c r="E140"/>
    </row>
    <row r="141" spans="1:18" x14ac:dyDescent="0.25">
      <c r="A141" s="30">
        <v>0.14864362802414322</v>
      </c>
      <c r="C141" s="1">
        <v>1</v>
      </c>
      <c r="E141"/>
    </row>
    <row r="142" spans="1:18" x14ac:dyDescent="0.25">
      <c r="A142" s="30">
        <v>0.13513057093103928</v>
      </c>
      <c r="C142" s="1">
        <v>2</v>
      </c>
      <c r="E142"/>
    </row>
    <row r="143" spans="1:18" x14ac:dyDescent="0.25">
      <c r="A143" s="30">
        <v>0.12284597357367205</v>
      </c>
      <c r="C143" s="1">
        <v>3</v>
      </c>
      <c r="E143"/>
    </row>
    <row r="144" spans="1:18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42" operator="equal">
      <formula>$U$1</formula>
    </cfRule>
    <cfRule type="cellIs" dxfId="30" priority="643" operator="equal">
      <formula>$S$1</formula>
    </cfRule>
  </conditionalFormatting>
  <conditionalFormatting sqref="D136">
    <cfRule type="cellIs" dxfId="29" priority="640" operator="equal">
      <formula>$S$1</formula>
    </cfRule>
    <cfRule type="cellIs" dxfId="28" priority="641" operator="equal">
      <formula>$U$1</formula>
    </cfRule>
  </conditionalFormatting>
  <conditionalFormatting sqref="C102">
    <cfRule type="cellIs" dxfId="27" priority="638" operator="equal">
      <formula>$U$1</formula>
    </cfRule>
    <cfRule type="cellIs" dxfId="26" priority="639" operator="equal">
      <formula>$S$1</formula>
    </cfRule>
  </conditionalFormatting>
  <conditionalFormatting sqref="D102">
    <cfRule type="cellIs" dxfId="25" priority="636" operator="equal">
      <formula>$S$1</formula>
    </cfRule>
    <cfRule type="cellIs" dxfId="24" priority="637" operator="equal">
      <formula>$U$1</formula>
    </cfRule>
  </conditionalFormatting>
  <conditionalFormatting sqref="C77">
    <cfRule type="cellIs" dxfId="23" priority="634" operator="equal">
      <formula>$U$1</formula>
    </cfRule>
    <cfRule type="cellIs" dxfId="22" priority="635" operator="equal">
      <formula>$S$1</formula>
    </cfRule>
  </conditionalFormatting>
  <conditionalFormatting sqref="D77">
    <cfRule type="cellIs" dxfId="21" priority="632" operator="equal">
      <formula>$S$1</formula>
    </cfRule>
    <cfRule type="cellIs" dxfId="20" priority="633" operator="equal">
      <formula>$U$1</formula>
    </cfRule>
  </conditionalFormatting>
  <conditionalFormatting sqref="C52">
    <cfRule type="cellIs" dxfId="19" priority="630" operator="equal">
      <formula>$U$1</formula>
    </cfRule>
    <cfRule type="cellIs" dxfId="18" priority="631" operator="equal">
      <formula>$S$1</formula>
    </cfRule>
  </conditionalFormatting>
  <conditionalFormatting sqref="D52">
    <cfRule type="cellIs" dxfId="17" priority="628" operator="equal">
      <formula>$S$1</formula>
    </cfRule>
    <cfRule type="cellIs" dxfId="16" priority="629" operator="equal">
      <formula>$U$1</formula>
    </cfRule>
  </conditionalFormatting>
  <conditionalFormatting sqref="C26">
    <cfRule type="cellIs" dxfId="15" priority="626" operator="equal">
      <formula>$U$1</formula>
    </cfRule>
    <cfRule type="cellIs" dxfId="14" priority="627" operator="equal">
      <formula>$S$1</formula>
    </cfRule>
  </conditionalFormatting>
  <conditionalFormatting sqref="D26">
    <cfRule type="cellIs" dxfId="13" priority="624" operator="equal">
      <formula>$S$1</formula>
    </cfRule>
    <cfRule type="cellIs" dxfId="12" priority="62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2022-01-28T01:19:33Z</dcterms:modified>
</cp:coreProperties>
</file>